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 sheetId="1" r:id="rId4"/>
    <sheet state="visible" name="RQs" sheetId="2" r:id="rId5"/>
    <sheet state="visible" name="Info" sheetId="3" r:id="rId6"/>
    <sheet state="visible" name="Master sheet" sheetId="4" r:id="rId7"/>
    <sheet state="visible" name="Cleaned Master sheet" sheetId="5" r:id="rId8"/>
    <sheet state="visible" name="Quantification Sheet" sheetId="6" r:id="rId9"/>
    <sheet state="visible" name="Extras" sheetId="7" r:id="rId10"/>
    <sheet state="visible" name="People writing" sheetId="8" r:id="rId11"/>
    <sheet state="visible" name="Related Reviews" sheetId="9" r:id="rId12"/>
    <sheet state="visible" name="Discarded" sheetId="10" r:id="rId13"/>
    <sheet state="visible" name="Tasks" sheetId="11" r:id="rId14"/>
    <sheet state="visible" name="Master query" sheetId="12" r:id="rId15"/>
    <sheet state="visible" name="Prisma overview" sheetId="13" r:id="rId16"/>
    <sheet state="visible" name="P1" sheetId="14" r:id="rId17"/>
    <sheet state="visible" name="P2" sheetId="15" r:id="rId18"/>
    <sheet state="visible" name="P3" sheetId="16" r:id="rId19"/>
    <sheet state="visible" name="P4" sheetId="17" r:id="rId20"/>
    <sheet state="visible" name="P5" sheetId="18" r:id="rId21"/>
    <sheet state="visible" name="P6" sheetId="19" r:id="rId22"/>
    <sheet state="visible" name="P7" sheetId="20" r:id="rId23"/>
    <sheet state="visible" name="Exclussion basis" sheetId="21" r:id="rId24"/>
    <sheet state="visible" name="Snowballing" sheetId="22" r:id="rId25"/>
    <sheet state="visible" name="Reviewers" sheetId="23" r:id="rId26"/>
    <sheet state="visible" name="Timeline" sheetId="24" r:id="rId27"/>
    <sheet state="visible" name="L0 Snowballing" sheetId="25" r:id="rId28"/>
    <sheet state="visible" name="L1 Snowballing" sheetId="26" r:id="rId29"/>
  </sheets>
  <definedNames>
    <definedName hidden="1" localSheetId="5" name="_xlnm._FilterDatabase">'Quantification Sheet'!$A$1:$B$23</definedName>
  </definedNames>
  <calcPr/>
  <extLst>
    <ext uri="GoogleSheetsCustomDataVersion2">
      <go:sheetsCustomData xmlns:go="http://customooxmlschemas.google.com/" r:id="rId30" roundtripDataChecksum="kWbru9sWGEArYN+aWsDpHr5ZpJ/K3bNh80K3lFw8vk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0">
      <text>
        <t xml:space="preserve">======
ID#AAAB4K3-qVw
Anonymous    (2026-04-09 08:48:14)
L4</t>
      </text>
    </comment>
    <comment authorId="0" ref="F58">
      <text>
        <t xml:space="preserve">======
ID#AAAB4K3-qVs
Anonymous    (2026-04-09 08:47:55)
L4</t>
      </text>
    </comment>
    <comment authorId="0" ref="F52">
      <text>
        <t xml:space="preserve">======
ID#AAAB4K3-qVo
Anonymous    (2026-04-09 08:47:46)
L4</t>
      </text>
    </comment>
    <comment authorId="0" ref="F91">
      <text>
        <t xml:space="preserve">======
ID#AAAB4K3-qVk
Anonymous    (2026-04-09 08:46:53)
L3/L4</t>
      </text>
    </comment>
    <comment authorId="0" ref="F36">
      <text>
        <t xml:space="preserve">======
ID#AAAB4K3-qVg
Anonymous    (2026-04-09 08:46:33)
L3/L4</t>
      </text>
    </comment>
    <comment authorId="0" ref="F34">
      <text>
        <t xml:space="preserve">======
ID#AAAB4K3-qVc
Anonymous    (2026-04-09 08:46:24)
L3/L4</t>
      </text>
    </comment>
    <comment authorId="0" ref="F205">
      <text>
        <t xml:space="preserve">======
ID#AAAB45KTWIQ
Anonymous    (2026-04-08 11:37:51)
L3/L4</t>
      </text>
    </comment>
    <comment authorId="0" ref="I112">
      <text>
        <t xml:space="preserve">======
ID#AAAB1LoY74U
Anonymous    (2026-02-27 11:58:03)
(proof-of-concept)</t>
      </text>
    </comment>
    <comment authorId="0" ref="J181">
      <text>
        <t xml:space="preserve">======
ID#AAAB0cL3pIY
Anonymous    (2026-02-16 10:44:44)
Experts evaluate the results also</t>
      </text>
    </comment>
    <comment authorId="0" ref="G171">
      <text>
        <t xml:space="preserve">======
ID#AAAB0bY8m04
Anonymous    (2026-02-16 09:36:38)
dataset (NASA C-MAPSS from simulation)</t>
      </text>
    </comment>
    <comment authorId="0" ref="G127">
      <text>
        <t xml:space="preserve">======
ID#AAAB0a8r2bQ
Anonymous    (2026-02-15 12:54:29)
Extended benchmark</t>
      </text>
    </comment>
    <comment authorId="0" ref="J102">
      <text>
        <t xml:space="preserve">======
ID#AAAB0a4DuD0
Anonymous    (2026-02-15 10:34:49)
Industrial data from how the manufacturing env is, not data points.</t>
      </text>
    </comment>
    <comment authorId="0" ref="G90">
      <text>
        <t xml:space="preserve">======
ID#AAAB0P3yKQk
Anonymous    (2026-02-13 08:43:59)
Uses Kacem dataset, but cannot see if its a benchmark</t>
      </text>
    </comment>
    <comment authorId="0" ref="O1">
      <text>
        <t xml:space="preserve">======
ID#AAAB0MuEE_E
Anonymous    (2026-02-12 13:13:19)
None = General Manufacturing</t>
      </text>
    </comment>
    <comment authorId="0" ref="G82">
      <text>
        <t xml:space="preserve">======
ID#AAAB0MbFVjE
Anonymous    (2026-02-12 08:47:01)
P3: When i looked at the paper i found that the paper did not use a simulation. and the case study they referee to is not industrial but from a lab.</t>
      </text>
    </comment>
    <comment authorId="0" ref="G75">
      <text>
        <t xml:space="preserve">======
ID#AAAB0MbFVi4
Anonymous    (2026-02-12 07:40:20)
P3: "Hybrid - Simulation + Physical setup" Im not sure what physical setup means here, is this a lab or?</t>
      </text>
    </comment>
    <comment authorId="0" ref="J1">
      <text>
        <t xml:space="preserve">======
ID#AAAB0A--61g
Anonymous    (2026-02-09 12:04:33)
"-": Missing information
------
ID#AAAB0NtDDu8
Anonymous    (2026-02-12 14:22:47)
https://github.com/bulentsoykan/Dataset-benchmark-job-shop-scheduling-problem
------
ID#AAAB0iVVux8
Anonymous    (2026-02-19 10:23:04)
Industrial data both covers sensor/measurement data and layout/environment information from actual production.
------
ID#AAAB0iVVuyA
Anonymous    (2026-02-19 10:25:06)
Some papers extends/constructs based on benchmarks, this counts as using benchmark.</t>
      </text>
    </comment>
    <comment authorId="0" ref="G27">
      <text>
        <t xml:space="preserve">======
ID#AAAB0A--6z0
Anonymous    (2026-02-09 11:26:56)
P1: Guess this was scenarios?</t>
      </text>
    </comment>
    <comment authorId="0" ref="K35">
      <text>
        <t xml:space="preserve">======
ID#AAAB0A--6y4
Filip Dzigurski    (2026-02-09 10:07:42)
P1: check if you have an idea here</t>
      </text>
    </comment>
    <comment authorId="0" ref="L21">
      <text>
        <t xml:space="preserve">======
ID#AAAB0A--6yw
Filip Dzigurski    (2026-02-09 09:59:11)
P1: not mentioned metaheuristics method</t>
      </text>
    </comment>
    <comment authorId="0" ref="L17">
      <text>
        <t xml:space="preserve">======
ID#AAAB0A--6ys
Filip Dzigurski    (2026-02-09 09:57:07)
P1 check</t>
      </text>
    </comment>
    <comment authorId="0" ref="L16">
      <text>
        <t xml:space="preserve">======
ID#AAAB0A--6yo
Filip Dzigurski    (2026-02-09 09:56:24)
P1: what does this stand for?</t>
      </text>
    </comment>
    <comment authorId="0" ref="L8">
      <text>
        <t xml:space="preserve">======
ID#AAAB0A--6yk
Filip Dzigurski    (2026-02-09 09:49:28)
P1: is ADP Automatic Data Processing?
------
ID#AAAB0A--6zw
SAMRA YOUSAF    (2026-02-09 11:20:27)
approximate dynamic programming i guess</t>
      </text>
    </comment>
  </commentList>
  <extLst>
    <ext uri="GoogleSheetsCustomDataVersion2">
      <go:sheetsCustomData xmlns:go="http://customooxmlschemas.google.com/" r:id="rId1" roundtripDataSignature="AMtx7mgQ+IvPHcJs0ifnJ/vfB4d1Eyt1G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1">
      <text>
        <t xml:space="preserve">======
ID#AAABxkb7BAs
Jannik Fibiger    (2025-12-16 14:11:07)
Supply Chain</t>
      </text>
    </comment>
    <comment authorId="0" ref="I30">
      <text>
        <t xml:space="preserve">======
ID#AAABxkb7BAo
Jannik Fibiger    (2025-12-16 14:10:53)
Enterprise ig</t>
      </text>
    </comment>
    <comment authorId="0" ref="I28">
      <text>
        <t xml:space="preserve">======
ID#AAABxkb7BAk
Jannik Fibiger    (2025-12-16 14:10:21)
Enterprise</t>
      </text>
    </comment>
  </commentList>
  <extLst>
    <ext uri="GoogleSheetsCustomDataVersion2">
      <go:sheetsCustomData xmlns:go="http://customooxmlschemas.google.com/" r:id="rId1" roundtripDataSignature="AMtx7mjZN7MStFa3qY+Hryk2636hChXTT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0">
      <text>
        <t xml:space="preserve">======
ID#AAAByd3uXyI
Anonymous    (2026-01-12 10:21:56)
I guess this is empty?</t>
      </text>
    </comment>
    <comment authorId="0" ref="I10">
      <text>
        <t xml:space="preserve">======
ID#AAAByXYXB1c
Anonymous    (2026-01-07 10:30:40)
Pls tag the manufacturing level here</t>
      </text>
    </comment>
  </commentList>
  <extLst>
    <ext uri="GoogleSheetsCustomDataVersion2">
      <go:sheetsCustomData xmlns:go="http://customooxmlschemas.google.com/" r:id="rId1" roundtripDataSignature="AMtx7mgnWs0f1aLYRZR9Xv3lFJ6ibIVoiA=="/>
    </ext>
  </extLst>
</comments>
</file>

<file path=xl/sharedStrings.xml><?xml version="1.0" encoding="utf-8"?>
<sst xmlns="http://schemas.openxmlformats.org/spreadsheetml/2006/main" count="14389" uniqueCount="5241">
  <si>
    <t>Januar</t>
  </si>
  <si>
    <t>Februar</t>
  </si>
  <si>
    <t>Marts</t>
  </si>
  <si>
    <t>Task</t>
  </si>
  <si>
    <t>Write findings/topics from reviewed papers</t>
  </si>
  <si>
    <t>FINAL</t>
  </si>
  <si>
    <t>deadline</t>
  </si>
  <si>
    <t>Snowballing</t>
  </si>
  <si>
    <t>Structure</t>
  </si>
  <si>
    <t>Methodology (Lead)</t>
  </si>
  <si>
    <t>Distributed Writing</t>
  </si>
  <si>
    <t>Discussion</t>
  </si>
  <si>
    <t>Conclusion</t>
  </si>
  <si>
    <t>Introduction</t>
  </si>
  <si>
    <t>Refinement / Alignment (Figures, text, tables,...)</t>
  </si>
  <si>
    <t>Professors reviews</t>
  </si>
  <si>
    <t>Polishing</t>
  </si>
  <si>
    <t>Planning &amp; Status Meeting Teams</t>
  </si>
  <si>
    <t>M</t>
  </si>
  <si>
    <t>Legend:</t>
  </si>
  <si>
    <t>P = Planned / Expected</t>
  </si>
  <si>
    <t>D = Delayed</t>
  </si>
  <si>
    <t>Done = Completed</t>
  </si>
  <si>
    <t>X = Extended</t>
  </si>
  <si>
    <t>Group 1</t>
  </si>
  <si>
    <t>What existing decision support methods has had the biggest improvements in manufacturing?</t>
  </si>
  <si>
    <t>Where specifically are these improvements found and measured?</t>
  </si>
  <si>
    <t>In industry 4.0 related technologies, which are most widespread for current decision support improvements in manufacturing?</t>
  </si>
  <si>
    <t xml:space="preserve">Group 2 </t>
  </si>
  <si>
    <t>Which decision problems are addressed by decision support approaches in HMLV manufacturing, and which problem characteristics are reported as challenging? (dynamic environment, random arrivals of jobs, real-time, large-scale/scalability).</t>
  </si>
  <si>
    <t>Which methods and enabling technologies are used for decision support in HMLV manufacturing systems?</t>
  </si>
  <si>
    <t>What decision objectives does decision support in HMLV manufacturing have? (makespan, energy consumption, ...)</t>
  </si>
  <si>
    <t>How are decision support approaches for HMLV manufacturing evaluated, and what limitations are reported regarding their applicability and deployment?</t>
  </si>
  <si>
    <t>Group 3</t>
  </si>
  <si>
    <t>Are there similarities between decision-support tools stemming from different levels of production?</t>
  </si>
  <si>
    <t>What is the most common area/subject tackled in decision-support in HMLV?</t>
  </si>
  <si>
    <t>- Job Shop Scheduling Problem</t>
  </si>
  <si>
    <t>- L2: Factory level</t>
  </si>
  <si>
    <t>Which technologies are seeing the most focus when addressing decisions-support in HMLV?</t>
  </si>
  <si>
    <t>What are the different drivers behind decision-making in each production level?</t>
  </si>
  <si>
    <t>What are the main drivers behind the development of decision-making tools in and across all production levels</t>
  </si>
  <si>
    <t>Potential Categories</t>
  </si>
  <si>
    <t>Production Levels</t>
  </si>
  <si>
    <t xml:space="preserve">Tool: i.e. AI, Methodology, Simulation, </t>
  </si>
  <si>
    <t>Decision objective: Makespan, energy consumption, robustness/resilience</t>
  </si>
  <si>
    <t>L0</t>
  </si>
  <si>
    <t>Machine/Process level - A single machine, workstation and process. Such as an CNC machine.</t>
  </si>
  <si>
    <t>L1</t>
  </si>
  <si>
    <t>Line/Cell level - A group of machines or processes that interact. An example could be a manufacturing cell with two robots and two CNC machines.</t>
  </si>
  <si>
    <t>L2</t>
  </si>
  <si>
    <t>Factory level - An entire factory consisting of multiple lines or cells, or where the paper is concerned with a group of machines.</t>
  </si>
  <si>
    <t>L3/L4</t>
  </si>
  <si>
    <t>Enterprise/Supply chain - Multiple factories/plants or external partners across a supply chain.</t>
  </si>
  <si>
    <t>Claimed contribution vs actual contribution</t>
  </si>
  <si>
    <r>
      <rPr>
        <rFont val="Verdana"/>
        <color theme="1"/>
      </rPr>
      <t xml:space="preserve">What I had in mind was the following:
The claimed contribution is </t>
    </r>
    <r>
      <rPr>
        <rFont val="Verdana"/>
        <b/>
        <color theme="1"/>
      </rPr>
      <t>what the authors of the paper claim their contribution to be</t>
    </r>
    <r>
      <rPr>
        <rFont val="Verdana"/>
        <color theme="1"/>
      </rPr>
      <t xml:space="preserve">. This is often mentioned in the abstract, put in bullets in the end of the introduction,  hopefully address during the discussion, and lastly touch upon in the conclusion. However, authors do unfortunately occasionally over sell their contributions and/or fail to highlight what is the main takeaway from the paper (so it can be ‘bad’ in both directions). Hence, I often note </t>
    </r>
    <r>
      <rPr>
        <rFont val="Verdana"/>
        <b/>
        <color theme="1"/>
      </rPr>
      <t>what I think is the actual contribution of the paper</t>
    </r>
    <r>
      <rPr>
        <rFont val="Verdana"/>
        <color theme="1"/>
      </rPr>
      <t>. Naturally, for a good peer-review paper the claimed contribution and what you think is a contribution should align almost exactly.</t>
    </r>
  </si>
  <si>
    <t>For example, some papers only evaluate their performance in a very limited set of scenarios</t>
  </si>
  <si>
    <t>Or stating three contributions where two of them are roughly the same but rephrased slightly different to get a total of three contributions (which for some reason looks better…. or something..)</t>
  </si>
  <si>
    <t>key_id</t>
  </si>
  <si>
    <t>Title</t>
  </si>
  <si>
    <t>Relevance Score</t>
  </si>
  <si>
    <t>Reasoning</t>
  </si>
  <si>
    <t>Methods</t>
  </si>
  <si>
    <t>Technologies</t>
  </si>
  <si>
    <t>Automated Manufacturing Level</t>
  </si>
  <si>
    <t>Negatives Found</t>
  </si>
  <si>
    <t>Manfufacturing level</t>
  </si>
  <si>
    <t>Reviewer</t>
  </si>
  <si>
    <t>Snowball?</t>
  </si>
  <si>
    <t>Reviewer Suggested</t>
  </si>
  <si>
    <t>Page count</t>
  </si>
  <si>
    <t>L0 Count</t>
  </si>
  <si>
    <t>L1 Count</t>
  </si>
  <si>
    <t>L2 Count</t>
  </si>
  <si>
    <t>L3 Count</t>
  </si>
  <si>
    <t>L4 Count</t>
  </si>
  <si>
    <t>L3/L4 Count</t>
  </si>
  <si>
    <t>L0/L1/L2/L3/L4</t>
  </si>
  <si>
    <t>Count All</t>
  </si>
  <si>
    <t>Filtered L0 Count</t>
  </si>
  <si>
    <t>Filtered L1 Count</t>
  </si>
  <si>
    <t>Filtered L2 Count</t>
  </si>
  <si>
    <t>Filtered L3 Count</t>
  </si>
  <si>
    <t>Filtered L4 Count</t>
  </si>
  <si>
    <t>Filtered L3/L4 Count</t>
  </si>
  <si>
    <t>Filtered L0/L1/L2/L3/L4 Count</t>
  </si>
  <si>
    <t>All filtered count</t>
  </si>
  <si>
    <t>2024_unleashing_mixed-reality_capability_in_deep_reinforcement_learning-based_robot_motion_generation_towards_safe_human–robot_collaboration</t>
  </si>
  <si>
    <t>Unleashing mixed-reality capability in Deep Reinforcement Learning-based robot motion generation towards safe human–robot collaboration</t>
  </si>
  <si>
    <t>++</t>
  </si>
  <si>
    <t>Core tech (19) + manufacturing (6) + strong decision or scheduling/simulation/robotics signal</t>
  </si>
  <si>
    <t>reinforcement learning, simulation</t>
  </si>
  <si>
    <t>deep learning, human-robot collaboration, reinforcement learning, robot</t>
  </si>
  <si>
    <t>Unclassified</t>
  </si>
  <si>
    <t>P5</t>
  </si>
  <si>
    <t>2024_rtmn_2.0—an_extension_of_robot_task_modeling_and_notation_(rtmn)_focused_on_human–robot_collaboration</t>
  </si>
  <si>
    <t>RTMN 2.0—An Extension of Robot Task Modeling and Notation (RTMN) Focused on Human–Robot Collaboration</t>
  </si>
  <si>
    <t>Core tech (17) + manufacturing (4) + strong decision or scheduling/simulation/robotics signal</t>
  </si>
  <si>
    <t>hrc, robot</t>
  </si>
  <si>
    <t>2024_design_and_optimization_of_smt_reflow_soldering_curves_driven_by_digital_twins</t>
  </si>
  <si>
    <t>Design and Optimization of SMT Reflow Soldering Curves Driven by Digital Twins</t>
  </si>
  <si>
    <t>Core tech (4) + manufacturing (2) + strong decision or scheduling/simulation/robotics signal</t>
  </si>
  <si>
    <t>optimization</t>
  </si>
  <si>
    <t>digital twin</t>
  </si>
  <si>
    <t>2023_knowledge-driven_framework_for_industrial_robotic_systems</t>
  </si>
  <si>
    <t>Knowledge-driven framework for industrial robotic systems</t>
  </si>
  <si>
    <t>Core tech (7) + manufacturing (2) + strong decision or scheduling/simulation/robotics signal</t>
  </si>
  <si>
    <t>robot, robotics</t>
  </si>
  <si>
    <t>2022_towards_data-driven_additive_manufacturing_processes</t>
  </si>
  <si>
    <t>Towards data-driven additive manufacturing processes</t>
  </si>
  <si>
    <t>Core tech (3) + manufacturing (6) + strong decision or scheduling/simulation/robotics signal</t>
  </si>
  <si>
    <t>data driven, data-driven</t>
  </si>
  <si>
    <t>2022_applied_reinforcement_learning_for_decision_making_in_industrial_simulation_environments</t>
  </si>
  <si>
    <t>Applied Reinforcement Learning for Decision Making in Industrial Simulation Environments</t>
  </si>
  <si>
    <t>Core tech (6) + manufacturing (1) + strong decision or scheduling/simulation/robotics signal</t>
  </si>
  <si>
    <t>artificial intelligence, machine learning, reinforcement learning</t>
  </si>
  <si>
    <t>Factory</t>
  </si>
  <si>
    <t>2022_toward_a_collaborative_sensor_network_integration_for_smes’_zero-defect_manufacturing</t>
  </si>
  <si>
    <t>Toward a Collaborative Sensor Network Integration for SMEs’ Zero-Defect Manufacturing</t>
  </si>
  <si>
    <t>Core tech (6) + manufacturing (8) + strong decision or scheduling/simulation/robotics signal</t>
  </si>
  <si>
    <t>artificial intelligence, cpps, cyber-physical production systems, iiot, internet of things</t>
  </si>
  <si>
    <t>2021_digital_twin_as_a_tool_to_select_ct_scan_parameters</t>
  </si>
  <si>
    <t>Digital Twin as a Tool to Select CT Scan Parameters</t>
  </si>
  <si>
    <t>Core tech (3) + manufacturing (4) + strong decision or scheduling/simulation/robotics signal</t>
  </si>
  <si>
    <t>2019_an_energy-aware_multiobjective_optimization_framework_to_minimize_total_tardiness_and_energy_cost_on_a_single-machine_nonpreemptive_scheduling</t>
  </si>
  <si>
    <t>An Energy-Aware Multiobjective Optimization Framework to Minimize Total Tardiness and Energy Cost on a Single-Machine Nonpreemptive Scheduling</t>
  </si>
  <si>
    <t>Core tech (3) + manufacturing (7) + strong decision or scheduling/simulation/robotics signal</t>
  </si>
  <si>
    <t>genetic algorithm, optimization</t>
  </si>
  <si>
    <t>internet of things</t>
  </si>
  <si>
    <t>Managerial/business/policy focus</t>
  </si>
  <si>
    <t>2024_balancing_heterogeneous_assembly_line_with_multi-skilled_human-robot_collaboration_via_adaptive_cooperative_co-evolutionary_algorithm</t>
  </si>
  <si>
    <t>Balancing heterogeneous assembly line with multi-skilled human-robot collaboration via Adaptive cooperative co-evolutionary algorithm</t>
  </si>
  <si>
    <t>Core tech (12) + manufacturing (3) + strong decision or scheduling/simulation/robotics signal</t>
  </si>
  <si>
    <t>evolutionary algorithm, metaheuristic, q-learning, reinforcement learning</t>
  </si>
  <si>
    <t>cobots, hrc, human-robot collaboration, reinforcement learning, robot</t>
  </si>
  <si>
    <t>2024_data-driven_simulation-based_decision_support_system_for_resource_allocation_in_industry_4.0_and_smart_manufacturing</t>
  </si>
  <si>
    <t>Data-driven simulation-based decision support system for resource allocation in industry 4.0 and smart manufacturing</t>
  </si>
  <si>
    <t>Core tech (5) + manufacturing (10) + strong decision or scheduling/simulation/robotics signal</t>
  </si>
  <si>
    <t>optimization, simulation</t>
  </si>
  <si>
    <t>artificial intelligence, data-driven</t>
  </si>
  <si>
    <t>2024_deep_reinforcement_learning_with_a_look-ahead_search_for_robotic_cell_scheduling</t>
  </si>
  <si>
    <t>Deep Reinforcement Learning With a Look-Ahead Search for Robotic Cell Scheduling</t>
  </si>
  <si>
    <t>Core tech (9) + manufacturing (7) + strong decision or scheduling/simulation/robotics signal</t>
  </si>
  <si>
    <t>reinforcement learning</t>
  </si>
  <si>
    <t>deep learning, reinforcement learning, robot</t>
  </si>
  <si>
    <t>2024_power_consumption_and_process_cost_prediction_of_customized_products_using_explainable_ai:_a_case_in_the_steel_industry</t>
  </si>
  <si>
    <t>Power Consumption and Process Cost Prediction of Customized Products Using Explainable AI: A Case in the Steel Industry</t>
  </si>
  <si>
    <t>forecasting, random forest</t>
  </si>
  <si>
    <t>artificial intelligence, data driven, data-driven, machine learning</t>
  </si>
  <si>
    <t>2023_versatile_information_provisioning_in_a_configure-to-order_production_environment;_a_case_study</t>
  </si>
  <si>
    <t>Versatile information provisioning in a configure-to-order production environment; a case study</t>
  </si>
  <si>
    <t>Core tech (4) + manufacturing (1) + strong decision or scheduling/simulation/robotics signal</t>
  </si>
  <si>
    <t>digital twin, iot, robot</t>
  </si>
  <si>
    <t>2023_implementation_scheme_and_research_of_iot_electronic_"intelligent_manufacturing"_based_on_mes_system</t>
  </si>
  <si>
    <t>Implementation Scheme and Research of IoT Electronic "intelligent Manufacturing" Based on MES System</t>
  </si>
  <si>
    <t>Core tech (5) + manufacturing (21) + strong decision or scheduling/simulation/robotics signal</t>
  </si>
  <si>
    <t>internet of things, iot</t>
  </si>
  <si>
    <t>2022_production_task_allocation_decision_based_on_cloud_robot_cell-line</t>
  </si>
  <si>
    <t>Production Task Allocation Decision Based on Cloud Robot Cell-Line</t>
  </si>
  <si>
    <t>Core tech (8) + manufacturing (11) + strong decision or scheduling/simulation/robotics signal</t>
  </si>
  <si>
    <t>internet of things, robot, robotics</t>
  </si>
  <si>
    <t>2021_monte_carlo_tree_search_for_online_decision_making_in_smart_industrial_production</t>
  </si>
  <si>
    <t>Monte Carlo Tree Search for online decision making in smart industrial production</t>
  </si>
  <si>
    <t>simulation</t>
  </si>
  <si>
    <t>hrc, human-robot collaboration</t>
  </si>
  <si>
    <t>2020_computer_vision-enabled_hcps_assembly_workstations_swarm_for_enhancing_responsiveness_in_mass_customization</t>
  </si>
  <si>
    <t>Computer Vision-enabled HCPS Assembly Workstations Swarm for Enhancing Responsiveness in Mass Customization</t>
  </si>
  <si>
    <t>Core tech (4) + manufacturing (4) + strong decision or scheduling/simulation/robotics signal</t>
  </si>
  <si>
    <t>cyber-physical system, robot, robotics</t>
  </si>
  <si>
    <t>2019_multiagent_using_solving_the_job_scheduling_problem_in_the_industry_4.0</t>
  </si>
  <si>
    <t>Multiagent using solving the job scheduling problem in the industry 4.0</t>
  </si>
  <si>
    <t>Core tech (5) + manufacturing (3) + strong decision or scheduling/simulation/robotics signal</t>
  </si>
  <si>
    <t>cps, internet of things, iot</t>
  </si>
  <si>
    <t>2018_mobile_robot_scheduling_for_cycle_time_optimization_in_flow-shop_cells,_a_case_study</t>
  </si>
  <si>
    <t>Mobile robot scheduling for cycle time optimization in flow-shop cells, a case study</t>
  </si>
  <si>
    <t>Core tech (11) + manufacturing (7) + strong decision or scheduling/simulation/robotics signal</t>
  </si>
  <si>
    <t>metaheuristic, optimization</t>
  </si>
  <si>
    <t>robot</t>
  </si>
  <si>
    <t>2024_transitioning_trends_into_action:_a_simulation-based_digital_twin_architecture_for_enhanced_strategic_and_operational_decision-making</t>
  </si>
  <si>
    <t>Transitioning trends into action: A simulation-based Digital Twin architecture for enhanced strategic and operational decision-making</t>
  </si>
  <si>
    <t>Core tech (5) + manufacturing (7) + strong decision or scheduling/simulation/robotics signal</t>
  </si>
  <si>
    <t>artificial intelligence, digital twin, robotics</t>
  </si>
  <si>
    <t>P2</t>
  </si>
  <si>
    <t>2024_learning-enabled_flexible_job-shop_scheduling_for_scalable_smart_manufacturing</t>
  </si>
  <si>
    <t>Learning-enabled flexible job-shop scheduling for scalable smart manufacturing</t>
  </si>
  <si>
    <t>agvs, reinforcement learning</t>
  </si>
  <si>
    <t>2024_a_deep_reinforcement_learning_based_approach_for_dynamic_job_shop_scheduling_considering_variable_processing_time</t>
  </si>
  <si>
    <t>A deep reinforcement learning based approach for dynamic job shop scheduling considering variable processing time</t>
  </si>
  <si>
    <t>Core tech (6) + manufacturing (10) + strong decision or scheduling/simulation/robotics signal</t>
  </si>
  <si>
    <t>genetic algorithm, markov decision process, reinforcement learning</t>
  </si>
  <si>
    <t>deep learning, reinforcement learning</t>
  </si>
  <si>
    <t>2024_a_machine_learning-based_simulation_metamodeling_method_for_dynamic_scheduling_in_smart_manufacturing_systems</t>
  </si>
  <si>
    <t>A machine learning-based simulation metamodeling method for dynamic scheduling in smart manufacturing systems</t>
  </si>
  <si>
    <t>Core tech (4) + manufacturing (12) + strong decision or scheduling/simulation/robotics signal</t>
  </si>
  <si>
    <t>boosting, simulation</t>
  </si>
  <si>
    <t>digital twin, machine learning</t>
  </si>
  <si>
    <t>2024_two-stage_double_deep_q-network_algorithm_considering_external_non-dominant_set_for_multi-objective_dynamic_flexible_job_shop_scheduling_problems</t>
  </si>
  <si>
    <t>Two-stage double deep Q-network algorithm considering external non-dominant set for multi-objective dynamic flexible job shop scheduling problems</t>
  </si>
  <si>
    <t>Core tech (6) + manufacturing (9) + strong decision or scheduling/simulation/robotics signal</t>
  </si>
  <si>
    <t>deep q-network, optimization, reinforcement learning</t>
  </si>
  <si>
    <t>2024_optimizing_industrial_maintenance_scheduling_through_deep_reinforcement_learning_and_simulation_integration</t>
  </si>
  <si>
    <t>Optimizing Industrial Maintenance Scheduling Through Deep Reinforcement Learning and Simulation Integration</t>
  </si>
  <si>
    <t>Core tech (4) + manufacturing (6) + strong decision or scheduling/simulation/robotics signal</t>
  </si>
  <si>
    <t>2024_a_recurrent_reinforcement_learning_strategy_for_optimal_scheduling_of_partially_observable_job-shop_and_flow-shop_batch_chemical_plants_under_uncertainty</t>
  </si>
  <si>
    <t>A recurrent reinforcement learning strategy for optimal scheduling of partially observable job-shop and flow-shop batch chemical plants under uncertainty</t>
  </si>
  <si>
    <t>q-learning, reinforcement learning</t>
  </si>
  <si>
    <t>2024_machine_learning_prediction_model_for_dynamic_scheduling_of_hybrid_flow-shop_based_on_metaheuristic</t>
  </si>
  <si>
    <t>Machine Learning prediction model for Dynamic Scheduling of Hybrid Flow-Shop based on Metaheuristic</t>
  </si>
  <si>
    <t>Core tech (2) + manufacturing (7) + strong decision or scheduling/simulation/robotics signal</t>
  </si>
  <si>
    <t>genetic algorithm, metaheuristic, optimization</t>
  </si>
  <si>
    <t>machine learning</t>
  </si>
  <si>
    <t>2024_rainbow_versus_deep_q-network:_a_reinforcement_learning_comparison_on_the_flexible_job-shop_problem</t>
  </si>
  <si>
    <t>Rainbow Versus Deep Q-Network: A Reinforcement Learning Comparison on the Flexible Job-Shop Problem</t>
  </si>
  <si>
    <t>deep q-network, dqn, optimization, reinforcement learning</t>
  </si>
  <si>
    <t>2024_"smart"_lead_time_prediction_in_smes_environments:_a_theoretical_framework_proposal</t>
  </si>
  <si>
    <t>"smart" Lead Time Prediction in SMEs environments: A theoretical framework proposal</t>
  </si>
  <si>
    <t>Core tech (2) + manufacturing (6) + strong decision or scheduling/simulation/robotics signal</t>
  </si>
  <si>
    <t>forecasting</t>
  </si>
  <si>
    <t>analytics</t>
  </si>
  <si>
    <t>2024_solving_flexible_job-shop_scheduling_problem_with_heterogeneous_graph_neural_network_based_on_relation_and_deep_reinforcement_learning</t>
  </si>
  <si>
    <t>Solving Flexible Job-Shop Scheduling Problem with Heterogeneous Graph Neural Network Based on Relation and Deep Reinforcement Learning</t>
  </si>
  <si>
    <t>attention mechanism, feature extraction, graph neural network, optimization, ppo, reinforcement learning</t>
  </si>
  <si>
    <t>neural network, reinforcement learning</t>
  </si>
  <si>
    <t>2024_the_use_of_reinforcement_learning_for_material_flow_control:_an_assessment_by_simulation</t>
  </si>
  <si>
    <t>The use of reinforcement learning for material flow control: An assessment by simulation</t>
  </si>
  <si>
    <t>Core tech (5) + manufacturing (8) + strong decision or scheduling/simulation/robotics signal</t>
  </si>
  <si>
    <t>2024_smart_scheduling_of_dynamic_job_shop_based_on_discrete_event_simulation_and_deep_reinforcement_learning</t>
  </si>
  <si>
    <t>Smart scheduling of dynamic job shop based on discrete event simulation and deep reinforcement learning</t>
  </si>
  <si>
    <t>Core tech (6) + manufacturing (7) + strong decision or scheduling/simulation/robotics signal</t>
  </si>
  <si>
    <t>optimization, ppo, reinforcement learning, simulation</t>
  </si>
  <si>
    <t>2024_fast_pareto_set_approximation_for_multi-objective_flexible_job_shop_scheduling_via_parallel_preference-conditioned_graph_reinforcement_learning</t>
  </si>
  <si>
    <t>Fast Pareto set approximation for multi-objective flexible job shop scheduling via parallel preference-conditioned graph reinforcement learning</t>
  </si>
  <si>
    <t>Core tech (7) + manufacturing (7) + strong decision or scheduling/simulation/robotics signal</t>
  </si>
  <si>
    <t>evolutionary algorithm, graph neural network, reinforcement learning</t>
  </si>
  <si>
    <t>deep learning, neural network, reinforcement learning</t>
  </si>
  <si>
    <t>2024_a_double_deep_q-network_framework_for_a_flexible_job_shop_scheduling_problem_with_dynamic_job_arrivals_and_urgent_job_insertions</t>
  </si>
  <si>
    <t>A Double Deep Q-Network framework for a flexible job shop scheduling problem with dynamic job arrivals and urgent job insertions</t>
  </si>
  <si>
    <t>Core tech (3) + manufacturing (10) + strong decision or scheduling/simulation/robotics signal</t>
  </si>
  <si>
    <t>deep q-network, optimization, q-learning, reinforcement learning, simulation</t>
  </si>
  <si>
    <t>2024_introducing_petrirl:_an_innovative_framework_for_jssp_resolution_integrating_petri_nets_and_event-based_reinforcement_learning</t>
  </si>
  <si>
    <t>Introducing PetriRL: An innovative framework for JSSP resolution integrating Petri nets and event-based reinforcement learning</t>
  </si>
  <si>
    <t>2024_multi-agent_reinforcement_learning_for_job_shop_scheduling_in_dynamic_environments</t>
  </si>
  <si>
    <t>Multi-Agent Reinforcement Learning for Job Shop Scheduling in Dynamic Environments</t>
  </si>
  <si>
    <t>Core tech (7) + manufacturing (6) + strong decision or scheduling/simulation/robotics signal</t>
  </si>
  <si>
    <t>graph neural network, multi-agent reinforcement learning, optimization, reinforcement learning</t>
  </si>
  <si>
    <t>machine learning, neural network, reinforcement learning</t>
  </si>
  <si>
    <t>2024_an_end-to-end_deep_reinforcement_learning_method_based_on_graph_neural_network_for_distributed_job-shop_scheduling_problem</t>
  </si>
  <si>
    <t>An end-to-end deep reinforcement learning method based on graph neural network for distributed job-shop scheduling problem</t>
  </si>
  <si>
    <t>Core tech (8) + manufacturing (7) + strong decision or scheduling/simulation/robotics signal</t>
  </si>
  <si>
    <t>feature extraction, gnn, graph neural network, markov decision process, mdp, optimization, ppo, reinforcement learning</t>
  </si>
  <si>
    <t>2024_job_shop_smart_manufacturing_scheduling_by_deep_reinforcement_learning</t>
  </si>
  <si>
    <t>Job shop smart manufacturing scheduling by deep reinforcement learning</t>
  </si>
  <si>
    <t>Core tech (8) + manufacturing (16) + strong decision or scheduling/simulation/robotics signal</t>
  </si>
  <si>
    <t>markov decision process, mdp, ppo, reinforcement learning</t>
  </si>
  <si>
    <t>deep learning, digital twin, reinforcement learning</t>
  </si>
  <si>
    <t>2024_flexible_job_shop_scheduling_via_dual_attention_network-based_reinforcement_learning</t>
  </si>
  <si>
    <t>Flexible Job Shop Scheduling via Dual Attention Network-Based Reinforcement Learning</t>
  </si>
  <si>
    <t>Core tech (6) + manufacturing (5) + strong decision or scheduling/simulation/robotics signal</t>
  </si>
  <si>
    <t>attention mechanism, feature extraction, reinforcement learning</t>
  </si>
  <si>
    <t>2024_artificial_intelligence-based_method_for_forecasting_flowtime_in_job_shops</t>
  </si>
  <si>
    <t>Artificial intelligence-based method for forecasting flowtime in job shops</t>
  </si>
  <si>
    <t>artificial intelligence</t>
  </si>
  <si>
    <t>P7</t>
  </si>
  <si>
    <t>2024_unified_drl_for_enhanced_flexible_job-shop_scheduling_with_transportation_constraints</t>
  </si>
  <si>
    <t>Unified DRL for Enhanced Flexible Job-Shop Scheduling with Transportation Constraints</t>
  </si>
  <si>
    <t>Core tech (6) + manufacturing (4) + strong decision or scheduling/simulation/robotics signal</t>
  </si>
  <si>
    <t>optimization, ppo, reinforcement learning</t>
  </si>
  <si>
    <t>agv, agvs, reinforcement learning</t>
  </si>
  <si>
    <t>2024_production-logistics_collaborative_scheduling_in_dynamic_flexible_job_shops_via_multi-objective_deep_reinforcement_learning</t>
  </si>
  <si>
    <t>Production-Logistics Collaborative Scheduling in Dynamic Flexible Job Shops via Multi-Objective Deep Reinforcement Learning</t>
  </si>
  <si>
    <t>P4</t>
  </si>
  <si>
    <t>2024_a_rule_and_network_dual-driven_dynamic_scheduling_approach_for_complex_flexible_manufacturing_job_shop</t>
  </si>
  <si>
    <t>A Rule and Network Dual-Driven Dynamic Scheduling Approach for Complex Flexible Manufacturing Job Shop</t>
  </si>
  <si>
    <t>Core tech (2) + manufacturing (14) + strong decision or scheduling/simulation/robotics signal</t>
  </si>
  <si>
    <t>neural network</t>
  </si>
  <si>
    <t>2024_deriving_adequate_insights_in_hmlv_manufacturing</t>
  </si>
  <si>
    <t>Deriving adequate insights in HMLV manufacturing</t>
  </si>
  <si>
    <t>Core tech (2) + manufacturing (10) + strong decision or scheduling/simulation/robotics signal</t>
  </si>
  <si>
    <t>2024_research_on_the_application_of_evolutionary_algorithms_enhanced_by_deep_learning_in_intelligent_manufacturing_scheduling</t>
  </si>
  <si>
    <t>Research on the Application of Evolutionary Algorithms Enhanced by Deep Learning in Intelligent Manufacturing Scheduling</t>
  </si>
  <si>
    <t>actor-critic, genetic algorithm, metaheuristic, reinforcement learning</t>
  </si>
  <si>
    <t>deep learning, machine learning, reinforcement learning</t>
  </si>
  <si>
    <t>2024_investigation_of_non-value-added_activities_to_reduce_lead_time_in_the_mass-customized_glass_process_industry</t>
  </si>
  <si>
    <t>INVESTIGATION OF NON-VALUE-ADDED ACTIVITIES TO REDUCE LEAD TIME IN THE MASS-CUSTOMIZED GLASS PROCESS INDUSTRY</t>
  </si>
  <si>
    <t>Core tech (2) + manufacturing (1) + strong decision or scheduling/simulation/robotics signal</t>
  </si>
  <si>
    <t>optimization, reinforcement learning, tabu search</t>
  </si>
  <si>
    <t>2024_digital_twin-based_multi-granularity_synchronisation_for_production-warehousing_under_batch_processing_mode</t>
  </si>
  <si>
    <t>Digital twin-based multi-granularity synchronisation for production-warehousing under batch processing mode</t>
  </si>
  <si>
    <t>Core tech (3) + manufacturing (2) + strong decision or scheduling/simulation/robotics signal</t>
  </si>
  <si>
    <t>2024_deep_reinforcement_learning_based_on_graph_neural_network_for_flexible_job_shop_scheduling_problem_with_lot_streaming</t>
  </si>
  <si>
    <t>Deep Reinforcement Learning Based on Graph Neural Network for Flexible Job Shop Scheduling Problem with Lot Streaming</t>
  </si>
  <si>
    <t>Core tech (9) + manufacturing (4) + strong decision or scheduling/simulation/robotics signal</t>
  </si>
  <si>
    <t>gnn, graph neural network, optimization, ppo, reinforcement learning</t>
  </si>
  <si>
    <t>11 pages</t>
  </si>
  <si>
    <t>2024_a_multi-action_reinforcement_learning_framework_via_pointer_graph_neural_network_for_flexible_job-shop_scheduling_problems_with_resource_transfer</t>
  </si>
  <si>
    <t>A Multi-action Reinforcement Learning Framework via Pointer Graph Neural Network for Flexible Job-Shop Scheduling Problems with Resource Transfer</t>
  </si>
  <si>
    <t>Core tech (6) + manufacturing (2) + strong decision or scheduling/simulation/robotics signal</t>
  </si>
  <si>
    <t>graph neural network, optimization, ppo, reinforcement learning</t>
  </si>
  <si>
    <t>2024_energy_estimation_and_production_scheduling_in_job_shop_using_machine_learning</t>
  </si>
  <si>
    <t>Energy Estimation and Production Scheduling in Job Shop Using Machine Learning</t>
  </si>
  <si>
    <t>Core tech (4) + manufacturing (14) + strong decision or scheduling/simulation/robotics signal</t>
  </si>
  <si>
    <t>genetic algorithm</t>
  </si>
  <si>
    <t>machine learning, neural network</t>
  </si>
  <si>
    <t>2024_reducing_lead_times_in_manufacturing_with_real-time_data_visualizations</t>
  </si>
  <si>
    <t>Reducing Lead Times in Manufacturing with Real-Time Data Visualizations</t>
  </si>
  <si>
    <t>2024_deep_reinforcement_learning_for_dynamic_flexible_job-shop_scheduling_with_automated_guided_vehicles</t>
  </si>
  <si>
    <t>Deep Reinforcement Learning for Dynamic Flexible Job-Shop Scheduling with Automated Guided Vehicles</t>
  </si>
  <si>
    <t>deep q network, markov decision process, mdp, reinforcement learning</t>
  </si>
  <si>
    <t>agv, agvs, deep learning, reinforcement learning</t>
  </si>
  <si>
    <t>2024_expert-guided_deep_reinforcement_learning_for_flexible_job_shop_scheduling_problem</t>
  </si>
  <si>
    <t>Expert-Guided Deep Reinforcement Learning for Flexible Job Shop Scheduling Problem</t>
  </si>
  <si>
    <t>Core tech (11) + manufacturing (4) + strong decision or scheduling/simulation/robotics signal</t>
  </si>
  <si>
    <t>gnn, graph neural network, reinforcement learning</t>
  </si>
  <si>
    <t>2024_challenges_of_industrial_wastewater_treatment:_utilizing_membrane_bioreactors_(mbrs)_in_conjunction_with_artificial_intelligence_(ai)_technology</t>
  </si>
  <si>
    <t>Challenges of industrial wastewater treatment: utilizing Membrane bioreactors (MBRs) in conjunction with artificial intelligence (AI) technology</t>
  </si>
  <si>
    <t>artificial intelligence, neural network</t>
  </si>
  <si>
    <t>2024_a_digital_twin-based_decision_support_system_for_dynamic_labor_planning</t>
  </si>
  <si>
    <t>A Digital Twin-Based Decision Support System for Dynamic Labor Planning</t>
  </si>
  <si>
    <t>artificial intelligence, digital twin</t>
  </si>
  <si>
    <t>2024_designing_distributed_decision-making_authorities_for_smart_factories–understanding_the_role_of_manufacturing_network_architecture</t>
  </si>
  <si>
    <t>Designing distributed decision-making authorities for smart factories–understanding the role of manufacturing network architecture</t>
  </si>
  <si>
    <t>cps</t>
  </si>
  <si>
    <t>2024_large-scale_dynamic_scheduling_for_flexible_job-shop_with_random_arrivals_of_new_jobs_by_hierarchical_reinforcement_learning</t>
  </si>
  <si>
    <t>Large-Scale Dynamic Scheduling for Flexible Job-Shop with Random Arrivals of New Jobs by Hierarchical Reinforcement Learning</t>
  </si>
  <si>
    <t>gnn, graph neural network, markov decision process, mdp, multilayer perceptron, optimization, reinforcement learning</t>
  </si>
  <si>
    <t>2023_dynamic_scheduling_for_flexible_job_shop_with_insufficient_transportation_resources_via_graph_neural_network_and_deep_reinforcement_learning</t>
  </si>
  <si>
    <t>Dynamic scheduling for flexible job shop with insufficient transportation resources via graph neural network and deep reinforcement learning</t>
  </si>
  <si>
    <t>Core tech (14) + manufacturing (7) + strong decision or scheduling/simulation/robotics signal</t>
  </si>
  <si>
    <t>agv, agvs, deep learning, neural network, reinforcement learning</t>
  </si>
  <si>
    <t>2023_a_cooperative_hierarchical_deep_reinforcement_learning_based_multi-agent_method_for_distributed_job_shop_scheduling_problem_with_random_job_arrivals</t>
  </si>
  <si>
    <t>A cooperative hierarchical deep reinforcement learning based multi-agent method for distributed job shop scheduling problem with random job arrivals</t>
  </si>
  <si>
    <t>deep q-network, dqn, mdp, reinforcement learning</t>
  </si>
  <si>
    <t>2023_multi-objective_green_scheduling_of_integrated_flexible_job_shop_and_automated_guided_vehicles</t>
  </si>
  <si>
    <t>Multi-objective green scheduling of integrated flexible job shop and automated guided vehicles</t>
  </si>
  <si>
    <t>agvs</t>
  </si>
  <si>
    <t>2023_a_deep_multi-agent_reinforcement_learning_approach_to_solve_dynamic_job_shop_scheduling_problem</t>
  </si>
  <si>
    <t>A deep multi-agent reinforcement learning approach to solve dynamic job shop scheduling problem</t>
  </si>
  <si>
    <t>Core tech (12) + manufacturing (11) + strong decision or scheduling/simulation/robotics signal</t>
  </si>
  <si>
    <t>deep q-network, multi-agent reinforcement learning, reinforcement learning, simulation</t>
  </si>
  <si>
    <t>data-driven, deep learning, reinforcement learning</t>
  </si>
  <si>
    <t>2023_optimization_experiment_of_production_processes_using_a_dynamic_decision_support_method:_a_solution_to_complex_problems_in_industrial_manufacturing_for_small_and_medium-sized_enterprises</t>
  </si>
  <si>
    <t>Optimization Experiment of Production Processes Using a Dynamic Decision Support Method: A Solution to Complex Problems in Industrial Manufacturing for Small and Medium-Sized Enterprises</t>
  </si>
  <si>
    <t>2023_flexible_job-shop_scheduling_via_graph_neural_network_and_deep_reinforcement_learning</t>
  </si>
  <si>
    <t>Flexible Job-Shop Scheduling via Graph Neural Network and Deep Reinforcement Learning</t>
  </si>
  <si>
    <t>Core tech (8) + manufacturing (2) + strong decision or scheduling/simulation/robotics signal</t>
  </si>
  <si>
    <t>2023_extracting_key_value_streams_using_process_mining_and_machine_learning</t>
  </si>
  <si>
    <t>Extracting Key Value Streams Using Process Mining and Machine Learning</t>
  </si>
  <si>
    <t>data mining</t>
  </si>
  <si>
    <t>P3</t>
  </si>
  <si>
    <t>2023_job_shop_scheduling_problem_using_proximal_policy_optimization</t>
  </si>
  <si>
    <t>Job Shop Scheduling Problem Using Proximal Policy Optimization</t>
  </si>
  <si>
    <t>markov decision process, optimization, ppo, reinforcement learning, simulation</t>
  </si>
  <si>
    <t>2023_deep_learning_enabling_digital_twin_applications_in_production_scheduling:_case_of_flexible_job_shop_manufacturing_environment</t>
  </si>
  <si>
    <t>Deep Learning Enabling Digital Twin Applications in Production Scheduling: Case of Flexible Job Shop Manufacturing Environment</t>
  </si>
  <si>
    <t>Core tech (6) + manufacturing (12) + strong decision or scheduling/simulation/robotics signal</t>
  </si>
  <si>
    <t>data-driven, deep learning, digital twin</t>
  </si>
  <si>
    <t>2023_deep_q_network_method_for_dynamic_job_shop_scheduling_problem</t>
  </si>
  <si>
    <t>Deep Q Network Method for Dynamic Job Shop Scheduling Problem</t>
  </si>
  <si>
    <t>Core tech (7) + manufacturing (8) + strong decision or scheduling/simulation/robotics signal</t>
  </si>
  <si>
    <t>deep q network, dqn, optimization, reinforcement learning</t>
  </si>
  <si>
    <t>2023_learning_to_schedule_(l2s):_adaptive_job_shop_scheduling_using_double_deep_q_network</t>
  </si>
  <si>
    <t>Learning to schedule (L2S): adaptive job shop scheduling using double deep Q network</t>
  </si>
  <si>
    <t>2023_reinforcement_learning-based_dynamic_production-logistics-integrated_tasks_allocation_in_smart_factories</t>
  </si>
  <si>
    <t>Reinforcement learning-based dynamic production-logistics-integrated tasks allocation in smart factories</t>
  </si>
  <si>
    <t>Core tech (5) + manufacturing (6) + strong decision or scheduling/simulation/robotics signal</t>
  </si>
  <si>
    <t>iiot, reinforcement learning</t>
  </si>
  <si>
    <t>2022_dynamic_job_shop_scheduling_based_on_deep_reinforcement_learning_for_multi-agent_manufacturing_systems</t>
  </si>
  <si>
    <t>Dynamic job shop scheduling based on deep reinforcement learning for multi-agent manufacturing systems</t>
  </si>
  <si>
    <t>Core tech (7) + manufacturing (12) + strong decision or scheduling/simulation/robotics signal</t>
  </si>
  <si>
    <t>multi-layer perceptron, optimization, ppo, reinforcement learning</t>
  </si>
  <si>
    <t>artificial intelligence, deep learning, edge computing, reinforcement learning</t>
  </si>
  <si>
    <t>2022_a_multi-dimensional_cognitive_framework_for_cognitive_manufacturing_based_on_oar_model</t>
  </si>
  <si>
    <t>A multi-dimensional cognitive framework for cognitive manufacturing based on OAR model</t>
  </si>
  <si>
    <t>Core tech (9) + manufacturing (18) + strong decision or scheduling/simulation/robotics signal</t>
  </si>
  <si>
    <t>artificial intelligence, digital twin, internet of things</t>
  </si>
  <si>
    <t>2022_dynamic_scheduling_optimization_of_production_workshops_based_on_digital_twin</t>
  </si>
  <si>
    <t>Dynamic Scheduling Optimization of Production Workshops Based on Digital Twin</t>
  </si>
  <si>
    <t>digital twin, neural network</t>
  </si>
  <si>
    <t>2022_real-time_scheduling_for_distributed_permutation_flowshops_with_dynamic_job_arrivals_using_deep_reinforcement_learning</t>
  </si>
  <si>
    <t>Real-time scheduling for distributed permutation flowshops with dynamic job arrivals using deep reinforcement learning</t>
  </si>
  <si>
    <t>Core tech (6) + manufacturing (6) + strong decision or scheduling/simulation/robotics signal</t>
  </si>
  <si>
    <t>actor-critic, deep q-network, dqn, reinforcement learning</t>
  </si>
  <si>
    <t>2022_solving_job_scheduling_problems_in_a_resource_preemption_environment_with_multi-agent_reinforcement_learning</t>
  </si>
  <si>
    <t>Solving job scheduling problems in a resource preemption environment with multi-agent reinforcement learning</t>
  </si>
  <si>
    <t>Core tech (10) + manufacturing (10) + strong decision or scheduling/simulation/robotics signal</t>
  </si>
  <si>
    <t>markov decision process, multi-agent reinforcement learning, reinforcement learning</t>
  </si>
  <si>
    <t>reinforcement learning, robot</t>
  </si>
  <si>
    <t>2022_digital_twin-enabled_dynamic_scheduling_with_preventive_maintenance_using_a_double-layer_q-learning_algorithm</t>
  </si>
  <si>
    <t>Digital twin-enabled dynamic scheduling with preventive maintenance using a double-layer Q-learning algorithm</t>
  </si>
  <si>
    <t>metaheuristic, q-learning, reinforcement learning</t>
  </si>
  <si>
    <t>digital twin, reinforcement learning</t>
  </si>
  <si>
    <t>2022_an_approach_for_joint_scheduling_of_production_and_predictive_maintenance_activities</t>
  </si>
  <si>
    <t>An approach for joint scheduling of production and predictive maintenance activities</t>
  </si>
  <si>
    <t>Core tech (8) + manufacturing (5) + strong decision or scheduling/simulation/robotics signal</t>
  </si>
  <si>
    <t>predictive maintenance</t>
  </si>
  <si>
    <t>2022_improving_delivery_performance_in_high-mix_low-volume_manufacturing_by_model-based_and_data-driven_methods</t>
  </si>
  <si>
    <t>Improving Delivery Performance in High-Mix Low-Volume Manufacturing by Model-Based and Data-Driven Methods</t>
  </si>
  <si>
    <t>Core tech (2) + manufacturing (11) + strong decision or scheduling/simulation/robotics signal</t>
  </si>
  <si>
    <t>model-based, simulation</t>
  </si>
  <si>
    <t>data-driven, machine learning</t>
  </si>
  <si>
    <t>2022_joint_decision-making_of_parallel_machine_scheduling_restricted_in_job-machine_release_time_and_preventive_maintenance_with_remaining_useful_life_constraints</t>
  </si>
  <si>
    <t>Joint decision-making of parallel machine scheduling restricted in job-machine release time and preventive maintenance with remaining useful life constraints</t>
  </si>
  <si>
    <t>Core tech (2) + manufacturing (2) + strong decision or scheduling/simulation/robotics signal</t>
  </si>
  <si>
    <t>gru, optimization, recurrent neural network</t>
  </si>
  <si>
    <t>neural network, predictive maintenance</t>
  </si>
  <si>
    <t>2022_dynamic_scheduling_method_for_job-shop_manufacturing_systems_by_deep_reinforcement_learning_with_proximal_policy_optimization</t>
  </si>
  <si>
    <t>Dynamic Scheduling Method for Job-Shop Manufacturing Systems by Deep Reinforcement Learning with Proximal Policy Optimization</t>
  </si>
  <si>
    <t>Core tech (4) + manufacturing (7) + strong decision or scheduling/simulation/robotics signal</t>
  </si>
  <si>
    <t>2022_the_multiple_uses_of_monte-carlo_tree_search</t>
  </si>
  <si>
    <t>The Multiple Uses of Monte-Carlo Tree Search</t>
  </si>
  <si>
    <t>Core tech (4) + manufacturing (3) + strong decision or scheduling/simulation/robotics signal</t>
  </si>
  <si>
    <t>artificial intelligence, human-robot collaboration</t>
  </si>
  <si>
    <t>2022_real-time_data-driven_dynamic_scheduling_for_flexible_job_shop_with_insufficient_transportation_resources_using_hybrid_deep_q_network</t>
  </si>
  <si>
    <t>Real-time data-driven dynamic scheduling for flexible job shop with insufficient transportation resources using hybrid deep Q network</t>
  </si>
  <si>
    <t>Core tech (4) + manufacturing (9) + strong decision or scheduling/simulation/robotics signal</t>
  </si>
  <si>
    <t>deep q network, markov decision process, optimization, reinforcement learning</t>
  </si>
  <si>
    <t>2022_reinforcement_learning_for_online_optimization_of_job-shop_scheduling_in_a_smart_manufacturing_factory</t>
  </si>
  <si>
    <t>Reinforcement learning for online optimization of job-shop scheduling in a smart manufacturing factory</t>
  </si>
  <si>
    <t>Core tech (4) + manufacturing (10) + strong decision or scheduling/simulation/robotics signal</t>
  </si>
  <si>
    <t>optimization, reinforcement learning</t>
  </si>
  <si>
    <t>artificial intelligence, reinforcement learning</t>
  </si>
  <si>
    <t>2022_improved_q-learning_algorithm_for_solving_permutation_flow_shop_scheduling_problems</t>
  </si>
  <si>
    <t>Improved Q-learning algorithm for solving permutation flow shop scheduling problems</t>
  </si>
  <si>
    <t>Core tech (2) + manufacturing (5) + strong decision or scheduling/simulation/robotics signal</t>
  </si>
  <si>
    <t>model based, optimization, q-learning, reinforcement learning, simulation</t>
  </si>
  <si>
    <t>2022_predictive_maintenance_integrated_production_scheduling_by_applying_deep_generative_prognostics_models:_approach,_formulation_and_solution</t>
  </si>
  <si>
    <t>Predictive maintenance integrated production scheduling by applying deep generative prognostics models: approach, formulation and solution</t>
  </si>
  <si>
    <t>Core tech (5) + manufacturing (5) + strong decision or scheduling/simulation/robotics signal</t>
  </si>
  <si>
    <t>2022_a_conceptual_framework_of_cyber-physical_remanufacturing_system</t>
  </si>
  <si>
    <t>A Conceptual Framework of Cyber-Physical Remanufacturing System</t>
  </si>
  <si>
    <t>Core tech (6) + manufacturing (3) + strong decision or scheduling/simulation/robotics signal</t>
  </si>
  <si>
    <t>cps, cyber physical system, cyber-physical system, digital twin</t>
  </si>
  <si>
    <t>P1</t>
  </si>
  <si>
    <t>2022_demonstration_of_the_feasibility_of_real_time_application_of_machine_learning_to_production_scheduling</t>
  </si>
  <si>
    <t>Demonstration of the Feasibility of Real Time Application of Machine Learning to Production Scheduling</t>
  </si>
  <si>
    <t>gp, optimization, simulation</t>
  </si>
  <si>
    <t>2022_using_a_systems_approach_to_model_a_process_digital_twin</t>
  </si>
  <si>
    <t>Using a systems approach to model a process digital twin</t>
  </si>
  <si>
    <t>2022_predicting_makespan_in_flexible_job_shop_scheduling_problem_using_machine_learning</t>
  </si>
  <si>
    <t>Predicting makespan in Flexible Job Shop Scheduling Problem using Machine Learning</t>
  </si>
  <si>
    <t>decision tree, forecasting</t>
  </si>
  <si>
    <t>artificial intelligence, machine learning</t>
  </si>
  <si>
    <t>2022_a_dynamic_programming-based_heuristic_algorithm_for_a_flexible_job_shop_scheduling_problem_of_a_matrix_system_in_automotive_industry</t>
  </si>
  <si>
    <t>A dynamic programming-based heuristic algorithm for a flexible job shop scheduling problem of a matrix system in automotive industry</t>
  </si>
  <si>
    <t>Core tech (4) + manufacturing (8) + strong decision or scheduling/simulation/robotics signal</t>
  </si>
  <si>
    <t>markov decision process, mdp, simulation</t>
  </si>
  <si>
    <t>amr, autonomous mobile robot</t>
  </si>
  <si>
    <t>2022_deep_reinforcement_learning-based_job_shop_scheduling_of_smart_manufacturing</t>
  </si>
  <si>
    <t>Deep Reinforcement Learning-Based Job Shop Scheduling of Smart Manufacturing</t>
  </si>
  <si>
    <t>actor critic, actor-critic, markov decision process, mdp, reinforcement learning</t>
  </si>
  <si>
    <t>2022_scalability_investigation_of_double_deep_q_learning_for_factory_layout_planning</t>
  </si>
  <si>
    <t>Scalability investigation of Double Deep Q Learning for factory layout planning</t>
  </si>
  <si>
    <t>optimization, q learning, q-learning, reinforcement learning</t>
  </si>
  <si>
    <t>2022_predictive_maintenance_decision_making_based_on_reinforcement_learning_in_multistage_production_systems</t>
  </si>
  <si>
    <t>Predictive Maintenance Decision Making Based on Reinforcement Learning in Multistage Production Systems</t>
  </si>
  <si>
    <t>Core tech (11) + manufacturing (10) + strong decision or scheduling/simulation/robotics signal</t>
  </si>
  <si>
    <t>gp, reinforcement learning, simulation</t>
  </si>
  <si>
    <t>predictive maintenance, reinforcement learning</t>
  </si>
  <si>
    <t>2022_simultaneous_part_input_sequencing_and_robot_scheduling_for_mass_customisation</t>
  </si>
  <si>
    <t>Simultaneous part input sequencing and robot scheduling for mass customisation</t>
  </si>
  <si>
    <t>2021_multi-agent_reinforcement_learning_for_online_scheduling_in_smart_factories</t>
  </si>
  <si>
    <t>Multi-agent reinforcement learning for online scheduling in smart factories</t>
  </si>
  <si>
    <t>Core tech (16) + manufacturing (13) + strong decision or scheduling/simulation/robotics signal</t>
  </si>
  <si>
    <t>multi-agent reinforcement learning, reinforcement learning</t>
  </si>
  <si>
    <t>artificial intelligence, cps, cyber physical system, cyber-physical system, internet of things, iot, reinforcement learning</t>
  </si>
  <si>
    <t>2021_data-driven_dispatching_rules_mining_and_real-time_decision-making_methodology_in_intelligent_manufacturing_shop_floor_with_uncertainty</t>
  </si>
  <si>
    <t>Data-driven dispatching rules mining and real-time decision-making methodology in intelligent manufacturing shop floor with uncertainty</t>
  </si>
  <si>
    <t>metaheuristic</t>
  </si>
  <si>
    <t>2021_smart_digital_twin_for_zdm-based_job-shop_scheduling</t>
  </si>
  <si>
    <t>Smart digital twin for ZDM-based job-shop scheduling</t>
  </si>
  <si>
    <t>Core tech (9) + manufacturing (10) + strong decision or scheduling/simulation/robotics signal</t>
  </si>
  <si>
    <t>optimization, reinforcement learning, simulation</t>
  </si>
  <si>
    <t>artificial intelligence, deep learning, digital twin, internet of things, reinforcement learning</t>
  </si>
  <si>
    <t>2021_evolutionary_game_based_real-time_scheduling_for_energy-efficient_distributed_and_flexible_job_shop</t>
  </si>
  <si>
    <t>Evolutionary game based real-time scheduling for energy-efficient distributed and flexible job shop</t>
  </si>
  <si>
    <t>edge computing, iiot, internet of things</t>
  </si>
  <si>
    <t>2021_artificial-intelligence-driven_customized_manufacturing_factory:_key_technologies,_applications,_and_challenges</t>
  </si>
  <si>
    <t>Artificial-Intelligence-Driven Customized Manufacturing Factory: Key Technologies, Applications, and Challenges</t>
  </si>
  <si>
    <t>Core tech (5) + manufacturing (16) + strong decision or scheduling/simulation/robotics signal</t>
  </si>
  <si>
    <t>artificial intelligence, edge computing, internet of things, machine learning</t>
  </si>
  <si>
    <t>2021_deep_reinforcement_learning_based_actor-critic_framework_for_decision-making_actions_in_production_scheduling</t>
  </si>
  <si>
    <t>Deep Reinforcement Learning based Actor-Critic Framework for Decision-Making Actions in Production Scheduling</t>
  </si>
  <si>
    <t>actor critic, actor-critic, reinforcement learning</t>
  </si>
  <si>
    <t>2021_autonomous_decision-making_method_of_transportation_process_for_flexible_job_shop_scheduling_problem_based_on_reinforcement_learning</t>
  </si>
  <si>
    <t>Autonomous decision-making method of transportation process for flexible job shop scheduling problem based on reinforcement learning</t>
  </si>
  <si>
    <t>deep q-network, dqn, reinforcement learning</t>
  </si>
  <si>
    <t>agv, deep learning, reinforcement learning</t>
  </si>
  <si>
    <t>2021_a_prescriptive_maintenance_system_for_intelligent_production_planning_and_control_in_a_smart_cyber-physical_production_line</t>
  </si>
  <si>
    <t>A prescriptive maintenance system for intelligent production planning and control in a smart cyber-physical production line</t>
  </si>
  <si>
    <t>Core tech (5) + manufacturing (13) + strong decision or scheduling/simulation/robotics signal</t>
  </si>
  <si>
    <t>artificial intelligence, cyber physical system, cyber-physical production systems, digital twin</t>
  </si>
  <si>
    <t>2021_reinforcement_learning_with_composite_rewards_for_production_scheduling_in_a_smart_factory</t>
  </si>
  <si>
    <t>Reinforcement Learning with Composite Rewards for Production Scheduling in a Smart Factory</t>
  </si>
  <si>
    <t>Core tech (7) + manufacturing (21) + strong decision or scheduling/simulation/robotics signal</t>
  </si>
  <si>
    <t>artificial intelligence, data-driven, neural network, reinforcement learning</t>
  </si>
  <si>
    <t>2021_modeling_and_implementation_of_a_digital_twin_of_material_flows_based_on_physics_simulation</t>
  </si>
  <si>
    <t>Modeling and implementation of a digital twin of material flows based on physics simulation</t>
  </si>
  <si>
    <t>cyber physical system, cyber-physical production systems, digital twin</t>
  </si>
  <si>
    <t>2020_simulation_optimization_framework_for_online_deployment_and_adjustment_of_reconfigurable_machines_in_job_shops</t>
  </si>
  <si>
    <t>Simulation optimization framework for online deployment and adjustment of reconfigurable machines in job shops</t>
  </si>
  <si>
    <t>2020_a_middleware_platform_for_intelligent_automation:_an_industrial_prototype_implementation</t>
  </si>
  <si>
    <t>A Middleware Platform for Intelligent Automation: An Industrial Prototype Implementation</t>
  </si>
  <si>
    <t>Core tech (3) + manufacturing (1) + strong decision or scheduling/simulation/robotics signal</t>
  </si>
  <si>
    <t>analytics, artificial intelligence</t>
  </si>
  <si>
    <t>2020_the_spatio-temporal_modeling_and_integration_of_manufacturing_big_data_in_job_shop:_an_ontology-based_approach</t>
  </si>
  <si>
    <t>The Spatio-Temporal Modeling and Integration of Manufacturing Big Data in Job Shop: An Ontology-Based Approach</t>
  </si>
  <si>
    <t>Core tech (4) + manufacturing (13) + strong decision or scheduling/simulation/robotics signal</t>
  </si>
  <si>
    <t>data-driven, internet of things</t>
  </si>
  <si>
    <t>P6</t>
  </si>
  <si>
    <t>2020_research_on_adaptive_job_shop_scheduling_problems_based_on_dueling_double_dqn</t>
  </si>
  <si>
    <t>Research on adaptive job shop scheduling problems based on dueling double DQN</t>
  </si>
  <si>
    <t>Core tech (7) + manufacturing (9) + strong decision or scheduling/simulation/robotics signal</t>
  </si>
  <si>
    <t>cnn, convolutional neural network, deep q-network, dqn, reinforcement learning</t>
  </si>
  <si>
    <t>2020_prescriptive_system_for_reconfigurable_manufacturing_systems_considering_variable_demand_and_production_rates</t>
  </si>
  <si>
    <t>Prescriptive system for reconfigurable manufacturing systems considering variable demand and production rates</t>
  </si>
  <si>
    <t>genetic algorithm, optimization, simulation</t>
  </si>
  <si>
    <t>artificial intelligence, internet of things</t>
  </si>
  <si>
    <t>2020_performance_assessment_methodology_for_ai-supported_decision-making_in_production_management</t>
  </si>
  <si>
    <t>Performance assessment methodology for AI-supported decision-making in production management</t>
  </si>
  <si>
    <t>Core tech (5) + manufacturing (2) + strong decision or scheduling/simulation/robotics signal</t>
  </si>
  <si>
    <t>2020_the_research_of_flexible_scheduling_of_workshop_based_on_artificial_fish_swarm_algorithm_and_knowledge_mining</t>
  </si>
  <si>
    <t>The Research of Flexible Scheduling of Workshop Based on Artificial Fish Swarm Algorithm and Knowledge Mining</t>
  </si>
  <si>
    <t>Core tech (2) + manufacturing (13) + strong decision or scheduling/simulation/robotics signal</t>
  </si>
  <si>
    <t>data mining, decision tree, optimization</t>
  </si>
  <si>
    <t>data-driven</t>
  </si>
  <si>
    <t>2019_an_agent-based_process_mining_architecture_for_emergent_behavior_analysis</t>
  </si>
  <si>
    <t>An agent-based process mining architecture for emergent behavior analysis</t>
  </si>
  <si>
    <t>agvs, internet of things</t>
  </si>
  <si>
    <t>2019_towards_a_data-driven_predictive-reactive_production_scheduling_approach_based_on_inventory_availability</t>
  </si>
  <si>
    <t>Towards a data-driven predictive-reactive production scheduling approach based on inventory availability</t>
  </si>
  <si>
    <t>Core tech (8) + manufacturing (9) + strong decision or scheduling/simulation/robotics signal</t>
  </si>
  <si>
    <t>data driven, data-driven, machine learning</t>
  </si>
  <si>
    <t>2019_formulation_and_solution_for_the_predictive_maintenance_integrated_job_shop_scheduling_problem</t>
  </si>
  <si>
    <t>Formulation and solution for the predictive maintenance integrated job shop scheduling problem</t>
  </si>
  <si>
    <t>2019_a_multi-objective_reinforcement_learning_algorithm_for_jssp</t>
  </si>
  <si>
    <t>A Multi-objective Reinforcement Learning Algorithm for JSSP</t>
  </si>
  <si>
    <t>multi-agent reinforcement learning, optimization, reinforcement learning</t>
  </si>
  <si>
    <t>machine learning, reinforcement learning</t>
  </si>
  <si>
    <t>2019_design,_implementation_and_evaluation_of_reinforcement_learning_for_an_adaptive_order_dispatching_in_job_shop_manufacturing_systems</t>
  </si>
  <si>
    <t>Design, implementation and evaluation of reinforcement learning for an adaptive order dispatching in job shop manufacturing systems</t>
  </si>
  <si>
    <t>2019_data_analytics-based_decision_support_workflow_for_high-mix_low-volume_production_systems</t>
  </si>
  <si>
    <t>Data analytics-based decision support workflow for high-mix low-volume production systems</t>
  </si>
  <si>
    <t>analytics, machine learning</t>
  </si>
  <si>
    <t>2018_a_machine_learning_approach_applied_to_energy_prediction_in_job_shop_environments</t>
  </si>
  <si>
    <t>A machine learning approach applied to energy prediction in job shop environments</t>
  </si>
  <si>
    <t>2018_solving_the_job-shop_scheduling_problem_in_the_industry_4.0_era</t>
  </si>
  <si>
    <t>Solving the Job-Shop Scheduling Problem in the Industry 4.0 Era</t>
  </si>
  <si>
    <t>2018_manufacturing_flow_time_estimation_using_the_model-tree_induction_approach_in_a_dynamic_job_shop_environment</t>
  </si>
  <si>
    <t>Manufacturing flow time estimation using the model-tree induction approach in a dynamic job shop environment</t>
  </si>
  <si>
    <t>data mining, simulation, supervised learning</t>
  </si>
  <si>
    <t>2022_research_on_production_process_control_method_of_discrete_manufacturing_digital_workshop</t>
  </si>
  <si>
    <t>Research on Production Process Control Method of Discrete Manufacturing Digital Workshop</t>
  </si>
  <si>
    <t>Core tech (7) + manufacturing (10) + strong decision or scheduling/simulation/robotics signal</t>
  </si>
  <si>
    <t>artificial intelligence, data driven, data-driven, internet of things</t>
  </si>
  <si>
    <t>2022_deep_reinforcement_learning_multi-agent_system_for_resource_allocation_in_industrial_internet_of_things</t>
  </si>
  <si>
    <t>Deep Reinforcement Learning Multi-Agent System for Resource Allocation in Industrial Internet of Things</t>
  </si>
  <si>
    <t>Core tech (14) + manufacturing (2) + strong decision or scheduling/simulation/robotics signal</t>
  </si>
  <si>
    <t>deep learning, iiot, internet of things, reinforcement learning, robotics</t>
  </si>
  <si>
    <t>2024_a_subgraph-based_hierarchical_q-learning_approach_to_optimal_resource_scheduling_for_complex_industrial_networks</t>
  </si>
  <si>
    <t>A Subgraph-Based Hierarchical Q-Learning Approach to Optimal Resource Scheduling for Complex Industrial Networks</t>
  </si>
  <si>
    <t>L3</t>
  </si>
  <si>
    <t>2024_manufacturing_task_data_chain-driven_production_logistics_trajectory_analysis_and_optimization_decision_making_method</t>
  </si>
  <si>
    <t>Manufacturing task data chain-driven production logistics trajectory analysis and optimization decision making method</t>
  </si>
  <si>
    <t>data driven</t>
  </si>
  <si>
    <t>2024_learning_to_schedule_dynamic_distributed_reconfigurable_workshops_using_expected_deep_q-network</t>
  </si>
  <si>
    <t>Learning to schedule dynamic distributed reconfigurable workshops using expected deep Q-network</t>
  </si>
  <si>
    <t>deep q-network, reinforcement learning</t>
  </si>
  <si>
    <t>2023_addressing_distributional_shifts_in_operations_management:_the_case_of_order_fulfillment_in_customized_production</t>
  </si>
  <si>
    <t>Addressing distributional shifts in operations management: The case of order fulfillment in customized production</t>
  </si>
  <si>
    <t>Core tech (3) + manufacturing (3) + strong decision or scheduling/simulation/robotics signal</t>
  </si>
  <si>
    <t>2023_establishment_of_an_appropriate_data_analytic_platform_for_developing_a_wisdom_manufacturing_system_using_decision_techniques</t>
  </si>
  <si>
    <t>Establishment of an Appropriate Data Analytic Platform for Developing a Wisdom Manufacturing System Using Decision Techniques</t>
  </si>
  <si>
    <t>Core tech (3) + manufacturing (11) + strong decision or scheduling/simulation/robotics signal</t>
  </si>
  <si>
    <t>2020_blockchain-based_reputation_management_for_custom_manufacturing_service_in_the_peer-to-peer_networking_environment</t>
  </si>
  <si>
    <t>Blockchain-based reputation management for custom manufacturing service in the peer-to-peer networking environment</t>
  </si>
  <si>
    <t>iiot, industrial iot, internet of things, iot</t>
  </si>
  <si>
    <t>2023_collaborative_contracting_for_manufacturing-as-a-service_(maas)_by_information_content_measurement_and_decision_tree_learning</t>
  </si>
  <si>
    <t>Collaborative contracting for Manufacturing-as-a-Service (MaaS) by information content measurement and decision tree learning</t>
  </si>
  <si>
    <t>decision tree</t>
  </si>
  <si>
    <t>L4</t>
  </si>
  <si>
    <t>2024_transforming_supply_chain_management_with_aritifical_intellgience,_machine_learning,_deep_learning,_quantum_computing,_and_cloud_computing:_innovation_for_boosting_efficiency_and_reinforcing_resiliecne_in_australian_indsutry_5.0</t>
  </si>
  <si>
    <t>TRANSFORMING SUPPLY CHAIN MANAGEMENT WITH ARITIFICAL INTELLGIENCE, MACHINE LEARNING, DEEP LEARNING, QUANTUM COMPUTING, AND CLOUD COMPUTING: INNOVATION FOR BOOSTING EFFICIENCY AND REINFORCING RESILIECNE IN AUSTRALIAN INDSUTRY 5.0</t>
  </si>
  <si>
    <t>boosting</t>
  </si>
  <si>
    <t>data driven, deep learning, machine learning</t>
  </si>
  <si>
    <t>2024_decision_support_tools_for_product_customisation:_an_in-depth_review</t>
  </si>
  <si>
    <t>Decision support tools for product customisation: an in-depth review</t>
  </si>
  <si>
    <t>2024_enhancing_internal_supply_chain_management_in_manufacturing_through_a_simulation-based_digital_twin_platform</t>
  </si>
  <si>
    <t>Enhancing internal supply chain management in manufacturing through a simulation-based digital twin platform</t>
  </si>
  <si>
    <t>Core tech (5) + manufacturing (9) + strong decision or scheduling/simulation/robotics signal</t>
  </si>
  <si>
    <t>analytics, digital twin</t>
  </si>
  <si>
    <t>2022_the_contribution_of_digital_technology_to_the_forecasting_of_supply_chain_development,_in_it_products,_modeling_and_simulation_of_the_problem</t>
  </si>
  <si>
    <t>The Contribution of Digital Technology to the Forecasting of Supply Chain Development, in IT Products, Modeling and Simulation of the Problem</t>
  </si>
  <si>
    <t>forecasting, simulation</t>
  </si>
  <si>
    <t>2022_a_bilevel_production_planning_using_machine_learning-based_customer_modeling</t>
  </si>
  <si>
    <t>A bilevel production planning using machine learning-based customer modeling</t>
  </si>
  <si>
    <t>Core tech (4) + manufacturing (11) + strong decision or scheduling/simulation/robotics signal</t>
  </si>
  <si>
    <t>2022_digital_twin-driven_performance_optimization_for_hazardous_waste_landfill_systems</t>
  </si>
  <si>
    <t>Digital Twin-Driven Performance Optimization for Hazardous Waste Landfill Systems</t>
  </si>
  <si>
    <t>2021_responding_to_market_turbulence_by_big_data_analytics_and_mass_customization_capability</t>
  </si>
  <si>
    <t>Responding to market turbulence by big data analytics and mass customization capability</t>
  </si>
  <si>
    <t>Core tech (7) + manufacturing (1) + strong decision or scheduling/simulation/robotics signal</t>
  </si>
  <si>
    <t>analytics, data driven, data-driven</t>
  </si>
  <si>
    <t>2020_order_fulfilment_progress_estimation_for_collaborative_manufacturing_enabled_by_industrial_internet_of_things</t>
  </si>
  <si>
    <t>Order fulfilment progress estimation for collaborative manufacturing enabled by industrial internet of things</t>
  </si>
  <si>
    <t>iiot, internet of things</t>
  </si>
  <si>
    <t>2019_a_data-driven_method_for_decision_support_systems_in_mass_production_and_mass_customization</t>
  </si>
  <si>
    <t>A Data-Driven Method for Decision Support Systems in Mass Production and Mass Customization</t>
  </si>
  <si>
    <t>2018_on_the_design_complexity_of_cyberphysical_production_systems</t>
  </si>
  <si>
    <t>On the design complexity of cyberphysical production systems</t>
  </si>
  <si>
    <t>cyberphysical production systems, internet of things</t>
  </si>
  <si>
    <t>x</t>
  </si>
  <si>
    <t>2020_toward_the_fourth_industrial_revolution_on_real-time_customization</t>
  </si>
  <si>
    <t>Toward the Fourth Industrial Revolution on Real-Time Customization</t>
  </si>
  <si>
    <t>Duplicate</t>
  </si>
  <si>
    <t>same</t>
  </si>
  <si>
    <t>2025_uncertainty-aware_power_consumption_prediction_in_customized_stainless-steel_manufacturing:_a_comparative_study_of_hierarchical_bayesian_and_deep_neural_models</t>
  </si>
  <si>
    <t>Uncertainty-aware power consumption prediction in customized stainless-steel manufacturing: A comparative study of hierarchical Bayesian and deep neural models</t>
  </si>
  <si>
    <t>=++</t>
  </si>
  <si>
    <t>Core tech (9) + manufacturing (9) + strong decision or scheduling/simulation/robotics signal</t>
  </si>
  <si>
    <t>cnn, convolutional neural network, forecasting, gradient descent, linear regression, optimization</t>
  </si>
  <si>
    <t>analytics, data-driven, deep learning, neural network</t>
  </si>
  <si>
    <t>None</t>
  </si>
  <si>
    <t>2025_mamhsan:_a_multi-agent_deep_reinforcement_learning_framework_based_on_multi-head_self-attention_network_with_heterogeneous_graph_embedding_for_flexible_job_shop_scheduling</t>
  </si>
  <si>
    <t>MAMHSAN: A multi-agent deep reinforcement learning framework based on multi-head self-attention network with heterogeneous graph embedding for flexible job shop scheduling</t>
  </si>
  <si>
    <t>Core tech (9) + manufacturing (8) + strong decision or scheduling/simulation/robotics signal</t>
  </si>
  <si>
    <t>feature extraction, markov decision process, mdp, multi-agent reinforcement learning, optimization, ppo, reinforcement learning</t>
  </si>
  <si>
    <t>2025_material_delivery_optimization_for_make-to-order_reconfigurable_job_shops_using_an_improved_chaotic_multi-verse_algorithm</t>
  </si>
  <si>
    <t>Material delivery optimization for make-to-order reconfigurable job shops using an improved chaotic multi-verse algorithm</t>
  </si>
  <si>
    <t>agv, agvs</t>
  </si>
  <si>
    <t>2025_graph-based_deep_reinforcement_learning_for_dynamic_scheduling_of_flexible_job-shop_considering_worker_fatigue_and_multi-skill_factors</t>
  </si>
  <si>
    <t>Graph-based deep reinforcement learning for dynamic scheduling of flexible job-shop considering worker fatigue and multi-skill factors</t>
  </si>
  <si>
    <t>Core tech (5) + manufacturing (1) + strong decision or scheduling/simulation/robotics signal</t>
  </si>
  <si>
    <t>feature extraction, graph neural network, markov decision process, mdp, optimization, ppo, reinforcement learning</t>
  </si>
  <si>
    <t>2025_knowledge-_and_data-driven_hybrid_method_for_lot_streaming_scheduling_in_hybrid_flowshop_with_dynamic_order_arrivals</t>
  </si>
  <si>
    <t>Knowledge- and data-driven hybrid method for lot streaming scheduling in hybrid flowshop with dynamic order arrivals</t>
  </si>
  <si>
    <t>data driven, data-driven, reinforcement learning</t>
  </si>
  <si>
    <t>2025_probing_an_autonomous_decision-making_production_mechanism_of_the_digital_twin_shop-floor_based_on_the_industrial_large_model</t>
  </si>
  <si>
    <t>Probing an Autonomous Decision-making Production Mechanism of the Digital Twin Shop-floor based on the Industrial Large Model</t>
  </si>
  <si>
    <t>Core tech (11) + manufacturing (2) + strong decision or scheduling/simulation/robotics signal</t>
  </si>
  <si>
    <t>deep q-network, gnn, online learning, reinforcement learning, simulation</t>
  </si>
  <si>
    <t>digital twin, neural network, reinforcement learning</t>
  </si>
  <si>
    <t>2025_evolutionary_experience-guided_deep_reinforcement_learning_for_job_shop_scheduling_with_agv_transportation_constraints_in_flexible_manufacturing_system</t>
  </si>
  <si>
    <t>Evolutionary experience-guided deep reinforcement learning for job shop scheduling with AGV transportation constraints in flexible manufacturing system</t>
  </si>
  <si>
    <t>feature extraction, genetic algorithm, optimization, reinforcement learning, representation learning, transformer</t>
  </si>
  <si>
    <t>2025_graph_neural_network_and_expert-guided_deep_reinforcement_learning_for_solving_flexible_job-shop_scheduling_problem</t>
  </si>
  <si>
    <t>Graph neural network and expert-guided deep reinforcement learning for solving flexible job-shop scheduling problem</t>
  </si>
  <si>
    <t>Core tech (13) + manufacturing (1) + strong decision or scheduling/simulation/robotics signal</t>
  </si>
  <si>
    <t>feature extraction, gnn, graph neural network, reinforcement learning</t>
  </si>
  <si>
    <t>2025_deep_reinforcement_learning_based_proximal_policy_optimization_algorithm_for_dynamic_job_shop_scheduling</t>
  </si>
  <si>
    <t>Deep reinforcement learning based proximal policy optimization algorithm for dynamic job shop scheduling</t>
  </si>
  <si>
    <t>2025_dynamic_scheduling_for_dual-resource_constrained_flexible_job-shop_via_semantic-aware_graph_modelling_and_deep_reinforcement_learning</t>
  </si>
  <si>
    <t>Dynamic scheduling for dual-resource constrained flexible job-shop via semantic-aware graph modelling and deep reinforcement learning</t>
  </si>
  <si>
    <t>ppo, reinforcement learning</t>
  </si>
  <si>
    <t>2025_a_flexible_job_shop_scheduling_method_based_on_heterogeneous_disjunctive_graph_and_deep_reinforcement_learning</t>
  </si>
  <si>
    <t>A flexible job shop scheduling method based on heterogeneous disjunctive graph and deep reinforcement learning</t>
  </si>
  <si>
    <t>Core tech (9) + manufacturing (6) + strong decision or scheduling/simulation/robotics signal</t>
  </si>
  <si>
    <t>feature extraction, model based, optimization, ppo, reinforcement learning</t>
  </si>
  <si>
    <t>agv, agvs, machine learning, reinforcement learning</t>
  </si>
  <si>
    <t>2025_demand-driven_hierarchical_integrated_planning-scheduling_control_for_a_mobile_robot-operated_flexible_smart_manufacturing_system</t>
  </si>
  <si>
    <t>Demand-driven hierarchical integrated planning-scheduling control for a mobile robot-operated flexible smart manufacturing system</t>
  </si>
  <si>
    <t>markov decision process, marl, mdp, multi-agent reinforcement learning, policy gradient</t>
  </si>
  <si>
    <t>2025_toward_the_theoretical_foundations_of_industry_6.0:_a_framework_for_ai-driven_decentralized_manufacturing_control</t>
  </si>
  <si>
    <t>Toward the Theoretical Foundations of Industry 6.0: A Framework for AI-Driven Decentralized Manufacturing Control</t>
  </si>
  <si>
    <t>artificial intelligence, cyber physical system, internet of things</t>
  </si>
  <si>
    <t>2025_optimizing_markov_decision_process_state_design_for_deep_reinforcement_learning_manufacturing_scheduling_using_bayesian_optimization</t>
  </si>
  <si>
    <t>Optimizing Markov decision process state design for deep reinforcement learning manufacturing scheduling using Bayesian optimization</t>
  </si>
  <si>
    <t>bayesian optimization, markov decision process, optimization, reinforcement learning, supervised learning</t>
  </si>
  <si>
    <t>2025_inventory_routing_problem_of_automotive_parts_considering_time-varying_demands:_a_machine_learning_enhanced_branch-and-price_approach</t>
  </si>
  <si>
    <t>Inventory routing problem of automotive parts considering time-varying demands: A machine learning enhanced branch-and-price approach</t>
  </si>
  <si>
    <t>2025_a_matheuristic_method_for_the_automated_guided_vehicle_scheduling_problem_with_flexible_charging_and_job_release</t>
  </si>
  <si>
    <t>A matheuristic method for the automated guided vehicle scheduling problem with flexible charging and job release</t>
  </si>
  <si>
    <t>2025_deep_reinforcement_learning_for_data-driven_scheduling_in_multi-variety_and_small-batch_flexible_job_shops:_integrating_fluid_models_for_enhanced_optimization</t>
  </si>
  <si>
    <t>Deep reinforcement learning for data-driven scheduling in multi-variety and small-batch flexible job shops: Integrating fluid models for enhanced optimization</t>
  </si>
  <si>
    <t>data driven, data-driven, deep learning, internet of things, iot, reinforcement learning</t>
  </si>
  <si>
    <t>2025_optimization_scheduling_of_dynamic_industrial_systems_based_on_reinforcement_learning</t>
  </si>
  <si>
    <t>Optimization Scheduling of Dynamic Industrial Systems Based on Reinforcement Learning</t>
  </si>
  <si>
    <t>feature engineering, feature extraction, optimization, policy gradient, reinforcement learning</t>
  </si>
  <si>
    <t>2025_cognitive_digital_twin_for_multiobjective_production_scheduling</t>
  </si>
  <si>
    <t>Cognitive Digital Twin for Multiobjective Production Scheduling</t>
  </si>
  <si>
    <t>Core tech (7) + manufacturing (15) + strong decision or scheduling/simulation/robotics signal</t>
  </si>
  <si>
    <t>2025_flexible_job_shop_scheduling_based_on_learnable_graph_convolutional_attention_networks_and_reinforcement_learning</t>
  </si>
  <si>
    <t>Flexible job shop scheduling based on learnable graph convolutional attention networks and reinforcement learning</t>
  </si>
  <si>
    <t>feature extraction, reinforcement learning</t>
  </si>
  <si>
    <t>2025_multi-agent_cooperative_multi-network_group_framework_for_energy-efficient_distributed_fuzzy_flexible_job_shop_scheduling_problem</t>
  </si>
  <si>
    <t>Multi-agent cooperative multi-network group framework for energy-efficient distributed fuzzy flexible job shop scheduling problem</t>
  </si>
  <si>
    <t>dqn, markov decision process, multi-agent reinforcement learning</t>
  </si>
  <si>
    <t>iiot, internet of things, reinforcement learning</t>
  </si>
  <si>
    <t>2025_deep_reinforcement_learning_approach_for_a_dynamic_flexible_job_shop_problem_with_sequence_dependent_setup_times</t>
  </si>
  <si>
    <t>Deep reinforcement learning approach for a dynamic flexible job shop problem with sequence dependent setup times</t>
  </si>
  <si>
    <t>actor-critic, deep q-network, markov decision process, optimization, reinforcement learning</t>
  </si>
  <si>
    <t>2025_integrated_heterogeneous_graph_and_reinforcement_learning_enabled_efficient_scheduling_for_surface_mount_technology_workshop</t>
  </si>
  <si>
    <t>Integrated heterogeneous graph and reinforcement learning enabled efficient scheduling for surface mount technology workshop</t>
  </si>
  <si>
    <t>federated learning, graph neural network, reinforcement learning</t>
  </si>
  <si>
    <t>2025_research_on_a_multi-agent_job_shop_scheduling_method_based_on_improved_game_evolution</t>
  </si>
  <si>
    <t>Research on a Multi-Agent Job Shop Scheduling Method Based on Improved Game Evolution</t>
  </si>
  <si>
    <t>genetic algorithm, optimization, particle swarm optimization, pso</t>
  </si>
  <si>
    <t>agv</t>
  </si>
  <si>
    <t>2025_generating_textual_explanations_for_scheduling_systems_leveraging_the_reasoning_capabilities_of_large_language_models</t>
  </si>
  <si>
    <t>Generating textual explanations for scheduling systems leveraging the reasoning capabilities of large language models</t>
  </si>
  <si>
    <t>few-shot learning, gpt</t>
  </si>
  <si>
    <t>2025_ai-driven_data_analytics_for_enhanced_mass_customization_in_production</t>
  </si>
  <si>
    <t>AI-Driven Data Analytics for Enhanced Mass Customization in Production</t>
  </si>
  <si>
    <t>k-means</t>
  </si>
  <si>
    <t>analytics, artificial intelligence, machine learning</t>
  </si>
  <si>
    <t>2025_dynamic_multi-objective_flexible_job-shop_scheduling_via_dynamic_dual_attention_network-based_deep_reinforcement_learning</t>
  </si>
  <si>
    <t>Dynamic multi-objective flexible job-shop scheduling via dynamic dual attention network-based deep reinforcement learning</t>
  </si>
  <si>
    <t>metaheuristic, multi-agent reinforcement learning, optimization, reinforcement learning</t>
  </si>
  <si>
    <t>2025_deep_reinforcement_learning_algorithm_incorporating_problem_characteristics_for_dynamic_multi-objective_permutation_flow-shop_scheduling_problem</t>
  </si>
  <si>
    <t>Deep reinforcement learning algorithm incorporating problem characteristics for dynamic multi-objective permutation flow-shop scheduling problem</t>
  </si>
  <si>
    <t>Core tech (7) + manufacturing (5) + strong decision or scheduling/simulation/robotics signal</t>
  </si>
  <si>
    <t>2025_efjsp-ibdr:_energy-efficient_flexible_job_shop_scheduling_under_incentive-based_demand_response_via_graph_reinforcement_learning_with_dual_attention_mechanism</t>
  </si>
  <si>
    <t>EFJSP-IBDR: Energy-efficient flexible job shop scheduling under incentive-based demand response via graph reinforcement learning with dual attention mechanism</t>
  </si>
  <si>
    <t>attention mechanism, graph neural network, markov decision process, mdp, optimization, reinforcement learning</t>
  </si>
  <si>
    <t>2025_solving_industrial_chain_job_scheduling_problems_through_a_deep_reinforcement_learning_method_with_decay_strategy</t>
  </si>
  <si>
    <t>Solving industrial chain job scheduling problems through a deep reinforcement learning method with decay strategy</t>
  </si>
  <si>
    <t>2025_a_self-imitation_learning_approach_for_scheduling_evaporation_and_encapsulation_stages_of_oled_display_manufacturing_systems</t>
  </si>
  <si>
    <t>A self-imitation learning approach for scheduling evaporation and encapsulation stages of OLED display manufacturing systems</t>
  </si>
  <si>
    <t>2025_modelling_with_neural_networks_and_time-series_forecasting_inventory_control_and_cost_reduction_in_supply_chain_process</t>
  </si>
  <si>
    <t>Modelling with Neural Networks and Time-Series Forecasting Inventory Control and Cost Reduction in Supply Chain Process</t>
  </si>
  <si>
    <t>forecasting, time-series</t>
  </si>
  <si>
    <t>2025_self-learning_brainstorm_optimization_for_synchronization_of_operations_and_maintenance_toward_dual_resource-constrained_flexible_job_shops</t>
  </si>
  <si>
    <t>Self-learning brainstorm optimization for synchronization of operations and maintenance toward dual resource-constrained flexible job shops</t>
  </si>
  <si>
    <t>k-means, optimization, q-learning, reinforcement learning</t>
  </si>
  <si>
    <t>2025_production-logistics_collaborative_scheduling_in_dynamic_flexible_job_shops_using_nested-hierarchical_deep_reinforcement_learning</t>
  </si>
  <si>
    <t>Production-logistics collaborative scheduling in dynamic flexible job shops using nested-hierarchical deep reinforcement learning</t>
  </si>
  <si>
    <t>2025_dual_operation_aggregation_graph_neural_networks_for_solving_flexible_job-shop_scheduling_problem_with_reinforcement_learning</t>
  </si>
  <si>
    <t>Dual Operation Aggregation Graph Neural Networks for Solving Flexible Job-Shop Scheduling Problem with Reinforcement Learning</t>
  </si>
  <si>
    <t>gnn, graph neural network, optimization, reinforcement learning</t>
  </si>
  <si>
    <t>2025_a_multi-trigger_mechanism_design_for_rescheduling_decision_assistance_in_smart_job_shops_based_on_machine_learning</t>
  </si>
  <si>
    <t>A Multi-Trigger Mechanism Design for Rescheduling Decision Assistance in Smart Job Shops Based on Machine Learning</t>
  </si>
  <si>
    <t>Core tech (3) + manufacturing (5) + strong decision or scheduling/simulation/robotics signal</t>
  </si>
  <si>
    <t>multilayer perceptron, optimization</t>
  </si>
  <si>
    <t>2025_dynamic_scheduling_for_multi-objective_flexible_job_shop_via_deep_reinforcement_learning</t>
  </si>
  <si>
    <t>Dynamic scheduling for multi-objective flexible job shop via deep reinforcement learning</t>
  </si>
  <si>
    <t>markov decision process, optimization, reinforcement learning, representation learning</t>
  </si>
  <si>
    <t>2025_applying_decision_transformers_to_enhance_neural_local_search_on_the_job_shop_scheduling_problem</t>
  </si>
  <si>
    <t>Applying Decision Transformers to Enhance Neural Local Search on the Job Shop Scheduling Problem</t>
  </si>
  <si>
    <t>optimization, reinforcement learning, transformer</t>
  </si>
  <si>
    <t>2025_smart_scheduling_of_hanging_workshop_via_digital_twin_and_deep_reinforcement_learning</t>
  </si>
  <si>
    <t>Smart scheduling of hanging workshop via digital twin and deep reinforcement learning</t>
  </si>
  <si>
    <t>graph neural network, markov decision process, mdp, optimization, ppo, reinforcement learning</t>
  </si>
  <si>
    <t>2025_a_multi-action_deep_reinforcement_learning_based_on_bilstm_for_flexible_job_shop_scheduling_problem_with_tight_time</t>
  </si>
  <si>
    <t>A Multi-Action Deep Reinforcement Learning Based on BiLSTM for Flexible Job Shop Scheduling Problem with Tight Time</t>
  </si>
  <si>
    <t>markov decision process, mdp, optimization, ppo, reinforcement learning</t>
  </si>
  <si>
    <t>2025_optimizing_dynamic_flexible_job_shop_scheduling_using_an_evolutionary_multitask_optimization_framework_and_genetic_programming</t>
  </si>
  <si>
    <t>Optimizing Dynamic Flexible Job Shop Scheduling Using an Evolutionary Multitask Optimization Framework and Genetic Programming</t>
  </si>
  <si>
    <t>Core tech (3) + manufacturing (12) + strong decision or scheduling/simulation/robotics signal</t>
  </si>
  <si>
    <t>gp, optimization, reinforcement learning</t>
  </si>
  <si>
    <t>data-driven, reinforcement learning</t>
  </si>
  <si>
    <t>2025_adapted_q-learning_for_the_blocking_job_shop_scheduling_problem</t>
  </si>
  <si>
    <t>Adapted Q-Learning for the Blocking Job Shop Scheduling Problem</t>
  </si>
  <si>
    <t>federated learning, markov decision process, optimization, q-learning, reinforcement learning</t>
  </si>
  <si>
    <t>2025_discrete_event_simulation-driven_method_solving_permutation_flowshop_scheduling_problem_in_digital_twins</t>
  </si>
  <si>
    <t>Discrete Event Simulation-Driven Method Solving Permutation Flowshop Scheduling Problem in Digital Twins</t>
  </si>
  <si>
    <t>Core tech (4) + manufacturing (5) + strong decision or scheduling/simulation/robotics signal</t>
  </si>
  <si>
    <t>2025_time_series_methods_and_business_intelligent_tools_for_budget_planning—case_study</t>
  </si>
  <si>
    <t>Time Series Methods and Business Intelligent Tools for Budget Planning—Case Study</t>
  </si>
  <si>
    <t>forecasting, linear regression, simulation, time series, xgboost</t>
  </si>
  <si>
    <t>2025_a_dynamic_scheduling_method_combining_iterative_optimization_and_deep_reinforcement_learning_to_solve_sudden_disturbance_events_in_a_flexible_manufacturing_process</t>
  </si>
  <si>
    <t>A Dynamic Scheduling Method Combining Iterative Optimization and Deep Reinforcement Learning to Solve Sudden Disturbance Events in a Flexible Manufacturing Process</t>
  </si>
  <si>
    <t>2025_an_lstm_network-based_genetic_algorithm_for_integrated_procurement_and_scheduling_optimisation</t>
  </si>
  <si>
    <t>An LSTM network-based genetic algorithm for integrated procurement and scheduling optimisation</t>
  </si>
  <si>
    <t>genetic algorithm, lstm, recurrent neural network, rnn, supervised learning, tabu search</t>
  </si>
  <si>
    <t>2025_dynamic_production_scheduling_and_maintenance_planning_under_opportunistic_grouping</t>
  </si>
  <si>
    <t>Dynamic production scheduling and maintenance planning under opportunistic grouping</t>
  </si>
  <si>
    <t>deep q-network, dqn, genetic algorithm, optimization, particle swarm optimization, reinforcement learning</t>
  </si>
  <si>
    <t>2025_a_hybrid_data-driven_optimization_and_decision-making_approach_for_a_digital_twin_environment:_towards_customizing_production_platforms</t>
  </si>
  <si>
    <t>A hybrid data-driven optimization and decision-making approach for a digital twin environment: Towards customizing production platforms</t>
  </si>
  <si>
    <t>Core tech (3) + manufacturing (13) + strong decision or scheduling/simulation/robotics signal</t>
  </si>
  <si>
    <t>data-driven, digital twin</t>
  </si>
  <si>
    <t>2025_diverse_policy_generation_for_the_flexible_job-shop_scheduling_problem_via_deep_reinforcement_learning_with_a_novel_graph_representation</t>
  </si>
  <si>
    <t>Diverse policy generation for the flexible job-shop scheduling problem via deep reinforcement learning with a novel graph representation</t>
  </si>
  <si>
    <t>graph neural network, markov decision process, reinforcement learning</t>
  </si>
  <si>
    <t>2025_a_learning-assisted_bi-population_evolutionary_algorithm_for_distributed_flexible_job-shop_scheduling_with_maintenance_decisions</t>
  </si>
  <si>
    <t>A Learning-Assisted Bi-Population Evolutionary Algorithm for Distributed Flexible Job-Shop Scheduling With Maintenance Decisions</t>
  </si>
  <si>
    <t>evolutionary algorithm, optimization, reinforcement learning</t>
  </si>
  <si>
    <t>2025_a_novel_mixed_integer_programming_model_with_precedence_relation-based_decision_variables_for_non-cyclic_scheduling_of_cluster_tools</t>
  </si>
  <si>
    <t>A Novel Mixed Integer Programming Model with Precedence Relation-Based Decision Variables for Non-Cyclic Scheduling of Cluster Tools</t>
  </si>
  <si>
    <t>2025_a_hierarchical_multi-action_deep_reinforcement_learning_method_for_dynamic_distributed_job-shop_scheduling_problem_with_job_arrivals</t>
  </si>
  <si>
    <t>A Hierarchical Multi-Action Deep Reinforcement Learning Method for Dynamic Distributed Job-Shop Scheduling Problem with Job Arrivals</t>
  </si>
  <si>
    <t>Core tech (8) + manufacturing (8) + strong decision or scheduling/simulation/robotics signal</t>
  </si>
  <si>
    <t>actor-critic, feature extraction, gnn, graph neural network, markov decision process, mdp, optimization, ppo, reinforcement learning</t>
  </si>
  <si>
    <t>deep learning, machine learning, neural network, reinforcement learning</t>
  </si>
  <si>
    <t>2025_hybrid_task_scheduling_in_cloud_manufacturing_with_sparse-reward_deep_reinforcement_learning</t>
  </si>
  <si>
    <t>Hybrid Task Scheduling in Cloud Manufacturing With Sparse-Reward Deep Reinforcement Learning</t>
  </si>
  <si>
    <t>Core tech (10) + manufacturing (13) + strong decision or scheduling/simulation/robotics signal</t>
  </si>
  <si>
    <t>markov decision process, optimization, reinforcement learning</t>
  </si>
  <si>
    <t>deep learning, internet of things, iot, machine learning, reinforcement learning</t>
  </si>
  <si>
    <t>2025_real-time_decision-support_system_for_high-mix_low-volume_production_scheduling_in_industry_4.0</t>
  </si>
  <si>
    <t>Real-Time Decision-Support System for High-Mix Low-Volume Production Scheduling in Industry 4.0</t>
  </si>
  <si>
    <t>Core tech (9) + manufacturing (13) + strong decision or scheduling/simulation/robotics signal</t>
  </si>
  <si>
    <t>forecasting, lstm, time-series</t>
  </si>
  <si>
    <t>analytics, data-driven, deep learning, machine learning</t>
  </si>
  <si>
    <t>2025_navigating_the_fourth_industrial_revolution:_a_comprehensive_review_of_industry_4.0_technologies_and_their_global_adoption</t>
  </si>
  <si>
    <t>Navigating the Fourth Industrial Revolution: A Comprehensive Review of Industry 4.0 Technologies and Their Global Adoption</t>
  </si>
  <si>
    <t>Core tech (17) + manufacturing (6) + strong decision or scheduling/simulation/robotics signal</t>
  </si>
  <si>
    <t>analytics, artificial intelligence, cps, cyber physical system, internet of things, iot</t>
  </si>
  <si>
    <t>2025_a_spatiotemporal_graph_neural_network_based_deep_reinforcement_learning_method_for_online_distributed_job-shop_scheduling_problem</t>
  </si>
  <si>
    <t>A Spatiotemporal Graph Neural Network Based Deep Reinforcement Learning Method for Online Distributed Job-Shop Scheduling Problem</t>
  </si>
  <si>
    <t>actor-critic, gnn, graph neural network, markov decision process, multi-layer perceptron, optimization, q-learning, reinforcement learning, simulation</t>
  </si>
  <si>
    <t>2025_gart:_graph_neural_network-based_adaptive_and_robust_task_scheduler_for_heterogeneous_distributed_computing</t>
  </si>
  <si>
    <t>GART: Graph Neural Network-Based Adaptive and Robust Task Scheduler for Heterogeneous Distributed Computing</t>
  </si>
  <si>
    <t>2025_smart_reconfigurable_manufacturing_system_based_on_semantic_models_and_multicriteria_decision_making</t>
  </si>
  <si>
    <t>Smart Reconfigurable Manufacturing System Based on Semantic Models and Multicriteria Decision Making</t>
  </si>
  <si>
    <t>analytics, artificial intelligence, iiot</t>
  </si>
  <si>
    <t>2025_experience_replay-driven_evolutionary_reinforcement_learning_for_dynamic_flexible_flow_shop_scheduling</t>
  </si>
  <si>
    <t>Experience Replay-Driven Evolutionary Reinforcement Learning for Dynamic Flexible Flow Shop Scheduling</t>
  </si>
  <si>
    <t>markov decision process, mdp, reinforcement learning</t>
  </si>
  <si>
    <t>2025_graph-augmented_deep_reinforcement_learning_for_key_feature_extraction_in_fjsp</t>
  </si>
  <si>
    <t>Graph-Augmented Deep Reinforcement Learning for Key Feature Extraction in FJSP</t>
  </si>
  <si>
    <t>feature extraction, markov decision process, mdp, optimization, ppo, reinforcement learning</t>
  </si>
  <si>
    <t>2025_strategic_decision-making_for_the_job_shop_layout:_ai-trained_metamodel_using_modelling_and_simulation_results</t>
  </si>
  <si>
    <t>Strategic decision-making for the job shop layout: AI-trained metamodel using modelling and simulation results</t>
  </si>
  <si>
    <t>2025_research_on_multi-objective_scheduling_optimization_of_flexible_workshop_considering_the_transportation_energy_consumption_of_agv</t>
  </si>
  <si>
    <t>Research on Multi-objective Scheduling Optimization of Flexible Workshop Considering the Transportation Energy Consumption of AGV</t>
  </si>
  <si>
    <t>2025_a_flexible_job_shop_scheduling_method_via_a_hybrid_dual_attention_network_and_mamba_approach</t>
  </si>
  <si>
    <t>A Flexible Job Shop Scheduling Method via a Hybrid Dual Attention Network and Mamba Approach</t>
  </si>
  <si>
    <t>deep learning, reinforcement learning, robotics</t>
  </si>
  <si>
    <t>2025_navigating_demand_forecasting_in_make-to-order_manufacturing:_the_role_of_global_models_and_intermittent_time-series</t>
  </si>
  <si>
    <t>Navigating demand forecasting in make-to-order manufacturing: the role of global models and intermittent time-series</t>
  </si>
  <si>
    <t>forecasting, time series, time-series</t>
  </si>
  <si>
    <t>deep learning, machine learning</t>
  </si>
  <si>
    <t>2025_dynamic_flexible_job_shop_scheduling_problem_considering_multiple_types_of_dynamic_events</t>
  </si>
  <si>
    <t>Dynamic flexible job shop scheduling problem considering multiple types of dynamic events</t>
  </si>
  <si>
    <t>2025_a_multi-agent_deep_reinforcement_learning_framework_for_solving_dynamic_distributed_flexible_job_shop_scheduling_in_industrial_internet_of_things</t>
  </si>
  <si>
    <t>A Multi-agent Deep Reinforcement Learning Framework for Solving Dynamic Distributed Flexible Job Shop Scheduling in Industrial Internet of Things</t>
  </si>
  <si>
    <t>deep q network, reinforcement learning, simulation</t>
  </si>
  <si>
    <t>2025_a_hierarchical_multi-agent_reinforcement_learning_framework_to_optimizing_distributed_flexible_manufacturing_systems_with_integrated_assembly_and_logistics</t>
  </si>
  <si>
    <t>A Hierarchical Multi-agent Reinforcement Learning Framework to Optimizing Distributed Flexible Manufacturing Systems with Integrated Assembly and Logistics</t>
  </si>
  <si>
    <t>deep q-network, model-based, multi-agent reinforcement learning, optimization, reinforcement learning</t>
  </si>
  <si>
    <t>2025_energy-efficient_distributed_heterogeneous_hybrid_flow-shop_scheduling_using_graph_neural_network_and_deep_reinforcement_learning</t>
  </si>
  <si>
    <t>Energy-efficient Distributed Heterogeneous Hybrid Flow-shop Scheduling Using Graph Neural Network and Deep Reinforcement Learning</t>
  </si>
  <si>
    <t>2025_pathfinder:_deep_reinforcement_learning-based_scheduling_for_multi-robot_systems_in_smart_factories_with_mass_customization</t>
  </si>
  <si>
    <t>Pathfinder: Deep Reinforcement Learning-Based Scheduling for Multi-Robot Systems in Smart Factories with Mass Customization</t>
  </si>
  <si>
    <t>Core tech (12) + manufacturing (7) + strong decision or scheduling/simulation/robotics signal</t>
  </si>
  <si>
    <t>2025_evolutionary_strategies_with_dual_graph_reinforcement_learning_for_flexible_job_shop_scheduling_problem</t>
  </si>
  <si>
    <t>Evolutionary Strategies with Dual Graph Reinforcement Learning for Flexible Job Shop Scheduling Problem</t>
  </si>
  <si>
    <t>gnn, graph neural network, optimization, policy gradient, reinforcement learning</t>
  </si>
  <si>
    <t>2025_implementing_hybrid_tsetlin_machine_and_q-learning_for_solving_the_job_shop_scheduling</t>
  </si>
  <si>
    <t>Implementing Hybrid Tsetlin Machine and Q-Learning for Solving the Job Shop Scheduling</t>
  </si>
  <si>
    <t>optimization, pattern recognition, q-learning, reinforcement learning</t>
  </si>
  <si>
    <t>2025_permutation-invariant_and_equivariant_multiagent_reinforcement_learning_for_flexible_manufacturing_in_industrial_iot</t>
  </si>
  <si>
    <t>Permutation-Invariant and Equivariant Multiagent Reinforcement Learning for Flexible Manufacturing in Industrial IoT</t>
  </si>
  <si>
    <t>graph neural network, marl, multi-agent reinforcement learning, multiagent reinforcement learning</t>
  </si>
  <si>
    <t>iiot, industrial iot, internet of things, neural network, reinforcement learning</t>
  </si>
  <si>
    <t>2025_cloud_job_scheduling_using_deadline-based_task_optimisation_algorithm_in_internet_of_things</t>
  </si>
  <si>
    <t>Cloud Job Scheduling Using Deadline-Based Task Optimisation Algorithm in Internet of Things</t>
  </si>
  <si>
    <t>Core tech (11) + manufacturing (1) + strong decision or scheduling/simulation/robotics signal</t>
  </si>
  <si>
    <t>data-driven, internet of things, iot</t>
  </si>
  <si>
    <t>2025_multi-objective_scheduling_for_green_flexible_assembly_job-shop_system_via_multi-agent_deep_reinforcement_learning_with_game_theory</t>
  </si>
  <si>
    <t>Multi-Objective Scheduling for Green Flexible Assembly Job-Shop System via Multi-Agent Deep Reinforcement Learning With Game Theory</t>
  </si>
  <si>
    <t>convolutional neural network, markov decision process, mdp, optimization, policy gradient, reinforcement learning</t>
  </si>
  <si>
    <t>2025_solving_flexible_job-shop_problem_considering_skilled_workers_via_multi-domain_graph_attention_network</t>
  </si>
  <si>
    <t>Solving flexible job-shop problem considering skilled workers via multi-domain graph attention network</t>
  </si>
  <si>
    <t>markov decision process, reinforcement learning</t>
  </si>
  <si>
    <t>2025_exploring_the_potential_of_llm-based_chatbots_for_task_scheduling_in_robot_operations</t>
  </si>
  <si>
    <t>Exploring the Potential of LLM-based Chatbots for Task Scheduling in Robot Operations</t>
  </si>
  <si>
    <t>model-based, optimization</t>
  </si>
  <si>
    <t>artificial intelligence, autonomous mobile robot, robot</t>
  </si>
  <si>
    <t>2025_a_machine_learning_approach_for_engineer-to-order_firms_to_predict_supplier_performance_in_critical_supply_chains</t>
  </si>
  <si>
    <t>A machine learning approach for engineer-to-order firms to predict supplier performance in critical supply chains</t>
  </si>
  <si>
    <t>boosting, logistic regression, random forest, support vector machine</t>
  </si>
  <si>
    <t>2025_energy-aware_dynamic_rescheduling_of_flexible_manufacturing_system_using_edge-cloud_collaborative_decision-making_method</t>
  </si>
  <si>
    <t>Energy-aware dynamic rescheduling of flexible manufacturing system using edge-cloud collaborative decision-making method</t>
  </si>
  <si>
    <t>deep q network, dqn, model based, reinforcement learning</t>
  </si>
  <si>
    <t>2025_agent-based_communication_for_fault_diagnosis_in_skill-based_production_environments_using_messages_based_on_i4.0_language_and_asset_administration_shells</t>
  </si>
  <si>
    <t>Agent-Based Communication for Fault Diagnosis in Skill-Based Production Environments Using Messages Based on I4.0 Language and Asset Administration Shells</t>
  </si>
  <si>
    <t>Core tech (5) + manufacturing (4) + strong decision or scheduling/simulation/robotics signal</t>
  </si>
  <si>
    <t>cpps, cyber-physical production systems, fault detection</t>
  </si>
  <si>
    <t>2025_hybrid_mts/mto_production_scheduling_with_cloud_orders:_a_mathematical_model_based_on_an_empirical_study</t>
  </si>
  <si>
    <t>Hybrid MTS/MTO production scheduling with cloud orders: a mathematical model based on an empirical study</t>
  </si>
  <si>
    <t>model based, optimization</t>
  </si>
  <si>
    <t>2025_explainable_reinforcement_learning_in_job-shop_scheduling:_a_systematic_literature_review</t>
  </si>
  <si>
    <t>Explainable reinforcement learning in job-shop scheduling: A systematic literature review</t>
  </si>
  <si>
    <t>Core tech (11) + manufacturing (5) + strong decision or scheduling/simulation/robotics signal</t>
  </si>
  <si>
    <t>2025_reinforcement_learning_in_dynamic_job_shop_scheduling:_a_comprehensive_review_of_ai-driven_approaches_in_modern_manufacturing</t>
  </si>
  <si>
    <t>Reinforcement learning in dynamic job shop scheduling: a comprehensive review of AI-driven approaches in modern manufacturing</t>
  </si>
  <si>
    <t>2024_designing_digital_twin_with_iot_and_ai_in_warehouse_to_support_optimization_and_safety_in_engineer-to-order_manufacturing_process_for_prefabricated_building_products</t>
  </si>
  <si>
    <t>Designing Digital Twin with IoT and AI in Warehouse to Support Optimization and Safety in Engineer-to-Order Manufacturing Process for Prefabricated Building Products</t>
  </si>
  <si>
    <t>Core tech (15) + manufacturing (10) + strong decision or scheduling/simulation/robotics signal</t>
  </si>
  <si>
    <t>artificial intelligence, digital twin, internet of things, iot</t>
  </si>
  <si>
    <t>P4--</t>
  </si>
  <si>
    <t>2023_data-driven_product_optimization_capabilities_to_enhance_sustainability_and_environmental_compliance_in_a_marine_manufacturing_context</t>
  </si>
  <si>
    <t>Data-driven product optimization capabilities to enhance sustainability and environmental compliance in a marine manufacturing context</t>
  </si>
  <si>
    <t>2022_the_complexity_of_data-driven_in_engineer-to-order_enterprise_supply-chains</t>
  </si>
  <si>
    <t>The Complexity of Data-Driven in Engineer-To-Order Enterprise Supply-Chains</t>
  </si>
  <si>
    <t>Core tech (7) + manufacturing (4) + strong decision or scheduling/simulation/robotics signal</t>
  </si>
  <si>
    <t>2018_big_data_analytics_for_operations_management_in_engineer-to-order_manufacturing</t>
  </si>
  <si>
    <t>Big data analytics for operations management in engineer-to-order manufacturing</t>
  </si>
  <si>
    <t>data mining, forecasting, simulation</t>
  </si>
  <si>
    <t>2024_flexible_symbiosis_for_simulation_optimization_in_production_scheduling:_a_design_strategy_for_adaptive_decision_support_in_industry_5.0</t>
  </si>
  <si>
    <t>Flexible Symbiosis for Simulation Optimization in Production Scheduling: A Design Strategy for Adaptive Decision Support in Industry 5.0</t>
  </si>
  <si>
    <t>=+</t>
  </si>
  <si>
    <t>Industry 4.0 digitalization (6) + tech (1)</t>
  </si>
  <si>
    <t>2024_practical_algorithms_for_weakly_flexible_job_scheduling_for_smart_mold_component_process</t>
  </si>
  <si>
    <t>Practical algorithms for weakly flexible job scheduling for smart mold component process</t>
  </si>
  <si>
    <t>Industry 4.0 digitalization (2) + tech (1)</t>
  </si>
  <si>
    <t>2024_long-sighted_dispatching_rules_for_manufacturing_scheduling_problem_in_industry_4.0_hybrid_approach</t>
  </si>
  <si>
    <t>Long-sighted dispatching rules for manufacturing scheduling problem in Industry 4.0 hybrid approach</t>
  </si>
  <si>
    <t>Industry 4.0 digitalization (5) + tech (1)</t>
  </si>
  <si>
    <t>2024_leveraging_auto-generative_simulation_for_decision_support_in_engineer-to-order_manufacturing</t>
  </si>
  <si>
    <t>Leveraging Auto-generative Simulation for Decision Support in Engineer-to-Order Manufacturing</t>
  </si>
  <si>
    <t>Industry 4.0 digitalization (7) + tech (1)</t>
  </si>
  <si>
    <t>2022_framework_development_and_evaluation_of_industry_4.0_technological_aspects_towards_improving_the_circular_economy-based_supply_chain</t>
  </si>
  <si>
    <t>Framework development and evaluation of Industry 4.0 technological aspects towards improving the circular economy-based supply chain</t>
  </si>
  <si>
    <t>Industry 4.0 digitalization (11) + tech (1)</t>
  </si>
  <si>
    <t>2022_job_shop_rescheduling_with_rework_and_reconditioning_in_industry_4.0:_an_event-driven_approach</t>
  </si>
  <si>
    <t>Job shop rescheduling with rework and reconditioning in Industry 4.0: an event-driven approach</t>
  </si>
  <si>
    <t>Industry 4.0 digitalization (3) + tech (1)</t>
  </si>
  <si>
    <t>robotics</t>
  </si>
  <si>
    <t>2022_toward_smart_manufacturing_scheduling_from_an_ontological_approach_of_job-shop_uncertainty_sources</t>
  </si>
  <si>
    <t>Toward smart manufacturing scheduling from an ontological approach of job-shop uncertainty sources</t>
  </si>
  <si>
    <t>2021_towards_a_mass_customization_in_the_fashion_industry:_an_evolutionary_decision_aid_model_for_apparel_product_platform_design_and_optimization</t>
  </si>
  <si>
    <t>Towards a mass customization in the fashion industry: An evolutionary decision aid model for apparel product platform design and optimization</t>
  </si>
  <si>
    <t>2021_real-time_integrated_production-scheduling_and_maintenance-planning_in_a_flexible_job_shop_with_machine_deterioration_and_condition-based_maintenance</t>
  </si>
  <si>
    <t>Real-time integrated production-scheduling and maintenance-planning in a flexible job shop with machine deterioration and condition-based maintenance</t>
  </si>
  <si>
    <t>2020_digital_transformation_to_empower_smart_production_for_industry_3.5_and_an_empirical_study_for_textile_dyeing</t>
  </si>
  <si>
    <t>Digital transformation to empower smart production for Industry 3.5 and an empirical study for textile dyeing</t>
  </si>
  <si>
    <t>Industry 4.0 digitalization (8) + tech (1)</t>
  </si>
  <si>
    <t>2019_industry_4.0:_key_questions_in_manufacturing</t>
  </si>
  <si>
    <t>Industry 4.0: Key Questions in Manufacturing</t>
  </si>
  <si>
    <t>iot</t>
  </si>
  <si>
    <t>2018_digital_manufacturing_applicability_of_a_laser_sintered_component_for_automotive_industry:_a_case_study</t>
  </si>
  <si>
    <t>Digital manufacturing applicability of a laser sintered component for automotive industry: a case study</t>
  </si>
  <si>
    <t>cyber physical system</t>
  </si>
  <si>
    <t>2018_mass_customization_model_in_food_industry_using_industry_4.0_standard_with_fuzzy-based_multi-criteria_decision_making_methodology</t>
  </si>
  <si>
    <t>Mass customization model in food industry using industry 4.0 standard with fuzzy-based multi-criteria decision making methodology</t>
  </si>
  <si>
    <t>2018_petri_net_model_of_a_smart_factory_in_the_frame_of_industry_4.0</t>
  </si>
  <si>
    <t>Petri Net Model of a Smart Factory in the Frame of Industry 4.0</t>
  </si>
  <si>
    <t>2020_deep_reinforcement_learning_based_agvs_real-time_scheduling_with_mixed_rule_for_flexible_shop_floor_in_industry_4.0</t>
  </si>
  <si>
    <t>Deep reinforcement learning based AGVs real-time scheduling with mixed rule for flexible shop floor in industry 4.0</t>
  </si>
  <si>
    <t>Yes</t>
  </si>
  <si>
    <t>2019_multi-objective_optimization_for_energy-efficient_flexible_job_shop_scheduling_problem_with_transportation_constraints</t>
  </si>
  <si>
    <t>Multi-objective optimization for energy-efficient flexible job shop scheduling problem with transportation constraints</t>
  </si>
  <si>
    <t>2020_an_improved_artificial_bee_colony_algorithm_for_solving_multi-objective_low-carbon_flexible_job_shop_scheduling_problem</t>
  </si>
  <si>
    <t>An improved artificial bee colony algorithm for solving multi-objective low-carbon flexible job shop scheduling problem</t>
  </si>
  <si>
    <t>2020_a_self-learning_genetic_algorithm_based_on_reinforcement_learning_for_flexible_job-shop_scheduling_problem</t>
  </si>
  <si>
    <t>A self-learning genetic algorithm based on reinforcement learning for flexible job-shop scheduling problem</t>
  </si>
  <si>
    <t>2020_learning_to_dispatch_for_job_shop_scheduling_via_deep_reinforcement_learning</t>
  </si>
  <si>
    <t>Learning to Dispatch for Job Shop Scheduling via Deep Reinforcement Learning</t>
  </si>
  <si>
    <t>An efficient two-stage genetic algorithm for a flexible job-shop scheduling problem with sequence dependent attached/detached setup, machine release date and lag-time</t>
  </si>
  <si>
    <t>Multiobjective Optimization of Energy-Efficient JOB-Shop Scheduling with Dynamic Reference Point-Based Fuzzy Relative Entropy</t>
  </si>
  <si>
    <t xml:space="preserve">  </t>
  </si>
  <si>
    <t>DOI</t>
  </si>
  <si>
    <t>Snowball (Yes/No)</t>
  </si>
  <si>
    <t>Manufacturing level (L0,L1,L2,L3/L4)</t>
  </si>
  <si>
    <t>Old Evaluation (Scenarios, Simulation, Case study,…)</t>
  </si>
  <si>
    <t>Primary Evaluation(s)</t>
  </si>
  <si>
    <t>Evaluation setting</t>
  </si>
  <si>
    <t>Data Source</t>
  </si>
  <si>
    <t>Country</t>
  </si>
  <si>
    <t>Date</t>
  </si>
  <si>
    <t>Industry</t>
  </si>
  <si>
    <t>DSS focus</t>
  </si>
  <si>
    <t>Job-shop variations</t>
  </si>
  <si>
    <t xml:space="preserve">Metrics </t>
  </si>
  <si>
    <t>Improvement goals or objectives (What they try to achieve)</t>
  </si>
  <si>
    <t>comments</t>
  </si>
  <si>
    <t>Bibtex ref</t>
  </si>
  <si>
    <t>Cited in survey? Yes/No</t>
  </si>
  <si>
    <t>Special/different papers notes for discussion</t>
  </si>
  <si>
    <t>https://doi.org/10.1109/WSC57314.2022.10015436</t>
  </si>
  <si>
    <t>No</t>
  </si>
  <si>
    <t>Industrial Case study</t>
  </si>
  <si>
    <t>Offline industrial</t>
  </si>
  <si>
    <t>static evaluation</t>
  </si>
  <si>
    <t>Industrial data</t>
  </si>
  <si>
    <t>ML, MES</t>
  </si>
  <si>
    <t>Optimisation</t>
  </si>
  <si>
    <t>Netherlands</t>
  </si>
  <si>
    <t>Semiconductor</t>
  </si>
  <si>
    <t>Scheduling</t>
  </si>
  <si>
    <t>makespan minisation</t>
  </si>
  <si>
    <t>Improved scheduling of wafer production</t>
  </si>
  <si>
    <t>Ghasemi2022Demonstration</t>
  </si>
  <si>
    <t>https://doi.org/10.1016/j.ifacol.2022.09.677</t>
  </si>
  <si>
    <t>Indutrial Case study</t>
  </si>
  <si>
    <t>industrial case study</t>
  </si>
  <si>
    <t>DT</t>
  </si>
  <si>
    <t>Metal &amp; machining</t>
  </si>
  <si>
    <t>Lead time prediction</t>
  </si>
  <si>
    <t xml:space="preserve">Tardiness </t>
  </si>
  <si>
    <t xml:space="preserve">improved planning and control </t>
  </si>
  <si>
    <t>Herkes2022Using</t>
  </si>
  <si>
    <t>https://doi.org/10.1016/j.ifacol.2022.09.305</t>
  </si>
  <si>
    <t>scenario</t>
  </si>
  <si>
    <t>synthetic</t>
  </si>
  <si>
    <t>ML, AI</t>
  </si>
  <si>
    <t>Random Forest</t>
  </si>
  <si>
    <t>France</t>
  </si>
  <si>
    <t>Not specified</t>
  </si>
  <si>
    <t>Flexible Job Shop Scheduling</t>
  </si>
  <si>
    <t>Makespan minimisation</t>
  </si>
  <si>
    <t xml:space="preserve">Predict production plan feasibility </t>
  </si>
  <si>
    <t>Tremblet2022Predicting</t>
  </si>
  <si>
    <t>https://doi.org/10.1109/CASE49997.2022.9926440</t>
  </si>
  <si>
    <t>Simulation</t>
  </si>
  <si>
    <t>synthetic+industrial data</t>
  </si>
  <si>
    <t>MDP, Heuristic</t>
  </si>
  <si>
    <t>South Korea</t>
  </si>
  <si>
    <t>Automotive</t>
  </si>
  <si>
    <t xml:space="preserve">AMR routing optimisation in an FJSSP </t>
  </si>
  <si>
    <t>Kim2022A</t>
  </si>
  <si>
    <t>https://doi.org/10.32604/cmc.2022.030803</t>
  </si>
  <si>
    <t>Illustrative Case study+Benchmark</t>
  </si>
  <si>
    <r>
      <rPr>
        <rFont val="Calibri"/>
        <color rgb="FF000000"/>
        <sz val="11.0"/>
      </rPr>
      <t>benchmark data (</t>
    </r>
    <r>
      <rPr>
        <rFont val="Calibri"/>
        <color rgb="FF1155CC"/>
        <sz val="11.0"/>
        <u/>
      </rPr>
      <t>ft06, ft10 (Fisher);  (Applegate &amp; Cook); (Lawrence</t>
    </r>
    <r>
      <rPr>
        <rFont val="Calibri"/>
        <color rgb="FF000000"/>
        <sz val="11.0"/>
      </rPr>
      <t>))</t>
    </r>
  </si>
  <si>
    <t>RL</t>
  </si>
  <si>
    <t>GNN, MDP</t>
  </si>
  <si>
    <t>Egypt</t>
  </si>
  <si>
    <t>Job Shop Scheduling</t>
  </si>
  <si>
    <t>Finding the optimal scheduling policy</t>
  </si>
  <si>
    <t>ElSayed2022Deep</t>
  </si>
  <si>
    <t>https://doi.org/10.1016/j.procir.2022.04.027</t>
  </si>
  <si>
    <t>Scenario</t>
  </si>
  <si>
    <t>Synthetic</t>
  </si>
  <si>
    <t>DQN</t>
  </si>
  <si>
    <t>Germany</t>
  </si>
  <si>
    <t>Plant layout</t>
  </si>
  <si>
    <t>Machine utilisation</t>
  </si>
  <si>
    <t xml:space="preserve">Optimising scheduling based on total distance traveled </t>
  </si>
  <si>
    <t>Klar2022Scalability</t>
  </si>
  <si>
    <t>https://doi.org/10.1109/ACCESS.2022.3151170</t>
  </si>
  <si>
    <t>Predictive Maintenance</t>
  </si>
  <si>
    <t>China</t>
  </si>
  <si>
    <t>Predictive maintenance</t>
  </si>
  <si>
    <t>finding the best predictive maintenance model</t>
  </si>
  <si>
    <t>Feng2022Predictive</t>
  </si>
  <si>
    <t>YesNo</t>
  </si>
  <si>
    <t>https://doi.org/10.1080/00207543.2021.1894369</t>
  </si>
  <si>
    <t>FMS</t>
  </si>
  <si>
    <t>Heuristic</t>
  </si>
  <si>
    <t xml:space="preserve">Optimsing simultaneous part input sequencing and robot scheduling </t>
  </si>
  <si>
    <t>He2022Simultaneous</t>
  </si>
  <si>
    <t>https://doi.org/10.1016/j.rcim.2021.102202</t>
  </si>
  <si>
    <t>lab case study</t>
  </si>
  <si>
    <t>lab data</t>
  </si>
  <si>
    <t>CPS, IoT, RL</t>
  </si>
  <si>
    <t>MARL</t>
  </si>
  <si>
    <t>Improved Scheduling</t>
  </si>
  <si>
    <t>Zhou2021Multiagent</t>
  </si>
  <si>
    <t>https://doi.org/10.3390/s21144836</t>
  </si>
  <si>
    <t>Simulation+Sensitivity analysis</t>
  </si>
  <si>
    <t>ML, CPS</t>
  </si>
  <si>
    <t>Makespan &amp; Tardiness</t>
  </si>
  <si>
    <t>Improved scheduling</t>
  </si>
  <si>
    <t>Zhang2021Datadriven</t>
  </si>
  <si>
    <t>https://doi.org/10.1016/j.jclepro.2021.126093</t>
  </si>
  <si>
    <t>Industrial Case study+scenario+Simulation</t>
  </si>
  <si>
    <t>IoT, Edge Computing</t>
  </si>
  <si>
    <t>Makespan</t>
  </si>
  <si>
    <t>improved scheduling</t>
  </si>
  <si>
    <t>Wang2021Evolutionary</t>
  </si>
  <si>
    <t>https://doi.org/10.1109/JPROC.2020.3034808</t>
  </si>
  <si>
    <t>lab Case study</t>
  </si>
  <si>
    <t>CPS, IoT, Edge Computing, Cloud</t>
  </si>
  <si>
    <t>Food packaging</t>
  </si>
  <si>
    <t>N/A</t>
  </si>
  <si>
    <t>Exploring AI in customised manufacturing</t>
  </si>
  <si>
    <t>Wan2021ArtificialIntelligenceDriven</t>
  </si>
  <si>
    <t>https://doi.org/10.1016/j.procir.2021.11.307</t>
  </si>
  <si>
    <t>Industrial Case study+simulation</t>
  </si>
  <si>
    <t>industrial data+synthetic</t>
  </si>
  <si>
    <t>DT, RL</t>
  </si>
  <si>
    <t>Italy</t>
  </si>
  <si>
    <t>Developing prescriptive maintenance</t>
  </si>
  <si>
    <t>Padovano2021A</t>
  </si>
  <si>
    <t>https://doi.org/10.1109/ACCESS.2020.3046784</t>
  </si>
  <si>
    <t>indsutrial case study+simulation+scenarios</t>
  </si>
  <si>
    <t>Zhou2021Reinforcement</t>
  </si>
  <si>
    <t>https://doi.org/10.1016/j.jmsy.2020.04.015</t>
  </si>
  <si>
    <t>lab case study+simulation</t>
  </si>
  <si>
    <t>DT, CPS, OPC UA</t>
  </si>
  <si>
    <t>Safe materials transportation</t>
  </si>
  <si>
    <t>Makespan minimsation</t>
  </si>
  <si>
    <t>Develop digital twin enabled material handling system</t>
  </si>
  <si>
    <t>Glatt2021Modeling</t>
  </si>
  <si>
    <t>https://doi.org/10.1109/IEEM45057.2020.9309782</t>
  </si>
  <si>
    <t>case study+simulation+scenarios</t>
  </si>
  <si>
    <t>simulation+scenarios</t>
  </si>
  <si>
    <t>DT, RMS, CPS</t>
  </si>
  <si>
    <t>Optimisation, Simulation, Heuristic</t>
  </si>
  <si>
    <t>Machine configurations</t>
  </si>
  <si>
    <t>Makespan minimisation?</t>
  </si>
  <si>
    <t>creating a real-time adjustment of reconfigurable or multi-functional machines DT</t>
  </si>
  <si>
    <t>Feng2020Simulation</t>
  </si>
  <si>
    <t>https://doi.org/10.1016/j.compind.2020.103329</t>
  </si>
  <si>
    <t>lab data+industrial data</t>
  </si>
  <si>
    <t>CPS, IoT, AI, OPC UA, Edge Computing</t>
  </si>
  <si>
    <t>Portugal</t>
  </si>
  <si>
    <t>Pharmaceutical</t>
  </si>
  <si>
    <t>Interoperability</t>
  </si>
  <si>
    <t>Robustness --&gt; delay rate, machine utilization rate, number of used machine, mean total waiting time (TWT)</t>
  </si>
  <si>
    <t>Proposing a platform providing real-time decision support</t>
  </si>
  <si>
    <t>Coito2020A</t>
  </si>
  <si>
    <t>https://doi.org/10.1016/j.jmsy.2025.10.010</t>
  </si>
  <si>
    <t>indsutrial case study</t>
  </si>
  <si>
    <t>Bayesian Learning</t>
  </si>
  <si>
    <t>Power consumption</t>
  </si>
  <si>
    <t>Energy Efficiency</t>
  </si>
  <si>
    <t>Improved power prediction model for customised stainless-steel production</t>
  </si>
  <si>
    <t>Chawalitanont2025Uncertaintyaware</t>
  </si>
  <si>
    <t>https://doi.org/10.1016/j.cie.2025.111466</t>
  </si>
  <si>
    <t>benchmark+scenario</t>
  </si>
  <si>
    <r>
      <rPr>
        <rFont val="Calibri"/>
        <color rgb="FF000000"/>
        <sz val="11.0"/>
      </rPr>
      <t xml:space="preserve">synthetic+benchmark data  </t>
    </r>
    <r>
      <rPr>
        <rFont val="Calibri"/>
        <color rgb="FF1155CC"/>
        <sz val="11.0"/>
        <u/>
      </rPr>
      <t>Barnes, Brandimarte, Dauzere, and Hurink (edata, rdata, vdata)</t>
    </r>
  </si>
  <si>
    <t>GNN</t>
  </si>
  <si>
    <t xml:space="preserve">Improved scheduling </t>
  </si>
  <si>
    <t>Zhang2025MAMHSAN</t>
  </si>
  <si>
    <t>https://doi.org/10.1016/j.swevo.2025.102167</t>
  </si>
  <si>
    <t>industrial case study+sensitivety analysis</t>
  </si>
  <si>
    <t>offline industrial</t>
  </si>
  <si>
    <t>CPS</t>
  </si>
  <si>
    <t>Metaheuristic</t>
  </si>
  <si>
    <t>Cylinder production</t>
  </si>
  <si>
    <t>Reconfigurable Job Shop Scheduling</t>
  </si>
  <si>
    <t>Makespan minimisation / Machine utilisation</t>
  </si>
  <si>
    <t>Improved AGV order delivery</t>
  </si>
  <si>
    <t>Xiao2025Material</t>
  </si>
  <si>
    <t>https://doi.org/10.3390/su17052198</t>
  </si>
  <si>
    <t>check</t>
  </si>
  <si>
    <t>Classification, Heuristic</t>
  </si>
  <si>
    <t>Dynamic Job Shop Scheduling</t>
  </si>
  <si>
    <t>Robustness --&gt; machine learning metrics: Confusion matrix, Accuracy, Precision, Recall, ROC curve, AUC</t>
  </si>
  <si>
    <t>Decision making on rescheduling timing and location</t>
  </si>
  <si>
    <t>Duan2025A</t>
  </si>
  <si>
    <t>https://doi.org/10.1016/j.asoc.2025.112787</t>
  </si>
  <si>
    <t>synthetic+benchmark data (Not typically used).</t>
  </si>
  <si>
    <t>PPO</t>
  </si>
  <si>
    <t>Dynamic flexible job shop scheduling</t>
  </si>
  <si>
    <t>Improved rescheduling for dynamic event handling</t>
  </si>
  <si>
    <t>Yuan2025Dynamic</t>
  </si>
  <si>
    <t>https://doi.org/10.3390/ai6030048</t>
  </si>
  <si>
    <r>
      <rPr>
        <rFont val="Calibri"/>
        <color rgb="FF000000"/>
        <sz val="11.0"/>
      </rPr>
      <t xml:space="preserve">synthetic+benchmark data </t>
    </r>
    <r>
      <rPr>
        <rFont val="Calibri"/>
        <color rgb="FF1155CC"/>
        <sz val="11.0"/>
        <u/>
      </rPr>
      <t>taillard</t>
    </r>
  </si>
  <si>
    <t>ML</t>
  </si>
  <si>
    <t>Decision Transformer, Imitation Learning</t>
  </si>
  <si>
    <t>WaubertdePuiseau2025Applying</t>
  </si>
  <si>
    <t>https://doi.org/10.1007/s10696-024-09543-z</t>
  </si>
  <si>
    <r>
      <rPr>
        <rFont val="Calibri"/>
        <color rgb="FF000000"/>
        <sz val="11.0"/>
      </rPr>
      <t>synthetic+ benchmark mk (</t>
    </r>
    <r>
      <rPr>
        <rFont val="Calibri"/>
        <color rgb="FF1155CC"/>
        <sz val="11.0"/>
        <u/>
      </rPr>
      <t>Brandimarte</t>
    </r>
    <r>
      <rPr>
        <rFont val="Calibri"/>
        <color rgb="FF000000"/>
        <sz val="11.0"/>
      </rPr>
      <t xml:space="preserve"> 1993) and la (</t>
    </r>
    <r>
      <rPr>
        <rFont val="Calibri"/>
        <color rgb="FF1155CC"/>
        <sz val="11.0"/>
        <u/>
      </rPr>
      <t xml:space="preserve">Hurink </t>
    </r>
    <r>
      <rPr>
        <rFont val="Calibri"/>
        <color rgb="FF000000"/>
        <sz val="11.0"/>
      </rPr>
      <t>et al. 1994)</t>
    </r>
  </si>
  <si>
    <t>Pan2025Smart</t>
  </si>
  <si>
    <t>https://doi.org/10.1145/3709026.3709038</t>
  </si>
  <si>
    <t>Decision Transformer</t>
  </si>
  <si>
    <t xml:space="preserve">Improved scheduling, minimising waiting time </t>
  </si>
  <si>
    <t>Wang2025A</t>
  </si>
  <si>
    <t>https://doi.org/10.1109/TASE.2024.3386562</t>
  </si>
  <si>
    <t>Scenarios</t>
  </si>
  <si>
    <t>Petri Net, DES</t>
  </si>
  <si>
    <t>Ahn2025A</t>
  </si>
  <si>
    <t>https://doi.org/10.1109/TASE.2024.3380644</t>
  </si>
  <si>
    <t>scenario+industrial case study</t>
  </si>
  <si>
    <t>MAS, RL</t>
  </si>
  <si>
    <t>Dynamic Distributed Job Shop Scheduling</t>
  </si>
  <si>
    <t>Robustness --&gt; makespan  and machine idle time (MIT)</t>
  </si>
  <si>
    <t>Handling uncertain disturbance from job arrivals</t>
  </si>
  <si>
    <t>Huang2025A</t>
  </si>
  <si>
    <t>https://doi.org/10.1109/TASE.2024.3371250</t>
  </si>
  <si>
    <t>industrial data+synthetic+benchmark data (Not typically used).</t>
  </si>
  <si>
    <t>MDP</t>
  </si>
  <si>
    <t xml:space="preserve">Minimising Makespan by solving hybrid task scheduling problem </t>
  </si>
  <si>
    <t>Wang2025Hybrid</t>
  </si>
  <si>
    <t>https://doi.org/10.3390/PR8080912</t>
  </si>
  <si>
    <t>simulation+survey study+risk analysis</t>
  </si>
  <si>
    <t>synthetic+industrial data (survey)</t>
  </si>
  <si>
    <t>Hungary</t>
  </si>
  <si>
    <t xml:space="preserve">Minimising makespan by consindering the results of risks analysis of HMLV manufacturing </t>
  </si>
  <si>
    <t>Long2025RealTime</t>
  </si>
  <si>
    <t>https://doi.org/10.1007/s00170-021-08163-3</t>
  </si>
  <si>
    <t>scenario+simulation</t>
  </si>
  <si>
    <t>Colombia</t>
  </si>
  <si>
    <t>Robustness --&gt; Relative Peformance Difference (RPD) + stability metric</t>
  </si>
  <si>
    <t xml:space="preserve">Improving rescheduling </t>
  </si>
  <si>
    <t>Meja2022Job</t>
  </si>
  <si>
    <t>2025_joint_optimization_of_maintenance_and_quality_inspection_for_multi-stage_manufacturing_system_based_on_genetic_reinforcement_learning</t>
  </si>
  <si>
    <t>Joint Optimization of Maintenance and Quality Inspection for Multi-Stage Manufacturing System Based on Genetic Reinforcement Learning</t>
  </si>
  <si>
    <t>https://doi.org/10.1002/qre.70027</t>
  </si>
  <si>
    <t>simulation+scenario</t>
  </si>
  <si>
    <t>CPS, RL</t>
  </si>
  <si>
    <t>DQN, Genetic Algorithm, Metaheuristic</t>
  </si>
  <si>
    <t>Product quality</t>
  </si>
  <si>
    <t>robustness --&gt; costs (maintenance, inspection, buffer penalties) and performance indcators Machine reliability + product quality (probability of producing defective items)</t>
  </si>
  <si>
    <t>Optimising buffer stock, quality inspection</t>
  </si>
  <si>
    <t>Wang2025Joint</t>
  </si>
  <si>
    <t>2025_natural_language-driven_production_planning:_integrating_large_language_models_with_automatic_simulation_model_generation_in_manufacturing_systems</t>
  </si>
  <si>
    <t>Natural language-driven production planning: integrating large language models with automatic simulation model generation in manufacturing systems</t>
  </si>
  <si>
    <t>https://doi.org/10.1007/s10845-025-02732-z</t>
  </si>
  <si>
    <t>none of the above</t>
  </si>
  <si>
    <t>none/Other</t>
  </si>
  <si>
    <t>LLM, DES</t>
  </si>
  <si>
    <t>Simulation generation</t>
  </si>
  <si>
    <t>Improving resource utilisation, bottleneck identification, and production scheduling</t>
  </si>
  <si>
    <t>Elbasheer2025Natural</t>
  </si>
  <si>
    <t>2025_a_refined_two-stage_fuzzy_hybrid_decision_making_support_framework_for_enhancing_logistics_and_manufacturing_integration</t>
  </si>
  <si>
    <t>A refined two-stage fuzzy hybrid decision making support framework for enhancing logistics and manufacturing integration</t>
  </si>
  <si>
    <t>https://doi.org/10.1016/j.aei.2025.103780</t>
  </si>
  <si>
    <t>industrial case study+sensitivity analysis</t>
  </si>
  <si>
    <t>industrial data</t>
  </si>
  <si>
    <t>Fuzzy Methods, MCDM</t>
  </si>
  <si>
    <t>Logistics</t>
  </si>
  <si>
    <t>Robustness (resilience)  --&gt; MULTIMOORA score (ranking-based)</t>
  </si>
  <si>
    <t xml:space="preserve">Improving resilience in supply chain </t>
  </si>
  <si>
    <t>Yang2025Refined</t>
  </si>
  <si>
    <t>yes</t>
  </si>
  <si>
    <t>2023_a_multi-objective_bi-level_leader-follower_joint_optimization_for_concurrent_design_of_product_family_and_assembly_system</t>
  </si>
  <si>
    <t>A multi-objective Bi-level leader-follower joint optimization for concurrent design of product family and assembly system</t>
  </si>
  <si>
    <t>https://doi.org/10.1016/j.cie.2023.109035</t>
  </si>
  <si>
    <t>industrial case study+scenario</t>
  </si>
  <si>
    <t>Mathematical Programming, Genetic Algorithm, Simulation, Metaheuristic, Optimisation</t>
  </si>
  <si>
    <t>Australia</t>
  </si>
  <si>
    <t>Product family modularization</t>
  </si>
  <si>
    <t xml:space="preserve">Maximising profit </t>
  </si>
  <si>
    <t>Hossain2023Multiobjective</t>
  </si>
  <si>
    <t>2025_a_deep_reinforcement_learning_driven_bi-population_evolutionary_optimization_for_precast_concrete_scheduling_with_production_transportation</t>
  </si>
  <si>
    <t>A deep reinforcement learning driven bi-population evolutionary optimization for precast concrete scheduling with production transportation</t>
  </si>
  <si>
    <t>https://doi.org/10.1016/j.cie.2025.111354</t>
  </si>
  <si>
    <t>Evolutionary Algorithm</t>
  </si>
  <si>
    <t>Precast concrete</t>
  </si>
  <si>
    <t>Distributed flexible job SSP</t>
  </si>
  <si>
    <t xml:space="preserve">Makespan / Energy efficiency </t>
  </si>
  <si>
    <t>Improving these metrics through B-DQN</t>
  </si>
  <si>
    <t>Du2025Deep</t>
  </si>
  <si>
    <t>2025_dynamic_integrated_process_planning_and_scheduling_under_multi-resource_constraints_in_workshops_with_reconfigurable_manufacturing_cells:_a_novel_hyper-heuristic_approach</t>
  </si>
  <si>
    <t>Dynamic integrated process planning and scheduling under multi-resource constraints in workshops with reconfigurable manufacturing cells: a novel hyper-heuristic approach</t>
  </si>
  <si>
    <t>https://doi.org/10.1016/j.eswa.2025.128337</t>
  </si>
  <si>
    <t>RMS</t>
  </si>
  <si>
    <t>Hyper-Heuristic, Heuristic</t>
  </si>
  <si>
    <t>Robustness --&gt; makespan, total tardiness, total reconfiguraiton time, worker load balancing, equioment load balancing</t>
  </si>
  <si>
    <t>Adressing the dynamic integrated process planning and scheduling under multi-resrouce constraints in workshops with reconfigurable manufacturing cells problem</t>
  </si>
  <si>
    <t>I think this falls into L1</t>
  </si>
  <si>
    <t>Guo2025Dynamic</t>
  </si>
  <si>
    <t>https://doi.org/10.1016/j.cie.2024.110616</t>
  </si>
  <si>
    <t>simulation+lab case study</t>
  </si>
  <si>
    <t>lab data+synthetic</t>
  </si>
  <si>
    <t>DT, IoT</t>
  </si>
  <si>
    <t>Metaheuristic, DES</t>
  </si>
  <si>
    <t xml:space="preserve">Enhance operational efficiency and facilitate adoption of the manufacturing as a service paradigm </t>
  </si>
  <si>
    <t>Santos2024Transitioning</t>
  </si>
  <si>
    <t>https://doi.org/10.1016/j.jmsy.2024.09.011</t>
  </si>
  <si>
    <r>
      <rPr>
        <rFont val="Calibri"/>
        <color rgb="FF000000"/>
        <sz val="11.0"/>
      </rPr>
      <t xml:space="preserve">synthetic+Public benchmark </t>
    </r>
    <r>
      <rPr>
        <rFont val="Calibri"/>
        <color rgb="FF1155CC"/>
        <sz val="11.0"/>
        <u/>
      </rPr>
      <t>Brandimarte</t>
    </r>
  </si>
  <si>
    <t>AGV/AMR</t>
  </si>
  <si>
    <t>Tackling the scale generalisation challenge of FJSSP</t>
  </si>
  <si>
    <t>Moon2024Learningenabled</t>
  </si>
  <si>
    <t>https://doi.org/10.1145/3690931.3690993</t>
  </si>
  <si>
    <r>
      <rPr>
        <rFont val="Calibri"/>
        <color rgb="FF000000"/>
        <sz val="11.0"/>
      </rPr>
      <t xml:space="preserve">synthetic+Public benchmark ft06 </t>
    </r>
    <r>
      <rPr>
        <rFont val="Calibri"/>
        <color rgb="FF1155CC"/>
        <sz val="11.0"/>
        <u/>
      </rPr>
      <t>Fisher</t>
    </r>
  </si>
  <si>
    <t xml:space="preserve">Improving scheduling </t>
  </si>
  <si>
    <t>Yang2024A</t>
  </si>
  <si>
    <t>https://doi.org/10.1016/j.cie.2024.110507</t>
  </si>
  <si>
    <t>simulation+sensitivity analysis</t>
  </si>
  <si>
    <t>DT, ML</t>
  </si>
  <si>
    <t>Simulation, Optimisation</t>
  </si>
  <si>
    <t>Canada</t>
  </si>
  <si>
    <t>Nejati2024A</t>
  </si>
  <si>
    <t>https://doi.org/10.1016/j.swevo.2024.101660</t>
  </si>
  <si>
    <t>scenarios</t>
  </si>
  <si>
    <t>static</t>
  </si>
  <si>
    <t>Robustness --&gt; Total weighted tardiness (TWT) and Machine utilization</t>
  </si>
  <si>
    <t>Yue2024Twostage</t>
  </si>
  <si>
    <t>https://doi.org/10.1016/j.compchemeng.2024.108748</t>
  </si>
  <si>
    <t>Q-Learning, GNN</t>
  </si>
  <si>
    <t>Chemical</t>
  </si>
  <si>
    <t>RangelMartnez2024A</t>
  </si>
  <si>
    <t>https://doi.org/10.1016/j.ifacol.2024.09.176</t>
  </si>
  <si>
    <t>benchmark</t>
  </si>
  <si>
    <r>
      <rPr>
        <rFont val="Calibri"/>
        <color rgb="FF000000"/>
        <sz val="11.0"/>
      </rPr>
      <t xml:space="preserve">benchmark dataset </t>
    </r>
    <r>
      <rPr>
        <rFont val="Calibri"/>
        <color rgb="FF1155CC"/>
        <sz val="11.0"/>
        <u/>
      </rPr>
      <t xml:space="preserve">Brandimarte </t>
    </r>
    <r>
      <rPr>
        <rFont val="Calibri"/>
        <color rgb="FF000000"/>
        <sz val="11.0"/>
      </rPr>
      <t xml:space="preserve">and </t>
    </r>
    <r>
      <rPr>
        <rFont val="Calibri"/>
        <color rgb="FF1155CC"/>
        <sz val="11.0"/>
        <u/>
      </rPr>
      <t>Dauzere</t>
    </r>
  </si>
  <si>
    <t xml:space="preserve">Improved Scheduling </t>
  </si>
  <si>
    <t>Corra2024Rainbow</t>
  </si>
  <si>
    <t>https://doi.org/10.3390/machines12080584</t>
  </si>
  <si>
    <r>
      <rPr>
        <rFont val="Calibri"/>
        <color rgb="FF000000"/>
        <sz val="11.0"/>
      </rPr>
      <t>benchmark dataset mk (</t>
    </r>
    <r>
      <rPr>
        <rFont val="Calibri"/>
        <color rgb="FF1155CC"/>
        <sz val="11.0"/>
        <u/>
      </rPr>
      <t>Brandimarte</t>
    </r>
    <r>
      <rPr>
        <rFont val="Calibri"/>
        <color rgb="FF000000"/>
        <sz val="11.0"/>
      </rPr>
      <t xml:space="preserve">) and </t>
    </r>
    <r>
      <rPr>
        <rFont val="Calibri"/>
        <color rgb="FF1155CC"/>
        <sz val="11.0"/>
        <u/>
      </rPr>
      <t xml:space="preserve">Hurink </t>
    </r>
    <r>
      <rPr>
        <rFont val="Calibri"/>
        <color rgb="FF000000"/>
        <sz val="11.0"/>
      </rPr>
      <t>(edata, rdata, vdata</t>
    </r>
  </si>
  <si>
    <t>Attention Mechanism, Feature Extraction, GNN, PPO</t>
  </si>
  <si>
    <t>flexible Job Shop Scheduling</t>
  </si>
  <si>
    <t>Tang2024Solving</t>
  </si>
  <si>
    <t>https://doi.org/10.1016/j.ijpe.2024.109312</t>
  </si>
  <si>
    <t>Material flow control</t>
  </si>
  <si>
    <t>Improving delivery performance</t>
  </si>
  <si>
    <t>He2024The</t>
  </si>
  <si>
    <t>https://doi.org/10.1007/s10845-023-02189-y</t>
  </si>
  <si>
    <t>PPO, Reinforcement Learning, Optimisation</t>
  </si>
  <si>
    <t>Robustness --&gt; mean Tardiness</t>
  </si>
  <si>
    <t>Improving dynamic scheduling with disruptive event</t>
  </si>
  <si>
    <t>Wang2024Smart</t>
  </si>
  <si>
    <t>https://doi.org/10.1016/j.swevo.2024.101605</t>
  </si>
  <si>
    <t>scenario+benchmark</t>
  </si>
  <si>
    <r>
      <rPr>
        <rFont val="Calibri"/>
        <color rgb="FF000000"/>
        <sz val="11.0"/>
      </rPr>
      <t xml:space="preserve">synthetic+ benchmark ft </t>
    </r>
    <r>
      <rPr>
        <rFont val="Calibri"/>
        <color rgb="FF1155CC"/>
        <sz val="11.0"/>
        <u/>
      </rPr>
      <t>Fisher</t>
    </r>
    <r>
      <rPr>
        <rFont val="Calibri"/>
        <color rgb="FF000000"/>
        <sz val="11.0"/>
      </rPr>
      <t xml:space="preserve">, la </t>
    </r>
    <r>
      <rPr>
        <rFont val="Calibri"/>
        <color rgb="FF1155CC"/>
        <sz val="11.0"/>
        <u/>
      </rPr>
      <t>Hurink</t>
    </r>
    <r>
      <rPr>
        <rFont val="Calibri"/>
        <color rgb="FF000000"/>
        <sz val="11.0"/>
      </rPr>
      <t xml:space="preserve">, </t>
    </r>
    <r>
      <rPr>
        <rFont val="Calibri"/>
        <color rgb="FF1155CC"/>
        <sz val="11.0"/>
        <u/>
      </rPr>
      <t>orb</t>
    </r>
    <r>
      <rPr>
        <rFont val="Calibri"/>
        <color rgb="FF000000"/>
        <sz val="11.0"/>
      </rPr>
      <t>,</t>
    </r>
  </si>
  <si>
    <t>Reinforcement Learning, GNN</t>
  </si>
  <si>
    <t xml:space="preserve">Improved scheduling in terms of workload and makespan </t>
  </si>
  <si>
    <t>Su2024Fast</t>
  </si>
  <si>
    <t>https://doi.org/10.1016/j.engappai.2024.108487</t>
  </si>
  <si>
    <t>Q-Learning, DQN, Optimisation</t>
  </si>
  <si>
    <t>Makespan / Tardiness</t>
  </si>
  <si>
    <t xml:space="preserve">Improved scheduling when urgent jobs are included </t>
  </si>
  <si>
    <t>Lu2024A</t>
  </si>
  <si>
    <t>https://doi.org/10.1016/j.jmsy.2024.04.028</t>
  </si>
  <si>
    <r>
      <rPr>
        <rFont val="Calibri"/>
        <color rgb="FF000000"/>
        <sz val="11.0"/>
      </rPr>
      <t xml:space="preserve">synthetic+benchmark dataset </t>
    </r>
    <r>
      <rPr>
        <rFont val="Calibri"/>
        <color rgb="FF1155CC"/>
        <sz val="11.0"/>
        <u/>
      </rPr>
      <t>taillard</t>
    </r>
  </si>
  <si>
    <t>Reinforcement Learning, PPO</t>
  </si>
  <si>
    <t>job shop Scheduling</t>
  </si>
  <si>
    <t>Lassoued2024Introducing</t>
  </si>
  <si>
    <t>https://doi.org/10.3390/su16083234</t>
  </si>
  <si>
    <t xml:space="preserve">lab case study+benchmark </t>
  </si>
  <si>
    <r>
      <rPr>
        <rFont val="Calibri"/>
        <color rgb="FF000000"/>
        <sz val="11.0"/>
      </rPr>
      <t xml:space="preserve">lab data+benchmark data </t>
    </r>
    <r>
      <rPr>
        <rFont val="Calibri"/>
        <color rgb="FF1155CC"/>
        <sz val="11.0"/>
        <u/>
      </rPr>
      <t xml:space="preserve">dmu </t>
    </r>
    <r>
      <rPr>
        <rFont val="Calibri"/>
        <color rgb="FF000000"/>
        <sz val="11.0"/>
      </rPr>
      <t xml:space="preserve">and  </t>
    </r>
    <r>
      <rPr>
        <rFont val="Calibri"/>
        <color rgb="FF1155CC"/>
        <sz val="11.0"/>
        <u/>
      </rPr>
      <t xml:space="preserve">Brandimarte </t>
    </r>
    <r>
      <rPr>
        <rFont val="Calibri"/>
        <color rgb="FF000000"/>
        <sz val="11.0"/>
      </rPr>
      <t xml:space="preserve">and </t>
    </r>
    <r>
      <rPr>
        <rFont val="Calibri"/>
        <color rgb="FF1155CC"/>
        <sz val="11.0"/>
        <u/>
      </rPr>
      <t>Hurink</t>
    </r>
  </si>
  <si>
    <t>GNN, Reinforcement Learning</t>
  </si>
  <si>
    <t>Packaging</t>
  </si>
  <si>
    <t xml:space="preserve">Improved dynamic scheduling </t>
  </si>
  <si>
    <t>Pu2024MultiAgent</t>
  </si>
  <si>
    <t>https://doi.org/10.1016/j.eswa.2023.121756</t>
  </si>
  <si>
    <r>
      <rPr>
        <rFont val="Calibri"/>
        <color rgb="FF000000"/>
        <sz val="11.0"/>
      </rPr>
      <t xml:space="preserve">benchmark dataset </t>
    </r>
    <r>
      <rPr>
        <rFont val="Calibri"/>
        <color rgb="FF1155CC"/>
        <sz val="11.0"/>
        <u/>
      </rPr>
      <t>taillard</t>
    </r>
  </si>
  <si>
    <t>Feature Extraction, GNN, MDP, PPO</t>
  </si>
  <si>
    <t>distributed job shop scheduling</t>
  </si>
  <si>
    <t xml:space="preserve">Improved distributed scheduling </t>
  </si>
  <si>
    <t>Huang2024An</t>
  </si>
  <si>
    <t>https://doi.org/10.1016/j.jii.2024.100582</t>
  </si>
  <si>
    <t>MDP, PPO</t>
  </si>
  <si>
    <t>Spain</t>
  </si>
  <si>
    <t xml:space="preserve">Improving smart manufacturing scheduling </t>
  </si>
  <si>
    <t>SerranoRuiz2024Job</t>
  </si>
  <si>
    <t>https://doi.org/10.1109/TNNLS.2023.3306421</t>
  </si>
  <si>
    <r>
      <rPr>
        <rFont val="Calibri"/>
        <color rgb="FF000000"/>
        <sz val="11.0"/>
      </rPr>
      <t xml:space="preserve">synthetic+benchmark dataset </t>
    </r>
    <r>
      <rPr>
        <rFont val="Calibri"/>
        <color rgb="FF1155CC"/>
        <sz val="11.0"/>
        <u/>
      </rPr>
      <t xml:space="preserve">Brandimarte </t>
    </r>
    <r>
      <rPr>
        <rFont val="Calibri"/>
        <color rgb="FF000000"/>
        <sz val="11.0"/>
      </rPr>
      <t xml:space="preserve">and </t>
    </r>
    <r>
      <rPr>
        <rFont val="Calibri"/>
        <color rgb="FF1155CC"/>
        <sz val="11.0"/>
        <u/>
      </rPr>
      <t xml:space="preserve">Hurink </t>
    </r>
  </si>
  <si>
    <t>Attention Mechanism, Feature Extraction, Reinforcement Learning</t>
  </si>
  <si>
    <t xml:space="preserve">Imrpoved scheduling </t>
  </si>
  <si>
    <t>Wang2024Flexible</t>
  </si>
  <si>
    <t>https://doi.org/10.1016/j.engappai.2025.111356</t>
  </si>
  <si>
    <r>
      <rPr>
        <rFont val="Calibri"/>
        <color rgb="FF000000"/>
        <sz val="11.0"/>
      </rPr>
      <t xml:space="preserve">synthetic+benchmark dataset </t>
    </r>
    <r>
      <rPr>
        <rFont val="Calibri"/>
        <color rgb="FF1155CC"/>
        <sz val="11.0"/>
        <u/>
      </rPr>
      <t>Deroussi and Norre</t>
    </r>
    <r>
      <rPr>
        <rFont val="Calibri"/>
        <color rgb="FF000000"/>
        <sz val="11.0"/>
      </rPr>
      <t xml:space="preserve"> and </t>
    </r>
    <r>
      <rPr>
        <rFont val="Calibri"/>
        <color rgb="FF1155CC"/>
        <sz val="11.0"/>
        <u/>
      </rPr>
      <t>Hurink</t>
    </r>
  </si>
  <si>
    <t>Feature Extraction, Optimisation, PPO</t>
  </si>
  <si>
    <t xml:space="preserve">Improved scheduling including AGVs </t>
  </si>
  <si>
    <t>Zhao2025A</t>
  </si>
  <si>
    <t>https://doi.org/10.1016/j.rcim.2025.103015</t>
  </si>
  <si>
    <t>Robotics, RL</t>
  </si>
  <si>
    <t>MDP, MARL, Policy Gradient</t>
  </si>
  <si>
    <t>USA</t>
  </si>
  <si>
    <t>Robustness --&gt; throughput, robot movement cost, permanent production loss, production count</t>
  </si>
  <si>
    <t xml:space="preserve">Improved demand driven scheduling </t>
  </si>
  <si>
    <t>Li2025Demanddriven</t>
  </si>
  <si>
    <t>https://doi.org/10.1093/jcde/qwaf100</t>
  </si>
  <si>
    <t>Bayesian Learning, Optimisation, MDP, Supervised Learning</t>
  </si>
  <si>
    <t>Yoo2025Optimizing</t>
  </si>
  <si>
    <t>https://doi.org/10.1016/j.tre.2025.104297</t>
  </si>
  <si>
    <t>Tardiness(?) (Inventory and transportation cost)</t>
  </si>
  <si>
    <t xml:space="preserve">Improved inventory routing </t>
  </si>
  <si>
    <t>Wang2025Inventory</t>
  </si>
  <si>
    <t>https://doi.org/10.1007/s11227-025-07586-z</t>
  </si>
  <si>
    <t>Reinforcement Learning</t>
  </si>
  <si>
    <t>Aerospace</t>
  </si>
  <si>
    <t xml:space="preserve">Improved flexible scheduling </t>
  </si>
  <si>
    <t>Zeng2025Dynamic</t>
  </si>
  <si>
    <t>https://doi.org/10.1016/j.eswa.2025.127340</t>
  </si>
  <si>
    <t>lab case study+benchmark+scenario</t>
  </si>
  <si>
    <r>
      <rPr>
        <rFont val="Calibri"/>
        <color rgb="FF000000"/>
        <sz val="11.0"/>
      </rPr>
      <t xml:space="preserve">benchmark dataset </t>
    </r>
    <r>
      <rPr>
        <rFont val="Calibri"/>
        <color rgb="FF1155CC"/>
        <sz val="11.0"/>
        <u/>
      </rPr>
      <t xml:space="preserve">kacem </t>
    </r>
    <r>
      <rPr>
        <rFont val="Calibri"/>
        <color rgb="FF000000"/>
        <sz val="11.0"/>
      </rPr>
      <t xml:space="preserve">+ </t>
    </r>
    <r>
      <rPr>
        <rFont val="Calibri"/>
        <color rgb="FF1155CC"/>
        <sz val="11.0"/>
        <u/>
      </rPr>
      <t xml:space="preserve">Dauzere </t>
    </r>
    <r>
      <rPr>
        <rFont val="Calibri"/>
        <color rgb="FF000000"/>
        <sz val="11.0"/>
      </rPr>
      <t xml:space="preserve">+ </t>
    </r>
    <r>
      <rPr>
        <rFont val="Calibri"/>
        <color rgb="FF1155CC"/>
        <sz val="11.0"/>
        <u/>
      </rPr>
      <t xml:space="preserve">Brandimarte </t>
    </r>
    <r>
      <rPr>
        <rFont val="Calibri"/>
        <color rgb="FF000000"/>
        <sz val="11.0"/>
      </rPr>
      <t xml:space="preserve"> + lab data</t>
    </r>
  </si>
  <si>
    <t>Attention Mechanism, GNN, MDP, Optimisation</t>
  </si>
  <si>
    <t>Energy Efficiency / Makespan</t>
  </si>
  <si>
    <t>Liu2025EFJSPIBDR</t>
  </si>
  <si>
    <t>https://doi.org/10.1109/ACCESS.2025.3631334</t>
  </si>
  <si>
    <t>IoT, AI</t>
  </si>
  <si>
    <t>Ontology, MCDM</t>
  </si>
  <si>
    <t>Brazil</t>
  </si>
  <si>
    <t>Laboratory</t>
  </si>
  <si>
    <t>Reconfigurability</t>
  </si>
  <si>
    <t>Robustness(?) --&gt; (quality, availability, cost, lead time)</t>
  </si>
  <si>
    <t>Improved process reconfiguration</t>
  </si>
  <si>
    <t>Canciglieri2025Smart</t>
  </si>
  <si>
    <t>https://doi.org/10.1109/DOCS67533.2025.11200734</t>
  </si>
  <si>
    <t>Dynamic flexible flow shop</t>
  </si>
  <si>
    <t>Wang2025Experience</t>
  </si>
  <si>
    <t>https://doi.org/10.23919/CCC64809.2025.11178931</t>
  </si>
  <si>
    <t>benchmar+scenario</t>
  </si>
  <si>
    <r>
      <rPr>
        <rFont val="Calibri"/>
        <color rgb="FF000000"/>
        <sz val="11.0"/>
      </rPr>
      <t xml:space="preserve">synthetic+benchmark dataset </t>
    </r>
    <r>
      <rPr>
        <rFont val="Calibri"/>
        <color rgb="FF1155CC"/>
        <sz val="11.0"/>
        <u/>
      </rPr>
      <t>Brandimarte</t>
    </r>
  </si>
  <si>
    <t>Feature Extraction, MDP, PPO</t>
  </si>
  <si>
    <t>Du2025GraphAugmented</t>
  </si>
  <si>
    <t>2024_data-driven_advisory_system_for_industrial_manufacturing._application_to_the_aluminum_extrusion_process</t>
  </si>
  <si>
    <t>Data-driven advisory system for industrial manufacturing. Application to the aluminum extrusion process</t>
  </si>
  <si>
    <t>https://doi.org/10.1016/j.knosys.2024.111631</t>
  </si>
  <si>
    <t>indsutrial Case study</t>
  </si>
  <si>
    <t>Data Mining, Recommendation System</t>
  </si>
  <si>
    <t>Poland</t>
  </si>
  <si>
    <t>Process parameter recommendation</t>
  </si>
  <si>
    <t>Robustness (Zero defects) --&gt; ML metrics: prediction accuracy (Qc, Qd), correlation coefficient (Pearson), classification accuracy, compatibility indices (Cc, Cd)</t>
  </si>
  <si>
    <t>Improved material processing aiming for Zero Defects</t>
  </si>
  <si>
    <t>Kochański2024Datadriven</t>
  </si>
  <si>
    <t>2024_enhancing_fms_performance_through_multi-agent_systems_in_the_context_of_industry_4.0</t>
  </si>
  <si>
    <t>Enhancing FMS Performance through Multi-Agent Systems in the Context of Industry 4.0</t>
  </si>
  <si>
    <t>https://doi.org/10.24846/V33I2Y202401</t>
  </si>
  <si>
    <t>MAS, FMS</t>
  </si>
  <si>
    <t>DES</t>
  </si>
  <si>
    <t>Chile</t>
  </si>
  <si>
    <t>Multi-agent systems</t>
  </si>
  <si>
    <t>Robustness (adaptability) --&gt; Cycle time, Robot utilisation, production rate, assembly time, waiting time</t>
  </si>
  <si>
    <t>Lefranc2024Enhancing</t>
  </si>
  <si>
    <t>robustness implicitely</t>
  </si>
  <si>
    <t>2024_multi-objective_optimization_of_transfer_line_balancing_problem_considering_cycle_time_and_energy_expenditure</t>
  </si>
  <si>
    <t>Multi-objective optimization of transfer line balancing problem considering cycle time and energy expenditure</t>
  </si>
  <si>
    <t>https://doi.org/10.1016/j.procir.2024.10.255</t>
  </si>
  <si>
    <t>Optimization, NSGA-II</t>
  </si>
  <si>
    <t xml:space="preserve">Makespan (cycle time) / Energy efficiency </t>
  </si>
  <si>
    <t>Imrpoved Transfer Line balancing</t>
  </si>
  <si>
    <t>Petersen2024Multiobjective</t>
  </si>
  <si>
    <t>2024_out-of-order_architecture_for_real-time_data-driven_resilient_planning_and_scheduling_of_cyber-physical_manufacturing_systems</t>
  </si>
  <si>
    <t>Out-of-Order Architecture for Real-Time Data-Driven Resilient Planning and Scheduling of Cyber-Physical Manufacturing Systems</t>
  </si>
  <si>
    <t>https://doi.org/10.1109/TASE.2025.3563084</t>
  </si>
  <si>
    <t>Simulation+scenario</t>
  </si>
  <si>
    <t>Data analytics</t>
  </si>
  <si>
    <t>Robustness (resilience)  --&gt; On-Time Delivery Rate (OTDR) of customer orders and Average Order Flow Time (AOFT)</t>
  </si>
  <si>
    <t>Improving resilience through developing out-of-order architecture</t>
  </si>
  <si>
    <t>Li2026Outoforder</t>
  </si>
  <si>
    <t>realtime data</t>
  </si>
  <si>
    <t>2023_self-decision_mechanisms_of_smart_production_systems_based_on_improved_uncertainty_theory_and_user-cfa</t>
  </si>
  <si>
    <t>Self-decision mechanisms of smart production systems based on improved uncertainty theory and user-CFA</t>
  </si>
  <si>
    <t>https://doi.org/10.1016/j.cie.2023.109453</t>
  </si>
  <si>
    <t>Robustness --&gt; total travel distance, number of AGV transport failures</t>
  </si>
  <si>
    <t>Improved scheduling for smart production systems through automated decision making</t>
  </si>
  <si>
    <t>Qu2023Selfdecision</t>
  </si>
  <si>
    <t>2022_increasing_flexibility_and_productivity_in_industry_4.0_production_networks_with_autonomous_mobile_robots_and_smart_intralogistics</t>
  </si>
  <si>
    <t>Increasing flexibility and productivity in Industry 4.0 production networks with autonomous mobile robots and smart intralogistics</t>
  </si>
  <si>
    <t>https://doi.org/10.1007/s10479-020-03526-7</t>
  </si>
  <si>
    <t>Norway</t>
  </si>
  <si>
    <t>Robustness --&gt; throughput, cost profit ratio , additional profit, additional cost</t>
  </si>
  <si>
    <t>Improved flexibility and productivity through AMR usage</t>
  </si>
  <si>
    <t>Fragapane2020Increasing</t>
  </si>
  <si>
    <t>2021_production_intralogistics_automation_based_on_3d_simulation_analysis</t>
  </si>
  <si>
    <t>Production intralogistics automation based on 3d simulation analysis</t>
  </si>
  <si>
    <t>https://doi.org/10.36897/jme/137081</t>
  </si>
  <si>
    <t>Industrial case study</t>
  </si>
  <si>
    <t>Industrial data+synthetic</t>
  </si>
  <si>
    <t>Estonia</t>
  </si>
  <si>
    <t>Food</t>
  </si>
  <si>
    <t>Tardiness</t>
  </si>
  <si>
    <t xml:space="preserve">Improved tardines through AGV implementation </t>
  </si>
  <si>
    <t>Mahmood2021Production</t>
  </si>
  <si>
    <t>https://doi.org/10.1109/IEEM58616.2023.10406397</t>
  </si>
  <si>
    <t>simulation+dynamic scenario</t>
  </si>
  <si>
    <t>Improved dynamic scheduling</t>
  </si>
  <si>
    <t>Wang2023Job</t>
  </si>
  <si>
    <t>https://doi.org/10.1109/WSC60868.2023.10407811</t>
  </si>
  <si>
    <t>DT, DL</t>
  </si>
  <si>
    <t>Changing heavy algorithms with DRL+DT</t>
  </si>
  <si>
    <t>Ghasemi2023Deep</t>
  </si>
  <si>
    <t>https://doi.org/10.1007/978-3-031-43524-9_10</t>
  </si>
  <si>
    <r>
      <rPr/>
      <t xml:space="preserve">synthetic+ benchmark ft </t>
    </r>
    <r>
      <rPr>
        <color rgb="FF1155CC"/>
        <u/>
      </rPr>
      <t>Fisher, Lawrence, orb</t>
    </r>
    <r>
      <rPr/>
      <t>,</t>
    </r>
  </si>
  <si>
    <t>Turkey</t>
  </si>
  <si>
    <t>Improve scheduling</t>
  </si>
  <si>
    <t>Workneh2023Deep</t>
  </si>
  <si>
    <t>https://doi.org/10.1080/23080477.2023.2187528</t>
  </si>
  <si>
    <r>
      <rPr/>
      <t xml:space="preserve">benchmark ft </t>
    </r>
    <r>
      <rPr>
        <color rgb="FF1155CC"/>
        <u/>
      </rPr>
      <t>Fisher</t>
    </r>
    <r>
      <rPr/>
      <t xml:space="preserve">, </t>
    </r>
    <r>
      <rPr>
        <color rgb="FF1155CC"/>
        <u/>
      </rPr>
      <t>Lawrence</t>
    </r>
    <r>
      <rPr/>
      <t xml:space="preserve">, </t>
    </r>
    <r>
      <rPr>
        <color rgb="FF1155CC"/>
        <u/>
      </rPr>
      <t>orb</t>
    </r>
    <r>
      <rPr/>
      <t>,</t>
    </r>
  </si>
  <si>
    <t>Morocco</t>
  </si>
  <si>
    <t>no</t>
  </si>
  <si>
    <t>Perform in stochastic production environment</t>
  </si>
  <si>
    <t>Workneh2023Learning</t>
  </si>
  <si>
    <t>https://doi.org/10.1016/j.rcim.2022.102412</t>
  </si>
  <si>
    <t>Edge Computing, RL</t>
  </si>
  <si>
    <t>MLP, PPO, Optimisation</t>
  </si>
  <si>
    <t>Tardiness, Profit, Algorithm execution time</t>
  </si>
  <si>
    <t>Multi-objective scheduling</t>
  </si>
  <si>
    <t>Zhang2022Dynamic</t>
  </si>
  <si>
    <t>A multi-dimensional cognitive framework for cognitive manufacturing based OAR model</t>
  </si>
  <si>
    <t>https://doi.org/10.1016/j.jmsy.2022.09.019</t>
  </si>
  <si>
    <t>lab case study+prototype</t>
  </si>
  <si>
    <t>DT, AI</t>
  </si>
  <si>
    <t>Ontology</t>
  </si>
  <si>
    <t>Systems integration</t>
  </si>
  <si>
    <t xml:space="preserve">Theoretical framework for new approach </t>
  </si>
  <si>
    <t>Jiang2022A</t>
  </si>
  <si>
    <t>https://doi.org/10.1016/j.aei.2022.101776</t>
  </si>
  <si>
    <t>Distributed dynamic flow shop scheduling</t>
  </si>
  <si>
    <t>Tardiness cost</t>
  </si>
  <si>
    <t>Reducing lateness penalties</t>
  </si>
  <si>
    <t>Yang2022Realtime</t>
  </si>
  <si>
    <t>realtime</t>
  </si>
  <si>
    <t>https://doi.org/10.1016/j.rcim.2022.102324</t>
  </si>
  <si>
    <t>Job shop Scheduling</t>
  </si>
  <si>
    <t>Improve scheduling accuracy</t>
  </si>
  <si>
    <t>Wang2022Solving</t>
  </si>
  <si>
    <t>https://doi.org/10.1016/j.cor.2022.105823</t>
  </si>
  <si>
    <t>simulation+benchmark</t>
  </si>
  <si>
    <t>synthetic+ benchmark mk (Brandimarte)</t>
  </si>
  <si>
    <t>RL, DT</t>
  </si>
  <si>
    <t>Q-Learning</t>
  </si>
  <si>
    <t>Improving dynamic scheduling with preventive maintenance</t>
  </si>
  <si>
    <t>Yan2022Digital</t>
  </si>
  <si>
    <t>worker ressource</t>
  </si>
  <si>
    <t>https://doi.org/10.1016/j.jmsy.2022.08.005</t>
  </si>
  <si>
    <t>MAS</t>
  </si>
  <si>
    <t>Maintenance criteria</t>
  </si>
  <si>
    <t>Joint scheduling and maintenance</t>
  </si>
  <si>
    <t>Bencheikh2022An</t>
  </si>
  <si>
    <t>https://doi.org/10.3390/app12115618</t>
  </si>
  <si>
    <t>Industrial Case Study+simulation</t>
  </si>
  <si>
    <t>DES, Clustering</t>
  </si>
  <si>
    <t>Pneumatic components</t>
  </si>
  <si>
    <t>Demand forecasting</t>
  </si>
  <si>
    <t>Improving daily decision support</t>
  </si>
  <si>
    <t>Gdri2022Improving</t>
  </si>
  <si>
    <t>https://doi.org/10.1016/j.ress.2022.108429</t>
  </si>
  <si>
    <t>lab data+synthetic (unspesified benchmark_data)</t>
  </si>
  <si>
    <t>Predictive Maintenance, Metaheuristic</t>
  </si>
  <si>
    <t>Makespan + machining penalty</t>
  </si>
  <si>
    <t>Jointly improving scheduling and PM</t>
  </si>
  <si>
    <t>He2022Joint</t>
  </si>
  <si>
    <t>https://doi.org/10.3390/su14095177</t>
  </si>
  <si>
    <t>synthetic+industrial data (structurel insperied).</t>
  </si>
  <si>
    <t>PPO, DES</t>
  </si>
  <si>
    <t>United Kingdom</t>
  </si>
  <si>
    <t>Looking just into algorithm performance</t>
  </si>
  <si>
    <t>Zhang2022Dynamicb</t>
  </si>
  <si>
    <t>https://doi.org/10.1016/j.rcim.2021.102283</t>
  </si>
  <si>
    <t>DQN, Genetic Algorithm, Metaheuristic, DES</t>
  </si>
  <si>
    <t>Makespan + Energy consumption</t>
  </si>
  <si>
    <t>Improve dynamic scheduling with multiobjective optimisation</t>
  </si>
  <si>
    <t>Li2022Realtime</t>
  </si>
  <si>
    <t>https://doi.org/10.1016/j.cie.2025.111465</t>
  </si>
  <si>
    <t>Scenario+benchmark</t>
  </si>
  <si>
    <t>synthetic+benchmark Homayouni and Fontes (Fattahi using Brandimarte + Chambers and Barnes)</t>
  </si>
  <si>
    <t>Improving scheduling with AGVs</t>
  </si>
  <si>
    <t>Li2025Evolutionary</t>
  </si>
  <si>
    <t>https://doi.org/10.1016/j.cor.2025.107149</t>
  </si>
  <si>
    <r>
      <rPr/>
      <t xml:space="preserve">synthetic+benchmark </t>
    </r>
    <r>
      <rPr>
        <color rgb="FF1155CC"/>
        <u/>
      </rPr>
      <t>FT-crowston</t>
    </r>
    <r>
      <rPr/>
      <t xml:space="preserve">, </t>
    </r>
    <r>
      <rPr>
        <color rgb="FF1155CC"/>
        <u/>
      </rPr>
      <t>LA, SWV</t>
    </r>
  </si>
  <si>
    <t>Dynamic job Shop Scheduling</t>
  </si>
  <si>
    <t>Delay time + Process time</t>
  </si>
  <si>
    <t>Improve dynamic scheduling</t>
  </si>
  <si>
    <t>Yuan2025Deep</t>
  </si>
  <si>
    <t>https://doi.org/10.1016/j.knosys.2025.114192</t>
  </si>
  <si>
    <t>Makespan + production cost</t>
  </si>
  <si>
    <t>Improve real-time adaptive scheduling</t>
  </si>
  <si>
    <t>Hu2025Dynamic</t>
  </si>
  <si>
    <t>https://doi.org/10.1016/j.aei.2025.103195</t>
  </si>
  <si>
    <t>Hierarchical RL</t>
  </si>
  <si>
    <t>Makespan + Logistics cost</t>
  </si>
  <si>
    <t>Enable collaboration between production and logistics</t>
  </si>
  <si>
    <t>Shi2025Productionlogistics</t>
  </si>
  <si>
    <t>https://doi.org/10.1109/TEVC.2025.3543770</t>
  </si>
  <si>
    <t>Genetic Algorithm, Metaheuristic</t>
  </si>
  <si>
    <t>Makespan + Tardiness</t>
  </si>
  <si>
    <t>Improve dynamic re/scheduling</t>
  </si>
  <si>
    <t>Chen2025Optimizing</t>
  </si>
  <si>
    <t>https://doi.org/10.3390/math13010004</t>
  </si>
  <si>
    <t>synthetic+benchmark Kacem</t>
  </si>
  <si>
    <t xml:space="preserve">Improve rescheduling </t>
  </si>
  <si>
    <t>Yan2025A</t>
  </si>
  <si>
    <t>2025_cloud-fog-edge_based_computing_architechture_and_a_hierarchical_decision_approach_for_distributed_synchronized_manufacturing_systems</t>
  </si>
  <si>
    <t>Cloud-fog-edge based computing architechture and a hierarchical decision approach for distributed synchronized manufacturing systems</t>
  </si>
  <si>
    <t>https://doi.org/10.1016/j.aei.2025.103386</t>
  </si>
  <si>
    <t>--up</t>
  </si>
  <si>
    <t>synthetic+industrial data (operational parameters)</t>
  </si>
  <si>
    <t>Metaheuristic, Genetic Algorithm, ALNS, Tabu Search</t>
  </si>
  <si>
    <t>Total system cost(production + distribution)</t>
  </si>
  <si>
    <t>Improving distribution across factories</t>
  </si>
  <si>
    <t>Hong2025Cloudfogedge</t>
  </si>
  <si>
    <t>Idk but it says they operate with small batch orders</t>
  </si>
  <si>
    <r>
      <rPr>
        <rFont val="Calibri, sans-serif"/>
        <color rgb="FF1155CC"/>
        <sz val="11.0"/>
        <u/>
      </rPr>
      <t>https://doi.org/10.1109/SMC54092.2024.10831278</t>
    </r>
  </si>
  <si>
    <t>Minimise makespan &amp; Total logistics cost</t>
  </si>
  <si>
    <t>Shi2024ProductionLogistics</t>
  </si>
  <si>
    <t>https://doi.org/10.1109/ICMLCA63499.2024.10754379</t>
  </si>
  <si>
    <t>Benchmark</t>
  </si>
  <si>
    <t>Hurink J benchmark and Behnke D benchmark</t>
  </si>
  <si>
    <t>Actor-Critic, MDP, Genetic Algorithm, Clustering, DNN</t>
  </si>
  <si>
    <t>India</t>
  </si>
  <si>
    <t>Sun2024Research</t>
  </si>
  <si>
    <r>
      <rPr>
        <rFont val="Calibri, sans-serif"/>
        <color rgb="FF1155CC"/>
        <sz val="11.0"/>
        <u/>
      </rPr>
      <t>https://doi.org/10.1080/00207543.2024.2408671</t>
    </r>
  </si>
  <si>
    <t>Instudtrial Case study</t>
  </si>
  <si>
    <t>DT, Communication</t>
  </si>
  <si>
    <t>Genetic Algorithm, ALNS, Simulated Annealing, Metaheuristic</t>
  </si>
  <si>
    <t>Paint</t>
  </si>
  <si>
    <t>Production cost, production time, storage cost, storage time</t>
  </si>
  <si>
    <t>enhancing production-logistics synchronisation</t>
  </si>
  <si>
    <t>Zhang2024Digital</t>
  </si>
  <si>
    <r>
      <rPr>
        <rFont val="Calibri, sans-serif"/>
        <color rgb="FF1155CC"/>
        <sz val="11.0"/>
        <u/>
      </rPr>
      <t>https://doi.org/10.1007/978-981-97-5675-9_8</t>
    </r>
  </si>
  <si>
    <t>GNN, PPO</t>
  </si>
  <si>
    <t>He2024Deep</t>
  </si>
  <si>
    <t>https://doi.org/10.1007/978-981-97-5581-3_15</t>
  </si>
  <si>
    <t>GNN, Optimisation, PPO</t>
  </si>
  <si>
    <t>Energy efficiency</t>
  </si>
  <si>
    <t>Xu2024Ab</t>
  </si>
  <si>
    <t>https://doi.org/10.1109/ACCESS.2024.3430218</t>
  </si>
  <si>
    <t>Genetic Algorithm, Optimisation</t>
  </si>
  <si>
    <t>Pereira2024Energy</t>
  </si>
  <si>
    <r>
      <rPr>
        <rFont val="Calibri, sans-serif"/>
        <color rgb="FF1155CC"/>
        <sz val="11.0"/>
        <u/>
      </rPr>
      <t>https://doi.org/10.1007/978-981-97-0194-0_11</t>
    </r>
  </si>
  <si>
    <t>AGV/AMR, RL</t>
  </si>
  <si>
    <t>DQN, MDP</t>
  </si>
  <si>
    <t>Hou2024Deep</t>
  </si>
  <si>
    <r>
      <rPr>
        <rFont val="Calibri, sans-serif"/>
        <color rgb="FF1155CC"/>
        <sz val="11.0"/>
        <u/>
      </rPr>
      <t>https://doi.org/10.1007/978-981-97-2275-4_4</t>
    </r>
  </si>
  <si>
    <t>Zhang2024ExpertGuided</t>
  </si>
  <si>
    <t>https://doi.org/10.1109/TII.2023.3272661</t>
  </si>
  <si>
    <t>GNN, MDP, MLP, Optimisation</t>
  </si>
  <si>
    <t>Solving the dynamic flexible job shop scheduling problem (improved scheduling)</t>
  </si>
  <si>
    <t>Lei2024LargeScale</t>
  </si>
  <si>
    <r>
      <rPr>
        <rFont val="Calibri, sans-serif"/>
        <color rgb="FF1155CC"/>
        <sz val="11.0"/>
        <u/>
      </rPr>
      <t>https://doi.org/10.1016/j.cie.2023.109718</t>
    </r>
  </si>
  <si>
    <t>scenario+industrial case study+Benchmark</t>
  </si>
  <si>
    <r>
      <rPr>
        <rFont val="Calibri, sans-serif"/>
        <color rgb="FF000000"/>
        <sz val="11.0"/>
      </rPr>
      <t>Synthetic+industrial data+Benchmark (</t>
    </r>
    <r>
      <rPr>
        <rFont val="Calibri, sans-serif"/>
        <color rgb="FF1155CC"/>
        <sz val="11.0"/>
        <u/>
      </rPr>
      <t>HAM,2020 based on HUdata (Hurink,) flexible job shop (sdata, edata, rdata, vdata with 3 layouts)</t>
    </r>
    <r>
      <rPr>
        <rFont val="Calibri, sans-serif"/>
        <color rgb="FF000000"/>
        <sz val="11.0"/>
      </rPr>
      <t>)</t>
    </r>
  </si>
  <si>
    <t>Electronics</t>
  </si>
  <si>
    <t>Zhang2023Dynamic</t>
  </si>
  <si>
    <r>
      <rPr>
        <rFont val="Calibri, sans-serif"/>
        <color rgb="FF1155CC"/>
        <sz val="11.0"/>
        <u/>
      </rPr>
      <t>https://doi.org/10.1016/j.cie.2023.109650</t>
    </r>
  </si>
  <si>
    <t>scenario+industrial Case study</t>
  </si>
  <si>
    <t xml:space="preserve">Synthetic+industrial data </t>
  </si>
  <si>
    <t>Huang2023A</t>
  </si>
  <si>
    <r>
      <rPr>
        <rFont val="Calibri, sans-serif"/>
        <color rgb="FF1155CC"/>
        <sz val="11.0"/>
        <u/>
      </rPr>
      <t>https://doi.org/10.1016/j.engappai.2023.106864</t>
    </r>
  </si>
  <si>
    <r>
      <rPr>
        <rFont val="Calibri, sans-serif"/>
        <color rgb="FF000000"/>
        <sz val="11.0"/>
        <u/>
      </rPr>
      <t xml:space="preserve">synthetic based on </t>
    </r>
    <r>
      <rPr>
        <rFont val="Calibri, sans-serif"/>
        <color rgb="FF0000FF"/>
        <sz val="11.0"/>
        <u/>
      </rPr>
      <t>Expanded_benchmark instances Mk01-Mk15 from Braindimarte</t>
    </r>
  </si>
  <si>
    <t>Xu2023Multiobjective</t>
  </si>
  <si>
    <r>
      <rPr>
        <rFont val="Calibri, sans-serif"/>
        <color rgb="FF1155CC"/>
        <sz val="11.0"/>
        <u/>
      </rPr>
      <t>https://doi.org/10.1109/TII.2022.3189725</t>
    </r>
  </si>
  <si>
    <r>
      <rPr>
        <rFont val="Calibri, sans-serif"/>
        <color rgb="FF000000"/>
        <sz val="11.0"/>
      </rPr>
      <t>Synthetic+Benchmark data (</t>
    </r>
    <r>
      <rPr>
        <rFont val="Calibri, sans-serif"/>
        <color rgb="FF1155CC"/>
        <sz val="11.0"/>
        <u/>
      </rPr>
      <t>Braindimarte mk01-mk10</t>
    </r>
    <r>
      <rPr>
        <rFont val="Calibri, sans-serif"/>
        <color rgb="FF000000"/>
        <sz val="11.0"/>
      </rPr>
      <t xml:space="preserve"> and </t>
    </r>
    <r>
      <rPr>
        <rFont val="Calibri, sans-serif"/>
        <color rgb="FF1155CC"/>
        <sz val="11.0"/>
        <u/>
      </rPr>
      <t>Hurink la instances (rdata, edata, and vdata)</t>
    </r>
    <r>
      <rPr>
        <rFont val="Calibri, sans-serif"/>
        <color rgb="FF000000"/>
        <sz val="11.0"/>
      </rPr>
      <t>).</t>
    </r>
  </si>
  <si>
    <t>Song2023Flexible</t>
  </si>
  <si>
    <r>
      <rPr>
        <rFont val="Calibri, sans-serif"/>
        <color rgb="FF1155CC"/>
        <sz val="11.0"/>
        <u/>
      </rPr>
      <t>https://doi.org/10.1016/j.future.2024.05.058</t>
    </r>
  </si>
  <si>
    <t>Genetic Algorithm</t>
  </si>
  <si>
    <t>machine utilisation</t>
  </si>
  <si>
    <t xml:space="preserve">improved Scheduling </t>
  </si>
  <si>
    <t>Zhou2024Practical</t>
  </si>
  <si>
    <r>
      <rPr>
        <rFont val="Calibri, sans-serif"/>
        <color rgb="FF1155CC"/>
        <sz val="11.0"/>
        <u/>
      </rPr>
      <t>https://doi.org/10.1016/j.cie.2025.111342</t>
    </r>
  </si>
  <si>
    <t>Simulation+Industrial case study+benchmark+scenario.</t>
  </si>
  <si>
    <r>
      <rPr>
        <rFont val="Calibri, sans-serif"/>
        <color rgb="FF000000"/>
        <sz val="11.0"/>
      </rPr>
      <t xml:space="preserve">indutrial data+Synethic+benchmark </t>
    </r>
    <r>
      <rPr>
        <rFont val="Calibri, sans-serif"/>
        <color rgb="FF1155CC"/>
        <sz val="11.0"/>
        <u/>
      </rPr>
      <t>fattahi</t>
    </r>
    <r>
      <rPr>
        <rFont val="Calibri, sans-serif"/>
        <color rgb="FF000000"/>
        <sz val="11.0"/>
      </rPr>
      <t>.</t>
    </r>
  </si>
  <si>
    <t>RL, IoT</t>
  </si>
  <si>
    <t>DQN, Optimisation</t>
  </si>
  <si>
    <t>Ding2025Deep</t>
  </si>
  <si>
    <r>
      <rPr>
        <rFont val="Calibri, sans-serif"/>
        <color rgb="FF1155CC"/>
        <sz val="11.0"/>
        <u/>
      </rPr>
      <t>https://doi.org/10.3390/app151810108</t>
    </r>
  </si>
  <si>
    <r>
      <rPr>
        <rFont val="Calibri, sans-serif"/>
        <color rgb="FF000000"/>
        <sz val="11.0"/>
      </rPr>
      <t>Synthetic+Benchmark dataset. (</t>
    </r>
    <r>
      <rPr>
        <rFont val="Calibri, sans-serif"/>
        <color rgb="FF1155CC"/>
        <sz val="11.0"/>
        <u/>
      </rPr>
      <t xml:space="preserve">Brandimarte </t>
    </r>
    <r>
      <rPr>
        <rFont val="Calibri, sans-serif"/>
        <color rgb="FF000000"/>
        <sz val="11.0"/>
      </rPr>
      <t xml:space="preserve">[40], </t>
    </r>
    <r>
      <rPr>
        <rFont val="Calibri, sans-serif"/>
        <color rgb="FF1155CC"/>
        <sz val="11.0"/>
        <u/>
      </rPr>
      <t xml:space="preserve">Dauzère </t>
    </r>
    <r>
      <rPr>
        <rFont val="Calibri, sans-serif"/>
        <color rgb="FF000000"/>
        <sz val="11.0"/>
      </rPr>
      <t xml:space="preserve">[41], </t>
    </r>
    <r>
      <rPr>
        <rFont val="Calibri, sans-serif"/>
        <color rgb="FF1155CC"/>
        <sz val="11.0"/>
        <u/>
      </rPr>
      <t xml:space="preserve">Taillard </t>
    </r>
    <r>
      <rPr>
        <rFont val="Calibri, sans-serif"/>
        <color rgb="FF000000"/>
        <sz val="11.0"/>
      </rPr>
      <t xml:space="preserve">[42], </t>
    </r>
    <r>
      <rPr>
        <rFont val="Calibri, sans-serif"/>
        <color rgb="FF1155CC"/>
        <sz val="11.0"/>
        <u/>
      </rPr>
      <t xml:space="preserve">Demirkol </t>
    </r>
    <r>
      <rPr>
        <rFont val="Calibri, sans-serif"/>
        <color rgb="FF000000"/>
        <sz val="11.0"/>
      </rPr>
      <t xml:space="preserve">[43], and </t>
    </r>
    <r>
      <rPr>
        <rFont val="Calibri, sans-serif"/>
        <color rgb="FF1155CC"/>
        <sz val="11.0"/>
        <u/>
      </rPr>
      <t xml:space="preserve">Lawrence </t>
    </r>
    <r>
      <rPr>
        <rFont val="Calibri, sans-serif"/>
        <color rgb="FF000000"/>
        <sz val="11.0"/>
      </rPr>
      <t>[44])</t>
    </r>
  </si>
  <si>
    <t>Feature Extraction, Optimisation, Policy Gradient</t>
  </si>
  <si>
    <t>tardiness</t>
  </si>
  <si>
    <t>Zhang2025Optimization</t>
  </si>
  <si>
    <r>
      <rPr>
        <rFont val="Calibri, sans-serif"/>
        <color rgb="FF1155CC"/>
        <sz val="11.0"/>
        <u/>
      </rPr>
      <t>https://doi.org/10.1115/1.4068980</t>
    </r>
  </si>
  <si>
    <t>Optimisation, Simulation</t>
  </si>
  <si>
    <t>Lee2025Cognitive</t>
  </si>
  <si>
    <r>
      <rPr>
        <rFont val="Calibri, sans-serif"/>
        <color rgb="FF1155CC"/>
        <sz val="11.0"/>
        <u/>
      </rPr>
      <t>https://doi.org/10.1016/j.jfranklin.2025.107944</t>
    </r>
  </si>
  <si>
    <r>
      <rPr>
        <rFont val="Calibri, sans-serif"/>
        <color rgb="FF000000"/>
        <sz val="11.0"/>
      </rPr>
      <t>Synthetic+benchmark datasets (</t>
    </r>
    <r>
      <rPr>
        <rFont val="Calibri, sans-serif"/>
        <color rgb="FF1155CC"/>
        <sz val="11.0"/>
        <u/>
      </rPr>
      <t>Dauzere</t>
    </r>
    <r>
      <rPr>
        <rFont val="Calibri, sans-serif"/>
        <color rgb="FF000000"/>
        <sz val="11.0"/>
      </rPr>
      <t xml:space="preserve">, </t>
    </r>
    <r>
      <rPr>
        <rFont val="Calibri, sans-serif"/>
        <color rgb="FF1155CC"/>
        <sz val="11.0"/>
        <u/>
      </rPr>
      <t>Brandimarte</t>
    </r>
    <r>
      <rPr>
        <rFont val="Calibri, sans-serif"/>
        <color rgb="FF000000"/>
        <sz val="11.0"/>
      </rPr>
      <t xml:space="preserve">, </t>
    </r>
    <r>
      <rPr>
        <rFont val="Calibri, sans-serif"/>
        <color rgb="FF1155CC"/>
        <sz val="11.0"/>
        <u/>
      </rPr>
      <t>Hurink</t>
    </r>
    <r>
      <rPr>
        <rFont val="Calibri, sans-serif"/>
        <color rgb="FF000000"/>
        <sz val="11.0"/>
      </rPr>
      <t>)</t>
    </r>
  </si>
  <si>
    <t>Feature Extraction</t>
  </si>
  <si>
    <t>Zhong2025Flexible</t>
  </si>
  <si>
    <r>
      <rPr>
        <rFont val="Calibri, sans-serif"/>
        <color rgb="FF1155CC"/>
        <sz val="11.0"/>
        <u/>
      </rPr>
      <t>https://doi.org/10.1080/17509653.2025.2498119</t>
    </r>
  </si>
  <si>
    <t>Ensemble Methods, Logistic Regression, Random Forest, SVM</t>
  </si>
  <si>
    <t>Nuclear</t>
  </si>
  <si>
    <t>Risk supplier assessment</t>
  </si>
  <si>
    <t>Supplier performance</t>
  </si>
  <si>
    <t xml:space="preserve">Improved decision making on supplier choice </t>
  </si>
  <si>
    <t>Sherwin2025A</t>
  </si>
  <si>
    <r>
      <rPr>
        <rFont val="Calibri, sans-serif"/>
        <color rgb="FF1155CC"/>
        <sz val="11.0"/>
        <u/>
      </rPr>
      <t>https://doi.org/10.1080/0951192X.2024.2343677</t>
    </r>
  </si>
  <si>
    <t>industrial Case study</t>
  </si>
  <si>
    <t>energy efficiency</t>
  </si>
  <si>
    <t xml:space="preserve">improved scheduling </t>
  </si>
  <si>
    <t>Li2025Energyaware</t>
  </si>
  <si>
    <r>
      <rPr>
        <rFont val="Calibri, sans-serif"/>
        <color rgb="FF1155CC"/>
        <sz val="11.0"/>
        <u/>
      </rPr>
      <t>https://doi.org/10.1007/978-3-031-86489-6_17</t>
    </r>
  </si>
  <si>
    <t>No quanative benchmark or statistical experiments (Proof-of-Concept (Fcous on implementaiton))</t>
  </si>
  <si>
    <t>Other</t>
  </si>
  <si>
    <t>Fault detection</t>
  </si>
  <si>
    <t>Improved fault detection in manual production</t>
  </si>
  <si>
    <t>Rubel2025AgentBased</t>
  </si>
  <si>
    <t>2020_energy-efficient_single-machine_scheduling_problem_with_controllable_job_processing_times_under_differential_electricity_pricing</t>
  </si>
  <si>
    <t>Energy-efficient single-machine scheduling problem with controllable job processing times under differential electricity pricing</t>
  </si>
  <si>
    <t>https://doi.org/10.1016/j.resconrec.2020.104902</t>
  </si>
  <si>
    <t>Genetic Algorithm, Fuzzy Logic, MILP, Solver</t>
  </si>
  <si>
    <t>Taiwan</t>
  </si>
  <si>
    <t>total energy cost</t>
  </si>
  <si>
    <t>Minimise total energy consumption</t>
  </si>
  <si>
    <t>Tsao2020Energyefficient</t>
  </si>
  <si>
    <t>2020_idle_time_and_capacity_control_for_a_single_machine_scheduling_problem_with_dynamic_electricity_pricing</t>
  </si>
  <si>
    <t>Idle time and capacity control for a single machine scheduling problem with dynamic electricity pricing</t>
  </si>
  <si>
    <t>https://doi.org/10.1007/s12063-020-00156-x</t>
  </si>
  <si>
    <t>MINLP</t>
  </si>
  <si>
    <t>Just-In-Time cost (too early or tardiness (too late)), total operations energy cost, idle energy cost, repair cost</t>
  </si>
  <si>
    <t>Creating an energy-efficient production schedule</t>
  </si>
  <si>
    <t>Lee2020Idle</t>
  </si>
  <si>
    <t>2020_smart_energy-aware_manufacturing_plant_scheduling_under_uncertainty:_a_risk-based_multi-objective_robust_optimization_approach</t>
  </si>
  <si>
    <t>Smart Energy-Aware Manufacturing Plant Scheduling under Uncertainty: A Risk-Based Multi-Objective Robust Optimization Approach</t>
  </si>
  <si>
    <t>https://doi.org/10.1016/j.energy.2020.118385</t>
  </si>
  <si>
    <t>MILP, Solver</t>
  </si>
  <si>
    <t>Iran</t>
  </si>
  <si>
    <t>co2 emmision,  economic cost, comfort cost, (mb scenario expected cost + robustness penalties (want to ensure that shcedules performing well in general are those which is chossen)).</t>
  </si>
  <si>
    <t xml:space="preserve">Scheduling according to energy pricing </t>
  </si>
  <si>
    <t>Golpira2020Smart</t>
  </si>
  <si>
    <t>2023_energy-efficient_single-machine_scheduling_with_release_dates_under_time-of-use_electricity_tariffs</t>
  </si>
  <si>
    <t>Energy-efficient single-machine scheduling with release dates under time-of-use electricity tariffs</t>
  </si>
  <si>
    <t>https://doi.org/10.1016/j.jclepro.2023.136228</t>
  </si>
  <si>
    <t>MILP, Heuristic, Tabu Search, Solver</t>
  </si>
  <si>
    <t>total electricity cost</t>
  </si>
  <si>
    <t xml:space="preserve">Energy efficient Single machine scheduling </t>
  </si>
  <si>
    <t>Wu2023Energyefficient</t>
  </si>
  <si>
    <t>2025_a_multi-objective_artificial_bee_colony_algorithm_for_single_machine_scheduling_with_family_setup_under_tou_tariffs</t>
  </si>
  <si>
    <t>A multi-objective artificial bee colony algorithm for single machine scheduling with family setup under TOU tariffs</t>
  </si>
  <si>
    <t>https://doi.org/10.1080/00207543.2024.2431178</t>
  </si>
  <si>
    <t>Metaheuristic, Metric, Solver</t>
  </si>
  <si>
    <t>Pressure vessels</t>
  </si>
  <si>
    <t>total electricity cost, tardiness</t>
  </si>
  <si>
    <t>Minimising total tardiness and energy useage</t>
  </si>
  <si>
    <t>Xue2025Multiobjective</t>
  </si>
  <si>
    <t>x (Special in that it is comprehensive and does multi-objective optimisation.</t>
  </si>
  <si>
    <t>Energy Efficiency &amp; Tardiness</t>
  </si>
  <si>
    <t>2025_a_simheuristic_approach_to_optimize_energy_consumption_in_the_single-machine_scheduling_problem_with_stochastic_processing_times</t>
  </si>
  <si>
    <t>A simheuristic approach to optimize energy consumption in the single-machine scheduling problem with stochastic processing times</t>
  </si>
  <si>
    <t>https://doi.org/10.1016/j.cie.2025.111580</t>
  </si>
  <si>
    <t>scnario</t>
  </si>
  <si>
    <t>Simulated Annealing, GRASP, Monte Carlo Simulation, MILP, Solver</t>
  </si>
  <si>
    <t>total energy consumption</t>
  </si>
  <si>
    <t xml:space="preserve">Single Machine scheduling </t>
  </si>
  <si>
    <t>Bittencourt2025Simheuristic</t>
  </si>
  <si>
    <t>2016_an_efficient_greedy_insertion_heuristic_for_energy-conscious_single_machine_scheduling_problem_under_time-of-use_electricity_tariffs</t>
  </si>
  <si>
    <t>An efficient greedy insertion heuristic for energy-conscious single machine scheduling problem under time-of-use electricity tariffs</t>
  </si>
  <si>
    <t>https://doi.org/10.1016/j.jclepro.2016.03.150</t>
  </si>
  <si>
    <t>Che2016Efficient</t>
  </si>
  <si>
    <t>https://doi.org/10.1016/j.jmsy.2024.03.015</t>
  </si>
  <si>
    <t>synthetic+lab data</t>
  </si>
  <si>
    <t>HRC, RL, Robotics</t>
  </si>
  <si>
    <t>Human-robot collaboration</t>
  </si>
  <si>
    <t>Developing safe HRCs</t>
  </si>
  <si>
    <t>Li2024Unleashing</t>
  </si>
  <si>
    <t>x (Does something different)</t>
  </si>
  <si>
    <t>https://doi.org/10.3390/app14010283</t>
  </si>
  <si>
    <t>Questionnaires and interviews</t>
  </si>
  <si>
    <t>HRC, Robotics</t>
  </si>
  <si>
    <t>Switzerland</t>
  </si>
  <si>
    <t>Creating no-code version of RTMN?</t>
  </si>
  <si>
    <t>ZhangSprenger2024RTMN</t>
  </si>
  <si>
    <t>https://doi.org/10.1109/MSN63567.2024.00058</t>
  </si>
  <si>
    <t>Process monitoring</t>
  </si>
  <si>
    <t>N/A (development time)</t>
  </si>
  <si>
    <t>optimising development time using DT</t>
  </si>
  <si>
    <t>Yu2024Design</t>
  </si>
  <si>
    <t>https://doi.org/10.1007/s10845-021-01826-8</t>
  </si>
  <si>
    <t>Lab environment with industrial pilot test case</t>
  </si>
  <si>
    <t>Robotics</t>
  </si>
  <si>
    <t>Austria</t>
  </si>
  <si>
    <t>Production setup</t>
  </si>
  <si>
    <t>Robustness --&gt; Planning computation time, plan cost, object recognition precision, object recognition accuracy, qualitative metrics (flexibility, programming effort reduction, adaptability)</t>
  </si>
  <si>
    <t xml:space="preserve">Enabling flexible robot planning </t>
  </si>
  <si>
    <t>Hoebert2023Knowledgedriven</t>
  </si>
  <si>
    <t>https://doi.org/10.1109/WSC57314.2022.10015282</t>
  </si>
  <si>
    <t>Combining DT and DES</t>
  </si>
  <si>
    <t>Devanga2022Applied</t>
  </si>
  <si>
    <t>https://doi.org/10.1007/978-3-031-14844-6_3</t>
  </si>
  <si>
    <t>Case study, 3-axis universal machining center</t>
  </si>
  <si>
    <t>IoT</t>
  </si>
  <si>
    <t>Defect prevenetion</t>
  </si>
  <si>
    <t>Developing a sensor network</t>
  </si>
  <si>
    <t>Tanane2022Toward</t>
  </si>
  <si>
    <t>https://doi.org/10.1109/TEM.2018.2846627</t>
  </si>
  <si>
    <t>Case study</t>
  </si>
  <si>
    <t>Tardiness + energy cost</t>
  </si>
  <si>
    <t>Developing energy-aware scheduling framework</t>
  </si>
  <si>
    <t>Rubaiee2019An</t>
  </si>
  <si>
    <t>https://doi.org/10.1016/j.swevo.2024.101762</t>
  </si>
  <si>
    <r>
      <rPr/>
      <t xml:space="preserve">litterature data+benchmark data </t>
    </r>
    <r>
      <rPr>
        <color rgb="FF1155CC"/>
        <u/>
      </rPr>
      <t>scholl ALBP</t>
    </r>
  </si>
  <si>
    <t>HRC, Robotics, RL</t>
  </si>
  <si>
    <t>Evolutionary Algorithm, Metaheuristic, Q-Learning</t>
  </si>
  <si>
    <t>Productivity + cost</t>
  </si>
  <si>
    <t>Improving assembly lines with skilled human-robot colllab</t>
  </si>
  <si>
    <t>Tian2024Balancing</t>
  </si>
  <si>
    <t>https://doi.org/10.1016/j.jmsy.2023.11.019</t>
  </si>
  <si>
    <t>Sweden</t>
  </si>
  <si>
    <t>Marine engine</t>
  </si>
  <si>
    <t>Operator allocation</t>
  </si>
  <si>
    <t>Max. throughput, min. operators, min. number of forklifts</t>
  </si>
  <si>
    <t>Supporting resource-allocation decisions</t>
  </si>
  <si>
    <t>Mahmoodi2024Datadriven</t>
  </si>
  <si>
    <t>https://doi.org/10.1109/TSMC.2023.3317390</t>
  </si>
  <si>
    <t>Search Algorithm, Reinforcement Learning, DQN</t>
  </si>
  <si>
    <t>Improve cell scheduling with DRL</t>
  </si>
  <si>
    <t>Kim2024Deep</t>
  </si>
  <si>
    <t>https://doi.org/10.1016/j.procir.2023.09.195</t>
  </si>
  <si>
    <t>DT, IoT, Robotics, OPC UA</t>
  </si>
  <si>
    <t>Bicycles</t>
  </si>
  <si>
    <t>Dashboard perspectives</t>
  </si>
  <si>
    <t>Versatile and adaptive information for digital twins</t>
  </si>
  <si>
    <t>Slot2023Versatile</t>
  </si>
  <si>
    <t>https://doi.org/10.1155/2022/5892943</t>
  </si>
  <si>
    <t>IoT, Robotics</t>
  </si>
  <si>
    <t>Transport cost + tardiness cost</t>
  </si>
  <si>
    <t>Optimising cloud manufacturing</t>
  </si>
  <si>
    <t>Du2022Production</t>
  </si>
  <si>
    <t>https://doi.org/10.1016/j.compind.2021.103433</t>
  </si>
  <si>
    <t>scenario+lab case study</t>
  </si>
  <si>
    <t>HRC</t>
  </si>
  <si>
    <t>Simulation, MCTS</t>
  </si>
  <si>
    <t>Production cycle completition time</t>
  </si>
  <si>
    <t>MCTS for rapid online scheduling</t>
  </si>
  <si>
    <t>Senington2021Monte</t>
  </si>
  <si>
    <t>https://doi.org/10.1016/j.asoc.2025.113474</t>
  </si>
  <si>
    <r>
      <rPr/>
      <t xml:space="preserve">synthetic based on extended_benchmark dataset of (lei Lei01-Lei05 </t>
    </r>
    <r>
      <rPr>
        <color rgb="FF1155CC"/>
        <u/>
      </rPr>
      <t>link1</t>
    </r>
    <r>
      <rPr/>
      <t xml:space="preserve"> and </t>
    </r>
    <r>
      <rPr>
        <color rgb="FF1155CC"/>
        <u/>
      </rPr>
      <t>link2</t>
    </r>
    <r>
      <rPr/>
      <t xml:space="preserve">, Reman </t>
    </r>
    <r>
      <rPr>
        <color rgb="FF1155CC"/>
        <u/>
      </rPr>
      <t>Remai01-Reman08</t>
    </r>
    <r>
      <rPr/>
      <t xml:space="preserve">, and Li </t>
    </r>
    <r>
      <rPr>
        <color rgb="FF1155CC"/>
        <u/>
      </rPr>
      <t>FMK01-FMK10</t>
    </r>
    <r>
      <rPr/>
      <t>)</t>
    </r>
  </si>
  <si>
    <t>IoT, RL</t>
  </si>
  <si>
    <t>DQN, MDP, MARL</t>
  </si>
  <si>
    <t>Distributed fuzzy flexible job shop scheduling</t>
  </si>
  <si>
    <t>Makespan + energy consumption</t>
  </si>
  <si>
    <t>Energy efficient D fuzzy FJS scheduling</t>
  </si>
  <si>
    <t>Zhang2025Multiagent</t>
  </si>
  <si>
    <t>https://doi.org/10.1016/j.cie.2025.111310</t>
  </si>
  <si>
    <t>Actor-Critic, DQN, MDP, Optimisation</t>
  </si>
  <si>
    <t>Improve dynamic FJSP</t>
  </si>
  <si>
    <t>Yan2025Deep</t>
  </si>
  <si>
    <t>https://doi.org/10.1016/j.ins.2025.122023</t>
  </si>
  <si>
    <t>ML, RL</t>
  </si>
  <si>
    <t>Federated Learning, GNN</t>
  </si>
  <si>
    <t>Improving real-time scheduling</t>
  </si>
  <si>
    <t>Zhang2025Integrated</t>
  </si>
  <si>
    <t>https://doi.org/10.32604/cmc.2025.065153</t>
  </si>
  <si>
    <r>
      <rPr/>
      <t>benchmark (</t>
    </r>
    <r>
      <rPr>
        <color rgb="FF1155CC"/>
        <u/>
      </rPr>
      <t>ft06, ft10 (Fisher); orb1–orb5 (Applegate &amp; Cook); la11–la30 (Lawrence); abz5, abz7–abz9 (Adams, Balas &amp; Zawack); ta61–ta63, ta71–ta72 (Taillard)</t>
    </r>
    <r>
      <rPr/>
      <t>)</t>
    </r>
  </si>
  <si>
    <t>Utilisation</t>
  </si>
  <si>
    <t>Improving dynamic mutlirobot scheduling</t>
  </si>
  <si>
    <t>Lyu2025Pathfinder</t>
  </si>
  <si>
    <t>https://doi.org/10.1109/CEC65147.2025.11043017</t>
  </si>
  <si>
    <t>GNN, Optimisation, Policy Gradient</t>
  </si>
  <si>
    <t>Solving FJSS</t>
  </si>
  <si>
    <t>Yang2025Evolutionary</t>
  </si>
  <si>
    <t>https://doi.org/10.1016/j.jmsy.2021.09.018</t>
  </si>
  <si>
    <t>Simulation (benchmark problems)</t>
  </si>
  <si>
    <r>
      <rPr/>
      <t xml:space="preserve">synthetic based on extended_benchmark </t>
    </r>
    <r>
      <rPr>
        <color rgb="FF1155CC"/>
        <u/>
      </rPr>
      <t>fattahi</t>
    </r>
  </si>
  <si>
    <t>Tardiness cost + maintenance cost</t>
  </si>
  <si>
    <t>Joint optimisation for scheduling and PM</t>
  </si>
  <si>
    <t>Ghaleb2021Realtime</t>
  </si>
  <si>
    <t>2025_job_shop_scheduling_problem_with_a_dual-gripper_robot</t>
  </si>
  <si>
    <t>Job shop scheduling problem with a dual-gripper robot</t>
  </si>
  <si>
    <t>https://doi.org/10.1080/24725854.2025.2561569</t>
  </si>
  <si>
    <t>Communication</t>
  </si>
  <si>
    <t>Mathematical Programming, MILP</t>
  </si>
  <si>
    <t>Makespan + robot energy consumption</t>
  </si>
  <si>
    <t>Efficient task sequences for robots</t>
  </si>
  <si>
    <t>Mao2025Job</t>
  </si>
  <si>
    <t>2025_predictive_model-based_multi-objective_optimization_with_life-long_meta-learning_for_designing_unreliable_production_systems</t>
  </si>
  <si>
    <t>Predictive model-based multi-objective optimization with life-long meta-learning for designing unreliable production systems</t>
  </si>
  <si>
    <t>https://doi.org/10.1016/j.cor.2025.107011</t>
  </si>
  <si>
    <t>DES, Multi-Objective Optimisation</t>
  </si>
  <si>
    <t>Max. Throughput, min. buffers, operators and AMRs</t>
  </si>
  <si>
    <t>Optimise with model-based multi-objective</t>
  </si>
  <si>
    <t>Mahmoodi2025Predictive</t>
  </si>
  <si>
    <t>replaces a computationally heavy simulation model with random forest regressor, because of its long runtime.</t>
  </si>
  <si>
    <t>https://doi.org/10.1109/ICIEA49774.2020.9101999</t>
  </si>
  <si>
    <t>Data collection and visualization</t>
  </si>
  <si>
    <t>improve decision support</t>
  </si>
  <si>
    <t>Fang2020The</t>
  </si>
  <si>
    <t>https://doi.org/10.1109/ACCESS.2020.3029868</t>
  </si>
  <si>
    <r>
      <rPr/>
      <t xml:space="preserve">synthetic+benchmark data </t>
    </r>
    <r>
      <rPr>
        <color rgb="FF1155CC"/>
        <u/>
      </rPr>
      <t>ft (Fisher and Thompson), abz (Adam, Balas and Zawack), la Lawrence, orb (Applegate and Cook), yn (Yamada and Nakano), swv (Storer, Wu and Vaccari), ta Taillard</t>
    </r>
    <r>
      <rPr/>
      <t xml:space="preserve"> and </t>
    </r>
    <r>
      <rPr>
        <color rgb="FF1155CC"/>
        <u/>
      </rPr>
      <t>dmu (Demirkol, Metha and Uzsoy)</t>
    </r>
    <r>
      <rPr/>
      <t>.</t>
    </r>
  </si>
  <si>
    <t>CNN, GNN, DQN</t>
  </si>
  <si>
    <t>Adaptive job SSP</t>
  </si>
  <si>
    <t>improves scheduling efficiency</t>
  </si>
  <si>
    <t>Han2020Research</t>
  </si>
  <si>
    <t>paper_6.pdf</t>
  </si>
  <si>
    <t>AI, IoT</t>
  </si>
  <si>
    <t>Genetic Algorithm, Optimisation, Simulation</t>
  </si>
  <si>
    <t>Reconfiguration management</t>
  </si>
  <si>
    <t>Robustness --&gt; differential (expected vs actual produced elements), availability, elements produced, processing time</t>
  </si>
  <si>
    <t>reduce production loss</t>
  </si>
  <si>
    <t>Baltazar2020Prescriptive</t>
  </si>
  <si>
    <t>https://doi.org/10.1016/j.procir.2020.03.047</t>
  </si>
  <si>
    <t>AI, RL</t>
  </si>
  <si>
    <t>improve decision making</t>
  </si>
  <si>
    <t>Burggrf2020Performance</t>
  </si>
  <si>
    <t>Can be used to argue for AI vs human on a demonstrating level (very lightly).</t>
  </si>
  <si>
    <t>https://doi.org/10.1007/978-3-030-53956-6_10</t>
  </si>
  <si>
    <t>Data Mining, Decision Tree, Optimisation</t>
  </si>
  <si>
    <t>Flexible Job SSP</t>
  </si>
  <si>
    <t>minimize makespan</t>
  </si>
  <si>
    <t>Peng2020The</t>
  </si>
  <si>
    <t>https://doi.org/10.1109/EDOCW.2019.00022</t>
  </si>
  <si>
    <t>AGV/AMR, IoT</t>
  </si>
  <si>
    <t>Data Mining</t>
  </si>
  <si>
    <t>improves process visiblity</t>
  </si>
  <si>
    <t>Bemthuis2019An</t>
  </si>
  <si>
    <t>https://doi.org/10.1109/ICPHM.2019.8819397</t>
  </si>
  <si>
    <t>Simulation+benchmark</t>
  </si>
  <si>
    <r>
      <rPr/>
      <t xml:space="preserve">Benchmark data </t>
    </r>
    <r>
      <rPr>
        <color rgb="FF1155CC"/>
        <u/>
      </rPr>
      <t>Fisher</t>
    </r>
  </si>
  <si>
    <t>Predictive Maintenance, Genetic Algorithm, Optimisation</t>
  </si>
  <si>
    <t>Maintenance integrated job SSP</t>
  </si>
  <si>
    <t>improve scheduling</t>
  </si>
  <si>
    <t>Zhai2019Formulation</t>
  </si>
  <si>
    <t>https://doi.org/10.1007/978-3-030-30487-4_44</t>
  </si>
  <si>
    <r>
      <rPr/>
      <t>Benchmark data benchmark data</t>
    </r>
    <r>
      <rPr>
        <color rgb="FF1155CC"/>
        <u/>
      </rPr>
      <t xml:space="preserve"> ft (Fisher and Thompson), abz (Adam, Balas and Zawack), la Lawrence, orb (Applegate and Cook)</t>
    </r>
    <r>
      <rPr/>
      <t>.</t>
    </r>
  </si>
  <si>
    <t>MARL, Optimisation</t>
  </si>
  <si>
    <t>Job SSP</t>
  </si>
  <si>
    <t>Makespan+Tardiness</t>
  </si>
  <si>
    <t>optimize multiple scheduling objectives</t>
  </si>
  <si>
    <t>MndezHernndez2019A</t>
  </si>
  <si>
    <t>https://doi.org/10.1016/j.procir.2019.03.041</t>
  </si>
  <si>
    <t>reduce fault isolation time</t>
  </si>
  <si>
    <t>Kuhnle2019Design</t>
  </si>
  <si>
    <t>https://doi.org/10.1016/j.cirp.2019.04.001</t>
  </si>
  <si>
    <t xml:space="preserve">Simulation+indsutrial case study </t>
  </si>
  <si>
    <t>reduce makespan</t>
  </si>
  <si>
    <t>Gdri2019Data</t>
  </si>
  <si>
    <t>https://doi.org/10.3390/technologies6040107</t>
  </si>
  <si>
    <t>CPS, IoT</t>
  </si>
  <si>
    <t>Robustness --&gt; Work-in-Progress (WIP), number of setup operations, demand fulfillment (throughput vs demand), inventory level, machine utilization</t>
  </si>
  <si>
    <t>optimise decision making</t>
  </si>
  <si>
    <t>Leusin2018Solving</t>
  </si>
  <si>
    <t>https://doi.org/10.1109/ICCNEA57056.2022.00091</t>
  </si>
  <si>
    <t>indstrial case study+prototype</t>
  </si>
  <si>
    <t>Improve real-time visibility and intelligent control of shop-floor operations</t>
  </si>
  <si>
    <t>Yang2022Research</t>
  </si>
  <si>
    <t>Mostly conceptual</t>
  </si>
  <si>
    <t>https://doi.org/10.1016/j.asoc.2025.113712</t>
  </si>
  <si>
    <t>Industrial Case study+benchmark</t>
  </si>
  <si>
    <r>
      <rPr/>
      <t xml:space="preserve">industrial data+ synthetic based on benchmark data </t>
    </r>
    <r>
      <rPr>
        <color rgb="FF1155CC"/>
        <u/>
      </rPr>
      <t>Brandimarte</t>
    </r>
  </si>
  <si>
    <t>Feature Extraction, GNN, MDP, Optimisation, PPO</t>
  </si>
  <si>
    <t>dynamic flexible job shop scheduling</t>
  </si>
  <si>
    <t>makespan</t>
  </si>
  <si>
    <t>improve schedulling efficiency</t>
  </si>
  <si>
    <t>Hu2025Graphbased</t>
  </si>
  <si>
    <t>https://doi.org/10.1016/j.ins.2025.121906</t>
  </si>
  <si>
    <r>
      <rPr/>
      <t xml:space="preserve">benchmark data taillard, </t>
    </r>
    <r>
      <rPr>
        <color rgb="FF1155CC"/>
        <u/>
      </rPr>
      <t xml:space="preserve">dmu </t>
    </r>
    <r>
      <rPr/>
      <t xml:space="preserve">(Demirkol, Metha and Uzsoy), </t>
    </r>
    <r>
      <rPr>
        <color rgb="FF1155CC"/>
        <u/>
      </rPr>
      <t>la, ft, abz, orb, swv</t>
    </r>
  </si>
  <si>
    <t>Optimisation, PPO</t>
  </si>
  <si>
    <t>improve schedulling decisions</t>
  </si>
  <si>
    <t>Hua2025Solving</t>
  </si>
  <si>
    <t>https://doi.org/10.1016/j.rcim.2024.102917</t>
  </si>
  <si>
    <t>optimise scheduling</t>
  </si>
  <si>
    <t>Lee2025A</t>
  </si>
  <si>
    <t>https://doi.org/10.1016/j.engappai.2024.109488</t>
  </si>
  <si>
    <r>
      <rPr/>
      <t xml:space="preserve">benchmark data </t>
    </r>
    <r>
      <rPr>
        <color rgb="FF1155CC"/>
        <u/>
      </rPr>
      <t>Behnke and vdata Hurink</t>
    </r>
  </si>
  <si>
    <t>improve scheduling performance under dynamic conditions</t>
  </si>
  <si>
    <t>Echeverria2025Diverse</t>
  </si>
  <si>
    <t>https://doi.org/10.1016/j.procs.2024.01.130</t>
  </si>
  <si>
    <t>AI</t>
  </si>
  <si>
    <t>improve resource utilization for better decision support</t>
  </si>
  <si>
    <t>Elbasheer2024Leveraging</t>
  </si>
  <si>
    <t>https://doi.org/10.1109/ICARSC65809.2025.10970151</t>
  </si>
  <si>
    <t>AI, AGV/AMR, Robotics</t>
  </si>
  <si>
    <t>improve reliability of schedules</t>
  </si>
  <si>
    <t>Rema2025Exploring</t>
  </si>
  <si>
    <t>Bad results</t>
  </si>
  <si>
    <t>https://doi.org/10.1016/j.asoc.2025.113531</t>
  </si>
  <si>
    <r>
      <rPr/>
      <t xml:space="preserve">synthetic+benchmark data </t>
    </r>
    <r>
      <rPr>
        <color rgb="FF1155CC"/>
        <u/>
      </rPr>
      <t>Boccia</t>
    </r>
  </si>
  <si>
    <t>improve makespan</t>
  </si>
  <si>
    <t>Zhou2025A</t>
  </si>
  <si>
    <t>https://doi.org/10.1109/TCSI.2023.3328901</t>
  </si>
  <si>
    <t>Simulations</t>
  </si>
  <si>
    <t>improve scheduling efficiency using RL</t>
  </si>
  <si>
    <t>Zhang2024Ab</t>
  </si>
  <si>
    <t>https://doi.org/10.1016/j.aei.2023.102307</t>
  </si>
  <si>
    <t>improve real time scheduling efficiency</t>
  </si>
  <si>
    <t>Yang2024Learning</t>
  </si>
  <si>
    <t>https://doi.org/10.1016/j.ifacol.2025.09.354</t>
  </si>
  <si>
    <t>Clustering, ANN</t>
  </si>
  <si>
    <t>Customization level prediction</t>
  </si>
  <si>
    <t>robustness --&gt; classification accuracy, confusion matrix, clustering quality</t>
  </si>
  <si>
    <t>improve decision making for mass customization</t>
  </si>
  <si>
    <t>PatalasMaliszewska2025AIDriven</t>
  </si>
  <si>
    <t>https://doi.org/10.1109/TEVC.2024.3400043</t>
  </si>
  <si>
    <r>
      <rPr/>
      <t xml:space="preserve">synthetic+extended_benchmark data mk </t>
    </r>
    <r>
      <rPr>
        <color rgb="FF1155CC"/>
        <u/>
      </rPr>
      <t>Brandimarte</t>
    </r>
    <r>
      <rPr/>
      <t xml:space="preserve">, DP01-10 </t>
    </r>
    <r>
      <rPr>
        <color rgb="FF1155CC"/>
        <u/>
      </rPr>
      <t>Dauzere</t>
    </r>
  </si>
  <si>
    <t>Evolutionary Algorithm, Optimisation</t>
  </si>
  <si>
    <t>Distributed Flexible Job SSP</t>
  </si>
  <si>
    <t>makespan+energy consumption</t>
  </si>
  <si>
    <t>balance production efficiency and maintenance decisions</t>
  </si>
  <si>
    <t>Yan2025Ab</t>
  </si>
  <si>
    <t>https://doi.org/10.1016/j.procir.2018.03.098</t>
  </si>
  <si>
    <t>industrial case study+simulation</t>
  </si>
  <si>
    <t>Data Mining, Forecasting, Simulation</t>
  </si>
  <si>
    <t>Slovenia</t>
  </si>
  <si>
    <t>Robustness --&gt; work-system work overload (WSO), prediction accuracy, forecasting error</t>
  </si>
  <si>
    <t>improve production quality and delivery reliability</t>
  </si>
  <si>
    <t>Kozjek2018Big</t>
  </si>
  <si>
    <t>https://doi.org/10.1007/s40436-023-00454-0</t>
  </si>
  <si>
    <t>Power equipment</t>
  </si>
  <si>
    <t>data dtiven optimisation to improve production logistics</t>
  </si>
  <si>
    <t>Ling2024Manufacturing</t>
  </si>
  <si>
    <t>https://doi.org/10.1111/poms.14021</t>
  </si>
  <si>
    <t>improve robustness of predictions under distributional shifts</t>
  </si>
  <si>
    <t>Senoner2023Addressing</t>
  </si>
  <si>
    <t>2025_towards_a_trusted_synchronized_decision_making_method_for_social_production_logistics_systems_based_on_blockchain_and_digital_twin</t>
  </si>
  <si>
    <t>towards a trusted synchronized decision making method for social production logistics systems based on blockchain and digital twin</t>
  </si>
  <si>
    <t>https://doi.org/10.1016/j.rcim.2025.102965</t>
  </si>
  <si>
    <t>indsutrial case study+simulation</t>
  </si>
  <si>
    <t>DT, Blockchain</t>
  </si>
  <si>
    <t>Air conditioner</t>
  </si>
  <si>
    <t>logistics</t>
  </si>
  <si>
    <t>robustness --&gt; total production cost, total distribution cost, total warehousing cost, delay penalty cost, total system cost, completion time</t>
  </si>
  <si>
    <t>improve scalabiity and real worls validation for multi-enterprise systems</t>
  </si>
  <si>
    <t>Zhang2025Trusted</t>
  </si>
  <si>
    <t>2025_a digital_twin_and_big_data_driven_opti_state_control_framework_for_production_logistics_synchronisation_system</t>
  </si>
  <si>
    <t>a digital twin and big data driven opti state control framework for production logistics synchronisation system</t>
  </si>
  <si>
    <t>https://doi.org/10.1049/cim2.70024</t>
  </si>
  <si>
    <t>industrial setting</t>
  </si>
  <si>
    <t>improve real time adabtability and validation on real world production data</t>
  </si>
  <si>
    <t>Zhang2025Digital</t>
  </si>
  <si>
    <t>2025_digital_twin_based_adaptive_opti_state_control_approach_for_production_logistics_synchronisation_system</t>
  </si>
  <si>
    <t>digital twin based adaptive opti state control approach for production logistics synchronisation system</t>
  </si>
  <si>
    <t>https://doi.org/10.1080/00207543.2025.2546030</t>
  </si>
  <si>
    <t>enhance real time disruption response</t>
  </si>
  <si>
    <t>deployd</t>
  </si>
  <si>
    <t>Zhang2025Digitala</t>
  </si>
  <si>
    <t>https://doi.org/10.1177/16878132221086120</t>
  </si>
  <si>
    <t>Improve scheduling in dynamic environments</t>
  </si>
  <si>
    <t>Zhou2022Reinforcement</t>
  </si>
  <si>
    <t>https://doi.org/10.1007/s11740-021-01064-0</t>
  </si>
  <si>
    <t>benchmark+dataset+industrial case study</t>
  </si>
  <si>
    <r>
      <rPr>
        <color rgb="FF1155CC"/>
        <u/>
      </rPr>
      <t>benchmark mk (Brandimarte)</t>
    </r>
    <r>
      <rPr>
        <color theme="1"/>
      </rPr>
      <t>+industrial data+synthetic</t>
    </r>
  </si>
  <si>
    <t>DL</t>
  </si>
  <si>
    <t>Predictive Maintenance, Genetic Algorithm, Metaheuristic</t>
  </si>
  <si>
    <t>Balance time efficiency and cost in multi objective schedduling</t>
  </si>
  <si>
    <t>Zhai2022Predictive</t>
  </si>
  <si>
    <t>https://doi.org/10.1108/VJIKMS-08-2021-0146</t>
  </si>
  <si>
    <t>AI, ML</t>
  </si>
  <si>
    <t>ANN, Forecasting</t>
  </si>
  <si>
    <t>Home appliances</t>
  </si>
  <si>
    <t>improve accurate prediction of job flowtime for better scheduling</t>
  </si>
  <si>
    <t>Modesti2024Artificial</t>
  </si>
  <si>
    <t>https://doi.org/10.1109/CAC63892.2024.10864691</t>
  </si>
  <si>
    <r>
      <rPr>
        <color theme="1"/>
      </rPr>
      <t>synthetic+benchmark data (</t>
    </r>
    <r>
      <rPr>
        <color rgb="FF1155CC"/>
        <u/>
      </rPr>
      <t>Which is not indicated</t>
    </r>
    <r>
      <rPr>
        <color theme="1"/>
      </rPr>
      <t>)</t>
    </r>
  </si>
  <si>
    <t>Wang2024Unified</t>
  </si>
  <si>
    <t>https://doi.org/10.1109/ICICIS52592.2021.9694207</t>
  </si>
  <si>
    <r>
      <rPr>
        <color theme="1"/>
      </rPr>
      <t xml:space="preserve">synthetic+benchmark data </t>
    </r>
    <r>
      <rPr>
        <color rgb="FF1155CC"/>
        <u/>
      </rPr>
      <t>Demirkol</t>
    </r>
  </si>
  <si>
    <t>Actor-Critic, CNN, LSTM</t>
  </si>
  <si>
    <t>improve decision quality in dynamic environments</t>
  </si>
  <si>
    <t>Elsayed2021Deep</t>
  </si>
  <si>
    <t>https://doi.org/10.1109/MLISE54096.2021.00049</t>
  </si>
  <si>
    <t>benchmark kacem</t>
  </si>
  <si>
    <t>AGV/AMR, DL, RL</t>
  </si>
  <si>
    <t>Yan2021Autonomous</t>
  </si>
  <si>
    <t>https://doi.org/10.1080/00207543.2023.2217285</t>
  </si>
  <si>
    <t>robustness --&gt; total production costs, logistics costs, makespan, computation time</t>
  </si>
  <si>
    <t>Antons2024Designing</t>
  </si>
  <si>
    <t>https://doi.org/10.1016/j.cor.2023.106294</t>
  </si>
  <si>
    <t>Singapore</t>
  </si>
  <si>
    <t>Liu2023A</t>
  </si>
  <si>
    <t>https://doi.org/10.3390/s23094498</t>
  </si>
  <si>
    <t>IoT, Sensors</t>
  </si>
  <si>
    <t>Lithuania</t>
  </si>
  <si>
    <t>Production optimization</t>
  </si>
  <si>
    <t>reduce schedulling time</t>
  </si>
  <si>
    <t>Skr2023Optimization</t>
  </si>
  <si>
    <t>https://doi.org/10.1080/00207543.2024.2434948</t>
  </si>
  <si>
    <t>Genetic Algorithm, LSTM, RNN, Tabu Search</t>
  </si>
  <si>
    <t>Supply chain</t>
  </si>
  <si>
    <t>improve real world robustness under uncertainity</t>
  </si>
  <si>
    <t>Bubak2025An</t>
  </si>
  <si>
    <t>https://doi.org/10.1016/j.cie.2024.110646</t>
  </si>
  <si>
    <t>Hierarchical RL, DQN, Constraint Programming, Dispatching Rules</t>
  </si>
  <si>
    <t>Improve generalization to real-world dynamic shop conditions</t>
  </si>
  <si>
    <t>Ouahabi2025Dynamic</t>
  </si>
  <si>
    <t>https://doi.org/10.1016/j.ijpe.2024.109447</t>
  </si>
  <si>
    <t>Real industrial case study+simulation</t>
  </si>
  <si>
    <t>industrial data+synthetic+expert knowledge</t>
  </si>
  <si>
    <t>Simulation-Optimisation, Surrogate Model, Genetic Algorithm, MCDM</t>
  </si>
  <si>
    <t>improve scheddulling</t>
  </si>
  <si>
    <t>Lee2025Ab</t>
  </si>
  <si>
    <t>https://doi.org/10.1109/ICESEP66633.2025.11155526</t>
  </si>
  <si>
    <t>Multi-Objective Optimisation, NSGA-II, Genetic Algorithm</t>
  </si>
  <si>
    <t>optimize scheduling and energy consumption</t>
  </si>
  <si>
    <t>Ma2025Research</t>
  </si>
  <si>
    <t>https://doi.org/10.1109/FASTA65681.2025.11138246</t>
  </si>
  <si>
    <r>
      <rPr>
        <color rgb="FF424242"/>
      </rPr>
      <t xml:space="preserve">synthetic+benchmark data mk </t>
    </r>
    <r>
      <rPr>
        <color rgb="FF1155CC"/>
        <u/>
      </rPr>
      <t xml:space="preserve">Brandimarte </t>
    </r>
    <r>
      <rPr>
        <color rgb="FF424242"/>
      </rPr>
      <t xml:space="preserve">and hurink </t>
    </r>
    <r>
      <rPr>
        <color theme="1"/>
      </rPr>
      <t>rdata,vdata,edata</t>
    </r>
    <r>
      <rPr>
        <color rgb="FF424242"/>
      </rPr>
      <t xml:space="preserve"> </t>
    </r>
  </si>
  <si>
    <t>RL, CPS</t>
  </si>
  <si>
    <t>Attention Mechanism, State-Space Model, PPO</t>
  </si>
  <si>
    <t>Li2025Ab</t>
  </si>
  <si>
    <t>https://www.diva-portal.org/smash/record.jsf?pid=diva2%3A1991113&amp;dswid=8075</t>
  </si>
  <si>
    <t>simulation+industrial case study</t>
  </si>
  <si>
    <t>Forecasting</t>
  </si>
  <si>
    <t>Vietnam</t>
  </si>
  <si>
    <t>improve forcasting accuracy under demand conditions</t>
  </si>
  <si>
    <t>Flyckt2025Navigating</t>
  </si>
  <si>
    <t>L3, and will be removed from L2 table</t>
  </si>
  <si>
    <t>https://doi.org/10.1080/00207543.2025.2550454</t>
  </si>
  <si>
    <t>DQN, Dispatching Rules</t>
  </si>
  <si>
    <t>makespan+tardiness</t>
  </si>
  <si>
    <t>improve robustness under dcynamic conditions</t>
  </si>
  <si>
    <t>Yi2025Dynamic</t>
  </si>
  <si>
    <t>https://doi.org/10.1109/JIOT.2025.3584811</t>
  </si>
  <si>
    <t>IoT, RL, MAS</t>
  </si>
  <si>
    <t>improve scalability</t>
  </si>
  <si>
    <t>Zeng2025PermutationInvariant</t>
  </si>
  <si>
    <t>https://doi.org/10.1109/ACCESS.2025.3577044</t>
  </si>
  <si>
    <t>benchmark+scenario+industrial case study</t>
  </si>
  <si>
    <r>
      <rPr>
        <color theme="1"/>
      </rPr>
      <t xml:space="preserve">benchmark mk </t>
    </r>
    <r>
      <rPr>
        <color rgb="FF1155CC"/>
        <u/>
      </rPr>
      <t>Brandimarte</t>
    </r>
    <r>
      <rPr>
        <color theme="1"/>
      </rPr>
      <t>+synthetic+industrial data</t>
    </r>
  </si>
  <si>
    <t>RL, MAS</t>
  </si>
  <si>
    <t>Game Theory</t>
  </si>
  <si>
    <t>Pump manufacturing</t>
  </si>
  <si>
    <t>flexible assembly job shop scheduling</t>
  </si>
  <si>
    <t>Improve generalization beyond single-case evaluation and real-world scalability</t>
  </si>
  <si>
    <t>Wang2025MultiObjective</t>
  </si>
  <si>
    <t>https://doi.org/10.1080/00207543.2025.2512226</t>
  </si>
  <si>
    <t>RL, HRC</t>
  </si>
  <si>
    <t>improve real world scalability with complex worker constraints</t>
  </si>
  <si>
    <t>Zhong2025Solving</t>
  </si>
  <si>
    <t>https://doi.org/10.1016/j.cie.2024.110006</t>
  </si>
  <si>
    <t>MES</t>
  </si>
  <si>
    <t>Dispatching Rules, Heuristic</t>
  </si>
  <si>
    <t>Improve trade-off between scheduling efficiency and energy optimization</t>
  </si>
  <si>
    <t>Salatiello2024Longsighted</t>
  </si>
  <si>
    <t>2026_an_innovative_meta–heuristic_for_balancing_and_scheduling_human–robot_collaborative_assembly_lines_in_industry_5.0</t>
  </si>
  <si>
    <t>An innovative meta–heuristic for balancing and scheduling human–robot collaborative assembly lines in Industry 5.0</t>
  </si>
  <si>
    <t>https://doi.org/10.1080/21681015.2025.2533436</t>
  </si>
  <si>
    <t>Simulation-based evaluation using real automotive case studies and benchmark datasets.</t>
  </si>
  <si>
    <t>industrial+synthetic</t>
  </si>
  <si>
    <t>Heuristic, Metaheuristic, Simulated Annealing</t>
  </si>
  <si>
    <t>Japan</t>
  </si>
  <si>
    <t>No (Assembly Line Balancing Problem)</t>
  </si>
  <si>
    <t>reduce cycle time while balancing workload between human and robot</t>
  </si>
  <si>
    <t>Fits into L1 better?</t>
  </si>
  <si>
    <t>Zhang2025Innovative</t>
  </si>
  <si>
    <t>2026_deep_reinforcement_learning_for_scheduling_semiconductor_cluster_tools_in_varying_configurations</t>
  </si>
  <si>
    <t>Deep reinforcement learning for scheduling semiconductor cluster tools in varying configurations</t>
  </si>
  <si>
    <t>https://doi.org/10.1038/s41598-025-31722-7</t>
  </si>
  <si>
    <t>Simulation based evaluation using a realistic cluster tool simulator</t>
  </si>
  <si>
    <t>DQN, MARL, DES, Simulation</t>
  </si>
  <si>
    <t>Improve scheduling efficiency under varying tool configurations</t>
  </si>
  <si>
    <t>Fits into L1 or L0 better?</t>
  </si>
  <si>
    <t>Choi2025Deep</t>
  </si>
  <si>
    <t>2026_knowledge_guided_drl_for_intelligent_reconfiguration_and_scheduling_in_customized_and_personalized_manufacturing_workshop</t>
  </si>
  <si>
    <t>Knowledge Guided DRL for Intelligent Reconfiguration and Scheduling in Customized and Personalized Manufacturing Workshop</t>
  </si>
  <si>
    <t>https://doi.org/10.1109/TII.2025.3610442</t>
  </si>
  <si>
    <t>Simulation-based evaluation on constructed reconfigurable CPP scheduling instances.</t>
  </si>
  <si>
    <t>minimize delays in production</t>
  </si>
  <si>
    <t>-------</t>
  </si>
  <si>
    <t>Lan2026Knowledge</t>
  </si>
  <si>
    <t>2026_unrelated_parallel_machine_scheduling_problem_with_setup_times_and_additional_resources:_an_enhanced_metaheuristic_to_address_resource-related_infeasibilities</t>
  </si>
  <si>
    <t>Unrelated parallel machine scheduling problem with setup times and additional resources: an enhanced metaheuristic to address resource-related infeasibilities</t>
  </si>
  <si>
    <t>https://doi.org/10.1007/s10479-026-07065-5</t>
  </si>
  <si>
    <t>Large scale computational bechmarking on 1000 synthetic instances</t>
  </si>
  <si>
    <t>synthetic based on_benchmark Taillard (1993), Vallada and Ruiz (2011), Báez et al. (2019), Berthier et
al. (2022), Fanjul-Peyró et al. (2019)</t>
  </si>
  <si>
    <t>GRASP, Metaheuristic, Optimisation</t>
  </si>
  <si>
    <t>No (Unrelated Parallel Machine Scheduling Problem)</t>
  </si>
  <si>
    <t>improve solution quality under constraints</t>
  </si>
  <si>
    <t>Yepes-borrero2026Unrelated</t>
  </si>
  <si>
    <t>2025_a_framework_for_3d_plant_simulation_of_meal-kit-packaging_robot_automation_system</t>
  </si>
  <si>
    <t>A Framework for 3D Plant Simulation of Meal-Kit-Packaging Robot Automation System</t>
  </si>
  <si>
    <t>https://doi.org/10.3390/app15084116</t>
  </si>
  <si>
    <t>Manual vs single robot double robot layouts</t>
  </si>
  <si>
    <t>Robotics, Sensors</t>
  </si>
  <si>
    <t>3D simulation</t>
  </si>
  <si>
    <t>optimize robot configuration</t>
  </si>
  <si>
    <t>Kim2025Framework</t>
  </si>
  <si>
    <t>2025_a_learning-based_assembly_sequence_planning_method_using_neural_combinatorial_optimization_with_satisfactory_generalization_ability</t>
  </si>
  <si>
    <t>A Learning-Based Assembly Sequence Planning Method Using Neural Combinatorial Optimization With Satisfactory Generalization Ability</t>
  </si>
  <si>
    <t>https://doi.org/10.1109/TASE.2024.3493617</t>
  </si>
  <si>
    <t>Simulation assembly graphs</t>
  </si>
  <si>
    <t>Neural Combinatorial Optimisation</t>
  </si>
  <si>
    <t>Assembly planning</t>
  </si>
  <si>
    <t>No (Sequence Planning Problem)</t>
  </si>
  <si>
    <t>robustness --&gt; movement distance, angular rotation time, total time consumption</t>
  </si>
  <si>
    <t>Hou2025Learningbased</t>
  </si>
  <si>
    <t>2025_a_dual_spatial_temporal_neural_network_for_bottleneck_prediction_in_manufacturing_systems</t>
  </si>
  <si>
    <t>A dual spatial temporal neural network for bottleneck prediction in manufacturing systems</t>
  </si>
  <si>
    <t>https://doi.org/10.1016/j.engappai.2025.111586</t>
  </si>
  <si>
    <t>Stochastic production line simulation</t>
  </si>
  <si>
    <t>Neural Network</t>
  </si>
  <si>
    <t>Bottleneck prediction</t>
  </si>
  <si>
    <t>improve bottleneck prediction</t>
  </si>
  <si>
    <t>Cen2025Dual</t>
  </si>
  <si>
    <t>2025_a_hybrid_optimization_approach_integrating_genetic_algorithm_and_monte_carlo_tree_search_for_multi-machine_scheduling_in_manufacturing_irregular_solid_wood_furniture_parts</t>
  </si>
  <si>
    <t>A hybrid optimization approach integrating genetic algorithm and Monte Carlo tree search for multi-machine scheduling in manufacturing irregular solid wood furniture parts</t>
  </si>
  <si>
    <t>https://doi.org/10.1080/17480272.2025.2505133</t>
  </si>
  <si>
    <t>Real furniture production case</t>
  </si>
  <si>
    <t>Genetic Algorithm, MCTS, Metaheuristic</t>
  </si>
  <si>
    <t>Furniture</t>
  </si>
  <si>
    <t>improve machine utilization and workload</t>
  </si>
  <si>
    <t>Fu2025Hybrid</t>
  </si>
  <si>
    <t>2025_collaborative_optimization_of_intelligent_manufacturing_system_and_industrial_design_based_on_improved_genetic_algorithm</t>
  </si>
  <si>
    <t>Collaborative optimization of intelligent manufacturing system and industrial design based on improved genetic algorithm</t>
  </si>
  <si>
    <t>https://doi.org/10.1007/s12008-025-02316-4</t>
  </si>
  <si>
    <t>10 manufactruing cases</t>
  </si>
  <si>
    <t>Combined design and production optimization</t>
  </si>
  <si>
    <t>robustness --&gt; production efficiency (output per unit time), total cost (materials + equipment + labor), defect rate</t>
  </si>
  <si>
    <t>Wang2025Collaborative</t>
  </si>
  <si>
    <t>2025_data-driven_layout_design_for_smart_remanufacturing:_a_flexible_optimization_model_and_a_case_study</t>
  </si>
  <si>
    <t>Data-driven layout design for smart remanufacturing: a flexible optimization model and a case study</t>
  </si>
  <si>
    <t>https://doi.org/10.1007/s12008-025-02296-5</t>
  </si>
  <si>
    <t>10 numerical cases</t>
  </si>
  <si>
    <t>MILP, Mathematical Programming, Metaheuristic</t>
  </si>
  <si>
    <t>resuce material handling cost</t>
  </si>
  <si>
    <t>Afari2025Datadriven</t>
  </si>
  <si>
    <t>2025_from_black_box_to_analytical_insight:_a_data-driven_evaluation_of_technological_sustainability_in_manufacturing_supply_chains</t>
  </si>
  <si>
    <t>From black box to analytical insight: A data-driven evaluation of technological sustainability in manufacturing supply chains</t>
  </si>
  <si>
    <t>https://doi.org/10.1016/j.sca.2025.100171</t>
  </si>
  <si>
    <t>One-year longitudinal comparison</t>
  </si>
  <si>
    <t>ERP, SCADA, KPI systems</t>
  </si>
  <si>
    <t>Ceramic tile</t>
  </si>
  <si>
    <t>improve sustainability assessment</t>
  </si>
  <si>
    <t>Fits better into L3/L4?</t>
  </si>
  <si>
    <t>Vacchi2025Black</t>
  </si>
  <si>
    <t>2025_generative_ai-powered_planning:_a_hybrid_graph-diffusion_approach_for_demand-driven_flexible_manufacturing_systems</t>
  </si>
  <si>
    <t>Generative AI-powered planning: A hybrid graph-diffusion approach for demand-driven flexible manufacturing systems</t>
  </si>
  <si>
    <t>https://doi.org/10.1016/j.jmsy.2025.08.016</t>
  </si>
  <si>
    <t>200 FSMS instances</t>
  </si>
  <si>
    <t>robustness --&gt; demand satisfaction rate, yield/output, resource utilization (number of workstations/buffers/robots), resource efficiency, Permanent Production Loss (PPL), ICC alignment rate (%), topology constraint adherence (%), material flow continuity rate, robustness under disruptions (yield under downtime)</t>
  </si>
  <si>
    <t>improve robustness and planning</t>
  </si>
  <si>
    <t>Li2025Generative</t>
  </si>
  <si>
    <t>2025_hybrid_deep_learning-reinforcement_learning_for_adaptive_human-robot_task_allocation_in_industry_5.0</t>
  </si>
  <si>
    <t>Hybrid Deep Learning-Reinforcement Learning for Adaptive Human-Robot Task Allocation in Industry 5.0</t>
  </si>
  <si>
    <t>https://doi.org/10.3390/systems13080631</t>
  </si>
  <si>
    <t>1000 DT simulation episodes</t>
  </si>
  <si>
    <t>DQN, CNN</t>
  </si>
  <si>
    <t>throughput, mental workload (fatigue), Safety (completed tasks without collission)</t>
  </si>
  <si>
    <t>Increase throughput while reducing operator fatigue</t>
  </si>
  <si>
    <t>Urrea2025Hybrid</t>
  </si>
  <si>
    <t>2025_real-time_scheduling_for_production-logistics_collaborative_environment_using_multi-agent_deep_reinforcement_learning</t>
  </si>
  <si>
    <t>Real-time scheduling for production-logistics collaborative environment using multi-agent deep reinforcement learning</t>
  </si>
  <si>
    <t>https://doi.org/10.1016/j.aei.2025.103216</t>
  </si>
  <si>
    <t>-</t>
  </si>
  <si>
    <t>synthetic+ industrial data</t>
  </si>
  <si>
    <t>AGV/AMR, IoT, Edge Computing, Cloud, RL</t>
  </si>
  <si>
    <t>Ship components</t>
  </si>
  <si>
    <t>scheduling</t>
  </si>
  <si>
    <t>JSSP (kinda, same math but quite different case, I will still count it as JSSP)</t>
  </si>
  <si>
    <t>total tardiness</t>
  </si>
  <si>
    <t>Reduce makespan by improving coordination between production and logistics in real-time scheduling</t>
  </si>
  <si>
    <t>Minimize Makespan</t>
  </si>
  <si>
    <t>Li2025Realtime</t>
  </si>
  <si>
    <t>2025_dynamic_scheduling_for_flexible_job-shop_with_reconfigurable_manufacturing_cells_considering_dynamic_job_arrivals_based_on_deep_reinforcement_learning</t>
  </si>
  <si>
    <t>Dynamic scheduling for flexible job-shop with reconfigurable manufacturing cells considering dynamic job arrivals based on deep reinforcement learning</t>
  </si>
  <si>
    <t>https://doi.org/10.1080/00207543.2025.2497961</t>
  </si>
  <si>
    <t>RMS, RL</t>
  </si>
  <si>
    <t>Dynamic FLexible JSSP</t>
  </si>
  <si>
    <t>makespan, total tardiness</t>
  </si>
  <si>
    <t>Optimise scheduling instability</t>
  </si>
  <si>
    <t>Minimize Tradiness, Minimize Makespan</t>
  </si>
  <si>
    <t>Zheng2025Dynamic</t>
  </si>
  <si>
    <t>2025_collaborative_contracting_for_manufacturing-as-a-service_maas_by_information_content_measurement_and_decision_tree_learning</t>
  </si>
  <si>
    <t>https://doi.org/10.1016/j.aei.2023.101911</t>
  </si>
  <si>
    <t>Decision Tree, Fuzzy Methods, Uncertainty Modelling</t>
  </si>
  <si>
    <t xml:space="preserve">Orthodontic brace </t>
  </si>
  <si>
    <t>Manufacturing service selection</t>
  </si>
  <si>
    <t>Robustness --&gt; Degree of Satisfaction</t>
  </si>
  <si>
    <t>Select the best-matching manufacturing service provider</t>
  </si>
  <si>
    <t>Customer satisfaction</t>
  </si>
  <si>
    <t>Gong2023Collaborative</t>
  </si>
  <si>
    <t>2025_enhancing_internal_supply_chain_management_in_manufacturing_through_a_simulation-based_digital_twin_platform</t>
  </si>
  <si>
    <t>https://doi.org/10.1016/j.cie.2024.110670</t>
  </si>
  <si>
    <t>Simulation, DES</t>
  </si>
  <si>
    <t>Oil and gas</t>
  </si>
  <si>
    <t>Production planning</t>
  </si>
  <si>
    <t>Robustness --&gt; Flow Time, Tardiness, Number of Late Orders</t>
  </si>
  <si>
    <t>Improve internal supply chain performance through better production planning using digital twin</t>
  </si>
  <si>
    <t>Minimize  Tardiness</t>
  </si>
  <si>
    <t>Cimino2024Enhancing</t>
  </si>
  <si>
    <t>This paper uses digital twin for decision support.</t>
  </si>
  <si>
    <t>Snowball</t>
  </si>
  <si>
    <t>Not snowball</t>
  </si>
  <si>
    <t>Total</t>
  </si>
  <si>
    <t>Non scheduling in L2</t>
  </si>
  <si>
    <t>Technology</t>
  </si>
  <si>
    <t>Number of papers</t>
  </si>
  <si>
    <t>Number of Papers</t>
  </si>
  <si>
    <t>Metric</t>
  </si>
  <si>
    <t>Sources</t>
  </si>
  <si>
    <t>Reinforced Learning</t>
  </si>
  <si>
    <t>RQ4</t>
  </si>
  <si>
    <t>Benchmark sets</t>
  </si>
  <si>
    <t>Machine Learning</t>
  </si>
  <si>
    <t>Multi-Agent RL</t>
  </si>
  <si>
    <t>Artificial Intelligence</t>
  </si>
  <si>
    <t>Heuristics</t>
  </si>
  <si>
    <t>Case studies</t>
  </si>
  <si>
    <t>Digital Twin</t>
  </si>
  <si>
    <t>Real-world implementation</t>
  </si>
  <si>
    <t>Internet of Things</t>
  </si>
  <si>
    <t>Genetic algorithm</t>
  </si>
  <si>
    <t>Optimization</t>
  </si>
  <si>
    <t>Cyber Physical System</t>
  </si>
  <si>
    <t>Metaheuristics</t>
  </si>
  <si>
    <t>Graph Learning</t>
  </si>
  <si>
    <t>Robot</t>
  </si>
  <si>
    <t>Multi-objective optimization</t>
  </si>
  <si>
    <t>Automated Guided Vehicle</t>
  </si>
  <si>
    <t>Markov Decision Process</t>
  </si>
  <si>
    <t>Discrete Event Simulation</t>
  </si>
  <si>
    <t>Edge Computing</t>
  </si>
  <si>
    <t>Decision Transformers</t>
  </si>
  <si>
    <t>Multi-Agent System</t>
  </si>
  <si>
    <t>Graph neural network</t>
  </si>
  <si>
    <t>CPLEX Solver</t>
  </si>
  <si>
    <t>Deep Q-network</t>
  </si>
  <si>
    <t>Reconfigurable Manufacturing System</t>
  </si>
  <si>
    <t>Mixed Integer Linear Programming</t>
  </si>
  <si>
    <t>Tabu Search</t>
  </si>
  <si>
    <t>Deep q-network</t>
  </si>
  <si>
    <t>Manufacturing Enterprise System</t>
  </si>
  <si>
    <t>ioT</t>
  </si>
  <si>
    <t>Flexible Manufacturing System</t>
  </si>
  <si>
    <t>MILP</t>
  </si>
  <si>
    <t>Gurobi Solver</t>
  </si>
  <si>
    <t>monte carlo tree search</t>
  </si>
  <si>
    <t>Lingo Software</t>
  </si>
  <si>
    <t>Autonomous Mobile Robot</t>
  </si>
  <si>
    <t>Towards a sustainable, human-centric and resilient European industry</t>
  </si>
  <si>
    <r>
      <rPr>
        <color rgb="FF1155CC"/>
        <u/>
      </rPr>
      <t>https://data.europa.eu/doi/10.2777/308407</t>
    </r>
  </si>
  <si>
    <t>YesBut</t>
  </si>
  <si>
    <t>All</t>
  </si>
  <si>
    <t>European Union</t>
  </si>
  <si>
    <t>Manufacturing</t>
  </si>
  <si>
    <t>Used to better argue for resilience as a driver of decision support in SC, but in principle you can use it on all levels. I just found quite a few articles on resilience so I wanted to give some background knowledge</t>
  </si>
  <si>
    <t xml:space="preserve">This paper does not count towards total included papers. </t>
  </si>
  <si>
    <t>Section name</t>
  </si>
  <si>
    <t>Authors</t>
  </si>
  <si>
    <t>Introduction of findings RQ4</t>
  </si>
  <si>
    <t>Mikkel</t>
  </si>
  <si>
    <t>Introduction of findings RQ2: What process level decision support tries to achieve, and how it is measured?</t>
  </si>
  <si>
    <t>Rasmus</t>
  </si>
  <si>
    <t>Related works</t>
  </si>
  <si>
    <t>Malthe</t>
  </si>
  <si>
    <t>Introduction of decision support in HMLV at the enterprise or Supply chain level (write+reference)+ cleaning RQ2 section</t>
  </si>
  <si>
    <t>Samra</t>
  </si>
  <si>
    <t>Cited in paper</t>
  </si>
  <si>
    <t>Year</t>
  </si>
  <si>
    <t>Theme Group</t>
  </si>
  <si>
    <t>Review Scope</t>
  </si>
  <si>
    <t>Papers Reviewed</t>
  </si>
  <si>
    <t>Manufacturing Context</t>
  </si>
  <si>
    <t>DSS Focus</t>
  </si>
  <si>
    <t>Methods Covered</t>
  </si>
  <si>
    <t>Mfg Levels (L0-L3)</t>
  </si>
  <si>
    <t>Key Contribution</t>
  </si>
  <si>
    <t>Gap relative to our survey</t>
  </si>
  <si>
    <t>Notes</t>
  </si>
  <si>
    <t>Abstract</t>
  </si>
  <si>
    <t>Gan2023Review</t>
  </si>
  <si>
    <t>A Review of the High-Mix, Low-Volume Manufacturing Industry</t>
  </si>
  <si>
    <t>https://doi.org/10.3390/app13031687</t>
  </si>
  <si>
    <t>HMLV broad</t>
  </si>
  <si>
    <t>Broad review of HMLV production research from 2000-2022</t>
  </si>
  <si>
    <t>HMLV</t>
  </si>
  <si>
    <t>Production planning, scheduling, Industry 4.0</t>
  </si>
  <si>
    <t>General (not method-specific)</t>
  </si>
  <si>
    <t>L0-L3</t>
  </si>
  <si>
    <t>Comprehensive mapping of HMLV research landscape, identifies production planning as central research area</t>
  </si>
  <si>
    <t>Does not focus specifically on DSS methods or technologies; no systematic RQ-based analysis of decision support</t>
  </si>
  <si>
    <t>Closest to our survey. Need to add to bib.</t>
  </si>
  <si>
    <t>The high-mix, low-volume (HMLV) industry has seen growth in the need for product customisation with research to increase manufacturers’ flexibility for the variation in market demands. This paper reviews 152 documents from 2000 to October 2022, discussing work related to HMLV production. From an industrial perspective, this paper analyses the industries with HMLV, revealing production sectors and research areas, categorising the developed work, type of validation, and applications. The results show that most work is not industry-specific, with production planning as the central aspect of the research. While other parts of the production processes and value chain received less attention, the semiconductor and electronics industries are the two most researched with substantial validation, leaving gaps in other industries. Earlier work primarily focused on the theoretical development of production planning; however, the development of Industry 4.0 technologies advocates decision support systems for reactive production planning. This period sees the rise in robotics and automation, with improved robotics capability and human—robot collaboration. Assembly assistance systems were developed for manual production to aid operators in managing the variety of information. This paper serves as a reference for the HMLV manufacturing industry in a structured manner while identifying potential for future research in this field.</t>
  </si>
  <si>
    <t>Tahmina2023Survey</t>
  </si>
  <si>
    <t>A Survey of Smart Manufacturing for High-Mix Low-Volume Production in Defense and Aerospace Industries</t>
  </si>
  <si>
    <t>https://doi.org/10.1007/978-3-031-18326-3_24</t>
  </si>
  <si>
    <t>Smart manufacturing for HMLV in defense and aerospace</t>
  </si>
  <si>
    <t>HMLV (defense, aerospace)</t>
  </si>
  <si>
    <t>Process planning, flexible assembly, smart manufacturing</t>
  </si>
  <si>
    <t>Robotics, additive manufacturing, data-driven decision making</t>
  </si>
  <si>
    <t>L0-L2</t>
  </si>
  <si>
    <t>Reviews system-level and process-level flexibility solutions for HMLV in defense/aerospace</t>
  </si>
  <si>
    <t>Sector-specific (defense/aerospace); does not systematically review DSS approaches or scheduling methods</t>
  </si>
  <si>
    <t>Need to add to bib.</t>
  </si>
  <si>
    <t>Defense and aerospace industries usually possess unique high-mix low-volume production characteristics. This uniqueness generally calls for pro- hibitive production costs and long production lead-time. One of the major trends in advanced, smart manufacturing is to be more responsive and better readiness while ensuring the same or higher production quality and lower cost. This study reviews the state-of-the-art manufacturing technologies to solve these issues and previews two levels of flexibility, i.e., system and process, that could potentially reduce the costs while increasing the production volume in such a scenario. The main contribution of the work includes an assessment of the current solutions for HMLV scenarios, especially within the defense of aerospace sectors, and a survey of the current and potential future practices focusing on smart production process planning and flexible assembly plan driven by emerging techniques.</t>
  </si>
  <si>
    <t>Wang2025RLlitreview</t>
  </si>
  <si>
    <t>A literature review of reinforcement learning methods applied to job-shop scheduling problems</t>
  </si>
  <si>
    <t>https://doi.org/10.1016/j.cor.2024.106929</t>
  </si>
  <si>
    <t>RL for scheduling</t>
  </si>
  <si>
    <t>RL methods for JSP, 2016-2023</t>
  </si>
  <si>
    <t>Job-shop scheduling (general)</t>
  </si>
  <si>
    <t>RL (single-agent, multi-agent, upgrade strategies)</t>
  </si>
  <si>
    <t>Systematic analysis of RL for JSP; identifies curse of dimensionality, generalization, and training time as key challenges</t>
  </si>
  <si>
    <t>Focuses on RL methods only; no HMLV context; does not cover non-scheduling DSS</t>
  </si>
  <si>
    <t>Computers &amp; Operations Research. Need to add to bib.</t>
  </si>
  <si>
    <t>The design of personalized onboard itineraries for multiple cruise passengers plays an important role in improving the tourism experience on cruise. Different from itinerary planning for city traveling, the venues on cruise suffer from strict capacity and time-window constraints due to the safety requirements, which results in the coupling effects between itineraries of multiple passengers. This study constructs an optimization model to balancing the gap between passengers while maximizing passenger benefits, develops an Adaptive Large Neighborhood Search algorithm based on Improved destruction-repair operators (IOALNS) to solve multi-passenger itinerary planning. Extensive analyses are performed to demonstrate the performance advantages of the IOALNS algorithm in solving instances with varying sizes. Finally, the test results of cruise passenger instances show that compared with existing multi-passenger travel planning algorithms, the proposed algorithm can improve passenger efficiency by at least 9.98% and reduce computation time by more than 50%. These effectively improve passenger satisfaction and operational efficiency in the cruise industry.</t>
  </si>
  <si>
    <t>Ngwu2025Reinforcement</t>
  </si>
  <si>
    <t>https://doi.org/10.1007/s10845-025-02585-6</t>
  </si>
  <si>
    <t>AI-driven approaches for dynamic JSS</t>
  </si>
  <si>
    <t>Dynamic job-shop scheduling</t>
  </si>
  <si>
    <t>Dynamic scheduling</t>
  </si>
  <si>
    <t>Evolutionary heuristics, ML, RL</t>
  </si>
  <si>
    <t>Reviews integration of AI/RL in dynamic JSS; assesses effectiveness under real-world manufacturing conditions</t>
  </si>
  <si>
    <t>Limited to dynamic JSP; no HMLV framing; does not cover L0/L1/L3 or non-scheduling DSS</t>
  </si>
  <si>
    <t>Already in bib.</t>
  </si>
  <si>
    <t>Dynamic job shop scheduling (DJSS) demands real-time adaptability under unpredictable conditions such as sudden job arrivals, equipment failures, and fluctuating demands. Traditional scheduling approaches—though foundational—often fall short when faced with rapid changes and high computational complexity. Recent developments in artificial intelligence (AI), especially reinforcement learning (RL), offer powerful alternatives by continuously refining scheduling policies through interaction with live shop-floor data. This review systematically examines AI-driven scheduling methods, highlighting how evolutionary heuristics, advanced machine learning, and RL-based algorithms each address the demands of modern manufacturing. Emphasis is placed on RL’s capacity to cope with large state spaces, handle continuous or discrete control, and integrate domain heuristics for more robust real-time decision-making. Despite these advances, challenges remain in algorithm scalability, interpretability, data availability, and standardization of performance metrics. Future directions point toward leveraging digital twins, quantum computing, hybrid models, and explainable RL to ensure more resilient, transparent, and scalable solutions. By illuminating both current achievements and persistent gaps, this review underscores the transformative potential of RL in dynamic scheduling and highlights actionable steps for broader industrial adoption.</t>
  </si>
  <si>
    <t>Chen2025DRLjobshop</t>
  </si>
  <si>
    <t>Deep reinforcement learning for job shop scheduling problems: A comprehensive literature review</t>
  </si>
  <si>
    <t>https://doi.org/10.1016/j.knosys.2025.113633</t>
  </si>
  <si>
    <t>DRL for JSP, 2019-2024</t>
  </si>
  <si>
    <t>Job-shop scheduling</t>
  </si>
  <si>
    <t>DRL (state design, action design, neural network selection)</t>
  </si>
  <si>
    <t>Detailed analysis of DRL design choices (state features, actions, network architectures) for JSP</t>
  </si>
  <si>
    <t>Method-focused; no manufacturing context or HMLV framing; does not cover non-DRL methods</t>
  </si>
  <si>
    <t>Information Sciences 2025. Need to add to bib.</t>
  </si>
  <si>
    <t>Deep reinforcement learning (DRL), which integrates the strengths of reinforcement learning (RL) with deep neural networks, has garnered significant attention in the context of job shop scheduling problems (JSP), flexible job shop scheduling problems (FJSP), and their various extensions. This paper provides a comprehensive review and critical commentary on recent advancements in the application of DRL to JSP, FJSP, and related variants. It summarizes the design approaches for state and action spaces, with a focus on the selection of neural network architectures such as multi-layer perceptron (MLP), convolutional neural network (CNN), recurrent neural network (RNN), attention mechanisms, Transformer, and graph neural network (GNN) for effective state feature extraction. Additionally, the paper introduces the concept of the alignment model (e.g., pointer network) for end-to-end learning. Furthermore, the paper categorizes benchmark-based training into three main approaches: instance-by-instance, instance class, and size-agnostic, and provides a comparative analysis of results from classical JSP studies. Finally, it discusses future research directions and emerging trends. This review serves as a valuable reference for further research on DRL-based production scheduling problems, particularly in the selection of neural network architectures, design of state and action spaces, definition of RL methods, and experimental setups.</t>
  </si>
  <si>
    <t>DalleMura2025GNN</t>
  </si>
  <si>
    <t>Graph neural networks for job shop scheduling problems: A survey</t>
  </si>
  <si>
    <t>https://doi.org/10.1016/j.cor.2024.106914</t>
  </si>
  <si>
    <t>GNN methods for JSP</t>
  </si>
  <si>
    <t>GNN, GNN+RL, GNN+MARL</t>
  </si>
  <si>
    <t>Comprehensive survey of GNN architectures for JSP representation and solution</t>
  </si>
  <si>
    <t>Technology-specific (GNN only); no HMLV or manufacturing-level analysis</t>
  </si>
  <si>
    <t>Job shop scheduling problems (JSSPs) represent a critical and challenging class of combinatorial optimization problems. Recent years have witnessed a rapid increase in the application of graph neural networks (GNNs) to solve JSSPs, albeit lacking a systematic survey of the relevant literature. This paper aims to thoroughly review prevailing GNN methods for different types of JSSPs and the closely related flow-shop scheduling problems (FSPs), especially those leveraging deep reinforcement learning (DRL). We begin by presenting the graph representations of various JSSPs, followed by an introduction to the most commonly used GNN architectures. We then review current GNN-based methods for each problem type, highlighting key technical elements such as graph representations, GNN architectures, GNN tasks, and training algorithms. Finally, we summarize and analyze the advantages and limitations of GNNs in solving JSSPs and provide potential future research opportunities. We hope this survey can motivate and inspire innovative approaches for more powerful GNN-based approaches in tackling JSSPs and other scheduling problems.</t>
  </si>
  <si>
    <t>Kasie2017DSS</t>
  </si>
  <si>
    <t>Decision support systems in manufacturing: a survey and future trends</t>
  </si>
  <si>
    <t>https://doi.org/10.1108/JM2-02-2016-0015</t>
  </si>
  <si>
    <t>DSS in manufacturing</t>
  </si>
  <si>
    <t>DSS in manufacturing broadly</t>
  </si>
  <si>
    <t>General manufacturing</t>
  </si>
  <si>
    <t>General DSS (AI, DES, knowledge-based)</t>
  </si>
  <si>
    <t>AI, DES, expert systems</t>
  </si>
  <si>
    <t>Proposes theoretical DSS framework integrating AI and DES; surveys DSS landscape in manufacturing</t>
  </si>
  <si>
    <t>Older (2017); does not cover RL-based methods; no HMLV focus</t>
  </si>
  <si>
    <t>Foundational DSS manufacturing review. Need to add to bib.</t>
  </si>
  <si>
    <t>Purpose – This paper aims to propose a theoretical decision support framework, which integrates artificial intelligence (AI), discrete-event simulation (DES) and database management technologies so as to determine the steady state flow of items (e.g. fixtures, jigs, tools, etc.) in manufacturing. Design/methodology/approach – The existing literature was carefully reviewed to address the state of the arts in decision support systems (DSS), the shortcomings of pure simulation based and pure AI-based DSS. A conceptual example is illustrated to show the integrated application of AI, simulation and database components of the proposed DSS framework. Findings – Recent DSS studies have revealed the limitations of pure simulation-based and pure AI-based DSS. A new DSS framework is required in manufacturing to address these limitations, taking into account the problems of flowing items. Research limitations/implications – The theoretical DSS framework is proposed using simple rules and equations. This implies that it is not complex for software development and implementation. Practical data are not presented in this paper. A real DSS will be developed using the proposed theoretical framework and realistic results will be presented in the near future. Originality/value – The proposed theoretical framework reveals how the integrated components of DSS can work together in manufacturing in order to determine the stable flow of items in a specific production period. Especially, the integrated performance of case-based reasoning (CBR) and DES is conceptually illustrated.</t>
  </si>
  <si>
    <t>Meilanitasari2021Review</t>
  </si>
  <si>
    <t>A Review of Prediction and Optimization for Sequence-Driven Scheduling in Job Shop Flexible Manufacturing Systems</t>
  </si>
  <si>
    <t>https://doi.org/10.3390/pr9081391</t>
  </si>
  <si>
    <t>Domain-specific</t>
  </si>
  <si>
    <t>Scheduling in job-shop FMS</t>
  </si>
  <si>
    <t>Job-shop FMS</t>
  </si>
  <si>
    <t>Scheduling and sequencing</t>
  </si>
  <si>
    <t>Prediction and optimization approaches</t>
  </si>
  <si>
    <t>Reviews scheduling methods under uncertainty (variable processing times, breakdowns, demand fluctuations)</t>
  </si>
  <si>
    <t>FMS-specific; does not frame as HMLV; limited coverage of RL/AI methods</t>
  </si>
  <si>
    <t>This article reviews the state of the art of prediction and optimization for sequence-driven scheduling in job shop flexible manufacturing systems (JS-FMSs). The objectives of the article are to (1) analyze the literature related to algorithms for sequencing and scheduling, considering domain, method, objective, sequence type, and uncertainty; and to (2) examine current challenges and future directions to promote the feasibility and usability of the relevant research. Current challenges are summarized as follows: less consideration of uncertainty factors causes a gap between the reality and the derived schedules; the use of stationary dispatching rules is limited to reflect the dynamics and flexibility; production-level scheduling is restricted to increase responsiveness owing to product-level uncertainty; and optimization is more focused, while prediction is used mostly for verification and validation, although prediction-then-optimization is the standard stream in data analytics. In future research, the degree of uncertainty should be quantified and modeled explicitly; both holistic and granular algorithms should be considered; product sequences should be incorporated; and sequence learning should be applied to implement the prediction-then-optimization stream. This would enable us to derive data-learned prediction and optimization models that output accurate and precise schedules; foresee individual product locations; and respond rapidly to dynamic and frequent changes in JS-FMSs.</t>
  </si>
  <si>
    <t>Johansen2021Role</t>
  </si>
  <si>
    <t>The role of automation in complexities of high-mix in low-volume production - a literature review</t>
  </si>
  <si>
    <t>https://doi.org/10.1016/j.procir.2021.11.245</t>
  </si>
  <si>
    <t>Automation and HRC in HMLV</t>
  </si>
  <si>
    <t>Automation, human-robot collaboration</t>
  </si>
  <si>
    <t>Robotics, automation</t>
  </si>
  <si>
    <t>L1-L2</t>
  </si>
  <si>
    <t>Reviews role of automation in managing HMLV complexity</t>
  </si>
  <si>
    <t>Focused on automation/HRC, not on DSS or scheduling optimization</t>
  </si>
  <si>
    <t>The trend in manufacturing is towards increased automation. This in combination with more customized products challenge the production systems to manage assembly of high mix in low volume (HMLV). The industry constantly explores innovative solutions to deal with this task in a more efficient way. This is a literature review over the role of automation whereby it can streamline assembly complexities of high mix in low volume productions. The paper explores how automation-based solutions within the assembly process could assist product customization efforts in the mid-sized segment.</t>
  </si>
  <si>
    <t>Exclusion Stage</t>
  </si>
  <si>
    <t>Reason for Exclusion</t>
  </si>
  <si>
    <t>discard from snowball</t>
  </si>
  <si>
    <t>discard from first search</t>
  </si>
  <si>
    <t>refference/citation scripts discard</t>
  </si>
  <si>
    <t>Total Title/Abstract</t>
  </si>
  <si>
    <t>Paper review</t>
  </si>
  <si>
    <t>Not recieved</t>
  </si>
  <si>
    <t>Optimization of reverse logistics network for electric vehicle batteries considering decommissioning forecast and carbon emission</t>
  </si>
  <si>
    <t>Should not be included</t>
  </si>
  <si>
    <t>Include this?</t>
  </si>
  <si>
    <t>duplicates</t>
  </si>
  <si>
    <t>Title/Abstract</t>
  </si>
  <si>
    <t>review paper</t>
  </si>
  <si>
    <t>paper review</t>
  </si>
  <si>
    <t>shallow</t>
  </si>
  <si>
    <t>Include this??</t>
  </si>
  <si>
    <t>Inculde this ??</t>
  </si>
  <si>
    <t>Investigating The Engineering Design Approaches for Cutting Edge Technology Adoption in Transport Manufacturing</t>
  </si>
  <si>
    <t>Should probably not be indcluded</t>
  </si>
  <si>
    <t>A systematic review of decision tools for process selection and performance improvement in manufacturing</t>
  </si>
  <si>
    <t>Can smart manufacturing benchmark the complex landscape of global success?</t>
  </si>
  <si>
    <t>Included?</t>
  </si>
  <si>
    <t>Decision Support Within Digital Twins in Manufacturing Ecosystems: A Review</t>
  </si>
  <si>
    <t>review paper Should not be included (Potential releated work)</t>
  </si>
  <si>
    <t>Integrating Production Planning in Collaborative Manufacturing: Systematic Literature Review, and Future Research Direction</t>
  </si>
  <si>
    <t>Abstract, Introduction, quick review of rest of paper, length</t>
  </si>
  <si>
    <t>Not relevant / exclussion criteria</t>
  </si>
  <si>
    <t>Full paper requested</t>
  </si>
  <si>
    <t>Poor quality</t>
  </si>
  <si>
    <t>Theoretical context</t>
  </si>
  <si>
    <t>Not open access (paid access needed).</t>
  </si>
  <si>
    <t>Not relevant for this survey</t>
  </si>
  <si>
    <t>Shallow paper</t>
  </si>
  <si>
    <r>
      <rPr>
        <rFont val="Calibri"/>
        <color rgb="FF000000"/>
        <sz val="11.0"/>
      </rPr>
      <t xml:space="preserve">Not relevant / exclussion </t>
    </r>
    <r>
      <rPr>
        <rFont val="Calibri"/>
        <color rgb="FF1155CC"/>
        <sz val="11.0"/>
        <u/>
      </rPr>
      <t>criteria. No</t>
    </r>
    <r>
      <rPr>
        <rFont val="Calibri"/>
        <color rgb="FF000000"/>
        <sz val="11.0"/>
      </rPr>
      <t>, conceptual. They do not implement the proposed methodology --&gt; No evaluation their findings/approach only in terms of expert questinaries.</t>
    </r>
  </si>
  <si>
    <t>Not relevant / exclussion criteria. Not in the scope, more conceptual/theoretical than technical. The paper focuses on managerial, business, and policy aspects + the internal evaluation.</t>
  </si>
  <si>
    <t>Not relevant / exclussion criteria. Very company specific. The state of the company does not reflec moderm production manufucatures digitalization levels.</t>
  </si>
  <si>
    <t>review paper . Could be used for the survey in related work.</t>
  </si>
  <si>
    <t>review paper Could be utilized in the related work seciton.</t>
  </si>
  <si>
    <t>Not relevant / exclussion criteria This is an empirical industrial case study evaluating digital transformation and sustainability practices in an unnamed marine manufacturing Engineer-to-Order company.</t>
  </si>
  <si>
    <t>Not relevant / exclussion criteria.</t>
  </si>
  <si>
    <t>Review paper</t>
  </si>
  <si>
    <t>Not in the scope</t>
  </si>
  <si>
    <t>Not relevant / exclussion criteria Theoretical</t>
  </si>
  <si>
    <t>Not relevant / exclussion criteria Not in the scope</t>
  </si>
  <si>
    <t>Not relevant / exclussion criteria Not relevant in its current state</t>
  </si>
  <si>
    <t>Not relevant / exclussion criteria Low HMLV relevant, no DS relevance</t>
  </si>
  <si>
    <t>Unable to access the paper</t>
  </si>
  <si>
    <t>Not relevant / exclussion criteria No decision support</t>
  </si>
  <si>
    <t>Can't find the paper</t>
  </si>
  <si>
    <t>Not relevant / exclussion criteria Not about decision support</t>
  </si>
  <si>
    <t>Not relevant / exclussion criteria Neither about HMLV or decision support</t>
  </si>
  <si>
    <t>Not relevant / exclussion criteria Conceptual model</t>
  </si>
  <si>
    <t>Not relevant / exclussion criteria The Article is quite interesting but I don't think energy optimisation is within our scope.</t>
  </si>
  <si>
    <t>Access Request</t>
  </si>
  <si>
    <t>Not relevant / exclussion criteria Out of scope imo, they focus on resource allocation for IIoT and edge devices, not really decision-making related, at least in the sense that I feel is in scope</t>
  </si>
  <si>
    <t>I don't like the article, but you can argue for it bringing good results in terms of how LLMs perform in JSSP</t>
  </si>
  <si>
    <t>Not relevant / exclussion criteria Too Specific, develops decision support specifically for the textile dyeing transition from mass production to smart manufacturing</t>
  </si>
  <si>
    <t>Shallow It's simply not interesting. Is excel than PowerBI, KNIME etc. for this vague task to generate "wisdom for sustainable manufacturing"</t>
  </si>
  <si>
    <t>Not relevant / exclussion criteria Not related to Decision Making, I'm actually not sure what it's contribution is</t>
  </si>
  <si>
    <t>Not oppen access</t>
  </si>
  <si>
    <t>Energy Saving in Single-Machine Scheduling Management: An Improved Multi-Objective Model Based on Discrete Artificial Bee Colony Algorithm</t>
  </si>
  <si>
    <t>Not relevant / exclussion criteria Not about decision support or HMLV</t>
  </si>
  <si>
    <t>Process Simulation and Optimization of Arc Welding Robot Workstation Based on Digital Twin</t>
  </si>
  <si>
    <t>Human-Centered Solutions Based on Automated Visual Inspection System</t>
  </si>
  <si>
    <t>INSTRUCTING COLLABORATIVE ROBOTS USING LARGE LANGUAGE MODELS FOR HUMAN-ROBOT COLLABORATION</t>
  </si>
  <si>
    <t>Machine-Level Collaborative Manufacturing and Scheduling for Heterogeneous Plants</t>
  </si>
  <si>
    <t>Safety-Driven Deep Reinforcement Learning Framework for Cobots: A Sim2Real Approach</t>
  </si>
  <si>
    <t>Smart Perception for Situation Awareness in Robotic Manipulation Tasks</t>
  </si>
  <si>
    <t>An integrated mixed reality system for safety-aware human-robot collaboration using deep learning and digital twin generation</t>
  </si>
  <si>
    <t>AR-assisted digital twin-enabled robot collaborative manufacturing system with human-in-the-loop</t>
  </si>
  <si>
    <t>Cloud-Based Digital Twin for Industrial Robotics</t>
  </si>
  <si>
    <t>Knowledge-based cyber-physical systems for assembly automation</t>
  </si>
  <si>
    <t>Knowledge-based instruction of manipulation tasks for industrial robotics</t>
  </si>
  <si>
    <t>Machine Learning based Digital Twin Framework for Production Optimization in Petrochemical Industry</t>
  </si>
  <si>
    <t>Machine vision systems for industrial quality control inspections</t>
  </si>
  <si>
    <t>Motion Planning for Human-Robot Collaboration based on Reinforcement Learning</t>
  </si>
  <si>
    <t>Neural reactive path planning with Riemannian motion policies for robotic silicone sealing</t>
  </si>
  <si>
    <t>Pick and place operations in logistics using a mobile manipulator controlled with deep reinforcement learning</t>
  </si>
  <si>
    <t>Process-oriented Task Assignment for Assembly Processes with Human-robot Interaction</t>
  </si>
  <si>
    <t>Uncertainty evaluation in the prediction of defects and costs for quality inspection planning in low-volume productions</t>
  </si>
  <si>
    <t>SaRA: A Tool for Safe Human-Robot Coexistence and Collaboration through Reachability Analysis</t>
  </si>
  <si>
    <t>Shallow</t>
  </si>
  <si>
    <t>Access requested</t>
  </si>
  <si>
    <t>Not relevant / exclussion criteria Static optimisation, nothing new compared to other methods, focused mainly on algorithm</t>
  </si>
  <si>
    <t>Not relevant / exclussion criteria It is not within the scope of operational/tactical levels, this is fully economical paper concerning the budget</t>
  </si>
  <si>
    <t xml:space="preserve">Not relevant / exclussion criteria Fully algorithmic paper without any focus on HMLV </t>
  </si>
  <si>
    <t>duplicate</t>
  </si>
  <si>
    <t>Production scheduling optimization of shirt component module based on standard man-hour prediction</t>
  </si>
  <si>
    <t>A Hybrid MOO, MCGDM, and Sentiment Analysis Methodologies for Enhancing Regional Expansion Planning: A Case Study Luwu - Indonesia</t>
  </si>
  <si>
    <t>Strategic Planning</t>
  </si>
  <si>
    <t>Adaptive social manufacturing: a human-centric, resilient, and sustainable framework for advancing Industry 5.0</t>
  </si>
  <si>
    <t>Strategic planning</t>
  </si>
  <si>
    <t>Agentic Workflows Generation Based on Meta-Cognitive Chain-of-Thought Guided Monte Carlo Tree Search</t>
  </si>
  <si>
    <t>An intuitionistic fuzzy approach to assessing the barriers to quality 4.0 adoption in the footwear manufacturing industry: Implications for sustainability in emerging economy</t>
  </si>
  <si>
    <t>Barrier analysis, no DSS model or scheduling</t>
  </si>
  <si>
    <t>Assessing industry 4.0 readiness: a TOE-P framework for the sugar industry in developing economies</t>
  </si>
  <si>
    <t>Readiness framework; no operational DSS</t>
  </si>
  <si>
    <t>Automating the static and seismic design of 2-D multistorey reinforced concrete structures by using Monte Carlo Tree Search and Genetic Algorithm</t>
  </si>
  <si>
    <t>RL framing</t>
  </si>
  <si>
    <t>Automated conceptual design of mechanisms based on Thompson Sampling and Monte Carlo Tree Search</t>
  </si>
  <si>
    <t>AI-based design synthesis; not production scheduling</t>
  </si>
  <si>
    <t>From human-related to human-centric: A review of shop floor scheduling problem under Industry 5.0</t>
  </si>
  <si>
    <t>Human-centric scheduling review paper</t>
  </si>
  <si>
    <t>Intelligent workload optimisation based on a protocol-fused cloud robotics physical framework with integrated multi-sensors</t>
  </si>
  <si>
    <t>Modelling and computational simulation of operations and queue systems in a supermarket</t>
  </si>
  <si>
    <t>Multi-channel real-time access with starvation avoidance for heterogeneous data in smart factories</t>
  </si>
  <si>
    <t>Non-Cyclic Scheduling of Single-Armed Cluster Tools for Processing Two Wafer Types</t>
  </si>
  <si>
    <t>Optimizing integrated distributed flexible job-shop scheduling and customer order delivery</t>
  </si>
  <si>
    <t>Optimizing printing processes with MCTS</t>
  </si>
  <si>
    <t>Preliminary Monitoring and Observation of Fuel Cell Temperature Characteristics by Using NiCr-NiSi Thin-Film Thermocouple</t>
  </si>
  <si>
    <t>Product Design and Development in the Digital Era</t>
  </si>
  <si>
    <t>Scheduling Cluster Tools for Concurrent Processing: Deep Reinforcement Learning with Adaptive Search</t>
  </si>
  <si>
    <t>Scheduling Single-Arm Cluster Tools With an Equipment Front-End Module Subject to Wafer Residency Time Constraints</t>
  </si>
  <si>
    <t>Simulation-Based Knowledge-Driven Optimization for Efficient Production Sequencing in Hybrid Flow Shops</t>
  </si>
  <si>
    <t>Transfer line balancing problem: A comprehensive review, classification, and research avenues</t>
  </si>
  <si>
    <t>Virtual reconstruction-based digital twin shop floor: theoretical methodology, industrial software, and applications</t>
  </si>
  <si>
    <t>A Toolchain for Automated Control and Simulation of Robot Teams in Carbon-Fiber-Reinforced Polymers Production</t>
  </si>
  <si>
    <t>A framework for data-driven decision making in advanced manufacturing systems: Development and implementation</t>
  </si>
  <si>
    <t>A structured digital twinning approach to improve decision-making in manufacturing SMEs</t>
  </si>
  <si>
    <t>Application of Autonomous Mobile Robot as a Substitute for Human Factor in Order to Increase Efficiency and Safety in a Company</t>
  </si>
  <si>
    <t>Augmenting Monte Carlo Tree Search for managing service level agreements</t>
  </si>
  <si>
    <t>Balancing and Scheduling of Sustainable Flexible Transfer Lines</t>
  </si>
  <si>
    <t>Design and Implementation of Prefabricated Box Flexible Loading System Based on Cooperative Robot</t>
  </si>
  <si>
    <t>Ensuring Green Production with less CO2 Emission with a Digital Twin based Scheduling System</t>
  </si>
  <si>
    <t>Fuzzy modeling and characterization of mechanical and biological properties of a selective laser melting shape: A comprehensive study</t>
  </si>
  <si>
    <t>Interpretability of rectangle packing solutions with Monte Carlo tree search</t>
  </si>
  <si>
    <t>Performance Analysis of Multi-Tote Storage and Retrieval Autonomous Mobile Robot Systems</t>
  </si>
  <si>
    <t>Policy Making to Encourage Platform Thinking in Manufacturing: A System Dynamics-based Multi-Objective Optimization Approach</t>
  </si>
  <si>
    <t>Quantum-inspired computing technology in operations and logistics management</t>
  </si>
  <si>
    <t>Recent Progress in Data-Driven Intelligent Modeling and Optimization Algorithms for Industrial Processes</t>
  </si>
  <si>
    <t>Smart industrial information integration: a lightweight privacy protection model in an intelligent manufacturing architecture</t>
  </si>
  <si>
    <t>THE IMPLICATIONS OF INTEGRATING ARTIFICIAL INTELLIGENCE INTO DATA-DRIVEN DECISION-MAKING</t>
  </si>
  <si>
    <t>A Novel Porous Bone Scaffold Made with 3D Bioprinter Using Carboxymethyl Chitosan-Hyaluronic Acid for Knee Repair: Mechanical and Chemical Properties</t>
  </si>
  <si>
    <t>A smart Sustainable decision Support system for water management oF power plants in water stress regions</t>
  </si>
  <si>
    <t>An Introduction to Human Resources for Development and Innovation, Science Transformation into Industry Infrastructure by China’s New Universities: A Case Study of Green Materials</t>
  </si>
  <si>
    <t>Evaluation of Metal Concentration (Hg, Zn, Cu, Co, Sn, Ag, Cr and Ni) in Influent &amp; Effluent water of Dental Clinics' units</t>
  </si>
  <si>
    <t>Fabrication and evaluation of 3D bio-scaffold wound dressings for monitoring of chronic pH wounds using fuzzy logic analysis</t>
  </si>
  <si>
    <t>Global criterion optimization method for improving the porosity of porous scaffolds containing magnetic nanoparticles: Fabrication and finite element analysis</t>
  </si>
  <si>
    <t>Investigation of addition of calcium phosphate ceramic to multilayer scaffold for bone applications with improved mechanical properties: Fuzzy logic analysis</t>
  </si>
  <si>
    <t>Multi-UAV Urban Logistics Task Allocation Method Based on MCTS</t>
  </si>
  <si>
    <t>Research on Human Gesture Recognition Technology Based on SVM</t>
  </si>
  <si>
    <t>Throughput optimisation in reentrant circular regular robot cells</t>
  </si>
  <si>
    <t>A fuzzy analysis for porous bioceramic-magnetite nanoparticles-zirconia scaffold prepared by space holder technique with poly vinyl pyrrolidone (PVP) coating: Investigation of mechanical and biological properties</t>
  </si>
  <si>
    <t>A multi-criteria approach to designing and managing a renewable energy community</t>
  </si>
  <si>
    <t>An empirical study about the relationship between lean management and industry 4.0</t>
  </si>
  <si>
    <t>Blockchain Applications in UAV-Towards Aviation 4.0</t>
  </si>
  <si>
    <t>Effect of addition of Layered Double Hydroxides (LDH) on mechanical and biological properties of electrospun polycaprolactone scaffold</t>
  </si>
  <si>
    <t>Fabrication and characterization of chitosan/gelatin scaffold with bioactive glass reinforcement using PRP to regenerate bone tissue</t>
  </si>
  <si>
    <t>Fabrication and characterization of synthesized hydroxyapatite/ethanolamine for bone tissue engineering application</t>
  </si>
  <si>
    <t>How Environmentally Sustainable Is the On-Going Industrial Digitalization? Global Trends and a Swedish Perspective</t>
  </si>
  <si>
    <t>Intelligent Warehouse Robot Scheduling System Using a Modified Nondominated Sorting Algorithm</t>
  </si>
  <si>
    <t>Intelligent and Fuzzy UAV Transportation Applications in Aviation 4.0</t>
  </si>
  <si>
    <t>Investigating the performance of tricalcium phosphate bioceramic reinforced with titanium nanoparticles in friction stir welding for coating of orthopedic prostheses application</t>
  </si>
  <si>
    <t>Investigation of the Behavior of Different Ni-Ti Dental Files and Chemical Mechanical Behavior Using Finite Element Analysis</t>
  </si>
  <si>
    <t>Porous scaffold preparation analysis for knee joint using chitosan-polyvinyl alcohol-hydroxyapatite nanoparticles under fuzzy uncertainty</t>
  </si>
  <si>
    <t>Urban Planning and Design Layout Generation Based on Artificial Intelligence</t>
  </si>
  <si>
    <t>A Porous Sodium Alginate-CaSiO3 Polymer Reinforced with Graphene Nanosheet: Fabrication and Optimality Analysis</t>
  </si>
  <si>
    <t>An intelligent actuator of an indoor logistics system based on multi-sensor fusion</t>
  </si>
  <si>
    <t>Optimal capacity and operation design of a robot logistics system for the hotel industry</t>
  </si>
  <si>
    <t>scheduling mobile robots in flexible manufacturing system by an adaptive large neighborhood search</t>
  </si>
  <si>
    <t>Synergic Effects of Magnetic Nanoparticles on Hyperthermia-Based Therapy and Controlled Drug Delivery for Bone Substitute Application</t>
  </si>
  <si>
    <t>Hybrid optimisation approach for sequencing and assignment decision-making in reconfigurable assembly lines</t>
  </si>
  <si>
    <t>Multi-mobile robots and multi-trips feeding scheduling problem in smart manufacturing system: An improved hybrid genetic algorithm</t>
  </si>
  <si>
    <t>Process sequencing for a pick-and-place robot in a real-life flexible robotic cell</t>
  </si>
  <si>
    <t>Time minimization in flexible robotic cells considering intermediate input buffers: a comparative study of three well-known problems</t>
  </si>
  <si>
    <t>A mathematical model and simulated annealing algorithm for solving the cyclic scheduling problem of a flexible robotic cell</t>
  </si>
  <si>
    <t>A novel competitive hybrid approach based on grouping evolution strategy algorithm for solving U-shaped assembly line balancing problems</t>
  </si>
  <si>
    <t>Trade-off between process scheduling and production cost in cyclic flexible robotic cells</t>
  </si>
  <si>
    <t>Dynamic Flow Shop Scheduling</t>
  </si>
  <si>
    <t>A BiLSTM-IPPO Approach for Dynamic Flexible Flow Shop Scheduling with Limited Buffer Capacity</t>
  </si>
  <si>
    <t xml:space="preserve">Flow shop, not included? </t>
  </si>
  <si>
    <t>Dynamic flexible flow shop scheduling via cross-attention networks and multi-agent reinforcement learning</t>
  </si>
  <si>
    <t xml:space="preserve">Flow Shop </t>
  </si>
  <si>
    <t>Analyzing resilient performance of workers with multiple disturbances in production systems</t>
  </si>
  <si>
    <t>Not about DSS or HMLV</t>
  </si>
  <si>
    <t>Theoretical</t>
  </si>
  <si>
    <t>Flow shop</t>
  </si>
  <si>
    <t>Discrete Event Simulation: A Behavior Modeling Framework for Evaluating Production Schedules</t>
  </si>
  <si>
    <t>Conseptual framework</t>
  </si>
  <si>
    <t>Validation steps proposed (future work)</t>
  </si>
  <si>
    <t>Digital Twin, DES</t>
  </si>
  <si>
    <t>DES + Process Mining</t>
  </si>
  <si>
    <t>Belgium</t>
  </si>
  <si>
    <t>Complex network topology design on technology collaboration: small-world characteristics for intelligent manufacturing</t>
  </si>
  <si>
    <t>Dynamic scheduling for flexible job shop with new job insertions by deep reinforcement learning</t>
  </si>
  <si>
    <t>Not relevant / exclussion criteria Not fundamentally  new with respect to inital search</t>
  </si>
  <si>
    <t>A multi-action deep reinforcement learning framework for flexible Job-shop scheduling problem</t>
  </si>
  <si>
    <t>Human-level control through deep reinforcement learning</t>
  </si>
  <si>
    <t>Routing and scheduling in a flexible job shop by tabu search</t>
  </si>
  <si>
    <t>Not relevant / exclussion criteria Outdated / Public Benchmark</t>
  </si>
  <si>
    <t>Learning to dispatch for job shop scheduling via deep reinforcement learning</t>
  </si>
  <si>
    <t>Not relevant / exclussion criteria not either a conference paper or journal paper in the scopus database</t>
  </si>
  <si>
    <t>Dynamic multi-objective scheduling for flexible job shop by deep reinforcement learning</t>
  </si>
  <si>
    <t>Learning to schedule job-shop problems: representation and policy learning using graph neural network and reinforcement learning</t>
  </si>
  <si>
    <t>Deep reinforcement learning for dynamic scheduling of a flexible job shop</t>
  </si>
  <si>
    <t>Dynamic job-shop scheduling in smart manufacturing using deep reinforcement learning</t>
  </si>
  <si>
    <t>Deep reinforcement learning with double Q-Learning</t>
  </si>
  <si>
    <t>Actor-critic deep reinforcement learning for solving job shop scheduling problems</t>
  </si>
  <si>
    <t>Reinforcement Learning: An Introduction</t>
  </si>
  <si>
    <t>Real-Time Scheduling for Dynamic Partial-No-Wait Multiobjective Flexible Job Shop by Deep Reinforcement Learning</t>
  </si>
  <si>
    <t>Deep Reinforcement Learning for Dynamic Flexible Job Shop Scheduling with Random Job Arrival</t>
  </si>
  <si>
    <t>Smart Manufacturing Scheduling with Edge Computing Using Multiclass Deep Q Network</t>
  </si>
  <si>
    <t>Learn to optimise for job shop scheduling: a survey with comparison between genetic programming and reinforcement learning</t>
  </si>
  <si>
    <t>Deep reinforcement learning for machine scheduling: Methodology, the state-of-the-art, and future directions</t>
  </si>
  <si>
    <t>A Systematic Review on Reinforcement Learning for Industrial Combinatorial Optimization Problems</t>
  </si>
  <si>
    <t>Deep reinforcement learning-based dynamic scheduling for resilient and sustainable manufacturing: A systematic review</t>
  </si>
  <si>
    <t>An end-to-end decentralised scheduling framework based on deep reinforcement learning for dynamic distributed heterogeneous flowshop scheduling</t>
  </si>
  <si>
    <t>Deep reinforcement learning in smart manufacturing: A review and prospects</t>
  </si>
  <si>
    <t>Recap of Tasks:
One person needs to do this – evaluation (Mikkel)
Two person to do this - methods &amp; technologies - (Filip &amp; Samra)
One person to do the data source – (Mikkel)
Decision support focus – (Malthe)
One in charge of finings different problems for Job-shop variations – (Jannik)
Create this cleaned master sheet (Malthe &amp; Mikkel)</t>
  </si>
  <si>
    <t>Finish snowballing of L1 - (Rasmus takes the purple ones, Samra/Malthe takes the rest).</t>
  </si>
  <si>
    <t xml:space="preserve">(TITLE-ABS-KEY(hmlv OR "high mix low volume" OR "high-mix low-volume" OR "low volume high mix" OR "high variety low volume" OR "make-to-order" OR mto OR "small batch" OR "custom manufacturing" OR "mass customization" OR "job shop" OR "configure-to-order" OR cto OR "short production runs" OR "engineer-to-order OR "ETO") AND TITLE-ABS-KEY("manufact*" OR "production" OR "industr*" OR "Industry 4.0") AND TITLE-ABS-KEY("Decision Support" OR "Decision-support" OR "Decision Support System" OR "DSS" OR "Decision Making") AND PUBYEAR &gt; 2017 AND PUBYEAR &lt; 2025) AND ( LIMIT-TO ( SUBJAREA,"ENGI" ) OR LIMIT-TO ( SUBJAREA,"COMP" ) ) AND ( LIMIT-TO ( DOCTYPE,"ar" ) OR LIMIT-TO ( DOCTYPE,"cp" ) ) AND ( LIMIT-TO ( LANGUAGE,"English" ) ) </t>
  </si>
  <si>
    <t>PRISMA Stage</t>
  </si>
  <si>
    <t>Description</t>
  </si>
  <si>
    <t>Count (n)</t>
  </si>
  <si>
    <t>Identification</t>
  </si>
  <si>
    <t>Total records identified from searches</t>
  </si>
  <si>
    <t>Total number of papers found using the search query on SCOPUS</t>
  </si>
  <si>
    <t>Records removed (automation)</t>
  </si>
  <si>
    <t>Higly relevant identified by relevance script. (Including Supply chain papers)</t>
  </si>
  <si>
    <t>Records removed (duplicates)</t>
  </si>
  <si>
    <t>Removed 2 duplicates</t>
  </si>
  <si>
    <t>Screening</t>
  </si>
  <si>
    <t>Records screened (title/abstract)</t>
  </si>
  <si>
    <t>Records excluded (title/abstract)</t>
  </si>
  <si>
    <t>Eligibility</t>
  </si>
  <si>
    <t>Full-text reports sought</t>
  </si>
  <si>
    <t>Full-text not retrieved</t>
  </si>
  <si>
    <t>Full-text assessed for eligibility</t>
  </si>
  <si>
    <t>Reports excluded (with reasons)</t>
  </si>
  <si>
    <t>Included</t>
  </si>
  <si>
    <t>Studies included in the final review</t>
  </si>
  <si>
    <t>Manufacturing Level</t>
  </si>
  <si>
    <t>Strengths</t>
  </si>
  <si>
    <t>Weaknesses</t>
  </si>
  <si>
    <t>Claimed Contribution</t>
  </si>
  <si>
    <r>
      <rPr>
        <rFont val="Calibri"/>
        <b/>
        <color rgb="FFFF0000"/>
        <sz val="11.0"/>
      </rPr>
      <t xml:space="preserve">Actual Contribution </t>
    </r>
    <r>
      <rPr>
        <rFont val="Calibri"/>
        <b/>
        <color rgb="FFFF0000"/>
        <sz val="10.0"/>
      </rPr>
      <t>(See info for explanation)</t>
    </r>
  </si>
  <si>
    <t>Evaluation (Scenarios, Simulation, Case study,…)</t>
  </si>
  <si>
    <t>Gaps Identified</t>
  </si>
  <si>
    <t>Include? (Yes/No)</t>
  </si>
  <si>
    <t>Reason for exclussion</t>
  </si>
  <si>
    <t>Exclussion based on?</t>
  </si>
  <si>
    <t>Note</t>
  </si>
  <si>
    <r>
      <rPr>
        <rFont val="Calibri"/>
        <b/>
        <color rgb="FFFF0000"/>
        <sz val="11.0"/>
      </rPr>
      <t xml:space="preserve">Reviewer Suggested </t>
    </r>
    <r>
      <rPr>
        <rFont val="Calibri"/>
        <b/>
        <color rgb="FFFF0000"/>
        <sz val="10.0"/>
      </rPr>
      <t>(Provide a short reason in note column)</t>
    </r>
  </si>
  <si>
    <t>Short summary of paper</t>
  </si>
  <si>
    <t>Scheduling?</t>
  </si>
  <si>
    <t>Category Topic 2</t>
  </si>
  <si>
    <t>Category Topic 3</t>
  </si>
  <si>
    <t>Category Topic …</t>
  </si>
  <si>
    <t>A theoretical paper on a remanufacturing system. They propose an architecture, which resembles the standard architecture of every CPS. They spend a lot of time on remanufacturing methods...</t>
  </si>
  <si>
    <t>Architecture of Cyper Physical Remanufacturing System (CPRS)</t>
  </si>
  <si>
    <t>Framing the default CPS architecture differently. Mentioning remanufacturing methods</t>
  </si>
  <si>
    <t>Specifically focus on gap in remanufacturing automation</t>
  </si>
  <si>
    <t>Shallow, no real contribution, remanufacturing focus</t>
  </si>
  <si>
    <t>Other (See note)</t>
  </si>
  <si>
    <t>I recommend not including this paper, as it contributes nothing novel, and it is not relevant for decision support whatsoever</t>
  </si>
  <si>
    <t>Paper on how remanufacuring can be achieved, listing remanufacturing methods, and "contributing" with a theoretical architecture for remanufacturing, although it is the default CPS/DIgital Twin framework, which they have framed as their own contribution</t>
  </si>
  <si>
    <t>Survey, CPS = IoT, Edge communication, etc.</t>
  </si>
  <si>
    <t>Edge communication methods (OPC-UA, MQTT, etc.), default technologies found in every CPS</t>
  </si>
  <si>
    <t>UK</t>
  </si>
  <si>
    <t>genetic programming, optimization, simulation</t>
  </si>
  <si>
    <t>Comprehensive, specific use-case of ML in manufacturing, elegant solution, strong results</t>
  </si>
  <si>
    <t>Only tried 1 model, future work would explore trade-offs</t>
  </si>
  <si>
    <t>Scheduling ML algorithm for queue to completion estimation in wafer production</t>
  </si>
  <si>
    <t>Same as claimed. Good paper</t>
  </si>
  <si>
    <t>Only one algortihm tested in this case</t>
  </si>
  <si>
    <t>I recommend including this paper, as it is a concrete case study of how actual scheduling can be achieved using ML (Machine Learning)</t>
  </si>
  <si>
    <t>Concrete case of actually implementing scheduling using Machine Learning, instead of another "theoretical framework"</t>
  </si>
  <si>
    <t>NL</t>
  </si>
  <si>
    <t>Great demonstration of data-driven DT improvements in an actual factory</t>
  </si>
  <si>
    <t>Single paper is part of larger research</t>
  </si>
  <si>
    <t>Demonstration of the kind of improvements DT tech can lead to in a factory</t>
  </si>
  <si>
    <t>Case Study</t>
  </si>
  <si>
    <t>None (perhaps that you have to read more papers to get a complete picture of what they are doing here)</t>
  </si>
  <si>
    <t>I recommend including this paper, as it is a fully simulated case study of what data-driven digital twin technology can do to contribute to a manufacturing site</t>
  </si>
  <si>
    <t>Digital twin creation of production plant which has volunteered, to let researchers research what can actually be achieved using data driven digital twin technology</t>
  </si>
  <si>
    <t>Digital Twins</t>
  </si>
  <si>
    <t>Digital Twins and all that it encompasses, e.g., edge device communciation, simulation, data-driven decision making</t>
  </si>
  <si>
    <t>Specific deployment of ML random forrest and direct comparison to existing methods in the field</t>
  </si>
  <si>
    <t>Narrow focus, not exploring other ML algorithms besides Random Forrest, lacks broader comparison to other HMLV scheduling methods</t>
  </si>
  <si>
    <t>Jobshop scheduling which can evaluate whether a production plan is feasible</t>
  </si>
  <si>
    <t>Machine Learning random forrest algorithm to determine whether a production plan is feasible</t>
  </si>
  <si>
    <t>Case study, direct comparison to existing methods</t>
  </si>
  <si>
    <t>Only random forrest, and only really tested against one scheduling methods FJSP-SDST</t>
  </si>
  <si>
    <t>I recommend including this paper, as they actually went ahead and trained a ML model. This could serve as a paper proving the potential gain of using industry 4.0 technology over existing methods, and the potential gains thereof.</t>
  </si>
  <si>
    <t>Predict makespan of scheduling problem in what is essentially HMLV setting. They prove that a ML random forrest approach can outperform classic jobshop scheduling methods such as FJSP-SDST</t>
  </si>
  <si>
    <t>Random Forrest Classifier</t>
  </si>
  <si>
    <t>FR</t>
  </si>
  <si>
    <t>Multi-AMR solution relies on single-AMR value approximation; no learning-based or advanced heuristic comparison; simulation-only validation.</t>
  </si>
  <si>
    <t>DP (dynamic programming)-based heuristic scheduling algorithm for automotive matrix systems with battery-aware AMRs</t>
  </si>
  <si>
    <t>Matches claim; practical and well-evaluated scheduling algorithm.</t>
  </si>
  <si>
    <t>Simulation-based case study (Siemens Plant simulation)</t>
  </si>
  <si>
    <t>Scalability, learning-based adaption, real-time deployment</t>
  </si>
  <si>
    <t>Strong inclusion; concrete scheduling and decision support, not a generic framework</t>
  </si>
  <si>
    <t>Presents a DP-based heuristic for flexible job shop scheduling in automotive matrix systems, showing significant cycle-time reduction by explicitly accounting for AMR battery charging.</t>
  </si>
  <si>
    <t>MDP, heuristic optimization</t>
  </si>
  <si>
    <t>Scheduling, AMRs, Simulation</t>
  </si>
  <si>
    <t>KR</t>
  </si>
  <si>
    <t>Clear DRL (deep reinforcement learning) -based scheduling formulation; graph-based state representation; evaluated on standard JSSP benchmarks; outperforms classical dispatching rules</t>
  </si>
  <si>
    <t>Primarily benchmark-driven; limited industrial realism; no deployment or runtime constraints considered; architecture similr to existing DRL-JSSP work</t>
  </si>
  <si>
    <t>DRL actor-critic scheduling framework using GIN (Graph Isomorphism Networks) for flexible JSSP</t>
  </si>
  <si>
    <t>Incremental improvement over existing DRL-JSSP approaches with graph-based state encoding.</t>
  </si>
  <si>
    <t>Case study + benchmark datasets (FT, LA, ORB)</t>
  </si>
  <si>
    <t>Real-time deployment, scalability analysis, comparison to non-DRL advanced heuristics.</t>
  </si>
  <si>
    <t>Good repsentative paper for DRL-based scheduling, but not a breakthrough</t>
  </si>
  <si>
    <t>Applies an actor-critc DRL model with graph representations to job shop scheduling, achieving competitive makespan results on benchmark datasets</t>
  </si>
  <si>
    <t>Deep Reinforcement Learning</t>
  </si>
  <si>
    <t>DRL, GNN</t>
  </si>
  <si>
    <t>EG</t>
  </si>
  <si>
    <t>Addresses scalability limitations of prior RL-based layput planning; clear identification of action-space explosion; effective use of action masking and improved state representation; industrially relevant problem size (20 units)</t>
  </si>
  <si>
    <t>Single-objective optimization (transport distance only); no comparison to strong metaheuristics beyond qualitative discussion; planning-level focus (no runtime or operational integration).</t>
  </si>
  <si>
    <t>Scalable DDQN (Double Deep Q Learning)-based approach for factory layout and planning using improved state representation and action masking</t>
  </si>
  <si>
    <t>Inremental but solid methodological improvement enabling RL scalability for layout planning problems.</t>
  </si>
  <si>
    <t>Simulation-based experiments on synthetic factory layout scenarios.</t>
  </si>
  <si>
    <t>Multi-objective optimization, integration wtih production scheduling, comparison to non-RL optimization baselines</t>
  </si>
  <si>
    <t>Yes (borderline)</t>
  </si>
  <si>
    <t>Relevant for RL scalability in manufacturing, but weaker link to decision support or scheduling</t>
  </si>
  <si>
    <t>Investigates scalability og DDQN for factory layout planning and shows that action masking enables RL-based optimization for industrially relevant layout sizes.</t>
  </si>
  <si>
    <t>Deep Reinforcement Learning (DDQN)</t>
  </si>
  <si>
    <t>RL, layout optimization</t>
  </si>
  <si>
    <t>DE</t>
  </si>
  <si>
    <t>Strong analytical foundation; integrates production dynamics with maintenance decisions; clear cost-based evaluation; includes bottleneck identification method with measurable throughput gains.</t>
  </si>
  <si>
    <t>Focuses on maintenance only (no scheduling or routing decisions); simulation based validation; limited discussion of scalability to large systems.</t>
  </si>
  <si>
    <t>RL-based integrated decision model for predictive maintenance in multistage production systems.</t>
  </si>
  <si>
    <t>Well-structured maintenance decision framework with solid simulation evidence; not directly addressing scheduling</t>
  </si>
  <si>
    <t>Simulation-based case studies with policy comparison (SBP, TBP, GP)</t>
  </si>
  <si>
    <t>Join scheduling-maintenance decisions; real-time deployment; continuous health-state modeling</t>
  </si>
  <si>
    <t>Yes (contextual)</t>
  </si>
  <si>
    <t>Relevant for RL-based decision-making, but peripheral to scheduling focused surveys</t>
  </si>
  <si>
    <t>Applies reinforcement learning and approximate dynamic programming to optimize predictive maintenance decisions in multistage production systems, reducing system-wide cost and improving throughput</t>
  </si>
  <si>
    <t>Reinforcement learning, ADP</t>
  </si>
  <si>
    <t>Predictive maintenance, RL</t>
  </si>
  <si>
    <t>CN</t>
  </si>
  <si>
    <t>Clear and well-formulated simultaneous scheduling problem; strong operational relevance for mass customization; rigurous heuristic deisgn; thorough simulation with statistical validation; consistent performance gains over sequential approaches</t>
  </si>
  <si>
    <t>Heuristic-heavy and complex; no learning-based or adaptive methods; tailored to FMS (flexible manufacturing system) with single robot (limited generality); assumes high shop-floor visibility.</t>
  </si>
  <si>
    <t>A simultaneous algorithm for part input sequencing and robot scheduling in FMSs for mass customization</t>
  </si>
  <si>
    <t>Convincing demonstration that simultaneous decision-making outperforms sequential control in FMS robot-part scheduling</t>
  </si>
  <si>
    <t>Simulation-based case study with multiple baselines and statistical tests.</t>
  </si>
  <si>
    <t>Learning-based approaches; multi-robot systems; integration with higher-level planning or real-time control</t>
  </si>
  <si>
    <t>Strong operational scheduling paper; excellent non-ML baseline for comparison</t>
  </si>
  <si>
    <t>Proposes and evaluates a heuristic algorithm for simultaneous part input sequencing and robot scheduling in FMSs, showing statistically significant improvements in throughput, robot utilization, and flowtime over sequential approaches</t>
  </si>
  <si>
    <t>Heurristic scheduling, simulation</t>
  </si>
  <si>
    <t>FMS, roboy scheduling</t>
  </si>
  <si>
    <t>Strong decision-support architecture; decentralized AI schedulers with local autonomy; explicit handling of uncertainty (rush orders, machine failures); validated in a physical smart-factory testbed; clear comparison to centralized and rule-based baselines</t>
  </si>
  <si>
    <t>High system complexity; heavy engineering assuptions (RFID, IPCs everywhere); decision logic tightly coupled to production control layer; limited abstraction beyond scheduling context.</t>
  </si>
  <si>
    <t>A distributed CPS architecture with collaborative AI agents for online decision-making in smart factories</t>
  </si>
  <si>
    <t>Convincing demonstration of distributed AI-based decision support at the shop-floot level, with real-time adaptation and robustness benefits</t>
  </si>
  <si>
    <t>Real-world testbed + simulation with multiple baselines.</t>
  </si>
  <si>
    <t>Generality beyong scheduling/control; transferability to other decision layers (planning, maintenance, energy); deployment cost and scalability analysis</t>
  </si>
  <si>
    <t>Excellent example of operational decision support via distributed AI, not just an algorithmic paper</t>
  </si>
  <si>
    <t>Proposes and validates a cyber-physical, multi-agent reinforcement learning architecture where autonomous AI schedulers make real-time decisions based on local sensor data and shared experience, improving robustness and responsiveness in smart factories</t>
  </si>
  <si>
    <t>Multi-agent RL, distributed decision-making</t>
  </si>
  <si>
    <t>CPS, IoT, MARL</t>
  </si>
  <si>
    <t>Clear closed-loop decision-support architecture (offline learning + online control); mines decision rules from historical data rather than benchmarks; low computational overhead suitable for real-time use; extensive comparative simulation against classic and metaheuristic-derived rules</t>
  </si>
  <si>
    <t>Heavy tailored to dispatching-rule-based control; no learning during online phase; simulation-only validation; interpretability of evolved rules not deeply discussed</t>
  </si>
  <si>
    <t>A data-driven framework for mining appropriate dispatching rules and supporting real-time decision-making in uncertain shop-floor environments.</t>
  </si>
  <si>
    <t>Strong and well-aligned with the claim: a practical data-driven decision-support mechanism for adaptive shop-floor control</t>
  </si>
  <si>
    <t>Simulation-based case studies with large parameter sweeps (job arrivals, due-date tightness, system size)</t>
  </si>
  <si>
    <t>Online learning/adaptation; transferability to other decision layers (maintenance, energy, planning); real-time deployment evidence</t>
  </si>
  <si>
    <t>Very solid decision-support paper: architecture + learning + real-time use, not just an algorithm</t>
  </si>
  <si>
    <t>Proposes a closed-loop, data-driven decision-support framework that mines dispatching rules from historical production data using IGEP and applies them in real time to handle uncertainty in intelligent manufacturing shop floors</t>
  </si>
  <si>
    <t>Evolutionary learning, decision-rule mining</t>
  </si>
  <si>
    <t>Data-driven decision support, CPS, ML</t>
  </si>
  <si>
    <t>Clear positioning of decision support via Smart Digital Twin, well-structured architecture linking physical and virtual layers; explicit prescriptive cs autonomous decision roles; strong alignment with ZDM objectives</t>
  </si>
  <si>
    <t>Purely conceptual; no implemented algorithm or quantitative evaluation; DRL components not instantiated or benchmarked; scheduling used mainly as demonstrator</t>
  </si>
  <si>
    <t>A smart digital twin framework enabling prescriptive decision-making for ZDM-oriented job-shop scheduling</t>
  </si>
  <si>
    <t>Conceptual integration of DT + DRL + ZDM for decision support; no demonstrated performance gains</t>
  </si>
  <si>
    <t>None (conceptual paper)</t>
  </si>
  <si>
    <t>Implementation and validation; comparison with non-DT decision support systems; scalability and real-time feasibility</t>
  </si>
  <si>
    <t>Purely theoretical, no actual implementation or results</t>
  </si>
  <si>
    <t>Useful architecture for DT-based decision support, but not evidence-driven</t>
  </si>
  <si>
    <t>Proposes a conceptual Smart Digital Twin framework combining DRL and virtual-physical synchronization to support prescriptive and poentially autonomous decision-making for ZDM-oriented job-shop environments</t>
  </si>
  <si>
    <t>Conceptual DT framework, DRL (proposed)</t>
  </si>
  <si>
    <t>Digital Twin, AI-based decision support</t>
  </si>
  <si>
    <t>ES</t>
  </si>
  <si>
    <t>Clear decision-support architecture leveragin EC-IIoT; decentralized real-time decisions reduce computational complexity; integrates energy efficiency as a first-class decision objective; strong case study with extensive comparative evaluation under disturbances</t>
  </si>
  <si>
    <t>Method complexity and strong modeling assumptions; energy and scheduling tightly coupled to DFJS context; no learning or adaptation beryond game dynamics, deployment cost not discussed</t>
  </si>
  <si>
    <t>An EC-IIoT-based distributed real-time decision-support framework for energy-efficient DFJS using evolutionary game theory</t>
  </si>
  <si>
    <t>Convincing and well-validated real-time decision-support mechanism for distributed manufacturing control with measurable energy and performance gains</t>
  </si>
  <si>
    <t>Simulation-based industrial case study with static and dynamic (disturbance) scenarios</t>
  </si>
  <si>
    <t>Transferability to other decisions domains (maintenance, logistics); comparison with learning-based decision support; real-world deployment evidence</t>
  </si>
  <si>
    <t>Very strong example of real-time, decentralized decision support beyond centralized optimization</t>
  </si>
  <si>
    <t>Proposes an EC-IIoT-enabled, evolutionary game-based decision-support framework that enables real-time, decentralized production decisions in distributed job shops, achieving significant energy-efficiency and reobustness improvements</t>
  </si>
  <si>
    <t>Game-theoretic optimization, real-time decision support</t>
  </si>
  <si>
    <t>Edge computing, IIoT, distributed control</t>
  </si>
  <si>
    <t>Comprehensive and well-structured AI-driven decision-support architecture for customized manufacturing; clear layering of device, interaction, AI and service levels; strong discussion of edge-cloud split for decision latency; illustrative prototype case study (customized packaging line)</t>
  </si>
  <si>
    <t>No novel decision algorithms; evaluation focuses on feasibility rather than performance comparison; very broad scope with limited depth per decisions-support mechanism</t>
  </si>
  <si>
    <t>A holistic AI-assisted customized manufacturing framework integrating devices, data, AI, and services to enable intelligent decision-making</t>
  </si>
  <si>
    <t>High-quality survey and reference architecture for AI-based decision support in customized manufacturing; incremental empirical contribution</t>
  </si>
  <si>
    <t>Prototype case study (customized candu packaging line)</t>
  </si>
  <si>
    <t>Quantitative benchmarking; decision-quality metrics; comparison against alternative decision-support architectures; scalability analysis</t>
  </si>
  <si>
    <t>Good background and architectural anchor for decision-support surveys, but not a core technical contribution</t>
  </si>
  <si>
    <t>Surveys AI technologies for customized manufacturing and porposes a layered smart-factory architecture enabling intelligent, data-driven decision support across production, maintenance, and service functions, validated via a prototype packaging line</t>
  </si>
  <si>
    <t>Survey, system architecture</t>
  </si>
  <si>
    <t>AI-enabled decision support, CPS, edge/cloud computing</t>
  </si>
  <si>
    <t>Very strong decision-support system rather than isolated algorithm; integrates production and maintenance decisions bidirectionally; implemented prototype with realistic industrial data; clear KPI-based recommendation logic; tangible improvements in delay, variability, and responsiveness.</t>
  </si>
  <si>
    <t>Heuristic recommender (no optimality gurantees); limited operational constraints; short evaluation horizon; human-in-the-loop validation remains mandatory</t>
  </si>
  <si>
    <t>An integrated PsM-PPC decision-support framework enabling intelligent, data-driven prescription of maintenance and production plans in CPPS</t>
  </si>
  <si>
    <t>Matches claim well; a working prescriptive decision-support prototype with demonstrated industrial benefit</t>
  </si>
  <si>
    <t>Industrial case study + digital twin simulation (multiple scenarios, statistical replication)</t>
  </si>
  <si>
    <t>Scalability to larger plants; autonomous prescription; integration with long-term planning; benchmarking against learning-based prescriptive systems</t>
  </si>
  <si>
    <t>Excellent anchor paper for prescriptive decision support in smart manufacturing</t>
  </si>
  <si>
    <t>Presents a digital-twin-based prescriptive maintenance system that integrates predictive analytics, simulation, and heuristic recommendation to support intelligent production planning and control, validated in a real MTO manufacturing line</t>
  </si>
  <si>
    <t>Prescriptive analytics, simulation-based decision support</t>
  </si>
  <si>
    <t>Digital twin, AI-enabled decision support</t>
  </si>
  <si>
    <t>IT</t>
  </si>
  <si>
    <t>Explicit decision-support framing; composite reward integrates multiple operational objectives (tardiness, profit, utilization, workload balance); online adaptation to disturbances (urgent orders, machine failures); extensive comparative simulation against optimal, RL, and rule-based baselines</t>
  </si>
  <si>
    <t>Simulation-only validatuon; reward weights manually defined; centralized decision logic: limited dicussion of scalability and deployment constraints</t>
  </si>
  <si>
    <t>An AI-based scheduler using composite rewards to support real-time, multi-objective production decision-making in smart factories</t>
  </si>
  <si>
    <t>Well-aligned with claim: demonstrates effective AI-driven decision support for dynamic shop-floor control using real-time data</t>
  </si>
  <si>
    <t>Simulation-based smart factory case study with disturbance scenarios (urgent orders, machine failures)</t>
  </si>
  <si>
    <t>Adaptive or learned reward weighting; decentalized decision-making; transfer to other decision domains beyond scheduling</t>
  </si>
  <si>
    <t>Strong algorithmic decision-support paper, complements DT- and architecture-oriented works.</t>
  </si>
  <si>
    <t>Introduced a reinforcement-learning-based decision-support system with composite rewards to enable real-time, multi-objective production decisions in a smart factory, outperforming traditional and single-objective methods under uncertainty</t>
  </si>
  <si>
    <t>Reinforcement learning</t>
  </si>
  <si>
    <t>AI-based decision support</t>
  </si>
  <si>
    <t>Clear decision-support framing; real-world implementation beyond conceptual DTs; supports predictive parameter selection, real-time monitoring, and post-hop diagnosis; bidirectional control via OPC UA; strong use-case validation</t>
  </si>
  <si>
    <t>Limited to material handling domain; centralized decision logic; no learning-based optimization; scalability beyond test system not demonstrated</t>
  </si>
  <si>
    <t>A physics-simulation-based digital twin providing decision support for material flow prediction, monitoring, and diagnosis in CPPS</t>
  </si>
  <si>
    <t>Matches claim well: delivers a practical, operational digital twin that supports real-time and retrospective decision-making for material handling</t>
  </si>
  <si>
    <t>Physical testbed + simulation-based case study (material handling system)</t>
  </si>
  <si>
    <t>No adaptive or learning-based decision support; limited integration with higher-level planning or scheduling systems</t>
  </si>
  <si>
    <t>Excellent reference implementation of simulation-based decision support via digital twins; complements AI-based approaches well</t>
  </si>
  <si>
    <t>Implements a physics-based digital twin of a material handling system that supports operational decision-making through predictive simulation, real-time monitoring, and diagnostic replay using bidirectional CPS integration</t>
  </si>
  <si>
    <t>Physics-based simulation, systems engineering</t>
  </si>
  <si>
    <t>Digital Twin, CPS, OPC UA</t>
  </si>
  <si>
    <t>Clear decision-support architecture (monitor-simulate-decide-control loop); online, predictive capacity adjustment under disturbances; multi-objective formulation (delay, utilization, WIP, machine count); strong comparative evaluation against static and rule-based baselines; computationally efficient heuristic suitable for real-time use.</t>
  </si>
  <si>
    <t>Simulation-based evaluation only; centralized decision logic; heuristic optimality not guaranteed; limited discussion of scalability and industrial deployment constraints</t>
  </si>
  <si>
    <t>An online digital-twin-based simulation optimization framework for adaptive deployment and adjustment of reconfigurable machines in job shops</t>
  </si>
  <si>
    <t>Well-aligned with claim: a practical simulation-driven decision-support system enabling real-time capacity and configuration decisions</t>
  </si>
  <si>
    <t>Simulation-based case study with dynamic scenarios (machine breakdowns, rush orders)</t>
  </si>
  <si>
    <t>Integration with learning-based decision support; extension beyond capacity adjustment to other decision layers; validation with real production data</t>
  </si>
  <si>
    <t>Strong example of simulation-based online decision support, complementary to AI-centric approaches</t>
  </si>
  <si>
    <t>Presents a digital-twin-driven simulation optimization framework that supports real-time decision-making for adaptive deployment and adjustment of reconfigurable machines in job shops, demonstrating improved robustness under disturbances</t>
  </si>
  <si>
    <t>Simulation optimization, heuristic decision support</t>
  </si>
  <si>
    <t>Digital Twin, RMS, CPS</t>
  </si>
  <si>
    <t>Strong decision-support infrastructure contribution; bridges gap between conceptual industry 4.0 architectures and physical implementations; real industrial prototype with measured latency and deteerminism; explicit support for dynamic DSS triggering; robust interoperability with legacy and modern systems</t>
  </si>
  <si>
    <t>Decision logic itself is external and heuristic; scheduling algorithm not the focus; architecture-heavy with limited generalization analysis; robust interoperability with legacy and modern systems</t>
  </si>
  <si>
    <t>A middleware platform enabling real-time, data-driven decision support for intelligent automation in industry 4.0 environments</t>
  </si>
  <si>
    <t>Delivers a practical, validated middleware layer that enables responsive and interoperable decision-support systems in industrial settings</t>
  </si>
  <si>
    <t>Industrial prototype implementation (pharmaceutical QC lab) with quantitative communication latency analysis</t>
  </si>
  <si>
    <t>Integration with learning-based DSSs; scalability across multiple plants; cybersecurity and fault-tolerance evaluation under stress.</t>
  </si>
  <si>
    <t>Excellent enabling infrastructure paper for decision support; complements algorithm- and DT-focused contributions</t>
  </si>
  <si>
    <t>Presents and validates a middleware platform that enables real-time, interoperable data acquisition and preparation for dynamic decision-support systems in intelligent automation, demonstrated via an industrial pharmaceutical prototype</t>
  </si>
  <si>
    <t>System architecture, middleware-based decision support</t>
  </si>
  <si>
    <t>CPS middleware, OPC UA, fog computing</t>
  </si>
  <si>
    <t>PT</t>
  </si>
  <si>
    <t>Strong decision-support relevance via uncertainty quantification; addresses data sparsity and high variability in MTO environments; rigorous comparative benchmark between probabilistic and deterministic models; real industrial dataset; clear trade-off analysis between accuracy, calibration, and runtime; actionable guidance for MES/ERP integration</t>
  </si>
  <si>
    <t>Predictive focus only (no closed-loop control); single-factory case study; decision use is indirect (prediction informs decisions but does not prescribe actions)</t>
  </si>
  <si>
    <t>An uncertainty-aware predictive modeling framework for power consumption in customized manufacturing, benchmarking hierarchical bayesian and deep learning approaches</t>
  </si>
  <si>
    <t>Delivers a rovust, uncertainty-calibrated prediction foundation for energy-aware decision support; methodological contribution rather than a control or optimization system</t>
  </si>
  <si>
    <t>Industrial case study with stratified cross-validation; quantitative accuracy, calibration, and runtime analysis</t>
  </si>
  <si>
    <t>Closed-loop prescriptive decision support; integration with scheduling or energy optimization; real-time deployment evaluation</t>
  </si>
  <si>
    <t>Excellet uncertainty-aware decision-support enabler; complements prescriptive and optimization-based DSS papers</t>
  </si>
  <si>
    <t>Compares hierarchical Bayesian and deep neural models for power consumption prediction in customized manufacturing, showing that uncertainty-aware Bayesian models provide better-calibrated predictions to support risk-aware, energy-efficient decisiom-making</t>
  </si>
  <si>
    <t>Bayesian learning, deep learning</t>
  </si>
  <si>
    <t>Uncertainty-aware AI, manufacturing analytics</t>
  </si>
  <si>
    <t>Strong decision-support formulation via novel MD-MDP (decision-time transfer + action selection); advanced state representation combining heterogeneous graphs and attention; collaborative multi-agent architecture; extensive benchmarking with statistical validation; clear superiority over state-of-the-art DRL and heuristic baselines</t>
  </si>
  <si>
    <t>Highly complex and computation-heavy; simulation-only evaluation; tightly scoped FJSP domain; real-time feasibility and deployment cost not discussed</t>
  </si>
  <si>
    <t>A novel multi-agent DRL framework with attention-based heterogeneous graph embedding and a new MD-MDP formulation for flexible job shop decision-making</t>
  </si>
  <si>
    <t>Deliver a state-of-the-art algorithmic decision-support method for complex operational decisions; methodological advance rather than system-level DSS</t>
  </si>
  <si>
    <t>Benchmark-based simulation experiments across multiple FJSP scales with statistical analysis</t>
  </si>
  <si>
    <t>Real-world deployment; simplification for industrial adoption; extension beyond scheduling-centric decision domains</t>
  </si>
  <si>
    <t>Strong algorithmic anchor paper for learning-based decision support; cimplements DT- and simulation-driven DSS work</t>
  </si>
  <si>
    <t>Introduces a multi-agent, attention-based DRL framework with a novel decision-time-aware MDP formulation that significantly improves decision quality for complex, large-scale flexible job shop environments</t>
  </si>
  <si>
    <t>Multi-agent DRL, attention-based learning</t>
  </si>
  <si>
    <t>AI-driven decision support, MARL, graph learning</t>
  </si>
  <si>
    <t>Strong integrated decision-support formulation; jointly optimizes workstation layout, AGV routing, and delivery assignment; explicitly models demand splitting and timeliness satisfaction; advanced metaheuristic with clear ablation and benchmark comparisons; realistic cloud-edge-terminal deployment architecture; validated on practical MTO reconfigurable job shops</t>
  </si>
  <si>
    <t>Metaheuristic complexity and parameter sensitivity; centralized optimization logic; simulation-based validation; strong modeling assumptions (e.g., no congestion, homogeneous AGVs)</t>
  </si>
  <si>
    <t>A supermarket-based, cloud-edge-terminal decision-support framework with an improved chaotic multiverse optimizer for material delivery in MTO reconfigurable job shops</t>
  </si>
  <si>
    <t>Deliver a high-quality decision-support method enabling coordinated logistics and layout decisions with measureable cost and responsiveness gains</t>
  </si>
  <si>
    <t>Simulation-based industrial case study with extensive comparison to state-of-the-art metaheuristics</t>
  </si>
  <si>
    <t>Learning-based or adaptive optimization; real-time re-optimization under unexpected disturbances; transfer to intralogistics contexts</t>
  </si>
  <si>
    <t>Excellent example of multi-layer, integrated decision support combining logistics and facility decisions</t>
  </si>
  <si>
    <t>Proposes a cloud-edge-terminal decision-support framework that jointly optimizes workstation layout and AGV-based material delivery for MTO reconfigurable job shops, using an improved chaotic multi-verse algorithm to balance cost and delivery timelines</t>
  </si>
  <si>
    <t>Metaheuristic optimization, decision modeling</t>
  </si>
  <si>
    <t>AGV-based logistics, CPS, intelligent decision support</t>
  </si>
  <si>
    <t>Clear decision-support framing centered on disturbance response; explicitly separates timing and scope of rescheduling decisions; equipment-level triggers reduce over-/under-rescheduling; lightweight ML model suitable for real-time use; extensive case studies covering multiple disturbance types</t>
  </si>
  <si>
    <t>ML model limited to MLP (no comparison to other learners); centralized coordination logic; simulation-based evaluation only; decision quality depends on manually defined disturbance indicators</t>
  </si>
  <si>
    <t>A multi-trigger, ML-based decision-support method for coordinated rescheduling timing and location decisions in smart job shops under multiple disturbances</t>
  </si>
  <si>
    <t>Delivers a practical and well-validated decision-support mehcanism for disturbance-aware rescheduling, focused on scope control rather than optimization novelty</t>
  </si>
  <si>
    <t>Simulation-based case study with multiple disturbance scenarios (order insertion, machine failure, delay, material shortage)</t>
  </si>
  <si>
    <t>Learning adaptive disturbance indicators; decentralized trigger coordination; integration with prescriptive or optimization-based decision layers</t>
  </si>
  <si>
    <t>Very strong decision-support-specific paper; excellent fit for surveys on dynamic manufacturing decision assistance</t>
  </si>
  <si>
    <t>Proposes a multi-trigger, machine-learning-based decision-support approach that determines when and where rescheduling should occur in smart job shops under multiple disturbances, reducing unnecessary rescheduling and improving responsiveness</t>
  </si>
  <si>
    <t>ML-based classification, hierarchical decision rules</t>
  </si>
  <si>
    <t>Decision-support systems, ML, CPS</t>
  </si>
  <si>
    <t>Very strong decision-support formulation: redesigned state, action, and reward space aligned with dynamic and multi-objective decision-making; lightweight network architecture improves real-time feasibility; extensive benchmarking against PDRs, state-of-the-art DRL, and NSGA-III; strong generalization across problem scales and arrival distributions</t>
  </si>
  <si>
    <t>Simulation-only validation; centralized decision logic; computational complexity still non-trivial for very large-scale real-time deployment; focused narrowly on job-shop decision context</t>
  </si>
  <si>
    <t>A new DRL-based decision-support method for dynamic multi-objective flexible job shop scheduling with improved MDP modeling and lightweight architecture</t>
  </si>
  <si>
    <t>Delivers a state-of-the-art learning-based decision-support algorithm with clear empirical superiority over existing reactive and learning-based apporaches</t>
  </si>
  <si>
    <t>Extensive simulation experiments on multiple benchmark datasets with convergence, diversity, and runtime metrics</t>
  </si>
  <si>
    <t>Real-world deployment; decentralized or human-in-the-loop decision support; extension beyond scheduling-centric operational decisions</t>
  </si>
  <si>
    <t>Excellent algorithmic anchor paper for dynamic, multi-objective decision support using DRL</t>
  </si>
  <si>
    <t>Proposes a deep reinforcement learning framework with improved MDP modeling and lightweight architecture to support real-time, multi-objective decision-making in dynamic flexible job shops, outperforming both heuristic and state-of-the-art learning-based methods</t>
  </si>
  <si>
    <t>Deep reinforcement learning, policy optimization</t>
  </si>
  <si>
    <t>AI-driven decision support, DRL</t>
  </si>
  <si>
    <t>Clear decision-support perspective: learning better action sequences rather than single decisions; novel integration of DTs with learned local search; demonstrates consistent improvement over state-of-the-art DRL controllers; detailed analysis of decision behavior and time-quality trade-offs; feasible inference on consumer-grade hardware</t>
  </si>
  <si>
    <t>Purely simulation/benchmark-based; improvement margins vary by problem size; return-to-go prior has limited practical influence; domain-specific to heuristic search control</t>
  </si>
  <si>
    <t>A decision-transformer-based method that enhances learned local search heuristics by leveraging sequential decision context</t>
  </si>
  <si>
    <t>Delivers a state-of-the-art sequential decision-support mechanism for guiding complex search processes, outperforming strong DRL baselines under suitable time budgets</t>
  </si>
  <si>
    <t>Extensive benchmark-based simulation (Taillard datasets) with performance, behavior, and runtime analysis</t>
  </si>
  <si>
    <t>Transfer to real-world shop-floor DSS; extension beyond scheduling/search domains; integration with higher-level prescriptive systems</t>
  </si>
  <si>
    <t>Excellent example of sequence-aware decision suport, highly relevant for surveys on advanced AI decision mechanisms</t>
  </si>
  <si>
    <t>Uses decision transformers trained on neural local search trajectories to improve sequential decision-making in job shop scheduling, achieving state-of-the-art performance when longer decision horizons are acceptable</t>
  </si>
  <si>
    <t>Decision transformers, imitation learning</t>
  </si>
  <si>
    <t>Transformer-based decision support, AI</t>
  </si>
  <si>
    <t>Clear system-level decision-support architecture (physical-virtual-service layers); explicit use of real-time DT state for decision making; advanced graph-based state representation; strong experimental validation across synthetic and public benchmarks; good balance between solution quality and runtime</t>
  </si>
  <si>
    <t>Simulation-only validation; centralized decision logic; domain-specific to hanging workshops; deployment cost and real-time integration challenges not discussed</t>
  </si>
  <si>
    <t>A DT-based management and scheduling framework for hanging workshops using graph-embedded DRL to improve flexible job-shop decision making</t>
  </si>
  <si>
    <t>Delivers a well-integrated DT + DRL decision-support system with state-of-the-art performance on complex dynamic scheduling tasks</t>
  </si>
  <si>
    <t>Extensive simulation studies on synthetic datasets and public benchmarks (mk, la), with runtime and gap analysis</t>
  </si>
  <si>
    <t>Industrial deployment evidence; decentralized or human-in-the-loop decision support; extension to other decision domains beyond scheduling</t>
  </si>
  <si>
    <t>Excellent integrated DT + AI decision-support reference; bridges architecture and algorithm convincingly</t>
  </si>
  <si>
    <t>Proposes a digital-twin-driven decision-support framework for hanging workshops, integrating real-time monitoring with graph-based deep reinforcement learning to enable high-quality dynamic shop-floor decisions</t>
  </si>
  <si>
    <t>Digital twin, deep reinforcement learning</t>
  </si>
  <si>
    <t>DT-enabled AI decision support</t>
  </si>
  <si>
    <t>Clear decision-supoprt formulation via multi-action MDP; simultaneous operation sequencing and machine selection; BiLSTM captures temporal dependencies and generalizes across job scales; reward shaping mitigates sparisty; strong benchmarking against 20 dispatching rules and DRL baselines</t>
  </si>
  <si>
    <t>Simulation-only validation;centralized control; computational overhead of BiLSTM may limit real-time deployment; trained on static scenarios with limited adaptability to online disruptions</t>
  </si>
  <si>
    <t>A multi-action DRL framework with BiLSTM-based state representation and reward shaping for FJSP under tight-time constraints</t>
  </si>
  <si>
    <t>Deliver a solid algorithmic decision-support method for complex coupled operational decisions, with clear empirical improvements over rule-based and DRL baselines</t>
  </si>
  <si>
    <t>Benchmark-based simulation experiments across multiple problem scales (6x6 to 50x20)</t>
  </si>
  <si>
    <t>Real-worl deployment; decentralized or human-in-the-loop decision support; extension to broader operational decision contexts beyond scheduling</t>
  </si>
  <si>
    <t>Strong algorithmic anchor paper for multi-action, sequence-aware decision support using DRL</t>
  </si>
  <si>
    <t>Proposes a multi-action DRL framework using BiLSTM feature extraction and reward shaping to support complex, coupled operational decisions in flexible job shops with tight-time constraints, outperforming dispatching and DRL baselines</t>
  </si>
  <si>
    <t>Deep reinforcement learning, sequence modeling</t>
  </si>
  <si>
    <t>AI-driven decision support</t>
  </si>
  <si>
    <t>Very stron decision-support formulation: shifts from position-based to precedence-based decision variables, drastically reducing model size; handles serial, parallel, concurrent,and re-entract flows; supports single- andn dual-armed robots; rigorous deadlock prevention via TPN-derived constraints; extensive computational evaluation showing large runtime improvements over prior MIP formulations; implementable with commercial solvers (CPLEX, OR-Tools)</t>
  </si>
  <si>
    <t>Exact optimization limits scalability for very large instances; centralized decision logic; domain-specific to cluster tools; no learning or adaptive components</t>
  </si>
  <si>
    <t>A generalized, efficient MIP formulation for non-cyclic cluster tool scheduling using precedence-based decision variables derived from TPN analysis</t>
  </si>
  <si>
    <t>Delivers a state-of-the-art exact decision-support method for non-cyclic cluster tool control, with clear superiority over existing MIP models in solvability and runtime</t>
  </si>
  <si>
    <t>Extensive computational experiments across multiple wafer flows, robot configurations, and lot-switching scenarios</t>
  </si>
  <si>
    <t>Hybridization wtih learning-based or heuristic DSS; real-time rolling-horizon integration; decentralized decision architectures</t>
  </si>
  <si>
    <t>Excellent exact-optimization anchor paper for prescriptive decision support in high-mix semiconductor manufacturing</t>
  </si>
  <si>
    <t>Introduces a precedence-relation-based MIP model for non-cyclic cluster tool scheduling that significantly reduces decision variables and computation time while optimally supporting complex wafer flows and robot configurations</t>
  </si>
  <si>
    <t>Exact optimization, Petri-net-based modeling</t>
  </si>
  <si>
    <t>Optimization-driven decision support, CPS</t>
  </si>
  <si>
    <t>Excellent decision-support formulation: explicity decomposes decisions into job assignment and job sequencing; herarchical multi-action space enables scalable distributed decisions; well-desgined rescheduling logic handling four arrival cases; GNN-based global state awareness; extensive benchmarking (1350 instances) against PDRs, DRL, and metaheuristics; validated industrial case study (automotive engine manufacturing)</t>
  </si>
  <si>
    <t>High algorithmic complexity; centralized learning with decentralized execution assumptions; computational cost may limit low-latency edge deployment;  domain-specific to distributed job shops</t>
  </si>
  <si>
    <t>A hierarchical multi-action DRL framework for dynamic job-shop decision-making under uncertain job arrivls</t>
  </si>
  <si>
    <t>Delivers a state-of-the-art learning-based decision-support system for dynamic distributed manufacturing control with strong empirical and industrial validation</t>
  </si>
  <si>
    <t>Large-scale simulation benchmarks + real industrial case study</t>
  </si>
  <si>
    <t>Explicit transportation-cost modeling; machine breakdowns; human-in-the-loop decision integration; deployment cost analysis</t>
  </si>
  <si>
    <t>One of the strongest algorithmic decision-support papers in the survey; exemplary handling of uncertainty and distribution</t>
  </si>
  <si>
    <t>Proposes a heriarchical, multi-action deep reinforcement learning framework that supports real-time decision-making for dynamic distributed job shops with uncertain job arrivals, demonstrating superior adaptibility, scalability, and industrial applicability</t>
  </si>
  <si>
    <t>Heriarchical DRL, graph-based decision modeling</t>
  </si>
  <si>
    <t>AI-driven decision support, MARL-like heriarchical control</t>
  </si>
  <si>
    <t>Exceptional decision-support formulation: jointly schedules manufacturing and computational tasks; removes dependency on problem-specific reward engineering; objective HER is a genuinly novel and transferable contribution; continuous action mapping enables scalability to heterogeneous resources; extensive ablation and benchmark comparisons (11 baselines); strong generalization across unsees and larger scale scenarios; near real-time inference (&lt;1 s)</t>
  </si>
  <si>
    <t>High algorithmic and implementation complexity; centralized decision logic; simulation-based validation only; deployment, integration, and governance costs not discussed</t>
  </si>
  <si>
    <t>A sparse-reward DRL-based decision-support framework for hybrid task scheduling ing manufacturing, addressing reward sparsity and hybrid action representation</t>
  </si>
  <si>
    <t>Delivers a state-of-the-art, generalizable decision-support method for complex cloud-manufacturing environments, with methodological innovations beyond the specific application</t>
  </si>
  <si>
    <t>Large-scale simulation studies (12 scenarios, up to 1000 hybrid tasks) with ablation, scalability, and generaliztion analysis</t>
  </si>
  <si>
    <t>Real-world deployment; decentralized or human-in-the-loop decision support; extension to multi-objective or sustainability-driven decisions</t>
  </si>
  <si>
    <t>One of the strongest decision-support papers in the netire set; highly reusable methodologoy (objective HER) beyond scheduling</t>
  </si>
  <si>
    <t>Proposes a sparse-reward deep reinforcement learning framework that supports real-time decision-making for hybrid manufacturing and computational task scheduling in cloud manufacturing, achieving superiod performance, scalability, and generalization without reward engineering</t>
  </si>
  <si>
    <t>Sparse-reward DRL, POMDP-based decision modeling</t>
  </si>
  <si>
    <t>AI-driven decision support, cloud-edge manufacturing</t>
  </si>
  <si>
    <t>Very clear decision-support system framing (not just an algorithm); integrates optimization, simulation, risk analysis, and monitoring in a closed loop; explicitly designed for HMLV environments; strong alignment with industry 4.0 requirements; practical KPI-based inputs; RPA enables automation and repeatability; includes survey-based industrial readiness assessment</t>
  </si>
  <si>
    <t>Optimization core (MB-GA) is computationally expensive; largely heuristic with no optimality guarantees; validation mainly simulation- and survey-based; limited quantitative comparison against state-of-the-art learning based DSS aproaches</t>
  </si>
  <si>
    <t>A real-time, risk aware decision support system for HMLV production scheduling in industry 4.0, implemented via RPA and hybrid optimization</t>
  </si>
  <si>
    <t>Delivers a comprehensive DSS architecture and methodology combining optimization, risk analysis, and automation; stronger as a system-level DSS contribution than as an algorithmic advance</t>
  </si>
  <si>
    <t>Simulation-based experiments + survey study across SMEs in five countries</t>
  </si>
  <si>
    <t>Learning-based or adaptive optimization; real-time scalability analysis; benchmarking against modern AI-based decision support systems; long-term industrial deployment evidence</t>
  </si>
  <si>
    <t>Strong system-level decision-support reference, especially valuable for HMLV and Industry 4.0 DSS discussions</t>
  </si>
  <si>
    <t>Presents a real-time, risk-aware decision-support system for high-mix low-volume production in Industry 4.0, combining hybrid optimization, simulation, and robotic process automation to support dynamic production decisions</t>
  </si>
  <si>
    <t>Hybrid optimization, risk-aware decision support</t>
  </si>
  <si>
    <t>Industry 4.0 DSS, CPS, RPA</t>
  </si>
  <si>
    <t>HU</t>
  </si>
  <si>
    <t>Broad and well-structured contextual overview of Industry 4.0 technologies; clear mapping between technologies, benefits, challenges, and decision-making impact; useful global adoption (Europe, India, Brazil, emergin economies); explicit discussion of decision-making improvement as a motivation for I4.0; extensive tabular synthesis of prior studies</t>
  </si>
  <si>
    <t>Purely descriptive; no decision support modes, algorithms, or architectures; lacks critical comparison of DSS approaches; limited novelty beyond aggregation; weak linkage to operational or prescriptive decision support</t>
  </si>
  <si>
    <t>A comprehensive review of Industry 4.0 technologies, adoption trends, challenges, and success factors across regions and industries</t>
  </si>
  <si>
    <t>Provides contextual grounding and terminology consolidation for Industry 4.0 and data-driven decision-making, but no direct decision-support contribution</t>
  </si>
  <si>
    <t>None (review paper)</t>
  </si>
  <si>
    <t>Concrete DSS architectures; algorithmic and prescriptive decision support methods; empirical validation of decision-making improvements</t>
  </si>
  <si>
    <t>The paper is a review of the current state of industry 4.0 - it is making no contribution to be included in our survey</t>
  </si>
  <si>
    <t>Useful background and framing reference for Industry 4.0-driven decision support, not a core technical paper</t>
  </si>
  <si>
    <t>Provides a global review of Industry 4.0 technologies, adoption patterns, challenges, and success factors, highlighting their role in enabling data-driven decision-making and operational efficiency across industries</t>
  </si>
  <si>
    <t>Literature review</t>
  </si>
  <si>
    <t>Industry 4.0 ecosystem technologies</t>
  </si>
  <si>
    <t>IN</t>
  </si>
  <si>
    <t>Very strong decision-support framiong: integrates real-time detection, modeling, and corrective decision logic; explicit treatment of rescheduling policy selection rather than only optimization; hybrid policy balances objective performance (RPD) and schedule stability; rigorous and large-scale experimental design (~1M experiments); realistic modeling of rework and reconditioning events</t>
  </si>
  <si>
    <t>Centralized control assumption; no learning-based estimation of reconditioning times (assumed known); simulation-only validation; computational overhead of BAS limits real-time scalability in very large systems</t>
  </si>
  <si>
    <t>An integrated event-driven modeling and rescheduling framework for job shops with rework and reconditioning under Industry 4.0</t>
  </si>
  <si>
    <t>Delivers a well-validated decision-support methodology for disturbnce-aware rescheduling, emphasizing policy choice and stability-performance trade-offs rather than pure optimization</t>
  </si>
  <si>
    <t>Large-scale simulation study with extensive sensitivity analysis (thresholds, PRO, MTTR, instance size)</t>
  </si>
  <si>
    <t>Learning-based prediction of reconditioning times; decentralized or agent-based decision support; real industrial deployment; integration with DT or AI-based prescriptive laters</t>
  </si>
  <si>
    <t>Excellent decision-support-centric rescheduling paper; strong methodological complement to AI- and DT-based DSS work</t>
  </si>
  <si>
    <t>Proposes an event-driven decision-support framework for job-shop rescheduling under rework and reconditioning disruptions, using Petri-net modeling and hybrid rescheduling policies to balance schedule quality and stability in Industry 4.0 settings</t>
  </si>
  <si>
    <t>Event-driven decision support, Petri-net based optimization</t>
  </si>
  <si>
    <t>CO</t>
  </si>
  <si>
    <t>L3/L4 Snowballing from here</t>
  </si>
  <si>
    <t>Strong decision support signal (maintenance + inspection policy selection) in a multi-stage line with buffers; uses AI/RL for operational control decisions</t>
  </si>
  <si>
    <t>Genetic Reinforcement Learning (GA + DDQN) MDP formulation, simulation/numerical experiments, sensitivty analysis</t>
  </si>
  <si>
    <t>Reinforcement Learning (DDQN), Genetic Algorithm, "GRL" (conceptually CPS/AI-driven manufacturing, but implementation is simulation)</t>
  </si>
  <si>
    <t>Clear operational decision support: per-machine actions (PM + inspection decisions) across stages, with explicit reward/cost formulation; Compares GRL against DDQN and GA; shows differing interaction/training setups (two agent–environment interaction methods)</t>
  </si>
  <si>
    <t>Evaluation is simulation-only; strong simplifying assumptions (e.g., 100% inspection when chosen; binary quality states; inspection errors modeled but still stylized); Contribution is mostly an algorithmic hybrid + modeled environment; limited evidence of deployability/real integration.</t>
  </si>
  <si>
    <t>Jointly optimize maintenance + quality inspection in multi-stage manufacturing considering quality–reliability interaction (Q–R chain idea), buffers, and propose GRL with two interaction methods</t>
  </si>
  <si>
    <t>A simulated MMS environment with degradation/quality/buffer cost models and a GA+DDQN hybrid (GRL) that learns PM/inspection policies; demonstrates improved reward vs baselines under their modeled setting</t>
  </si>
  <si>
    <t>Simulation / numerical case study (multi-stage MMS with buffers; compares GRL1/GRL2 vs GA/DDQN and fixed “policies”)</t>
  </si>
  <si>
    <t>Real-world validation, robustness to partial observability/noisy sensing beyond simplified error rates, and integration constraints (MES/QMS/CMMS) not addressed</t>
  </si>
  <si>
    <t>Good “decision support via RL” exemplar for maintenance/inspection policy optimization at line level; not scheduling-centric</t>
  </si>
  <si>
    <t>Proposes a GA+DDQN “genetic reinforcement learning” approach to choose per-machine preventive maintenance and inspection actions over production stages in a buffered multi-stage manufacturing system, modeling quality–reliability interaction and costs; validated via simulation comparisons and sensitivity analysis</t>
  </si>
  <si>
    <t>Genetic Reinforcement Learning (GA + DDQN), MDP formulation, simulation/numerical experiments, sensitivity analysis</t>
  </si>
  <si>
    <t>Reinforcement Learning (DDQN), Genetic Algorithm, “GRL”, (conceptually CPS/AI-driven manufacturing, but implementation is simulation)</t>
  </si>
  <si>
    <t>Strong decision-support contribution focused on lowering the barrier to simulation-based production planning. While not optimizing decisions directly, the work enables decision support by making simulation model creation accessible to non-experts.</t>
  </si>
  <si>
    <t>Automatic Simulation Model Generation (ASMG), Large Language Models (LLMs), rule-based action detection, template-driven prompt engineering, discrete-event simulation.</t>
  </si>
  <si>
    <t>Large Language Models (Qwen 2.5 Coder), Natural Language Interfaces, Discrete-Event Simulation (Tecnomatix Plant Simulation), REST APIs, JSON-based model generation.</t>
  </si>
  <si>
    <t>L2 - Some discussion of broader applicability</t>
  </si>
  <si>
    <t>Clear decision-support enablement by transforming natural language requests into executable simulation models; Well-structured, end-to-end framework (NL input -&gt; simulation execution -&gt; KPI analysis); Strong emphasis on usability and accessibility, addressing a real industrial bottleneck in simulation adoption</t>
  </si>
  <si>
    <t>Decision support is indirect: the system supports planners but does not autonomously decide or optimize; Evaluation is limited to simulated case studies; no industrial deployment or long-term usage reported; Relies on generic LLMs; struggles with highly specialized manufacturing domains without detailed user input</t>
  </si>
  <si>
    <t>A novel framework integrating LLMs with ASMG to allow non-expert users to generate production planning simulation models via natural language</t>
  </si>
  <si>
    <t>Demonstrates that LLM-assisted, template-constrained natural language interfaces can reliably generate executable discrete-event simulation models for production planning, significantly reducing setup time and expertise requirements</t>
  </si>
  <si>
    <t>Simulation-based case studies and performance testing across multiple manufacturing domains; comparison against traditional ASMG workflows</t>
  </si>
  <si>
    <t>Lack of real-world deployment and integration with MES/ERP systems; No assessment of decision quality improvements compared to expert-built models; Scalability and robustness under noisy or incomplete real industrial data remain open</t>
  </si>
  <si>
    <t>Valuable for the survey as an enabling technology for decision support rather than a direct decision algorithm</t>
  </si>
  <si>
    <t>Presents an LLM-enhanced automatic simulation model generation framework that converts natural language user requests into executable production planning simulation models, enabling non-expert decision makers to perform simulation-based analysis with minimal technical knowledge</t>
  </si>
  <si>
    <t>Automatic Simulation Model Generation (ASMG), Large Language Models (LLMs), rule-based action detection, template-driven prompt engineering, discrete-event simulation</t>
  </si>
  <si>
    <t>Large Language Models (Qwen 2.5 Coder), Natural Language Interfaces, Discrete-Event Simulation (Tecnomatix Plant Simulation), REST APIs, JSON-based model generation</t>
  </si>
  <si>
    <t>Partially</t>
  </si>
  <si>
    <t>Explicit decision-making support focus at the enterprise / supply-chain level, targeting logistics manufacturing integration strategy selection. However, the contribution is predominantly strategic and policy-oriented rather than operational decision support</t>
  </si>
  <si>
    <t>Two-stage fuzzy quality function development (QFD), DEMATEL, MULTIMOORA, interval-valued triangular fuzzy numbers (IVTFN), multi-criteria decision making (MCDM)</t>
  </si>
  <si>
    <t>Fuzzy decision-making frameworks, MCDM methods (QFD-DEMTEL-MULTIMOORA); no explicit industry 4.0, CPS, or data-driven operational technologies</t>
  </si>
  <si>
    <t>Clear and well-structured decision-support framework for prioritizing integration requirements, measures, and solutions across logistics and manufacturing sectors; Explicit handling of uncertainty via IVTFN, impriving robustness over crisp MDCDM approaches; Demonstrates applicability through a realistic regional case study (Pinglu Canal region, China)</t>
  </si>
  <si>
    <t>Decision support is strategic and macro-level, aimed at policymakers and enterprise managers rather than operational control or real-time decision making; Heavy reliance on expert judgement and linguistic evaluations; no data-driven or leanring-based components; No integration with actual manufacturing execution, logistics systems, or digital infrastructure</t>
  </si>
  <si>
    <t>Proposes a novel two-stage fuzzy QFD-DEMATEL-MULTIMOORA framework to identify key integration requirements, derive functional measures, and select optimal integration solutions for logistics-manufacturing integration</t>
  </si>
  <si>
    <t>Provides a structued, fuzzy MCDM-based roadmap for prioritizing logistics-manufacturing integration strategies at the enterprise and policy level; mainly supports strategic planning rather than operational decision execution</t>
  </si>
  <si>
    <t>Case study + sensitivity analysis + comparative against alternative MCDM formulations; no simulation of production or logistics operations</t>
  </si>
  <si>
    <t>Lack of oeprational validation in real production or logistics systems; no assessment of impact on actual performance metrics (throughput, lead time, cost) beyond decision rankings; Does not address dynamic, real-time decision-making contexts typical of HMLV manufacturing</t>
  </si>
  <si>
    <t>Yes (Borderline/Contextual)</t>
  </si>
  <si>
    <t>If strict focus is on operational decision support, this paper is too strategic</t>
  </si>
  <si>
    <t>Scope</t>
  </si>
  <si>
    <t>If focus strictly on operational decision support, then do not use. Could be useful as a contrast paper illustrating MCDM-based strategic decision support at L3/L4, but not representative of data-driven or real-time decision support systems</t>
  </si>
  <si>
    <t>Porposes a two-stage fuzzy QFD-DEMATEL-MULTIMOORA decision-support framework to identify prioritize, and select integration strategies for logistics and manufacturing industries, validated via a regional Chinese case study and sensitivity analysis</t>
  </si>
  <si>
    <t>Two-stage fuzzy Quality Function Deployment (QFD), DEMATEL, MULTIMOORA, interval-valued triangular fuzzy numbers (IVTFN), multi-criteria decision making (MCDM).</t>
  </si>
  <si>
    <t>Fuzzy decision-making frameworks, MCDM methods (QFD–DEMATEL–MULTIMOORA); no explicit Industry 4.0, CPS, or data-driven operational technologies.</t>
  </si>
  <si>
    <t>Strong decision-support contribution focused on hierarchical decision making for concurrent product family and assembly system design. Explicitly addresses conflicting decisions across design, manufacturing, and assembly using a structured leader–follower framework</t>
  </si>
  <si>
    <t>Multi-objective bi-level programming (MOBLP), leader–follower joint optimization (LFJO), Design Structure Matrix (DSM), interface complexity modeling, nested bi-level genetic algorithm (M-NBGA), simulation-based case study</t>
  </si>
  <si>
    <t>Optimization-based decision support, metaheuristics (genetic algorithms), DSM-based modeling; no real-time CPS or data-driven sensing components (offline decision support)</t>
  </si>
  <si>
    <t>Clear hierarchical decision-support structure separating product family decisions (leader) from supplier, manufacturing, and assembly decisions (followers); xplicit modeling of interface complexity and assembly system complexity, which are often ignored in product family design; Comprehensive mathematical formulation with well-defined objectives, constraints, and decision variables</t>
  </si>
  <si>
    <t>Entirely simulation-based; no validation using real industrial data or deployment evidence; Computational complexity is high, relying on nested genetic algorithms and extensive parameter tuning; Decision support is strategic/offline; not suitable for real-time or adaptive decision-making contexts typical of dynamic HMLV environments</t>
  </si>
  <si>
    <t>Proposes a multi-objective bi-level leader–follower optimization framework to jointly configure product families and assembly systems, explicitly accounting for interface modularity, assembly complexity, and profit maximization</t>
  </si>
  <si>
    <t>Demonstrates that hierarchical (bi-level) optimization can better balance conflicting design, manufacturing, and assembly objectives than all-in-one approaches, using a simulated refrigerator product family case</t>
  </si>
  <si>
    <t>Simulation-based numerical case study with sensitivity analysis and algorithm parameter tuning (Taguchi method); no real-world experimentation</t>
  </si>
  <si>
    <t>Lack of scalability analysis for large, highly dynamic manufacturing environments; No consideration of uncertainty, real-time disturbances, or partial observability; Integration with digital twins, MES, or real operational data remains unexplored</t>
  </si>
  <si>
    <t>Strong example of hierarchical optimization-based decision support; useful for framing how leader–follower models support complex manufacturing decisions</t>
  </si>
  <si>
    <t>Proposes a multi-objective bi-level leader–follower optimization framework that concurrently designs product family architectures and assembly systems by modeling interface complexity, assembly costs, and profit trade-offs, solved using a nested bi-level genetic algorithm and validated through simulation</t>
  </si>
  <si>
    <t>AUS</t>
  </si>
  <si>
    <t>Strong decision/scheduling signal at distributed enterprise level. Explicitly addresses multi-factory production with transportation decisions, aligning with enterprise-level decision support</t>
  </si>
  <si>
    <t>Deep reinforcement learning (DQN), bi-population evolutionary optimization, MILP modeling, multi-objective optimization (makespan, total energy consumption)</t>
  </si>
  <si>
    <t>Deep reinforcement learning, distributed scheduling systems, production–transportation integration, intelligent optimization frameworks</t>
  </si>
  <si>
    <t>Explicit modeling of multiple factories and inter-factory transportation, going beyond single-plant scheduling; Joint optimization of production, factory assignment, and transportation decisions; Well-structured hybrid approach combining RL with evolutionary optimization</t>
  </si>
  <si>
    <t>Entirely simulation-based evaluation with no industrial deployment; Strong reliance on centralized decision-making and full system observability; Domain-specific (precast concrete), limiting generalizability</t>
  </si>
  <si>
    <t>A bi-population deep Q-network framework for solving distributed flexible job shop scheduling with integrated production transportation</t>
  </si>
  <si>
    <t>Demonstrates that DRL-guided evolutionary optimization can effectively coordinate production and transportation decisions across multiple factories in a distributed manufacturing setting</t>
  </si>
  <si>
    <t>Simulation-based experiments on multiple DFJSPT benchmark instances; comparative evaluation against competitive algorithms</t>
  </si>
  <si>
    <t>Lack of real-world validation and ERP/MES integration; Scalability and real-time feasibility in operational enterprise environments not demonstrated; Transportation modeled deterministically, without uncertainty</t>
  </si>
  <si>
    <t>Strong example of enterprise-level decision support integrating production and logistics decisions across multiple plants</t>
  </si>
  <si>
    <t>Proposes a DRL-driven bi-population evolutionary framework to jointly optimize production scheduling and transportation across multiple precast concrete factories, minimizing makespan and energy consumption</t>
  </si>
  <si>
    <t>Deep reinforcement learning, evolutionary optimization</t>
  </si>
  <si>
    <t>Distributed manufacturing systems, intelligent scheduling</t>
  </si>
  <si>
    <t>PAPER ALREADY IN P6</t>
  </si>
  <si>
    <t>Strong decision support signal at line/cell level. Addresses real-time decision-making under dynamic disturbances with integrated planning, scheduling, and resource allocation</t>
  </si>
  <si>
    <t>Genetic Programming Hyper-Heuristic (GPHH), integrated mathematical modeling, multi-objective optimization, dynamic scheduling simulation</t>
  </si>
  <si>
    <t>Reconfigurable Manufacturing Cells (RMC), intelligent decision support systems, simulation-based optimization, cyber-physical production modeling</t>
  </si>
  <si>
    <t>Explicit integration of process planning, scheduling, reconfiguration, and resource allocation into a single decision framework; Designed for dynamic environments with frequent disturbances and real-time decision needs; Hyper-heuristic approach balances adaptability with computational efficiency</t>
  </si>
  <si>
    <t>Entirely simulation-based; no industrial deployment or real-time system integration; Centralized decision logic assumes high system observability; High modeling complexity may hinder practical adoption</t>
  </si>
  <si>
    <t>A dynamic integrated process planning and scheduling framework for workshops with reconfigurable manufacturing cells under multi-resource constraints</t>
  </si>
  <si>
    <t>Demonstrates that hyper-heuristic decision support can coordinate multiple tightly coupled decision layers in dynamic manufacturing cells more efficiently than traditional rescheduling or RL-only approaches</t>
  </si>
  <si>
    <t>Extensive simulation experiments with dynamically generated task arrivals; benchmark comparison against baseline and state-of-the-art algorithms</t>
  </si>
  <si>
    <t>Lack of real-world validation and MES/ERP integration; Scalability to very large industrial systems remains uncertain; Human-in-the-loop decision support not considered</t>
  </si>
  <si>
    <t>Strong example of line/cell-level decision support under dynamic, multi-resource constraints; relevant for dynamic decision support in reconfigurable manufacturing cells</t>
  </si>
  <si>
    <t>Proposes a hyper-heuristic decision support framework that dynamically integrates process planning, scheduling, reconfiguration, and resource allocation for complex manufacturing cells under uncertainty</t>
  </si>
  <si>
    <t>Hyper-heuristic optimization</t>
  </si>
  <si>
    <t>Reconfigurable manufacturing systems, simulation-based decision support</t>
  </si>
  <si>
    <t>Actual Contribution (See info for explanation)</t>
  </si>
  <si>
    <t>Research contribution</t>
  </si>
  <si>
    <t>Arhitecture/framework</t>
  </si>
  <si>
    <t>Discrete Event Simulation (FlexSim), Sync with physical twin and integration with internet of things platform, Ant Colony Optimization for scheduling</t>
  </si>
  <si>
    <t>digital twin, robotics, simulation, internet of things</t>
  </si>
  <si>
    <t>A lot of technical detail, with tech-stack, implementaion and API desciptions, good interop and real-time capabilities</t>
  </si>
  <si>
    <t xml:space="preserve">Does not compare its results with others (it is more about the SW architecture), it does not provide the code, not cost benefit analysis, configurability and generalization is unclear, no operator validation </t>
  </si>
  <si>
    <t>DT architecture with laboratory industrial validation</t>
  </si>
  <si>
    <t>Validate achitecture PoC, technical implementation</t>
  </si>
  <si>
    <t>Simuation, robotics integrated conveyer system</t>
  </si>
  <si>
    <t>Limited integration and evaluations</t>
  </si>
  <si>
    <t>Graph Scheduler, Graph Decoder, Reinforcement Learning Framework</t>
  </si>
  <si>
    <t>automated guide vehicles, REINFORCE, deep learning, multi-head attention, Graph Neural Networks</t>
  </si>
  <si>
    <t>Scale generalization (number of machines/agvs), end-to-end decision making (no human in the loop), Novel graph structure, solid benchmark and performance</t>
  </si>
  <si>
    <t>No code, limited real world testing, missing implementation details (MES integration)</t>
  </si>
  <si>
    <t>HGS scalie invariant scheduling method</t>
  </si>
  <si>
    <t>Good generalizable method and works end-to-end</t>
  </si>
  <si>
    <t>Benchmark datasets</t>
  </si>
  <si>
    <t>Unknown real world application value</t>
  </si>
  <si>
    <t>markov decision process, reinforcement learning, state representation</t>
  </si>
  <si>
    <t>deep learning, reinforcement learning, machine learning, markov decision process</t>
  </si>
  <si>
    <t xml:space="preserve">Intuitive state representation, end-to-end, addresses dynamic processing times (more generalizable) </t>
  </si>
  <si>
    <t>Low conference quality, no code, no comparisions with other newer methods, no error tolerances included in the method</t>
  </si>
  <si>
    <t>Novel state representation and processing network, end-to-end, generalizable</t>
  </si>
  <si>
    <t>Fast, simplistic, generalizable</t>
  </si>
  <si>
    <t>No error handling or modeling of other dynamic job shop conditions, only time variation</t>
  </si>
  <si>
    <t>simulation, computation reduction</t>
  </si>
  <si>
    <t>Explainations of simulation metamodels, addresses computational issues with real time digital twins, novel approach to convert scheduling sequences into vectors</t>
  </si>
  <si>
    <t>No real world validation of method, simulation used for both training and testing, no code and data available</t>
  </si>
  <si>
    <t>Machine learning based simulation approach for scheduling problem</t>
  </si>
  <si>
    <t>Addressing computation issues with digital twins</t>
  </si>
  <si>
    <t>No standard benchmarks used for validation, unclear how integration with MES works</t>
  </si>
  <si>
    <t>Semi-conductor</t>
  </si>
  <si>
    <t>Method</t>
  </si>
  <si>
    <t>deep q-network, optimization, reinforcement learning, synthetic data generation</t>
  </si>
  <si>
    <t>Incorporated machine faliures and job arrivals, thorough training descriptions</t>
  </si>
  <si>
    <t xml:space="preserve">No code and data available, </t>
  </si>
  <si>
    <t xml:space="preserve">Novel reinforment learning approach to deal with dynamic events, </t>
  </si>
  <si>
    <t>Random dataset generator, scaleable setup, reinfocement learning training</t>
  </si>
  <si>
    <t>Randomly generated dataset</t>
  </si>
  <si>
    <t>No real world validation</t>
  </si>
  <si>
    <t>This paper descibes how to use a double deep q-network algorithm for a dynamic scheduling problem. The interesting part is their description of the training algorithm and how they randomly generate the dataset. They have good figures describing their findings, but the tables are a bit overwhelming and the real world usability is a bit unclear.</t>
  </si>
  <si>
    <t>Full text not available</t>
  </si>
  <si>
    <t>deep learning, reinforcement learning, recurrent neural networks</t>
  </si>
  <si>
    <t>Good description of the case studies, data available on request, easy to read and understand what the authors did</t>
  </si>
  <si>
    <t>code available but requires waterloo university login, no comparison with other methods</t>
  </si>
  <si>
    <t>Reinforcment learning scheduling agent</t>
  </si>
  <si>
    <t>Introduction to the topic and understandable cases and applicaitons</t>
  </si>
  <si>
    <t xml:space="preserve">Error on case datasets </t>
  </si>
  <si>
    <t>The paper uses case studies but it is still a bit unclear how relevant it is for real world application</t>
  </si>
  <si>
    <t>This paper presents two scheduling problem case studies and how they used reinfocment learning to make a scheduling agent.</t>
  </si>
  <si>
    <t>metaheuristic, optimization, synthetic data generation</t>
  </si>
  <si>
    <t xml:space="preserve">machine learning, genetic algorithm </t>
  </si>
  <si>
    <t xml:space="preserve">Interesting comparison with different machine learning models, good descriptions of implementations </t>
  </si>
  <si>
    <t>Sounds like ChatGPT wrote it, their results measure accuracy and they compare only with themselves, thesis level paper, no code</t>
  </si>
  <si>
    <t>Using machine learning to decide schedules generated by genetic algorithm</t>
  </si>
  <si>
    <t>Architecture and training implementation details</t>
  </si>
  <si>
    <t>Accuracy on dataset</t>
  </si>
  <si>
    <t>Lackluster evaluation, hard to assess real world application</t>
  </si>
  <si>
    <t xml:space="preserve">This paper uses a GA algorithm to propose near optimal schedules and then an ML algorithm to select a schedule from the proposal. Different ML models are trained and compared. </t>
  </si>
  <si>
    <t>Fine introduction to problem and methodology, useful if you dont know reinforcement learning beforehand</t>
  </si>
  <si>
    <t>Few figures and tables, compares two well know techniques on a problem, low novelty value</t>
  </si>
  <si>
    <t>Comparing deep q network and rainbow on scheduling problem</t>
  </si>
  <si>
    <t>Good introduction to the topic</t>
  </si>
  <si>
    <t>Benchmark dataset</t>
  </si>
  <si>
    <t>This paper comapares rainbow and dqn for reinforcement learning on job shop scheduling problem. Their findings show that DQN.</t>
  </si>
  <si>
    <t>forecasting, logical framework</t>
  </si>
  <si>
    <t>Proposes a framework for establishing ai/ml based lead prediction specifically for small and medium enterprices, describes what components need to provide data to establish predicitve capabilities, shory and easy to read</t>
  </si>
  <si>
    <t>No concrete examples or demonstration of their proposed framework, the suggested data collection strategies have not been validated</t>
  </si>
  <si>
    <t>Proposed logical framework for establishing lead time prediction for small and medium size enterprices</t>
  </si>
  <si>
    <t>Mapping out important data sources for esablishing predictive capabilities</t>
  </si>
  <si>
    <t>Validation from actual case studies or industrial partners</t>
  </si>
  <si>
    <t>This paper talk about making a framework for establishing ai/ml capabilities for lead time prediction which will help small and medium size companies making better guarantees and understand their capacity</t>
  </si>
  <si>
    <t>lead time prediction</t>
  </si>
  <si>
    <t xml:space="preserve">Good figures and decent explainations, comprehensive comparisions, </t>
  </si>
  <si>
    <t>Incredibly wierd text and figure allignment, bit lackluster discussion and conclusion, spends a lot of time on things like hyperparameter tuning</t>
  </si>
  <si>
    <t>Combining graph neural networks and reinfocement learning</t>
  </si>
  <si>
    <t>Good figures and visualizations</t>
  </si>
  <si>
    <t>Real work applicability</t>
  </si>
  <si>
    <t>This paper presents a way to combine graph neural networks and train them with reinforcement learning on job shop scheduling problem. It has good figures but the overall quality of the paper is quesionable.</t>
  </si>
  <si>
    <t>Code can be optained on request (they are using SimPy), it is an interesting paper with a different perspective on the job shop problem, it has many technical implementation details</t>
  </si>
  <si>
    <t>A bit hard to read when you haven't heard about material flow control before, they use a lot of notation that is hard to follow</t>
  </si>
  <si>
    <t>Using reinforcement learning for material flow control</t>
  </si>
  <si>
    <t>Solid implementation explainations</t>
  </si>
  <si>
    <t xml:space="preserve">This paper talks about using reinforcment learning for the material flow control problem. This topic is more about when to dispatch orders and controlling which stations the material can go through. </t>
  </si>
  <si>
    <t>material flow control</t>
  </si>
  <si>
    <t>Code available! Highly technical explainations, good figures</t>
  </si>
  <si>
    <t>A bit hard to read and understand, seems like their method computes faster but has higher complexity</t>
  </si>
  <si>
    <t>Novel end-to-end muli objective scheduling method</t>
  </si>
  <si>
    <t>Code</t>
  </si>
  <si>
    <t>Unclear the practical use of the method as it looks complicated, but good that they provide the code</t>
  </si>
  <si>
    <t>This paper talks about multi objective scheduling, so not just optimizing the makespan but also the quality.</t>
  </si>
  <si>
    <t xml:space="preserve">They highlight that scheduling is actually a big problem in the semicondutor industry, exellent figures and explainations of what they did, very high quality paper on the topic of scheduling </t>
  </si>
  <si>
    <t xml:space="preserve">No code or data available, unclear what benchmarks they use for comparisons only a short mention of trained in simulation </t>
  </si>
  <si>
    <t>Noved deep q network for scheduling</t>
  </si>
  <si>
    <t>Solid problem descriptions and their approach</t>
  </si>
  <si>
    <t>How well it works in other industries</t>
  </si>
  <si>
    <t>This paper talks about using reinforcement learning for scheduling optimization.</t>
  </si>
  <si>
    <t>Good figures and high quality paper, talks about explainability of the output schedules, good implementation detail level</t>
  </si>
  <si>
    <t xml:space="preserve">Talks about the tech stack but does not provide the code, </t>
  </si>
  <si>
    <t>Novel framework for integrating with reinforcement learning scheduling methods to gain interpretability</t>
  </si>
  <si>
    <t>Petri Net framework for graphical representation of scheduling solutions</t>
  </si>
  <si>
    <t>This paper talks about a framework they developed for integrating with reinforcement learning based scheduling to gain explainability and graphical visualizations</t>
  </si>
  <si>
    <t>Actually tested in real world application for product boxing line,</t>
  </si>
  <si>
    <t>Tested only in very small scale</t>
  </si>
  <si>
    <t>Novel approach to solving dynamic scheduling problem</t>
  </si>
  <si>
    <t>Real world scheduling case study and deployment</t>
  </si>
  <si>
    <t>Real world case study</t>
  </si>
  <si>
    <t>Small scale</t>
  </si>
  <si>
    <t>This paper talks about using reinforcement learning for scheduling optimization and applys its solution to a real world product packaging system</t>
  </si>
  <si>
    <r>
      <rPr>
        <rFont val="Verdana"/>
        <strike/>
        <color theme="1"/>
      </rPr>
      <t>L2</t>
    </r>
    <r>
      <rPr>
        <rFont val="Verdana"/>
        <color theme="1"/>
      </rPr>
      <t xml:space="preserve"> - L4</t>
    </r>
  </si>
  <si>
    <t>Well written and is easy to read, first time i understand that the scheduling problem can acutally be across multiple factories, shows pretty impressive results</t>
  </si>
  <si>
    <t>Compares only with other reinforcment learning approcahes</t>
  </si>
  <si>
    <t xml:space="preserve">End to end graph neural network and reinforcement learining approach to distributed scheduling problem </t>
  </si>
  <si>
    <t>Easy to read and serves as one of the better papers on the topic</t>
  </si>
  <si>
    <t>Does not preform well as the number of factories increase, does not take into account dynamics</t>
  </si>
  <si>
    <t>This paper proposes a graph nerual network and reinforcement learning training strategy for a distrubuted scheduling problem, meaning that orders can be manufactured in multiple different factories and it is up to the algorithm to find the most suitable schedule accross these factories and their capabilities</t>
  </si>
  <si>
    <t>Quite nice feature descriptions, uses openAI gym and has failry transparent implementation details, explains very well what methods people use for job shop scheduling problem</t>
  </si>
  <si>
    <t>It would have been very nice if the paper provided the code since it is already quite detailed wrt. implementation</t>
  </si>
  <si>
    <t>Using reinforcement learning for the job shop scheduling problem</t>
  </si>
  <si>
    <t xml:space="preserve">A must read if you plan on implementing scheduling and using reinforcement learning </t>
  </si>
  <si>
    <t>This paper talks about using OpenAI gym to create a simulation environment for reinforcement learning for the job shop scheduling problem. It is highly technical and very detailed</t>
  </si>
  <si>
    <t>Very strong paper and one of the best in the field i have read. Presents the problem, their solution, and results very well</t>
  </si>
  <si>
    <t>Beating OR tools which has never been reported before (according to this paper)</t>
  </si>
  <si>
    <t>Good display of results and easy to follow, also provides code</t>
  </si>
  <si>
    <t>This paper is about the scheduling problem for flexible job shop. It uses an attention based network trained with reinforcement learning and it performs very well. The paper is nicly written.</t>
  </si>
  <si>
    <t>Tænker at give 2-3 af dine to sidste til Samra. (dem der lægger til sidst)</t>
  </si>
  <si>
    <t xml:space="preserve">It has nice figures, tables, and psedocode, well written paper. </t>
  </si>
  <si>
    <t>I cant really see how this paper distinguishes from other papers on the same topic, maybe just by focusing more on AGVs</t>
  </si>
  <si>
    <t xml:space="preserve">Scheduling approach for job shop with limited AGVs </t>
  </si>
  <si>
    <t>Cool figues and style, plus higher focus on AGVs and their limitations</t>
  </si>
  <si>
    <t>This paper talks about the sceduling problem with a special focus on AGVs and accounts for the dynamics of these, i.e. the transportation time</t>
  </si>
  <si>
    <t>While the paper is about scheduling and planning it feels completely different from other papers, and has a very interesting and unique take on the problem. Very well written and detailed and inspirational.</t>
  </si>
  <si>
    <t xml:space="preserve">Code not available, some of the parts can be a bit tricky to follow </t>
  </si>
  <si>
    <t>demand driven and dynamics informed scheduling and planning framework for multi-functional robots</t>
  </si>
  <si>
    <t>High degree of novelty</t>
  </si>
  <si>
    <t>The evaluation method (case study) is poorly descibed and it is difficult to picture exactly how the system works in the real world</t>
  </si>
  <si>
    <t>This paper presents a framework for optimizing scheduling and planning for robots capable of working across multiple work stations (multi-functional)</t>
  </si>
  <si>
    <t>Conceptual paper on Indsustry 6.0</t>
  </si>
  <si>
    <t>Interesting take on the production scheduling problem and has very nice figures that are clearly illustrating the concept (definitly worth checking out)</t>
  </si>
  <si>
    <t>The method is interesting and seems like something that can be easily applied, which is why it is unfortunate that they dont supply the code.</t>
  </si>
  <si>
    <t>Clear contribution in a method for feature selection in production scheduling tasks, directly enchancing the performance and reducing computational state space</t>
  </si>
  <si>
    <t xml:space="preserve">Talking about importance of feature selection (often neglected) </t>
  </si>
  <si>
    <t>Simulation (PySim)</t>
  </si>
  <si>
    <t>Could benefit from comparing with exisitng benchmarks to compare with other methods on these and not just their own simulation setup</t>
  </si>
  <si>
    <t>This paper looks a what features are useful to determine a production schedule in a flexible and dynamic environemt. It uses bayesian optimization to find the most relevant features, and RL to make the schedule from those features</t>
  </si>
  <si>
    <t>Semi-condutor</t>
  </si>
  <si>
    <t>The paper is well written and a breath of fresh air with a new topic that is not purely scheduling.</t>
  </si>
  <si>
    <t>It is a bit hard to understand as it quite different from the other papers, and it is VERY math hevy</t>
  </si>
  <si>
    <t>Method to address cost effective logisitics for high variance manufacturing companies</t>
  </si>
  <si>
    <t xml:space="preserve">Descriptions of the logicstics problem in high variance manufacturing </t>
  </si>
  <si>
    <t>Random generated test instances</t>
  </si>
  <si>
    <t xml:space="preserve">The evaluation is hard to follow, unsure how real world applicable the system is </t>
  </si>
  <si>
    <t>This paper talk about delivering parts from suppliers to automakers (with high variety) in the most time efficient way possible. While accounting for time variance in the asselbly line and inventory limitations at the automakers site.</t>
  </si>
  <si>
    <t xml:space="preserve">I really like that the authors are honest about using ChatGPT in the writing of the paper. The paper is really good and seems to have strong results. The paper also includes a real world case study which was very interesting to read about </t>
  </si>
  <si>
    <t>Proposing a RL based method for scheduling</t>
  </si>
  <si>
    <t>Clarification of real world applicability for scheduling methods. Strong results</t>
  </si>
  <si>
    <t>Case study simulation, Benchmark datasets</t>
  </si>
  <si>
    <t>This paper talks about using RL for job shop scheduling problem. The paper is really good at describing the real world usage of such system, and has great results.</t>
  </si>
  <si>
    <t xml:space="preserve">Really good review of other DRL methods for scheduling, </t>
  </si>
  <si>
    <t>Overwhelming amounts of results makes it unclear what the actual contribution of this paper is</t>
  </si>
  <si>
    <t>Novel DRL alogrithm that incoporates problem-specific characteristics</t>
  </si>
  <si>
    <t>Primarily the review of other methods i thought was the primary contribution of reading the paper</t>
  </si>
  <si>
    <t>Unclear the real world relevance</t>
  </si>
  <si>
    <t>This paper talks about improving upon existing rl methods for scheduling by expanding the algorithm. The improved algorthm seems to have better perfromacne in dynamic scenarios</t>
  </si>
  <si>
    <t>Good description on what a Pareto fronteir is. Has more focus on enegy optimization. Has real world case study. Interesting figures.</t>
  </si>
  <si>
    <t>Some of their results are hard to understand and unreadable figure lables</t>
  </si>
  <si>
    <t xml:space="preserve">Making a method that can significantly reduce energy consumption for a production line </t>
  </si>
  <si>
    <t xml:space="preserve">Enegy efficient scheduling </t>
  </si>
  <si>
    <t>Case study, benchmark datasets</t>
  </si>
  <si>
    <t>This paper talks about creating a schedule that balances enegy consumption and makespan optimization goals using DRL.</t>
  </si>
  <si>
    <t>Mechanical Components</t>
  </si>
  <si>
    <t>cannot access paper</t>
  </si>
  <si>
    <t>The paper seems to be extremely high quality, but it is not about manufacturing but rather scheduling in distributed compute clusters.</t>
  </si>
  <si>
    <t xml:space="preserve">Very interesting paper talking about the design of reconfigurable systems and the design that goes into making these systems. They also propose a software tool for assiting in the design which is very interesting and from my POV novel. They go into great software design detail aswell. The paper is overall very nicely written and a great source of inspiration to this MADE project. </t>
  </si>
  <si>
    <t xml:space="preserve">They dont compare with other methods because it is so novel. Therefore it is difficult to asses how much it improves the reconfigurability design aspects </t>
  </si>
  <si>
    <t>Improving design of reconfigurable manufacturing systems</t>
  </si>
  <si>
    <t>Building a software system that supports the decision making in designing a manufacturing system that is reconfigurable\</t>
  </si>
  <si>
    <t>Laboratory manufacturing enviornment</t>
  </si>
  <si>
    <t>This paper talks about designing a software tool that assists in designing reconfigurable manufacturing systems that are able to handle rapid design changes and potential faliures in the production line</t>
  </si>
  <si>
    <t>reconfigurability</t>
  </si>
  <si>
    <t>The paper improves on well established scheduling methods by also considering the dynamics of random job arrivals and machine breakdowns. The DRL based algorithm they develop is able to schedule jobs in real time and and performs really well.</t>
  </si>
  <si>
    <t>I get a feeling that the paper is biased since the results of the authors method are just better than what they compare with in every aspect.</t>
  </si>
  <si>
    <t>Making a method for highly dynamic scheduling in real time</t>
  </si>
  <si>
    <t>Considering dynamics such as machine breakdown and random job arrivals in the method</t>
  </si>
  <si>
    <t>Unclear</t>
  </si>
  <si>
    <t xml:space="preserve">Their description of training data generation and compraison testing is very unclear </t>
  </si>
  <si>
    <t>This paper speaks about considering the dynamics of random job arrivals and machine breakdown flexibility in the scheduling process, and implements a method for schedule generation in real time</t>
  </si>
  <si>
    <t>The paper identifies that a lot of scheduling mehods does not model the works that are on the production lines. This paper models the workers considering their skills and fatique levels when generating the production schedule. The paper also demonstrates the rescheduling property of the system by introducing the arrival of random jobs in the evaluation scenario</t>
  </si>
  <si>
    <t>The evaluation is a bit underwhelming since not many methods have same considerations so comparative analysis seems to have been difficult to make</t>
  </si>
  <si>
    <t>Considering worker effectivenice (including fatique and experience levels), in the scheduling method</t>
  </si>
  <si>
    <t>Filling the gap in the literature with method that models the line workers</t>
  </si>
  <si>
    <t>Benchmark datasets, case study (real world)</t>
  </si>
  <si>
    <t>This paper talks about modeling the workers on the production line considering their skill and fatique level while generating production schedules. The paper also consider other dynamics such as random job arrivals which triggers rescheduling.</t>
  </si>
  <si>
    <t>i couldnt find the paper online</t>
  </si>
  <si>
    <t>the paper serves as more af a conceptual paper on how to structure manufacturing ontology</t>
  </si>
  <si>
    <t>Pages</t>
  </si>
  <si>
    <t>Decision type</t>
  </si>
  <si>
    <t>https://doi.org/10.1109/IEEECONF58110.2023.10520644</t>
  </si>
  <si>
    <t>High relevance to HMLV, real case validation, new approach to family tracking problem</t>
  </si>
  <si>
    <t>No comparison with other methods used for this problem, unclear steps in solving an issue, no reasoning for feature inclusion/exclusion, only 2 clusters?</t>
  </si>
  <si>
    <t>New method to identify value streams using process mining and machine learning</t>
  </si>
  <si>
    <t>clustering method including feature generation, clustering, feature selection and evaluation</t>
  </si>
  <si>
    <t>Case study of European manufacturer that produces electronic components</t>
  </si>
  <si>
    <t>Lack of real production datasets in HMLV environment</t>
  </si>
  <si>
    <t>Paper quality, clarity of the paper</t>
  </si>
  <si>
    <t>Automated decision making</t>
  </si>
  <si>
    <t>Unsupervised ML(X-means) + GA</t>
  </si>
  <si>
    <t>Improved technique for solving JSSP using RL to improve computing time, better results compared to other techniques, efficient computation time</t>
  </si>
  <si>
    <t>Not too detailed explanation of how the algorithm is used and developed(it is required to read foundation paper on which this one is developed), would prefer bit more on how the job is split, no real world validation</t>
  </si>
  <si>
    <t>Developed Proximal Policy Optimisation-based approach for DJSP with random job arrival. Assesing model's scalability and generalisation across diverse production environments</t>
  </si>
  <si>
    <t xml:space="preserve">Developed PPO model that outperforms other dispatching rules and hyper-heuristics models,  </t>
  </si>
  <si>
    <t>Short-sighted and single decision-making for DJSP, time-consuming metaheuristics solutions, overall research framework centered on static environemnts, further research on DRL is required</t>
  </si>
  <si>
    <t>Paper with DOI: 10.1007/s10845-023-02161-w should be snowballed for this one, as it gives introduction for the solution provided by this paper</t>
  </si>
  <si>
    <t>Deep Reinforced Learning - PPO method + DES</t>
  </si>
  <si>
    <t>Nicely structured approach to problem solution(clear solution framework), comparison to another solution(performed better), refered to DT as data-driven and real time decision making, stochaistics inputs(not predefined inputs)</t>
  </si>
  <si>
    <t xml:space="preserve">no real world validation, single objective optimisation(dont know if this should be weakness), </t>
  </si>
  <si>
    <t>Using data driven models within the DT of FJS production environment aiming to provide online estimations of PS metrics enabling DT-based reactive/proactive scheduling</t>
  </si>
  <si>
    <t>It can only predict one PS metric(makespan), it is not making whole DT scheduling framework</t>
  </si>
  <si>
    <t>Highly computational intensity of simulation-driven optimisation, existing ML models are focused on dispatching rules rather then full execution, there is a lot of simplifications in existing ML reserach</t>
  </si>
  <si>
    <t>Deep Learning - RNN (LSTM and GRU) + MLP/Attention</t>
  </si>
  <si>
    <t>Europe (Netherlands, Italy, Turkey and Ireland)</t>
  </si>
  <si>
    <t>When you have reviewed the first three pls send them to me to evaluate the review process.</t>
  </si>
  <si>
    <t>Detailed explanation of proposed solution, they are solving DJSSP problem which is not reflected to great extent(claimed by authors), stochaistic environment</t>
  </si>
  <si>
    <t>No real world validation, reward function has to be optimised manually, paper mentions a lot of different optimisation objectives but focuses only on makespan</t>
  </si>
  <si>
    <t>DQN model to develop a DRL approach that optimises static instances and adapts to stochastic events, DRL scheduling environment that uses five matrices to represent changing conditions, Designed three input features that helps DQN scheduling agent</t>
  </si>
  <si>
    <t>Same as claimed</t>
  </si>
  <si>
    <t>Scenario with 6 instances from OR-library</t>
  </si>
  <si>
    <t>A lot of time required to train an agent and the challenge of developing an agent capable of acting competently in a complex scenario, JSSP solvers cant handle dynamic uncertainty, need for DRL</t>
  </si>
  <si>
    <t>Semi-automated decision making</t>
  </si>
  <si>
    <t>Deep Reinforced Learning - Deep Q Networks</t>
  </si>
  <si>
    <t>Showcases better optimisation results for JSSP problems compared against heuristics and some policy based approachs, such as PPO, paper reflects on unpredictability and solves it efficiently, gives nice theory explanation of RL, DQN and DDQN</t>
  </si>
  <si>
    <t>DDQN approach is proposed to avoid the overestimation of rewards in a noisy environment and to have training stability while selecting and evaluating actions with different networks, unpredictability of the JSSp is evaluated by reshuffling the order of jobs and varying processing time so that the agent will adapt to it to maximise the generalisation capability</t>
  </si>
  <si>
    <t>Scenario with 14 instances from OR-library</t>
  </si>
  <si>
    <t>Predefined states for scheduling problems are insufficient to address real picture of manufacturing, static scheduling requires prior knowledge, which is challenging to acquire in a stochastic situations</t>
  </si>
  <si>
    <t>Automated Decision Making</t>
  </si>
  <si>
    <t>Deep Reinforced Learning - Double Deep Q Networks</t>
  </si>
  <si>
    <t>https://doi.org/10.1080/00207543.2022.2142314</t>
  </si>
  <si>
    <t>Very good paper, nicely explained theory behind agent-based decision-making supported with clear figures and process flows, focus on moving away from centralized to decentralized scheduling</t>
  </si>
  <si>
    <t>The scale of testing(6 machines, 20 jobs), state space and reward are manually added, lacking comparsion with other methods</t>
  </si>
  <si>
    <t>A multi agent manufacturing system with online scheduling ability, self-organizing negotiation mechanism based on Contract Network Protocol, adaptive AI scheduler based on PPO to improve decision-making disturbances</t>
  </si>
  <si>
    <t>same as claimed</t>
  </si>
  <si>
    <t>Hybrid - Simulation + Physical setup</t>
  </si>
  <si>
    <t>Centralised RL scheduling are not scaling well, static models cant follow frequent disturbances, most RL's focus only on single objective</t>
  </si>
  <si>
    <t>***</t>
  </si>
  <si>
    <t>Operational Real-Time decision-making</t>
  </si>
  <si>
    <t>Deep Reinforced Learning - PPO with negotiation mechanism</t>
  </si>
  <si>
    <t>New conceptual ground in HMLV production, clear theoretical foundation through cognitive informatics, multi-dimension decision perspective</t>
  </si>
  <si>
    <t>no quantitative comparison against other methods, no systematic evaluation of algorithm choice, not fully automated</t>
  </si>
  <si>
    <t>Propose a multi-dimensional cognitive framework for cognitive manufacturing based on OAR model</t>
  </si>
  <si>
    <t>Conceptual and architectural framework for decision support, mapping between cognitive informatics and production system modeling</t>
  </si>
  <si>
    <t>Case study + prototype implementation</t>
  </si>
  <si>
    <t>Lack of cognitive framework for production systems, weak integration between human cognition and AI manufacturing</t>
  </si>
  <si>
    <t>Semi-automated</t>
  </si>
  <si>
    <t>Cognitive framework + Digital Twin + AI</t>
  </si>
  <si>
    <t>https://doi.org/10.3390/app122010451</t>
  </si>
  <si>
    <t>Real world application, focus on dynamic disturbances, integrated fault prediction with rescheduling</t>
  </si>
  <si>
    <t>Scheduling algorithm is totally unclear, limited scale of disturbances</t>
  </si>
  <si>
    <t>Workshop production scheduling method based on digital twin</t>
  </si>
  <si>
    <t>Shopfloor scan with AutoDesk Recap software for building Digital Twin, Neural network-based fault monitoring model, dynamic scheduling strategy of workshop production based on digital twin</t>
  </si>
  <si>
    <t>Industrial Case Study + Digital twin environment</t>
  </si>
  <si>
    <t>Dynamic scheduling is hard to apply in real production due to lack of real-time state visibility, most DT reserach focueses on architecture, not operational scheduling</t>
  </si>
  <si>
    <t>Quite unclear scheduling algorithm, therefore no idea for decision-making</t>
  </si>
  <si>
    <t>Operational Real-Time decision-making?</t>
  </si>
  <si>
    <t>Digital Twin + Neural network-based fault prediction + not stated which algorithm for rescheduling</t>
  </si>
  <si>
    <t>Focuses on real-time decision-making under dynamic job arrivals, claimed to be first DRL-based solution for dynamic DPFSP, well designed development structure for DRL</t>
  </si>
  <si>
    <t xml:space="preserve">Only simulation is performed, </t>
  </si>
  <si>
    <t>A DRL-based scheduling model for DPFSP is established by designing novel rewards, efficient actions and relevant state features; The procedures of training and execution for the dynamic DPFSP based on DRL</t>
  </si>
  <si>
    <t>Demonstrated better results with the DRL than traditional meta-heuristics; This study can help large-scale companies to build a real-time and intelligent distributed scheduling system under smart manufacturing</t>
  </si>
  <si>
    <t>Simulation study</t>
  </si>
  <si>
    <t>Lack of real-time methods for dynamic DPFSP, dynamic environments unexplored</t>
  </si>
  <si>
    <t>DPFSP = Distributed Permutation Flowshop Scheduling Problem</t>
  </si>
  <si>
    <t>Deep Reinforced Learning</t>
  </si>
  <si>
    <t>Explicit modeling of resource preemption, identifies limitations in existing scheduling models, novel MARL model</t>
  </si>
  <si>
    <t>only simulation is performed(even though they indentify industrial deplyoment as future work), single object minimisation, static job set assumption</t>
  </si>
  <si>
    <t>The RPE is modeled as Dec-POMDP and the overall framework of MASA is provided. Then, the MARL algorithm QMIX is applied to resolve the RPE scheduling problem</t>
  </si>
  <si>
    <t>Multi-agent decision-making architecture for scheduling, demonstration that cooperation improves scalability and stabilit</t>
  </si>
  <si>
    <t>Simulation case study</t>
  </si>
  <si>
    <t>Lack of scheduling methods that handle RP, inability to reuse solutions across varying HMLV environments, poor scalability of centralized decision-making</t>
  </si>
  <si>
    <t>RPE = Resource Preemption Environment, MARL = Multi Agent Reinforced Learning, Dec-POMDP = Decentralized Partially Observeable Markov Decision Process</t>
  </si>
  <si>
    <t>Operational scheduling under shared resource constraint</t>
  </si>
  <si>
    <t>Cooperative autonomous decision-making (MARL)</t>
  </si>
  <si>
    <t>Integration of scheduling and preventive maintenance, digital twin used as a decision enabler, consideration of workers + machines</t>
  </si>
  <si>
    <t xml:space="preserve">only simulation based, single objective optimisation, </t>
  </si>
  <si>
    <t>Proposed a DT-enabled double-layer reinforcment learning solution framework to quickly respond to uncertain disturbances in an integated FJSP problem</t>
  </si>
  <si>
    <t>DT-driven closed-loop decision architecture, hierarchical RL-based scheduling policy</t>
  </si>
  <si>
    <t>Simulation-based environment</t>
  </si>
  <si>
    <t xml:space="preserve">Scheduling and maintenance not integrated, static modeling cant handle dynamic interuptions, limited application of RL models </t>
  </si>
  <si>
    <t>Operational real-time scheduling and rescheduling</t>
  </si>
  <si>
    <t>RL (Double-Layer Q-Learning) + DT</t>
  </si>
  <si>
    <t>Integrated decision making in production and maintenance, introducing framework for prognostics and health management PRM</t>
  </si>
  <si>
    <t>No optimal method but framework between stakeholders, high computational cost for scaled problems, a lot of assumptions</t>
  </si>
  <si>
    <t>Proposed new MAS framework to solve the joint scheduling of production and maintenance operations on machines subject to predictive maintenance</t>
  </si>
  <si>
    <t>Generic&amp;centralised decision-making framework for joint scheduling, PHM framework</t>
  </si>
  <si>
    <t>Simulation-based experiments</t>
  </si>
  <si>
    <t>same as for previous maintenance&amp;production problems - no integration</t>
  </si>
  <si>
    <t>MAS = multi-agent system</t>
  </si>
  <si>
    <t xml:space="preserve">Operational/tactical </t>
  </si>
  <si>
    <t>MAS + Predictive Maintenance</t>
  </si>
  <si>
    <r>
      <rPr>
        <rFont val="Calibri, sans-serif"/>
        <strike/>
        <color rgb="FF000000"/>
        <sz val="11.0"/>
      </rPr>
      <t>L2</t>
    </r>
    <r>
      <rPr>
        <rFont val="Calibri, sans-serif"/>
        <b/>
        <strike val="0"/>
        <color rgb="FF000000"/>
        <sz val="11.0"/>
      </rPr>
      <t xml:space="preserve"> L3</t>
    </r>
  </si>
  <si>
    <t>Approach to the decision-making is very good, bit more theoretical paper so easier to comprehend, strong focus on HMLV, clear deicison-support tool</t>
  </si>
  <si>
    <t>Written by person comming from industry, clear use of chatgpt for writting, weak citation/reference list</t>
  </si>
  <si>
    <t>Identifying critical delivery drivers, combining DES with ML, improving daily lot-sizing and scheduling decisions</t>
  </si>
  <si>
    <t>Structured deicision-support workflow, method for solving complex HMLV demand patterns</t>
  </si>
  <si>
    <t>HMLV is influenced with many factors which are poorly defined, data-driven analytics are poorly integrated with theory</t>
  </si>
  <si>
    <t>Tactical/Operational decisions</t>
  </si>
  <si>
    <t>DES + ML(k-means)</t>
  </si>
  <si>
    <t>Integrated scheduling and maintenance, expression of machine reliability with RUL prediction, technicaly strong paper</t>
  </si>
  <si>
    <t>A lot of modeling assumptions, no real-time application, no learning-based scheduling</t>
  </si>
  <si>
    <t>New joint deicision-making model for scheduling planning and predictive maintenance, Novel data-driven remaining useful life prediciton method, comparative experiments using real degradation datasets and benchmark scheduling data</t>
  </si>
  <si>
    <t>Same as claimed, no real-time solution</t>
  </si>
  <si>
    <t>Simulation + benchmark study</t>
  </si>
  <si>
    <t>Separated process of scheduling and maintenance, RUL is poorly integrated in operational decisions</t>
  </si>
  <si>
    <t>RUL = Remaining Useful Life</t>
  </si>
  <si>
    <t>Operational decision-making</t>
  </si>
  <si>
    <t>Metaheuristics + Deep learning RUL prediciton</t>
  </si>
  <si>
    <t>China (1 co-author Russia)</t>
  </si>
  <si>
    <t>Fully autonomous, well handling disturbances, nice PPO framework</t>
  </si>
  <si>
    <t>only simulation based, only one transporter, reward depending RL</t>
  </si>
  <si>
    <t>Propose a DRL framework under the PPO algorithm for addressing the dynamic scheduling problem with unexpected machine failure</t>
  </si>
  <si>
    <t>Fully autonomous DRL dispatcher, handling dynamic scheduling environment</t>
  </si>
  <si>
    <t>Simulation-based experimental</t>
  </si>
  <si>
    <t>Lack of dynamic environment papers, mainly DRL are acting based on rules not acting directly, limited research on machine failure while scheduling</t>
  </si>
  <si>
    <t>PPO = Proximal Policy Optimisation</t>
  </si>
  <si>
    <t xml:space="preserve">Autonomous </t>
  </si>
  <si>
    <t>PPO + DES</t>
  </si>
  <si>
    <t>https://doi.org/10.3233/ATDE220190</t>
  </si>
  <si>
    <t>Introduces different fields of manufacturing where monte carlo can be applied</t>
  </si>
  <si>
    <t>Very broad for all areas, also this is kinda literature review paper so shouldn't be considered for the survey</t>
  </si>
  <si>
    <t>Literature review, poorly written, quite broad without any contribution</t>
  </si>
  <si>
    <t>Monte Carlo</t>
  </si>
  <si>
    <t>Real-time and data-driven decision making, researches insufficient transportation resources thats underresearched area</t>
  </si>
  <si>
    <t>Simulation only validation, single fixed layout, high complexity</t>
  </si>
  <si>
    <t>Develop a real-time data-driven dynamic scheduling method for FJSP considering insufficient transportation resources using hybrid Q network</t>
  </si>
  <si>
    <t>fully autonomous DRL scheduling agent that selects scheduling rules online</t>
  </si>
  <si>
    <t>Simulation-based</t>
  </si>
  <si>
    <t>AGV number is assumed to be sufficient in literature, MetaHeuristics are unsuitable for online rescheduling</t>
  </si>
  <si>
    <t>DRL (DQN) + GA + DES</t>
  </si>
  <si>
    <t>https://doi.org/10.1049/cim2.12042</t>
  </si>
  <si>
    <t>Those marked in the black box has been given to Samra.</t>
  </si>
  <si>
    <t xml:space="preserve">Poorly explained concept of solution, weak paper, quality of conference is low, </t>
  </si>
  <si>
    <t>Fully autonomous decision-making, introducing new problem of FJSPT, novel method</t>
  </si>
  <si>
    <t>Simulation only validation, high computational complexity</t>
  </si>
  <si>
    <t>A heterogeneous graph-based state method for FJSPT, Composite decision-making mechanism</t>
  </si>
  <si>
    <t>Fully autonomous scheduling policy, improved solutions compared to traditional scheduling policies</t>
  </si>
  <si>
    <t xml:space="preserve">Simulation-based </t>
  </si>
  <si>
    <t>Transportation constraints are either not reflected upon or oversimplified in FJSP environment</t>
  </si>
  <si>
    <t>FJSPT = Flexible Job-Scheduling Problem with Transportation constraint</t>
  </si>
  <si>
    <t>Autonomous</t>
  </si>
  <si>
    <t>Graph-based Deep Reinforced Learning</t>
  </si>
  <si>
    <t>Method combining GNN and DRL(not offently seen), strong empirical performance against FJSP benchmarks</t>
  </si>
  <si>
    <t>Static problem setting which is contradictory to HMLV environment</t>
  </si>
  <si>
    <t>Static optimisation, nothing new compared to other methods, focused mainly on algorithm</t>
  </si>
  <si>
    <t>Dynamic disturbances, nice formulation of mathematical model</t>
  </si>
  <si>
    <t>Using known scheduling policies(dispatching rules), nothing newly designed in sense of algorithm</t>
  </si>
  <si>
    <t>Proposed a scheduling decision-making method based on the PPO algorithm to respond to dynamic events in real-time</t>
  </si>
  <si>
    <t>applied PPO to DJSP, rule-selection scheduler</t>
  </si>
  <si>
    <t>Simulation + benchmark validation</t>
  </si>
  <si>
    <t>Nothing new that's not mentioned in previous papers</t>
  </si>
  <si>
    <t>Autonomously working(but heuristics are predefined, as well as dispatching rules)</t>
  </si>
  <si>
    <t>PPO + DRL</t>
  </si>
  <si>
    <t>Well covered dynamic environment, consideration of human factors, industrial case</t>
  </si>
  <si>
    <t>Crazy high complexity and maths behind the model</t>
  </si>
  <si>
    <t>DRCFJSP model incorporating worker fatigue and skill, KG-DRL integrated framework for dynamic scheduling</t>
  </si>
  <si>
    <t>high level autonomous scheduling framework for a very complex decision space</t>
  </si>
  <si>
    <t>Simulation-based case stud</t>
  </si>
  <si>
    <t>Most of the modelling in manufacturing is static, workers are treated as static resources, lack of DRL solutions</t>
  </si>
  <si>
    <t>DRCFJSP = Dual-Resource Constrained FJSP, KG = Knowledge-Graph</t>
  </si>
  <si>
    <t>Autonomous end-to-end</t>
  </si>
  <si>
    <t>KG + DRL + PPO agents</t>
  </si>
  <si>
    <t>Dynamical environment reflected, production-logistics coupled together</t>
  </si>
  <si>
    <t>It claims to be manager prefered, but there is no human-in-the-loop(Dont know if that should be fully weakness), very high complexity</t>
  </si>
  <si>
    <t>New dynamic FJS production-logistics collaborative scheduling algorithm solved with nested-hierarchical DRL framework</t>
  </si>
  <si>
    <t>Autonomous decision framework that solves dynamic production-logistics and have multi-objective optimisation</t>
  </si>
  <si>
    <t>Manufaturing and logistics decision-making is investigated separately</t>
  </si>
  <si>
    <t>Nested Hierarchical DRL</t>
  </si>
  <si>
    <t>Decoupling the classical graph into two separate ones M2O and O2O</t>
  </si>
  <si>
    <t>Static environment, single objective optimisation, high complexity</t>
  </si>
  <si>
    <t>Quality of paper, static environment, highly and not that good explained logic for developing the algorithm</t>
  </si>
  <si>
    <t>Dynamic environment, clear structure of used algorithm</t>
  </si>
  <si>
    <t>No real-time learning</t>
  </si>
  <si>
    <t>Extension of DFJSSP with crane transportation and sequence-dependent setup times, a multipopulation-based evolutionary multitask optimisation framework</t>
  </si>
  <si>
    <t>validated autonomous scheduling framework</t>
  </si>
  <si>
    <t>Over-reliance on static scheduling assumptions, limited handling of real-world constraints</t>
  </si>
  <si>
    <t>Evolutionary Multitask Optimisation + Genetic Programming</t>
  </si>
  <si>
    <t>Access Requested</t>
  </si>
  <si>
    <t>Defining DTs as decision-making instruments, introduces Sequence-Dependent Recover Time(SDRT)</t>
  </si>
  <si>
    <t>Single objective, static problem formulation, no real-time decision</t>
  </si>
  <si>
    <t>DES-driven DT framework for PFSP, introduction of SDRT with formal classification</t>
  </si>
  <si>
    <t>Modeled SDRT to PFSP, demonstration that simulation-based evaluation avoids modelling bias</t>
  </si>
  <si>
    <t>Simulation + case study</t>
  </si>
  <si>
    <t>Recovery time ignored in PFSP literature</t>
  </si>
  <si>
    <t>PFSP = Permutation Flow Shop problem, NEH = Nawaz-Enscore-Ham</t>
  </si>
  <si>
    <t>Operational autonomous decision-making</t>
  </si>
  <si>
    <t>DES + Heuristics Optimisation (NEH)</t>
  </si>
  <si>
    <t>It is not within the scope of operational/tactical levels, this is fully economical paper concerning the budget</t>
  </si>
  <si>
    <t>Explicit focus on decision-making under disturbances</t>
  </si>
  <si>
    <t>Single-objective, heavy to understand</t>
  </si>
  <si>
    <t>DRL-based autonomous decision-making method for dynamic scheduling, a GA + DDQN hybrid training and execution framework</t>
  </si>
  <si>
    <t>Well-structured autonomous rescheduling framework</t>
  </si>
  <si>
    <t>Simulation based</t>
  </si>
  <si>
    <t>Classic scheduling cant handle disturbances, heurstics are too slow</t>
  </si>
  <si>
    <t>DDQN + GA</t>
  </si>
  <si>
    <t>Something different from other papers, two step process - Anthropological and Optimisation</t>
  </si>
  <si>
    <t>No comparison to benchmarks</t>
  </si>
  <si>
    <t>Two stage platform-based design process for mass customisation</t>
  </si>
  <si>
    <t>well-structured strategic decision-support framework, integration of human expertise with algorithmic optimisation</t>
  </si>
  <si>
    <t>Semi-autonomous decision-making</t>
  </si>
  <si>
    <t>Anthropometric analysis + GA</t>
  </si>
  <si>
    <t xml:space="preserve">Fully algorithmic paper without any focus on HMLV </t>
  </si>
  <si>
    <t>SNOWBALL L3/L4</t>
  </si>
  <si>
    <t>Already included in P1 cluster</t>
  </si>
  <si>
    <t>2025_production_scheduling_optimization_of_shirt_component_module_based_on_standard_man-hour_prediction</t>
  </si>
  <si>
    <t>Paper can't be found online</t>
  </si>
  <si>
    <t>Strong focus on hierarchical decision-making, clear levelisation across organisational layers</t>
  </si>
  <si>
    <t>computationally heavy, limited autonomy at lower levels, no learning intelligence</t>
  </si>
  <si>
    <t>A cloud-fog-edge computing architecture for distributed manufacturing, a hierarhical synchronised decision-making framework</t>
  </si>
  <si>
    <t>Rigorous hierarchical decision-making structure, explicit treatment of multi-stakeholder decentralised decisions</t>
  </si>
  <si>
    <t>Industrial Case study + simulation</t>
  </si>
  <si>
    <t>Lack of secure real-time information sharing, conflicts caused by decentralised decisions, poor synchronisation between production and logistics</t>
  </si>
  <si>
    <t>Very nice methodology, but also requires high maths and complexity</t>
  </si>
  <si>
    <t>Autonomous and hierarchical optimisation-driven</t>
  </si>
  <si>
    <t>Analytical Target Cascading + GA + Adaptive Large Neighboor Search + Tabu Search</t>
  </si>
  <si>
    <t>2026_optimization_of_reverse_logistics_network_for_electric_vehicle_batteries_considering_decommissioning_forecast_and_carbon_emission</t>
  </si>
  <si>
    <t>Integrating forecasting and decision optimisation, quite novel logic of doing reverse approach</t>
  </si>
  <si>
    <t>decision making static and offline, forecasting uncertainty is not propagated into decisions</t>
  </si>
  <si>
    <t>Hybrid grey-Stanford forecasting approach for battery retirement volumes, An integrated reverse logistics network optimisation model</t>
  </si>
  <si>
    <t>solid system-level planning optimisation model, demonstration of how environmental policies influence logistics decisions</t>
  </si>
  <si>
    <t>lack of accurate battery retirement forecasting methods, insufficient integration of carbon emissions in reverse logistics</t>
  </si>
  <si>
    <t>Offline optimisation based planning</t>
  </si>
  <si>
    <t>grey and Stanford predictors</t>
  </si>
  <si>
    <t>Data source</t>
  </si>
  <si>
    <t>Framework</t>
  </si>
  <si>
    <t>Arcitecture</t>
  </si>
  <si>
    <t>Decision support focus</t>
  </si>
  <si>
    <t>Research Contribution Type</t>
  </si>
  <si>
    <r>
      <rPr>
        <rFont val="Calibri, sans-serif"/>
        <color rgb="FF1155CC"/>
        <sz val="11.0"/>
        <u/>
      </rPr>
      <t>https://doi.org/10.1109/SMC54092.2024.10831278</t>
    </r>
  </si>
  <si>
    <t>Deep reinforcement learning, multi-objective DRL, weight decomposition, neighborhood-inheritance mechanism, proximal policy optimization (PPO) as the learning method</t>
  </si>
  <si>
    <t>Deep nerual network</t>
  </si>
  <si>
    <t>Considers internal logistics resource constraints in the optimization problem (which PLCSP Intergrated with transport time does not), dynamic job arrival following an exponential distribution,</t>
  </si>
  <si>
    <t>Limited to two optimization to makespan and logistic costs (internal), Approach does not generalize to other optimization objectives, does not compare with state of the art methods, they do not mention the DRL parameter settings or description of the network. The near optimal pareto front is only shown for two instances.</t>
  </si>
  <si>
    <t>A Mulit-Objective Deep Reinforcement Learning (MODRL) method that outperformance baseline methods (NSGA-ll-R, MODRL-Centralized, Random Strategy, Composite Rules) measered on General distance, inverse generational distance, and hypervolume for dynamic production-logistics collaborative scheduling. Extends weight-decomposition and neighborhood-inheritance mechanism in training to obtain the near optimal pareto front.</t>
  </si>
  <si>
    <t>Applies, rather than invents, weight-decomposition and neighborhood-inheritance mechanism; contributes with an empirically validated MODRL dual-agent integration that outperforms baselines across GD/IGD/HV metrics.</t>
  </si>
  <si>
    <t>Simulation (With changing number of jobs and AGVs)</t>
  </si>
  <si>
    <t>Gaps found in this paper: Lack of more complex dynamic factors (layout changes, machine/AGV breakdowns, charging, path conflicts). Restricted action-space gap (uses predefined scheduling rules rather than learning optimal actions). Lack of actual manufacturing data.</t>
  </si>
  <si>
    <t>Human in the loop</t>
  </si>
  <si>
    <t>Multi agent</t>
  </si>
  <si>
    <t>Not Industry specific</t>
  </si>
  <si>
    <r>
      <rPr>
        <rFont val="Calibri, sans-serif"/>
        <color rgb="FF1155CC"/>
        <sz val="11.0"/>
        <u/>
      </rPr>
      <t>https://doi.org/10.1109/RCAE62637.2024.10834207</t>
    </r>
  </si>
  <si>
    <t>Supervised learning, classical dispatching rules, simulation to generated historical data</t>
  </si>
  <si>
    <t>Simulator, Nerual network</t>
  </si>
  <si>
    <t>Mentions other work in the field</t>
  </si>
  <si>
    <t>Compares itself againt traditional manual dispatching rules and more modern methods, authors seems to have less expertise in nerual networks, synthetic data and not real manufacturing data, limited scenarios.</t>
  </si>
  <si>
    <t xml:space="preserve">Develops a neurual network which can decide the optimal dispatching rule dinamically using offline/online framework, based on the production state. </t>
  </si>
  <si>
    <t>Scenarios/Simulation</t>
  </si>
  <si>
    <t>Papers identifies that research in dynamic flexible job shop sheduling problem is limited, Does not use real manufacturing data.</t>
  </si>
  <si>
    <t>Not indicated</t>
  </si>
  <si>
    <r>
      <rPr>
        <rFont val="Calibri, sans-serif"/>
        <color rgb="FF1155CC"/>
        <sz val="11.0"/>
        <u/>
      </rPr>
      <t>https://doi.org/10.1016/j.procir.2024.10.261</t>
    </r>
  </si>
  <si>
    <t>OEE, KPIs, Modelling, Simulation, Conceptual framework, stake holder interviews, Ishikawa (6M/8P) analysis</t>
  </si>
  <si>
    <t>data driven, data-driven, IoT, Sensors, Industrial big data, ERP/PDM/MES systems</t>
  </si>
  <si>
    <r>
      <rPr>
        <rFont val="Calibri, sans-serif"/>
        <strike/>
        <color rgb="FF000000"/>
        <sz val="11.0"/>
      </rPr>
      <t>L2</t>
    </r>
    <r>
      <rPr>
        <rFont val="Calibri, sans-serif"/>
        <b/>
        <strike val="0"/>
        <color rgb="FF000000"/>
        <sz val="11.0"/>
      </rPr>
      <t xml:space="preserve"> L3</t>
    </r>
  </si>
  <si>
    <t>Uses established existing methods to achieve better decision making in HMLV manufacturing, such as OEE and KPIs. As well as data from ERP, PDM, CAD, etc. Mulitple perspective views from stakeholders of the dicesion making process. Considers and intergrates subjective and objective factors.</t>
  </si>
  <si>
    <t>Not a novele approach, but rather an theoretical approach to achieve better decision making. Performance is assed based on the case study only focusing on OEE (Which did not get computed). The approach did only consern the two early phases of the approach. Only conceptual.</t>
  </si>
  <si>
    <t>Proposes a systematic basis for informed decision making in HMLV manufacturing environments. By using data points, indicators, perspectives and insigts. They describe how a company can obtain valuable insights in a systamtic way.</t>
  </si>
  <si>
    <t>Provides a structured decision-support methodology, mapping indicators and influential factors. By conceptual gidaence  to for better insigts in decision making, where the early phase is validated using limited OEE example.</t>
  </si>
  <si>
    <t>Case study of an manufacturing case of a contract manufacturer. The case study is varified to be good based on OEE indicator.</t>
  </si>
  <si>
    <t>Validating the appraoch accross all phases. Application of the approach in actual manufacturing setting and organisation.</t>
  </si>
  <si>
    <t>IoT sensor/machine. ERP, MES, PDM systems. Stakeholder interviews. (Data from IoT and the systems are conceptualLy used).</t>
  </si>
  <si>
    <t>General decision making</t>
  </si>
  <si>
    <t>Conseptual</t>
  </si>
  <si>
    <t>actor-critic algorithm, genetic algorithm, metaheuristic, reinforcement learning, markorb decision process, Uses population parallelization strategi using K-means clustering,</t>
  </si>
  <si>
    <t>Consider drawback of the approach --&gt; introduced complexity when using reinformcement learning models. Presents the underlying nerual network, parameters and activation functions. In the experimentation they use common benchmark sets (Hunrink J and Behnke D) for FJSP. Use known crossover techniques (POX and Uniform) and mutation (Reverse and minimal machine time mutation) in the erea of FJSP. Objectives are completion time, machine load and
energy consumption</t>
  </si>
  <si>
    <t>Does not specify how many clusters are used in the partitioning stage for parallelization. Only looks at how well it performance on the tests, but they do not evaluate if the approachs has realistic response times for real-time decision making. Compares it self against a trivial approach and not state of the art.</t>
  </si>
  <si>
    <t>A novel reinformecement learning approach modeling scheduling problems as multi-agent markov decision processes, by use of actor-critic and genetic algorithm. The approach comprehensively considers factors such as completion time, machine workload and computational efficiency.</t>
  </si>
  <si>
    <t>The actual contribution is a reinforcement learning enhanced genetic algorithm, which uses an actor–critic model to adaptively adjusts crossover and mutation probabilities during optimization/generation of a schedule. The method uses machine state information not true multi-agent decision-making and aims to reduce global makespan. While improving workload distribution and computational efficiency through parallelized population clustering. The reward function only considers makespan</t>
  </si>
  <si>
    <t>Benchmark test instances of different sizes</t>
  </si>
  <si>
    <t>Simplifies the shop floor enviroment: does not consider spatio information in the scheduling process. The paper focus only on the temporal problem. Computational cost and real-time feasibility are unaddressed, making practical deployment unclear. Comparison against other more novel approaches is lacking. Large-scale flexible shops problems. Does not consider distrubances, which happens in the real world (machine breakdown, new orders arriving dynamically).</t>
  </si>
  <si>
    <t>The objectives for the approach to optimize towards are completion time, machine load and energy comsumption.</t>
  </si>
  <si>
    <t>actor-critic with GA?</t>
  </si>
  <si>
    <r>
      <rPr>
        <rFont val="Calibri, sans-serif"/>
        <color rgb="FF1155CC"/>
        <sz val="11.0"/>
        <u/>
      </rPr>
      <t>https://doi.org/10.23055/ijietap.2024.31.5.9997</t>
    </r>
  </si>
  <si>
    <t>Unknown</t>
  </si>
  <si>
    <t>Tuff glass process industry</t>
  </si>
  <si>
    <r>
      <rPr>
        <rFont val="Calibri, sans-serif"/>
        <color rgb="FF1155CC"/>
        <sz val="11.0"/>
        <u/>
      </rPr>
      <t>https://doi.org/10.1080/00207543.2024.2408671</t>
    </r>
  </si>
  <si>
    <t>Genetic algorithm, Adaptive Large Neighborhood Search, (Mentioned: Simulated Annealing, Cooperative Optimisation, Analytical Target Cascading, Multi Disciplinary Optimisation methods)</t>
  </si>
  <si>
    <t>digital twin, Physical layer technologies (WiFi, 5G, Bluetooth, Zigbee, wired networks, LoRA)</t>
  </si>
  <si>
    <r>
      <rPr>
        <rFont val="Calibri, sans-serif"/>
        <strike/>
        <color rgb="FF000000"/>
        <sz val="11.0"/>
      </rPr>
      <t>L2</t>
    </r>
    <r>
      <rPr>
        <rFont val="Calibri, sans-serif"/>
        <b/>
        <strike val="0"/>
        <color rgb="FF000000"/>
        <sz val="11.0"/>
      </rPr>
      <t xml:space="preserve"> L3</t>
    </r>
  </si>
  <si>
    <t>Considers both temporal and spatial information in mapping production logistics scenarios.</t>
  </si>
  <si>
    <t>Does not into detail of how the digital twin is developed. The scheduling case focuses more on know the orther beforehand than taking each order in dynamically as they come.</t>
  </si>
  <si>
    <t>Coordination of decision-making units. Proposed an approach which encompasses a digital twin-based multi-level synchonised control system (DTMCS) framwork, featuring the multi-granularity synchronised control machanisms (MgSCM). As well as a collaborative optimisation model for batch production and warehouse planning.</t>
  </si>
  <si>
    <t>Through the case study, the authors evaluate how different synchronisation patterns influence system performance. The analysis identifies which pattern minimises product congestion in the logistics area, which achieves the most effective machine utilisation and the shortest makespan, and which provides the strongest resilience to disturbances such as the arrival of new customer orders that require re-planning.</t>
  </si>
  <si>
    <t>Dynamical arrival of jobs (Not pre-known sheduling problem).</t>
  </si>
  <si>
    <t>Less knowledge</t>
  </si>
  <si>
    <t>Produces different types of coatings (wood paint, latex paint, interrior paint and exterior paint)</t>
  </si>
  <si>
    <r>
      <rPr>
        <rFont val="Calibri, sans-serif"/>
        <color rgb="FF1155CC"/>
        <sz val="11.0"/>
        <u/>
      </rPr>
      <t>https://doi.org/10.1007/978-981-97-5675-9_8</t>
    </r>
  </si>
  <si>
    <t>gnn, graph neural network, optimization, ppo, reinforcement learning, "cooperative, multi-agent, actor–critic PPO system", Graph attention networks, embedding</t>
  </si>
  <si>
    <t>Well written paper (had one mistake) and goes into details of how the approach works. Uses relatively state of the art and well known methods.</t>
  </si>
  <si>
    <t>The objective of the approach is to minimize the completion time of the schedule (Single-objective, which rarely is the case). Does not explain what uth is. They happen to switch the tasks for agent s and agent l in first paragraph in section 3. Does not consider dynamic job arrival. Only equal and consistent sub-lots and compares itself against a GA and a HGA, there might is more specialized and performaned approaches.</t>
  </si>
  <si>
    <t>An innovative method using Deep reinformcement learning (DRL) with graph nearual network (GNN) to solve FJSPLS with equal and consistent sub-lots. They claim three contributions: (1) First to apply DRL to solve FJSPLS, (2) Developed a mathematical model for FJSPLS with equal and consistent sub-plots. (3) A HGFE is designed to provide the global state for dual agents. (4) A heterogeneous graph of an enhacned disjunctive graph is proposed.</t>
  </si>
  <si>
    <t>Closely the same as the stated ones. They also weakly contribute with a way of representing a flexible job shop enviroment as a graph and how this can be embedded.</t>
  </si>
  <si>
    <t>Randomly generated instances across multiple problem sizes</t>
  </si>
  <si>
    <t>Transporting of the parts to be produced between sub-lots are not considered. Single-objective optimization. Pre specified jobs not dynamical arrival of job</t>
  </si>
  <si>
    <t>Wether or not they are the first to do this kinda of approach is hard to tell. flexible job shop scheduling problem with lot streaming</t>
  </si>
  <si>
    <t>Synthetic, generates data themselves.</t>
  </si>
  <si>
    <t>Implementation</t>
  </si>
  <si>
    <t xml:space="preserve">The author claims that the approach has high potential in larger scale scheduling. Good generalization performance when tested on unseen larger scenarios. Relatively low execution time for smalla nd medium scenarios, but becomes larger for large problems.  </t>
  </si>
  <si>
    <t xml:space="preserve">The authors of the paper compares the developed approach to traditional hand-designed scheduling rules (existing heuristic scheduling rules and meta-heuristic algorithms - FIFO+SPT, FIFO+EET, MOPNR+EET, LWKR+EET, MWKR+EET, MIP). Relatively short analysis and discussion of the results. The multi-PPO algorithm or mathmatics behind are not described by the authours, just described conseptually at a high level even tho they use it in the training process. They also lack implementation details of the framework. The scenarois they use are randomly generated and does not use a known benchmark test set or actual manufucaturing data. The papers does not seem fully finished and is more focused on the embedding and create the framework for the DRL part. Cannot be used for real-time decision making (where fast actions is critical) in larger scheduling problems. (The case with 100 operations on 20 machines). </t>
  </si>
  <si>
    <t xml:space="preserve">(1) A heterogeneous graph that effectevely represents the state of the sheduling problem, information about operations and machines. This state is then embedded using their proposed Heterogenous Graph-State Mulit-Model Network (HGMN) (2) They also propose a multi-action DRl framework (3) The development of a multi-PGnN framework (4) Proposes a multi-PPO, that extends single action PPO to multi actions. This is used in the training of the proposed multi-PGN framework. </t>
  </si>
  <si>
    <t>The demomstrated approach is limited to Single-objective optimization (Makespan) tasks. They demonstrate/indicate that small and medium size scheduling problem can be used to generalize towards larger scheduling problems. The novelties in this paper are the multi-PPO (which is not described in detail) and the framework (multi-PGN framework), focused on multi action (choose an operation and machine not operation on this machine).</t>
  </si>
  <si>
    <t>The authors identifies the following gaps … (Multi-agent reinforcement learning methods could be usefull in mulit objective optimization). Real-time usage of reinformcent learning approaches is limited.</t>
  </si>
  <si>
    <t>Yes?</t>
  </si>
  <si>
    <t>FIFO+SPT (First-In-First-Out + Shortest Processing Time), FIFO+EET (First-In-First-Out + Earliest Execution Time), MOPNR+EET (Most Operations Remaining + Earliest Execution Time), LWKR+EET (Least Work Remaining + Earliest Execution Time), MWKR+EET (Most Work Remaining + Earliest Execution Time), MIP (Mixed Integer Programming)</t>
  </si>
  <si>
    <t>This paper combines state graphs embedding and multi pointer graph nerual network, with multi-PPO in the flexible Job-shop scheduling problem with ressource transfer (FJSP-RT) outperformaning traditional heuristics and meta-hueristics.</t>
  </si>
  <si>
    <t>Does not specify this.</t>
  </si>
  <si>
    <t>Neural Net framework</t>
  </si>
  <si>
    <t>Uses established tool, but it is not open source.</t>
  </si>
  <si>
    <t>Compares their ANN in estiamting consomption with commercial softwares (build software by siemens) estimated consumption. Fixed number of machines in the approach. No industrial data. Does not enclude the energy consomption directly in the optimization algorithm. Energy stages is rather simplistic (Off, idle, active). Requires retraining, if new machines with different energy patterns is introdused.</t>
  </si>
  <si>
    <t>(1) A ANN which can estimate the total energy comsumption of the machines in the job shop. (2) A Priority factor that captures patterns in the job shop and used as part of the input to th ANN.</t>
  </si>
  <si>
    <t>An ANN-based energy consumption approach for a fixed numbered machines in a job shop from schedulederived features. A key novelty is the introduction of the Priority Factor, which enables the ANN to be machine centric and not depended on the number of jobs a machine has. They domenstrate that the ANN can accuratily estimate the energy consumption within a maximum error of 1.22% to the ground truth.</t>
  </si>
  <si>
    <t>Discrete event simulation with different configurations</t>
  </si>
  <si>
    <t>An approach which can handle varying sizes opf job shops(i.e. nr. of machines). Resulting in limited scalabelity. Energy estimation of reconfigurable jog shops. Does not account for other factors than the classical sheduling problem. No dynamic enviroment. The optimization scheduling is single objective.</t>
  </si>
  <si>
    <t>This paper combines GA and ANN, with prioroty factor. The GA optmizes makespan, while the ANN estimates energy consumption based on machine schedule features (Priority factor, starting time, ending time, machine load, number of jobs). In short a combined GA-ANN approach that helps sustainable schedule dicision making.</t>
  </si>
  <si>
    <t>GA, Priority factor(Proposed by them).</t>
  </si>
  <si>
    <t>Nerual network, Plant Simulation software, devloped by Siemens PLMSoftware Inc.</t>
  </si>
  <si>
    <t>Sustainability through scheduling</t>
  </si>
  <si>
    <t>https://doi.org/10.1109/SIEDS61124.2024.10534636</t>
  </si>
  <si>
    <t>Case study of Top Notch Insert product line</t>
  </si>
  <si>
    <t>Door hardware industry</t>
  </si>
  <si>
    <r>
      <rPr>
        <rFont val="Calibri, sans-serif"/>
        <color rgb="FF1155CC"/>
        <sz val="11.0"/>
        <u/>
      </rPr>
      <t>https://doi.org/10.1007/978-981-97-0194-0_11</t>
    </r>
  </si>
  <si>
    <t>Focuses not in the classical FHSP, but also includes automated guided vehicles. Mentions other approaches which consideres AGVs (But can be time-consuming, unsuitable in enviroments where there is frequent distrubances and does not consider a dynamic and AGVs job-shop problem). The approch is validated based x initially known jobs andthen jobs arrives following poisson distribution.</t>
  </si>
  <si>
    <t>Limitied number of scenarios and small/medium scale. Is not compared against other relevant approaches, in the results section.</t>
  </si>
  <si>
    <t>(1) A mathematical model of the dynamic flexible job-shop scheduling problems with AGV is deveveloped. (2) The job-shop enviroment is modeled as a markov decision process considering processing and transportations tasks. (3) A dueling double deep Q network algorithm (D3QN ) to learn the optimal policy to minimize tardiness.</t>
  </si>
  <si>
    <t>Using the developed markov decision process and trained D3QN they demomstrate an average improvement of tardiness against 30 composite rules (Jobs rule,Machine rule, AGV rule) of 29.7% on nine scenarios.</t>
  </si>
  <si>
    <t>Real-time efficient scheduling algorithms. Mulit-objective optimizating is not the case.</t>
  </si>
  <si>
    <t>In this article a mathematical model of the dynamic flexible job-shop scheduling with AGVs problem is devloped and dueling double deep Q network optimization algorithm proposed, demonstrats … evaluated over nine scenarios.</t>
  </si>
  <si>
    <t>Deep Q network, Hurestic scheduling rules for jobs, machines and AGVs, markov decision process</t>
  </si>
  <si>
    <t>Nerual network</t>
  </si>
  <si>
    <t>Scheduling with minimization of tardiness.</t>
  </si>
  <si>
    <r>
      <rPr>
        <rFont val="Calibri, sans-serif"/>
        <color rgb="FF1155CC"/>
        <sz val="11.0"/>
        <u/>
      </rPr>
      <t>https://doi.org/10.1007/978-981-97-2275-4_4</t>
    </r>
  </si>
  <si>
    <t>Graph illutrating the idea of the proposed approach. Includes expert knoweldge into the reinformcent learning training in the inital phase of training. Compares itself against good performaing classic rules and also a DRL approach. Is scalable (generalize to larger instances - The author states that one can train on a smaller instance and get good results on higher instances).</t>
  </si>
  <si>
    <t>Does not describe the approaches real-time sufficiency. Does not utilize a benchmark test set when comparing to the other approach (tho i assume that they trained both on the same dataset). Does not exalpin why it chooses the different sizes of instances. THe performance is compared to OR-tools, which does not guarentie the optimal solutions, which might effect the interpretation of the results.</t>
  </si>
  <si>
    <t>(1) The authors proposes a novel end-to-end learning framework for solving the FJSP. An EGDRL which combines GNN and DRL, with a hybrid training strategy that uses priority dispatching rules to strenthen the earl stage training and gradually uses autonmouse policy learning. (2) They introduce a state representation of the FJSP that combines a disjuntive and operation-machine topology graph.</t>
  </si>
  <si>
    <t>Integration of "expert-guided" (priority dispatching rules) into a GNN-based deep reinforcement learning framework for FJSP, using a probabilistic hybrid training strategy that indicates improved early learning (stability and convergence).</t>
  </si>
  <si>
    <t>Randomly generated instances following predefined distributions.</t>
  </si>
  <si>
    <t>Random job arriaval (dynamic enviroment), include machine failure in scheduling problem. Mulit-objective optimization in scheduling. A generic machine learning approach that can optimize any objective.</t>
  </si>
  <si>
    <t>This paper combines GNN and DRL to make a scheduling algorithm which can optimize to minimize makespan, while imploying an "expert guided" training.</t>
  </si>
  <si>
    <t>Priority dispatching rule, Proximal Policy Optimization (PPO), reinformcent learning, markov decision process, actor-critic. Hybrid training strategy integrating expert-guidens.</t>
  </si>
  <si>
    <t>Graph netural network, nerual network. OR-tools from google.</t>
  </si>
  <si>
    <t>https://doi.org/10.1080/21681015.2024.2330401</t>
  </si>
  <si>
    <r>
      <rPr>
        <rFont val="Calibri, sans-serif"/>
        <color rgb="FF1155CC"/>
        <sz val="11.0"/>
        <u/>
      </rPr>
      <t>https://doi.org/10.1007/978-981-99-6062-0_20</t>
    </r>
  </si>
  <si>
    <t>Simpel, Considers distruption in the manufacturing environment (Worker off-day and manchine breakdown).</t>
  </si>
  <si>
    <t>Basic approach. Does not describe how the digital twin is developed or how the reallocation algorithm of the workers work. Does not describe why it choose the two strategies.</t>
  </si>
  <si>
    <t>This paper introduces a digital twin DSS that assigns workser to machines depeniding on the job and the works multi-skill level.</t>
  </si>
  <si>
    <r>
      <rPr>
        <rFont val="Calibri, sans-serif"/>
        <color rgb="FF1155CC"/>
        <sz val="11.0"/>
        <u/>
      </rPr>
      <t>https://doi.org/10.1080/00207543.2023.2217285</t>
    </r>
  </si>
  <si>
    <t>Hiarcical approach, which a divide an councer method. Considers large scale problem and shows good generalizetion results. Evaluates the results on benchmark tests and synethic generated data, compared to other type of approaches: rescheduling, dispathcing rules and Learning to choose dispatching rules, rescheduling + ant colony optimization and MIP solved by the Gurobi solver. The enviroment is dynamic and not static. The authors solves the problem from a large-scale and real-time perspective. The authors state that this approach can be extended to handle machine breakdowns as well.</t>
  </si>
  <si>
    <t>Compares itself againts well-known dispatching rules and metaheuristics. The persived performance of the approach might change if it consideres to compare against similar frameworks or state-of-the arts approaches. Only considers makespan as the optimization goal.</t>
  </si>
  <si>
    <t>(1) A novel end-to-end hierachical reinformcent learning (HRL) framework to solve large-scale DFJSP in near real-time effectively. (2) The approach utilizes a DDQN agent which optmizes the overall objective in long term, by diving the problem into a series of staic FJSPs. These are then solves by two lower level GNN-based agents. (3) The HRL framework outperformance the previouse traditional rescheduling and learning-based approaches. A well as the proposed HLR framework can be deployed with different sizes without the need for retraining. On top of this it also generalizes to different scheduling problems with different data distributions from the training data.</t>
  </si>
  <si>
    <t>Is it near real-time? Since it contains a jobbuffer? Near real-time in doing the scheduling but buffs jobs when it decides that are worth scheduling.</t>
  </si>
  <si>
    <t>Randomly generated instances and benchmark datasets</t>
  </si>
  <si>
    <t>End-to-end solution in DRL scheduling. (Most intergrates some kind of dispatching rules). Single objective optimization on large-scale dynamic scheduling problems with near real-time or real-time execution. "However, there are no publicly available instances for DFJSP in such dynamic manufacturing systems to train and evaluate the proposed HRL model" --&gt; lack of standard datasets for dynamic flexible job shop problems.</t>
  </si>
  <si>
    <t>Q-network, Double Deep Q-Network agentm. markov decision process. Multi layer perceptron. Multi Proximal Policy Optimization (Multi-PPO (optimizing towards two polocies, sharing the same critic)). Multi-agent system.</t>
  </si>
  <si>
    <t>A graph omorphism network, which is a type of Graph nerual network</t>
  </si>
  <si>
    <t>Synthetically generated using their developed simulator. Poission distributed arrival of new jobs. They also use Hurink-Vdata benchmark data.</t>
  </si>
  <si>
    <r>
      <rPr>
        <rFont val="Calibri, sans-serif"/>
        <color rgb="FF1155CC"/>
        <sz val="11.0"/>
        <u/>
      </rPr>
      <t>https://doi.org/10.1016/j.cie.2023.109718</t>
    </r>
  </si>
  <si>
    <t>agv, agvs, deep learning, neural network, reinforcement learnin</t>
  </si>
  <si>
    <t>Encludes transportation.</t>
  </si>
  <si>
    <t>Does not really address how this approach can be used by decision makers. Compares itself against combinations of traditional PDR rules for AGVs and jobs/machines. Does not address the computation time of the approach, which may limit its use in decision making. Does not consider other optimization objectives. Not deployed.</t>
  </si>
  <si>
    <t xml:space="preserve">(1) A MDP of the DFJSP-ITR problem, implemented as a heterogenous graph. (2) Designed a node embedding approach for machines, operations and AGVs (2) Introduced different AGV distribution methods and compares their performances. (3) A dynamic strategy is proposed to handle new job arrivals (4) An end-to-end DRL method capable of solving DFJSP-ITR of different sizes is proposed. </t>
  </si>
  <si>
    <t>Proposes a dynamic scheduling method for the flexible job shop problem with insufficient transportation resources (FJSP-ITR) using a heterogeneous graph neural network (HGNN) combined with deep reinforcement learning (DRL)</t>
  </si>
  <si>
    <t>Randomly generated instances of varying sizes and a real production inspired case study</t>
  </si>
  <si>
    <t>Computational scalability concerns for very large-scale instances, No real-world deployment or validation.</t>
  </si>
  <si>
    <t>flexible job shop problem with insufficient transportation resources (FJSP-ITR)</t>
  </si>
  <si>
    <t>The paper presents a DRL-based dynamic scheduling framework for flexible job shops with limited AGVs minimizing makespan.</t>
  </si>
  <si>
    <t>Reinformcent learning, PPO, PDR, Graph embedding, Graph structure to represent the shop floor. Markov Decision Process.</t>
  </si>
  <si>
    <t>Graph nerual network</t>
  </si>
  <si>
    <t>Randomly generated (synthetic)</t>
  </si>
  <si>
    <t>dynamic scheduling</t>
  </si>
  <si>
    <t>Snowball not done from here on</t>
  </si>
  <si>
    <r>
      <rPr>
        <rFont val="Calibri, sans-serif"/>
        <color rgb="FF1155CC"/>
        <sz val="11.0"/>
        <u/>
      </rPr>
      <t>https://doi.org/10.1016/j.cie.2023.109650</t>
    </r>
  </si>
  <si>
    <r>
      <rPr>
        <rFont val="Calibri, sans-serif"/>
        <strike/>
        <color rgb="FF000000"/>
        <sz val="11.0"/>
      </rPr>
      <t>L2</t>
    </r>
    <r>
      <rPr>
        <rFont val="Calibri, sans-serif"/>
        <b/>
        <strike val="0"/>
        <color rgb="FF000000"/>
        <sz val="11.0"/>
      </rPr>
      <t xml:space="preserve"> L3</t>
    </r>
  </si>
  <si>
    <t>Has a factory perspective, where one agent choosses the factory based on arriving jobs and the second agent operates at each factory in seuqncing jobs. Considers distributed job-shop scheduling and dynamic job-shop scheduling.</t>
  </si>
  <si>
    <t>Utilizes predefined rules as actions, which means that the domain knowledge is needed.</t>
  </si>
  <si>
    <t>(1) A mathematical model of the dynamic distributed flexible job-shop scheduling problem. (2) A DRL-agent mulit agent based method is proposed to solve the dynamic distributed flexible job-shop scheduling problem. (3) Markov decision processes with comprehensive state features, rules-based dispatching rules and objevtive oriented reward function. (4) A varaible thresshold probability in the training phase, to blance exploration and exploitation.</t>
  </si>
  <si>
    <t>(1) A multi-agent DQN policy selection framework (DQNP), consisting of two agents (Agent_a and Agent_S). They cooperate to schedule random arriving jobs, where agent_a assigns the factors based on the state and predefined actions and agent_s assigns the schedule sequence based on shop floor state and predefined rules. (2) Psuedo algorithm of training a DQN with policy selectin for the DJSP with random arrival. (3) A markov decision process of the dynamic distrubted job-shop scheduling problem.</t>
  </si>
  <si>
    <t>Case study on automative engine manufacturing company.</t>
  </si>
  <si>
    <t>Evaluate the proposed approach in rela production. More complex scenarios in ditributed job-shop scheduling, such as varaible processing time, the machine breakdown, etc… (Lags distribunces in the problem). Include transportation constraints in DJSP. Lack of real-time constriants inclusion in case of rescheduling needs or time critical decision making. Mulit-objective optimization, only considers makespan.</t>
  </si>
  <si>
    <t>Distributed Job-shop scheduling problem (DJSP).</t>
  </si>
  <si>
    <t>This paper proposes a mulit-agent DQN framework, whith an job to factory assigning agent and in factory scheduling agent. Demonstrating better performance over other DRL approaches (DRLC, DRLL, DRLH) and metahuristics (HGA and PSO) in instances with 3 and 4 factories. Indicating better solutions for higher number of factories.</t>
  </si>
  <si>
    <t>Markov decision process, Deep q network, multi-agent, reinforcement learning</t>
  </si>
  <si>
    <t>Nerual network.</t>
  </si>
  <si>
    <t>Synthetically generated using poisson destribution and a case study data</t>
  </si>
  <si>
    <t>distributed dynamic scheduling</t>
  </si>
  <si>
    <r>
      <rPr>
        <rFont val="Calibri, sans-serif"/>
        <color rgb="FF1155CC"/>
        <sz val="11.0"/>
        <u/>
      </rPr>
      <t>https://doi.org/10.1016/j.engappai.2023.106864</t>
    </r>
  </si>
  <si>
    <t>constrained transportation considerations (AGVs). Optimizes two objectives, which is makespan and total energy consumption. Compares itself against other mulit-objctive algorithms: three classical (NSGA-ll, SPEA2,MOEA/D) and two newer artificial bee colony algorithm (AIBC) and multi-objective discrete Jaya algorithm (MODJA). Uses Inverted Generational Distance to tune their approach to identify the most effective parameters for EHA. They experiment with having two variations of the their approach EHA1 (random initialization + three-layer encoding) and EHA2 (Without local search). Uses an exact solver (Gurobi) to varify the correctness of MMIP (But only on smaller instances).</t>
  </si>
  <si>
    <t>Does not consider disturbences of the AGVs (obsticals or breakdown and so on). No random job arrivals. Does not consider real-time decision making. Does not analyze how scalable the approach this, only CPU times is mentioned. Does not compare against learning based approaches.</t>
  </si>
  <si>
    <t>(1) Formulated a MMIP model of the problem. (2) Propposes an efficient heuristic algorithm (EHA) to solve MMIP. (3) For the EHA they present a one solution encoding scheme with greedy insertion decoding method. (4) A population initialization method is designed to balance the processing time and energy consumption. (5) Presents a local search strategy, enhancing solution qualaty and convergence speed of EHA.</t>
  </si>
  <si>
    <t>(2) The proposed method EHA illustrates better solution quality and pareto dominance to the compared algorithms. While having consistnly higher CPU time. It is more efficient in terms of solution quality and not computational time.</t>
  </si>
  <si>
    <t>Expanded benchmark test sets with varying numbers of AGVs</t>
  </si>
  <si>
    <t xml:space="preserve">Meta huristic approaches to real-time usage. A generic approach for multi-objective optimization for scheduling. Simple modeling of AGVs and their energy consumption, could include things such as AGV battery limitations, variable transport energy, or machine startup costs. </t>
  </si>
  <si>
    <t>The multi-objective green scheduling problem of integrated flexible job shop and AGVs (MOGSP-IFJS&amp;AGVs) is addressed</t>
  </si>
  <si>
    <t>The paper formulates a multi-objective green scheduling problem for integrated flexible job shops with multiple limited AGVs and proposes a modified heuristic NSGA-II–based algorithm EHA minimizing makespan and total energy consumption.</t>
  </si>
  <si>
    <t>mulit-objective mixed-integer programming (MMIP).</t>
  </si>
  <si>
    <t>AGVs</t>
  </si>
  <si>
    <t>Expanded benchmark instances Mk01-Mk15 from Braindimarte (https://link.springer.com/article/10.1007/BF02023073)</t>
  </si>
  <si>
    <r>
      <rPr>
        <rFont val="Calibri, sans-serif"/>
        <color rgb="FF1155CC"/>
        <sz val="11.0"/>
        <u/>
      </rPr>
      <t>https://doi.org/10.1109/TII.2022.3189725</t>
    </r>
  </si>
  <si>
    <t>Near real-time usage. Gets relatively close to the best algorithm known to the authors in the paper (OR-tools). (5% gap), but that approach is not usable in real-time usage. The approach generalize to larger instances, having similar distributions. The authors also show that the approach trained on the smallest instance performance the best among the PDR based methods on the unseen data set, with different distribution. The achieved makespans is lower compared to the other metahuristic and hybrid huristics, but it has considerable less execution time.</t>
  </si>
  <si>
    <t>Compares itself against classical PDRs-based methods and not newer PDR based methods.</t>
  </si>
  <si>
    <t>(1) A novel end-to-end deep reinforcement learning method that can learn high quality PDRs for the FJSP. (2) A novel heterogeneous graph representation of scheduling states. (3) A heterogenous graph nerual network is proposed.</t>
  </si>
  <si>
    <t>An DRL-based priority dispatching approach, that learns DPRs, intergrating selection and machine assigment using a heterogeneous graph representation.</t>
  </si>
  <si>
    <t>benchmark data set &amp; syntheticaly generated (30x10 and 40x10) instances.</t>
  </si>
  <si>
    <t>Dynamic inveronment. Real-time performaned scheduling. Generalize toward other scheduling problems. Multi-objective optimization. The approach does not expliticitly use past information (ex. decision patterns), only the current state. The approach is limited to immediate dispatching scheduling decisions and does not consider more long-term strategies (ex. intentially idling a job).</t>
  </si>
  <si>
    <t>An end-to-end DRL approach that combines graph nerual network and multi layer perceptron, to produce schedules minimizing makespan for the flexible job-shop scheduling problem.</t>
  </si>
  <si>
    <t>Markov decision process, PPO (actor-critic), MLP, embedding,</t>
  </si>
  <si>
    <t>?</t>
  </si>
  <si>
    <t>Synthetic data &amp; Benchmark data (mk01-mk10 and three groups of la instances (rdata, edata, and vdata).</t>
  </si>
  <si>
    <t>Flexible scheduling</t>
  </si>
  <si>
    <t>"+"</t>
  </si>
  <si>
    <r>
      <rPr>
        <rFont val="Calibri, sans-serif"/>
        <color rgb="FF1155CC"/>
        <sz val="11.0"/>
        <u/>
      </rPr>
      <t>https://doi.org/10.1016/j.future.2024.05.058</t>
    </r>
  </si>
  <si>
    <t>Considers the applicability of their proposed approach, specifically to regards to parsimony (memory usage on the testbed), reliability, and performance. They consider other aspects which is normally not included such as (computing resources (single server with limited memory), machines (idle time, office hours and efficiency), processes (types and orders), theirby demonstrating practical applicability.</t>
  </si>
  <si>
    <t>Does not compare against other approaches, only ones they themselfes have proposed. The novel problem formulation WFJSP is not directly generazible to other manufactures not in production of molds.</t>
  </si>
  <si>
    <t>(1) Formulates a novel flexible job-shop scheduling problem called weakly flexible job-shop scheduling problem (WFJSP). (2) Identification of 6 innate conflicts in WFJSP. (3) Proposes three WFJSP-specific greedy algorithms (basic greedy, Top-N, and simplified Top-N) designed for deployment within an actual database-driven system architecture. (4) A dataset consiting of 26 tasks from a manufacturing company. (5) Five metrics extended from software quality attributes are also designed, called Functionality, Usability, Reliability, Performance and Parsimony. (6) Demonstrating that GA, Top-N, and Simplified Top-N has greater Reliability, Performance and Parsimony than baseline.</t>
  </si>
  <si>
    <t xml:space="preserve">Demonstrates that Basic Greedy, Top-N, and Simplified Top-N outperform the baseline GA they implemented, when deployd in a ressource limited system. (0.1) Formulates a novel flexible job-shop scheduling problem called weakly flexible job-shop scheduling problem (WFJSP). </t>
  </si>
  <si>
    <t>Industrial case study evaluated using a simulation-based execution on a real production system under different operational settings (static and dynamic modes)</t>
  </si>
  <si>
    <t>No dynamic enviroment</t>
  </si>
  <si>
    <t>Dynamic is not whats normaly though as dynamic (here number of quantaties).</t>
  </si>
  <si>
    <t>This paper formulates a weakly flexible job-shop scheduling problem and implements and deploys greedy scheduling algorithms on a real-world case-study testbed.</t>
  </si>
  <si>
    <t>Huristic, rule-based (Greedy algorithms), Genetic Algorithm, Adapted software quality attributes into WFJSP,</t>
  </si>
  <si>
    <t>Django, MySQL, Celery, RabbitMQ, Bootstrap, jQuery, Google Charts,</t>
  </si>
  <si>
    <t>Data from Real-world production environmen</t>
  </si>
  <si>
    <t>Provides a full arcitecture with database centric design</t>
  </si>
  <si>
    <t>Weak mold Scheduling</t>
  </si>
  <si>
    <t>South korea</t>
  </si>
  <si>
    <t>Mold fabrication</t>
  </si>
  <si>
    <t>++'</t>
  </si>
  <si>
    <r>
      <rPr>
        <rFont val="Calibri, sans-serif"/>
        <color rgb="FF1155CC"/>
        <sz val="11.0"/>
        <u/>
      </rPr>
      <t>https://doi.org/10.3390/app14156835</t>
    </r>
  </si>
  <si>
    <t>Includes an industrical case study of a prefabrication of building envelope where they include the whole design phase (Defining the needs of the stakeholders, architecture creation, BIM, etc..). They have consider the full phase from material delivered to them and to the deliveary to comstumors.</t>
  </si>
  <si>
    <t>Managerial/business/policy focus. Their approach is specifically tailored to the use case, might reduce the applicability towars other companies which does not have the same setup?. The approach requeires manual BIM creation, which might be less diserable for large scale companies. Not very technical very high level on that part, only discusses concepts and does not dive further down. Does not evaluate their approach only present their theoretical idea.</t>
  </si>
  <si>
    <t>(1) Contributes to the body of knowledge on the effectiveness of user-centric-design (UCD) methodologies. (2) The potential of digital twin technologys ability to address the unqie challanges of ETOs.</t>
  </si>
  <si>
    <t>(1) This papers contribution is a design phase examplication which can inform the tairloed creation of digital twin solutions for engineer-to-order manufactures(ETO).</t>
  </si>
  <si>
    <t>Industrical case study of a prefabrication of building envelope (But it is never evaluated with experiments).</t>
  </si>
  <si>
    <t>How can user requeriemnts be prioritized when implementing DT in ETO?</t>
  </si>
  <si>
    <t>No, conceptual. They do not implement the proposed methodology --&gt; No evaluation their findings/approach only in terms of expert questinaries.</t>
  </si>
  <si>
    <t>This paper combines BIM, IoT, and AI within the digital twin architecture design with a user-centric-design approach.</t>
  </si>
  <si>
    <t>Interviews, workshops</t>
  </si>
  <si>
    <t>Digital twin technology, IoT, Building Information Model, Artificial Intelligence</t>
  </si>
  <si>
    <t>Digital twin arcitecture.</t>
  </si>
  <si>
    <t>Warehous management</t>
  </si>
  <si>
    <t>Prefabrication manufacturing</t>
  </si>
  <si>
    <t>+'</t>
  </si>
  <si>
    <r>
      <rPr>
        <rFont val="Calibri, sans-serif"/>
        <color rgb="FF1155CC"/>
        <sz val="11.0"/>
        <u/>
      </rPr>
      <t>https://doi.org/10.1108/IR-10-2021-0246</t>
    </r>
  </si>
  <si>
    <t>Uses a combination of expert knowledge and extensive literature review to define the 13 challanges in CE (circular economy).</t>
  </si>
  <si>
    <t>The study solely focuses on the rubber components manufacturing. Not a high technical focus, but rather on how to make decision and what technology to use to solve it (For managers and policymakers). They use brainstorming which is a very basic way of generating ideas. Limited number of experts are used. Limited challanges and solution are captured. Hard to follow if you dont know the decision concepts before hand.</t>
  </si>
  <si>
    <t>(1) A decision support framework which helps the implementation of circular economy in supply chain, with prioritizing industry 4.0 technological solution measures. Powered by expert (domain knowledge) and literature knowledge. (2) An extensive litterature review of the extant published work on industry 4.0, circular economy, supply chain and their connections.</t>
  </si>
  <si>
    <t>The main contribution of this paper is the development of a decision support framework which helps the implementation of circular economy in supply chain, with prioritizing industry 4.0 technological solution measures. Powered by expert (domain knowledge) and literature knowledge using fuzzy multi-criteria decision making methods.</t>
  </si>
  <si>
    <t>Not really, (Not objectevely evaluated or tested/experiements/case study).</t>
  </si>
  <si>
    <t>A framework which can aid managers and policymakers in Mulit-criteria decision-making industry broad (Not just foccussed on rubber industry in Indian manufacturing). Not real-world evaludation/validation of the framework.</t>
  </si>
  <si>
    <t>Not in the scope, more conceptual/theoretical than technical. The paper focuses on managerial, business, and policy aspects + the internal evaluation.</t>
  </si>
  <si>
    <t>Paper provide a mulit-criteria decision-makin framework for managers and poloci makers aiding implementing circular econonmy in the supply chain.</t>
  </si>
  <si>
    <t>Two-stage multi-criteria decision-making (MCDM), Interval-valued intuitionistic fuzzy logic (IVIF), Combinative distance-based assessment (CODAS), Analytic Hierarchy Process (AHP). Questionnaires, with linguistic evaluations (very important, less important, …).</t>
  </si>
  <si>
    <t>Rubber component manufacturing</t>
  </si>
  <si>
    <t>Circular Economy, supply chain</t>
  </si>
  <si>
    <r>
      <rPr>
        <rFont val="Calibri, sans-serif"/>
        <color rgb="FF1155CC"/>
        <sz val="11.0"/>
        <u/>
      </rPr>
      <t>https://doi.org/10.1016/j.cie.2025.111342</t>
    </r>
  </si>
  <si>
    <t>Compares its approach other DRL-methods aswell as different variations of its own. States their contribution explicitely. They provide the code for the DDQN fluid model.</t>
  </si>
  <si>
    <t>A limitation with the paper is that i it does not include a dynamic environment. Uses composite rules which might not be the most optimal or does requeire expert knowledge (might be an inherint limitation of DRL approaches?)</t>
  </si>
  <si>
    <t>(1) A novel data-driven scheduling framework using DRL combined with fluid dynamic models is proposed. (2) First to use fluid models in MVSB-FJSP. (3) Some of the first to apply DDQN in an integrated scheduling framework tailored to the fluid model.</t>
  </si>
  <si>
    <t>The main contribution of this paper is the development of a data-driven scheduling framework using DRL combined with fluid dynamic models in the MVSB-FJSP context.</t>
  </si>
  <si>
    <t>Discrete event simulation and benchmark.</t>
  </si>
  <si>
    <t>Deployment of the approach on an actual shop floor. Dynamic envinroment.</t>
  </si>
  <si>
    <t xml:space="preserve"> MVSB-FJSP </t>
  </si>
  <si>
    <t>Proposes a data-driven decision framework based on DRL and fluid model to minimize makespan in the Multi-Variety and Small-Batch Flexible Job Shop Scheduling Problem (MVSB-FJSP).</t>
  </si>
  <si>
    <t>Fluid Model (a linear model), DRL, Learning approach is DDQN</t>
  </si>
  <si>
    <t>Nerual network, Descrite Event Simulation (DES), CPLEX solver for the fluid model solving.</t>
  </si>
  <si>
    <t>? (Does not specify how the generated shcedules or dispathcing decisions are used in practice.)</t>
  </si>
  <si>
    <t>Synethic &amp; Benchmark data.</t>
  </si>
  <si>
    <t>scheduling problem with high vearity, batched jobs</t>
  </si>
  <si>
    <r>
      <rPr>
        <rFont val="Calibri, sans-serif"/>
        <color rgb="FF1155CC"/>
        <sz val="11.0"/>
        <u/>
      </rPr>
      <t>https://doi.org/10.3390/app151810108</t>
    </r>
  </si>
  <si>
    <t>Focuses on the dynamic flexible job shop scheduling problem (DFJSP). Considers factory and then task level decisions i believe. Has dynamic arrivals. considers response time. The response time of the full model with (policy graident, semi-supervised pre-training, and mast mechanism) has a response time of 1.38 seconds. Experiment with different variations of the final proposed model.</t>
  </si>
  <si>
    <t>Figures hard to read. Does not clearly state their contribution in an easely understandeble way. Comapres itselfs against 5 basic heuristic rules (Dispatching rules) and modern learning-based approaches, but not other types of state-of-the-art scheduling creation algorithms approaches (exact or metahuristic optimizations). The benchmarks they use are made for other scheduling problems, which might is fine. The "advanced heuristic algorithm" which the high-level policy is initialised to is never explained or decribed.</t>
  </si>
  <si>
    <t>(1) Modeling the job shop scheduling problem as a hiearachical structure, which decomposes the schdeuling task into high level decisions and low level task allocations. (2) Conduction of comprehensive comparative experiments of the proposed approach against both heuristic and intelligent algorithms.</t>
  </si>
  <si>
    <t>A HRL-based framework for the dynamic job shop scheduling that employs a two-level decision stage/structure in the traning, exploting a combination of high strategic decision and a low level machine allocation decision.</t>
  </si>
  <si>
    <t>A simulated dynamic flexible job shop environment with stochastic task arrivals.</t>
  </si>
  <si>
    <t>Metrics used are:• Cumulative Reward: The overall scheduling efficiency based on time and resource
 utilization.
 • Task Success Rate: The proportion of tasks completed before their deadlines.
 • Average Response Time: The average duration from task arrival to its completion</t>
  </si>
  <si>
    <t>The paper proposes a hierarchical reinforcement learning approach for dynamic job shop scheduling that combines high-level planning and low-level task allocation and achieves improved performance compared to heuristic (shortest processing time) and single policy baselines.</t>
  </si>
  <si>
    <t>Policy gradient optimization/learning, Markov Decision Process (MDP), hierarchical reinforcement learning, semi-supervised pre-training (Under supervised), Mask mechanism (actions which are not possible/allowed are set to zero)</t>
  </si>
  <si>
    <t>Benchmark dataset. (Brandimarte [40], Dauzère [41], Taillard [42], Demirkol [43], and Lawrence [44])</t>
  </si>
  <si>
    <t>dynamic scheduling problem</t>
  </si>
  <si>
    <r>
      <rPr>
        <rFont val="Calibri, sans-serif"/>
        <color rgb="FF1155CC"/>
        <sz val="11.0"/>
        <u/>
      </rPr>
      <t>https://doi.org/10.1115/1.4068980</t>
    </r>
  </si>
  <si>
    <t>The authors consider disruptions of the enviroment, which contains machine failires, AGV failures and transport disruption, material-handling bottlenecks and blocking, dynamic job demand (job has different arrival rates). Optimizes four objectives (expected productivity improvement, task transition congestion, worklead balancing, transport efficiency). A comprehensive experimentation and analysis of their approach.</t>
  </si>
  <si>
    <t>Makes an comparative analysis against conventional scheduling approachs (FIFO, SPT, EDD, MST, and MDD), but this might be due to none other papers optimizate the same objectives (hard to tell). The codebase is not avialable, which includes the CMAS-DT framework, the mulit-agent RL implementation and the simulator (Results a cannot be reproduced).</t>
  </si>
  <si>
    <t>Proposes a Cognitive multi-agent scheduling system for the job-shop scheduling problem in a dynamic shop environement, combining multi role-specific agent modeling, decentralized multi-agent coordination, and composite reward learning.</t>
  </si>
  <si>
    <t>.</t>
  </si>
  <si>
    <t>A case study on a digital representation of the Learning Factory at the The Pennsylvania State University, that models real-world jobshop enviroment. (Has 20 machines, 5 agvs, finitite queue capacitites, and spatial layout constraints). Metrics used are Productivity, Task Transition, Workload Balance, and Transport Efficiency. To compare against the classic scheduling methods it uses benchmark tests. To evaluate the influcence of the four optimizations objectives on the schedule results they create 216 configurations of weights reapted 32 times each (sensatitivity analysis). To evaluate on its performance on disturbances they stress tests with 5 AGVs and 5 second job inter-arrival time.</t>
  </si>
  <si>
    <t>Real factory deployment.</t>
  </si>
  <si>
    <t>------</t>
  </si>
  <si>
    <t>This paper proposes a Cognitive Digital Twin for the job-shop scheduling problem in a dynamic shop environement, combining multi role-specific agent modeling, decentralized multi-agent coordination, and composite reward learning. Results show that it outperformance traditional schudeling rules in all metrics (Time-in-system, queue-out, workload blance, transport efficiency, finished jobs).</t>
  </si>
  <si>
    <t>four-objective optimization, sensativity analysis.</t>
  </si>
  <si>
    <t>Digital twin technology, AGVs,</t>
  </si>
  <si>
    <t>Synthetic &amp; Benchmark data</t>
  </si>
  <si>
    <t>Production scheudling with for KPI objectives.</t>
  </si>
  <si>
    <r>
      <rPr>
        <rFont val="Calibri, sans-serif"/>
        <color rgb="FF1155CC"/>
        <sz val="11.0"/>
        <u/>
      </rPr>
      <t>https://doi.org/10.1016/j.jfranklin.2025.107944</t>
    </r>
  </si>
  <si>
    <t>Uses L-CAT (learnable graph convolutional attention network) which has been shown to outperform GCN (graph nerual network), GAT (Graph attention network, and CAT (Convolutional atten network) in a widerange of datasets (https://arxiv.org/abs/2211.11853). Describes the network structure. Compares also itself against "recenently" advanced DRL methods. It shortly explains core concepts of the methods used such as graph nerual networks and reinforcement learning (Nice for those who are not familiar with this).</t>
  </si>
  <si>
    <t>Compares itself against classical PDRs-based methods (Tho this seems to be generally the case in these types of papers). Not deployd in real-world manufacturing environment. How GEN2 is generated is not described to some detail. Repeats its contribution multiple times throughout the paper (in a very lenghy and unpresice way.)</t>
  </si>
  <si>
    <t>(1) Employes L-CAT to process the graph-structured data. (2) Constructs a herical state space for FJSP, consisting of a machine selection layer and an operation processing order sequencing layer. (3) The paper proposes two strategies: Aggregation of similar operations and dynamic adjustment of the statespace.</t>
  </si>
  <si>
    <t>The paper presents an end-to-end reinforcement learning and learnable graph convolutional attention network based method that utilizes aggregations of similar opperations and dynamic adjustment of the state space to solve the FJSP.</t>
  </si>
  <si>
    <t>Two synthetic datasets (GEN1 and GEN2) + five public benchmark datasets (Dauzere, Brandimarte, la(rdata), la(edata), and la(vdata))</t>
  </si>
  <si>
    <t>Mulit-objective optimization utilizing DRL and Graph nerual networks, such as costs, delivery times, and energy consumption.</t>
  </si>
  <si>
    <t>FJSP. Google OR-Tools is used as an exact solver for comparison</t>
  </si>
  <si>
    <t>This paper proposes an approach to solve the FJSP combining L-CAL and RL, utilizing two simplification methods and a hierarchical structured decision process.</t>
  </si>
  <si>
    <t>Learneble graph convolutional attention network (L-CAT), Deep reinforcement learning (DRL), Proximal Policy Optimization (PPO), Markov decision process. Disjunctive graph model. Density-Based Spatial Clustering of Applications with Noise (DBSCAN).</t>
  </si>
  <si>
    <t>Graph neurel networks, multi-layer perceptron</t>
  </si>
  <si>
    <t>Synthetic and benchmark data</t>
  </si>
  <si>
    <t>Scheduling in the flexible job shop environment.</t>
  </si>
  <si>
    <t>Intelligent manufacturing</t>
  </si>
  <si>
    <t>Machine learning, graphs</t>
  </si>
  <si>
    <r>
      <rPr>
        <rFont val="Calibri, sans-serif"/>
        <color rgb="FF1155CC"/>
        <sz val="11.0"/>
        <u/>
      </rPr>
      <t>https://doi.org/10.1080/17509653.2025.2498119</t>
    </r>
  </si>
  <si>
    <t>Well written paper. Testes multiple ML approaches. Uses actual production data. Good describtion of the dataset used and they describes various aspects such as technical capabilities, amount of past business, and geographical location of the suppliers. Handles class imbalance.</t>
  </si>
  <si>
    <t>Data is not accesible. Does not use the most state-of-the-art ML approaches, which may give better results.</t>
  </si>
  <si>
    <t>Contribution to the litterature of supplier performance is three-fold: (1) First published article which focus on a supplir performance decision support tool based on real data an ETO firm in the nuclear power supply chain. (2) First work to apply ML models trained to target performance attributes (OTD,RFTD,RFTH--&gt; SCOR metrics). (3) Demonstrates the value of predicting supplier performance and to make it available to others in the nuclear industry to make decision effecting the supply chain.</t>
  </si>
  <si>
    <t>This paper proposed an approach which utilizes GB and .. Sampling to assist in supplier choice risk assement in the ETO industry.</t>
  </si>
  <si>
    <t>Case study of the application of their approach</t>
  </si>
  <si>
    <t>Use of the same approach for firms which has less data collected and predictors. A more generalizable methodology to be used by other firms and industries</t>
  </si>
  <si>
    <t>Yes (Focused on managerial support)</t>
  </si>
  <si>
    <t>on-time delivery (OTD), right-the-first-time documentation (RFTD), right-the-first-time-hardware (RFTH).</t>
  </si>
  <si>
    <t>Combined graident boosting with the synthetic minority oversampling technique (SMOTE) and hyper parameter tuning to develop an supplier performance predictor algorithm and methodology for nuclear ETO industry.</t>
  </si>
  <si>
    <t>ML algorithm: Binary logistic regression (BLR), -- gradient boosting (GB) -- , random forest (RF), support vector machine (SVM) (-- -- er det de brugte i deres final metode), measures robustness and prediction performance using accuracy, precision, recall, F1-score and Area Under the Receiver Operating Characteristic Curve (AUC).</t>
  </si>
  <si>
    <t>Production data form the nuclear industry.</t>
  </si>
  <si>
    <t>Risk supplier assement</t>
  </si>
  <si>
    <t>Supply chain magement, ML, Supplier performance prediction</t>
  </si>
  <si>
    <r>
      <rPr>
        <rFont val="Calibri, sans-serif"/>
        <color rgb="FF1155CC"/>
        <sz val="11.0"/>
        <u/>
      </rPr>
      <t>https://doi.org/10.1080/0951192X.2024.2343677</t>
    </r>
  </si>
  <si>
    <t>Considers the dynamic disturbences envirenoment (order insertion and machine failures). Inlcudes real-time decision making capabilities, by using a combinaiton of cload and edge computing (for real-time responseness).</t>
  </si>
  <si>
    <t>Compares against traditional scheduling rules, which is enhirently not focused on energy aware scheduling (shortest processing time, longest processing time, minimum remaining batch, and maximum remaining batch). Misspelling in the abastract (training --&gt; trained). figure is hard to read and it does not seem that the energy aware approach result in big improvements. The experimentation does not have a large variation (only A1,A2,A3 - three different workpieces to manufacture), which could be furthere investigated. Claims real-time capabilities, but the authors does not quantify this anywhere (They claims this based on the arcitecture - cloud-edge).</t>
  </si>
  <si>
    <t>The paper has two main contribution claims: (1) First an edge-cloud collaboration framework which trains and updates the model in the cloud and deploys the trained model on the edge to process real-time response taks. (2) A dynamic real-time energy-aware scheduling model based on cloud-edge infrastructure utilizing DQN and characteristics of a dynamic flexible workshop.</t>
  </si>
  <si>
    <t>A cloud-edge rescheduling approach based on DQN and predefined limited action space, that demonstrate improved performance in energy consumption and makespan compared to traditional dispatcing rules in a distrubence present enviroment on batch-based manufacturing with limited product variability and intentet real-time responsiviness.</t>
  </si>
  <si>
    <t>Case study of a extrusion workshop is used to verify the energy-aware scheduling approach, with specific settings in accordanse to it.</t>
  </si>
  <si>
    <t>(re)scheduling approaches which can be deployd in latency constrained enviroments (Where real-time is critical)..</t>
  </si>
  <si>
    <t>It does not validated the real-time claim plus Its a mix of conceptual and implemented.</t>
  </si>
  <si>
    <t>This paper presents a hybrid DQN-huristic rescheduling approach for the dynamic flexible manufacturing system utilizaing cloud and edge computing to enable real-time scheduling decision at the edge from an arctitectural perspective.</t>
  </si>
  <si>
    <t>Deep G network. Hurestics (the action space - an combination of DSR and energy aware rules). Stochastic markow game.</t>
  </si>
  <si>
    <t>Cloud computing, edge computing.</t>
  </si>
  <si>
    <t>Edge-clod collaborative arcitecture.</t>
  </si>
  <si>
    <t>Edge-clod collaborative framework.</t>
  </si>
  <si>
    <t>Implementation/conseptual</t>
  </si>
  <si>
    <t>energy aware, bi-objective optimization</t>
  </si>
  <si>
    <r>
      <rPr>
        <rFont val="Calibri, sans-serif"/>
        <color rgb="FF1155CC"/>
        <sz val="11.0"/>
        <u/>
      </rPr>
      <t>https://doi.org/10.1007/978-3-031-86489-6_17</t>
    </r>
  </si>
  <si>
    <t>Uses industry 4.0 standards. Includes core industry technology (CPPS). Explains the implementation details. The proof of concept cannot be accessed.</t>
  </si>
  <si>
    <t>Lacks an actual evaluation of the proof of concept. Which more demonstrates how it could be implemented, lacking data analysis.</t>
  </si>
  <si>
    <t>Development of a communication scheme, modeling assets using AAS and the industry 4,0 language that enables automated commmunication between FDD components for a decentralized control structure and makes distributed knowledge accessible.</t>
  </si>
  <si>
    <t>Development of a communication scheme, modeling assets using AAS and the industry 4,0 language that enables automated commmunication between fault detection and diagnosis components for a decentralized control structure and makes distributed knowledge accessible, including a proof-of-concept in an smart factory demonstrator.</t>
  </si>
  <si>
    <t>Proof-of-Concept (Fcous on implementaiton)</t>
  </si>
  <si>
    <t>Does not cover the detection and diagnosis of unknown faults. ML approaches which can do similarity analysis to diagnosis similar faults.</t>
  </si>
  <si>
    <t>Only contains proof-of-concept.</t>
  </si>
  <si>
    <t>Capability-Skill-Service-Fault-Symptom model (CSSFS model). Multi-agent system.</t>
  </si>
  <si>
    <t>Cyber-physical production systems (CPPS), Asset Administration Shell (AAS), Industry 4.0 language. Knowledge-graph.</t>
  </si>
  <si>
    <t>Nothing</t>
  </si>
  <si>
    <t>Presents a system architecture.</t>
  </si>
  <si>
    <t>Fault detection and diagnosis in CPPS.</t>
  </si>
  <si>
    <t>automatic fault detection and diagnosis (FDD). ASS. Multi-agent system.</t>
  </si>
  <si>
    <r>
      <rPr>
        <rFont val="Calibri, sans-serif"/>
        <color rgb="FF1155CC"/>
        <sz val="11.0"/>
        <u/>
      </rPr>
      <t>https://doi.org/10.1080/17509653.2025.2475774</t>
    </r>
  </si>
  <si>
    <t>Uses industry 4.0 "tools". Uses real-world data from as a case study of polymer products manufucaturing company. Maximizes profit associated with idle time, (production? - mentioned before but as part of objective in discussion for some reason), tardiness, and earliness penalties. This seems to be relevant for decision-makers (What production is idk maybe capacity).</t>
  </si>
  <si>
    <t>Formulates the problem as Mixed integer linear programming which might be less applicabel in large scale factories and might break if enviroment changes. Lacks explenation of core concepts such as cloud manufacturing nad fitness value. Lacks novelty in terms of the strategies proposed for manufacturing (MTS for long term/loyal/contracted costumers) and MTO for short-term clients. This also goes for the predictive maintanence which simply follows a limit/threshold of vibration measumerents. The production periods seems to be quite static and does not include failers or other distrubences. Does not include any describtion of how the GA is used and when it is used over the MILP solver, only that it should be used in "larger instances". They should include differences of having GA and not having it. GA part is not reproducible.</t>
  </si>
  <si>
    <t>Not clearly stated.</t>
  </si>
  <si>
    <t>The paper proposes a company specific hybrid MTS/MTO order-acceptance and scheduling framework for a polymer manufacturing job shop, validated through an empirical industrial case study. It intergrates cloud-based orders and predictive maintenance, formulated as a profit-maximizing MILP objective and demonstrates scalability via GA.</t>
  </si>
  <si>
    <t>Very company specific. The state of the company does not reflec moderm production manufucatures digitalization levels.</t>
  </si>
  <si>
    <t>This paper proposes a MILP and GA based order acceptence and scheduling model for hybrid make-to-stock and make-to-order in a cloud order system in cloud manufacturing context.</t>
  </si>
  <si>
    <t>Mixed integer linear programming (MILP), CPLEX solver, OAS (order and acceptence scheduling). Genetic Algorithm (which idk). Sensitivy analysis.</t>
  </si>
  <si>
    <t>CPS, PdM, GAMS (General Algebraic Modelling System)</t>
  </si>
  <si>
    <t>Decision support (human in the loop)</t>
  </si>
  <si>
    <t>Polymere industry</t>
  </si>
  <si>
    <t>Hybrid MTO/MTS. Mathematical model. Predictive maintenance. Maximixing profit.</t>
  </si>
  <si>
    <r>
      <rPr>
        <rFont val="Calibri, sans-serif"/>
        <color rgb="FF1155CC"/>
        <sz val="11.0"/>
        <u/>
      </rPr>
      <t>https://doi.org/10.1016/j.procir.2025.01.005</t>
    </r>
  </si>
  <si>
    <t>No (Yes, related work)</t>
  </si>
  <si>
    <t>Could be used for the survey in related work.</t>
  </si>
  <si>
    <t>Explaineble reinformcement learning</t>
  </si>
  <si>
    <t>Systematic review</t>
  </si>
  <si>
    <r>
      <rPr>
        <rFont val="Calibri, sans-serif"/>
        <color rgb="FF1155CC"/>
        <sz val="11.0"/>
        <u/>
      </rPr>
      <t>https://doi.org/10.1007/s10845-025-02585-6</t>
    </r>
  </si>
  <si>
    <t>Well written, though it does have a lot of "--".</t>
  </si>
  <si>
    <t>The methodology they used in the SRL, does not follow a known approach. The search query is not accessible and other relevant SRL data.</t>
  </si>
  <si>
    <t>Has the following main goals: (1) Exploring integrations technigues of AI, in particular focus on RL in DJSS. (2) Identify the key challanges in traditional and AI-driven aproaches. (3) Asses the effectiveness of different AI methods in handling complexities of real-world manufacturing conditions.</t>
  </si>
  <si>
    <t>Could be utilized in the related work seciton.</t>
  </si>
  <si>
    <t>A review of dynamic job shop scheduling problem, with focus on AI-driven approaches, particlary RL.</t>
  </si>
  <si>
    <t>Modern manufacturing</t>
  </si>
  <si>
    <r>
      <rPr>
        <rFont val="Calibri, sans-serif"/>
        <color rgb="FF1155CC"/>
        <sz val="11.0"/>
        <u/>
      </rPr>
      <t>https://doi.org/10.1016/j.procir.2025.01.005</t>
    </r>
  </si>
  <si>
    <r>
      <rPr>
        <rFont val="Calibri, sans-serif"/>
        <color rgb="FF1155CC"/>
        <sz val="11.0"/>
        <u/>
      </rPr>
      <t>https://doi.org/10.1177/1063293X231217543</t>
    </r>
  </si>
  <si>
    <t>Uses an actual industry case contribution value on top of the litterature background. Identifies challanges in regards to harmonisation, integration and automation (limited to the two case studies).</t>
  </si>
  <si>
    <t>The paper could be strenged by consediring other HMLV type companies and/or including another company in the case study.</t>
  </si>
  <si>
    <t>A cast study of an ETO marine manufucturing company answering how industry 4.0 contribute towrads sustainable choices in product development and the short comming in existin data acquesition and data quality.</t>
  </si>
  <si>
    <t>A cast study of an ETO marine manufucturing company answering how industry 4.0 contribute towrads sustainable choices in product development and the short comming in existin data acquesition and data quality biased by the cast study.</t>
  </si>
  <si>
    <t>This is an empirical industrial case study evaluating digital transformation and sustainability practices in an unnamed marine manufacturing Engineer-to-Order company.</t>
  </si>
  <si>
    <t>This paper investigates the challanges of digital transformation in an ETO company context and how it can use digitalizaiton (Industry 4.0, digital twins,, and integrated product data (PLM, ERP, and MES) can enable more sustantiable, compliant, and efficient product development and manufacturing.</t>
  </si>
  <si>
    <t>Scientific methods (Participatory Action Research (PAR), Two case studies, field observations). Virtual engineeering. PLM system. CAD (3D models). MES &amp; ERP (linked). Single source of truth. Simulation technologies mentioned: Siemens Process Simulate and Robproc(their own).</t>
  </si>
  <si>
    <t>Concebtual use of: Digital twins, Robotics,</t>
  </si>
  <si>
    <t>Company case study</t>
  </si>
  <si>
    <t>Sustainability and engineering decsion support.</t>
  </si>
  <si>
    <t xml:space="preserve">This approach can generalize towards others product variations in design and manufacturing servicing. </t>
  </si>
  <si>
    <t>Does requerie expert knowledge to make a final decision. Relies on previous manufacturere collaboration to be effective.</t>
  </si>
  <si>
    <t>The paper proposes a MaaS contracting methodology that uses probability of meeting technical requreiments and decition tree learning on historic bussiness relation-ship performance to select most suiteble design and manufactur service providers.</t>
  </si>
  <si>
    <t>case study of Mass costimization dental.</t>
  </si>
  <si>
    <t>decision tree learning, degree of satisfaction, uncertancy modelling.</t>
  </si>
  <si>
    <t>MaaS contract selection</t>
  </si>
  <si>
    <t>Manufacturing as a service</t>
  </si>
  <si>
    <t>MaaS, collborative manufacturing</t>
  </si>
  <si>
    <t>https://easychair.org/publications/preprint/tBPM</t>
  </si>
  <si>
    <t>No (may be relavent in releated work)</t>
  </si>
  <si>
    <t>https://doi.org/10.1504/IJMR.2024.136569</t>
  </si>
  <si>
    <r>
      <rPr>
        <rFont val="Verdana"/>
        <strike/>
        <color theme="1"/>
      </rPr>
      <t xml:space="preserve">L4 </t>
    </r>
    <r>
      <rPr>
        <rFont val="Verdana"/>
        <color theme="1"/>
      </rPr>
      <t>--&gt; L3</t>
    </r>
  </si>
  <si>
    <t>The digital twin based simulation enables what-if analysis of different configurtions of the full internal supply chain or specific plants.</t>
  </si>
  <si>
    <t xml:space="preserve">The current approach depends on specifics of the company used in the case study, i.e. assumes that all plants share a unified and standardized information system. A centralized system, why may or may is desirable. </t>
  </si>
  <si>
    <t>(1) One of the first to implenent an digital twin explicitly for internal supply chain.  (2) Demonstrating how a simulation based DT can be used as decision support for multi-plant planning. (3) First to fully implement and validated the mulit-plant digital twin in a real manufacturing setting.</t>
  </si>
  <si>
    <t>A mulit-plant Digital Twin produciton planning platform</t>
  </si>
  <si>
    <t>case study of Oil &amp; Gas manufacturing sector</t>
  </si>
  <si>
    <t>lack of deployable digital twin–based production planning solutions that can operate over heterogeneous and legacy manufacturing information systems (No need for full data standardization or a unified corporate IT infrastructure).</t>
  </si>
  <si>
    <t>What-if scenario, Modular design.</t>
  </si>
  <si>
    <t>Digital Twin, Siemens Tecnomatix Plant Simulation</t>
  </si>
  <si>
    <t>corporate group’s information system database</t>
  </si>
  <si>
    <t>Manufacturing (oil-gas)</t>
  </si>
  <si>
    <t>Inter Supply Chain, Digital Twin, MTO</t>
  </si>
  <si>
    <t>https://doi.org/10.3390/forecast4040055</t>
  </si>
  <si>
    <t>Greece</t>
  </si>
  <si>
    <t>Marketing</t>
  </si>
  <si>
    <t>https://doi.org/10.1299/jamdsm.2022jamdsm0037</t>
  </si>
  <si>
    <t>Requested access</t>
  </si>
  <si>
    <t>From Large-scale</t>
  </si>
  <si>
    <t>2020 An improved artificial bee colony algorithm for solving multi-objective low-carbon flexible job shop scheduling problem</t>
  </si>
  <si>
    <r>
      <rPr>
        <rFont val="Calibri, sans-serif"/>
        <color rgb="FF1155CC"/>
        <sz val="11.0"/>
        <u/>
      </rPr>
      <t>https://doi.org/10.1016/j.asoc.2020.106544</t>
    </r>
  </si>
  <si>
    <t>From Deep Reinforcement Learning for Dynamic Flexible Job-Shop Scheduling with Automated Guided Vehicles</t>
  </si>
  <si>
    <t>Not relevant</t>
  </si>
  <si>
    <t>2020 A self-learning genetic algorithm based on reinforcement learning for flexible job-shop scheduling problem</t>
  </si>
  <si>
    <r>
      <rPr>
        <rFont val="Calibri, sans-serif"/>
        <color rgb="FF1155CC"/>
        <sz val="11.0"/>
        <u/>
      </rPr>
      <t>https://doi.org/10.1016/j.cie.2020.106778</t>
    </r>
  </si>
  <si>
    <t>relevant</t>
  </si>
  <si>
    <t>2020 Learning to Dispatch for Job Shop Scheduling via Deep Reinforcement Learning</t>
  </si>
  <si>
    <t>https://proceedings.neurips.cc/paper/2020/hash/11958dfee29b6709f48a9ba0387a2431-Abstract.html</t>
  </si>
  <si>
    <r>
      <rPr>
        <rFont val="Calibri, sans-serif"/>
        <color rgb="FF1155CC"/>
        <sz val="11.0"/>
        <u/>
      </rPr>
      <t>https://proceedings.neurips.cc/paper_files/paper/2020/file/11958dfee29b6709f48a9ba0387a2431-Paper.pdf</t>
    </r>
  </si>
  <si>
    <t>From Expert-Guided Deep Reinforcement Learning for Flexible Job Shop Scheduling Problem</t>
  </si>
  <si>
    <t>2022_multiobjective_optimization_of_energy-efficient_job-shop_scheduling_with_dynamic_reference_point-based_fuzzy_relative_entropy</t>
  </si>
  <si>
    <t>2022 Multiobjective Optimization of Energy-Efficient JOB-Shop Scheduling with Dynamic Reference Point-Based Fuzzy Relative Entropy</t>
  </si>
  <si>
    <t>2020_an_efficient_two-stage_genetic_algorithm_for_a_flexible_job-shop_scheduling_problem_with_sequence_dependent_attached/detached_setup,_machine_release_date_and_lag-time</t>
  </si>
  <si>
    <t>2020 An efficient two-stage genetic algorithm for a flexible job-shop scheduling problem with sequence dependent attached/detached setup, machine release date and lag-time</t>
  </si>
  <si>
    <t>Claimed Contribution (See info for explanation)</t>
  </si>
  <si>
    <t>Actual Contribution</t>
  </si>
  <si>
    <t>Future work</t>
  </si>
  <si>
    <t>Keywords</t>
  </si>
  <si>
    <t>Lengthy description of their setup and method. Good overview of coordinate transformation in their setup.</t>
  </si>
  <si>
    <t>The stated contributions are very difficult to understand and can be questioned whether they are actual contributions. The usecase is unclear.</t>
  </si>
  <si>
    <t>(1) A MR-augmented robot control framework, (2) A MR-augmented DRL algorithm is developed and explored to enhance safe robot motion planning in HRC scenes, (3) An on-site reative collision detection approach is developed for executing robot motion within HRC scenarios.</t>
  </si>
  <si>
    <t>Demonstrate that combining augmented reality with deep reinforcement learning can be useful for motion planning scenarios.</t>
  </si>
  <si>
    <t>Interesting modelling language. Much of the terminology is described in detail.</t>
  </si>
  <si>
    <t>Lacking evaluation. Questionable or lacking citations all over the paper. Abstract is full of random abbreviations and random sentences that doesn't belong.</t>
  </si>
  <si>
    <t>RTMN 2.0 makes is the creation of synergy between HRC modes (based on ISO standards) and HRC task types in the literature</t>
  </si>
  <si>
    <t>Present a modelling language called: robot task modeling and notation - with focus on human-robot collaboration. Its actual usecase is unclear.</t>
  </si>
  <si>
    <t>Mental safety in Human-robot collaboration</t>
  </si>
  <si>
    <t>Interesting usecase for digital twins that seems to provide some results/improvements. "The primary value of this model in engineering applications is that it can replace test boards for determining reflow soldering temperature profile, potentially shortening product development time by at least one month and reducing production costs by at least two raw material units per board, thus offering significant value for widespread application."</t>
  </si>
  <si>
    <t>No proper discussion of results. Generally not a well written paper</t>
  </si>
  <si>
    <t>Propose a digital twin architecture and its connection and interaction mechanism for reflow soldering process. Propose a digital twin-driven method for the design and optimization of reflow profile parameters. Experimental results.</t>
  </si>
  <si>
    <t>A digital twin model for SMT reflow soldering curves.</t>
  </si>
  <si>
    <t>I'm not familiar with this topic (soldering)</t>
  </si>
  <si>
    <t>Actual machines: EASA HOTTFLOW 3/20 reflow oven, FLUKE 2638A HYDRA SERIES III pyrometer. A total of 14 temperature sensors and 14 fan speed sensors.</t>
  </si>
  <si>
    <t>They presented a knowledge-based framework able to atomically transform the robotics tasks into process plans, which are further interpreted into concrete robot commands and executed</t>
  </si>
  <si>
    <t>https://doi.org/10.1145/3564695.3564778</t>
  </si>
  <si>
    <t>Not relevant in its current state</t>
  </si>
  <si>
    <t>Introduce the STRATA framework to analyse and monitor and additive manufacturing process</t>
  </si>
  <si>
    <t>Reading the conclusion it is truly amazing how this paper was accepted.</t>
  </si>
  <si>
    <t>DNF</t>
  </si>
  <si>
    <t>Simulation model complexity, advanced RL agents, data-driven models</t>
  </si>
  <si>
    <t>The paper provides a showcase on how to integrate an RL agent with a Discrete Event Simulation (DES) environment.</t>
  </si>
  <si>
    <t>Simio,</t>
  </si>
  <si>
    <t>US</t>
  </si>
  <si>
    <t>Reinforcement learning, simulation, framework, Digital twins</t>
  </si>
  <si>
    <t>Claim the answer “how to appropriately design a sensor network for zero defect manufacturing in a high-variety manufacturing environment” but only study it on a single machine</t>
  </si>
  <si>
    <t>This paper presents an answer to “how to appropriately design a sensor network for zero defect manufacturing in a high-variety manufacturing environment” by taking into account SMEs’ characteristics when aiming toward I4.0.</t>
  </si>
  <si>
    <t>The paper explore their "sensor network" on a single milling machine</t>
  </si>
  <si>
    <t>vibration, machine-cutting parameters, i.e. {tool feed rate, cutting depth, rotation speed}, tool type (shape, material, geometry).</t>
  </si>
  <si>
    <t>https://doi.org/10.1007/978-3-030-75680-2_62</t>
  </si>
  <si>
    <t>Does not clearly state their contribution(s),</t>
  </si>
  <si>
    <t>Creation and use of a digital twin to support decise parameters for a Computed Tomography (CT) system</t>
  </si>
  <si>
    <t>Digital twin,</t>
  </si>
  <si>
    <t>Strong presentation of different methods. Interesting idea/direction of reducing cost by scheduling.</t>
  </si>
  <si>
    <t xml:space="preserve">Missing reflection on </t>
  </si>
  <si>
    <r>
      <rPr>
        <rFont val="Verdana"/>
        <color theme="1"/>
      </rPr>
      <t xml:space="preserve">llustrate how the results of the multiobjective model can be utilized in decision making to select the solution among all on the Pareto front by using the Technique for Order Preference by Similarity to Ideal Solution (TOPSIS) method in a </t>
    </r>
    <r>
      <rPr>
        <rFont val="Verdana"/>
        <b/>
        <color theme="1"/>
      </rPr>
      <t>case study</t>
    </r>
    <r>
      <rPr>
        <rFont val="Verdana"/>
        <color theme="1"/>
      </rPr>
      <t>.</t>
    </r>
  </si>
  <si>
    <t>Paper introduces a method to reduce energy cost (electricity) via production scheduling. Minimize total tardiness and total energy cost on a single-machine setting.</t>
  </si>
  <si>
    <t>mixed-integer multiobjective mathematical model</t>
  </si>
  <si>
    <t>Manual</t>
  </si>
  <si>
    <t>Energy prices, production data</t>
  </si>
  <si>
    <t>Automaic/manual</t>
  </si>
  <si>
    <t>received orders, availability of resources, workstation processing times, machine failures, product rejection rates in quality inspection</t>
  </si>
  <si>
    <t>Resource allocation, Data-driven simulation, Decision support system</t>
  </si>
  <si>
    <t>They provide a thorough walkthrough of their method.</t>
  </si>
  <si>
    <t>The paper presents a Data-driven simulation (DDS) Decision support system (DSS) and evaluate on a case study in a factory in Sweden</t>
  </si>
  <si>
    <t>Use DDS-DSS in different sectors, Enhance the performance of DDS-DSS</t>
  </si>
  <si>
    <t>Data-driven simulation</t>
  </si>
  <si>
    <t>The analysis seems well carried out.</t>
  </si>
  <si>
    <t>No discussion or reflection on the work, considerable amount of hyperbole statements</t>
  </si>
  <si>
    <t>(1) Deep reinforcement learning (DRL) which comines look-ahead search (LAS) for a more accurate estimated makespan (2) Numerical verification that DRA-LA (what is that!?!?!) provides a near-optimal solution and outperforms a commercial optimization solver (3) The proposed DRL can deal with varitions on processing times</t>
  </si>
  <si>
    <t>The parper look  a at noncyclic scheduling problem of robotic cells where jovs with different processing times are processed on machines sequentially and try to reduce the makespan (the total time from the start to the finish of a set of tasks or a project)</t>
  </si>
  <si>
    <t>Automated</t>
  </si>
  <si>
    <t>Korea</t>
  </si>
  <si>
    <t>Reinforcement learning, scheduling, robot cell</t>
  </si>
  <si>
    <t>https://doi.org/10.1007/978-3-031-38165-2_135</t>
  </si>
  <si>
    <t>Low HMLV relevant, no DS relevance</t>
  </si>
  <si>
    <r>
      <rPr>
        <rFont val="Verdana"/>
        <strike/>
        <color theme="1"/>
      </rPr>
      <t>L1</t>
    </r>
    <r>
      <rPr>
        <rFont val="Verdana"/>
        <color theme="1"/>
      </rPr>
      <t xml:space="preserve"> L0</t>
    </r>
  </si>
  <si>
    <t>The company seems to implement some of the work</t>
  </si>
  <si>
    <t>Spend much space on explaning CTO (configure to order) and its problems and very little on their solution. Only evaluated on a single usecase</t>
  </si>
  <si>
    <t>Difficult to quantify</t>
  </si>
  <si>
    <t>Using digital twins to improve 'configure-to-order', in this case for custom bikes - tested on a factory in the Netherlands</t>
  </si>
  <si>
    <t>Digital twins</t>
  </si>
  <si>
    <t xml:space="preserve">Digital twin, </t>
  </si>
  <si>
    <t>Unknown - but the solution helps according to the authors</t>
  </si>
  <si>
    <t>unknown</t>
  </si>
  <si>
    <t>https://doi.org/10.1117/12.2679540</t>
  </si>
  <si>
    <t>Interesting idea</t>
  </si>
  <si>
    <t>Introduces abundant unexplained terms, such as "cloud robot". Little to none evaluation</t>
  </si>
  <si>
    <t>The paper explores production task allocation (from the angle of the optimal combination of cloud manufacturing resources).</t>
  </si>
  <si>
    <t>Mathematical model, quantum firefly algorithm (QFA)</t>
  </si>
  <si>
    <t>Task allocation, cloud manu</t>
  </si>
  <si>
    <t>The evaluation seems to be well carried out</t>
  </si>
  <si>
    <t>They neither discuss or conclude on their results (as unfortunatly normal with these papers)</t>
  </si>
  <si>
    <t>Combine MCAP (Monte Carlo Action Programming) with the real-time MCTS (Monte Carlo Tree Search) approach to ease configuration of a dynamic control system. The completed concept is demonstrated on two example cases, both modelled after industrial assembly applications, utilising HRC.</t>
  </si>
  <si>
    <t>Simulation, test cell</t>
  </si>
  <si>
    <t>The paper uses Montre Carlo Tree Search for dynamic scheduling</t>
  </si>
  <si>
    <t>Task allocation</t>
  </si>
  <si>
    <t>https://doi.org/10.1109/CASE48305.2020.9216907</t>
  </si>
  <si>
    <t>No decision support</t>
  </si>
  <si>
    <t>Flexible manual assembly, swarm intelligence, computer vision,</t>
  </si>
  <si>
    <t>https://doi.org/10.1007/s11740-017-0784-x</t>
  </si>
  <si>
    <t>Well written</t>
  </si>
  <si>
    <t>Does not clearly state the contribution</t>
  </si>
  <si>
    <t>Present a way to handle mobile robot scheduling</t>
  </si>
  <si>
    <t>The paper presents a study dealing with scheduling of a manufacturing cell with 2-3 machines and provide a solution (applicable to any number of machines). Each machine in the cell is equipped with one input and one output buffer which expand the production capacity of a cycle into two parts.</t>
  </si>
  <si>
    <t>process time, distance between stations, loading/unloading times</t>
  </si>
  <si>
    <t>Mobile robot scheduling, matrix-production</t>
  </si>
  <si>
    <t>Evaluation is only performed on benchmarks.</t>
  </si>
  <si>
    <t>(1) A novel mixed-integer linear programming (MILP) model is proposed for EE-DFFJSP, and a typical MDP model for FJSPs is extended to a novel triple-MDP formulation based on problem characteristics. (2) A multi-agent cooperative multi-network group (MACMNG) framework is introduced to handle triple-MDP. (3) Comprehensive comparisons conducted on 69 benchmark instances demonstrate MACMNG’s statistically significant superiority over state-of-the-art multi-objective algorithms across three performance metrics.</t>
  </si>
  <si>
    <t>Simulation (against 69 benchmarks)</t>
  </si>
  <si>
    <t>The paper introduce the MACMNG framework. Which, according to the authors, has significant advantages against traditional advanced approaches. The MACMNG is capable of decomposing complex challenges into correlated subproblems and creating subnetworks for cooperative parallel processing.</t>
  </si>
  <si>
    <t>Mixed-integer linear programming, Markov decision process</t>
  </si>
  <si>
    <t>Reinforcement learning, distributed flexible job-shop scheduling, energy-efficient scheduling</t>
  </si>
  <si>
    <t>They do not evaluate on real-work (or alike) scenarios</t>
  </si>
  <si>
    <t>(1) Novel mixed integer programming model (MIP) and the problem is modeled as a sequential decision-making problem. (2) A D3QN algorithm with 8 rules (3) The proposed algorithm achieves better results compared to regular used rules and algorithms in numerical studies</t>
  </si>
  <si>
    <t>Numerical study</t>
  </si>
  <si>
    <t>Consider additional objectives, such as: machine utilization and production cost</t>
  </si>
  <si>
    <t>Sequence-dependent setup times have not yet been solved for Dynamic flexible job shop scheduling (DFJSP). This paper explores DFJSP with that focus, by modeling the problem as a Markov Decision process.</t>
  </si>
  <si>
    <t>Mixed integer programming model, markov decision proces, Deep Q-Learning</t>
  </si>
  <si>
    <t>Job Shop Scheduling Problem</t>
  </si>
  <si>
    <t>(1) Utilized a heterogeneous graph structure to represent the RDFGSP (2) end-to-end decision making proecess is developed by simplifying the heterogeneous graph and integrating it with reinforcement learning.</t>
  </si>
  <si>
    <t>Study on generated data</t>
  </si>
  <si>
    <t>The authors claim that they addressing the intricate timely challenges prevalent in SMT workshops, by combining deep learning with robust reinforcement learning.</t>
  </si>
  <si>
    <t>Markov decision process, Q-Learning</t>
  </si>
  <si>
    <t>Distributed flowshow scheduling, Q-learning, reconfigurable distributed flowshop group scheduling problem (RDFGSP)</t>
  </si>
  <si>
    <t>Electronics, SMT Workshop</t>
  </si>
  <si>
    <t>https://doi.org/10.1007/s43069-025-00466-5</t>
  </si>
  <si>
    <t>Not about decision support</t>
  </si>
  <si>
    <t>https://doi.org/10.1016/j.asoc.2025.113230</t>
  </si>
  <si>
    <t>https://doi.org/10.1007/978-981-96-9901-8_32</t>
  </si>
  <si>
    <t>Flexible Job Shop Scheduling, deep reinforcement learning</t>
  </si>
  <si>
    <t>Distributed Flexible Job Shop Scheduling</t>
  </si>
  <si>
    <t>https://doi.org/10.1109/TASE.2025.3591984</t>
  </si>
  <si>
    <t>Only tested on synthetic data</t>
  </si>
  <si>
    <t>(1) Introduce an DRL approach for energy-efficient distributed heterogeneous hybrid flow-shop scheduling problem (2) Formulate an MDP that integrates decision-making for operation selection, factory allocation, and machine assignment (3) Extend Song et al's heterogeneous graph structure to. a multi-factory setting</t>
  </si>
  <si>
    <t>Simulation, Synthetic generated data</t>
  </si>
  <si>
    <t>Add additional constraints into the model</t>
  </si>
  <si>
    <t>Mixed-integer linear programming, deep reinforcement learning</t>
  </si>
  <si>
    <t>Deep reinforcement learning, energy-efficient scheduling</t>
  </si>
  <si>
    <t>Abstract is well written</t>
  </si>
  <si>
    <t>Seems like most of the conclusion is missing. Only tested in simulation</t>
  </si>
  <si>
    <t>(1) A reward function designed to support dynamic task allocation and real-time adjustments for a multi-robot job scheduling model. (2) Ten diverse scheduling rules and how to dynamically choose between them. (3) A method called Pathfinder is proposed for decision-making in custom production job scheduling.</t>
  </si>
  <si>
    <t>The paper introduce "Pathfinder", a deep reinforcement learning-based scheduling framework. It uses three metrics: execution time, completion time, and efficiency - ten "diverse" rules are created based on these metrics (E.g. shortest complete time).</t>
  </si>
  <si>
    <t>Deep reinforcement learning</t>
  </si>
  <si>
    <t>Deep reinforcement learning, production scheduling, task allocation, multi-robot system</t>
  </si>
  <si>
    <t>(1) a dual-graph representation that separately models static constraints and dynamic states, reducing computational complexity while preserving structural information. (2) a synergistic integration of ES with GNN-RL. (3) an adaptive mutation strength adjustment mechanism that dynamically responds to fitness landscape changes, accelerating convergence while maintaining diversity throughout the optimization process.</t>
  </si>
  <si>
    <t>The paper propose a ES-DGDRL method to solve the FJSP, which combines ES and policy gradients to update the policy network's parameters.</t>
  </si>
  <si>
    <t>Evolutionary strategies with dual graph reinforcement learning</t>
  </si>
  <si>
    <t>Flexible job shop scheduling, reinforcement learning, graph neural network</t>
  </si>
  <si>
    <t>https://doi.org/10.1108/RPJ-11-2017-0238</t>
  </si>
  <si>
    <t>Neither about HMLV or decision support</t>
  </si>
  <si>
    <t>Europe</t>
  </si>
  <si>
    <t>Additive manufacturing, Industry 4.0, case study</t>
  </si>
  <si>
    <t>https://doi.org/10.1177/1687814018766776</t>
  </si>
  <si>
    <r>
      <rPr>
        <rFont val="Calibri"/>
        <strike/>
        <color theme="1"/>
        <sz val="11.0"/>
      </rPr>
      <t>Unclassified</t>
    </r>
    <r>
      <rPr>
        <rFont val="Calibri"/>
        <color theme="1"/>
        <sz val="11.0"/>
      </rPr>
      <t xml:space="preserve"> L2</t>
    </r>
  </si>
  <si>
    <t>It seems to be somewhat weak on decision support. There is no evaluation?</t>
  </si>
  <si>
    <r>
      <rPr>
        <rFont val="Verdana"/>
        <strike/>
        <color theme="1"/>
      </rPr>
      <t xml:space="preserve">Yes </t>
    </r>
    <r>
      <rPr>
        <rFont val="Verdana"/>
        <color theme="1"/>
      </rPr>
      <t>No</t>
    </r>
  </si>
  <si>
    <t>The paper deals with yougurth production - and aims to develop a method for managing the production line without the need for reconfiguring while still being able to produce an entire spectrum of products.</t>
  </si>
  <si>
    <t>LabVIEW</t>
  </si>
  <si>
    <t>Hungary, Slovakia</t>
  </si>
  <si>
    <t>Indutri 4.0, IoT, mass customization</t>
  </si>
  <si>
    <t>https://doi.org/10.1016/j.ifacol.2018.03.046</t>
  </si>
  <si>
    <t>Seems like an interesting model</t>
  </si>
  <si>
    <t>Development of a Petri Net (PN) model of a smart factory using the formalism of objet PNs to represent the subtleties of the Industry 4.0 manufacturing approach.</t>
  </si>
  <si>
    <t>Petri nets, Industry 4.0</t>
  </si>
  <si>
    <t>This seems to be an important paper within the field.</t>
  </si>
  <si>
    <t>(1)  The formulation of the new problem (i.e., the joint optimization of production scheduling and maintenance planning in a flexible job shop with new job arrivals, due date changes, machines deterioration, random machine breakdowns, minimal repairs, and CBM interventions). (2) The development of a proactive-reactive scheduling approach based on a modified hybrid GA.</t>
  </si>
  <si>
    <t>(1) Apply proposed model, approach, and policies in a real-world case study from industry. (2) Examine if the proposed system can be extended to different production layouts</t>
  </si>
  <si>
    <t>The paper investigates the integration of production scheduling and maintenance planning in the context of Industry 4.0. The considered production layout is a flexible job shop in which machines are not identical and are subject to deterioration, random breakdowns, minimal repairs, and condition-based maintenance. Formulations are introduced to model each machine’s condition and the effects on the processing times and the associated maintenance and production costs. The developed formulations are integrated into a production scheduling model to find the optimal integrated plan that minimizes the expected total system cost including tardiness and maintenance costs.</t>
  </si>
  <si>
    <t>Hybrid generic algorithm</t>
  </si>
  <si>
    <t>Flexible job shop scheduling, Industry 4.0, Condition-based maintenance, production scheduling, Real-time optimization</t>
  </si>
  <si>
    <t>Decision Type</t>
  </si>
  <si>
    <t>SSP</t>
  </si>
  <si>
    <t>Although they don't go too much into detail, the model is applied in a real world case. And they are pretty good at describing how the model is made (although I'm no CS so it's hard for me to understand)</t>
  </si>
  <si>
    <t>They don't go into detail on which type of decision-making and how it will be directly used, they stick to claiming that it will aid in decision-making but nothing more</t>
  </si>
  <si>
    <t>Develops a "Spatio-Temporal model" to organise big data and provide a structured overview to ease decision-making processes</t>
  </si>
  <si>
    <t>Model development</t>
  </si>
  <si>
    <t>"existing gaps between the collected big data and the data
 driven smart applications."</t>
  </si>
  <si>
    <t xml:space="preserve">Manual decision making </t>
  </si>
  <si>
    <t>Generalisable and robuts model for JSSP</t>
  </si>
  <si>
    <t>High training cost, only focus on JSSP which is not quite representative of what is often in real life, requires advanced hardware for training which SMEs might not have access to</t>
  </si>
  <si>
    <t>Proposing an adaptive scheduling framwork combining DRL and Disjunctive Graph</t>
  </si>
  <si>
    <t>Developed a proof of concept of a DRL-based shceduling system that outperforms heuristic rules and approaches GA performance, in near real-time</t>
  </si>
  <si>
    <t>Lack of adaptive schedluing methods, Current RL limited to Small-Scale</t>
  </si>
  <si>
    <t xml:space="preserve">Automated Decision Making </t>
  </si>
  <si>
    <t>The model is able to demonstrate different aspects of RMS like evaluating flexible layout modelling to enhance quick reconfiguration decisions or showing scalability of an RMS</t>
  </si>
  <si>
    <t>No, real-world validation</t>
  </si>
  <si>
    <t>Developed a Generic PRescriptive system for RMS. Integrated a simulation with an optimisation module to enable proactive decision-making</t>
  </si>
  <si>
    <t>Demonstrates a proof of concept simulation based GA optimisation</t>
  </si>
  <si>
    <t>Lack of Proactive decision-making tools, lack of prescriptive systems for RMS, limited integration between simulation and optimisation models</t>
  </si>
  <si>
    <t xml:space="preserve">Manual Decision Making </t>
  </si>
  <si>
    <t>Novel approach within PM using IRT</t>
  </si>
  <si>
    <t>Only tested on two small perfect cases, uses students instead of experts</t>
  </si>
  <si>
    <t>Compares AI vs Human decision making in PM, integrating RL and IRT. using the CPMS framework</t>
  </si>
  <si>
    <t>Scenarios?</t>
  </si>
  <si>
    <t>Lack of systematic way to compare AI and human decision-making in PM.</t>
  </si>
  <si>
    <t>Manual Decision Making</t>
  </si>
  <si>
    <t>Focus on FJSSP, novel</t>
  </si>
  <si>
    <t>No case, doesn't show scalability,</t>
  </si>
  <si>
    <t>Propose flexbile scheduling model for JSSP using AFSA and Knowledge mining</t>
  </si>
  <si>
    <t>Existing methods lack adaptability for dynamic scenarios</t>
  </si>
  <si>
    <t>Automated scheduling decision making</t>
  </si>
  <si>
    <t>Clear description of technologies &amp; Processes, transparrent, demonstrates using simulation</t>
  </si>
  <si>
    <t>They claim that their contribution can be implemented on supply chain level, but they never actually support that claim</t>
  </si>
  <si>
    <t>Joint architecture of Agent-based modelling and process mining, validated in plant simulation</t>
  </si>
  <si>
    <t>Limited lit on using process moning for cross-organisational supply chains and agent behaviour</t>
  </si>
  <si>
    <t xml:space="preserve">I'm really confused why they keep talking about supply chain, I think they might mean value chain? The script got it right though, they claim the do supply chain but to my understanding it's L2. It is good at describing agent-based modelling though and other technologies used in the paper. Super interesting </t>
  </si>
  <si>
    <t>Automated process-level Secondary: Manual Architecture decision-making</t>
  </si>
  <si>
    <t>Good short lit review section, implemented feedback loops</t>
  </si>
  <si>
    <t>No Evaluation, vague they don't describe the ML algo or anything</t>
  </si>
  <si>
    <t>Propose a conceptual model for predictive-reactive production scheduling approach</t>
  </si>
  <si>
    <t>Conceptual Model</t>
  </si>
  <si>
    <t>Lack of scheduling approaches that consider current inventory states, gap in integration of ML and Simulation-based optimisation</t>
  </si>
  <si>
    <t>Conceptual model</t>
  </si>
  <si>
    <t xml:space="preserve">Automated production scheduling </t>
  </si>
  <si>
    <t>Clear math framework, simulation evaluation and optimisation</t>
  </si>
  <si>
    <t>Limited KPI scope, focus on makespan and robustness, nothing on cost or anything else</t>
  </si>
  <si>
    <t>Provide a new conceptual framework for maintenance integrated production scheduling</t>
  </si>
  <si>
    <t>Lack of predictive Maintenance integrated scheduling problems</t>
  </si>
  <si>
    <t>Links to resilience: claims Predictive Maintenance into scheduling enhance robustness and reduce unplanned downtime</t>
  </si>
  <si>
    <t>Automated predictive maintenance scheduling</t>
  </si>
  <si>
    <t>They claim that the Model outperforms other State of the Art algortihms</t>
  </si>
  <si>
    <t>Don't test against real-word case, only test against makespan and tardiness</t>
  </si>
  <si>
    <t>Presents a Multi-Objective Multi-Agent Reinforcement Learning Approach to solve the Job Shop Sheduling problem</t>
  </si>
  <si>
    <t>Current lit tend to optimise on one objective which doesn't reflect real world cases</t>
  </si>
  <si>
    <t>Automated Job Shop scheduling</t>
  </si>
  <si>
    <t>Easy to understand methodological approach to Reinforcement Learning in Production Control</t>
  </si>
  <si>
    <t xml:space="preserve">They correctly identify the need to State of the Art MLs to be deployed in real life cases, but stick with Simulation in the end. Hyperparameters are kinda arbitrarily decided </t>
  </si>
  <si>
    <t>Introduces an approach and guidelines for designing, implementing, and evaluating Reiforcement Learning for adaptive order dispatching</t>
  </si>
  <si>
    <t xml:space="preserve">Confirms that Reinforcement Learning outperforms heuristic dispatching rules, and confirms that RL can handle Dynamic and Uncertain environments better than traditional Approaches </t>
  </si>
  <si>
    <t>Lack of applied state of the art machine learning algorithms in industrial settings</t>
  </si>
  <si>
    <t xml:space="preserve">Automated "adaptive order dispacthing" </t>
  </si>
  <si>
    <t xml:space="preserve">Combines discrete-event simulation and data driven analytics, integrated K-means clusering, demonstrates on a real-life industrial case. Addresses the complexity of HMLV </t>
  </si>
  <si>
    <t xml:space="preserve">Limited generatlisation, No real-time implementation, narrow evaluation metrics </t>
  </si>
  <si>
    <t xml:space="preserve">Introduces an novel workflow for providing simulation-based decision support for improving KPIs of HMLV production Systems by reducing the size of the input domain with the application of Unsupervised Machine Learning Techniques </t>
  </si>
  <si>
    <t xml:space="preserve">Simulation / real case </t>
  </si>
  <si>
    <t xml:space="preserve">Lack of integrated workflows combining simulation and data analytics for HMLV decision support </t>
  </si>
  <si>
    <t>It describes a workflow for implementing broad simulation which can support different decisions, but it is quite vague on which decisions it support</t>
  </si>
  <si>
    <t xml:space="preserve">Manual Decision Evaluation using Simulation </t>
  </si>
  <si>
    <t>Tackles job-shop scheduling from an energy consumption prediction perspective</t>
  </si>
  <si>
    <t xml:space="preserve">Only looks at prediction, simple energy evaluation (Off, idle, working) </t>
  </si>
  <si>
    <t xml:space="preserve">Propose an Artificial Neural Network to predict total energy consumption in job shop systems applying machine learning techniques </t>
  </si>
  <si>
    <t>Limited exploration on energy optimisation through scheduling process planning</t>
  </si>
  <si>
    <t>The Article is quite interesting but I don't think energy optimisation is within our scope.</t>
  </si>
  <si>
    <t>Complteley unrelated to this project but: It's really interesting, espeicially since I think there could be a nice project where you abstract it further, since energy prices are known in DK through day-ahead pricing, you can estimate the total energy cost of a job-shop using the ANN fairly easily (I think) and then compare different scheduling strategies not only based on total power consumption but also on total cost.</t>
  </si>
  <si>
    <t>Energy prediction in job shop environment</t>
  </si>
  <si>
    <t xml:space="preserve">Demonstrated on a real case (although through simulation), </t>
  </si>
  <si>
    <t xml:space="preserve">Simulation only, complex implementation. </t>
  </si>
  <si>
    <t>Propose a data exchange framework in order to deal with the Job-Shop Scheduling Problem</t>
  </si>
  <si>
    <t>Simulation on Real Case</t>
  </si>
  <si>
    <t>Lack of dynamic, autonomous scheduling frameworks</t>
  </si>
  <si>
    <t xml:space="preserve">Enhancing resilience through gaoined flexibility and scalability? job shop </t>
  </si>
  <si>
    <t>Automated job shop scheduling</t>
  </si>
  <si>
    <t xml:space="preserve">Access Request </t>
  </si>
  <si>
    <t>End-to-End architecture, Industrial prototype</t>
  </si>
  <si>
    <t xml:space="preserve">The prototype lacks KPI results like throughput, cycle time, etc. </t>
  </si>
  <si>
    <t>Proposes a data-driven technical framework for production process management and control in discrete manufacturing digital workshops</t>
  </si>
  <si>
    <t xml:space="preserve">Simulation / Real case </t>
  </si>
  <si>
    <t xml:space="preserve">Current problems include, incomplete information collection, opague production monitoring, unintellignet material distribution, and unsystematic quality traceability </t>
  </si>
  <si>
    <t>Dynamic Scheduling. automated decision making</t>
  </si>
  <si>
    <t xml:space="preserve">Tested on actual hardware, decentralised to avoid single points of failure </t>
  </si>
  <si>
    <t>Only looks at CPU and bandwidth, not RAM, energy, etc.</t>
  </si>
  <si>
    <t xml:space="preserve">Applying Multi Agent Deep Reinforcement Learning to intelligent resource allocation for industrial edge devices </t>
  </si>
  <si>
    <t xml:space="preserve">Evaluated against other models </t>
  </si>
  <si>
    <t xml:space="preserve">Lacks of methods for resource allocation on resource-limited IIoT devices </t>
  </si>
  <si>
    <t xml:space="preserve">Out of scope imo, they focus on resource allocation for IIoT and edge devices, not really decision-making related, at least in the sense that I feel is in scope </t>
  </si>
  <si>
    <t xml:space="preserve">Real-time Allocation of CPU and Bandwidth for edge tasks </t>
  </si>
  <si>
    <t>Strong validation through cases and simulations</t>
  </si>
  <si>
    <t xml:space="preserve">Not clear how it models fatigue, </t>
  </si>
  <si>
    <t>Studying dual-resource cosntrained dynamic flexbile job-shop schedling problem, while cosindering worker fatigue and proficiency.</t>
  </si>
  <si>
    <t xml:space="preserve">Developing a deep reinforcement learning method for solving DRC-DFJSP, consinder worker fatigue and proficiency </t>
  </si>
  <si>
    <t xml:space="preserve">Case </t>
  </si>
  <si>
    <t>most studies on dynamic flexbile job shop scheduling problem focus on machine constraints often overlooking worker constrains</t>
  </si>
  <si>
    <t>Job shop</t>
  </si>
  <si>
    <t>Automated dynamic flexible job shop scheduling</t>
  </si>
  <si>
    <t>builds on existing literature</t>
  </si>
  <si>
    <t>propose a knowledge- and data-driven hybrid method for the hybrid flowhshop lot streaming schedule problem with dynamic order arrivals</t>
  </si>
  <si>
    <t xml:space="preserve">These models are typically tailored to fixed scenarios, which limits their flexibility and adaptability in dynamically changing environments </t>
  </si>
  <si>
    <t>automated job shop scheduling</t>
  </si>
  <si>
    <t>flow SSP</t>
  </si>
  <si>
    <t>Systematic and quite detailed. Probably easily reproducable</t>
  </si>
  <si>
    <t xml:space="preserve">Low accuracy, they only compare 2 models, </t>
  </si>
  <si>
    <t>using generalist natural language processing large language models to give human-like explanations to job shop scheduling problems</t>
  </si>
  <si>
    <t xml:space="preserve">Limited exploration on the use of LLMs in decision support </t>
  </si>
  <si>
    <t xml:space="preserve">I don't like the article, but you can argue for it bringing good results in terms of how LLMs perform in JSSP </t>
  </si>
  <si>
    <t xml:space="preserve">I guess it's a notable result that LLMs perform badly in JSSP, so it's a good source. I don't like it however, it feels like they could've done a lot more especially considering it's 30 pages about a few queries in ChatGPT. Also, LLMs are notably shit at math JSSP is a math problem I don't really get there reasoning for using generalis LLMs to try to solve it, but hey </t>
  </si>
  <si>
    <t xml:space="preserve">Guided decision support for job-shop scheduling problem </t>
  </si>
  <si>
    <t>optimization, ppo, reinforcement learning, dpl</t>
  </si>
  <si>
    <t xml:space="preserve">Outperforms other Deep Reinforcement Learning models in terms of makespan and gap indicators, achieves faster, and exhibits good generalisation </t>
  </si>
  <si>
    <t>complex compare to other models which makes the computation time slower in comparison</t>
  </si>
  <si>
    <t>Using Deep Reinforcement Learning to solve the job shop scheduling problem, uniqely by introducing DecayP30 method which incorporates dynamic weight allocation in the decision-making process</t>
  </si>
  <si>
    <t xml:space="preserve">Scenarios, using 4 existing JSSP datasets </t>
  </si>
  <si>
    <t>Lack of focus on optimal solution space and focus on policy network learning</t>
  </si>
  <si>
    <t>Outperforms other baselines, such as rule-based and meta-heuristics and other Deep Reinforcement Learning based methods in terms of tardines</t>
  </si>
  <si>
    <t>Model has to be retrained if number of machines changes, which severely limits generalisability</t>
  </si>
  <si>
    <t>Proposes a self-imitation learning based scheduling method</t>
  </si>
  <si>
    <t>Current methods like supervised learning are hard to implement due to the difficulty in optaining high-quality schedules for training</t>
  </si>
  <si>
    <t>It kinda depends, the focus is on a specific process that occours in OLED manufacturing, but we're dealing with the same scheduling problem as everywhere else</t>
  </si>
  <si>
    <t>job shop kinda</t>
  </si>
  <si>
    <t xml:space="preserve">automated scheduling, job-shop kinda? </t>
  </si>
  <si>
    <t xml:space="preserve">Outperformed other DRL methods, especially in large instances </t>
  </si>
  <si>
    <t>limited dynamic features, like station breakdown etc. Single Objective: Makespan</t>
  </si>
  <si>
    <t>Makes a Deep Reinforcement Learning model for flexible job-shop scheduling problem, but implementing a diverse set of scheduling policies and dispatching rules constraining the action space</t>
  </si>
  <si>
    <t xml:space="preserve">Current Deep Reinforcement Learning methods struggle with large instances </t>
  </si>
  <si>
    <t>Tackles a well known issue in DES</t>
  </si>
  <si>
    <t>Purely tested on hypothetical scenarios</t>
  </si>
  <si>
    <t>Introduces a novel auto-generative Discrete Event Simulation system designed to address challenges specific to Engineerin-to-Order manufacturing</t>
  </si>
  <si>
    <t xml:space="preserve">Lack of Discrete event simulation programs designed for ETO cases. typical programmes are too rigid  </t>
  </si>
  <si>
    <t>Pretty cool paper imo</t>
  </si>
  <si>
    <t xml:space="preserve">Decision support for ETO operations, Plant Simulation for ETO? </t>
  </si>
  <si>
    <t>Quantified gains, 4,5% increase station utilisation, reduced setup time, etc.</t>
  </si>
  <si>
    <t xml:space="preserve">Focused purely on Textile Dyeing industry and its operations </t>
  </si>
  <si>
    <t>Proposes a systematic approach to collect, identify, and analyse related steps and decisions. A decision support system for dyeing machine scheduling to empower smart manufacturing</t>
  </si>
  <si>
    <t>Case</t>
  </si>
  <si>
    <t>Many traditional industries are not ready to jump straight into the digital transformation</t>
  </si>
  <si>
    <t>Too Specific, develops decision support specifically for the textile dyeing transition from mass production to smart manufacturing</t>
  </si>
  <si>
    <t xml:space="preserve">Decisions support system for dyeing machine scheduling </t>
  </si>
  <si>
    <t xml:space="preserve">Compares the performance of 5 different LLMs </t>
  </si>
  <si>
    <t>Both Copilot and ChatGPT are built on the same framework which is not considered in the paper</t>
  </si>
  <si>
    <t>Compares various LLMs performance on the job shop scheduling problem, including autonomous mobile robots in the setup</t>
  </si>
  <si>
    <t>Conclusion: LLMs are not fit to solve such complex combinatorial problems such as Job-shop Scheduling</t>
  </si>
  <si>
    <t>Limited research on LLMs performance on solving job shop scheduling problems</t>
  </si>
  <si>
    <t xml:space="preserve">LLMs solving Job-shop again. I feel like this paper is better though, it compares more LLMs and is also more realistic with their results and conclusion. The other paper tries to hide that LLMs perform badly while this one is way more realistic and open about it </t>
  </si>
  <si>
    <t>LLM tries to solve Job-shop scheduling</t>
  </si>
  <si>
    <t xml:space="preserve">Unexplored and well defined problem </t>
  </si>
  <si>
    <t>Only tested against virtula benchmarks, no real world application. Singe objective: Makespan</t>
  </si>
  <si>
    <t>Introduces a new AGV scheduling problem, including a mixed integer linear program to solve it</t>
  </si>
  <si>
    <t>Scenario (tested against "benchmark problems")</t>
  </si>
  <si>
    <t xml:space="preserve">No research on AGV scheduling problem </t>
  </si>
  <si>
    <t>similar problem as job shop</t>
  </si>
  <si>
    <t>Automated job-shop scheduling including AGVs</t>
  </si>
  <si>
    <t>Tackles the Resource Scheduling Problem</t>
  </si>
  <si>
    <t xml:space="preserve">Very theoretical and high level, meaning limited practical readiness </t>
  </si>
  <si>
    <t xml:space="preserve">Proposes a "subgraph-based hierarchical Q-learning network approach to solve the optimal resource scheduling problem for complex industrial networks </t>
  </si>
  <si>
    <t xml:space="preserve">Existing methods struggle with "hierarchical info-assymetry" in complex networks </t>
  </si>
  <si>
    <t>Automated resource scheduling</t>
  </si>
  <si>
    <t>Outperforms traditional models</t>
  </si>
  <si>
    <t>Only validated against other models / No practical validation, high compute need</t>
  </si>
  <si>
    <t xml:space="preserve">desiging a Deep Reinforcement Learning based intelligent scheduling and reconfiguration system, Training and executing methods of inlligent scheduling and reoncifurations for Dynamic Distributed Reconfigurable Flowshop Scheduling Problem, proposing an a novel Expercted Deep Q-Network  </t>
  </si>
  <si>
    <t xml:space="preserve">No current studies on the Dynamic Distributed Reconfigurable Flowshops Scheduling Problem </t>
  </si>
  <si>
    <t>RMS &amp; Job shop(?)</t>
  </si>
  <si>
    <t>Real-time decision-making for selecting production line types and candidate jobs for multiple distributed reconfigurable workshops</t>
  </si>
  <si>
    <t>Comprehensive evaluation, using many different factors</t>
  </si>
  <si>
    <t>Most companies if not all use a mix of data analytical platforms, they don't evaluate if a mix of these outperform better than just using a single one</t>
  </si>
  <si>
    <t>Using Analytical Hierarchy Process to establish a suitable data analytic platform that could be used to sort, classify, and integrate data required to generate wisdom for sustainable manufacturing</t>
  </si>
  <si>
    <t xml:space="preserve">Lack of appropriate systems capable of integrating the available data and make wise inferecnes that will result in a competetive advantage of a specific organisation over its competitors </t>
  </si>
  <si>
    <t>It's simply not interesting. Is excel than PowerBI, KNIME etc. for this vague task to generate "wisdom for sustainable manufacturing"</t>
  </si>
  <si>
    <t>Evaluation of software choice</t>
  </si>
  <si>
    <t xml:space="preserve">Comprehensive reputation system, security features to enable customer privacy, simulation validated </t>
  </si>
  <si>
    <t>Limited real-world testing, complex to adopt IRL</t>
  </si>
  <si>
    <t>Propose a Peer-to-Peer netowrking based custom manufacturing service, which is an order-drive trading service between a manufacturer and a customer in the blockchain based industrial Internet of Things architecture</t>
  </si>
  <si>
    <t>lack of flexible malicipous evaluator detection</t>
  </si>
  <si>
    <t>Reputation system for supplier choice</t>
  </si>
  <si>
    <t>k-means, artificial neural networks</t>
  </si>
  <si>
    <t>Big sample size</t>
  </si>
  <si>
    <t xml:space="preserve">Relies on self-report survey data </t>
  </si>
  <si>
    <t>Presents an AI based approach to support the decision making of production managers regarding enhancing the level of Mass customisation based on examples of manufacturing companies in the automtive industry</t>
  </si>
  <si>
    <t>Lack of existing ML models determining levels of MC enabling decision-support</t>
  </si>
  <si>
    <t>Automated Decision support tool to evaluate level of Mass Customisation</t>
  </si>
  <si>
    <t>Multi-objective: makespan, maintenance, energy consumption, excellent performance in terms of convergence and diversity</t>
  </si>
  <si>
    <t>Proposing a learning assisted by-population evolutionary algorithm to solve a multi-objevtive distributed flexible job-shop problem</t>
  </si>
  <si>
    <t>Lack of multi-objective Distributed flexbile job-shops scheduling problem solutions</t>
  </si>
  <si>
    <t>Very pretentious</t>
  </si>
  <si>
    <t>Study the complexity of original equipment manufactureres data-driven engineering to order enterprise supply chain activities and introduce an optimum "best practice" framework</t>
  </si>
  <si>
    <t xml:space="preserve">Conclusion: Decision-making tools are important, which ones idk "best practice" </t>
  </si>
  <si>
    <t>Not related to Decision Making, I'm actually not sure what it's contribution is</t>
  </si>
  <si>
    <t>This paper kinda sucks ngl</t>
  </si>
  <si>
    <t>uses real-world data for analysis</t>
  </si>
  <si>
    <t>simplified assumptions, like no machine breakdowns etc.</t>
  </si>
  <si>
    <t>Develops an approach to data analytics in engineer-to-order with focus on product quality and due-date reliability</t>
  </si>
  <si>
    <t>There is a lack of models utilising back data in ETO for supporting scheduling of operations</t>
  </si>
  <si>
    <t>Decision-making support through simulations and data visualisation</t>
  </si>
  <si>
    <r>
      <rPr>
        <rFont val="Verdana"/>
        <strike/>
        <color theme="1"/>
        <sz val="11.0"/>
      </rPr>
      <t>L3</t>
    </r>
    <r>
      <rPr>
        <rFont val="Verdana"/>
        <color theme="1"/>
        <sz val="11.0"/>
      </rPr>
      <t xml:space="preserve"> / L2</t>
    </r>
  </si>
  <si>
    <t>Tested on real case</t>
  </si>
  <si>
    <t>Complex implementation need MES and RFID set up</t>
  </si>
  <si>
    <t>Proposes a production logistics trajectory analysis and optimisation decision making method driven by a manufacturing task data chain</t>
  </si>
  <si>
    <t xml:space="preserve">Need to expand evaluation dimensions beyond current indicators </t>
  </si>
  <si>
    <t xml:space="preserve">logistics efficiency optimisation </t>
  </si>
  <si>
    <r>
      <rPr>
        <rFont val="Verdana"/>
        <strike/>
        <color theme="1"/>
        <sz val="11.0"/>
      </rPr>
      <t>L3</t>
    </r>
    <r>
      <rPr>
        <rFont val="Verdana"/>
        <color theme="1"/>
        <sz val="11.0"/>
      </rPr>
      <t xml:space="preserve"> / L2</t>
    </r>
  </si>
  <si>
    <t xml:space="preserve">Validated against real-world data, outperforms baseline models  </t>
  </si>
  <si>
    <t xml:space="preserve">Quite complex, could be difficult to implement </t>
  </si>
  <si>
    <t>Propose a data-driven approacg vased on adversarial learning, which allows for accoutning for distributional shifts in manufacturing settings with high degrees of product customisation</t>
  </si>
  <si>
    <t>They developed a model to predict order throughput times and thus perform job shop scheduling on highly customisable product production</t>
  </si>
  <si>
    <t>Lack of knowledge on producting scheduling in industries that experience frequent distributional shifts</t>
  </si>
  <si>
    <t>Automated production scheduling, for highly customised products</t>
  </si>
  <si>
    <t>10.1016/j.rcim.2025.102965</t>
  </si>
  <si>
    <t>blockchain, digital twin</t>
  </si>
  <si>
    <t xml:space="preserve">large cost saving potential of 35% </t>
  </si>
  <si>
    <t>very conceptual, only validated on one test case</t>
  </si>
  <si>
    <t>Designed a blockchain and digital twin-based trusted synchronised decision-making framework</t>
  </si>
  <si>
    <t>Lack of trusted decison-making models in social production logistics systems</t>
  </si>
  <si>
    <t>automated decision-making of production logistics</t>
  </si>
  <si>
    <t>10.1049/cim2.70024</t>
  </si>
  <si>
    <t>digital twin, big data</t>
  </si>
  <si>
    <t>shows improved operational efficiency</t>
  </si>
  <si>
    <t>scenario-based, limited knowledge on generalisability</t>
  </si>
  <si>
    <t xml:space="preserve">Proposes a digital twin and big data based opti state control system integrating adaptive opt-state control and predictive opti-state control. Imrpoving operation efficiency in the production logistics process </t>
  </si>
  <si>
    <t>tradtional production-logistics synchronisation systems have difficulty handling the ever-increasing fluctuations, goals, and disturbances</t>
  </si>
  <si>
    <t>predictive planning and intervention</t>
  </si>
  <si>
    <t>10.1080/00207543.2025.2546030</t>
  </si>
  <si>
    <t xml:space="preserve">digital twin, Opti-state Control System, </t>
  </si>
  <si>
    <t>Robust and adaptive solution, demonstrated improved equipment and warehouse utilisation, real-worl implementation</t>
  </si>
  <si>
    <t>scope of disturbances not fully clear, generalisability?</t>
  </si>
  <si>
    <t xml:space="preserve">develops a multi-granularity state network to guide the development of a digital twin-based Adaptive Opti-state Control System </t>
  </si>
  <si>
    <t xml:space="preserve">So far most papers discuss either very general decision-support tools that can tackle multiple decisions, simply give an overview of the data, or tackle the Job Shop Scheduling Problem. I definetly think that a small section can be targetted towards JSSP since it is quite prevelant at least in the litterature here. I would also suggest that we skip L3, since I only have 4 articles on it, and no one else really has any, but I guess we could also conclude that this is a gap? </t>
  </si>
  <si>
    <t>Addresses online real time scheduling, not offline planning &amp; Clear formulation of RL–JSSP mapping and state</t>
  </si>
  <si>
    <t>Limited testbed scale i.e small number of machines and jobs</t>
  </si>
  <si>
    <t>A smart RL scheduler with composite rewards for online job-shop scheduling , Improved adaptability and learning efficiency in dynamic HMLV environments</t>
  </si>
  <si>
    <t>A well-engineered DQN-based scheduling framework showing that reward shaping significantly improves online scheduling performance</t>
  </si>
  <si>
    <t>Simulation based evaluation, scenarios include urgent orders, machine failures,simultaneous jobs</t>
  </si>
  <si>
    <t>Lack of real world industrial validation, no discussion of deployment cost, data requirements,</t>
  </si>
  <si>
    <t>not excluded</t>
  </si>
  <si>
    <t>RL based online job shop scheduling framework that adapts schedules in real time under dynamic events using a smart manufacturing setting.</t>
  </si>
  <si>
    <t>Reinforcement Learning, optimisation</t>
  </si>
  <si>
    <t>AI, reinforcement learning, smart manufacturing systems</t>
  </si>
  <si>
    <t>real time scheduling(operational decision making)</t>
  </si>
  <si>
    <t>Clear algorithmic improvement over standard Q learning,  benchmark evaluation on multiple problem sizes</t>
  </si>
  <si>
    <t>only makespan focused, purely simulation based</t>
  </si>
  <si>
    <t>Q learning algorithm that outperforms standard Qlearning and hybrid heuristics for permutation flow shop scheduling</t>
  </si>
  <si>
    <t>hybrid RLheuristic scheduling method with measurable makespan improvements on benchmark datasets</t>
  </si>
  <si>
    <t>simulation against benchmark datasets</t>
  </si>
  <si>
    <t>no multi objective scheduling e.g energy , tardiness</t>
  </si>
  <si>
    <t xml:space="preserve">    ----------</t>
  </si>
  <si>
    <t>Improved q learning approach for permutation flowshop scheduling that integrates the NEH heuristic and makespan based rewards to guide learning. The method is evaluated against benchmark instances and shows improved makespan performance compared to q learning and hybrid baselines.</t>
  </si>
  <si>
    <t>q learning, optimisation</t>
  </si>
  <si>
    <t>Artificial Intelligence, reinforcement learning</t>
  </si>
  <si>
    <t>production scheduling</t>
  </si>
  <si>
    <t>Strong integration of machine health production with scheduling decisions using real industrial data</t>
  </si>
  <si>
    <t>very high computational complexity</t>
  </si>
  <si>
    <t>A novel PdM integrated scheduling framework combining deep prognostics with multi objective optimization</t>
  </si>
  <si>
    <t>Actually demonstrates feasibility of health aware scheduling, but remains simulation heavy and computationally expensive for real time use</t>
  </si>
  <si>
    <t>Datasets (C-MAPSS for simulation), real industrial case study</t>
  </si>
  <si>
    <t>Computationally heavy and limited scalability</t>
  </si>
  <si>
    <t xml:space="preserve">    -----------</t>
  </si>
  <si>
    <t>Proposes an integrated predictive maintenance aware production scheduling framework that combines deep generative PHM models with a two stage genetic algorithm to jointly optimize scheduling and maintenance decisions in flexible job shops using both simulated and real industrial data.</t>
  </si>
  <si>
    <t>Predictive maintenance, GA</t>
  </si>
  <si>
    <t>GA, deep learning , predictive maintenance</t>
  </si>
  <si>
    <t>Uses real production data to support due date and flowtime decisions in job shops.</t>
  </si>
  <si>
    <t>Relies on manual data input and assumes stable operating conditions.</t>
  </si>
  <si>
    <t>An AI based artifact that improves real-time flowtime and due date forecasting to support production planning decisions.</t>
  </si>
  <si>
    <t>A NN-based forecasting tool that provides more accurate flowtime estimates than rule based methods.</t>
  </si>
  <si>
    <t>Industrial case study with real production data and comparative benchmarking</t>
  </si>
  <si>
    <t>Does not address dynamic rescheduling or integartion with extensive decision support systems.</t>
  </si>
  <si>
    <t xml:space="preserve">      ---------</t>
  </si>
  <si>
    <t>Presents an AI-based decision-support method that forecasts flowtime and due dates in job shops using real industrial data.</t>
  </si>
  <si>
    <t>Artificial neural networks, regression based forecasting</t>
  </si>
  <si>
    <t>Artificial intelligence, machine learning, neural networks</t>
  </si>
  <si>
    <t>Production planning and due-date decision support</t>
  </si>
  <si>
    <t>Integrates machine scheduling and AGV dispatching into a single decision framework.</t>
  </si>
  <si>
    <t>Assumes static environment only</t>
  </si>
  <si>
    <t>Presenting DRL approach that jointly schedules machines and AGVs for FJSPT with improved efficiency.</t>
  </si>
  <si>
    <t>A DRL based scheduling algorithm that improves makespan in simulated factory scenarios.</t>
  </si>
  <si>
    <t>Simulation based evaluationusing synthetic data and benchmark instances.</t>
  </si>
  <si>
    <t>No explicit support for dynamic systems</t>
  </si>
  <si>
    <t xml:space="preserve">     ---------</t>
  </si>
  <si>
    <t>Uses deep reinforcement learning to support factiory level scheduling decisions by jointly assigning machines and AVGs in flexible job shops</t>
  </si>
  <si>
    <t xml:space="preserve">Scheduling decision support </t>
  </si>
  <si>
    <t>Models production scheduling explicitly as a sequential decision-making process.</t>
  </si>
  <si>
    <t>Decision support remains very algorithm centric with no human or operator interaction.</t>
  </si>
  <si>
    <t>drl based actor critic framework that improves decision making quality in flexible job shop scheduling.</t>
  </si>
  <si>
    <t>drl scheduling model achieves lower completion times than heuristic rules in simulation and benchmark tests.</t>
  </si>
  <si>
    <t>Simulation based evaluation using industrial type dataset and standard benchmarks.</t>
  </si>
  <si>
    <t>Does not address dynamic job shop disturbances or real world deployment</t>
  </si>
  <si>
    <t>This paper applies a deep actor critic reinforcement learning framework to support production scheduling decisions in flexible job shops.</t>
  </si>
  <si>
    <t>DRL, actor critic, convolutional NN, LSTM</t>
  </si>
  <si>
    <t>Artificial intelligence, deep learning, reinforcement learning</t>
  </si>
  <si>
    <t>Operational scheduling decision support</t>
  </si>
  <si>
    <t>Separates production scheduling and transportation decision-making, which improves flexibility. Uses DQN to enable fast, adaptive decisions under changing job orders.</t>
  </si>
  <si>
    <t>Experiments are conducted on a small benchmark dataset (Kacem 4×5). Validation is limited to simulation only, with no real factory deployment.</t>
  </si>
  <si>
    <t>Proposes a DQN-based autonomous transportation decision method for flexible job shop scheduling.</t>
  </si>
  <si>
    <t>Demonstrates that DQN can select transportation rules dynamically to reduce makespan in simulated FJSP scenarios.</t>
  </si>
  <si>
    <t>Simulation-based evaluation using standard FJSP benchmark data.</t>
  </si>
  <si>
    <t>No real time industrial validation or comparison with human in the loop decision systems.</t>
  </si>
  <si>
    <t xml:space="preserve">      --------</t>
  </si>
  <si>
    <t>Uses reinforcement learning to autonomously support transportation decisions (AGV routing) in flexible job shop scheduling under simulated conditions.</t>
  </si>
  <si>
    <t>Operational transportation decision support (AGV dispatching and routing in job shops).</t>
  </si>
  <si>
    <r>
      <rPr>
        <rFont val="Calibri, sans-serif"/>
        <color rgb="FF1155CC"/>
        <sz val="11.0"/>
        <u/>
      </rPr>
      <t>https://doi.org/10.1080/00207543.2023.2217285</t>
    </r>
  </si>
  <si>
    <t>Clearly shows how manufacturing topology directly influences control performance.</t>
  </si>
  <si>
    <t>Results are fully simulation based with no real factory validation</t>
  </si>
  <si>
    <t>Extends a scheduling complexity framework to include manufacturing network topology as a key factor in decision making authority design.</t>
  </si>
  <si>
    <t>Provides quantitative evidence that distributed control performs better under high variability and complex network structures.</t>
  </si>
  <si>
    <t>Simulation-based evaluation, assembly line, and multi plant scenarios with varying production loads.</t>
  </si>
  <si>
    <t>Does not address human decision makers, organizational constraints, or real world deployment issues.</t>
  </si>
  <si>
    <t>This paper studies how manufacturing network structure (job shop, assembly line, multi-plant) affects whether centralized or distributed decision-making works better, using simulation based cost and performance comparisons.</t>
  </si>
  <si>
    <t>Multi agent based discrete event simulation</t>
  </si>
  <si>
    <t>cyber physical systems cps</t>
  </si>
  <si>
    <t>Strategic and operational decision-making related to production control architecture</t>
  </si>
  <si>
    <t>Handles dynamic job arrivals well and scales better than single agent RL in complex job shops.</t>
  </si>
  <si>
    <t>Very high computational complexity</t>
  </si>
  <si>
    <t>Proposes a deep multi-agent RL framework for real time dynamic job shop scheduling.</t>
  </si>
  <si>
    <t>Presented MARL scheduling architecture that consistently outperforms priority rules and existing drl baselines in simulation.</t>
  </si>
  <si>
    <t>Siimulation experiments under multiple utilization rates and dynamic job arrival scenarios</t>
  </si>
  <si>
    <t>Computationally Expensive, no real world deployment</t>
  </si>
  <si>
    <t>Presents a multi agent reinforcement learning based decision-support approach that enables decentralized, real-time scheduling in dynamic job shops by allowing machines to coordinate scheduling decisions autonomously.</t>
  </si>
  <si>
    <t>data driven, deep learning, reinforcement learning</t>
  </si>
  <si>
    <t>Operational scheduling decisions</t>
  </si>
  <si>
    <t xml:space="preserve"> IIoT, sensors, basic data analytics.</t>
  </si>
  <si>
    <t>explicitly integrates human factors such as employee skills, availability, and wages into production planning.</t>
  </si>
  <si>
    <t>Optimization logic is mostly rule based and lacks advanced AI or learning based adaptation.</t>
  </si>
  <si>
    <t>Proposes a dynamic decision support method that improves production planning using real time data in SMEs</t>
  </si>
  <si>
    <t>Demonstrates a practical DSS that reduces production time by about 10% in a real SME case study.</t>
  </si>
  <si>
    <t>Real industrial case study in a Lithuanian metal processing SME using historical production data.</t>
  </si>
  <si>
    <t>Not designed for large-scale factories and does not support fully automated or AI-driven decision-making.</t>
  </si>
  <si>
    <t>Presents a practical decision support method for SMEs that combines real-time production data and human workforce factors to improve dynamic production planning.</t>
  </si>
  <si>
    <t>optimisation</t>
  </si>
  <si>
    <t>Industry 4.0 technologies, IIoT, sensors, basic data analytics.</t>
  </si>
  <si>
    <t>Operational production planning and resource allocation decisions.</t>
  </si>
  <si>
    <t>Demonstrates integrated decision making with reduced computation time on a real industrial case.</t>
  </si>
  <si>
    <t>Very high computational complexity and strong modelling assumptions.</t>
  </si>
  <si>
    <t>Proposes a novel GA–LSTM approach for efficient integrated procurement production planning.</t>
  </si>
  <si>
    <t>Efficient cost approximation inside GA enabling scalable integrated operational planning.</t>
  </si>
  <si>
    <t>Real industrial case study with extensive simulation under multiple cost scenarios. PCB Manufactruing</t>
  </si>
  <si>
    <t>Limited generalisability beyond the specific PCB manufacturing context.</t>
  </si>
  <si>
    <t xml:space="preserve">     --------</t>
  </si>
  <si>
    <t>Hybrid GA–LSTM framework integrates procurement and scheduling decisions at the operational level using rolling horizon planning</t>
  </si>
  <si>
    <t>Operational decision-making.</t>
  </si>
  <si>
    <t>Jointly optimizes production and maintenance under dynamic and uncertain shop-floor conditions.</t>
  </si>
  <si>
    <t>Very high computational complexity and simulation heavy evaluation.</t>
  </si>
  <si>
    <t>Introduces a novel HDRL based framework for joint flexible job-shop scheduling and maintenance planning.</t>
  </si>
  <si>
    <t>Demonstrates effective hierarchical DRL coordination between scheduling and maintenance decisions.</t>
  </si>
  <si>
    <t>Simulation-based evaluation with multiple dynamic job-shop scenarios.</t>
  </si>
  <si>
    <t>Lack of real-world industrial deployment and scalability analysis.</t>
  </si>
  <si>
    <t xml:space="preserve">      -------</t>
  </si>
  <si>
    <t>Hierarchical DRL coordinates production scheduling and maintenance decisions using digital twin data. Simulation results show improved performance over GA, PSO, CP, and non-hierarchical DRL.</t>
  </si>
  <si>
    <t>Hierarchical deep reinforcement learning, Deep Q-Network, constraint programming, dispatching rules.</t>
  </si>
  <si>
    <t>Digital twin, artificial intelligence, deep reinforcement learning.</t>
  </si>
  <si>
    <t>Provides a structured, data driven decision support framework validated on a real SME case.</t>
  </si>
  <si>
    <t>Heavy reliance on simulation and surrogate modeling with limited real time adaptability.</t>
  </si>
  <si>
    <t>Proposes a hybrid SOMCDM framework for selecting customized production platforms in digital twin environments.</t>
  </si>
  <si>
    <t>Demonstrates effective integration of simulation, GA, and MCDM for SME production layout decisions.</t>
  </si>
  <si>
    <t>Real industrial case study of a labor-intensive 3D printer assembly factory.</t>
  </si>
  <si>
    <t>Not designed for real-time rescheduling or dynamic shop-floor disturbances.</t>
  </si>
  <si>
    <t>YES</t>
  </si>
  <si>
    <t xml:space="preserve">       -------</t>
  </si>
  <si>
    <t>Hybrid SOMCDM framework supports SME production platform selection using digital twin simulation data. Case study shows measurable performance improvement over the existing layout.</t>
  </si>
  <si>
    <t>Simulation–optimization, surrogate modeling (MARS), genetic algorithm, TOPSIS (MCDM).</t>
  </si>
  <si>
    <t>Digital twin, data-driven optimization, artificial intelligence.</t>
  </si>
  <si>
    <t>Strategic and operational decision making</t>
  </si>
  <si>
    <t>Singapore.</t>
  </si>
  <si>
    <t>No?</t>
  </si>
  <si>
    <t>Explicitly models AGV transportation energy within flexible job-shop scheduling.</t>
  </si>
  <si>
    <t>Relies on static assumptions and lacks real time rescheduling capability.</t>
  </si>
  <si>
    <t>Introduces an improved NSGA-II model for energy efficient FJSP with AGV transportation.</t>
  </si>
  <si>
    <t>Demonstrates trade-offs between makespan and energy consumption via Pareto solutions.</t>
  </si>
  <si>
    <t>Simulation-based evaluation using real automotive parts workshop data.</t>
  </si>
  <si>
    <t>No digital twin integration or adaptive decision-making under disturbances.</t>
  </si>
  <si>
    <t xml:space="preserve">       --------</t>
  </si>
  <si>
    <t>Multi-objective FJSP integrates AGV transportation energy into scheduling optimization.Pareto solutions support energy- or time-prioritized operational decisions</t>
  </si>
  <si>
    <t>Multi-objective optimization, NSGA-II, hybrid chromosome encoding, Pareto optimization.</t>
  </si>
  <si>
    <t>AGV systems, energy-aware manufacturing, optimization algorithms.</t>
  </si>
  <si>
    <t>Effectively captures local–global dependencies with linear computational complexity.</t>
  </si>
  <si>
    <t>High training cost and purely simulation based validation.</t>
  </si>
  <si>
    <t>Proposes the first DAN Mamba hybrid framework for scalable FJSP optimization.</t>
  </si>
  <si>
    <t>Demonstrates improved makespan and generalization over state-of-the-art DRL baselines.</t>
  </si>
  <si>
    <t>Synthetic large-scale datasets and classical FJSP benchmark instances.</t>
  </si>
  <si>
    <t>No real-world industrial deployment or real-time rescheduling evaluation.</t>
  </si>
  <si>
    <t>Hybrid attention–state-space DRL framework for flexible job-shop scheduling. Outperforms heuristics and DRL baselines in makespan and scalability.</t>
  </si>
  <si>
    <t>Deep reinforcement learning, dual attention network, Mamba state-space model, PPO.</t>
  </si>
  <si>
    <t>Artificial intelligence, deep learning, cyber-physical production systems.</t>
  </si>
  <si>
    <t>china</t>
  </si>
  <si>
    <t>Handles intermittent demand using hybrid statistical DL models</t>
  </si>
  <si>
    <t>No integration with real time shop floor data</t>
  </si>
  <si>
    <t>Proposes hybrid forecasting approach for MTO demand variability. MTO-Make to order</t>
  </si>
  <si>
    <t>Demonstrates ARIMA–LSTM superiority via comparative experiments</t>
  </si>
  <si>
    <t>Simulation-based experiments on historical demand data</t>
  </si>
  <si>
    <t>No linkage to scheduling or digital twin execution</t>
  </si>
  <si>
    <t>Compares global and intermittent demand forecasting models for make-to-order manufacturing.Shows hybrid ARIMA–LSTM improves forecasting accuracy for strategic planning.</t>
  </si>
  <si>
    <t>Hybrid ARIMA–LSTM, global forecasting models, time-series analysis</t>
  </si>
  <si>
    <t>Artificial intelligence, deep learning, time-series analytics</t>
  </si>
  <si>
    <t>demand forecasting, strategic planning</t>
  </si>
  <si>
    <t>Explicitly models multiple dynamic events with reduced action-space complexity.</t>
  </si>
  <si>
    <t>Depends on predefined dispatching rules and simulation based environments.</t>
  </si>
  <si>
    <t>Proposes a DDQN APS framework with event driven action space construction.</t>
  </si>
  <si>
    <t>Demonstrates improved tardiness reduction through adaptive rule selection under dynamics.</t>
  </si>
  <si>
    <t>Large-scale simulation experiments across multiple dynamic production scenarios.</t>
  </si>
  <si>
    <t>No digital twin integration or real-time industrial deployment.</t>
  </si>
  <si>
    <t>DDQN dynamically selects dispatching rules based on detected shop-floor events. Event-specific action spaces improve tardiness performance and robustness.</t>
  </si>
  <si>
    <t>Double Deep Q-Network (DDQN), action space pre-screening, dispatching rule selection.</t>
  </si>
  <si>
    <t>Deep reinforcement learning, intelligent manufacturing systems</t>
  </si>
  <si>
    <t>Operational real-time decision-making.</t>
  </si>
  <si>
    <t>Ensures scalability and generalization across variable sized manufacturing systems.</t>
  </si>
  <si>
    <t>Focuses on coordination learning rather than explicit production scheduling objectives.</t>
  </si>
  <si>
    <t>Introduces a symmetry aware MARL framework for flexible manufacturing environments.</t>
  </si>
  <si>
    <t>Demonstrates improved coordination and robustness under varying system configurations.</t>
  </si>
  <si>
    <t>Simulation-based IIoT-enabled flexible manufacturing environments.</t>
  </si>
  <si>
    <t>No integration with digital twin models or real industrial deployment.</t>
  </si>
  <si>
    <t>Permutation-aware MARL enables scalable and robust control in flexible manufacturing.Results show improved coordination compared to standard MARL baselines.</t>
  </si>
  <si>
    <t>Multi-agent reinforcement learning, permutation-invariant networks, permutation-equivariant policy learning.</t>
  </si>
  <si>
    <t>Industrial IoT, artificial intelligence, multi-agent systems.</t>
  </si>
  <si>
    <t>Operational distributed decision-making.</t>
  </si>
  <si>
    <t>Explicitly considers task deadlines in scheduling</t>
  </si>
  <si>
    <t>No real industrial or manufacturing case study</t>
  </si>
  <si>
    <t>Introduces a deadline aware scheduling algorithm for IoT cloud jobs</t>
  </si>
  <si>
    <t>Demonstrates improved scheduling metrics via simulation</t>
  </si>
  <si>
    <t>No integration with manufacturing systems or digital twins</t>
  </si>
  <si>
    <t>Proposes a deadline-based cloud job scheduling algorithm for IoT workloads.Improves task completion rate and reduces deadline violations via simulation.</t>
  </si>
  <si>
    <t>Deadline-based task optimization algorithm</t>
  </si>
  <si>
    <t>Cloud computing, Internet of Things (IoT)</t>
  </si>
  <si>
    <t>Operational scheduling</t>
  </si>
  <si>
    <t>Simultaneously addresses productivity and environmental objectives in flexible assembly systems.</t>
  </si>
  <si>
    <t>Fully simulation based with high training and coordination complexity.</t>
  </si>
  <si>
    <t>Proposes a MADRL game theoretic framework for green flexible assembly job shop scheduling.</t>
  </si>
  <si>
    <t>Demonstrates effective coordination among agents to balance makespan and energy objectives.</t>
  </si>
  <si>
    <t>Simulation experiments under multiple green production scenarios.</t>
  </si>
  <si>
    <t>No real-world industrial validation or digital twin integration.</t>
  </si>
  <si>
    <t>NO</t>
  </si>
  <si>
    <t>MADRL integrates game theory for multi-objective green assembly scheduling.Results show improved trade-offs between efficiency and energy consumption.</t>
  </si>
  <si>
    <t>Multi-agent deep reinforcement learning, game theory, reward decomposition, cooperative learning.</t>
  </si>
  <si>
    <t>Artificial intelligence, green manufacturing, multi-agent systems.</t>
  </si>
  <si>
    <t>Operational multi-objective decision-making.</t>
  </si>
  <si>
    <t>Explicitly incorporates worker skills and cross-domain dependencies into scheduling decisions.</t>
  </si>
  <si>
    <t>Simulation based evaluation with high model complexity and training cost.</t>
  </si>
  <si>
    <t>Proposes a novel multi domain GAT framework for FJSP with skilled worker constraints.</t>
  </si>
  <si>
    <t>Demonstrates improved scheduling performance by jointly learning job–machine–worker representations.</t>
  </si>
  <si>
    <t>Benchmark based simulation experiments under multiple worker skill configurations.</t>
  </si>
  <si>
    <t>No real-world industrial validation or dynamic rescheduling analysis.</t>
  </si>
  <si>
    <t>Multi-domain GAT models jobs, machines, and workers for skill-aware scheduling. Results outperform heuristic and learning-based baselines on benchmark datasets.</t>
  </si>
  <si>
    <t>Graph attention network, multi-domain graph modeling, deep reinforcement learning.</t>
  </si>
  <si>
    <t>Artificial intelligence, graph neural networks, human-in-the-loop manufacturing.</t>
  </si>
  <si>
    <t>Operational human-centered decision-making.</t>
  </si>
  <si>
    <t>Longsighted dispatching rules, Dynamic NEH, workload balancing heuristics.</t>
  </si>
  <si>
    <t>Dispatching decisions are made by evaluating combinations of jobs, not single jobs. Full factorial design (machines, WIP, JRQ, distributions).</t>
  </si>
  <si>
    <t>Only flow shop systems are considered. No machine failures, disruptions, or rework, which are common in real factories.</t>
  </si>
  <si>
    <t>Introduces long-sighted dispatching rules for hybrid Industry 4.0 scheduling.</t>
  </si>
  <si>
    <t>Demonstrates better steady and transient performance than classical dispatching rules.</t>
  </si>
  <si>
    <t>Agent based discrete-event simulation under steady and transient conditions.</t>
  </si>
  <si>
    <t>No job-shop evaluation or real-time industrial deployment.</t>
  </si>
  <si>
    <t>Long sighted dispatching reduces short-term bias in Industry 4.0 scheduling. Simulation results show improved throughput and predictability.</t>
  </si>
  <si>
    <t>Long-sighted dispatching rules, Dynamic-NEH, workload balancing heuristics.</t>
  </si>
  <si>
    <t>Industry 4.0, manufacturing execution systems, decision-support heuristics.</t>
  </si>
  <si>
    <t>Operational decision making</t>
  </si>
  <si>
    <t>Conceptual framework, top-down analysis</t>
  </si>
  <si>
    <t>Clear structured guidance linking manufacturing type to Industry 4.0 elements and KPIs.</t>
  </si>
  <si>
    <t>no optimization model, and no empirical/industrial validation.</t>
  </si>
  <si>
    <t>Defines key questions and indicators to guide Industry 4.0 implementation decisions.</t>
  </si>
  <si>
    <t>Practical checklist and mapping table for best-fit selection and KPI redesign.</t>
  </si>
  <si>
    <t>conceptual discussion only.</t>
  </si>
  <si>
    <t>Lacks quantitative validation, operational scheduling integration</t>
  </si>
  <si>
    <t>Top-down Industry 4.0 guidance: best-fit selection, business case factors, and new indicators.</t>
  </si>
  <si>
    <t>Conceptual framework, top-down analysis, comparative manufacturing-type mapping.</t>
  </si>
  <si>
    <t>Industry 4.0, CPS, IoT, data analytics</t>
  </si>
  <si>
    <t>Strategic and managerial</t>
  </si>
  <si>
    <t>Romania</t>
  </si>
  <si>
    <t>Exclusion basis</t>
  </si>
  <si>
    <t>Title/Abstract/Introduction/Conclusion</t>
  </si>
  <si>
    <t>Link</t>
  </si>
  <si>
    <t>Added by</t>
  </si>
  <si>
    <t>Assigment</t>
  </si>
  <si>
    <t xml:space="preserve">They review it themselfs. </t>
  </si>
  <si>
    <t>Reviewers</t>
  </si>
  <si>
    <t>Names</t>
  </si>
  <si>
    <t>Martin</t>
  </si>
  <si>
    <t xml:space="preserve">Filip </t>
  </si>
  <si>
    <t>Jannik</t>
  </si>
  <si>
    <t>Week 50</t>
  </si>
  <si>
    <t>Week 51</t>
  </si>
  <si>
    <t>Week 52</t>
  </si>
  <si>
    <t>Week 1</t>
  </si>
  <si>
    <t>Week 2</t>
  </si>
  <si>
    <t>Week 3</t>
  </si>
  <si>
    <t>Week 4</t>
  </si>
  <si>
    <t>Week 5</t>
  </si>
  <si>
    <t>Week 6</t>
  </si>
  <si>
    <t>Week 7</t>
  </si>
  <si>
    <t>Week 9</t>
  </si>
  <si>
    <t>Week 10</t>
  </si>
  <si>
    <t>Submit date</t>
  </si>
  <si>
    <t>Review assigned papers</t>
  </si>
  <si>
    <t>19th of January</t>
  </si>
  <si>
    <t>6th of Marts</t>
  </si>
  <si>
    <t>26th of January</t>
  </si>
  <si>
    <t>10 th of February</t>
  </si>
  <si>
    <t>Refinement / Alignment</t>
  </si>
  <si>
    <t>9th of February</t>
  </si>
  <si>
    <t>Discussion &amp; Conclusion / Intro</t>
  </si>
  <si>
    <t>5th of February</t>
  </si>
  <si>
    <t>15th of February</t>
  </si>
  <si>
    <t>Cited_key_id</t>
  </si>
  <si>
    <t>Topic/Theame</t>
  </si>
  <si>
    <t>Includes uncertancy, consideres varaible energy prices and ressource allocation uncertainty, problem is constrained by carbon footprint and budget seems relevant. Scales reasonably well to larger problem.</t>
  </si>
  <si>
    <t xml:space="preserve">Rather short, mistakes in the text, Does not compare against other similar/modern approaches at the time, making it hard to tell how good it performance. </t>
  </si>
  <si>
    <t>(1) single-machine model for energy-effeciency (ll) The proposed model determines the optimal processing times of jobs, based on an optimal schedule policy (iii) Inclution of the uncertencies of resource allocation to compress job processing imte.</t>
  </si>
  <si>
    <t>Proposes a hybrid approach; a GA and type 2 fuzzy logic system for schedule generation that handles uncertainty in resource allocation costs under constraints on budget and carbon footprint.</t>
  </si>
  <si>
    <t>Randomly generated instances</t>
  </si>
  <si>
    <t>Lack of industrial data validation and comparison against other methods is limited.</t>
  </si>
  <si>
    <t>This paper proposed a single machine scheduling for energy effeciency for 1 day horizon, combining GA and type 2 fuzzy logic with  resource allocation uncertancy and varying energy prices.</t>
  </si>
  <si>
    <t>Genetic algorithm, type 2 fuzzy logic, mixed-interger programming model</t>
  </si>
  <si>
    <t>Optimization software (Lingo software)</t>
  </si>
  <si>
    <t>Single machine scheduling</t>
  </si>
  <si>
    <t>Energy consumption, Green manufacturing, Energy-aware manufacturing</t>
  </si>
  <si>
    <t>Compares against similar techniques (Other huristics, ladaptive large neighrhood search, genetic algorithm). Describes each "benchmark heuristic". USes real-energy parameters from a drilling machine.</t>
  </si>
  <si>
    <t>It would be nice to see its performance against other energy-awatre approaches.</t>
  </si>
  <si>
    <t>Proposes a dynamic control algorithm determing an energy efficient single-machine schedule with machine capacity and scheduled turn-offs. It demonstrates improved performance compared to benchmark huristics.</t>
  </si>
  <si>
    <t>Randomgly generated instances + real energy parameters from a HAAS VF0 milling machine</t>
  </si>
  <si>
    <t>Lack of explicit industry deployment. Lack of scalable energy optmization.</t>
  </si>
  <si>
    <t>Multi-objective (minizing just-in-time costs, machine repair, and energy comsumptiond)</t>
  </si>
  <si>
    <t xml:space="preserve">The paper presents a scheduling method for single-machine scheduling that automatically adjusts production timing, machine speed, and shutdown periods to reduce energy use and operational costs. </t>
  </si>
  <si>
    <t>mixed integer nonlinear programming (nonlinear optimization problem)</t>
  </si>
  <si>
    <t>Production managers</t>
  </si>
  <si>
    <t>machine parameters</t>
  </si>
  <si>
    <t>Single machine scheduling supporting job sequencing and arrival timing</t>
  </si>
  <si>
    <t>United States</t>
  </si>
  <si>
    <t>Does not only consider manufacturing energy consumption, but also non-manufacturing energy consumptions.  Constraints covers manufacturing precedence, capacity, energy balance, and comfort. Comfort is mostly related to the workers. Compared to other energy related papers this one includes local-energy generation in this case wind turbines and fule cells.</t>
  </si>
  <si>
    <t>Limited applicability of the approach as it assumes grid-connected microgrid. Hard to follow, when details are presented in additional material.</t>
  </si>
  <si>
    <t>The paper proposes a risk-aware robust MILP framework that integrates manufacturing scheduling with multi-energy microgrid management to optimize cost, emissions, and comfort under uncertainty</t>
  </si>
  <si>
    <t>It connects production scheduling with multi-energy microgrid optimization under uncertainty using a robust MILP</t>
  </si>
  <si>
    <t>Randomly generated based on a fixed job shop setup, but with different destribution for wind speed, heat, cooling, power demands.Evaluated against a baseline, where electricity is supplied directly from the grid (no on site energy production).</t>
  </si>
  <si>
    <t>The system complexity is a barrier for adaptation in real-world manufacturing. Lack of dynamic job arrivals in energy aware schuduling (Since they tend to use one-day ahead electricty knowledge).</t>
  </si>
  <si>
    <t>Multi-objective optimization.</t>
  </si>
  <si>
    <t>The paper presents a mathematical system that helps factories decide when to run machines and how to produce or purchase energy. It combines local energy generation technologies with traditional grid electricity and factory operations</t>
  </si>
  <si>
    <t>mixed integer linear programming, conditional value at risk (CVaR), robust optimization</t>
  </si>
  <si>
    <t>GAMS with CPLEX solver (Solver for mixed integer lenar programming problems). Grid connected microgrid. Combined cooling, heat, and power system.  Smart Grid infrastructure. Combined Cooling, Heat, and Power system (produces electrecity, heat, cooling from a fuel source, ex. gas). Different equipments (Lighting, dishwasher, washing machine, color Tv, Cooker hob, Air conditionors, computers, printers, scanners, heaiting, residential fridge, indsutrial fridge, cooling)</t>
  </si>
  <si>
    <t>Decision maker</t>
  </si>
  <si>
    <t>Energy-aware production planning of manufacturing and non-manufacturing aspects.</t>
  </si>
  <si>
    <t>Proof-of-concept</t>
  </si>
  <si>
    <t>Green manufacturing</t>
  </si>
  <si>
    <t>2022_energy_saving_in_single-machine_scheduling_management:_an_improved_multi-objective_model_based_on_discrete_artificial_bee_colony_algorithm</t>
  </si>
  <si>
    <t>https://doi.org/10.3390/sym14030561</t>
  </si>
  <si>
    <t>Questionable title when they do not explicitely have energy minimization as an objective.</t>
  </si>
  <si>
    <t>Green manufacturing, Energy-aware manufacturing</t>
  </si>
  <si>
    <t>time of use electricy cost is consistent with other of this type of research. Models that certain tasks can only start after a certain time which is more realistic. Tries to handle larger problems to be feaseble, by taking a two-step huristic approach and deviding the problem in specific periods where electric cost is the same.</t>
  </si>
  <si>
    <t>The algorithm is difficult to apply to other machine environments. Hard to follow.</t>
  </si>
  <si>
    <t>The paper formulates a single-machine scheduling problem with release dates under TOU electricity tariffs and proposes MILP models alongside a scalable two-stage heuristic that demonstrates close to optimal energy cost reductions for different instances and a real-world example.</t>
  </si>
  <si>
    <t>Randomly generated instances + evaluated on a real-life example, they compare against earliest release date scheduling rule.</t>
  </si>
  <si>
    <t>Lack of mixed integer linear programming approaches which can show reaseble peformance on larger scale problems. Hard to addapt to other machine environments, as it is manufacturing with one machine, huristics might not apply as well to other environments.</t>
  </si>
  <si>
    <t>Metrics:: Total electricty cost, CPU time, optimality gap relative to lower bounds.</t>
  </si>
  <si>
    <t>This paper formulates the single-machine scheduling problem with release dates under time-of-use tariffs as T-MILP and P-MILP optimization models and compares them with a two-stage heuristic, showing that the heuristic achieves comparable performance with significantly lower computational time</t>
  </si>
  <si>
    <t>Time-indexed mixed interger linear programming, Perido-based MILP, Constructive huristic (A huristic they themselves create), tabu search.</t>
  </si>
  <si>
    <t>CPLEX solver</t>
  </si>
  <si>
    <t>Synthetic + real-world example</t>
  </si>
  <si>
    <t>Single machine energy-aware scheduling</t>
  </si>
  <si>
    <t>manufactuing</t>
  </si>
  <si>
    <t>Energy-aware manufacturing</t>
  </si>
  <si>
    <t>2023_process_simulation_and_optimization_of_arc_welding_robot_workstation_based_on_digital_twin</t>
  </si>
  <si>
    <t>https://doi.org/10.3390/machines11010053</t>
  </si>
  <si>
    <t>Good figures, detailed explenation of implementation. Real-time synchronization and monitoring via DT data interaction and UI visualization</t>
  </si>
  <si>
    <t>Can be hard to realise in small and medium enterprises. Relatively simpel models (kinematics). Baselines comparison is basic, and the approach would be more interresting to see its performance against state-of-the-art.</t>
  </si>
  <si>
    <t>A  digital twin of a line of sight robot arm arc welder workstation, with 3d visualisation, monitorin, optimal start position optimization and path planning. Consisting of three different unit level digital twins.</t>
  </si>
  <si>
    <t xml:space="preserve">The paper introduces MILP formulations and a scalable two-stage heuristic to optimize single-machine schedules with release dates under time-varying electricity prices, demonstrating cost reductions </t>
  </si>
  <si>
    <t>Interresting paper but does not specifically talk about HMLV.</t>
  </si>
  <si>
    <t>This paper studies the arc welding process optimisation for a robot cell, by presenting a proof-of-concept of a digital twin based arch welding robot workstation. It synchornizes real and virtul data in real time and utilizes kinematic modeling and PSo to optimizal robot base inital position to reduce welding cycle time and improve the smoothness.</t>
  </si>
  <si>
    <t>Partical swarm algorithm, collisition detection using oriented bounding box</t>
  </si>
  <si>
    <t>Digital Twin, 3D visualisation, Unity, Solid works, sensors/controllers/PLC data, communication via fieldbus/UDP/Ethernet/EtherCAT, data via JSON/API, HTTP/socket networking for virtual-physical interaction</t>
  </si>
  <si>
    <t>human operator</t>
  </si>
  <si>
    <t>Process optimization</t>
  </si>
  <si>
    <t>Manufacturing with welding production</t>
  </si>
  <si>
    <t>Digital Twin and optimization</t>
  </si>
  <si>
    <t>2024_human-centered_solutions_based_on_automated_visual_inspection_system</t>
  </si>
  <si>
    <t>https://doi.org/10.1007/978-3-031-71743-7_13</t>
  </si>
  <si>
    <t>No HMLV focus</t>
  </si>
  <si>
    <t>Different but no HMLV focus</t>
  </si>
  <si>
    <t>2024_instructing_collaborative_robots_using_large_language_models_for_human-robot_collaboration</t>
  </si>
  <si>
    <t>2024_machine-level_collaborative_manufacturing_and_scheduling_for_heterogeneous_plants</t>
  </si>
  <si>
    <t>https://doi.org/10.1109/JIOT.2024.3354251</t>
  </si>
  <si>
    <t>2024_safety-driven_deep_reinforcement_learning_framework_for_cobots:_a_sim2real_approach</t>
  </si>
  <si>
    <t>https://doi.org/10.1109/CoDIT62066.2024.10708345</t>
  </si>
  <si>
    <t>Interresting tho, how safety can be included into human-robot collaboration that utilizes DRL.</t>
  </si>
  <si>
    <t>2024_smart_perception_for_situation_awareness_in_robotic_manipulation_tasks</t>
  </si>
  <si>
    <t>https://doi.org/10.1109/ACCESS.2024.3389091</t>
  </si>
  <si>
    <t>Not manufacturing</t>
  </si>
  <si>
    <t>time-of-use tarrifs. Has mulitple opbjectives in the optimization process (total energy cost and tardiness). Setup times between different jobs where the sequence matter, this is a measure i havent seen in others i have read (P4). Compares against other known meta-huristics (NSGA-II, SPEA2, and MOEA/D algorithms). In small instances they compare against MILP solved by CPLEX 12.8. Experiments and analysis the effectiviness of method applied in the mulit-objective algorithm (neighbourhood structureselection mode, HV contribution-based solutioncomparison strategy, local intensification by IPs). Has case study on two cases compared against EDD configs )fig 9.).</t>
  </si>
  <si>
    <t>Does not compare against state-of-the-art approaches.</t>
  </si>
  <si>
    <t xml:space="preserve">Proposes a multi-objective artificial bee colony based algorithm, augmented with initialisation heuristics and multi-directional neighbourhood structures. </t>
  </si>
  <si>
    <t>Randomly generated instances+Case study</t>
  </si>
  <si>
    <t>Lack of studies in scheduling problem characterised by sequence-dependent family setups. Lack of single machine scheduling papers having variations in machine statesm such as machine degradation and preventitive maintenance.</t>
  </si>
  <si>
    <t>Job shop, bottleneck focus.</t>
  </si>
  <si>
    <t>This paper addresses the joint scheduling of total tardiness and total energy cost under time-of-use tarrifs. It proposes a multi-objective artificial bee colony based algorithm.</t>
  </si>
  <si>
    <t>Meta huristic, multi-objective artificial bee colony, external archive set, hypervolume indicator, mixed integer linear programming (MILP), used to compare against.</t>
  </si>
  <si>
    <t>CPLEX 12.8, for the MILP solving.</t>
  </si>
  <si>
    <t>Synthetic+industrial data</t>
  </si>
  <si>
    <t>Single machine scheduling in time of use tarrifs.</t>
  </si>
  <si>
    <t>General manufacturing (could fall into setup family)</t>
  </si>
  <si>
    <t>Energy consumption, Energy-aware manufacturing</t>
  </si>
  <si>
    <t xml:space="preserve">Again time-of-use tarrifs (realistic in most countries). Models real-world uncertainty, using its stochastic approach. </t>
  </si>
  <si>
    <t>Only compares against a determinstic version (MILP), could be strengthened by including additional stochastic or uncertainty-aware optimization methods.</t>
  </si>
  <si>
    <t>Proposes a simhuristices combining SA and GRASP, demonstrating good results compared to MILP solution under fixed processing times.</t>
  </si>
  <si>
    <t>Lack of studies combine stochastic + green scheduling. Lack of TOU based stochastic models. Lack of benchmark data. Lack of multi-objective optimization in green manufacturing. Lack of sensiteivy analysis/robustness analysis.</t>
  </si>
  <si>
    <t>Job shop, metrics used are Expected value, Value at Risk, and conditional value at risk.</t>
  </si>
  <si>
    <t>This paper proposes a simheuristic algorithm, integrating simulated annealing and greedy randomized adaptive search procedure, to address the single-machine scheduling problem with enviromental uncertancy factors.</t>
  </si>
  <si>
    <t>meta huristics: simulated annealing and greedy randomized adaptive search procedure. Monte carlo simulation. Mixed integer linear programming (MILP), used to compare against.</t>
  </si>
  <si>
    <t>Gurobi solver, for the MILP solving.</t>
  </si>
  <si>
    <t>Decision makers</t>
  </si>
  <si>
    <t>Brasil</t>
  </si>
  <si>
    <t>time-of-use tarrifs type problem. Contains thereom proof, which is rare among others i have read. Achieves 31.44% better energy cost compared to the companis normal scheduling approach.</t>
  </si>
  <si>
    <t xml:space="preserve">The time complexity is O(m^2). </t>
  </si>
  <si>
    <t>The paper proposes an efficient greedy insertion heuristic algorithm that assigns jobs to time periods with varying energy costs, demonstrating good performance compared to a MILP model solved with the CPLEX solver within a reasonable computation time.</t>
  </si>
  <si>
    <t>Case study+Randmly generated instances</t>
  </si>
  <si>
    <t>Infeasebility of MILP optimization problems.</t>
  </si>
  <si>
    <t>This paper investiagtes the single machine scheduling case under time-of-use tarrifs. Proposes a efficient greddy insertion huristic, which acieves close to same results as the MILP optimization.</t>
  </si>
  <si>
    <t>mixed integer linear programming</t>
  </si>
  <si>
    <t>CPLEX solver, to solve the MILP</t>
  </si>
  <si>
    <t>2022_an_integrated_mixed_reality_system_for_safety-aware_human-robot_collaboration_using_deep_learning_and_digital_twin_generation</t>
  </si>
  <si>
    <t>https://doi.org/10.1016/j.rcim.2021.102258</t>
  </si>
  <si>
    <t>Not HMLV</t>
  </si>
  <si>
    <t>2022_ar-assisted_digital_twin-enabled_robot_collaborative_manufacturing_system_with_human-in-the-loop</t>
  </si>
  <si>
    <t>https://doi.org/10.1016/j.rcim.2022.102321</t>
  </si>
  <si>
    <t>2019_cloud-based_digital_twin_for_industrial_robotics</t>
  </si>
  <si>
    <t>https://doi.org/10.1007/978-3-030-27878-6_9</t>
  </si>
  <si>
    <t>https://doi.org/10.1080/21693277.2019.1618746</t>
  </si>
  <si>
    <t>L0?</t>
  </si>
  <si>
    <t>https://doi.org/10.1016/j.rcim.2014.07.004</t>
  </si>
  <si>
    <t>https://doi.org/10.1016/j.ijinfomgt.2019.05.020</t>
  </si>
  <si>
    <t>No HMLV/decision support focus</t>
  </si>
  <si>
    <t>https://doi.org/10.1007/978-3-030-01614-2_58</t>
  </si>
  <si>
    <t>No HMLV, production line</t>
  </si>
  <si>
    <t>https://doi.org/10.1109/CASE49997.2022.9926471</t>
  </si>
  <si>
    <t>https://doi.org/10.1016/j.rcim.2022.102518</t>
  </si>
  <si>
    <t>https://doi.org/10.3390/app9020348</t>
  </si>
  <si>
    <t>https://doi.org/10.1016/j.procir.2016.02.080</t>
  </si>
  <si>
    <t>https://doi.org/10.1007/s00170-020-05356-0</t>
  </si>
  <si>
    <t>Not L0</t>
  </si>
  <si>
    <t>https://doi.org/10.1109/ICRA46639.2022.9811952</t>
  </si>
  <si>
    <t>Low direct HMLV focus, but suitable for HMLV</t>
  </si>
  <si>
    <t>reviwer _id</t>
  </si>
  <si>
    <t>\++</t>
  </si>
  <si>
    <t>addresses fluctuating demand via more human-robot assembly scheduling</t>
  </si>
  <si>
    <t>Task relocation Heuristics</t>
  </si>
  <si>
    <t>Human robot collaboration, meta heuristics, simulated annealing</t>
  </si>
  <si>
    <t>Dynamic task reallocation, handles multi human-machine collaboration tasks</t>
  </si>
  <si>
    <t>No real time deployment or human in the loop decision interaction</t>
  </si>
  <si>
    <t>A novel meta-heuristic to jointly optimize cycle time and operator allocation in HRC assembly lines.</t>
  </si>
  <si>
    <t>An improved simulated annealing algorithm showing better optimization performance than prior heuristics.</t>
  </si>
  <si>
    <t>Lacks real time decision support or operators feedback</t>
  </si>
  <si>
    <t>-----</t>
  </si>
  <si>
    <t>Proposes an enhanced simulated annealing approach for balancing and scheduling human–robot collaborative assembly lines, validated through automotive case studies and benchmark problems.</t>
  </si>
  <si>
    <t>2026</t>
  </si>
  <si>
    <t>Optimization framework for balancing and scheduling in human–robot collaborative assembly systems.</t>
  </si>
  <si>
    <t>Decision Support for task allocation and resource managment at assembly level</t>
  </si>
  <si>
    <t>Centralized optimization framework based on enhanced adaptive simulated annealing.</t>
  </si>
  <si>
    <t>\+</t>
  </si>
  <si>
    <t>Addresses intelligent scheduling using DRL but focuses on semiconductor fabs rather than HMLV layouts.</t>
  </si>
  <si>
    <t>DQN and multi agent DQN scheduling policies</t>
  </si>
  <si>
    <t>Deep reinforcement learning, simulation</t>
  </si>
  <si>
    <t>Learns adaptive scheduling policies that generalize across different tool configurations.</t>
  </si>
  <si>
    <t>Requires high computational training effort</t>
  </si>
  <si>
    <t>A DRL-based scheduling framework for semiconductor cluster tools under varying conditions.</t>
  </si>
  <si>
    <t>Demonstrates DRL feasibility for complex tool scheduling in simulated semiconductor environments.</t>
  </si>
  <si>
    <t>No real time implementation, no human in loop decision support</t>
  </si>
  <si>
    <t>Uses DQN and multi-agent DQN to improve scheduling performance of semiconductor cluster tools, showing throughput gains over heuristic policies in simulation.</t>
  </si>
  <si>
    <t>Semiconductor Manufacturing</t>
  </si>
  <si>
    <t>Application of deep reinforcement learning to complex induxtrial tool scheduling</t>
  </si>
  <si>
    <t>Automated decision support for scheduling under changing system configurations.</t>
  </si>
  <si>
    <t>Centralized and multi-agent DRL framework coupled with a discrete-event simulator.</t>
  </si>
  <si>
    <t>2026_investigating_the_engineering_design_approaches_for_cutting_edge_technology_adoption_in_transport_manufacturing</t>
  </si>
  <si>
    <t>no?</t>
  </si>
  <si>
    <t>Directly targets decision support for reconfiguration and scheduling in customized, small-batch manufacturing systems.</t>
  </si>
  <si>
    <t>Knowledge-guided deep reinforcement learning using PPO with action masking.</t>
  </si>
  <si>
    <t>Deep reinforcement Learning</t>
  </si>
  <si>
    <t>Explicitly models machine reconfiguration time and reduces action-space dimensionality.</t>
  </si>
  <si>
    <t>Validated only in simulated environments with synthetically generated instances.</t>
  </si>
  <si>
    <t>A KGDRL framework that enables efficient reconfiguration-aware scheduling for CPP workshops.</t>
  </si>
  <si>
    <t>Demonstrates improved convergence and makespan reduction over DRL and heuristic baselines.</t>
  </si>
  <si>
    <t>No real-time deployment or digital twin implementation despite being discussed as future work.</t>
  </si>
  <si>
    <t>Introduces a knowledge-guided DRL method for reconfiguration-aware scheduling in customized manufacturing, achieving robust makespan improvements in simulation.</t>
  </si>
  <si>
    <t>Customised and personalized manufacturing</t>
  </si>
  <si>
    <t>Integration of domain knowledge into DRL for scalable reconfiguration-aware scheduling.</t>
  </si>
  <si>
    <t>Decision support for intelligent resource reconfiguration and job scheduling.</t>
  </si>
  <si>
    <t>Edge–cloud and wireless CMfg framework with KGDRL-based scheduling engine.</t>
  </si>
  <si>
    <t>Directly addresses realistic scheduling with setup-resource constraints relevant to Industry 4.0/5.0 production.</t>
  </si>
  <si>
    <t>Enhanced GRASP (E-GRASP) with selective repair and resource-aware construction.</t>
  </si>
  <si>
    <t>Metaheuristics, GRASP, combinatorial optimization.</t>
  </si>
  <si>
    <t>Explicit  handling of setup resource infeasibilities with strong scalability to large instances</t>
  </si>
  <si>
    <t>purely algorithmic with no real time DSS</t>
  </si>
  <si>
    <t>A new metaheuristic that efficiently manages setup-resource infeasibilities in UPMSR-S problems.</t>
  </si>
  <si>
    <t>Demonstrates consistent and statistically significant performance gains over GRASP variants.</t>
  </si>
  <si>
    <t>no human in loop support, no adaptive learning</t>
  </si>
  <si>
    <t>Introduces an enhanced GRASP with selective repair to efficiently solve resource-constrained parallel machine scheduling.</t>
  </si>
  <si>
    <t>spain</t>
  </si>
  <si>
    <t>Manufacturing(ceramic, food processing)</t>
  </si>
  <si>
    <t>Advanced metaheuristic design for realistic resource constrained scheduling problem</t>
  </si>
  <si>
    <t>Offline optimization support for production scheduling under limited resources.</t>
  </si>
  <si>
    <t>E-GRASP framework with construction, local search, selective repair, and evaluation phases.</t>
  </si>
  <si>
    <t>2025_a_bilstm-ippo_approach_for_dynamic_flexible_flow_shop_scheduling_with_limited_buffer_capacity</t>
  </si>
  <si>
    <t>Directly addresses real time scheduling in flow shops with dynamic arrival constraints</t>
  </si>
  <si>
    <t>BiLSTM-enhanced Improved Proximal Policy Optimization (IPPO).</t>
  </si>
  <si>
    <t>BiLSTM,PPO Gantt chart</t>
  </si>
  <si>
    <t>handles dynamic constraints</t>
  </si>
  <si>
    <t>purely simulation based</t>
  </si>
  <si>
    <t>BiLSTM-IPPO framework for solving DFFSP-LBC with dynamic job arrivals</t>
  </si>
  <si>
    <t>Demostrates superior performance over heuristics</t>
  </si>
  <si>
    <t>simulation experiments on static and dynamic flowshop benchmarks</t>
  </si>
  <si>
    <t>no real time industry implementation</t>
  </si>
  <si>
    <t>Uses BiLSTM-IPPO to optimize dynamic flexible flow shop scheduling with limited buffers, achieving robust makespan improvements.</t>
  </si>
  <si>
    <t>2025</t>
  </si>
  <si>
    <t>flexible flowshop</t>
  </si>
  <si>
    <t>Advanced DRL architecture for complex dynamic shops</t>
  </si>
  <si>
    <t>Automated real time scheduling decision support</t>
  </si>
  <si>
    <t>BiLSTM feature extractor</t>
  </si>
  <si>
    <t>Focus on plant level simulation</t>
  </si>
  <si>
    <t>3D plant simulation</t>
  </si>
  <si>
    <t>Delta robots, LiDAR</t>
  </si>
  <si>
    <t>KPI based comparison</t>
  </si>
  <si>
    <t>simulation only, do real time deployment</t>
  </si>
  <si>
    <t>Framework for robot-based meal-kit packaging simulation</t>
  </si>
  <si>
    <t>Quantified layout trade-offs via digital simulation</t>
  </si>
  <si>
    <t>no real time decision logic</t>
  </si>
  <si>
    <t>Simulation-driven redesign of a food packaging line using robots.</t>
  </si>
  <si>
    <t>Food or Packaging</t>
  </si>
  <si>
    <t>case study</t>
  </si>
  <si>
    <t>Layout planning</t>
  </si>
  <si>
    <t>Digital twin like 3D plant simulation</t>
  </si>
  <si>
    <t>2025_a_hybrid_moo,_mcgdm,_and_sentiment_analysis_methodologies_for_enhancing_regional_expansion_planning:_a_case_study_luwu_-_indonesia</t>
  </si>
  <si>
    <t>MOO, MCGDM</t>
  </si>
  <si>
    <t>NLP, Optimisation</t>
  </si>
  <si>
    <t>Not manufactruing specific</t>
  </si>
  <si>
    <t>Multi-criteria, qulaitative, quantitative</t>
  </si>
  <si>
    <t>No production focus</t>
  </si>
  <si>
    <t>Integrated framework for regional expansion</t>
  </si>
  <si>
    <t>Decision support model for policy expansion</t>
  </si>
  <si>
    <t>no industrial validation</t>
  </si>
  <si>
    <t>Outside manufacturing scope</t>
  </si>
  <si>
    <t>Strategic policy focus</t>
  </si>
  <si>
    <t>Hybrid decision-making for regional growth planning.</t>
  </si>
  <si>
    <t>Indonesia</t>
  </si>
  <si>
    <t>Regional development</t>
  </si>
  <si>
    <t>Decision Framework</t>
  </si>
  <si>
    <t>Strategic Expansion decision</t>
  </si>
  <si>
    <t>MOO–MCGDM–Sentiment pipeline</t>
  </si>
  <si>
    <t>Core assembly planning problem</t>
  </si>
  <si>
    <t>neural combinatorial optimisation</t>
  </si>
  <si>
    <t>GNN, RL</t>
  </si>
  <si>
    <t>good generalization to new products</t>
  </si>
  <si>
    <t>Offline planning only</t>
  </si>
  <si>
    <t>Learning based ASP framework</t>
  </si>
  <si>
    <t>Data driven alternative to heuristic</t>
  </si>
  <si>
    <t>no real factory validation</t>
  </si>
  <si>
    <t>Neural model for assembly sequence planning.</t>
  </si>
  <si>
    <t>Discrete manufacturing</t>
  </si>
  <si>
    <t>algorithm</t>
  </si>
  <si>
    <t>Assembly planning decisions</t>
  </si>
  <si>
    <t>Sequence decoder</t>
  </si>
  <si>
    <t>Direct bottleneck prediction in production lines</t>
  </si>
  <si>
    <t>Dual spatio-temporal neural network</t>
  </si>
  <si>
    <t>GCN, GRU, attention mechanisms</t>
  </si>
  <si>
    <t>Captures dynamic spatial–temporal dependencies</t>
  </si>
  <si>
    <t>Simulation data only</t>
  </si>
  <si>
    <t>New Dual-BDSTN for bottleneck prediction</t>
  </si>
  <si>
    <t>Improved bottleneck prediction accuracy</t>
  </si>
  <si>
    <t>no real factory deployment</t>
  </si>
  <si>
    <t>Spatio-temporal DL for bottleneck prediction.</t>
  </si>
  <si>
    <t>singapore</t>
  </si>
  <si>
    <t>Manuf systems</t>
  </si>
  <si>
    <t>Predictive modeling method</t>
  </si>
  <si>
    <t>Proactive bottleneck identification</t>
  </si>
  <si>
    <t>Dual GCN–GRU with attention</t>
  </si>
  <si>
    <t>Direct shop-floor scheduling problem</t>
  </si>
  <si>
    <t>GA, MCTS</t>
  </si>
  <si>
    <t>Handles irregular parts &amp; setups</t>
  </si>
  <si>
    <t>Case specific</t>
  </si>
  <si>
    <t>Hybrid GA–MCTS scheduler</t>
  </si>
  <si>
    <t>Better makespan than GA alone</t>
  </si>
  <si>
    <t>No real-time rescheduling</t>
  </si>
  <si>
    <t>Hybrid GA–MCTS for irregular part scheduling.</t>
  </si>
  <si>
    <t>furniture manufacturing</t>
  </si>
  <si>
    <t>Scheduling optimization method</t>
  </si>
  <si>
    <t>Operational scheduling support</t>
  </si>
  <si>
    <t>GA global + MCTS local search</t>
  </si>
  <si>
    <t>2025_a_systematic_review_of_decision_tools_for_process_selection_and_performance_improvement_in_manufacturing</t>
  </si>
  <si>
    <t>Core manufacturing decision review</t>
  </si>
  <si>
    <t>Systematic literature review</t>
  </si>
  <si>
    <t>MCDA, LCA, AI, simulation</t>
  </si>
  <si>
    <t>Clear process-level focus</t>
  </si>
  <si>
    <t>No empirical validation</t>
  </si>
  <si>
    <t>Unified review of decision tools</t>
  </si>
  <si>
    <t>Process-level tool taxonomy</t>
  </si>
  <si>
    <t>37 journal papers reviewed</t>
  </si>
  <si>
    <t>Poor sustainability integration</t>
  </si>
  <si>
    <t>Review of decision tools for manufacturing processes.</t>
  </si>
  <si>
    <t>Process selection decisions</t>
  </si>
  <si>
    <t>Tool comparison</t>
  </si>
  <si>
    <t>2025_adaptive_social_manufacturing:_a_human-centric,_resilient,_and_sustainable_framework_for_advancing_industry_5.0</t>
  </si>
  <si>
    <t xml:space="preserve">Dual SLR, </t>
  </si>
  <si>
    <t>IIOT</t>
  </si>
  <si>
    <t>human centric integration, validation with real case</t>
  </si>
  <si>
    <t>computationally heavy</t>
  </si>
  <si>
    <t>New ASM framework for Industry 5.0</t>
  </si>
  <si>
    <t>Governance+capability model</t>
  </si>
  <si>
    <t>healthcare manufacturer</t>
  </si>
  <si>
    <t>no quantitative performance model</t>
  </si>
  <si>
    <t>Too conceptual; lacks DSS models</t>
  </si>
  <si>
    <t>Framework-only, no scheduling/planning</t>
  </si>
  <si>
    <t>human centric governance framework for sustainable digital manufacturing</t>
  </si>
  <si>
    <t>sweden</t>
  </si>
  <si>
    <t>health care manufacturing</t>
  </si>
  <si>
    <t>conceptual</t>
  </si>
  <si>
    <t>strategic governance</t>
  </si>
  <si>
    <t>adaptive governance framework</t>
  </si>
  <si>
    <t>2025_agentic_workflows_generation_based_on_meta-cognitive_chain-of-thought_guided_monte_carlo_tree_search</t>
  </si>
  <si>
    <t>AI based, not manufactruing</t>
  </si>
  <si>
    <t>not related to manufacturing</t>
  </si>
  <si>
    <t>2025_an_intuitionistic_fuzzy_approach_to_assessing_the_barriers_to_quality_4.0_adoption_in_the_footwear_manufacturing_industry:_implications_for_sustainability_in_emerging_economy</t>
  </si>
  <si>
    <t>IVT2IF–DEMATEL (MCDM)</t>
  </si>
  <si>
    <t>Fuzzy logic, DEMATEL</t>
  </si>
  <si>
    <t>Structured barrier prioritization</t>
  </si>
  <si>
    <t>Survey-based only</t>
  </si>
  <si>
    <t>Barrier ranking for Quality 4.0 adoption</t>
  </si>
  <si>
    <t>Prioritized 16 adoption barriers</t>
  </si>
  <si>
    <t>Expert survey (12 experts)</t>
  </si>
  <si>
    <t>No real factory validation, no algorithmic solution</t>
  </si>
  <si>
    <t>No operational DSS or scheduling contribution</t>
  </si>
  <si>
    <t>strategic level</t>
  </si>
  <si>
    <t>Fuzzy-based prioritization of Q4.0 adoption barriers in footwear sector</t>
  </si>
  <si>
    <t>Bangladesh</t>
  </si>
  <si>
    <t>footwear</t>
  </si>
  <si>
    <t>Barrier taxonomy + ranking</t>
  </si>
  <si>
    <t>strategic adoption</t>
  </si>
  <si>
    <t>IVT2IF-DEMATEL framework</t>
  </si>
  <si>
    <t>2025_analyzing_resilient_performance_of_workers_with_multiple_disturbances_in_production_systems</t>
  </si>
  <si>
    <t>Direct human-resilience modeling in production</t>
  </si>
  <si>
    <t>FRAM</t>
  </si>
  <si>
    <t>FRAM, CPC, Human reliability</t>
  </si>
  <si>
    <t>Quantifies compound disturbances</t>
  </si>
  <si>
    <t>No scheduling optimization</t>
  </si>
  <si>
    <t>FRAM-based simulation for resilient performance</t>
  </si>
  <si>
    <t>Identifies critical CPC factors</t>
  </si>
  <si>
    <t>Case study + semi-quantitative simulation</t>
  </si>
  <si>
    <t>No integration with planning DSS</t>
  </si>
  <si>
    <t>FRAM-based simulation of human resilience under multiple shopfloor disturbances</t>
  </si>
  <si>
    <t>Marine engine manufacturing</t>
  </si>
  <si>
    <t>Human resilience modeling framework</t>
  </si>
  <si>
    <t>Operational resilience support</t>
  </si>
  <si>
    <t>FRAM with expert feedback-loop extension</t>
  </si>
  <si>
    <t>2025_assessing_industry_4.0_readiness:_a_toe-p_framework_for_the_sugar_industry_in_developing_economies</t>
  </si>
  <si>
    <t>TOE extended (TOE-P)</t>
  </si>
  <si>
    <t>Sector-specific framework,adds process dimensions</t>
  </si>
  <si>
    <t>coputationally heavy</t>
  </si>
  <si>
    <t>TOE-P readiness model for sugar sector</t>
  </si>
  <si>
    <t>Extended TOE with process dimension</t>
  </si>
  <si>
    <t>Expert interviews + 4 case studies</t>
  </si>
  <si>
    <t>No real-time implementation</t>
  </si>
  <si>
    <t>No production scheduling or DSS modeling</t>
  </si>
  <si>
    <t>Strategic/assessment level only</t>
  </si>
  <si>
    <t>TOE-P readiness framework for Industry 4.0 adoption in Indian sugar sector</t>
  </si>
  <si>
    <t>india</t>
  </si>
  <si>
    <t>Sugar manufacturing</t>
  </si>
  <si>
    <t>Conceptual readiness framework</t>
  </si>
  <si>
    <t>Strategic readiness assessment</t>
  </si>
  <si>
    <t>Technology Organization Environment Process</t>
  </si>
  <si>
    <t>2025_automating_the_static_and_seismic_design_of_2-d_multistorey_reinforced_concrete_structures_by_using_monte_carlo_tree_search_and_genetic_algorithm</t>
  </si>
  <si>
    <t>MCTS + GA</t>
  </si>
  <si>
    <t>RL, GA</t>
  </si>
  <si>
    <t>Not (civil structural design)</t>
  </si>
  <si>
    <t>Tabula rasa approach</t>
  </si>
  <si>
    <t>High computational cost</t>
  </si>
  <si>
    <t>AI agents for automated RC building design</t>
  </si>
  <si>
    <t>GA/MCTS framework + payoff model</t>
  </si>
  <si>
    <t xml:space="preserve">case study </t>
  </si>
  <si>
    <t>No industrial manufacturing context</t>
  </si>
  <si>
    <t>Civil structural design focus</t>
  </si>
  <si>
    <t>Product/building design stage only</t>
  </si>
  <si>
    <t>GA–MCTS automation of seismic RC building design using cost–GHG payoff</t>
  </si>
  <si>
    <t>italy</t>
  </si>
  <si>
    <t>civil construction</t>
  </si>
  <si>
    <t>AI-driven structural design framework</t>
  </si>
  <si>
    <t>Design-stage optimization</t>
  </si>
  <si>
    <t>Hybrid GA</t>
  </si>
  <si>
    <t>2025_automated_conceptual_design_of_mechanisms_based_on_thompson_sampling_and_monte_carlo_tree_search</t>
  </si>
  <si>
    <t>TS + MCTS (Dirichlet MCTS)</t>
  </si>
  <si>
    <t>MCTS, Thompson Sampling, Bayesian inference</t>
  </si>
  <si>
    <t>No hyperparameter tuning</t>
  </si>
  <si>
    <t>No scheduling/rescheduling</t>
  </si>
  <si>
    <t>D-MCTS for automated mechanism design</t>
  </si>
  <si>
    <t>Outperforms GA, UCT, Greedy</t>
  </si>
  <si>
    <t>No real-time production context</t>
  </si>
  <si>
    <t>Not related to production scheduling or DSS</t>
  </si>
  <si>
    <t>Product conceptual design level</t>
  </si>
  <si>
    <t>TS-guided MCTS for automated conceptual mechanism synthesis</t>
  </si>
  <si>
    <t>Mechanical equipment design</t>
  </si>
  <si>
    <t>AI-based combinatorial search algorithm</t>
  </si>
  <si>
    <t>Design-stage decision support</t>
  </si>
  <si>
    <t>Dirichlet-based MCTS (D-MCTS)</t>
  </si>
  <si>
    <t>2025_can_smart_manufacturing_benchmark_the_complex_landscape_of_global_success?</t>
  </si>
  <si>
    <t>Direct manufacturing cell + scheduling optimization</t>
  </si>
  <si>
    <t>Two-level GA (layout + staffing)</t>
  </si>
  <si>
    <t>GA, adaptive mutation, Matlab GUI</t>
  </si>
  <si>
    <t>Flow-shop scheduling model</t>
  </si>
  <si>
    <t>Limited real factory validation</t>
  </si>
  <si>
    <t>industrial design optimization via IGA</t>
  </si>
  <si>
    <t>Adaptive GA for mixed flow shop</t>
  </si>
  <si>
    <t>Scalability not fully analyzed</t>
  </si>
  <si>
    <t>Adaptive GA for collaborative manufacturing cell and flow-shop scheduling optimization</t>
  </si>
  <si>
    <t>discrete manufacturing</t>
  </si>
  <si>
    <t>Adaptive GA scheduling + cell optimization framework</t>
  </si>
  <si>
    <t>Operational scheduling optimization</t>
  </si>
  <si>
    <t>Two-level adaptive GA architecture</t>
  </si>
  <si>
    <t>2025_complex_network_topology_design_on_technology_collaboration:_small-world_characteristics_for_intelligent_manufacturing</t>
  </si>
  <si>
    <t>Direct intelligent manufacturing network design (factory-level)</t>
  </si>
  <si>
    <t>Topology Network Design (TND), Benders Decomposition (BD)</t>
  </si>
  <si>
    <t>Complex networks, BD</t>
  </si>
  <si>
    <t>Factory-level real case (43-node TCN)</t>
  </si>
  <si>
    <t>Strategic/tactical level only</t>
  </si>
  <si>
    <t>Small-world-based TCN replication model</t>
  </si>
  <si>
    <t>MIP model with clustering + closeness constraints</t>
  </si>
  <si>
    <t>Numerical experiments (50–110 nodes)</t>
  </si>
  <si>
    <t>No production scheduling linkage</t>
  </si>
  <si>
    <t>Small world constrained topology design for scalable intelligent manufacturing collaboration networks</t>
  </si>
  <si>
    <t>Discrete manufacturing (home appliances)</t>
  </si>
  <si>
    <t>Network-structured intelligent manufacturing design model</t>
  </si>
  <si>
    <t>Strategic/tactical architecture planning</t>
  </si>
  <si>
    <t>Small-world-constrained TND + BD decomposition</t>
  </si>
  <si>
    <t>Direct layout optimization for smart remanufacturing</t>
  </si>
  <si>
    <t>FE-UA-FLP (MILP reformulation)</t>
  </si>
  <si>
    <t>MILP, Metaheuristics, Smart systems, Data-driven modeling</t>
  </si>
  <si>
    <t>Fixed-dimension layout model, Real industrial case (alternator plant)</t>
  </si>
  <si>
    <t>2D only, Flow-shop assumption</t>
  </si>
  <si>
    <t>Flexible-envelope UA-FLP for smart remanufacturing</t>
  </si>
  <si>
    <t>Metaheuristic-based fast layout generation</t>
  </si>
  <si>
    <t>Limited high-mix/job shop extension</t>
  </si>
  <si>
    <t>Data-driven flexible-envelope layout optimization for smart remanufacturing with metaheuristic search</t>
  </si>
  <si>
    <t>Remanufacturing</t>
  </si>
  <si>
    <t>Adaptive layout optimization framework</t>
  </si>
  <si>
    <t>Operational layout reconfiguration</t>
  </si>
  <si>
    <t>metaheuristic engine + updatable interaction matrix</t>
  </si>
  <si>
    <t>2025_decision_support_within_digital_twins_in_manufacturing_ecosystems:_a_review</t>
  </si>
  <si>
    <t>Core review on DT–DSS integration in manufacturing</t>
  </si>
  <si>
    <t>Systematic Literature Review</t>
  </si>
  <si>
    <t>Digital Twins, DSS</t>
  </si>
  <si>
    <t>Explicit DT–DSS integration focus</t>
  </si>
  <si>
    <t>Conceptual synthesis only</t>
  </si>
  <si>
    <t>Comprehensive review of DT-based Decision Support in Manufacturing Ecosystems</t>
  </si>
  <si>
    <t>Decision-type taxonomy (planning, maintenance, scheduling)</t>
  </si>
  <si>
    <t>157 full-text articles</t>
  </si>
  <si>
    <t>Limited real automated feedback loops</t>
  </si>
  <si>
    <t>Systematic review of Decision Support integration within Digital Twins for manufacturing planning, scheduling, and maintenance</t>
  </si>
  <si>
    <t>Spain+Germany collaboration (EU context)</t>
  </si>
  <si>
    <t>Manufacturing ecosystems</t>
  </si>
  <si>
    <t>State-of-the-art synthesis + integration gaps</t>
  </si>
  <si>
    <t>Strategic, tactical, and operational decision support</t>
  </si>
  <si>
    <t>Closed loop DT DSS conceptual architecture</t>
  </si>
  <si>
    <t>2025_discrete_event_simulation:_a_behavior_modeling_framework_for_evaluating_production_schedules</t>
  </si>
  <si>
    <t>Direct schedule evaluation via DES + DT</t>
  </si>
  <si>
    <t>KPI-based comparison</t>
  </si>
  <si>
    <t>Framework-level only</t>
  </si>
  <si>
    <t>Unified DES-based behavior modeling framework for schedule evaluation</t>
  </si>
  <si>
    <t>Evaluation metrics (MSE, MAE, KPIs)</t>
  </si>
  <si>
    <t>No case study validation</t>
  </si>
  <si>
    <t>DES-based digital twin framework for evaluating production schedules using event logs and KPI comparison</t>
  </si>
  <si>
    <t xml:space="preserve">Manufacturing and logistics </t>
  </si>
  <si>
    <t>Generalized DT–DES schedule evaluation framework</t>
  </si>
  <si>
    <t>Schedule evaluation &amp; performance analysis</t>
  </si>
  <si>
    <t>PN-assisted DES digital twin + KPI evaluation loop</t>
  </si>
  <si>
    <t>2025_dynamic_flexible_flow_shop_scheduling_via_cross-attention_networks_and_multi-agent_reinforcement_learning</t>
  </si>
  <si>
    <t>Direct dynamic flexible flow shop scheduling (DFFSP)</t>
  </si>
  <si>
    <t>Multi-Agent RL (IPPO)</t>
  </si>
  <si>
    <t>DRL, PPO Ghantt chart</t>
  </si>
  <si>
    <t>Explicit dynamic scheduling</t>
  </si>
  <si>
    <t>No digital twin integration, synthetic instances only</t>
  </si>
  <si>
    <t>Cross-attention MARL for DFFSP</t>
  </si>
  <si>
    <t>Dual-agent (job + machine) IPPO, Gantt-chart state encoding</t>
  </si>
  <si>
    <t>Static + dynamic synthetic instances</t>
  </si>
  <si>
    <t>No explainability</t>
  </si>
  <si>
    <t>Multi-agent DRL with cross-attention for dynamic flexible flow shop scheduling</t>
  </si>
  <si>
    <t>china + sweden</t>
  </si>
  <si>
    <t>Attention-based MARL scheduling framework</t>
  </si>
  <si>
    <t>Operational real-time scheduling</t>
  </si>
  <si>
    <t>Dual-agent IPPO + multi-head cross-attention</t>
  </si>
  <si>
    <t>Technological sustainability assessment at organizational supply-chain level (not scheduling-focused)</t>
  </si>
  <si>
    <t>Life Cycle Thinking alignment</t>
  </si>
  <si>
    <t>Clear technological sustainability dimension</t>
  </si>
  <si>
    <t>Limited prescriptive analytics</t>
  </si>
  <si>
    <t>Organizational Technological Sustainability Assessment (O-TSA)</t>
  </si>
  <si>
    <t>Three-dimension framework (IOA, OP, TQ)</t>
  </si>
  <si>
    <t>conceptual mention only</t>
  </si>
  <si>
    <t>Data-driven composite index framework to assess and monitor technological sustainability in manufacturing supply chains</t>
  </si>
  <si>
    <t>Ceramic manufacturing supply chain</t>
  </si>
  <si>
    <t>Organizational-level technological sustainability index</t>
  </si>
  <si>
    <t>Strategic performance assessment</t>
  </si>
  <si>
    <t>Three-dimension hierarchical weighted index</t>
  </si>
  <si>
    <t>2025_from_human-related_to_human-centric:_a_review_of_shop_floor_scheduling_problem_under_industry_5.0</t>
  </si>
  <si>
    <t>Human-centric scheduling review</t>
  </si>
  <si>
    <t>Clear human-factor taxonomy</t>
  </si>
  <si>
    <t>Conceptual-heavy</t>
  </si>
  <si>
    <t>Human-Centric Shop Floor Scheduling (HCSFS) framework</t>
  </si>
  <si>
    <t>Gap analysis of human factors integration</t>
  </si>
  <si>
    <t>Too conceptual</t>
  </si>
  <si>
    <t>Not layout-oriented</t>
  </si>
  <si>
    <t>Conceptual review on human-centric scheduling under Industry 5.0; lacks layout and HMLV decision support focus.</t>
  </si>
  <si>
    <t>Direct FSMS configuration planning</t>
  </si>
  <si>
    <t>Graph Diffusion</t>
  </si>
  <si>
    <t>Demand-driven configuration generation</t>
  </si>
  <si>
    <t>High model complexity</t>
  </si>
  <si>
    <t>Hybrid Graph-Diffusion generative planning for FSMS</t>
  </si>
  <si>
    <t>Constraint-aware discrete diffusion for layout generation</t>
  </si>
  <si>
    <t>Explainability of diffusion decisions limited</t>
  </si>
  <si>
    <t>Hybrid graph-based discrete diffusion model for demand-driven flexible manufacturing layout and robot allocation planning with ICC-guided refinement.</t>
  </si>
  <si>
    <t>Flexible Smart Manufacturing Systems (FSMS)</t>
  </si>
  <si>
    <t>Hybrid graph-diffusion generative layout planning model</t>
  </si>
  <si>
    <t>Demand-driven system configuration</t>
  </si>
  <si>
    <t>Discrete Diffusion</t>
  </si>
  <si>
    <t>Direct adaptive task allocation DSS at shopfloor level</t>
  </si>
  <si>
    <t>CNN + DDQN</t>
  </si>
  <si>
    <t>Deep Learning</t>
  </si>
  <si>
    <t>Closed-loop adaptive control</t>
  </si>
  <si>
    <t>Simulation-only</t>
  </si>
  <si>
    <t>Hybrid DL–RL adaptive HRC task allocation</t>
  </si>
  <si>
    <t>CNN-based fatigue estimation</t>
  </si>
  <si>
    <t>No real factory validation</t>
  </si>
  <si>
    <t>Hybrid CNN–DDQN framework for fatigue-aware adaptive human-robot task allocation using digital twin simulation.</t>
  </si>
  <si>
    <t>Hybrid DL–RL human-aware allocation model</t>
  </si>
  <si>
    <t>Operational adaptive task allocation</t>
  </si>
  <si>
    <t>Digital twin feedback loop</t>
  </si>
  <si>
    <t>2025_integrating_production_planning_in_collaborative_manufacturing:_systematic_literature_review,_and_future_research_direction</t>
  </si>
  <si>
    <t>Production Planning integration</t>
  </si>
  <si>
    <t>Systematic Literature Review (SLR)</t>
  </si>
  <si>
    <t>Optimization models</t>
  </si>
  <si>
    <t>Decision-level classification</t>
  </si>
  <si>
    <t>Conceptual</t>
  </si>
  <si>
    <t>decision level + methods</t>
  </si>
  <si>
    <t>Classification by decision level &amp; modeling</t>
  </si>
  <si>
    <t>Weak performance measurement focus</t>
  </si>
  <si>
    <t>SLR identifying integration gaps between collaborative manufacturing and production planning across decision levels.</t>
  </si>
  <si>
    <t>multi-industry review</t>
  </si>
  <si>
    <t>Taxonomy and integration roadmap for CM–PP</t>
  </si>
  <si>
    <t>Strategic and operational planning support in collaborative networks</t>
  </si>
  <si>
    <t>SLR classification framework</t>
  </si>
  <si>
    <t>2025_intelligent_workload_optimisation_based_on_a_protocol-fused_cloud_robotics_physical_framework_with_integrated_multi-sensors</t>
  </si>
  <si>
    <t>not available</t>
  </si>
  <si>
    <t>MILP, ISA</t>
  </si>
  <si>
    <t>Evaluation</t>
  </si>
  <si>
    <t>(1) Address job shop scheduling problem with a dual-gripper robot (2) Propose two MILP models (3) Develop improved simulated annealing (ISA) algo. (4) Validate performance through computational experiments.</t>
  </si>
  <si>
    <t>Address the job shop scheduling problem in a bufferless job shop environment, in which multiple job types are served by a dual-gripper robot.</t>
  </si>
  <si>
    <t>JSS</t>
  </si>
  <si>
    <t>2025_modelling_and_computational_simulation_of_operations_and_queue_systems_in_a_supermarket</t>
  </si>
  <si>
    <t>Focus on supermarket</t>
  </si>
  <si>
    <t>2025_multi-channel_real-time_access_with_starvation_avoidance_for_heterogeneous_data_in_smart_factories</t>
  </si>
  <si>
    <t>2025_non-cyclic_scheduling_of_single-armed_cluster_tools_for_processing_two_wafer_types</t>
  </si>
  <si>
    <t>2025_optimizing_integrated_distributed_flexible_job-shop_scheduling_and_customer_order_delivery</t>
  </si>
  <si>
    <t>2025_optimizing_printing_processes_with_mcts</t>
  </si>
  <si>
    <t>The paper looks at automation of sheet imposition (i.e. optimizing printing)</t>
  </si>
  <si>
    <t>2025_out-of-order_architecture_for_real-time_data-driven_resilient_planning_and_scheduling_of_cyber-physical_manufacturing_systems</t>
  </si>
  <si>
    <t>Discrete-event simulation, predictive model-based multi-objective optimization (PMB-MOO)</t>
  </si>
  <si>
    <t>ML, DES</t>
  </si>
  <si>
    <t>Propose a predictive model-based multi-objective optimization (PMB-MOO) approach to address Hybrid flow shops buffer and resource allocation (HFS-B&amp;RA).</t>
  </si>
  <si>
    <t>The study addresses buffer and resource allocation (B&amp;RA) in high-mix, low-volume hybrid flow shops (HFSs) with feed-forward quality inspection</t>
  </si>
  <si>
    <t>Marine engine production</t>
  </si>
  <si>
    <t>Buffer and resource allocation</t>
  </si>
  <si>
    <t>2025_preliminary_monitoring_and_observation_of_fuel_cell_temperature_characteristics_by_using_nicr-nisi_thin-film_thermocouple</t>
  </si>
  <si>
    <t>2025_product_design_and_development_in_the_digital_era</t>
  </si>
  <si>
    <t>Review</t>
  </si>
  <si>
    <t>2025_scheduling_cluster_tools_for_concurrent_processing:_deep_reinforcement_learning_with_adaptive_search</t>
  </si>
  <si>
    <t>2025_scheduling_single-arm_cluster_tools_with_an_equipment_front-end_module_subject_to_wafer_residency_time_constraints</t>
  </si>
  <si>
    <t>2025_simulation-based_knowledge-driven_optimization_for_efficient_production_sequencing_in_hybrid_flow_shops</t>
  </si>
  <si>
    <t>2025_transfer_line_balancing_problem:_a_comprehensive_review,_classification,_and_research_avenues</t>
  </si>
  <si>
    <t>About high-volume production</t>
  </si>
  <si>
    <t>2025_virtual_reconstruction-based_digital_twin_shop_floor:_theoretical_methodology,_industrial_software,_and_applications</t>
  </si>
  <si>
    <t>2024_a_toolchain_for_automated_control_and_simulation_of_robot_teams_in_carbon-fiber-reinforced_polymers_production</t>
  </si>
  <si>
    <t>Not HMLV nor decision support</t>
  </si>
  <si>
    <t>2024</t>
  </si>
  <si>
    <t>2024_a_framework_for_data-driven_decision_making_in_advanced_manufacturing_systems:_development_and_implementation</t>
  </si>
  <si>
    <t>Not HMLV (but strong seems 'strong' on decision support)</t>
  </si>
  <si>
    <t>2024_a_structured_digital_twinning_approach_to_improve_decision-making_in_manufacturing_smes</t>
  </si>
  <si>
    <t>2024_application_of_autonomous_mobile_robot_as_a_substitute_for_human_factor_in_order_to_increase_efficiency_and_safety_in_a_company</t>
  </si>
  <si>
    <t>Not HMLV, weak decision support</t>
  </si>
  <si>
    <t>2024_augmenting_monte_carlo_tree_search_for_managing_service_level_agreements</t>
  </si>
  <si>
    <t>2024_balancing_and_scheduling_of_sustainable_flexible_transfer_lines</t>
  </si>
  <si>
    <t>Data cleaning, reccomendation system</t>
  </si>
  <si>
    <t xml:space="preserve">Database, Machine Learning, </t>
  </si>
  <si>
    <t>The paper identifies issues with manufacturing data and proposes a method for dealing with that and  builds a system to give good reccomendations</t>
  </si>
  <si>
    <t>The figures are really bad and it is kind of difficult to understand what it is the system is acutally reccomending to the users and how it is doing it and how it is traiend etc.</t>
  </si>
  <si>
    <t>Building a valuable system for a company and sharing their methodology</t>
  </si>
  <si>
    <t xml:space="preserve">Talking about something other than scheduling </t>
  </si>
  <si>
    <t xml:space="preserve">No comparison with other works which makes sense since it is specialized system </t>
  </si>
  <si>
    <t>yes*</t>
  </si>
  <si>
    <t>This paper talk about building a reccomendation system based on the data that a specific company has stored in their database. The paper is really hard to understand and is not the best quality. It is only accepted because it is a bit unique in a sense.</t>
  </si>
  <si>
    <t>Aluminium components</t>
  </si>
  <si>
    <t>process parameters reccomendation</t>
  </si>
  <si>
    <t>framework</t>
  </si>
  <si>
    <t>2024_design_and_implementation_of_prefabricated_box_flexible_loading_system_based_on_cooperative_robot</t>
  </si>
  <si>
    <t>not about manufacturing</t>
  </si>
  <si>
    <t>Multi agent systems, flexible manufacturing systems</t>
  </si>
  <si>
    <t>Simple paper which is relativly easy to understand, has good explainations, graphics and flow. Has a more unique use cases and methodology. It is in a sence a scheduling paper but not in the sense that they create a schedule and execute it</t>
  </si>
  <si>
    <t xml:space="preserve">Does not provide a lot of implementation details </t>
  </si>
  <si>
    <t>Building a multi agent system for flexible manufacturing</t>
  </si>
  <si>
    <t>Demonstration of how to build a system in simulation</t>
  </si>
  <si>
    <t xml:space="preserve">Case strudy (simulated) </t>
  </si>
  <si>
    <t>Compares with its own baseline</t>
  </si>
  <si>
    <t xml:space="preserve">This paper talks about the process of building a mult agent system for flexible manufactuing line where there are essentially multiple stations where the material can go for processing and the authors try to optimize the machine utilization </t>
  </si>
  <si>
    <t>multi agent systems</t>
  </si>
  <si>
    <t>2024_ensuring_green_production_with_less_co2_emission_with_a_digital_twin_based_scheduling_system</t>
  </si>
  <si>
    <t xml:space="preserve">it is not detailed enought for my to understand, it is basically just an conceptual paper (but with some implementation that is just not clear enough) </t>
  </si>
  <si>
    <t>2024_fuzzy_modeling_and_characterization_of_mechanical_and_biological_properties_of_a_selective_laser_melting_shape:_a_comprehensive_study</t>
  </si>
  <si>
    <t>2024_interpretability_of_rectangle_packing_solutions_with_monte_carlo_tree_search</t>
  </si>
  <si>
    <t xml:space="preserve">This paper talks about balancing energy consumption and productivity, and comes with a solution that brings down the energy usage of a company by a lot while only making a small compromise in terms of productivit </t>
  </si>
  <si>
    <t>Developing a scheduling method for balancing enegy consumption and productivity</t>
  </si>
  <si>
    <t>This paper talks about creating a scheduling strategy for balancing energy consumption and throughput which are two contradictive KPIs.</t>
  </si>
  <si>
    <t>Germany/Sweden</t>
  </si>
  <si>
    <t>sceduling</t>
  </si>
  <si>
    <t>CPU architecture inspiration</t>
  </si>
  <si>
    <t>Really interesting idea and quite novel to take a largely solved problem (CPU) architecture, and use that as inspiration to make a manufacturing line.</t>
  </si>
  <si>
    <t>Unsure if this is geenraly useful for all types of manufacturing systems</t>
  </si>
  <si>
    <t>Using OoO CPU architecture style to create a manufacturing plant layout that is optimized for tackling uncertanties in production</t>
  </si>
  <si>
    <t>This paper talks about using the out-of-order CPU architecture as inspiration for making a manufacturing plant setup that is optimized for dealing with uncertainties such as machine breakdown, arrival of new order etc.</t>
  </si>
  <si>
    <t>plant layout</t>
  </si>
  <si>
    <t>2024_performance_analysis_of_multi-tote_storage_and_retrieval_autonomous_mobile_robot_systems</t>
  </si>
  <si>
    <t>it is about warehousing</t>
  </si>
  <si>
    <t>2024_policy_making_to_encourage_platform_thinking_in_manufacturing:_a_system_dynamics-based_multi-objective_optimization_approach</t>
  </si>
  <si>
    <t>conceptual paper</t>
  </si>
  <si>
    <t>2024_quantum-inspired_computing_technology_in_operations_and_logistics_management</t>
  </si>
  <si>
    <t>2024_recent_progress_in_data-driven_intelligent_modeling_and_optimization_algorithms_for_industrial_processes</t>
  </si>
  <si>
    <t>3 page editorial</t>
  </si>
  <si>
    <t>2024_smart_industrial_information_integration:_a_lightweight_privacy_protection_model_in_an_intelligent_manufacturing_architecture</t>
  </si>
  <si>
    <t>only avaliable upon request</t>
  </si>
  <si>
    <t>2024_the_implications_of_integrating_artificial_intelligence_into_data-driven_decision-making</t>
  </si>
  <si>
    <t>literature review</t>
  </si>
  <si>
    <t>2023_a_novel_porous_bone_scaffold_made_with_3d_bioprinter_using_carboxymethyl_chitosan-hyaluronic_acid_for_knee_repair:_mechanical_and_chemical_properties</t>
  </si>
  <si>
    <t>2023</t>
  </si>
  <si>
    <t>2023_a_smart_sustainable_decision_support_system_for_water_management_of_power_plants_in_water_stress_regions</t>
  </si>
  <si>
    <t>2023_an_introduction_to_human_resources_for_development_and_innovation,_science_transformation_into_industry_infrastructure_by_china’s_new_universities:_a_case_study_of_green_materials</t>
  </si>
  <si>
    <t>2023_evaluation_of_metal_concentration_(hg,_zn,_cu,_co,_sn,_ag,_cr_and_ni)_in_influent_&amp;_effluent_water_of_dental_clinics'_units</t>
  </si>
  <si>
    <t>2023_fabrication_and_evaluation_of_3d_bio-scaffold_wound_dressings_for_monitoring_of_chronic_ph_wounds_using_fuzzy_logic_analysis</t>
  </si>
  <si>
    <t>2023_global_criterion_optimization_method_for_improving_the_porosity_of_porous_scaffolds_containing_magnetic_nanoparticles:_fabrication_and_finite_element_analysis</t>
  </si>
  <si>
    <t>2023_investigation_of_addition_of_calcium_phosphate_ceramic_to_multilayer_scaffold_for_bone_applications_with_improved_mechanical_properties:_fuzzy_logic_analysis</t>
  </si>
  <si>
    <t>2023_multi-uav_urban_logistics_task_allocation_method_based_on_mcts</t>
  </si>
  <si>
    <t>2023_research_on_human_gesture_recognition_technology_based_on_svm</t>
  </si>
  <si>
    <t>automated guided vehicles</t>
  </si>
  <si>
    <t>Knowledgeble paper about AGV utiliaztion</t>
  </si>
  <si>
    <t>Making a method that optimizes the usage of AGVs in smart manufacturing</t>
  </si>
  <si>
    <t>This paper talks about finding the optimal AGV configuration to achieve the shortest path to deliver materials to produciton units when needed and reducing the amount of redunant AGVs</t>
  </si>
  <si>
    <t>2023_throughput_optimisation_in_reentrant_circular_regular_robot_cells</t>
  </si>
  <si>
    <t>only available upon request</t>
  </si>
  <si>
    <t>2022_a_fuzzy_analysis_for_porous_bioceramic-magnetite_nanoparticles-zirconia_scaffold_prepared_by_space_holder_technique_with_poly_vinyl_pyrrolidone_(pvp)_coating:_investigation_of_mechanical_and_biological_properties</t>
  </si>
  <si>
    <t>2022</t>
  </si>
  <si>
    <t>2022_a_multi-criteria_approach_to_designing_and_managing_a_renewable_energy_community</t>
  </si>
  <si>
    <t>2022_an_empirical_study_about_the_relationship_between_lean_management_and_industry_4.0</t>
  </si>
  <si>
    <t>2022_blockchain_applications_in_uav-towards_aviation_4.0</t>
  </si>
  <si>
    <t>2022_effect_of_addition_of_layered_double_hydroxides_(ldh)_on_mechanical_and_biological_properties_of_electrospun_polycaprolactone_scaffold</t>
  </si>
  <si>
    <t>2022_fabrication_and_characterization_of_chitosan/gelatin_scaffold_with_bioactive_glass_reinforcement_using_prp_to_regenerate_bone_tissue</t>
  </si>
  <si>
    <t>2022_fabrication_and_characterization_of_synthesized_hydroxyapatite/ethanolamine_for_bone_tissue_engineering_application</t>
  </si>
  <si>
    <t>2022_how_environmentally_sustainable_is_the_on-going_industrial_digitalization?_global_trends_and_a_swedish_perspective</t>
  </si>
  <si>
    <t xml:space="preserve">Autonumous moblie robots, </t>
  </si>
  <si>
    <t>Interesting and novel usage of AMRs to handle material flow between stations. Conducts thorough analysis of when AMRs are suitable for production to increase productivity, flexibility, and ablility to produce HMLV products.</t>
  </si>
  <si>
    <t>No demonstration</t>
  </si>
  <si>
    <t>Making an analytical framework for assessing the successful implementation of AMRs in production and the benefits of doing so</t>
  </si>
  <si>
    <t>Analytical</t>
  </si>
  <si>
    <t>This paper talks about using AMRs as conveyer belts to move materials from one station to the other. The paper proposes an analytical way to assses the benefits of using AMRs in this way.</t>
  </si>
  <si>
    <t>2022_intelligent_warehouse_robot_scheduling_system_using_a_modified_nondominated_sorting_algorithm</t>
  </si>
  <si>
    <t>2022_intelligent_and_fuzzy_uav_transportation_applications_in_aviation_4.0</t>
  </si>
  <si>
    <t>2022_investigating_the_performance_of_tricalcium_phosphate_bioceramic_reinforced_with_titanium_nanoparticles_in_friction_stir_welding_for_coating_of_orthopedic_prostheses_application</t>
  </si>
  <si>
    <t>2022_investigation_of_the_behavior_of_different_ni-ti_dental_files_and_chemical_mechanical_behavior_using_finite_element_analysis</t>
  </si>
  <si>
    <t>2022_porous_scaffold_preparation_analysis_for_knee_joint_using_chitosan-polyvinyl_alcohol-hydroxyapatite_nanoparticles_under_fuzzy_uncertainty</t>
  </si>
  <si>
    <t>2022_urban_planning_and_design_layout_generation_based_on_artificial_intelligence</t>
  </si>
  <si>
    <t>2021_a_porous_sodium_alginate-casio3_polymer_reinforced_with_graphene_nanosheet:_fabrication_and_optimality_analysis</t>
  </si>
  <si>
    <t>2021</t>
  </si>
  <si>
    <t>2021_an_intelligent_actuator_of_an_indoor_logistics_system_based_on_multi-sensor_fusion</t>
  </si>
  <si>
    <t>automated guided vehivles</t>
  </si>
  <si>
    <t xml:space="preserve">3D simulations, </t>
  </si>
  <si>
    <t xml:space="preserve">Cool paper talking about how to transition from manually moving crates around using forklifts to using AMRs instaead to decrease the workload on the humans. </t>
  </si>
  <si>
    <t>Unclear how to approach has been applied</t>
  </si>
  <si>
    <t>Using 3D simulations to plan the transition from manual transportation of parts to automated</t>
  </si>
  <si>
    <t>Food production</t>
  </si>
  <si>
    <t>2020_optimal_capacity_and_operation_design_of_a_robot_logistics_system_for_the_hotel_industry</t>
  </si>
  <si>
    <t>2020</t>
  </si>
  <si>
    <t>2020_scheduling_mobile_robots_in_flexible_manufacturing_system_by_an_adaptive_large_neighborhood_search</t>
  </si>
  <si>
    <t>2020_synergic_effects_of_magnetic_nanoparticles_on_hyperthermia-based_therapy_and_controlled_drug_delivery_for_bone_substitute_application</t>
  </si>
  <si>
    <t>2019_hybrid_optimisation_approach_for_sequencing_and_assignment_decision-making_in_reconfigurable_assembly_lines</t>
  </si>
  <si>
    <t>2019</t>
  </si>
  <si>
    <t>2019_multi-mobile_robots_and_multi-trips_feeding_scheduling_problem_in_smart_manufacturing_system:_an_improved_hybrid_genetic_algorithm</t>
  </si>
  <si>
    <t>2019_process_sequencing_for_a_pick-and-place_robot_in_a_real-life_flexible_robotic_cell</t>
  </si>
  <si>
    <t>2019_time_minimization_in_flexible_robotic_cells_considering_intermediate_input_buffers:_a_comparative_study_of_three_well-known_problems</t>
  </si>
  <si>
    <t>too specific problem</t>
  </si>
  <si>
    <t>2018_a_mathematical_model_and_simulated_annealing_algorithm_for_solving_the_cyclic_scheduling_problem_of_a_flexible_robotic_cell</t>
  </si>
  <si>
    <t>2018</t>
  </si>
  <si>
    <t>2018_a_novel_competitive_hybrid_approach_based_on_grouping_evolution_strategy_algorithm_for_solving_u-shaped_assembly_line_balancing_problems</t>
  </si>
  <si>
    <t>2018_trade-off_between_process_scheduling_and_production_cost_in_cyclic_flexible_robotic_cells</t>
  </si>
</sst>
</file>

<file path=xl/styles.xml><?xml version="1.0" encoding="utf-8"?>
<styleSheet xmlns="http://schemas.openxmlformats.org/spreadsheetml/2006/main" xmlns:x14ac="http://schemas.microsoft.com/office/spreadsheetml/2009/9/ac" xmlns:mc="http://schemas.openxmlformats.org/markup-compatibility/2006">
  <fonts count="105">
    <font>
      <sz val="11.0"/>
      <color theme="1"/>
      <name val="Verdana"/>
      <scheme val="minor"/>
    </font>
    <font>
      <b/>
      <sz val="12.0"/>
      <color rgb="FF000000"/>
      <name val="Calibri"/>
    </font>
    <font/>
    <font>
      <b/>
      <color theme="1"/>
      <name val="Verdana"/>
      <scheme val="minor"/>
    </font>
    <font>
      <sz val="12.0"/>
      <color rgb="FF000000"/>
      <name val="Calibri"/>
    </font>
    <font>
      <color theme="1"/>
      <name val="Verdana"/>
      <scheme val="minor"/>
    </font>
    <font>
      <sz val="11.0"/>
      <color theme="1"/>
      <name val="Calibri"/>
    </font>
    <font>
      <sz val="16.0"/>
      <color theme="1"/>
      <name val="Verdana"/>
      <scheme val="minor"/>
    </font>
    <font>
      <sz val="11.0"/>
      <color rgb="FF000000"/>
      <name val="Calibri"/>
    </font>
    <font>
      <b/>
      <sz val="11.0"/>
      <color rgb="FF000000"/>
      <name val="Calibri"/>
    </font>
    <font>
      <b/>
      <sz val="11.0"/>
      <color theme="1"/>
      <name val="Calibri"/>
    </font>
    <font>
      <color rgb="FF1F1F1F"/>
      <name val="ElsevierGulliver"/>
    </font>
    <font>
      <b/>
      <sz val="11.0"/>
      <color rgb="FFFF0000"/>
      <name val="Calibri"/>
    </font>
    <font>
      <b/>
      <sz val="11.0"/>
      <color rgb="FFFFC000"/>
      <name val="Calibri"/>
    </font>
    <font>
      <b/>
      <sz val="11.0"/>
      <color rgb="FF434343"/>
      <name val="Calibri"/>
    </font>
    <font>
      <u/>
      <color rgb="FF0000FF"/>
    </font>
    <font>
      <u/>
      <color rgb="FF0000FF"/>
    </font>
    <font>
      <u/>
      <sz val="11.0"/>
      <color rgb="FF000000"/>
      <name val="Calibri"/>
    </font>
    <font>
      <color rgb="FFEA9999"/>
      <name val="Verdana"/>
      <scheme val="minor"/>
    </font>
    <font>
      <u/>
      <color rgb="FF0000FF"/>
    </font>
    <font>
      <u/>
      <color rgb="FF0000FF"/>
    </font>
    <font>
      <u/>
      <sz val="11.0"/>
      <color rgb="FF0000FF"/>
      <name val="Calibri"/>
    </font>
    <font>
      <u/>
      <sz val="11.0"/>
      <color rgb="FF000000"/>
      <name val="Calibri"/>
    </font>
    <font>
      <u/>
      <sz val="11.0"/>
      <color rgb="FF000000"/>
      <name val="Calibri"/>
    </font>
    <font>
      <color rgb="FF000000"/>
      <name val="Verdana"/>
      <scheme val="minor"/>
    </font>
    <font>
      <u/>
      <color rgb="FF0000FF"/>
    </font>
    <font>
      <u/>
      <color rgb="FF0000FF"/>
    </font>
    <font>
      <u/>
      <sz val="11.0"/>
      <color rgb="FF0000FF"/>
      <name val="Calibri"/>
    </font>
    <font>
      <u/>
      <color rgb="FF0000FF"/>
      <name val="Verdana"/>
      <scheme val="minor"/>
    </font>
    <font>
      <u/>
      <color rgb="FF0000FF"/>
    </font>
    <font>
      <u/>
      <color rgb="FF0000FF"/>
    </font>
    <font>
      <color theme="1"/>
      <name val="Calibri"/>
    </font>
    <font>
      <u/>
      <sz val="11.0"/>
      <color rgb="FF0000FF"/>
      <name val="Calibri"/>
    </font>
    <font>
      <u/>
      <sz val="11.0"/>
      <color rgb="FF0000FF"/>
      <name val="Calibri"/>
    </font>
    <font>
      <u/>
      <sz val="11.0"/>
      <color rgb="FF0000FF"/>
      <name val="Calibri"/>
    </font>
    <font>
      <u/>
      <sz val="11.0"/>
      <color rgb="FF000000"/>
      <name val="Calibri"/>
    </font>
    <font>
      <u/>
      <sz val="11.0"/>
      <color rgb="FF000000"/>
      <name val="Calibri"/>
    </font>
    <font>
      <sz val="11.0"/>
      <color rgb="FF000000"/>
      <name val="Verdana"/>
      <scheme val="minor"/>
    </font>
    <font>
      <u/>
      <sz val="11.0"/>
      <color rgb="FF0000FF"/>
      <name val="Calibri"/>
    </font>
    <font>
      <u/>
      <sz val="11.0"/>
      <color rgb="FF0000FF"/>
      <name val="Calibri"/>
    </font>
    <font>
      <u/>
      <sz val="11.0"/>
      <color rgb="FF0000FF"/>
      <name val="Calibri"/>
    </font>
    <font>
      <u/>
      <sz val="11.0"/>
      <color rgb="FF0000FF"/>
      <name val="Calibri"/>
    </font>
    <font>
      <sz val="11.0"/>
      <color theme="1"/>
      <name val="Verdana"/>
    </font>
    <font>
      <u/>
      <color rgb="FF27278B"/>
    </font>
    <font>
      <u/>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font>
    <font>
      <color rgb="FF424242"/>
      <name val="Verdana"/>
      <scheme val="minor"/>
    </font>
    <font>
      <u/>
      <color theme="1"/>
    </font>
    <font>
      <u/>
      <color theme="1"/>
    </font>
    <font>
      <u/>
      <color theme="1"/>
    </font>
    <font>
      <u/>
      <sz val="11.0"/>
      <color theme="1"/>
      <name val="Calibri"/>
    </font>
    <font>
      <u/>
      <sz val="11.0"/>
      <color rgb="FF0000FF"/>
      <name val="Calibri"/>
    </font>
    <font>
      <sz val="11.0"/>
      <color rgb="FF424242"/>
      <name val="Verdana"/>
      <scheme val="minor"/>
    </font>
    <font>
      <u/>
      <sz val="11.0"/>
      <color rgb="FF0000FF"/>
      <name val="Calibri"/>
    </font>
    <font>
      <u/>
      <sz val="11.0"/>
      <color rgb="FF0000FF"/>
      <name val="Calibri"/>
    </font>
    <font>
      <u/>
      <sz val="11.0"/>
      <color rgb="FF0000FF"/>
      <name val="Calibri"/>
    </font>
    <font>
      <b/>
      <sz val="12.0"/>
      <color rgb="FF8890A1"/>
      <name val="Arial"/>
    </font>
    <font>
      <color rgb="FF666666"/>
      <name val="Arial"/>
    </font>
    <font>
      <b/>
      <sz val="11.0"/>
      <color rgb="FF1F1F1F"/>
      <name val="Calibri"/>
    </font>
    <font>
      <sz val="11.0"/>
      <color rgb="FF1155CC"/>
      <name val="Calibri"/>
    </font>
    <font>
      <strike/>
      <sz val="11.0"/>
      <color theme="1"/>
      <name val="Calibri"/>
    </font>
    <font>
      <u/>
      <sz val="11.0"/>
      <color rgb="FF000000"/>
      <name val="Calibri"/>
    </font>
    <font>
      <sz val="11.0"/>
      <color rgb="FF999999"/>
      <name val="Calibri"/>
    </font>
    <font>
      <sz val="11.0"/>
      <color rgb="FF999999"/>
      <name val="Arial"/>
    </font>
    <font>
      <u/>
      <color rgb="FF0000FF"/>
      <name val="Verdana"/>
      <scheme val="minor"/>
    </font>
    <font>
      <sz val="10.0"/>
      <color rgb="FF000000"/>
      <name val="Arial"/>
    </font>
    <font>
      <b/>
      <sz val="11.0"/>
      <color rgb="FFFFFFFF"/>
      <name val="Calibri"/>
    </font>
    <font>
      <u/>
      <color rgb="FF0000FF"/>
    </font>
    <font>
      <sz val="11.0"/>
      <color rgb="FFFF0000"/>
      <name val="Calibri"/>
    </font>
    <font>
      <u/>
      <color rgb="FF0000FF"/>
    </font>
    <font>
      <u/>
      <color rgb="FF0000FF"/>
    </font>
    <font>
      <strike/>
      <sz val="11.0"/>
      <color rgb="FF000000"/>
      <name val="Calibri"/>
    </font>
    <font>
      <u/>
      <color rgb="FF0000FF"/>
    </font>
    <font>
      <u/>
      <sz val="11.0"/>
      <color rgb="FF0000FF"/>
      <name val="Calibri"/>
    </font>
    <font>
      <u/>
      <sz val="11.0"/>
      <color rgb="FF0000FF"/>
      <name val="Calibri"/>
    </font>
    <font>
      <u/>
      <sz val="11.0"/>
      <color rgb="FF0000FF"/>
      <name val="Calibri"/>
    </font>
    <font>
      <u/>
      <sz val="11.0"/>
      <color rgb="FF0000FF"/>
      <name val="Calibri"/>
    </font>
    <font>
      <u/>
      <sz val="11.0"/>
      <color rgb="FF000000"/>
      <name val="Calibri"/>
    </font>
    <font>
      <u/>
      <sz val="11.0"/>
      <color rgb="FF0000FF"/>
      <name val="Calibri"/>
    </font>
    <font>
      <u/>
      <sz val="11.0"/>
      <color rgb="FF0000FF"/>
      <name val="Calibri"/>
    </font>
    <font>
      <u/>
      <sz val="11.0"/>
      <color rgb="FF0000FF"/>
      <name val="Calibri"/>
    </font>
    <font>
      <u/>
      <color rgb="FF0000FF"/>
    </font>
    <font>
      <u/>
      <color rgb="FF0000FF"/>
    </font>
    <font>
      <u/>
      <color rgb="FF0000FF"/>
    </font>
    <font>
      <u/>
      <color rgb="FF0000FF"/>
    </font>
    <font>
      <sz val="11.0"/>
      <color theme="1"/>
      <name val="Arial"/>
    </font>
    <font>
      <u/>
      <sz val="11.0"/>
      <color rgb="FF0000FF"/>
      <name val="Arial"/>
    </font>
    <font>
      <color rgb="FFFF00FF"/>
      <name val="Verdana"/>
      <scheme val="minor"/>
    </font>
    <font>
      <u/>
      <color rgb="FFFF00FF"/>
    </font>
    <font>
      <u/>
      <sz val="11.0"/>
      <color rgb="FF999999"/>
      <name val="Calibri"/>
    </font>
    <font>
      <u/>
      <sz val="11.0"/>
      <color rgb="FF000000"/>
      <name val="Calibri"/>
    </font>
    <font>
      <u/>
      <sz val="11.0"/>
      <color rgb="FF000000"/>
      <name val="Calibri"/>
    </font>
    <font>
      <sz val="11.0"/>
      <color rgb="FF000000"/>
      <name val="Arial"/>
    </font>
    <font>
      <sz val="11.0"/>
      <color rgb="FF000000"/>
      <name val="&quot;Aptos Narrow&quot;"/>
    </font>
    <font>
      <sz val="25.0"/>
      <color theme="1"/>
      <name val="Verdana"/>
      <scheme val="minor"/>
    </font>
    <font>
      <sz val="14.0"/>
      <color theme="1"/>
      <name val="Verdana"/>
      <scheme val="minor"/>
    </font>
    <font>
      <b/>
      <sz val="12.0"/>
      <color theme="1"/>
      <name val="Calibri"/>
    </font>
    <font>
      <color theme="1"/>
      <name val="Arial"/>
    </font>
    <font>
      <u/>
      <color rgb="FF0000FF"/>
      <name val="Arial"/>
    </font>
    <font>
      <u/>
      <color rgb="FF0000FF"/>
      <name val="Arial"/>
    </font>
  </fonts>
  <fills count="25">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
      <patternFill patternType="solid">
        <fgColor rgb="FFFFA500"/>
        <bgColor rgb="FFFFA500"/>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4472C4"/>
        <bgColor rgb="FF4472C4"/>
      </patternFill>
    </fill>
    <fill>
      <patternFill patternType="solid">
        <fgColor rgb="FFA9D08E"/>
        <bgColor rgb="FFA9D08E"/>
      </patternFill>
    </fill>
    <fill>
      <patternFill patternType="solid">
        <fgColor rgb="FFF8CBAD"/>
        <bgColor rgb="FFF8CBAD"/>
      </patternFill>
    </fill>
    <fill>
      <patternFill patternType="solid">
        <fgColor rgb="FFFFD966"/>
        <bgColor rgb="FFFFD966"/>
      </patternFill>
    </fill>
    <fill>
      <patternFill patternType="solid">
        <fgColor rgb="FF9DC3E6"/>
        <bgColor rgb="FF9DC3E6"/>
      </patternFill>
    </fill>
    <fill>
      <patternFill patternType="solid">
        <fgColor rgb="FF9900FF"/>
        <bgColor rgb="FF9900FF"/>
      </patternFill>
    </fill>
    <fill>
      <patternFill patternType="solid">
        <fgColor rgb="FFFF00FF"/>
        <bgColor rgb="FFFF00FF"/>
      </patternFill>
    </fill>
    <fill>
      <patternFill patternType="solid">
        <fgColor rgb="FF356854"/>
        <bgColor rgb="FF356854"/>
      </patternFill>
    </fill>
    <fill>
      <patternFill patternType="solid">
        <fgColor rgb="FF00FFFF"/>
        <bgColor rgb="FF00FFFF"/>
      </patternFill>
    </fill>
    <fill>
      <patternFill patternType="solid">
        <fgColor rgb="FFF3F3F3"/>
        <bgColor rgb="FFF3F3F3"/>
      </patternFill>
    </fill>
    <fill>
      <patternFill patternType="solid">
        <fgColor theme="8"/>
        <bgColor theme="8"/>
      </patternFill>
    </fill>
    <fill>
      <patternFill patternType="solid">
        <fgColor rgb="FFFF3300"/>
        <bgColor rgb="FFFF330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top style="thin">
        <color rgb="FF000000"/>
      </top>
    </border>
    <border>
      <top style="thin">
        <color rgb="FF44B3E1"/>
      </top>
      <bottom style="thin">
        <color rgb="FF44B3E1"/>
      </bottom>
    </border>
    <border>
      <top style="thin">
        <color rgb="FF44B3E1"/>
      </top>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0"/>
    </xf>
    <xf borderId="2" fillId="0" fontId="1" numFmtId="0" xfId="0" applyAlignment="1" applyBorder="1" applyFont="1">
      <alignment horizontal="center" readingOrder="0" shrinkToFit="0" vertical="bottom" wrapText="0"/>
    </xf>
    <xf borderId="3" fillId="0" fontId="2" numFmtId="0" xfId="0" applyBorder="1" applyFont="1"/>
    <xf borderId="4" fillId="0" fontId="2" numFmtId="0" xfId="0" applyBorder="1" applyFont="1"/>
    <xf borderId="0" fillId="0" fontId="3" numFmtId="0" xfId="0" applyAlignment="1" applyFont="1">
      <alignment horizontal="center" readingOrder="0"/>
    </xf>
    <xf borderId="1" fillId="2" fontId="1" numFmtId="0" xfId="0" applyAlignment="1" applyBorder="1" applyFill="1" applyFont="1">
      <alignment readingOrder="0" shrinkToFit="0" vertical="bottom" wrapText="0"/>
    </xf>
    <xf borderId="1" fillId="3" fontId="1" numFmtId="0" xfId="0" applyAlignment="1" applyBorder="1" applyFill="1" applyFont="1">
      <alignment readingOrder="0" shrinkToFit="0" vertical="bottom" wrapText="0"/>
    </xf>
    <xf borderId="1" fillId="0" fontId="4" numFmtId="0" xfId="0" applyAlignment="1" applyBorder="1" applyFont="1">
      <alignment readingOrder="0" shrinkToFit="0" vertical="bottom" wrapText="0"/>
    </xf>
    <xf borderId="0" fillId="4" fontId="5" numFmtId="0" xfId="0" applyFill="1" applyFont="1"/>
    <xf borderId="0" fillId="4" fontId="6" numFmtId="0" xfId="0" applyAlignment="1" applyFont="1">
      <alignment vertical="bottom"/>
    </xf>
    <xf borderId="0" fillId="5" fontId="7" numFmtId="0" xfId="0" applyAlignment="1" applyFill="1" applyFont="1">
      <alignment horizontal="center" readingOrder="0" textRotation="180" vertical="center"/>
    </xf>
    <xf borderId="0" fillId="6" fontId="7" numFmtId="0" xfId="0" applyAlignment="1" applyFill="1" applyFont="1">
      <alignment horizontal="center" readingOrder="0" textRotation="180" vertical="center"/>
    </xf>
    <xf borderId="0" fillId="7" fontId="5" numFmtId="0" xfId="0" applyFill="1" applyFont="1"/>
    <xf borderId="0" fillId="5" fontId="5" numFmtId="0" xfId="0" applyFont="1"/>
    <xf borderId="0" fillId="8" fontId="5" numFmtId="0" xfId="0" applyFill="1" applyFont="1"/>
    <xf borderId="5" fillId="0" fontId="5" numFmtId="0" xfId="0" applyBorder="1" applyFont="1"/>
    <xf borderId="5" fillId="0" fontId="2" numFmtId="0" xfId="0" applyBorder="1" applyFont="1"/>
    <xf borderId="5" fillId="8" fontId="5" numFmtId="0" xfId="0" applyBorder="1" applyFont="1"/>
    <xf borderId="6" fillId="0" fontId="8" numFmtId="0" xfId="0" applyAlignment="1" applyBorder="1" applyFont="1">
      <alignment readingOrder="0" shrinkToFit="0" vertical="bottom" wrapText="0"/>
    </xf>
    <xf borderId="5" fillId="0" fontId="5" numFmtId="0" xfId="0" applyAlignment="1" applyBorder="1" applyFont="1">
      <alignment readingOrder="0"/>
    </xf>
    <xf borderId="0" fillId="0" fontId="9" numFmtId="0" xfId="0" applyAlignment="1" applyFont="1">
      <alignment readingOrder="0" shrinkToFit="0" vertical="bottom" wrapText="0"/>
    </xf>
    <xf borderId="0" fillId="8" fontId="8" numFmtId="0" xfId="0" applyAlignment="1" applyFont="1">
      <alignment readingOrder="0" shrinkToFit="0" vertical="bottom" wrapText="0"/>
    </xf>
    <xf borderId="0" fillId="9" fontId="8" numFmtId="0" xfId="0" applyAlignment="1" applyFill="1" applyFont="1">
      <alignment readingOrder="0" shrinkToFit="0" vertical="bottom" wrapText="0"/>
    </xf>
    <xf borderId="0" fillId="4" fontId="8" numFmtId="0" xfId="0" applyAlignment="1" applyFont="1">
      <alignment readingOrder="0" shrinkToFit="0" vertical="bottom" wrapText="0"/>
    </xf>
    <xf borderId="0" fillId="5" fontId="8" numFmtId="0" xfId="0" applyAlignment="1" applyFont="1">
      <alignment readingOrder="0" shrinkToFit="0" vertical="bottom" wrapText="0"/>
    </xf>
    <xf borderId="0" fillId="0" fontId="5" numFmtId="0" xfId="0" applyAlignment="1" applyFont="1">
      <alignment readingOrder="0"/>
    </xf>
    <xf borderId="0" fillId="0" fontId="5" numFmtId="0" xfId="0" applyAlignment="1" applyFont="1">
      <alignment readingOrder="0" shrinkToFit="0" wrapText="1"/>
    </xf>
    <xf borderId="0" fillId="10" fontId="5" numFmtId="0" xfId="0" applyAlignment="1" applyFill="1" applyFont="1">
      <alignment readingOrder="0"/>
    </xf>
    <xf borderId="1" fillId="0" fontId="10" numFmtId="0" xfId="0" applyAlignment="1" applyBorder="1" applyFont="1">
      <alignment horizontal="center" vertical="top"/>
    </xf>
    <xf borderId="1" fillId="0" fontId="10" numFmtId="49" xfId="0" applyAlignment="1" applyBorder="1" applyFont="1" applyNumberFormat="1">
      <alignment horizontal="center" vertical="top"/>
    </xf>
    <xf borderId="7" fillId="0" fontId="10" numFmtId="0" xfId="0" applyAlignment="1" applyBorder="1" applyFont="1">
      <alignment horizontal="center" vertical="top"/>
    </xf>
    <xf borderId="8" fillId="0" fontId="10" numFmtId="0" xfId="0" applyAlignment="1" applyBorder="1" applyFont="1">
      <alignment horizontal="center" shrinkToFit="0" vertical="top" wrapText="1"/>
    </xf>
    <xf borderId="8" fillId="0" fontId="10" numFmtId="0" xfId="0" applyAlignment="1" applyBorder="1" applyFont="1">
      <alignment horizontal="center" vertical="top"/>
    </xf>
    <xf borderId="0" fillId="0" fontId="10" numFmtId="0" xfId="0" applyAlignment="1" applyFont="1">
      <alignment horizontal="center" vertical="top"/>
    </xf>
    <xf borderId="0" fillId="0" fontId="10" numFmtId="0" xfId="0" applyAlignment="1" applyFont="1">
      <alignment horizontal="center"/>
    </xf>
    <xf borderId="0" fillId="0" fontId="10" numFmtId="0" xfId="0" applyFont="1"/>
    <xf borderId="0" fillId="0" fontId="5" numFmtId="0" xfId="0" applyFont="1"/>
    <xf borderId="0" fillId="0" fontId="5" numFmtId="49" xfId="0" applyFont="1" applyNumberFormat="1"/>
    <xf borderId="0" fillId="0" fontId="8" numFmtId="0" xfId="0" applyAlignment="1" applyFont="1">
      <alignment readingOrder="0" shrinkToFit="0" vertical="bottom" wrapText="0"/>
    </xf>
    <xf quotePrefix="1" borderId="0" fillId="0" fontId="8" numFmtId="49" xfId="0" applyAlignment="1" applyFont="1" applyNumberFormat="1">
      <alignment readingOrder="0" shrinkToFit="0" vertical="bottom" wrapText="0"/>
    </xf>
    <xf borderId="0" fillId="0" fontId="8" numFmtId="0" xfId="0" applyAlignment="1" applyFont="1">
      <alignment shrinkToFit="0" vertical="bottom" wrapText="0"/>
    </xf>
    <xf borderId="0" fillId="10" fontId="8" numFmtId="0" xfId="0" applyAlignment="1" applyFont="1">
      <alignment readingOrder="0" shrinkToFit="0" vertical="bottom" wrapText="0"/>
    </xf>
    <xf borderId="9" fillId="0" fontId="8" numFmtId="0" xfId="0" applyAlignment="1" applyBorder="1" applyFont="1">
      <alignment readingOrder="0" shrinkToFit="0" vertical="bottom" wrapText="0"/>
    </xf>
    <xf borderId="10" fillId="0" fontId="8" numFmtId="0" xfId="0" applyAlignment="1" applyBorder="1" applyFont="1">
      <alignment readingOrder="0" shrinkToFit="0" vertical="bottom" wrapText="0"/>
    </xf>
    <xf borderId="11" fillId="0" fontId="8" numFmtId="0" xfId="0" applyAlignment="1" applyBorder="1" applyFont="1">
      <alignment readingOrder="0" shrinkToFit="0" vertical="bottom" wrapText="0"/>
    </xf>
    <xf borderId="12" fillId="0" fontId="8" numFmtId="0" xfId="0" applyAlignment="1" applyBorder="1" applyFont="1">
      <alignment readingOrder="0" shrinkToFit="0" vertical="bottom" wrapText="0"/>
    </xf>
    <xf borderId="0" fillId="0" fontId="11" numFmtId="0" xfId="0" applyAlignment="1" applyFont="1">
      <alignment readingOrder="0"/>
    </xf>
    <xf borderId="11" fillId="0" fontId="5" numFmtId="0" xfId="0" applyBorder="1" applyFont="1"/>
    <xf borderId="12" fillId="0" fontId="11" numFmtId="0" xfId="0" applyAlignment="1" applyBorder="1" applyFont="1">
      <alignment readingOrder="0"/>
    </xf>
    <xf borderId="13" fillId="0" fontId="5" numFmtId="0" xfId="0" applyBorder="1" applyFont="1"/>
    <xf borderId="6" fillId="0" fontId="5" numFmtId="0" xfId="0" applyAlignment="1" applyBorder="1" applyFont="1">
      <alignment readingOrder="0"/>
    </xf>
    <xf borderId="0" fillId="0" fontId="10" numFmtId="0" xfId="0" applyAlignment="1" applyFont="1">
      <alignment horizontal="center" readingOrder="0" shrinkToFit="0" vertical="top" wrapText="1"/>
    </xf>
    <xf borderId="1" fillId="0" fontId="10" numFmtId="0" xfId="0" applyAlignment="1" applyBorder="1" applyFont="1">
      <alignment horizontal="center" readingOrder="0" shrinkToFit="0" vertical="top" wrapText="1"/>
    </xf>
    <xf borderId="1" fillId="0" fontId="10" numFmtId="0" xfId="0" applyAlignment="1" applyBorder="1" applyFont="1">
      <alignment horizontal="center" shrinkToFit="0" vertical="top" wrapText="1"/>
    </xf>
    <xf borderId="1" fillId="0" fontId="9" numFmtId="0" xfId="0" applyAlignment="1" applyBorder="1" applyFont="1">
      <alignment horizontal="center" readingOrder="0" shrinkToFit="0" vertical="top" wrapText="1"/>
    </xf>
    <xf borderId="7" fillId="0" fontId="12" numFmtId="0" xfId="0" applyAlignment="1" applyBorder="1" applyFont="1">
      <alignment horizontal="center" shrinkToFit="0" vertical="top" wrapText="1"/>
    </xf>
    <xf borderId="7" fillId="0" fontId="12" numFmtId="0" xfId="0" applyAlignment="1" applyBorder="1" applyFont="1">
      <alignment horizontal="center" readingOrder="0" shrinkToFit="0" vertical="top" wrapText="1"/>
    </xf>
    <xf borderId="1" fillId="0" fontId="13" numFmtId="0" xfId="0" applyAlignment="1" applyBorder="1" applyFont="1">
      <alignment horizontal="center" readingOrder="0" shrinkToFit="0" vertical="top" wrapText="1"/>
    </xf>
    <xf borderId="1" fillId="0" fontId="13" numFmtId="0" xfId="0" applyAlignment="1" applyBorder="1" applyFont="1">
      <alignment horizontal="center" readingOrder="0" shrinkToFit="0" vertical="top" wrapText="0"/>
    </xf>
    <xf borderId="7" fillId="0" fontId="13" numFmtId="0" xfId="0" applyAlignment="1" applyBorder="1" applyFont="1">
      <alignment horizontal="center" readingOrder="0" vertical="top"/>
    </xf>
    <xf borderId="6" fillId="0" fontId="13" numFmtId="0" xfId="0" applyAlignment="1" applyBorder="1" applyFont="1">
      <alignment horizontal="left" readingOrder="0" vertical="top"/>
    </xf>
    <xf borderId="6" fillId="0" fontId="13" numFmtId="0" xfId="0" applyAlignment="1" applyBorder="1" applyFont="1">
      <alignment horizontal="center" readingOrder="0" vertical="top"/>
    </xf>
    <xf borderId="7" fillId="0" fontId="13" numFmtId="0" xfId="0" applyAlignment="1" applyBorder="1" applyFont="1">
      <alignment horizontal="center" readingOrder="0" shrinkToFit="0" vertical="top" wrapText="0"/>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vertical="top" wrapText="0"/>
    </xf>
    <xf borderId="0" fillId="0" fontId="14" numFmtId="0" xfId="0" applyAlignment="1" applyFont="1">
      <alignment horizontal="center" readingOrder="0" shrinkToFit="0" vertical="top" wrapText="1"/>
    </xf>
    <xf borderId="0" fillId="0" fontId="5" numFmtId="0" xfId="0" applyAlignment="1" applyFont="1">
      <alignment readingOrder="0" shrinkToFit="0" wrapText="0"/>
    </xf>
    <xf borderId="0" fillId="0" fontId="5" numFmtId="0" xfId="0" applyAlignment="1" applyFont="1">
      <alignment shrinkToFit="0" wrapText="0"/>
    </xf>
    <xf borderId="0" fillId="0" fontId="15" numFmtId="0" xfId="0" applyAlignment="1" applyFont="1">
      <alignment readingOrder="0" shrinkToFit="0" wrapText="0"/>
    </xf>
    <xf borderId="0" fillId="0" fontId="6" numFmtId="0" xfId="0" applyAlignment="1" applyFont="1">
      <alignment vertical="bottom"/>
    </xf>
    <xf borderId="0" fillId="0" fontId="8" numFmtId="0" xfId="0" applyAlignment="1" applyFont="1">
      <alignment readingOrder="0" shrinkToFit="0" vertical="bottom" wrapText="0"/>
    </xf>
    <xf borderId="0" fillId="0" fontId="6" numFmtId="0" xfId="0" applyAlignment="1" applyFont="1">
      <alignment readingOrder="0" vertical="bottom"/>
    </xf>
    <xf borderId="0" fillId="0" fontId="8" numFmtId="0" xfId="0" applyAlignment="1" applyFont="1">
      <alignment readingOrder="0" shrinkToFit="0" vertical="bottom" wrapText="0"/>
    </xf>
    <xf borderId="0" fillId="0" fontId="8" numFmtId="0" xfId="0" applyAlignment="1" applyFont="1">
      <alignment horizontal="left" readingOrder="0" shrinkToFit="0" vertical="bottom" wrapText="0"/>
    </xf>
    <xf borderId="0" fillId="11" fontId="5" numFmtId="0" xfId="0" applyAlignment="1" applyFill="1" applyFont="1">
      <alignment readingOrder="0" shrinkToFit="0" wrapText="0"/>
    </xf>
    <xf borderId="0" fillId="10" fontId="5" numFmtId="0" xfId="0" applyAlignment="1" applyFont="1">
      <alignment readingOrder="0" shrinkToFit="0" wrapText="0"/>
    </xf>
    <xf borderId="0" fillId="0" fontId="16" numFmtId="0" xfId="0" applyAlignment="1" applyFont="1">
      <alignment readingOrder="0" shrinkToFit="0" wrapText="0"/>
    </xf>
    <xf borderId="0" fillId="10" fontId="5" numFmtId="0" xfId="0" applyAlignment="1" applyFont="1">
      <alignment shrinkToFit="0" wrapText="0"/>
    </xf>
    <xf borderId="0" fillId="0" fontId="17" numFmtId="0" xfId="0" applyAlignment="1" applyFont="1">
      <alignment readingOrder="0" shrinkToFit="0" vertical="bottom" wrapText="0"/>
    </xf>
    <xf borderId="0" fillId="10" fontId="6" numFmtId="0" xfId="0" applyAlignment="1" applyFont="1">
      <alignment shrinkToFit="0" vertical="bottom" wrapText="0"/>
    </xf>
    <xf borderId="0" fillId="10" fontId="6" numFmtId="0" xfId="0" applyAlignment="1" applyFont="1">
      <alignment readingOrder="0" shrinkToFit="0" vertical="bottom" wrapText="0"/>
    </xf>
    <xf borderId="0" fillId="10" fontId="18" numFmtId="0" xfId="0" applyAlignment="1" applyFont="1">
      <alignment shrinkToFit="0" wrapText="0"/>
    </xf>
    <xf borderId="0" fillId="0" fontId="8" numFmtId="0" xfId="0" applyAlignment="1" applyFont="1">
      <alignment readingOrder="0" shrinkToFit="0" vertical="bottom" wrapText="0"/>
    </xf>
    <xf borderId="0" fillId="10" fontId="8" numFmtId="0" xfId="0" applyAlignment="1" applyFont="1">
      <alignment readingOrder="0" shrinkToFit="0" vertical="bottom" wrapText="0"/>
    </xf>
    <xf borderId="0" fillId="10" fontId="19" numFmtId="0" xfId="0" applyAlignment="1" applyFont="1">
      <alignment readingOrder="0" shrinkToFit="0" wrapText="0"/>
    </xf>
    <xf borderId="0" fillId="10" fontId="6" numFmtId="0" xfId="0" applyAlignment="1" applyFont="1">
      <alignment readingOrder="0" vertical="bottom"/>
    </xf>
    <xf borderId="0" fillId="10" fontId="8" numFmtId="0" xfId="0" applyAlignment="1" applyFont="1">
      <alignment readingOrder="0" shrinkToFit="0" vertical="bottom" wrapText="0"/>
    </xf>
    <xf borderId="0" fillId="10" fontId="8" numFmtId="0" xfId="0" applyAlignment="1" applyFont="1">
      <alignment readingOrder="0" shrinkToFit="0" vertical="bottom" wrapText="0"/>
    </xf>
    <xf borderId="0" fillId="10" fontId="8" numFmtId="0" xfId="0" applyAlignment="1" applyFont="1">
      <alignment horizontal="left" readingOrder="0" shrinkToFit="0" vertical="bottom" wrapText="0"/>
    </xf>
    <xf borderId="0" fillId="0" fontId="6" numFmtId="0" xfId="0" applyAlignment="1" applyFont="1">
      <alignment readingOrder="0" shrinkToFit="0" vertical="bottom" wrapText="1"/>
    </xf>
    <xf borderId="5" fillId="10" fontId="5" numFmtId="0" xfId="0" applyAlignment="1" applyBorder="1" applyFont="1">
      <alignment readingOrder="0" shrinkToFit="0" wrapText="0"/>
    </xf>
    <xf borderId="5" fillId="10" fontId="8" numFmtId="0" xfId="0" applyAlignment="1" applyBorder="1" applyFont="1">
      <alignment readingOrder="0" shrinkToFit="0" vertical="bottom" wrapText="0"/>
    </xf>
    <xf borderId="5" fillId="10" fontId="20" numFmtId="0" xfId="0" applyAlignment="1" applyBorder="1" applyFont="1">
      <alignment readingOrder="0" shrinkToFit="0" wrapText="0"/>
    </xf>
    <xf borderId="5" fillId="10" fontId="6" numFmtId="0" xfId="0" applyAlignment="1" applyBorder="1" applyFont="1">
      <alignment readingOrder="0" vertical="bottom"/>
    </xf>
    <xf borderId="5" fillId="10" fontId="8" numFmtId="0" xfId="0" applyAlignment="1" applyBorder="1" applyFont="1">
      <alignment readingOrder="0" shrinkToFit="0" vertical="bottom" wrapText="0"/>
    </xf>
    <xf borderId="5" fillId="10" fontId="8" numFmtId="0" xfId="0" applyAlignment="1" applyBorder="1" applyFont="1">
      <alignment readingOrder="0" shrinkToFit="0" vertical="bottom" wrapText="0"/>
    </xf>
    <xf borderId="5" fillId="10" fontId="8" numFmtId="0" xfId="0" applyAlignment="1" applyBorder="1" applyFont="1">
      <alignment horizontal="left" readingOrder="0" shrinkToFit="0" vertical="bottom" wrapText="0"/>
    </xf>
    <xf borderId="5" fillId="10" fontId="8" numFmtId="0" xfId="0" applyAlignment="1" applyBorder="1" applyFont="1">
      <alignment readingOrder="0" shrinkToFit="0" vertical="bottom" wrapText="0"/>
    </xf>
    <xf borderId="5" fillId="10" fontId="5" numFmtId="0" xfId="0" applyAlignment="1" applyBorder="1" applyFont="1">
      <alignment shrinkToFit="0" wrapText="0"/>
    </xf>
    <xf borderId="0" fillId="0" fontId="21" numFmtId="0" xfId="0" applyAlignment="1" applyFont="1">
      <alignment readingOrder="0" shrinkToFit="0" vertical="bottom" wrapText="0"/>
    </xf>
    <xf borderId="0" fillId="0" fontId="22" numFmtId="0" xfId="0" applyAlignment="1" applyFont="1">
      <alignment readingOrder="0" shrinkToFit="0" vertical="bottom" wrapText="0"/>
    </xf>
    <xf borderId="0" fillId="0" fontId="23" numFmtId="0" xfId="0" applyAlignment="1" applyFont="1">
      <alignment readingOrder="0" shrinkToFit="0" vertical="bottom" wrapText="0"/>
    </xf>
    <xf borderId="0" fillId="0" fontId="24" numFmtId="0" xfId="0" applyAlignment="1" applyFont="1">
      <alignment readingOrder="0" shrinkToFit="0" wrapText="0"/>
    </xf>
    <xf borderId="0" fillId="0" fontId="6" numFmtId="0" xfId="0" applyAlignment="1" applyFont="1">
      <alignment shrinkToFit="0" vertical="bottom" wrapText="0"/>
    </xf>
    <xf borderId="0" fillId="0" fontId="25" numFmtId="0" xfId="0" applyAlignment="1" applyFont="1">
      <alignment readingOrder="0"/>
    </xf>
    <xf borderId="5" fillId="0" fontId="8" numFmtId="0" xfId="0" applyAlignment="1" applyBorder="1" applyFont="1">
      <alignment readingOrder="0" shrinkToFit="0" vertical="bottom" wrapText="0"/>
    </xf>
    <xf borderId="5" fillId="0" fontId="6" numFmtId="0" xfId="0" applyAlignment="1" applyBorder="1" applyFont="1">
      <alignment shrinkToFit="0" vertical="bottom" wrapText="0"/>
    </xf>
    <xf borderId="5" fillId="0" fontId="26" numFmtId="0" xfId="0" applyAlignment="1" applyBorder="1" applyFont="1">
      <alignment readingOrder="0"/>
    </xf>
    <xf borderId="5" fillId="0" fontId="6" numFmtId="0" xfId="0" applyAlignment="1" applyBorder="1" applyFont="1">
      <alignment vertical="bottom"/>
    </xf>
    <xf borderId="5" fillId="0" fontId="6" numFmtId="0" xfId="0" applyAlignment="1" applyBorder="1" applyFont="1">
      <alignment readingOrder="0" vertical="bottom"/>
    </xf>
    <xf borderId="5" fillId="0" fontId="5" numFmtId="0" xfId="0" applyAlignment="1" applyBorder="1" applyFont="1">
      <alignment readingOrder="0" shrinkToFit="0" wrapText="0"/>
    </xf>
    <xf borderId="5" fillId="0" fontId="8" numFmtId="0" xfId="0" applyAlignment="1" applyBorder="1" applyFont="1">
      <alignment horizontal="left" readingOrder="0" shrinkToFit="0" vertical="bottom" wrapText="0"/>
    </xf>
    <xf borderId="5" fillId="0" fontId="8" numFmtId="0" xfId="0" applyAlignment="1" applyBorder="1" applyFont="1">
      <alignment readingOrder="0" shrinkToFit="0" vertical="bottom" wrapText="0"/>
    </xf>
    <xf borderId="0" fillId="0" fontId="6" numFmtId="0" xfId="0" applyAlignment="1" applyFont="1">
      <alignment vertical="bottom"/>
    </xf>
    <xf borderId="0" fillId="0" fontId="27" numFmtId="0" xfId="0" applyAlignment="1" applyFont="1">
      <alignment vertical="bottom"/>
    </xf>
    <xf borderId="0" fillId="0" fontId="28" numFmtId="0" xfId="0" applyAlignment="1" applyFont="1">
      <alignment readingOrder="0" shrinkToFit="0" wrapText="0"/>
    </xf>
    <xf borderId="0" fillId="0" fontId="6" numFmtId="0" xfId="0" applyAlignment="1" applyFont="1">
      <alignment readingOrder="0" shrinkToFit="0" vertical="bottom" wrapText="0"/>
    </xf>
    <xf borderId="0" fillId="0" fontId="29" numFmtId="0" xfId="0" applyAlignment="1" applyFont="1">
      <alignment readingOrder="0"/>
    </xf>
    <xf borderId="0" fillId="10" fontId="6" numFmtId="0" xfId="0" applyAlignment="1" applyFont="1">
      <alignment vertical="bottom"/>
    </xf>
    <xf borderId="0" fillId="10" fontId="30" numFmtId="0" xfId="0" applyAlignment="1" applyFont="1">
      <alignment readingOrder="0"/>
    </xf>
    <xf borderId="0" fillId="0" fontId="31" numFmtId="0" xfId="0" applyAlignment="1" applyFont="1">
      <alignment readingOrder="0" shrinkToFit="0" wrapText="0"/>
    </xf>
    <xf borderId="0" fillId="10" fontId="5" numFmtId="0" xfId="0" applyFont="1"/>
    <xf borderId="14" fillId="0" fontId="6" numFmtId="0" xfId="0" applyAlignment="1" applyBorder="1" applyFont="1">
      <alignment readingOrder="0" vertical="bottom"/>
    </xf>
    <xf borderId="14" fillId="10" fontId="5" numFmtId="0" xfId="0" applyBorder="1" applyFont="1"/>
    <xf borderId="14" fillId="10" fontId="32" numFmtId="0" xfId="0" applyAlignment="1" applyBorder="1" applyFont="1">
      <alignment readingOrder="0" shrinkToFit="0" vertical="bottom" wrapText="0"/>
    </xf>
    <xf borderId="14" fillId="10" fontId="8" numFmtId="0" xfId="0" applyAlignment="1" applyBorder="1" applyFont="1">
      <alignment readingOrder="0" shrinkToFit="0" vertical="bottom" wrapText="0"/>
    </xf>
    <xf borderId="14" fillId="10" fontId="8" numFmtId="0" xfId="0" applyAlignment="1" applyBorder="1" applyFont="1">
      <alignment readingOrder="0" shrinkToFit="0" vertical="bottom" wrapText="0"/>
    </xf>
    <xf borderId="14" fillId="10" fontId="5" numFmtId="0" xfId="0" applyAlignment="1" applyBorder="1" applyFont="1">
      <alignment readingOrder="0"/>
    </xf>
    <xf borderId="14" fillId="10" fontId="8" numFmtId="0" xfId="0" applyAlignment="1" applyBorder="1" applyFont="1">
      <alignment readingOrder="0" shrinkToFit="0" vertical="bottom" wrapText="0"/>
    </xf>
    <xf borderId="14" fillId="0" fontId="8" numFmtId="0" xfId="0" applyAlignment="1" applyBorder="1" applyFont="1">
      <alignment horizontal="left" readingOrder="0" shrinkToFit="0" vertical="bottom" wrapText="0"/>
    </xf>
    <xf borderId="14" fillId="0" fontId="5" numFmtId="0" xfId="0" applyAlignment="1" applyBorder="1" applyFont="1">
      <alignment readingOrder="0" shrinkToFit="0" wrapText="0"/>
    </xf>
    <xf borderId="14" fillId="0" fontId="5" numFmtId="0" xfId="0" applyAlignment="1" applyBorder="1" applyFont="1">
      <alignment readingOrder="0"/>
    </xf>
    <xf borderId="14" fillId="0" fontId="5" numFmtId="0" xfId="0" applyBorder="1" applyFont="1"/>
    <xf borderId="14" fillId="0" fontId="8" numFmtId="0" xfId="0" applyAlignment="1" applyBorder="1" applyFont="1">
      <alignment readingOrder="0" shrinkToFit="0" vertical="bottom" wrapText="0"/>
    </xf>
    <xf borderId="0" fillId="0" fontId="33" numFmtId="0" xfId="0" applyAlignment="1" applyFont="1">
      <alignment readingOrder="0" shrinkToFit="0" vertical="bottom" wrapText="0"/>
    </xf>
    <xf borderId="0" fillId="0" fontId="34" numFmtId="0" xfId="0" applyAlignment="1" applyFont="1">
      <alignment readingOrder="0" shrinkToFit="0" vertical="bottom" wrapText="0"/>
    </xf>
    <xf borderId="0" fillId="10" fontId="6" numFmtId="0" xfId="0" applyAlignment="1" applyFont="1">
      <alignment vertical="bottom"/>
    </xf>
    <xf borderId="0" fillId="0" fontId="35" numFmtId="0" xfId="0" applyAlignment="1" applyFont="1">
      <alignment readingOrder="0" shrinkToFit="0" vertical="bottom" wrapText="0"/>
    </xf>
    <xf borderId="0" fillId="0" fontId="36" numFmtId="0" xfId="0" applyAlignment="1" applyFont="1">
      <alignment readingOrder="0" shrinkToFit="0" vertical="bottom" wrapText="0"/>
    </xf>
    <xf borderId="0" fillId="0" fontId="8" numFmtId="0" xfId="0" applyAlignment="1" applyFont="1">
      <alignment readingOrder="0" shrinkToFit="0" wrapText="0"/>
    </xf>
    <xf borderId="0" fillId="0" fontId="37" numFmtId="0" xfId="0" applyAlignment="1" applyFont="1">
      <alignment readingOrder="0" shrinkToFit="0" vertical="bottom" wrapText="0"/>
    </xf>
    <xf borderId="0" fillId="0" fontId="8" numFmtId="0" xfId="0" applyAlignment="1" applyFont="1">
      <alignment shrinkToFit="0" vertical="bottom" wrapText="0"/>
    </xf>
    <xf borderId="0" fillId="0" fontId="38" numFmtId="0" xfId="0" applyAlignment="1" applyFont="1">
      <alignment vertical="bottom"/>
    </xf>
    <xf borderId="0" fillId="0" fontId="0" numFmtId="0" xfId="0" applyAlignment="1" applyFont="1">
      <alignment readingOrder="0" vertical="bottom"/>
    </xf>
    <xf borderId="0" fillId="0" fontId="39" numFmtId="0" xfId="0" applyAlignment="1" applyFont="1">
      <alignment readingOrder="0" vertical="bottom"/>
    </xf>
    <xf borderId="5" fillId="0" fontId="6" numFmtId="0" xfId="0" applyAlignment="1" applyBorder="1" applyFont="1">
      <alignment vertical="bottom"/>
    </xf>
    <xf borderId="5" fillId="0" fontId="40" numFmtId="0" xfId="0" applyAlignment="1" applyBorder="1" applyFont="1">
      <alignment vertical="bottom"/>
    </xf>
    <xf borderId="5" fillId="0" fontId="6" numFmtId="0" xfId="0" applyAlignment="1" applyBorder="1" applyFont="1">
      <alignment readingOrder="0" shrinkToFit="0" vertical="bottom" wrapText="0"/>
    </xf>
    <xf borderId="5" fillId="0" fontId="0" numFmtId="0" xfId="0" applyAlignment="1" applyBorder="1" applyFont="1">
      <alignment readingOrder="0" vertical="bottom"/>
    </xf>
    <xf borderId="0" fillId="10" fontId="41" numFmtId="0" xfId="0" applyAlignment="1" applyFont="1">
      <alignment vertical="bottom"/>
    </xf>
    <xf borderId="0" fillId="10" fontId="0" numFmtId="0" xfId="0" applyAlignment="1" applyFont="1">
      <alignment readingOrder="0" vertical="bottom"/>
    </xf>
    <xf borderId="0" fillId="0" fontId="42" numFmtId="0" xfId="0" applyAlignment="1" applyFont="1">
      <alignment vertical="bottom"/>
    </xf>
    <xf borderId="0" fillId="0" fontId="43" numFmtId="0" xfId="0" applyAlignment="1" applyFont="1">
      <alignment readingOrder="0"/>
    </xf>
    <xf borderId="0" fillId="0" fontId="44" numFmtId="49" xfId="0" applyAlignment="1" applyFont="1" applyNumberFormat="1">
      <alignment readingOrder="0" shrinkToFit="0" vertical="bottom" wrapText="0"/>
    </xf>
    <xf borderId="0" fillId="0" fontId="8" numFmtId="0" xfId="0" applyAlignment="1" applyFont="1">
      <alignment vertical="bottom"/>
    </xf>
    <xf borderId="0" fillId="0" fontId="45" numFmtId="49" xfId="0" applyAlignment="1" applyFont="1" applyNumberFormat="1">
      <alignment readingOrder="0" shrinkToFit="0" vertical="bottom" wrapText="0"/>
    </xf>
    <xf borderId="0" fillId="0" fontId="8" numFmtId="0" xfId="0" applyAlignment="1" applyFont="1">
      <alignment readingOrder="0" vertical="bottom"/>
    </xf>
    <xf borderId="0" fillId="0" fontId="46" numFmtId="49" xfId="0" applyAlignment="1" applyFont="1" applyNumberFormat="1">
      <alignment readingOrder="0" vertical="bottom"/>
    </xf>
    <xf borderId="0" fillId="0" fontId="6" numFmtId="0" xfId="0" applyAlignment="1" applyFont="1">
      <alignment shrinkToFit="0" vertical="bottom" wrapText="0"/>
    </xf>
    <xf borderId="0" fillId="10" fontId="24" numFmtId="0" xfId="0" applyFont="1"/>
    <xf borderId="14" fillId="0" fontId="6" numFmtId="0" xfId="0" applyAlignment="1" applyBorder="1" applyFont="1">
      <alignment vertical="bottom"/>
    </xf>
    <xf borderId="14" fillId="0" fontId="47" numFmtId="0" xfId="0" applyAlignment="1" applyBorder="1" applyFont="1">
      <alignment horizontal="left" readingOrder="0" shrinkToFit="0" vertical="top" wrapText="0"/>
    </xf>
    <xf borderId="14" fillId="0" fontId="6" numFmtId="0" xfId="0" applyAlignment="1" applyBorder="1" applyFont="1">
      <alignment horizontal="left" readingOrder="0" shrinkToFit="0" vertical="top" wrapText="1"/>
    </xf>
    <xf borderId="14" fillId="0" fontId="6" numFmtId="0" xfId="0" applyAlignment="1" applyBorder="1" applyFont="1">
      <alignment readingOrder="0" shrinkToFit="0" vertical="bottom" wrapText="1"/>
    </xf>
    <xf borderId="14" fillId="0" fontId="8" numFmtId="0" xfId="0" applyAlignment="1" applyBorder="1" applyFont="1">
      <alignment readingOrder="0" shrinkToFit="0" vertical="bottom" wrapText="0"/>
    </xf>
    <xf borderId="14" fillId="0" fontId="6" numFmtId="0" xfId="0" applyAlignment="1" applyBorder="1" applyFont="1">
      <alignment shrinkToFit="0" vertical="bottom" wrapText="0"/>
    </xf>
    <xf borderId="14" fillId="0" fontId="0" numFmtId="0" xfId="0" applyAlignment="1" applyBorder="1" applyFont="1">
      <alignment readingOrder="0" vertical="bottom"/>
    </xf>
    <xf borderId="0" fillId="0" fontId="48" numFmtId="0" xfId="0" applyAlignment="1" applyFont="1">
      <alignment horizontal="left" readingOrder="0" shrinkToFit="0" vertical="top" wrapText="0"/>
    </xf>
    <xf borderId="0" fillId="0" fontId="6" numFmtId="0" xfId="0" applyAlignment="1" applyFont="1">
      <alignment horizontal="left" readingOrder="0" shrinkToFit="0" vertical="top" wrapText="1"/>
    </xf>
    <xf borderId="0" fillId="0" fontId="0" numFmtId="0" xfId="0" applyAlignment="1" applyFont="1">
      <alignment readingOrder="0" shrinkToFit="0" vertical="bottom" wrapText="1"/>
    </xf>
    <xf borderId="0" fillId="0" fontId="49" numFmtId="0" xfId="0" applyAlignment="1" applyFont="1">
      <alignment horizontal="left" readingOrder="0" shrinkToFit="0" vertical="top" wrapText="0"/>
    </xf>
    <xf borderId="15" fillId="0" fontId="6" numFmtId="0" xfId="0" applyAlignment="1" applyBorder="1" applyFont="1">
      <alignment vertical="bottom"/>
    </xf>
    <xf borderId="16" fillId="0" fontId="6" numFmtId="0" xfId="0" applyAlignment="1" applyBorder="1" applyFont="1">
      <alignment vertical="bottom"/>
    </xf>
    <xf borderId="14" fillId="0" fontId="50" numFmtId="0" xfId="0" applyAlignment="1" applyBorder="1" applyFont="1">
      <alignment readingOrder="0"/>
    </xf>
    <xf borderId="14" fillId="0" fontId="51" numFmtId="0" xfId="0" applyAlignment="1" applyBorder="1" applyFont="1">
      <alignment readingOrder="0"/>
    </xf>
    <xf borderId="14" fillId="0" fontId="51" numFmtId="0" xfId="0" applyAlignment="1" applyBorder="1" applyFont="1">
      <alignment readingOrder="0" shrinkToFit="0" wrapText="1"/>
    </xf>
    <xf borderId="0" fillId="0" fontId="52" numFmtId="0" xfId="0" applyAlignment="1" applyFont="1">
      <alignment readingOrder="0" shrinkToFit="0" wrapText="0"/>
    </xf>
    <xf borderId="0" fillId="0" fontId="51" numFmtId="0" xfId="0" applyAlignment="1" applyFont="1">
      <alignment readingOrder="0"/>
    </xf>
    <xf borderId="0" fillId="0" fontId="51" numFmtId="0" xfId="0" applyAlignment="1" applyFont="1">
      <alignment readingOrder="0" shrinkToFit="0" wrapText="1"/>
    </xf>
    <xf borderId="0" fillId="0" fontId="53" numFmtId="0" xfId="0" applyAlignment="1" applyFont="1">
      <alignment readingOrder="0"/>
    </xf>
    <xf borderId="0" fillId="10" fontId="54" numFmtId="0" xfId="0" applyAlignment="1" applyFont="1">
      <alignment readingOrder="0"/>
    </xf>
    <xf borderId="0" fillId="10" fontId="51" numFmtId="0" xfId="0" applyAlignment="1" applyFont="1">
      <alignment readingOrder="0"/>
    </xf>
    <xf borderId="0" fillId="10" fontId="51" numFmtId="0" xfId="0" applyAlignment="1" applyFont="1">
      <alignment readingOrder="0" shrinkToFit="0" wrapText="1"/>
    </xf>
    <xf borderId="0" fillId="0" fontId="6" numFmtId="0" xfId="0" applyAlignment="1" applyFont="1">
      <alignment readingOrder="0" shrinkToFit="0" vertical="bottom" wrapText="0"/>
    </xf>
    <xf borderId="0" fillId="0" fontId="55" numFmtId="0" xfId="0" applyAlignment="1" applyFont="1">
      <alignment readingOrder="0" shrinkToFit="0" vertical="bottom" wrapText="0"/>
    </xf>
    <xf borderId="0" fillId="0" fontId="56" numFmtId="0" xfId="0" applyAlignment="1" applyFont="1">
      <alignment readingOrder="0" shrinkToFit="0" vertical="bottom" wrapText="0"/>
    </xf>
    <xf borderId="0" fillId="0" fontId="57" numFmtId="0" xfId="0" applyAlignment="1" applyFont="1">
      <alignment readingOrder="0" shrinkToFit="0" vertical="bottom" wrapText="0"/>
    </xf>
    <xf borderId="0" fillId="10" fontId="58" numFmtId="0" xfId="0" applyAlignment="1" applyFont="1">
      <alignment readingOrder="0" vertical="bottom"/>
    </xf>
    <xf borderId="0" fillId="10" fontId="6" numFmtId="0" xfId="0" applyAlignment="1" applyFont="1">
      <alignment readingOrder="0" shrinkToFit="0" vertical="bottom" wrapText="1"/>
    </xf>
    <xf borderId="0" fillId="10" fontId="5" numFmtId="0" xfId="0" applyAlignment="1" applyFont="1">
      <alignment readingOrder="0" shrinkToFit="0" wrapText="1"/>
    </xf>
    <xf borderId="0" fillId="10" fontId="8" numFmtId="0" xfId="0" applyAlignment="1" applyFont="1">
      <alignment readingOrder="0" vertical="bottom"/>
    </xf>
    <xf borderId="0" fillId="10" fontId="0" numFmtId="0" xfId="0" applyAlignment="1" applyFont="1">
      <alignment readingOrder="0" shrinkToFit="0" vertical="bottom" wrapText="1"/>
    </xf>
    <xf borderId="0" fillId="10" fontId="59" numFmtId="0" xfId="0" applyAlignment="1" applyFont="1">
      <alignment readingOrder="0" vertical="bottom"/>
    </xf>
    <xf borderId="0" fillId="10" fontId="8" numFmtId="0" xfId="0" applyAlignment="1" applyFont="1">
      <alignment horizontal="left" readingOrder="0" vertical="bottom"/>
    </xf>
    <xf borderId="0" fillId="10" fontId="6" numFmtId="0" xfId="0" applyAlignment="1" applyFont="1">
      <alignment horizontal="left" readingOrder="0" shrinkToFit="0" vertical="bottom" wrapText="1"/>
    </xf>
    <xf borderId="0" fillId="0" fontId="60" numFmtId="0" xfId="0" applyAlignment="1" applyFont="1">
      <alignment readingOrder="0" vertical="bottom"/>
    </xf>
    <xf borderId="0" fillId="0" fontId="6" numFmtId="0" xfId="0" applyAlignment="1" applyFont="1">
      <alignment shrinkToFit="0" vertical="bottom" wrapText="1"/>
    </xf>
    <xf borderId="0" fillId="10" fontId="61" numFmtId="0" xfId="0" applyAlignment="1" applyFont="1">
      <alignment readingOrder="0"/>
    </xf>
    <xf borderId="0" fillId="10" fontId="62" numFmtId="0" xfId="0" applyFont="1"/>
    <xf borderId="0" fillId="0" fontId="8" numFmtId="0" xfId="0" applyAlignment="1" applyFont="1">
      <alignment shrinkToFit="0" vertical="bottom" wrapText="0"/>
    </xf>
    <xf borderId="0" fillId="0" fontId="8" numFmtId="0" xfId="0" applyAlignment="1" applyFont="1">
      <alignment horizontal="left" shrinkToFit="0" vertical="bottom" wrapText="0"/>
    </xf>
    <xf borderId="5" fillId="0" fontId="3" numFmtId="0" xfId="0" applyAlignment="1" applyBorder="1" applyFont="1">
      <alignment horizontal="center" readingOrder="0"/>
    </xf>
    <xf borderId="0" fillId="0" fontId="63" numFmtId="0" xfId="0" applyAlignment="1" applyFont="1">
      <alignment horizontal="center" readingOrder="0" shrinkToFit="0" vertical="top" wrapText="1"/>
    </xf>
    <xf borderId="0" fillId="0" fontId="5" numFmtId="0" xfId="0" applyAlignment="1" applyFont="1">
      <alignment horizontal="center" readingOrder="0" vertical="center"/>
    </xf>
    <xf borderId="0" fillId="0" fontId="6" numFmtId="0" xfId="0" applyAlignment="1" applyFont="1">
      <alignment horizontal="right" vertical="bottom"/>
    </xf>
    <xf borderId="0" fillId="0" fontId="6" numFmtId="0" xfId="0" applyAlignment="1" applyFont="1">
      <alignment shrinkToFit="0" vertical="bottom" wrapText="1"/>
    </xf>
    <xf borderId="0" fillId="12" fontId="5" numFmtId="0" xfId="0" applyAlignment="1" applyFill="1" applyFont="1">
      <alignment readingOrder="0"/>
    </xf>
    <xf borderId="0" fillId="0" fontId="6"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left" readingOrder="0" shrinkToFit="0" wrapText="1"/>
    </xf>
    <xf borderId="0" fillId="0" fontId="4" numFmtId="0" xfId="0" applyAlignment="1" applyFont="1">
      <alignment horizontal="left" readingOrder="0"/>
    </xf>
    <xf borderId="1" fillId="0" fontId="5" numFmtId="0" xfId="0" applyAlignment="1" applyBorder="1" applyFont="1">
      <alignment readingOrder="0"/>
    </xf>
    <xf borderId="1" fillId="0" fontId="5" numFmtId="0" xfId="0" applyAlignment="1" applyBorder="1" applyFont="1">
      <alignment readingOrder="0" shrinkToFit="0" wrapText="0"/>
    </xf>
    <xf borderId="1" fillId="0" fontId="5" numFmtId="0" xfId="0" applyBorder="1" applyFont="1"/>
    <xf borderId="1" fillId="10" fontId="5" numFmtId="0" xfId="0" applyAlignment="1" applyBorder="1" applyFont="1">
      <alignment readingOrder="0" shrinkToFit="0" wrapText="0"/>
    </xf>
    <xf borderId="7" fillId="0" fontId="9" numFmtId="0" xfId="0" applyAlignment="1" applyBorder="1" applyFont="1">
      <alignment horizontal="center" shrinkToFit="0" vertical="top" wrapText="1"/>
    </xf>
    <xf borderId="0" fillId="10" fontId="5" numFmtId="0" xfId="0" applyAlignment="1" applyFont="1">
      <alignment horizontal="left" readingOrder="0"/>
    </xf>
    <xf borderId="0" fillId="10" fontId="64" numFmtId="0" xfId="0" applyAlignment="1" applyFont="1">
      <alignment readingOrder="0" shrinkToFit="0" vertical="bottom" wrapText="0"/>
    </xf>
    <xf borderId="0" fillId="10" fontId="6" numFmtId="0" xfId="0" applyAlignment="1" applyFont="1">
      <alignment shrinkToFit="0" vertical="bottom" wrapText="1"/>
    </xf>
    <xf borderId="0" fillId="10" fontId="6" numFmtId="0" xfId="0" applyAlignment="1" applyFont="1">
      <alignment horizontal="right" vertical="bottom"/>
    </xf>
    <xf borderId="0" fillId="10" fontId="8" numFmtId="0" xfId="0" applyAlignment="1" applyFont="1">
      <alignment readingOrder="0" shrinkToFit="0" vertical="bottom" wrapText="0"/>
    </xf>
    <xf borderId="0" fillId="10" fontId="8" numFmtId="0" xfId="0" applyAlignment="1" applyFont="1">
      <alignment readingOrder="0" shrinkToFit="0" vertical="bottom" wrapText="0"/>
    </xf>
    <xf borderId="0" fillId="10" fontId="65" numFmtId="0" xfId="0" applyAlignment="1" applyFont="1">
      <alignment vertical="bottom"/>
    </xf>
    <xf borderId="0" fillId="10" fontId="66" numFmtId="0" xfId="0" applyAlignment="1" applyFont="1">
      <alignment readingOrder="0" shrinkToFit="0" vertical="bottom" wrapText="0"/>
    </xf>
    <xf borderId="0" fillId="10" fontId="67" numFmtId="0" xfId="0" applyAlignment="1" applyFont="1">
      <alignment readingOrder="0" shrinkToFit="0" vertical="bottom" wrapText="0"/>
    </xf>
    <xf borderId="0" fillId="10" fontId="67" numFmtId="0" xfId="0" applyAlignment="1" applyFont="1">
      <alignment vertical="bottom"/>
    </xf>
    <xf borderId="0" fillId="10" fontId="67" numFmtId="49" xfId="0" applyAlignment="1" applyFont="1" applyNumberFormat="1">
      <alignment readingOrder="0" shrinkToFit="0" vertical="bottom" wrapText="0"/>
    </xf>
    <xf borderId="0" fillId="10" fontId="6" numFmtId="49" xfId="0" applyAlignment="1" applyFont="1" applyNumberFormat="1">
      <alignment readingOrder="0" shrinkToFit="0" vertical="bottom" wrapText="0"/>
    </xf>
    <xf borderId="0" fillId="10" fontId="68" numFmtId="0" xfId="0" applyAlignment="1" applyFont="1">
      <alignment readingOrder="0" shrinkToFit="0" vertical="bottom" wrapText="0"/>
    </xf>
    <xf borderId="0" fillId="10" fontId="67" numFmtId="0" xfId="0" applyAlignment="1" applyFont="1">
      <alignment shrinkToFit="0" vertical="bottom" wrapText="0"/>
    </xf>
    <xf borderId="0" fillId="0" fontId="5" numFmtId="0" xfId="0" applyFont="1"/>
    <xf borderId="0" fillId="10" fontId="6" numFmtId="0" xfId="0" applyAlignment="1" applyFont="1">
      <alignment horizontal="left" vertical="bottom"/>
    </xf>
    <xf borderId="0" fillId="0" fontId="8" numFmtId="0" xfId="0" applyAlignment="1" applyFont="1">
      <alignment readingOrder="0" vertical="bottom"/>
    </xf>
    <xf borderId="0" fillId="10" fontId="8" numFmtId="49" xfId="0" applyAlignment="1" applyFont="1" applyNumberFormat="1">
      <alignment readingOrder="0" shrinkToFit="0" vertical="bottom" wrapText="0"/>
    </xf>
    <xf borderId="0" fillId="10" fontId="24" numFmtId="0" xfId="0" applyAlignment="1" applyFont="1">
      <alignment readingOrder="0"/>
    </xf>
    <xf borderId="0" fillId="10" fontId="5" numFmtId="0" xfId="0" applyAlignment="1" applyFont="1">
      <alignment readingOrder="0"/>
    </xf>
    <xf borderId="0" fillId="0" fontId="8" numFmtId="0" xfId="0" applyAlignment="1" applyFont="1">
      <alignment readingOrder="0" shrinkToFit="0" vertical="bottom" wrapText="0"/>
    </xf>
    <xf borderId="0" fillId="0" fontId="5" numFmtId="0" xfId="0" applyAlignment="1" applyFont="1">
      <alignment readingOrder="0"/>
    </xf>
    <xf borderId="0" fillId="0" fontId="69" numFmtId="0" xfId="0" applyAlignment="1" applyFont="1">
      <alignment readingOrder="0"/>
    </xf>
    <xf borderId="0" fillId="0" fontId="6" numFmtId="0" xfId="0" applyAlignment="1" applyFont="1">
      <alignment horizontal="left" readingOrder="0" shrinkToFit="0" vertical="top" wrapText="0"/>
    </xf>
    <xf borderId="0" fillId="10" fontId="6" numFmtId="0" xfId="0" applyAlignment="1" applyFont="1">
      <alignment shrinkToFit="0" vertical="bottom" wrapText="1"/>
    </xf>
    <xf borderId="0" fillId="0" fontId="70" numFmtId="0" xfId="0" applyAlignment="1" applyFont="1">
      <alignment horizontal="left" readingOrder="1" shrinkToFit="0" vertical="center" wrapText="1"/>
    </xf>
    <xf borderId="1" fillId="13" fontId="71" numFmtId="0" xfId="0" applyAlignment="1" applyBorder="1" applyFill="1" applyFont="1">
      <alignment horizontal="center" vertical="center"/>
    </xf>
    <xf borderId="1" fillId="14" fontId="6" numFmtId="0" xfId="0" applyAlignment="1" applyBorder="1" applyFill="1" applyFont="1">
      <alignment shrinkToFit="0" vertical="top" wrapText="1"/>
    </xf>
    <xf borderId="1" fillId="14" fontId="6" numFmtId="0" xfId="0" applyAlignment="1" applyBorder="1" applyFont="1">
      <alignment readingOrder="0" shrinkToFit="0" vertical="top" wrapText="1"/>
    </xf>
    <xf borderId="1" fillId="15" fontId="6" numFmtId="0" xfId="0" applyAlignment="1" applyBorder="1" applyFill="1" applyFont="1">
      <alignment shrinkToFit="0" vertical="top" wrapText="1"/>
    </xf>
    <xf borderId="1" fillId="16" fontId="6" numFmtId="0" xfId="0" applyAlignment="1" applyBorder="1" applyFill="1" applyFont="1">
      <alignment shrinkToFit="0" vertical="top" wrapText="1"/>
    </xf>
    <xf borderId="1" fillId="17" fontId="6" numFmtId="0" xfId="0" applyAlignment="1" applyBorder="1" applyFill="1" applyFont="1">
      <alignment shrinkToFit="0" vertical="top" wrapText="1"/>
    </xf>
    <xf borderId="1" fillId="0" fontId="12" numFmtId="0" xfId="0" applyAlignment="1" applyBorder="1" applyFont="1">
      <alignment horizontal="center" shrinkToFit="0" vertical="top" wrapText="1"/>
    </xf>
    <xf borderId="1" fillId="0" fontId="13" numFmtId="0" xfId="0" applyAlignment="1" applyBorder="1" applyFont="1">
      <alignment horizontal="center" shrinkToFit="0" vertical="top" wrapText="1"/>
    </xf>
    <xf borderId="1" fillId="0" fontId="12" numFmtId="0" xfId="0" applyAlignment="1" applyBorder="1" applyFont="1">
      <alignment horizontal="center" readingOrder="0" shrinkToFit="0" vertical="top" wrapText="1"/>
    </xf>
    <xf borderId="7" fillId="0" fontId="13" numFmtId="0" xfId="0" applyAlignment="1" applyBorder="1" applyFont="1">
      <alignment horizontal="center" readingOrder="0" shrinkToFit="0" vertical="top" wrapText="1"/>
    </xf>
    <xf borderId="7" fillId="0" fontId="13" numFmtId="0" xfId="0" applyAlignment="1" applyBorder="1" applyFont="1">
      <alignment horizontal="center" shrinkToFit="0" vertical="top" wrapText="1"/>
    </xf>
    <xf borderId="0" fillId="18" fontId="5" numFmtId="0" xfId="0" applyFill="1" applyFont="1"/>
    <xf borderId="0" fillId="18" fontId="5" numFmtId="0" xfId="0" applyAlignment="1" applyFont="1">
      <alignment readingOrder="0"/>
    </xf>
    <xf borderId="0" fillId="19" fontId="5" numFmtId="0" xfId="0" applyFill="1" applyFont="1"/>
    <xf borderId="0" fillId="19" fontId="5" numFmtId="0" xfId="0" applyAlignment="1" applyFont="1">
      <alignment readingOrder="0"/>
    </xf>
    <xf quotePrefix="1" borderId="0" fillId="4" fontId="8" numFmtId="49" xfId="0" applyAlignment="1" applyFont="1" applyNumberFormat="1">
      <alignment readingOrder="0" shrinkToFit="0" vertical="bottom" wrapText="0"/>
    </xf>
    <xf borderId="0" fillId="4" fontId="5" numFmtId="0" xfId="0" applyAlignment="1" applyFont="1">
      <alignment readingOrder="0"/>
    </xf>
    <xf borderId="2" fillId="20" fontId="5" numFmtId="0" xfId="0" applyAlignment="1" applyBorder="1" applyFill="1" applyFont="1">
      <alignment readingOrder="0"/>
    </xf>
    <xf borderId="3" fillId="20" fontId="5" numFmtId="0" xfId="0" applyBorder="1" applyFont="1"/>
    <xf borderId="4" fillId="20" fontId="5" numFmtId="0" xfId="0" applyBorder="1" applyFont="1"/>
    <xf borderId="0" fillId="21" fontId="8" numFmtId="0" xfId="0" applyAlignment="1" applyFill="1" applyFont="1">
      <alignment readingOrder="0" shrinkToFit="0" vertical="bottom" wrapText="0"/>
    </xf>
    <xf borderId="0" fillId="21" fontId="5" numFmtId="0" xfId="0" applyAlignment="1" applyFont="1">
      <alignment readingOrder="0"/>
    </xf>
    <xf borderId="0" fillId="21" fontId="5" numFmtId="0" xfId="0" applyFont="1"/>
    <xf borderId="0" fillId="6" fontId="5" numFmtId="0" xfId="0" applyFont="1"/>
    <xf borderId="0" fillId="6" fontId="5" numFmtId="0" xfId="0" applyAlignment="1" applyFont="1">
      <alignment readingOrder="0"/>
    </xf>
    <xf borderId="9" fillId="0" fontId="5" numFmtId="0" xfId="0" applyBorder="1" applyFont="1"/>
    <xf borderId="10" fillId="0" fontId="5" numFmtId="0" xfId="0" applyBorder="1" applyFont="1"/>
    <xf borderId="6" fillId="0" fontId="5" numFmtId="0" xfId="0" applyBorder="1" applyFont="1"/>
    <xf borderId="0" fillId="19" fontId="8" numFmtId="0" xfId="0" applyAlignment="1" applyFont="1">
      <alignment readingOrder="0" shrinkToFit="0" vertical="bottom" wrapText="0"/>
    </xf>
    <xf quotePrefix="1" borderId="0" fillId="19" fontId="8" numFmtId="49" xfId="0" applyAlignment="1" applyFont="1" applyNumberFormat="1">
      <alignment readingOrder="0" shrinkToFit="0" vertical="bottom" wrapText="0"/>
    </xf>
    <xf borderId="0" fillId="19" fontId="8" numFmtId="0" xfId="0" applyAlignment="1" applyFont="1">
      <alignment shrinkToFit="0" vertical="bottom" wrapText="0"/>
    </xf>
    <xf borderId="0" fillId="6" fontId="8" numFmtId="0" xfId="0" applyAlignment="1" applyFont="1">
      <alignment readingOrder="0" shrinkToFit="0" vertical="bottom" wrapText="0"/>
    </xf>
    <xf quotePrefix="1" borderId="0" fillId="6" fontId="8" numFmtId="49" xfId="0" applyAlignment="1" applyFont="1" applyNumberFormat="1">
      <alignment readingOrder="0" shrinkToFit="0" vertical="bottom" wrapText="0"/>
    </xf>
    <xf borderId="0" fillId="6" fontId="8" numFmtId="0" xfId="0" applyAlignment="1" applyFont="1">
      <alignment shrinkToFit="0" vertical="bottom" wrapText="0"/>
    </xf>
    <xf borderId="0" fillId="18" fontId="72" numFmtId="0" xfId="0" applyAlignment="1" applyFont="1">
      <alignment readingOrder="0"/>
    </xf>
    <xf borderId="0" fillId="0" fontId="73" numFmtId="0" xfId="0" applyFont="1"/>
    <xf borderId="0" fillId="6" fontId="74" numFmtId="0" xfId="0" applyAlignment="1" applyFont="1">
      <alignment readingOrder="0"/>
    </xf>
    <xf borderId="0" fillId="18" fontId="75" numFmtId="0" xfId="0" applyAlignment="1" applyFont="1">
      <alignment readingOrder="0"/>
    </xf>
    <xf borderId="0" fillId="0" fontId="76" numFmtId="0" xfId="0" applyAlignment="1" applyFont="1">
      <alignment readingOrder="0" shrinkToFit="0" vertical="bottom" wrapText="0"/>
    </xf>
    <xf borderId="0" fillId="4" fontId="77" numFmtId="0" xfId="0" applyAlignment="1" applyFont="1">
      <alignment readingOrder="0"/>
    </xf>
    <xf borderId="12" fillId="0" fontId="5" numFmtId="0" xfId="0" applyBorder="1" applyFont="1"/>
    <xf borderId="0" fillId="18" fontId="8" numFmtId="0" xfId="0" applyAlignment="1" applyFont="1">
      <alignment readingOrder="0" shrinkToFit="0" vertical="bottom" wrapText="0"/>
    </xf>
    <xf quotePrefix="1" borderId="0" fillId="18" fontId="8" numFmtId="49" xfId="0" applyAlignment="1" applyFont="1" applyNumberFormat="1">
      <alignment readingOrder="0" shrinkToFit="0" vertical="bottom" wrapText="0"/>
    </xf>
    <xf borderId="7" fillId="0" fontId="13" numFmtId="0" xfId="0" applyAlignment="1" applyBorder="1" applyFont="1">
      <alignment horizontal="center" readingOrder="0" shrinkToFit="0" vertical="top" wrapText="1"/>
    </xf>
    <xf borderId="6" fillId="0" fontId="13" numFmtId="0" xfId="0" applyAlignment="1" applyBorder="1" applyFont="1">
      <alignment horizontal="center" readingOrder="0" shrinkToFit="0" vertical="top" wrapText="1"/>
    </xf>
    <xf borderId="6" fillId="0" fontId="13" numFmtId="0" xfId="0" applyAlignment="1" applyBorder="1" applyFont="1">
      <alignment horizontal="center" readingOrder="0" shrinkToFit="0" vertical="top" wrapText="1"/>
    </xf>
    <xf borderId="0" fillId="0" fontId="13" numFmtId="0" xfId="0" applyAlignment="1" applyFont="1">
      <alignment horizontal="center" shrinkToFit="0" vertical="top" wrapText="1"/>
    </xf>
    <xf borderId="0" fillId="10" fontId="78" numFmtId="0" xfId="0" applyAlignment="1" applyFont="1">
      <alignment readingOrder="0" shrinkToFit="0" vertical="bottom" wrapText="0"/>
    </xf>
    <xf borderId="14" fillId="10" fontId="8" numFmtId="0" xfId="0" applyAlignment="1" applyBorder="1" applyFont="1">
      <alignment shrinkToFit="0" vertical="bottom" wrapText="0"/>
    </xf>
    <xf borderId="0" fillId="10" fontId="8" numFmtId="0" xfId="0" applyAlignment="1" applyFont="1">
      <alignment shrinkToFit="0" vertical="bottom" wrapText="0"/>
    </xf>
    <xf borderId="0" fillId="18" fontId="79" numFmtId="0" xfId="0" applyAlignment="1" applyFont="1">
      <alignment readingOrder="0" shrinkToFit="0" vertical="bottom" wrapText="0"/>
    </xf>
    <xf borderId="0" fillId="18" fontId="5" numFmtId="0" xfId="0" applyAlignment="1" applyFont="1">
      <alignment shrinkToFit="0" wrapText="0"/>
    </xf>
    <xf borderId="0" fillId="18" fontId="5" numFmtId="0" xfId="0" applyAlignment="1" applyFont="1">
      <alignment readingOrder="0" shrinkToFit="0" wrapText="0"/>
    </xf>
    <xf borderId="0" fillId="18" fontId="8" numFmtId="0" xfId="0" applyAlignment="1" applyFont="1">
      <alignment shrinkToFit="0" vertical="bottom" wrapText="0"/>
    </xf>
    <xf borderId="0" fillId="18" fontId="8" numFmtId="0" xfId="0" applyAlignment="1" applyFont="1">
      <alignment readingOrder="0" shrinkToFit="0" vertical="bottom" wrapText="0"/>
    </xf>
    <xf borderId="0" fillId="19" fontId="80" numFmtId="0" xfId="0" applyAlignment="1" applyFont="1">
      <alignment readingOrder="0" shrinkToFit="0" vertical="bottom" wrapText="0"/>
    </xf>
    <xf borderId="0" fillId="19" fontId="8" numFmtId="0" xfId="0" applyAlignment="1" applyFont="1">
      <alignment shrinkToFit="0" vertical="bottom" wrapText="0"/>
    </xf>
    <xf borderId="0" fillId="19" fontId="76" numFmtId="0" xfId="0" applyAlignment="1" applyFont="1">
      <alignment readingOrder="0" shrinkToFit="0" vertical="bottom" wrapText="0"/>
    </xf>
    <xf borderId="0" fillId="19" fontId="8" numFmtId="0" xfId="0" applyAlignment="1" applyFont="1">
      <alignment readingOrder="0" shrinkToFit="0" vertical="bottom" wrapText="0"/>
    </xf>
    <xf borderId="0" fillId="19" fontId="5" numFmtId="0" xfId="0" applyAlignment="1" applyFont="1">
      <alignment readingOrder="0" shrinkToFit="0" wrapText="0"/>
    </xf>
    <xf borderId="0" fillId="19" fontId="5" numFmtId="0" xfId="0" applyAlignment="1" applyFont="1">
      <alignment shrinkToFit="0" wrapText="0"/>
    </xf>
    <xf borderId="0" fillId="0" fontId="8" numFmtId="0" xfId="0" applyAlignment="1" applyFont="1">
      <alignment shrinkToFit="0" vertical="bottom" wrapText="0"/>
    </xf>
    <xf borderId="0" fillId="0" fontId="6" numFmtId="0" xfId="0" applyAlignment="1" applyFont="1">
      <alignment horizontal="right" readingOrder="0" shrinkToFit="0" vertical="bottom" wrapText="0"/>
    </xf>
    <xf borderId="0" fillId="6" fontId="81" numFmtId="0" xfId="0" applyAlignment="1" applyFont="1">
      <alignment readingOrder="0" shrinkToFit="0" vertical="bottom" wrapText="0"/>
    </xf>
    <xf borderId="0" fillId="6" fontId="8" numFmtId="0" xfId="0" applyAlignment="1" applyFont="1">
      <alignment shrinkToFit="0" vertical="bottom" wrapText="0"/>
    </xf>
    <xf borderId="0" fillId="6" fontId="5" numFmtId="0" xfId="0" applyAlignment="1" applyFont="1">
      <alignment shrinkToFit="0" wrapText="0"/>
    </xf>
    <xf borderId="0" fillId="6"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5" fontId="82" numFmtId="0" xfId="0" applyAlignment="1" applyFont="1">
      <alignment readingOrder="0" shrinkToFit="0" vertical="bottom" wrapText="0"/>
    </xf>
    <xf borderId="0" fillId="5" fontId="8" numFmtId="0" xfId="0" applyAlignment="1" applyFont="1">
      <alignment horizontal="right" readingOrder="0"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0"/>
    </xf>
    <xf borderId="0" fillId="5" fontId="8" numFmtId="0" xfId="0" applyAlignment="1" applyFont="1">
      <alignment readingOrder="0" shrinkToFit="0" vertical="bottom" wrapText="0"/>
    </xf>
    <xf borderId="0" fillId="5" fontId="5" numFmtId="0" xfId="0" applyAlignment="1" applyFont="1">
      <alignment readingOrder="0"/>
    </xf>
    <xf borderId="0" fillId="5" fontId="5" numFmtId="0" xfId="0" applyAlignment="1" applyFont="1">
      <alignment shrinkToFit="0" wrapText="0"/>
    </xf>
    <xf borderId="0" fillId="18" fontId="8" numFmtId="0" xfId="0" applyAlignment="1" applyFont="1">
      <alignment horizontal="right" readingOrder="0" shrinkToFit="0" vertical="bottom" wrapText="0"/>
    </xf>
    <xf borderId="0" fillId="18" fontId="8" numFmtId="0" xfId="0" applyAlignment="1" applyFont="1">
      <alignment shrinkToFit="0" vertical="bottom" wrapText="0"/>
    </xf>
    <xf borderId="2" fillId="0" fontId="5" numFmtId="0" xfId="0" applyBorder="1" applyFont="1"/>
    <xf borderId="3" fillId="0" fontId="5" numFmtId="0" xfId="0" applyBorder="1" applyFont="1"/>
    <xf borderId="3" fillId="0" fontId="83" numFmtId="0" xfId="0" applyAlignment="1" applyBorder="1" applyFont="1">
      <alignment readingOrder="0" shrinkToFit="0" vertical="bottom" wrapText="0"/>
    </xf>
    <xf borderId="3" fillId="0" fontId="8" numFmtId="0" xfId="0" applyAlignment="1" applyBorder="1" applyFont="1">
      <alignment horizontal="right" readingOrder="0" shrinkToFit="0" vertical="bottom" wrapText="0"/>
    </xf>
    <xf borderId="3" fillId="0" fontId="8" numFmtId="0" xfId="0" applyAlignment="1" applyBorder="1" applyFont="1">
      <alignment readingOrder="0" shrinkToFit="0" vertical="bottom" wrapText="0"/>
    </xf>
    <xf borderId="3" fillId="0" fontId="8" numFmtId="0" xfId="0" applyAlignment="1" applyBorder="1" applyFont="1">
      <alignment shrinkToFit="0" vertical="bottom" wrapText="0"/>
    </xf>
    <xf borderId="4" fillId="0" fontId="8" numFmtId="0" xfId="0" applyAlignment="1" applyBorder="1" applyFont="1">
      <alignment shrinkToFit="0" vertical="bottom" wrapText="0"/>
    </xf>
    <xf quotePrefix="1" borderId="0" fillId="19" fontId="8" numFmtId="0" xfId="0" applyAlignment="1" applyFont="1">
      <alignment readingOrder="0" shrinkToFit="0" vertical="bottom" wrapText="0"/>
    </xf>
    <xf borderId="0" fillId="19" fontId="8" numFmtId="0" xfId="0" applyAlignment="1" applyFont="1">
      <alignment horizontal="right" readingOrder="0" shrinkToFit="0" vertical="bottom" wrapText="0"/>
    </xf>
    <xf borderId="0" fillId="19" fontId="8" numFmtId="0" xfId="0" applyAlignment="1" applyFont="1">
      <alignment shrinkToFit="0" vertical="bottom" wrapText="0"/>
    </xf>
    <xf quotePrefix="1" borderId="0" fillId="0" fontId="8" numFmtId="0" xfId="0" applyAlignment="1" applyFont="1">
      <alignment readingOrder="0" shrinkToFit="0" vertical="bottom" wrapText="0"/>
    </xf>
    <xf quotePrefix="1" borderId="0" fillId="4" fontId="8" numFmtId="0" xfId="0" applyAlignment="1" applyFont="1">
      <alignment readingOrder="0" shrinkToFit="0" vertical="bottom" wrapText="0"/>
    </xf>
    <xf borderId="0" fillId="4" fontId="84" numFmtId="0" xfId="0" applyAlignment="1" applyFont="1">
      <alignment readingOrder="0" shrinkToFit="0" vertical="bottom" wrapText="0"/>
    </xf>
    <xf borderId="0" fillId="4" fontId="8" numFmtId="0" xfId="0" applyAlignment="1" applyFont="1">
      <alignment horizontal="right" readingOrder="0" shrinkToFit="0" vertical="bottom" wrapText="0"/>
    </xf>
    <xf borderId="0" fillId="4" fontId="8" numFmtId="0" xfId="0" applyAlignment="1" applyFont="1">
      <alignment shrinkToFit="0" vertical="bottom" wrapText="0"/>
    </xf>
    <xf borderId="0" fillId="4" fontId="8" numFmtId="0" xfId="0" applyAlignment="1" applyFont="1">
      <alignment readingOrder="0" shrinkToFit="0" vertical="bottom" wrapText="0"/>
    </xf>
    <xf borderId="0" fillId="7" fontId="8" numFmtId="0" xfId="0" applyAlignment="1" applyFont="1">
      <alignment readingOrder="0" shrinkToFit="0" vertical="bottom" wrapText="0"/>
    </xf>
    <xf quotePrefix="1" borderId="0" fillId="7" fontId="8" numFmtId="0" xfId="0" applyAlignment="1" applyFont="1">
      <alignment readingOrder="0" shrinkToFit="0" vertical="bottom" wrapText="0"/>
    </xf>
    <xf borderId="0" fillId="7" fontId="85" numFmtId="0" xfId="0" applyAlignment="1" applyFont="1">
      <alignment readingOrder="0" shrinkToFit="0" vertical="bottom" wrapText="0"/>
    </xf>
    <xf borderId="0" fillId="7" fontId="8" numFmtId="0" xfId="0" applyAlignment="1" applyFont="1">
      <alignment horizontal="right" readingOrder="0"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0"/>
    </xf>
    <xf borderId="0" fillId="5" fontId="5" numFmtId="49" xfId="0" applyFont="1" applyNumberFormat="1"/>
    <xf borderId="0" fillId="5" fontId="86" numFmtId="0" xfId="0" applyAlignment="1" applyFont="1">
      <alignment readingOrder="0" shrinkToFit="0" wrapText="0"/>
    </xf>
    <xf borderId="0" fillId="5" fontId="5" numFmtId="0" xfId="0" applyAlignment="1" applyFont="1">
      <alignment readingOrder="0" shrinkToFit="0" wrapText="0"/>
    </xf>
    <xf borderId="0" fillId="4" fontId="5" numFmtId="49" xfId="0" applyFont="1" applyNumberFormat="1"/>
    <xf borderId="0" fillId="4" fontId="5" numFmtId="0" xfId="0" applyAlignment="1" applyFont="1">
      <alignment shrinkToFit="0" wrapText="0"/>
    </xf>
    <xf borderId="0" fillId="4" fontId="87" numFmtId="0" xfId="0" applyAlignment="1" applyFont="1">
      <alignment readingOrder="0" shrinkToFit="0" wrapText="0"/>
    </xf>
    <xf borderId="0" fillId="5" fontId="88" numFmtId="0" xfId="0" applyAlignment="1" applyFont="1">
      <alignment readingOrder="0" shrinkToFit="0" wrapText="0"/>
    </xf>
    <xf borderId="0" fillId="19" fontId="5" numFmtId="49" xfId="0" applyFont="1" applyNumberFormat="1"/>
    <xf borderId="0" fillId="19" fontId="89" numFmtId="0" xfId="0" applyAlignment="1" applyFont="1">
      <alignment readingOrder="0" shrinkToFit="0" wrapText="0"/>
    </xf>
    <xf borderId="0" fillId="6" fontId="5" numFmtId="49" xfId="0" applyFont="1" applyNumberFormat="1"/>
    <xf borderId="0" fillId="0" fontId="90" numFmtId="0" xfId="0" applyAlignment="1" applyFont="1">
      <alignment readingOrder="0" shrinkToFit="0" vertical="bottom" wrapText="0"/>
    </xf>
    <xf borderId="0" fillId="0" fontId="91" numFmtId="0" xfId="0" applyAlignment="1" applyFont="1">
      <alignment readingOrder="0" shrinkToFit="0" vertical="bottom" wrapText="0"/>
    </xf>
    <xf borderId="0" fillId="19" fontId="92" numFmtId="0" xfId="0" applyFont="1"/>
    <xf borderId="0" fillId="19" fontId="93" numFmtId="0" xfId="0" applyAlignment="1" applyFont="1">
      <alignment readingOrder="0"/>
    </xf>
    <xf borderId="0" fillId="19" fontId="92" numFmtId="0" xfId="0" applyAlignment="1" applyFont="1">
      <alignment readingOrder="0"/>
    </xf>
    <xf borderId="0" fillId="0" fontId="8" numFmtId="49" xfId="0" applyAlignment="1" applyFont="1" applyNumberFormat="1">
      <alignment readingOrder="0" shrinkToFit="0" vertical="bottom" wrapText="0"/>
    </xf>
    <xf borderId="0" fillId="22" fontId="8" numFmtId="0" xfId="0" applyAlignment="1" applyFill="1" applyFont="1">
      <alignment readingOrder="0" shrinkToFit="0" vertical="bottom" wrapText="0"/>
    </xf>
    <xf borderId="0" fillId="22" fontId="94" numFmtId="49" xfId="0" applyAlignment="1" applyFont="1" applyNumberFormat="1">
      <alignment readingOrder="0" shrinkToFit="0" vertical="bottom" wrapText="0"/>
    </xf>
    <xf quotePrefix="1" borderId="0" fillId="22" fontId="6" numFmtId="49" xfId="0" applyAlignment="1" applyFont="1" applyNumberFormat="1">
      <alignment vertical="bottom"/>
    </xf>
    <xf borderId="0" fillId="22" fontId="6" numFmtId="0" xfId="0" applyAlignment="1" applyFont="1">
      <alignment vertical="bottom"/>
    </xf>
    <xf borderId="0" fillId="22" fontId="6" numFmtId="0" xfId="0" applyAlignment="1" applyFont="1">
      <alignment vertical="bottom"/>
    </xf>
    <xf borderId="0" fillId="22" fontId="8" numFmtId="0" xfId="0" applyAlignment="1" applyFont="1">
      <alignment shrinkToFit="0" vertical="bottom" wrapText="0"/>
    </xf>
    <xf borderId="0" fillId="22" fontId="5" numFmtId="0" xfId="0" applyFont="1"/>
    <xf borderId="0" fillId="22" fontId="5" numFmtId="0" xfId="0" applyAlignment="1" applyFont="1">
      <alignment readingOrder="0"/>
    </xf>
    <xf borderId="0" fillId="19" fontId="95" numFmtId="49" xfId="0" applyAlignment="1" applyFont="1" applyNumberFormat="1">
      <alignment readingOrder="0" shrinkToFit="0" vertical="bottom" wrapText="0"/>
    </xf>
    <xf quotePrefix="1" borderId="0" fillId="19" fontId="6" numFmtId="49" xfId="0" applyAlignment="1" applyFont="1" applyNumberFormat="1">
      <alignment vertical="bottom"/>
    </xf>
    <xf borderId="0" fillId="19" fontId="6" numFmtId="0" xfId="0" applyAlignment="1" applyFont="1">
      <alignment vertical="bottom"/>
    </xf>
    <xf borderId="0" fillId="19" fontId="6" numFmtId="0" xfId="0" applyAlignment="1" applyFont="1">
      <alignment readingOrder="0" vertical="bottom"/>
    </xf>
    <xf borderId="0" fillId="23" fontId="8" numFmtId="0" xfId="0" applyAlignment="1" applyFill="1" applyFont="1">
      <alignment readingOrder="0" shrinkToFit="0" vertical="bottom" wrapText="0"/>
    </xf>
    <xf borderId="0" fillId="23" fontId="96" numFmtId="49" xfId="0" applyAlignment="1" applyFont="1" applyNumberFormat="1">
      <alignment readingOrder="0" shrinkToFit="0" vertical="bottom" wrapText="0"/>
    </xf>
    <xf quotePrefix="1" borderId="0" fillId="23" fontId="6" numFmtId="49" xfId="0" applyAlignment="1" applyFont="1" applyNumberFormat="1">
      <alignment vertical="bottom"/>
    </xf>
    <xf borderId="0" fillId="23" fontId="6" numFmtId="0" xfId="0" applyAlignment="1" applyFont="1">
      <alignment vertical="bottom"/>
    </xf>
    <xf borderId="0" fillId="23" fontId="6" numFmtId="0" xfId="0" applyAlignment="1" applyFont="1">
      <alignment vertical="bottom"/>
    </xf>
    <xf borderId="0" fillId="23" fontId="8" numFmtId="0" xfId="0" applyAlignment="1" applyFont="1">
      <alignment shrinkToFit="0" vertical="bottom" wrapText="0"/>
    </xf>
    <xf borderId="0" fillId="23" fontId="5" numFmtId="0" xfId="0" applyFont="1"/>
    <xf borderId="0" fillId="23" fontId="5" numFmtId="0" xfId="0" applyAlignment="1" applyFont="1">
      <alignment readingOrder="0"/>
    </xf>
    <xf borderId="0" fillId="0" fontId="10" numFmtId="0" xfId="0" applyAlignment="1" applyFont="1">
      <alignment horizontal="center" readingOrder="0" shrinkToFit="0" vertical="top" wrapText="1"/>
    </xf>
    <xf borderId="0" fillId="0" fontId="0" numFmtId="0" xfId="0" applyFont="1"/>
    <xf borderId="0" fillId="0" fontId="0" numFmtId="0" xfId="0" applyAlignment="1" applyFont="1">
      <alignment readingOrder="0"/>
    </xf>
    <xf borderId="0" fillId="0" fontId="0" numFmtId="0" xfId="0" applyFont="1"/>
    <xf borderId="0" fillId="19" fontId="0" numFmtId="0" xfId="0" applyFont="1"/>
    <xf borderId="0" fillId="19" fontId="0" numFmtId="0" xfId="0" applyAlignment="1" applyFont="1">
      <alignment readingOrder="0"/>
    </xf>
    <xf borderId="0" fillId="0" fontId="0" numFmtId="0" xfId="0" applyAlignment="1" applyFont="1">
      <alignment shrinkToFit="0" wrapText="0"/>
    </xf>
    <xf borderId="0" fillId="0" fontId="0" numFmtId="0" xfId="0" applyAlignment="1" applyFont="1">
      <alignment readingOrder="0" shrinkToFit="0" wrapText="0"/>
    </xf>
    <xf borderId="0" fillId="0" fontId="0" numFmtId="0" xfId="0" applyAlignment="1" applyFont="1">
      <alignment shrinkToFit="0" wrapText="0"/>
    </xf>
    <xf borderId="0" fillId="0" fontId="5" numFmtId="0" xfId="0" applyAlignment="1" applyFont="1">
      <alignment shrinkToFit="0" wrapText="0"/>
    </xf>
    <xf borderId="0" fillId="6" fontId="0" numFmtId="0" xfId="0" applyFont="1"/>
    <xf borderId="0" fillId="6" fontId="0" numFmtId="0" xfId="0" applyAlignment="1" applyFont="1">
      <alignment readingOrder="0"/>
    </xf>
    <xf borderId="0" fillId="6" fontId="0" numFmtId="0" xfId="0" applyFont="1"/>
    <xf borderId="0" fillId="18" fontId="0" numFmtId="0" xfId="0" applyFont="1"/>
    <xf borderId="0" fillId="18" fontId="0" numFmtId="0" xfId="0" applyAlignment="1" applyFont="1">
      <alignment readingOrder="0"/>
    </xf>
    <xf borderId="15" fillId="0" fontId="97" numFmtId="0" xfId="0" applyAlignment="1" applyBorder="1" applyFont="1">
      <alignment readingOrder="0" shrinkToFit="0" vertical="bottom" wrapText="0"/>
    </xf>
    <xf borderId="15" fillId="0" fontId="98" numFmtId="0" xfId="0" applyAlignment="1" applyBorder="1" applyFont="1">
      <alignment readingOrder="0" shrinkToFit="0" vertical="bottom" wrapText="0"/>
    </xf>
    <xf borderId="16" fillId="0" fontId="98" numFmtId="0" xfId="0" applyAlignment="1" applyBorder="1" applyFont="1">
      <alignment readingOrder="0" shrinkToFit="0" vertical="bottom" wrapText="0"/>
    </xf>
    <xf borderId="0" fillId="0" fontId="99" numFmtId="0" xfId="0" applyAlignment="1" applyFont="1">
      <alignment horizontal="center" readingOrder="0"/>
    </xf>
    <xf borderId="0" fillId="0" fontId="100" numFmtId="0" xfId="0" applyAlignment="1" applyFont="1">
      <alignment horizontal="left" readingOrder="0" shrinkToFit="0" vertical="top" wrapText="1"/>
    </xf>
    <xf borderId="0" fillId="0" fontId="8" numFmtId="0" xfId="0" applyAlignment="1" applyFont="1">
      <alignment readingOrder="0" shrinkToFit="0" wrapText="1"/>
    </xf>
    <xf borderId="0" fillId="0" fontId="6" numFmtId="0" xfId="0" applyAlignment="1" applyFont="1">
      <alignment horizontal="center" readingOrder="0" vertical="bottom"/>
    </xf>
    <xf borderId="0" fillId="0" fontId="5" numFmtId="0" xfId="0" applyAlignment="1" applyFont="1">
      <alignment shrinkToFit="0" wrapText="1"/>
    </xf>
    <xf borderId="0" fillId="0" fontId="8" numFmtId="0" xfId="0" applyAlignment="1" applyFont="1">
      <alignment readingOrder="0" shrinkToFit="0" vertical="bottom" wrapText="1"/>
    </xf>
    <xf borderId="0" fillId="6" fontId="5" numFmtId="0" xfId="0" applyAlignment="1" applyFont="1">
      <alignment shrinkToFit="0" wrapText="1"/>
    </xf>
    <xf borderId="0" fillId="0" fontId="100" numFmtId="0" xfId="0" applyAlignment="1" applyFont="1">
      <alignment horizontal="left" readingOrder="0" shrinkToFit="0" wrapText="1"/>
    </xf>
    <xf borderId="6" fillId="0" fontId="6" numFmtId="0" xfId="0" applyBorder="1" applyFont="1"/>
    <xf borderId="7" fillId="0" fontId="6" numFmtId="0" xfId="0" applyBorder="1" applyFont="1"/>
    <xf borderId="1" fillId="0" fontId="101" numFmtId="0" xfId="0" applyAlignment="1" applyBorder="1" applyFont="1">
      <alignment readingOrder="0" vertical="bottom"/>
    </xf>
    <xf borderId="1" fillId="0" fontId="101" numFmtId="0" xfId="0" applyAlignment="1" applyBorder="1" applyFont="1">
      <alignment vertical="bottom"/>
    </xf>
    <xf borderId="1" fillId="4" fontId="8" numFmtId="0" xfId="0" applyAlignment="1" applyBorder="1" applyFont="1">
      <alignment shrinkToFit="0" vertical="bottom" wrapText="0"/>
    </xf>
    <xf borderId="1" fillId="8" fontId="8" numFmtId="0" xfId="0" applyAlignment="1" applyBorder="1" applyFont="1">
      <alignment shrinkToFit="0" vertical="bottom" wrapText="0"/>
    </xf>
    <xf borderId="1" fillId="8" fontId="8" numFmtId="0" xfId="0" applyAlignment="1" applyBorder="1" applyFont="1">
      <alignment readingOrder="0" shrinkToFit="0" vertical="bottom" wrapText="0"/>
    </xf>
    <xf borderId="1" fillId="0" fontId="8" numFmtId="0" xfId="0" applyAlignment="1" applyBorder="1" applyFont="1">
      <alignment horizontal="center" shrinkToFit="0" wrapText="0"/>
    </xf>
    <xf borderId="1" fillId="0" fontId="6" numFmtId="0" xfId="0" applyAlignment="1" applyBorder="1" applyFont="1">
      <alignment vertical="bottom"/>
    </xf>
    <xf borderId="1" fillId="0" fontId="6" numFmtId="0" xfId="0" applyAlignment="1" applyBorder="1" applyFont="1">
      <alignment vertical="bottom"/>
    </xf>
    <xf borderId="8" fillId="24" fontId="6" numFmtId="0" xfId="0" applyAlignment="1" applyBorder="1" applyFill="1" applyFont="1">
      <alignment horizontal="center" readingOrder="0"/>
    </xf>
    <xf borderId="8" fillId="0" fontId="2" numFmtId="0" xfId="0" applyBorder="1" applyFont="1"/>
    <xf borderId="1" fillId="5" fontId="8" numFmtId="0" xfId="0" applyAlignment="1" applyBorder="1" applyFont="1">
      <alignment horizontal="center" shrinkToFit="0" wrapText="0"/>
    </xf>
    <xf borderId="1" fillId="0" fontId="8" numFmtId="0" xfId="0" applyAlignment="1" applyBorder="1" applyFont="1">
      <alignment shrinkToFit="0" vertical="bottom" wrapText="0"/>
    </xf>
    <xf borderId="1" fillId="8" fontId="6" numFmtId="0" xfId="0" applyAlignment="1" applyBorder="1" applyFont="1">
      <alignment vertical="bottom"/>
    </xf>
    <xf borderId="1" fillId="8" fontId="6" numFmtId="0" xfId="0" applyAlignment="1" applyBorder="1" applyFont="1">
      <alignment vertical="bottom"/>
    </xf>
    <xf borderId="7" fillId="0" fontId="2" numFmtId="0" xfId="0" applyBorder="1" applyFont="1"/>
    <xf borderId="0" fillId="0" fontId="102" numFmtId="0" xfId="0" applyAlignment="1" applyFont="1">
      <alignment vertical="bottom"/>
    </xf>
    <xf borderId="0" fillId="0" fontId="103" numFmtId="0" xfId="0" applyAlignment="1" applyFont="1">
      <alignment readingOrder="0" vertical="bottom"/>
    </xf>
    <xf borderId="0" fillId="0" fontId="102" numFmtId="0" xfId="0" applyAlignment="1" applyFont="1">
      <alignment readingOrder="0" vertical="bottom"/>
    </xf>
    <xf borderId="0" fillId="0" fontId="104" numFmtId="0" xfId="0" applyAlignment="1" applyFont="1">
      <alignment readingOrder="0" vertical="bottom"/>
    </xf>
    <xf borderId="0" fillId="0" fontId="6" numFmtId="0" xfId="0" applyAlignment="1" applyFont="1">
      <alignment horizontal="left" readingOrder="0" shrinkToFit="0" vertical="bottom" wrapText="1"/>
    </xf>
    <xf borderId="0" fillId="0" fontId="73" numFmtId="0" xfId="0" applyAlignment="1" applyFont="1">
      <alignment shrinkToFit="0" vertical="bottom" wrapText="0"/>
    </xf>
    <xf borderId="0" fillId="0" fontId="8" numFmtId="0" xfId="0" applyAlignment="1" applyFont="1">
      <alignment shrinkToFit="0" vertical="bottom" wrapText="0"/>
    </xf>
    <xf borderId="5" fillId="0" fontId="8" numFmtId="0" xfId="0" applyAlignment="1" applyBorder="1" applyFont="1">
      <alignment readingOrder="0" shrinkToFit="0" vertical="bottom" wrapText="0"/>
    </xf>
    <xf borderId="5" fillId="0" fontId="8" numFmtId="0" xfId="0" applyAlignment="1" applyBorder="1" applyFont="1">
      <alignment shrinkToFit="0" vertical="bottom" wrapText="0"/>
    </xf>
    <xf borderId="5" fillId="0" fontId="6" numFmtId="0" xfId="0" applyAlignment="1" applyBorder="1" applyFont="1">
      <alignment shrinkToFit="0" vertical="bottom" wrapText="0"/>
    </xf>
  </cellXfs>
  <cellStyles count="1">
    <cellStyle xfId="0" name="Normal" builtinId="0"/>
  </cellStyles>
  <dxfs count="11">
    <dxf>
      <font>
        <color rgb="FF999999"/>
      </font>
      <fill>
        <patternFill patternType="solid">
          <fgColor rgb="FFF3F3F3"/>
          <bgColor rgb="FFF3F3F3"/>
        </patternFill>
      </fill>
      <border/>
    </dxf>
    <dxf>
      <font>
        <color rgb="FF1155CC"/>
      </font>
      <fill>
        <patternFill patternType="none"/>
      </fill>
      <border/>
    </dxf>
    <dxf>
      <font/>
      <fill>
        <patternFill patternType="solid">
          <fgColor rgb="FFF4CCCC"/>
          <bgColor rgb="FFF4CCCC"/>
        </patternFill>
      </fill>
      <border/>
    </dxf>
    <dxf>
      <font/>
      <fill>
        <patternFill patternType="solid">
          <fgColor rgb="FFB6D7A8"/>
          <bgColor rgb="FFB6D7A8"/>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color rgb="FF999999"/>
      </font>
      <fill>
        <patternFill patternType="none"/>
      </fill>
      <border/>
    </dxf>
  </dxfs>
  <tableStyles count="1">
    <tableStyle count="3" pivot="0" name="People writing-style">
      <tableStyleElement dxfId="7" type="headerRow"/>
      <tableStyleElement dxfId="8" type="firstRowStripe"/>
      <tableStyleElement dxfId="9"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0"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30</xdr:col>
      <xdr:colOff>352425</xdr:colOff>
      <xdr:row>2</xdr:row>
      <xdr:rowOff>28575</xdr:rowOff>
    </xdr:from>
    <xdr:ext cx="19050" cy="1981200"/>
    <xdr:grpSp>
      <xdr:nvGrpSpPr>
        <xdr:cNvPr id="2" name="Shape 2" title="Drawing"/>
        <xdr:cNvGrpSpPr/>
      </xdr:nvGrpSpPr>
      <xdr:grpSpPr>
        <a:xfrm>
          <a:off x="4692425" y="3580350"/>
          <a:ext cx="0" cy="1960800"/>
          <a:chOff x="4692425" y="3580350"/>
          <a:chExt cx="0" cy="1960800"/>
        </a:xfrm>
      </xdr:grpSpPr>
      <xdr:cxnSp>
        <xdr:nvCxnSpPr>
          <xdr:cNvPr id="3" name="Shape 3"/>
          <xdr:cNvCxnSpPr/>
        </xdr:nvCxnSpPr>
        <xdr:spPr>
          <a:xfrm>
            <a:off x="4692425" y="3580350"/>
            <a:ext cx="0" cy="19608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1" displayName="Table_1" name="Table_1" id="1">
  <tableColumns count="2">
    <tableColumn name="Column1" id="1"/>
    <tableColumn name="Column2" id="2"/>
  </tableColumns>
  <tableStyleInfo name="People writin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424242"/>
      </a:dk1>
      <a:lt1>
        <a:srgbClr val="FFFFFF"/>
      </a:lt1>
      <a:dk2>
        <a:srgbClr val="424242"/>
      </a:dk2>
      <a:lt2>
        <a:srgbClr val="FFFFFF"/>
      </a:lt2>
      <a:accent1>
        <a:srgbClr val="C0791B"/>
      </a:accent1>
      <a:accent2>
        <a:srgbClr val="0B6374"/>
      </a:accent2>
      <a:accent3>
        <a:srgbClr val="FD5B58"/>
      </a:accent3>
      <a:accent4>
        <a:srgbClr val="27278B"/>
      </a:accent4>
      <a:accent5>
        <a:srgbClr val="8DD8D3"/>
      </a:accent5>
      <a:accent6>
        <a:srgbClr val="D7E6A3"/>
      </a:accent6>
      <a:hlink>
        <a:srgbClr val="27278B"/>
      </a:hlink>
      <a:folHlink>
        <a:srgbClr val="27278B"/>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016/j.cie.2025.111354" TargetMode="External"/><Relationship Id="rId190" Type="http://schemas.openxmlformats.org/officeDocument/2006/relationships/hyperlink" Target="https://www.sciencedirect.com/science/article/pii/S0377221797000192?via%3Dihub" TargetMode="External"/><Relationship Id="rId42" Type="http://schemas.openxmlformats.org/officeDocument/2006/relationships/hyperlink" Target="https://doi.org/10.1016/j.cie.2024.110616" TargetMode="External"/><Relationship Id="rId41" Type="http://schemas.openxmlformats.org/officeDocument/2006/relationships/hyperlink" Target="https://doi.org/10.1016/j.eswa.2025.128337" TargetMode="External"/><Relationship Id="rId44" Type="http://schemas.openxmlformats.org/officeDocument/2006/relationships/hyperlink" Target="https://link.springer.com/article/10.1007/BF02023073" TargetMode="External"/><Relationship Id="rId194" Type="http://schemas.openxmlformats.org/officeDocument/2006/relationships/hyperlink" Target="https://doi.org/10.1016/j.procs.2024.01.130" TargetMode="External"/><Relationship Id="rId43" Type="http://schemas.openxmlformats.org/officeDocument/2006/relationships/hyperlink" Target="https://doi.org/10.1016/j.jmsy.2024.09.011" TargetMode="External"/><Relationship Id="rId193" Type="http://schemas.openxmlformats.org/officeDocument/2006/relationships/hyperlink" Target="https://scheduleopt.github.io/benchmarks/fjsplib" TargetMode="External"/><Relationship Id="rId46" Type="http://schemas.openxmlformats.org/officeDocument/2006/relationships/hyperlink" Target="https://github.com/tamy0612/JSPLIB" TargetMode="External"/><Relationship Id="rId192" Type="http://schemas.openxmlformats.org/officeDocument/2006/relationships/hyperlink" Target="https://doi.org/10.1016/j.engappai.2024.109488" TargetMode="External"/><Relationship Id="rId45" Type="http://schemas.openxmlformats.org/officeDocument/2006/relationships/hyperlink" Target="https://doi.org/10.1145/3690931.3690993" TargetMode="External"/><Relationship Id="rId191" Type="http://schemas.openxmlformats.org/officeDocument/2006/relationships/hyperlink" Target="https://doi.org/10.1016/j.rcim.2024.102917" TargetMode="External"/><Relationship Id="rId48" Type="http://schemas.openxmlformats.org/officeDocument/2006/relationships/hyperlink" Target="https://doi.org/10.1016/j.swevo.2024.101660" TargetMode="External"/><Relationship Id="rId187" Type="http://schemas.openxmlformats.org/officeDocument/2006/relationships/hyperlink" Target="https://doi.org/10.1016/j.asoc.2025.113712" TargetMode="External"/><Relationship Id="rId47" Type="http://schemas.openxmlformats.org/officeDocument/2006/relationships/hyperlink" Target="https://doi.org/10.1016/j.cie.2024.110507" TargetMode="External"/><Relationship Id="rId186" Type="http://schemas.openxmlformats.org/officeDocument/2006/relationships/hyperlink" Target="https://doi.org/10.1109/ICCNEA57056.2022.00091" TargetMode="External"/><Relationship Id="rId185" Type="http://schemas.openxmlformats.org/officeDocument/2006/relationships/hyperlink" Target="https://doi.org/10.3390/technologies6040107" TargetMode="External"/><Relationship Id="rId49" Type="http://schemas.openxmlformats.org/officeDocument/2006/relationships/hyperlink" Target="https://doi.org/10.1016/j.compchemeng.2024.108748" TargetMode="External"/><Relationship Id="rId184" Type="http://schemas.openxmlformats.org/officeDocument/2006/relationships/hyperlink" Target="https://doi.org/10.1016/j.cirp.2019.04.001" TargetMode="External"/><Relationship Id="rId189" Type="http://schemas.openxmlformats.org/officeDocument/2006/relationships/hyperlink" Target="https://doi.org/10.1016/j.ins.2025.121906" TargetMode="External"/><Relationship Id="rId188" Type="http://schemas.openxmlformats.org/officeDocument/2006/relationships/hyperlink" Target="https://link.springer.com/article/10.1007/BF02023073" TargetMode="External"/><Relationship Id="rId31" Type="http://schemas.openxmlformats.org/officeDocument/2006/relationships/hyperlink" Target="https://doi.org/10.1109/TASE.2024.3386562" TargetMode="External"/><Relationship Id="rId30" Type="http://schemas.openxmlformats.org/officeDocument/2006/relationships/hyperlink" Target="https://doi.org/10.1145/3709026.3709038" TargetMode="External"/><Relationship Id="rId33" Type="http://schemas.openxmlformats.org/officeDocument/2006/relationships/hyperlink" Target="https://doi.org/10.1109/TASE.2024.3371250" TargetMode="External"/><Relationship Id="rId183" Type="http://schemas.openxmlformats.org/officeDocument/2006/relationships/hyperlink" Target="https://doi.org/10.1016/j.procir.2019.03.041" TargetMode="External"/><Relationship Id="rId32" Type="http://schemas.openxmlformats.org/officeDocument/2006/relationships/hyperlink" Target="https://doi.org/10.1109/TASE.2024.3380644" TargetMode="External"/><Relationship Id="rId182" Type="http://schemas.openxmlformats.org/officeDocument/2006/relationships/hyperlink" Target="https://github.com/tamy0612/JSPLIB" TargetMode="External"/><Relationship Id="rId35" Type="http://schemas.openxmlformats.org/officeDocument/2006/relationships/hyperlink" Target="https://doi.org/10.1007/s00170-021-08163-3" TargetMode="External"/><Relationship Id="rId181" Type="http://schemas.openxmlformats.org/officeDocument/2006/relationships/hyperlink" Target="https://doi.org/10.1007/978-3-030-30487-4_44" TargetMode="External"/><Relationship Id="rId34" Type="http://schemas.openxmlformats.org/officeDocument/2006/relationships/hyperlink" Target="https://doi.org/10.3390/PR8080912" TargetMode="External"/><Relationship Id="rId180" Type="http://schemas.openxmlformats.org/officeDocument/2006/relationships/hyperlink" Target="https://github.com/tamy0612/JSPLIB" TargetMode="External"/><Relationship Id="rId37" Type="http://schemas.openxmlformats.org/officeDocument/2006/relationships/hyperlink" Target="https://doi.org/10.1007/s10845-025-02732-z" TargetMode="External"/><Relationship Id="rId176" Type="http://schemas.openxmlformats.org/officeDocument/2006/relationships/hyperlink" Target="https://doi.org/10.1016/j.procir.2020.03.047" TargetMode="External"/><Relationship Id="rId36" Type="http://schemas.openxmlformats.org/officeDocument/2006/relationships/hyperlink" Target="https://doi.org/10.1002/qre.70027" TargetMode="External"/><Relationship Id="rId175" Type="http://schemas.openxmlformats.org/officeDocument/2006/relationships/hyperlink" Target="https://ceur-ws.org/Vol-2739/paper_6.pdf" TargetMode="External"/><Relationship Id="rId39" Type="http://schemas.openxmlformats.org/officeDocument/2006/relationships/hyperlink" Target="https://doi.org/10.1016/j.cie.2023.109035" TargetMode="External"/><Relationship Id="rId174" Type="http://schemas.openxmlformats.org/officeDocument/2006/relationships/hyperlink" Target="https://github.com/tamy0612/JSPLIB" TargetMode="External"/><Relationship Id="rId38" Type="http://schemas.openxmlformats.org/officeDocument/2006/relationships/hyperlink" Target="https://doi.org/10.1016/j.aei.2025.103780" TargetMode="External"/><Relationship Id="rId173" Type="http://schemas.openxmlformats.org/officeDocument/2006/relationships/hyperlink" Target="https://doi.org/10.1109/ACCESS.2020.3029868" TargetMode="External"/><Relationship Id="rId179" Type="http://schemas.openxmlformats.org/officeDocument/2006/relationships/hyperlink" Target="https://doi.org/10.1109/ICPHM.2019.8819397" TargetMode="External"/><Relationship Id="rId178" Type="http://schemas.openxmlformats.org/officeDocument/2006/relationships/hyperlink" Target="https://doi.org/10.1109/EDOCW.2019.00022" TargetMode="External"/><Relationship Id="rId177" Type="http://schemas.openxmlformats.org/officeDocument/2006/relationships/hyperlink" Target="https://doi.org/10.1007/978-3-030-53956-6_10" TargetMode="External"/><Relationship Id="rId20" Type="http://schemas.openxmlformats.org/officeDocument/2006/relationships/hyperlink" Target="https://doi.org/10.1016/j.jmsy.2025.10.010" TargetMode="External"/><Relationship Id="rId22" Type="http://schemas.openxmlformats.org/officeDocument/2006/relationships/hyperlink" Target="https://people.idsia.ch/%7emonaldo/fjsp.html" TargetMode="External"/><Relationship Id="rId21" Type="http://schemas.openxmlformats.org/officeDocument/2006/relationships/hyperlink" Target="https://doi.org/10.1016/j.cie.2025.111466" TargetMode="External"/><Relationship Id="rId24" Type="http://schemas.openxmlformats.org/officeDocument/2006/relationships/hyperlink" Target="https://doi.org/10.3390/su17052198" TargetMode="External"/><Relationship Id="rId23" Type="http://schemas.openxmlformats.org/officeDocument/2006/relationships/hyperlink" Target="https://doi.org/10.1016/j.swevo.2025.102167" TargetMode="External"/><Relationship Id="rId26" Type="http://schemas.openxmlformats.org/officeDocument/2006/relationships/hyperlink" Target="https://doi.org/10.3390/ai6030048" TargetMode="External"/><Relationship Id="rId25" Type="http://schemas.openxmlformats.org/officeDocument/2006/relationships/hyperlink" Target="https://doi.org/10.1016/j.asoc.2025.112787" TargetMode="External"/><Relationship Id="rId28" Type="http://schemas.openxmlformats.org/officeDocument/2006/relationships/hyperlink" Target="https://doi.org/10.1007/s10696-024-09543-z" TargetMode="External"/><Relationship Id="rId27" Type="http://schemas.openxmlformats.org/officeDocument/2006/relationships/hyperlink" Target="https://github.com/tamy0612/JSPLIB" TargetMode="External"/><Relationship Id="rId29" Type="http://schemas.openxmlformats.org/officeDocument/2006/relationships/hyperlink" Target="https://link.springer.com/article/10.1007/BF02023073" TargetMode="External"/><Relationship Id="rId11" Type="http://schemas.openxmlformats.org/officeDocument/2006/relationships/hyperlink" Target="https://doi.org/10.1016/j.rcim.2021.102202" TargetMode="External"/><Relationship Id="rId10" Type="http://schemas.openxmlformats.org/officeDocument/2006/relationships/hyperlink" Target="https://doi.org/10.1080/00207543.2021.1894369" TargetMode="External"/><Relationship Id="rId13" Type="http://schemas.openxmlformats.org/officeDocument/2006/relationships/hyperlink" Target="https://doi.org/10.1016/j.jclepro.2021.126093" TargetMode="External"/><Relationship Id="rId12" Type="http://schemas.openxmlformats.org/officeDocument/2006/relationships/hyperlink" Target="https://doi.org/10.3390/s21144836" TargetMode="External"/><Relationship Id="rId15" Type="http://schemas.openxmlformats.org/officeDocument/2006/relationships/hyperlink" Target="https://doi.org/10.1016/j.procir.2021.11.307" TargetMode="External"/><Relationship Id="rId198" Type="http://schemas.openxmlformats.org/officeDocument/2006/relationships/hyperlink" Target="https://doi.org/10.1109/TCSI.2023.3328901" TargetMode="External"/><Relationship Id="rId14" Type="http://schemas.openxmlformats.org/officeDocument/2006/relationships/hyperlink" Target="https://doi.org/10.1109/JPROC.2020.3034808" TargetMode="External"/><Relationship Id="rId197" Type="http://schemas.openxmlformats.org/officeDocument/2006/relationships/hyperlink" Target="https://doi.org/10.1016/j.ejor.2022.10.023" TargetMode="External"/><Relationship Id="rId17" Type="http://schemas.openxmlformats.org/officeDocument/2006/relationships/hyperlink" Target="https://doi.org/10.1016/j.jmsy.2020.04.015" TargetMode="External"/><Relationship Id="rId196" Type="http://schemas.openxmlformats.org/officeDocument/2006/relationships/hyperlink" Target="https://doi.org/10.1016/j.asoc.2025.113531" TargetMode="External"/><Relationship Id="rId16" Type="http://schemas.openxmlformats.org/officeDocument/2006/relationships/hyperlink" Target="https://doi.org/10.1109/ACCESS.2020.3046784" TargetMode="External"/><Relationship Id="rId195" Type="http://schemas.openxmlformats.org/officeDocument/2006/relationships/hyperlink" Target="https://doi.org/10.1109/ICARSC65809.2025.10970151" TargetMode="External"/><Relationship Id="rId19" Type="http://schemas.openxmlformats.org/officeDocument/2006/relationships/hyperlink" Target="https://doi.org/10.1016/j.compind.2020.103329" TargetMode="External"/><Relationship Id="rId18" Type="http://schemas.openxmlformats.org/officeDocument/2006/relationships/hyperlink" Target="https://doi.org/10.1109/IEEM45057.2020.9309782" TargetMode="External"/><Relationship Id="rId199" Type="http://schemas.openxmlformats.org/officeDocument/2006/relationships/hyperlink" Target="https://doi.org/10.1016/j.aei.2023.102307" TargetMode="External"/><Relationship Id="rId84" Type="http://schemas.openxmlformats.org/officeDocument/2006/relationships/hyperlink" Target="https://doi.org/10.1016/j.cie.2023.109453" TargetMode="External"/><Relationship Id="rId83" Type="http://schemas.openxmlformats.org/officeDocument/2006/relationships/hyperlink" Target="https://doi.org/10.1109/TASE.2025.3563084" TargetMode="External"/><Relationship Id="rId86" Type="http://schemas.openxmlformats.org/officeDocument/2006/relationships/hyperlink" Target="https://doi.org/10.36897/jme/137081" TargetMode="External"/><Relationship Id="rId85" Type="http://schemas.openxmlformats.org/officeDocument/2006/relationships/hyperlink" Target="https://doi.org/10.1007/s10479-020-03526-7" TargetMode="External"/><Relationship Id="rId88" Type="http://schemas.openxmlformats.org/officeDocument/2006/relationships/hyperlink" Target="https://doi.org/10.1109/WSC60868.2023.10407811" TargetMode="External"/><Relationship Id="rId150" Type="http://schemas.openxmlformats.org/officeDocument/2006/relationships/hyperlink" Target="https://doi.org/10.1007/s10845-021-01826-8" TargetMode="External"/><Relationship Id="rId87" Type="http://schemas.openxmlformats.org/officeDocument/2006/relationships/hyperlink" Target="https://doi.org/10.1109/IEEM58616.2023.10406397" TargetMode="External"/><Relationship Id="rId89" Type="http://schemas.openxmlformats.org/officeDocument/2006/relationships/hyperlink" Target="https://doi.org/10.1007/978-3-031-43524-9_10" TargetMode="External"/><Relationship Id="rId80" Type="http://schemas.openxmlformats.org/officeDocument/2006/relationships/hyperlink" Target="https://doi.org/10.1016/j.knosys.2024.111631" TargetMode="External"/><Relationship Id="rId82" Type="http://schemas.openxmlformats.org/officeDocument/2006/relationships/hyperlink" Target="https://doi.org/10.1016/j.procir.2024.10.255" TargetMode="External"/><Relationship Id="rId81" Type="http://schemas.openxmlformats.org/officeDocument/2006/relationships/hyperlink" Target="https://doi.org/10.24846/V33I2Y202401" TargetMode="External"/><Relationship Id="rId1" Type="http://schemas.openxmlformats.org/officeDocument/2006/relationships/comments" Target="../comments1.xml"/><Relationship Id="rId2" Type="http://schemas.openxmlformats.org/officeDocument/2006/relationships/hyperlink" Target="https://doi.org/10.1109/WSC57314.2022.10015436" TargetMode="External"/><Relationship Id="rId3" Type="http://schemas.openxmlformats.org/officeDocument/2006/relationships/hyperlink" Target="https://doi.org/10.1016/j.ifacol.2022.09.677" TargetMode="External"/><Relationship Id="rId149" Type="http://schemas.openxmlformats.org/officeDocument/2006/relationships/hyperlink" Target="https://doi.org/10.1109/MSN63567.2024.00058" TargetMode="External"/><Relationship Id="rId4" Type="http://schemas.openxmlformats.org/officeDocument/2006/relationships/hyperlink" Target="https://doi.org/10.1016/j.ifacol.2022.09.305" TargetMode="External"/><Relationship Id="rId148" Type="http://schemas.openxmlformats.org/officeDocument/2006/relationships/hyperlink" Target="https://doi.org/10.3390/app14010283" TargetMode="External"/><Relationship Id="rId9" Type="http://schemas.openxmlformats.org/officeDocument/2006/relationships/hyperlink" Target="https://doi.org/10.1109/ACCESS.2022.3151170" TargetMode="External"/><Relationship Id="rId143" Type="http://schemas.openxmlformats.org/officeDocument/2006/relationships/hyperlink" Target="https://doi.org/10.1016/j.jclepro.2023.136228" TargetMode="External"/><Relationship Id="rId142" Type="http://schemas.openxmlformats.org/officeDocument/2006/relationships/hyperlink" Target="https://doi.org/10.1016/j.energy.2020.118385" TargetMode="External"/><Relationship Id="rId141" Type="http://schemas.openxmlformats.org/officeDocument/2006/relationships/hyperlink" Target="https://doi.org/10.1007/s12063-020-00156-x" TargetMode="External"/><Relationship Id="rId140" Type="http://schemas.openxmlformats.org/officeDocument/2006/relationships/hyperlink" Target="https://doi.org/10.1016/j.resconrec.2020.104902" TargetMode="External"/><Relationship Id="rId5" Type="http://schemas.openxmlformats.org/officeDocument/2006/relationships/hyperlink" Target="https://doi.org/10.1109/CASE49997.2022.9926440" TargetMode="External"/><Relationship Id="rId147" Type="http://schemas.openxmlformats.org/officeDocument/2006/relationships/hyperlink" Target="https://doi.org/10.1016/j.jmsy.2024.03.015" TargetMode="External"/><Relationship Id="rId6" Type="http://schemas.openxmlformats.org/officeDocument/2006/relationships/hyperlink" Target="https://doi.org/10.32604/cmc.2022.030803" TargetMode="External"/><Relationship Id="rId146" Type="http://schemas.openxmlformats.org/officeDocument/2006/relationships/hyperlink" Target="https://doi.org/10.1016/j.jclepro.2016.03.150" TargetMode="External"/><Relationship Id="rId7" Type="http://schemas.openxmlformats.org/officeDocument/2006/relationships/hyperlink" Target="https://github.com/tamy0612/JSPLIB" TargetMode="External"/><Relationship Id="rId145" Type="http://schemas.openxmlformats.org/officeDocument/2006/relationships/hyperlink" Target="https://doi.org/10.1016/j.cie.2025.111580" TargetMode="External"/><Relationship Id="rId8" Type="http://schemas.openxmlformats.org/officeDocument/2006/relationships/hyperlink" Target="https://doi.org/10.1016/j.procir.2022.04.027" TargetMode="External"/><Relationship Id="rId144" Type="http://schemas.openxmlformats.org/officeDocument/2006/relationships/hyperlink" Target="https://doi.org/10.1080/00207543.2024.2431178" TargetMode="External"/><Relationship Id="rId73" Type="http://schemas.openxmlformats.org/officeDocument/2006/relationships/hyperlink" Target="https://doi.org/10.1007/s11227-025-07586-z" TargetMode="External"/><Relationship Id="rId72" Type="http://schemas.openxmlformats.org/officeDocument/2006/relationships/hyperlink" Target="https://doi.org/10.1016/j.tre.2025.104297" TargetMode="External"/><Relationship Id="rId75" Type="http://schemas.openxmlformats.org/officeDocument/2006/relationships/hyperlink" Target="https://github.com/Lei-Kun/FJSP-benchmarks" TargetMode="External"/><Relationship Id="rId74" Type="http://schemas.openxmlformats.org/officeDocument/2006/relationships/hyperlink" Target="https://doi.org/10.1016/j.eswa.2025.127340" TargetMode="External"/><Relationship Id="rId77" Type="http://schemas.openxmlformats.org/officeDocument/2006/relationships/hyperlink" Target="https://doi.org/10.1109/DOCS67533.2025.11200734" TargetMode="External"/><Relationship Id="rId76" Type="http://schemas.openxmlformats.org/officeDocument/2006/relationships/hyperlink" Target="https://doi.org/10.1109/ACCESS.2025.3631334" TargetMode="External"/><Relationship Id="rId79" Type="http://schemas.openxmlformats.org/officeDocument/2006/relationships/hyperlink" Target="https://link.springer.com/article/10.1007/BF02023073" TargetMode="External"/><Relationship Id="rId78" Type="http://schemas.openxmlformats.org/officeDocument/2006/relationships/hyperlink" Target="https://doi.org/10.23919/CCC64809.2025.11178931" TargetMode="External"/><Relationship Id="rId71" Type="http://schemas.openxmlformats.org/officeDocument/2006/relationships/hyperlink" Target="https://doi.org/10.1093/jcde/qwaf100" TargetMode="External"/><Relationship Id="rId70" Type="http://schemas.openxmlformats.org/officeDocument/2006/relationships/hyperlink" Target="https://doi.org/10.1016/j.rcim.2025.103015" TargetMode="External"/><Relationship Id="rId139" Type="http://schemas.openxmlformats.org/officeDocument/2006/relationships/hyperlink" Target="https://doi.org/10.1007/978-3-031-86489-6_17" TargetMode="External"/><Relationship Id="rId138" Type="http://schemas.openxmlformats.org/officeDocument/2006/relationships/hyperlink" Target="https://doi.org/10.1080/0951192X.2024.2343677" TargetMode="External"/><Relationship Id="rId137" Type="http://schemas.openxmlformats.org/officeDocument/2006/relationships/hyperlink" Target="https://doi.org/10.1080/17509653.2025.2498119" TargetMode="External"/><Relationship Id="rId132" Type="http://schemas.openxmlformats.org/officeDocument/2006/relationships/hyperlink" Target="https://doi.org/10.3390/app151810108" TargetMode="External"/><Relationship Id="rId253" Type="http://schemas.openxmlformats.org/officeDocument/2006/relationships/vmlDrawing" Target="../drawings/vmlDrawing1.vml"/><Relationship Id="rId131" Type="http://schemas.openxmlformats.org/officeDocument/2006/relationships/hyperlink" Target="https://link.springer.com/article/10.1007/s10845-007-0026-8" TargetMode="External"/><Relationship Id="rId252" Type="http://schemas.openxmlformats.org/officeDocument/2006/relationships/drawing" Target="../drawings/drawing5.xml"/><Relationship Id="rId130" Type="http://schemas.openxmlformats.org/officeDocument/2006/relationships/hyperlink" Target="https://doi.org/10.1016/j.cie.2025.111342" TargetMode="External"/><Relationship Id="rId251" Type="http://schemas.openxmlformats.org/officeDocument/2006/relationships/hyperlink" Target="https://doi.org/10.1016/j.cie.2024.110670" TargetMode="External"/><Relationship Id="rId250" Type="http://schemas.openxmlformats.org/officeDocument/2006/relationships/hyperlink" Target="https://doi.org/10.1016/j.aei.2023.101911" TargetMode="External"/><Relationship Id="rId136" Type="http://schemas.openxmlformats.org/officeDocument/2006/relationships/hyperlink" Target="https://link.springer.com/article/10.1023/A:1018930406487" TargetMode="External"/><Relationship Id="rId135" Type="http://schemas.openxmlformats.org/officeDocument/2006/relationships/hyperlink" Target="https://doi.org/10.1016/j.jfranklin.2025.107944" TargetMode="External"/><Relationship Id="rId134" Type="http://schemas.openxmlformats.org/officeDocument/2006/relationships/hyperlink" Target="https://doi.org/10.1115/1.4068980" TargetMode="External"/><Relationship Id="rId133" Type="http://schemas.openxmlformats.org/officeDocument/2006/relationships/hyperlink" Target="https://link.springer.com/article/10.1007/BF02023073" TargetMode="External"/><Relationship Id="rId62" Type="http://schemas.openxmlformats.org/officeDocument/2006/relationships/hyperlink" Target="https://www.sciencedirect.com/science/article/pii/S0377221797000192?via%3Dihub" TargetMode="External"/><Relationship Id="rId61" Type="http://schemas.openxmlformats.org/officeDocument/2006/relationships/hyperlink" Target="https://doi.org/10.3390/su16083234" TargetMode="External"/><Relationship Id="rId64" Type="http://schemas.openxmlformats.org/officeDocument/2006/relationships/hyperlink" Target="https://github.com/tamy0612/JSPLIB" TargetMode="External"/><Relationship Id="rId63" Type="http://schemas.openxmlformats.org/officeDocument/2006/relationships/hyperlink" Target="https://doi.org/10.1016/j.eswa.2023.121756" TargetMode="External"/><Relationship Id="rId66" Type="http://schemas.openxmlformats.org/officeDocument/2006/relationships/hyperlink" Target="https://doi.org/10.1109/TNNLS.2023.3306421" TargetMode="External"/><Relationship Id="rId172" Type="http://schemas.openxmlformats.org/officeDocument/2006/relationships/hyperlink" Target="https://doi.org/10.1109/ICIEA49774.2020.9101999" TargetMode="External"/><Relationship Id="rId65" Type="http://schemas.openxmlformats.org/officeDocument/2006/relationships/hyperlink" Target="https://doi.org/10.1016/j.jii.2024.100582" TargetMode="External"/><Relationship Id="rId171" Type="http://schemas.openxmlformats.org/officeDocument/2006/relationships/hyperlink" Target="https://doi.org/10.1016/j.cor.2025.107011" TargetMode="External"/><Relationship Id="rId68" Type="http://schemas.openxmlformats.org/officeDocument/2006/relationships/hyperlink" Target="https://doi.org/10.1016/j.engappai.2025.111356" TargetMode="External"/><Relationship Id="rId170" Type="http://schemas.openxmlformats.org/officeDocument/2006/relationships/hyperlink" Target="https://doi.org/10.1080/24725854.2025.2561569" TargetMode="External"/><Relationship Id="rId67" Type="http://schemas.openxmlformats.org/officeDocument/2006/relationships/hyperlink" Target="https://link.springer.com/article/10.1007/BF02023073" TargetMode="External"/><Relationship Id="rId60" Type="http://schemas.openxmlformats.org/officeDocument/2006/relationships/hyperlink" Target="https://github.com/tamy0612/JSPLIB" TargetMode="External"/><Relationship Id="rId165" Type="http://schemas.openxmlformats.org/officeDocument/2006/relationships/hyperlink" Target="https://doi.org/10.32604/cmc.2025.065153" TargetMode="External"/><Relationship Id="rId69" Type="http://schemas.openxmlformats.org/officeDocument/2006/relationships/hyperlink" Target="https://doi.org/10.1007/s11771-011-0863-7?urlappend=%3Futm_source%3Dresearchgate.net%26utm_medium%3Darticle" TargetMode="External"/><Relationship Id="rId164" Type="http://schemas.openxmlformats.org/officeDocument/2006/relationships/hyperlink" Target="https://doi.org/10.1016/j.ins.2025.122023" TargetMode="External"/><Relationship Id="rId163" Type="http://schemas.openxmlformats.org/officeDocument/2006/relationships/hyperlink" Target="https://doi.org/10.1016/j.cie.2025.111310" TargetMode="External"/><Relationship Id="rId162" Type="http://schemas.openxmlformats.org/officeDocument/2006/relationships/hyperlink" Target="https://doi.org/10.1080/00207540902814348" TargetMode="External"/><Relationship Id="rId169" Type="http://schemas.openxmlformats.org/officeDocument/2006/relationships/hyperlink" Target="https://link.springer.com/article/10.1007/s10845-007-0026-8?utm_source=getftr&amp;utm_medium=getftr&amp;utm_campaign=getftr_pilot&amp;getft_integrator=sciencedirect_contenthosting" TargetMode="External"/><Relationship Id="rId168" Type="http://schemas.openxmlformats.org/officeDocument/2006/relationships/hyperlink" Target="https://doi.org/10.1016/j.jmsy.2021.09.018" TargetMode="External"/><Relationship Id="rId167" Type="http://schemas.openxmlformats.org/officeDocument/2006/relationships/hyperlink" Target="https://doi.org/10.1109/CEC65147.2025.11043017" TargetMode="External"/><Relationship Id="rId166" Type="http://schemas.openxmlformats.org/officeDocument/2006/relationships/hyperlink" Target="https://github.com/tamy0612/JSPLIB" TargetMode="External"/><Relationship Id="rId51" Type="http://schemas.openxmlformats.org/officeDocument/2006/relationships/hyperlink" Target="https://link.springer.com/article/10.1007/BF02023073" TargetMode="External"/><Relationship Id="rId50" Type="http://schemas.openxmlformats.org/officeDocument/2006/relationships/hyperlink" Target="https://doi.org/10.1016/j.ifacol.2024.09.176" TargetMode="External"/><Relationship Id="rId53" Type="http://schemas.openxmlformats.org/officeDocument/2006/relationships/hyperlink" Target="https://link.springer.com/article/10.1007/BF02023073" TargetMode="External"/><Relationship Id="rId52" Type="http://schemas.openxmlformats.org/officeDocument/2006/relationships/hyperlink" Target="https://doi.org/10.3390/machines12080584" TargetMode="External"/><Relationship Id="rId55" Type="http://schemas.openxmlformats.org/officeDocument/2006/relationships/hyperlink" Target="https://doi.org/10.1007/s10845-023-02189-y" TargetMode="External"/><Relationship Id="rId161" Type="http://schemas.openxmlformats.org/officeDocument/2006/relationships/hyperlink" Target="https://doi.org/10.1016/j.asoc.2025.113474" TargetMode="External"/><Relationship Id="rId54" Type="http://schemas.openxmlformats.org/officeDocument/2006/relationships/hyperlink" Target="https://doi.org/10.1016/j.ijpe.2024.109312" TargetMode="External"/><Relationship Id="rId160" Type="http://schemas.openxmlformats.org/officeDocument/2006/relationships/hyperlink" Target="https://doi.org/10.1016/j.compind.2021.103433" TargetMode="External"/><Relationship Id="rId57" Type="http://schemas.openxmlformats.org/officeDocument/2006/relationships/hyperlink" Target="https://github.com/tamy0612/JSPLIB" TargetMode="External"/><Relationship Id="rId56" Type="http://schemas.openxmlformats.org/officeDocument/2006/relationships/hyperlink" Target="https://doi.org/10.1016/j.swevo.2024.101605" TargetMode="External"/><Relationship Id="rId159" Type="http://schemas.openxmlformats.org/officeDocument/2006/relationships/hyperlink" Target="https://doi.org/10.1155/2022/5892943" TargetMode="External"/><Relationship Id="rId59" Type="http://schemas.openxmlformats.org/officeDocument/2006/relationships/hyperlink" Target="https://doi.org/10.1016/j.jmsy.2024.04.028" TargetMode="External"/><Relationship Id="rId154" Type="http://schemas.openxmlformats.org/officeDocument/2006/relationships/hyperlink" Target="https://doi.org/10.1016/j.swevo.2024.101762" TargetMode="External"/><Relationship Id="rId58" Type="http://schemas.openxmlformats.org/officeDocument/2006/relationships/hyperlink" Target="https://doi.org/10.1016/j.engappai.2024.108487" TargetMode="External"/><Relationship Id="rId153" Type="http://schemas.openxmlformats.org/officeDocument/2006/relationships/hyperlink" Target="https://doi.org/10.1109/TEM.2018.2846627" TargetMode="External"/><Relationship Id="rId152" Type="http://schemas.openxmlformats.org/officeDocument/2006/relationships/hyperlink" Target="https://doi.org/10.1007/978-3-031-14844-6_3" TargetMode="External"/><Relationship Id="rId151" Type="http://schemas.openxmlformats.org/officeDocument/2006/relationships/hyperlink" Target="https://doi.org/10.1109/WSC57314.2022.10015282" TargetMode="External"/><Relationship Id="rId158" Type="http://schemas.openxmlformats.org/officeDocument/2006/relationships/hyperlink" Target="https://doi.org/10.1016/j.procir.2023.09.195" TargetMode="External"/><Relationship Id="rId157" Type="http://schemas.openxmlformats.org/officeDocument/2006/relationships/hyperlink" Target="https://doi.org/10.1109/TSMC.2023.3317390" TargetMode="External"/><Relationship Id="rId156" Type="http://schemas.openxmlformats.org/officeDocument/2006/relationships/hyperlink" Target="https://doi.org/10.1016/j.jmsy.2023.11.019" TargetMode="External"/><Relationship Id="rId155" Type="http://schemas.openxmlformats.org/officeDocument/2006/relationships/hyperlink" Target="https://assembly-line-balancing.de/" TargetMode="External"/><Relationship Id="rId107" Type="http://schemas.openxmlformats.org/officeDocument/2006/relationships/hyperlink" Target="https://doi.org/10.1016/j.aei.2025.103195" TargetMode="External"/><Relationship Id="rId228" Type="http://schemas.openxmlformats.org/officeDocument/2006/relationships/hyperlink" Target="https://www.diva-portal.org/smash/record.jsf?pid=diva2%3A1991113&amp;dswid=8075" TargetMode="External"/><Relationship Id="rId106" Type="http://schemas.openxmlformats.org/officeDocument/2006/relationships/hyperlink" Target="https://doi.org/10.1016/j.knosys.2025.114192" TargetMode="External"/><Relationship Id="rId227" Type="http://schemas.openxmlformats.org/officeDocument/2006/relationships/hyperlink" Target="https://deepwiki.com/wrqccc/FJSP-DRL/4.2-brandimarte-dataset" TargetMode="External"/><Relationship Id="rId105" Type="http://schemas.openxmlformats.org/officeDocument/2006/relationships/hyperlink" Target="https://apps.dtic.mil/sti/html/tr/AD0600965/" TargetMode="External"/><Relationship Id="rId226" Type="http://schemas.openxmlformats.org/officeDocument/2006/relationships/hyperlink" Target="https://doi.org/10.1109/FASTA65681.2025.11138246" TargetMode="External"/><Relationship Id="rId104" Type="http://schemas.openxmlformats.org/officeDocument/2006/relationships/hyperlink" Target="https://doi.org/10.1016/j.cor.2025.107149" TargetMode="External"/><Relationship Id="rId225" Type="http://schemas.openxmlformats.org/officeDocument/2006/relationships/hyperlink" Target="https://doi.org/10.1109/ICESEP66633.2025.11155526" TargetMode="External"/><Relationship Id="rId109" Type="http://schemas.openxmlformats.org/officeDocument/2006/relationships/hyperlink" Target="https://doi.org/10.3390/math13010004" TargetMode="External"/><Relationship Id="rId108" Type="http://schemas.openxmlformats.org/officeDocument/2006/relationships/hyperlink" Target="https://doi.org/10.1109/TEVC.2025.3543770" TargetMode="External"/><Relationship Id="rId229" Type="http://schemas.openxmlformats.org/officeDocument/2006/relationships/hyperlink" Target="https://doi.org/10.1080/00207543.2025.2550454" TargetMode="External"/><Relationship Id="rId220" Type="http://schemas.openxmlformats.org/officeDocument/2006/relationships/hyperlink" Target="https://doi.org/10.1016/j.cor.2023.106294" TargetMode="External"/><Relationship Id="rId103" Type="http://schemas.openxmlformats.org/officeDocument/2006/relationships/hyperlink" Target="https://doi.org/10.1016/j.cie.2025.111465" TargetMode="External"/><Relationship Id="rId224" Type="http://schemas.openxmlformats.org/officeDocument/2006/relationships/hyperlink" Target="https://doi.org/10.1016/j.ijpe.2024.109447" TargetMode="External"/><Relationship Id="rId102" Type="http://schemas.openxmlformats.org/officeDocument/2006/relationships/hyperlink" Target="https://doi.org/10.1016/j.rcim.2021.102283" TargetMode="External"/><Relationship Id="rId223" Type="http://schemas.openxmlformats.org/officeDocument/2006/relationships/hyperlink" Target="https://doi.org/10.1016/j.cie.2024.110646" TargetMode="External"/><Relationship Id="rId101" Type="http://schemas.openxmlformats.org/officeDocument/2006/relationships/hyperlink" Target="https://doi.org/10.3390/su14095177" TargetMode="External"/><Relationship Id="rId222" Type="http://schemas.openxmlformats.org/officeDocument/2006/relationships/hyperlink" Target="https://doi.org/10.1080/00207543.2024.2434948" TargetMode="External"/><Relationship Id="rId100" Type="http://schemas.openxmlformats.org/officeDocument/2006/relationships/hyperlink" Target="https://doi.org/10.1016/j.ress.2022.108429" TargetMode="External"/><Relationship Id="rId221" Type="http://schemas.openxmlformats.org/officeDocument/2006/relationships/hyperlink" Target="https://doi.org/10.3390/s23094498" TargetMode="External"/><Relationship Id="rId217" Type="http://schemas.openxmlformats.org/officeDocument/2006/relationships/hyperlink" Target="https://doi.org/10.1109/MLISE54096.2021.00049" TargetMode="External"/><Relationship Id="rId216" Type="http://schemas.openxmlformats.org/officeDocument/2006/relationships/hyperlink" Target="https://www.sciencedirect.com/science/article/pii/S0377221797000192?via%3Dihub" TargetMode="External"/><Relationship Id="rId215" Type="http://schemas.openxmlformats.org/officeDocument/2006/relationships/hyperlink" Target="https://doi.org/10.1109/ICICIS52592.2021.9694207" TargetMode="External"/><Relationship Id="rId214" Type="http://schemas.openxmlformats.org/officeDocument/2006/relationships/hyperlink" Target="https://fastmanufacturingproject.wordpress.com/2019/04/" TargetMode="External"/><Relationship Id="rId219" Type="http://schemas.openxmlformats.org/officeDocument/2006/relationships/hyperlink" Target="https://doi.org/10.1080/00207543.2023.2217285" TargetMode="External"/><Relationship Id="rId218" Type="http://schemas.openxmlformats.org/officeDocument/2006/relationships/hyperlink" Target="https://github.com/Lei-Kun/FJSP-benchmarks" TargetMode="External"/><Relationship Id="rId213" Type="http://schemas.openxmlformats.org/officeDocument/2006/relationships/hyperlink" Target="https://doi.org/10.1109/CAC63892.2024.10864691" TargetMode="External"/><Relationship Id="rId212" Type="http://schemas.openxmlformats.org/officeDocument/2006/relationships/hyperlink" Target="https://doi.org/10.1108/VJIKMS-08-2021-0146" TargetMode="External"/><Relationship Id="rId211" Type="http://schemas.openxmlformats.org/officeDocument/2006/relationships/hyperlink" Target="https://deepwiki.com/wrqccc/FJSP-DRL/4.2-brandimarte-dataset" TargetMode="External"/><Relationship Id="rId210" Type="http://schemas.openxmlformats.org/officeDocument/2006/relationships/hyperlink" Target="https://doi.org/10.1007/s11740-021-01064-0" TargetMode="External"/><Relationship Id="rId129" Type="http://schemas.openxmlformats.org/officeDocument/2006/relationships/hyperlink" Target="https://doi.org/10.1016/j.future.2024.05.058" TargetMode="External"/><Relationship Id="rId128" Type="http://schemas.openxmlformats.org/officeDocument/2006/relationships/hyperlink" Target="https://link.springer.com/article/10.1007/BF02023073" TargetMode="External"/><Relationship Id="rId249" Type="http://schemas.openxmlformats.org/officeDocument/2006/relationships/hyperlink" Target="https://doi.org/10.1080/00207543.2025.2497961" TargetMode="External"/><Relationship Id="rId127" Type="http://schemas.openxmlformats.org/officeDocument/2006/relationships/hyperlink" Target="https://doi.org/10.1109/TII.2022.3189725" TargetMode="External"/><Relationship Id="rId248" Type="http://schemas.openxmlformats.org/officeDocument/2006/relationships/hyperlink" Target="https://doi.org/10.1016/j.aei.2025.103216" TargetMode="External"/><Relationship Id="rId126" Type="http://schemas.openxmlformats.org/officeDocument/2006/relationships/hyperlink" Target="https://link.springer.com/article/10.1007/BF02023073" TargetMode="External"/><Relationship Id="rId247" Type="http://schemas.openxmlformats.org/officeDocument/2006/relationships/hyperlink" Target="https://doi.org/10.3390/systems13080631" TargetMode="External"/><Relationship Id="rId121" Type="http://schemas.openxmlformats.org/officeDocument/2006/relationships/hyperlink" Target="https://doi.org/10.1109/TII.2023.3272661" TargetMode="External"/><Relationship Id="rId242" Type="http://schemas.openxmlformats.org/officeDocument/2006/relationships/hyperlink" Target="https://doi.org/10.1080/17480272.2025.2505133" TargetMode="External"/><Relationship Id="rId120" Type="http://schemas.openxmlformats.org/officeDocument/2006/relationships/hyperlink" Target="https://doi.org/10.1007/978-981-97-2275-4_4" TargetMode="External"/><Relationship Id="rId241" Type="http://schemas.openxmlformats.org/officeDocument/2006/relationships/hyperlink" Target="https://doi.org/10.1016/j.engappai.2025.111586" TargetMode="External"/><Relationship Id="rId240" Type="http://schemas.openxmlformats.org/officeDocument/2006/relationships/hyperlink" Target="https://doi.org/10.1109/TASE.2024.3493617" TargetMode="External"/><Relationship Id="rId125" Type="http://schemas.openxmlformats.org/officeDocument/2006/relationships/hyperlink" Target="https://doi.org/10.1016/j.engappai.2023.106864" TargetMode="External"/><Relationship Id="rId246" Type="http://schemas.openxmlformats.org/officeDocument/2006/relationships/hyperlink" Target="https://doi.org/10.1016/j.jmsy.2025.08.016" TargetMode="External"/><Relationship Id="rId124" Type="http://schemas.openxmlformats.org/officeDocument/2006/relationships/hyperlink" Target="https://doi.org/10.1016/j.cie.2023.109650" TargetMode="External"/><Relationship Id="rId245" Type="http://schemas.openxmlformats.org/officeDocument/2006/relationships/hyperlink" Target="https://doi.org/10.1016/j.sca.2025.100171" TargetMode="External"/><Relationship Id="rId123" Type="http://schemas.openxmlformats.org/officeDocument/2006/relationships/hyperlink" Target="https://link.springer.com/article/10.1007/s10845-020-01537-6" TargetMode="External"/><Relationship Id="rId244" Type="http://schemas.openxmlformats.org/officeDocument/2006/relationships/hyperlink" Target="https://doi.org/10.1007/s12008-025-02296-5" TargetMode="External"/><Relationship Id="rId122" Type="http://schemas.openxmlformats.org/officeDocument/2006/relationships/hyperlink" Target="https://doi.org/10.1016/j.cie.2023.109718" TargetMode="External"/><Relationship Id="rId243" Type="http://schemas.openxmlformats.org/officeDocument/2006/relationships/hyperlink" Target="https://doi.org/10.1007/s12008-025-02316-4" TargetMode="External"/><Relationship Id="rId95" Type="http://schemas.openxmlformats.org/officeDocument/2006/relationships/hyperlink" Target="https://doi.org/10.1016/j.aei.2022.101776" TargetMode="External"/><Relationship Id="rId94" Type="http://schemas.openxmlformats.org/officeDocument/2006/relationships/hyperlink" Target="https://doi.org/10.1016/j.jmsy.2022.09.019" TargetMode="External"/><Relationship Id="rId97" Type="http://schemas.openxmlformats.org/officeDocument/2006/relationships/hyperlink" Target="https://doi.org/10.1016/j.cor.2022.105823" TargetMode="External"/><Relationship Id="rId96" Type="http://schemas.openxmlformats.org/officeDocument/2006/relationships/hyperlink" Target="https://doi.org/10.1016/j.rcim.2022.102324" TargetMode="External"/><Relationship Id="rId99" Type="http://schemas.openxmlformats.org/officeDocument/2006/relationships/hyperlink" Target="https://doi.org/10.3390/app12115618" TargetMode="External"/><Relationship Id="rId98" Type="http://schemas.openxmlformats.org/officeDocument/2006/relationships/hyperlink" Target="https://doi.org/10.1016/j.jmsy.2022.08.005" TargetMode="External"/><Relationship Id="rId91" Type="http://schemas.openxmlformats.org/officeDocument/2006/relationships/hyperlink" Target="https://doi.org/10.1080/23080477.2023.2187528" TargetMode="External"/><Relationship Id="rId90" Type="http://schemas.openxmlformats.org/officeDocument/2006/relationships/hyperlink" Target="https://github.com/tamy0612/JSPLIB" TargetMode="External"/><Relationship Id="rId93" Type="http://schemas.openxmlformats.org/officeDocument/2006/relationships/hyperlink" Target="https://doi.org/10.1016/j.rcim.2022.102412" TargetMode="External"/><Relationship Id="rId92" Type="http://schemas.openxmlformats.org/officeDocument/2006/relationships/hyperlink" Target="https://github.com/tamy0612/JSPLIB" TargetMode="External"/><Relationship Id="rId118" Type="http://schemas.openxmlformats.org/officeDocument/2006/relationships/hyperlink" Target="https://doi.org/10.1109/ACCESS.2024.3430218" TargetMode="External"/><Relationship Id="rId239" Type="http://schemas.openxmlformats.org/officeDocument/2006/relationships/hyperlink" Target="https://doi.org/10.3390/app15084116" TargetMode="External"/><Relationship Id="rId117" Type="http://schemas.openxmlformats.org/officeDocument/2006/relationships/hyperlink" Target="https://doi.org/10.1007/978-981-97-5581-3_15" TargetMode="External"/><Relationship Id="rId238" Type="http://schemas.openxmlformats.org/officeDocument/2006/relationships/hyperlink" Target="https://doi.org/10.1007/s10479-026-07065-5" TargetMode="External"/><Relationship Id="rId116" Type="http://schemas.openxmlformats.org/officeDocument/2006/relationships/hyperlink" Target="https://doi.org/10.1007/978-981-97-5675-9_8" TargetMode="External"/><Relationship Id="rId237" Type="http://schemas.openxmlformats.org/officeDocument/2006/relationships/hyperlink" Target="https://doi.org/10.1109/TII.2025.3610442" TargetMode="External"/><Relationship Id="rId115" Type="http://schemas.openxmlformats.org/officeDocument/2006/relationships/hyperlink" Target="https://doi.org/10.1080/00207543.2024.2408671" TargetMode="External"/><Relationship Id="rId236" Type="http://schemas.openxmlformats.org/officeDocument/2006/relationships/hyperlink" Target="https://doi.org/10.1038/s41598-025-31722-7" TargetMode="External"/><Relationship Id="rId119" Type="http://schemas.openxmlformats.org/officeDocument/2006/relationships/hyperlink" Target="https://doi.org/10.1007/978-981-97-0194-0_11" TargetMode="External"/><Relationship Id="rId110" Type="http://schemas.openxmlformats.org/officeDocument/2006/relationships/hyperlink" Target="https://github.com/Lei-Kun/FJSP-benchmarks" TargetMode="External"/><Relationship Id="rId231" Type="http://schemas.openxmlformats.org/officeDocument/2006/relationships/hyperlink" Target="https://doi.org/10.1109/ACCESS.2025.3577044" TargetMode="External"/><Relationship Id="rId230" Type="http://schemas.openxmlformats.org/officeDocument/2006/relationships/hyperlink" Target="https://doi.org/10.1109/JIOT.2025.3584811" TargetMode="External"/><Relationship Id="rId114" Type="http://schemas.openxmlformats.org/officeDocument/2006/relationships/hyperlink" Target="https://scheduleopt.github.io/benchmarks/fjsplib" TargetMode="External"/><Relationship Id="rId235" Type="http://schemas.openxmlformats.org/officeDocument/2006/relationships/hyperlink" Target="https://doi.org/10.1080/21681015.2025.2533436" TargetMode="External"/><Relationship Id="rId113" Type="http://schemas.openxmlformats.org/officeDocument/2006/relationships/hyperlink" Target="https://doi.org/10.1109/ICMLCA63499.2024.10754379" TargetMode="External"/><Relationship Id="rId234" Type="http://schemas.openxmlformats.org/officeDocument/2006/relationships/hyperlink" Target="https://doi.org/10.1016/j.cie.2024.110006" TargetMode="External"/><Relationship Id="rId112" Type="http://schemas.openxmlformats.org/officeDocument/2006/relationships/hyperlink" Target="https://doi.org/10.1109/SMC54092.2024.10831278" TargetMode="External"/><Relationship Id="rId233" Type="http://schemas.openxmlformats.org/officeDocument/2006/relationships/hyperlink" Target="https://doi.org/10.1080/00207543.2025.2512226" TargetMode="External"/><Relationship Id="rId111" Type="http://schemas.openxmlformats.org/officeDocument/2006/relationships/hyperlink" Target="https://doi.org/10.1016/j.aei.2025.103386" TargetMode="External"/><Relationship Id="rId232" Type="http://schemas.openxmlformats.org/officeDocument/2006/relationships/hyperlink" Target="https://deepwiki.com/wrqccc/FJSP-DRL/4.2-brandimarte-dataset" TargetMode="External"/><Relationship Id="rId206" Type="http://schemas.openxmlformats.org/officeDocument/2006/relationships/hyperlink" Target="https://doi.org/10.1016/j.rcim.2025.102965" TargetMode="External"/><Relationship Id="rId205" Type="http://schemas.openxmlformats.org/officeDocument/2006/relationships/hyperlink" Target="https://doi.org/10.1111/poms.14021" TargetMode="External"/><Relationship Id="rId204" Type="http://schemas.openxmlformats.org/officeDocument/2006/relationships/hyperlink" Target="https://doi.org/10.1007/s40436-023-00454-0" TargetMode="External"/><Relationship Id="rId203" Type="http://schemas.openxmlformats.org/officeDocument/2006/relationships/hyperlink" Target="https://doi.org/10.1016/j.procir.2018.03.098" TargetMode="External"/><Relationship Id="rId209" Type="http://schemas.openxmlformats.org/officeDocument/2006/relationships/hyperlink" Target="https://doi.org/10.1177/16878132221086120" TargetMode="External"/><Relationship Id="rId208" Type="http://schemas.openxmlformats.org/officeDocument/2006/relationships/hyperlink" Target="https://doi.org/10.1080/00207543.2025.2546030" TargetMode="External"/><Relationship Id="rId207" Type="http://schemas.openxmlformats.org/officeDocument/2006/relationships/hyperlink" Target="https://doi.org/10.1049/cim2.70024" TargetMode="External"/><Relationship Id="rId202" Type="http://schemas.openxmlformats.org/officeDocument/2006/relationships/hyperlink" Target="https://deepwiki.com/wrqccc/FJSP-DRL/4.2-brandimarte-dataset" TargetMode="External"/><Relationship Id="rId201" Type="http://schemas.openxmlformats.org/officeDocument/2006/relationships/hyperlink" Target="https://doi.org/10.1109/TEVC.2024.3400043" TargetMode="External"/><Relationship Id="rId200" Type="http://schemas.openxmlformats.org/officeDocument/2006/relationships/hyperlink" Target="https://doi.org/10.1016/j.ifacol.2025.09.35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ata.europa.eu/doi/10.2777/308407"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https://doi.org/10.3390/app13031687" TargetMode="External"/><Relationship Id="rId2" Type="http://schemas.openxmlformats.org/officeDocument/2006/relationships/hyperlink" Target="https://doi.org/10.1007/978-3-031-18326-3_24" TargetMode="External"/><Relationship Id="rId3" Type="http://schemas.openxmlformats.org/officeDocument/2006/relationships/hyperlink" Target="https://doi.org/10.1016/j.cor.2024.106929" TargetMode="External"/><Relationship Id="rId4" Type="http://schemas.openxmlformats.org/officeDocument/2006/relationships/hyperlink" Target="https://doi.org/10.1007/s10845-025-02585-6" TargetMode="External"/><Relationship Id="rId9" Type="http://schemas.openxmlformats.org/officeDocument/2006/relationships/hyperlink" Target="https://doi.org/10.1016/j.procir.2021.11.245" TargetMode="External"/><Relationship Id="rId5" Type="http://schemas.openxmlformats.org/officeDocument/2006/relationships/hyperlink" Target="https://doi.org/10.1016/j.knosys.2025.113633" TargetMode="External"/><Relationship Id="rId6" Type="http://schemas.openxmlformats.org/officeDocument/2006/relationships/hyperlink" Target="https://doi.org/10.1016/j.cor.2024.106914" TargetMode="External"/><Relationship Id="rId7" Type="http://schemas.openxmlformats.org/officeDocument/2006/relationships/hyperlink" Target="https://doi.org/10.1108/JM2-02-2016-0015" TargetMode="External"/><Relationship Id="rId8" Type="http://schemas.openxmlformats.org/officeDocument/2006/relationships/hyperlink" Target="https://doi.org/10.3390/pr908139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criteria.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doi.org/10.1049/cim2.12042" TargetMode="External"/><Relationship Id="rId22" Type="http://schemas.openxmlformats.org/officeDocument/2006/relationships/drawing" Target="../drawings/drawing16.xml"/><Relationship Id="rId21" Type="http://schemas.openxmlformats.org/officeDocument/2006/relationships/hyperlink" Target="https://doi.org/10.1007/s11740-021-01064-0" TargetMode="External"/><Relationship Id="rId11" Type="http://schemas.openxmlformats.org/officeDocument/2006/relationships/hyperlink" Target="https://doi.org/10.1016/j.rcim.2022.102324" TargetMode="External"/><Relationship Id="rId10" Type="http://schemas.openxmlformats.org/officeDocument/2006/relationships/hyperlink" Target="https://doi.org/10.1016/j.aei.2022.101776" TargetMode="External"/><Relationship Id="rId13" Type="http://schemas.openxmlformats.org/officeDocument/2006/relationships/hyperlink" Target="https://doi.org/10.1016/j.jmsy.2022.08.005" TargetMode="External"/><Relationship Id="rId12" Type="http://schemas.openxmlformats.org/officeDocument/2006/relationships/hyperlink" Target="https://doi.org/10.1016/j.cor.2022.105823" TargetMode="External"/><Relationship Id="rId15" Type="http://schemas.openxmlformats.org/officeDocument/2006/relationships/hyperlink" Target="https://doi.org/10.1016/j.ress.2022.108429" TargetMode="External"/><Relationship Id="rId14" Type="http://schemas.openxmlformats.org/officeDocument/2006/relationships/hyperlink" Target="https://doi.org/10.3390/app12115618" TargetMode="External"/><Relationship Id="rId17" Type="http://schemas.openxmlformats.org/officeDocument/2006/relationships/hyperlink" Target="https://doi.org/10.3233/ATDE220190" TargetMode="External"/><Relationship Id="rId16" Type="http://schemas.openxmlformats.org/officeDocument/2006/relationships/hyperlink" Target="https://doi.org/10.3390/su14095177" TargetMode="External"/><Relationship Id="rId19" Type="http://schemas.openxmlformats.org/officeDocument/2006/relationships/hyperlink" Target="https://doi.org/10.1177/16878132221086120" TargetMode="External"/><Relationship Id="rId18" Type="http://schemas.openxmlformats.org/officeDocument/2006/relationships/hyperlink" Target="https://doi.org/10.1016/j.rcim.2021.102283" TargetMode="External"/><Relationship Id="rId1" Type="http://schemas.openxmlformats.org/officeDocument/2006/relationships/hyperlink" Target="https://doi.org/10.1109/IEEECONF58110.2023.10520644" TargetMode="External"/><Relationship Id="rId2" Type="http://schemas.openxmlformats.org/officeDocument/2006/relationships/hyperlink" Target="https://doi.org/10.1109/IEEM58616.2023.10406397" TargetMode="External"/><Relationship Id="rId3" Type="http://schemas.openxmlformats.org/officeDocument/2006/relationships/hyperlink" Target="https://doi.org/10.1109/WSC60868.2023.10407811" TargetMode="External"/><Relationship Id="rId4" Type="http://schemas.openxmlformats.org/officeDocument/2006/relationships/hyperlink" Target="https://doi.org/10.1007/978-3-031-43524-9_10" TargetMode="External"/><Relationship Id="rId9" Type="http://schemas.openxmlformats.org/officeDocument/2006/relationships/hyperlink" Target="https://doi.org/10.3390/app122010451" TargetMode="External"/><Relationship Id="rId5" Type="http://schemas.openxmlformats.org/officeDocument/2006/relationships/hyperlink" Target="https://doi.org/10.1080/23080477.2023.2187528" TargetMode="External"/><Relationship Id="rId6" Type="http://schemas.openxmlformats.org/officeDocument/2006/relationships/hyperlink" Target="https://doi.org/10.1080/00207543.2022.2142314" TargetMode="External"/><Relationship Id="rId7" Type="http://schemas.openxmlformats.org/officeDocument/2006/relationships/hyperlink" Target="https://doi.org/10.1016/j.rcim.2022.102412" TargetMode="External"/><Relationship Id="rId8" Type="http://schemas.openxmlformats.org/officeDocument/2006/relationships/hyperlink" Target="https://doi.org/10.1016/j.jmsy.2022.09.019"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doi.org/10.3390/forecast4040055" TargetMode="External"/><Relationship Id="rId42" Type="http://schemas.openxmlformats.org/officeDocument/2006/relationships/hyperlink" Target="https://doi.org/10.1016/j.asoc.2020.106544" TargetMode="External"/><Relationship Id="rId41" Type="http://schemas.openxmlformats.org/officeDocument/2006/relationships/hyperlink" Target="https://doi.org/10.1299/jamdsm.2022jamdsm0037" TargetMode="External"/><Relationship Id="rId44" Type="http://schemas.openxmlformats.org/officeDocument/2006/relationships/hyperlink" Target="https://proceedings.neurips.cc/paper/2020/hash/11958dfee29b6709f48a9ba0387a2431-Abstract.html" TargetMode="External"/><Relationship Id="rId43" Type="http://schemas.openxmlformats.org/officeDocument/2006/relationships/hyperlink" Target="https://doi.org/10.1016/j.cie.2020.106778" TargetMode="External"/><Relationship Id="rId46" Type="http://schemas.openxmlformats.org/officeDocument/2006/relationships/drawing" Target="../drawings/drawing17.xml"/><Relationship Id="rId45" Type="http://schemas.openxmlformats.org/officeDocument/2006/relationships/hyperlink" Target="https://proceedings.neurips.cc/paper_files/paper/2020/file/11958dfee29b6709f48a9ba0387a2431-Paper.pdf" TargetMode="External"/><Relationship Id="rId31" Type="http://schemas.openxmlformats.org/officeDocument/2006/relationships/hyperlink" Target="https://doi.org/10.1080/17509653.2025.2475774" TargetMode="External"/><Relationship Id="rId30" Type="http://schemas.openxmlformats.org/officeDocument/2006/relationships/hyperlink" Target="https://doi.org/10.1007/978-3-031-86489-6_17" TargetMode="External"/><Relationship Id="rId33" Type="http://schemas.openxmlformats.org/officeDocument/2006/relationships/hyperlink" Target="https://doi.org/10.1007/s10845-025-02585-6" TargetMode="External"/><Relationship Id="rId32" Type="http://schemas.openxmlformats.org/officeDocument/2006/relationships/hyperlink" Target="https://doi.org/10.1016/j.procir.2025.01.005" TargetMode="External"/><Relationship Id="rId35" Type="http://schemas.openxmlformats.org/officeDocument/2006/relationships/hyperlink" Target="https://doi.org/10.1177/1063293X231217543" TargetMode="External"/><Relationship Id="rId34" Type="http://schemas.openxmlformats.org/officeDocument/2006/relationships/hyperlink" Target="https://doi.org/10.1016/j.procir.2025.01.005" TargetMode="External"/><Relationship Id="rId37" Type="http://schemas.openxmlformats.org/officeDocument/2006/relationships/hyperlink" Target="https://easychair.org/publications/preprint/tBPM" TargetMode="External"/><Relationship Id="rId36" Type="http://schemas.openxmlformats.org/officeDocument/2006/relationships/hyperlink" Target="https://doi.org/10.1016/j.aei.2023.101911" TargetMode="External"/><Relationship Id="rId39" Type="http://schemas.openxmlformats.org/officeDocument/2006/relationships/hyperlink" Target="https://doi.org/10.1016/j.cie.2024.110670" TargetMode="External"/><Relationship Id="rId38" Type="http://schemas.openxmlformats.org/officeDocument/2006/relationships/hyperlink" Target="https://doi.org/10.1504/IJMR.2024.136569" TargetMode="External"/><Relationship Id="rId20" Type="http://schemas.openxmlformats.org/officeDocument/2006/relationships/hyperlink" Target="https://doi.org/10.1109/TII.2022.3189725" TargetMode="External"/><Relationship Id="rId22" Type="http://schemas.openxmlformats.org/officeDocument/2006/relationships/hyperlink" Target="https://doi.org/10.3390/app14156835" TargetMode="External"/><Relationship Id="rId21" Type="http://schemas.openxmlformats.org/officeDocument/2006/relationships/hyperlink" Target="https://doi.org/10.1016/j.future.2024.05.058" TargetMode="External"/><Relationship Id="rId24" Type="http://schemas.openxmlformats.org/officeDocument/2006/relationships/hyperlink" Target="https://doi.org/10.1016/j.cie.2025.111342" TargetMode="External"/><Relationship Id="rId23" Type="http://schemas.openxmlformats.org/officeDocument/2006/relationships/hyperlink" Target="https://doi.org/10.1108/IR-10-2021-0246" TargetMode="External"/><Relationship Id="rId26" Type="http://schemas.openxmlformats.org/officeDocument/2006/relationships/hyperlink" Target="https://doi.org/10.1115/1.4068980" TargetMode="External"/><Relationship Id="rId25" Type="http://schemas.openxmlformats.org/officeDocument/2006/relationships/hyperlink" Target="https://doi.org/10.3390/app151810108" TargetMode="External"/><Relationship Id="rId28" Type="http://schemas.openxmlformats.org/officeDocument/2006/relationships/hyperlink" Target="https://doi.org/10.1080/17509653.2025.2498119" TargetMode="External"/><Relationship Id="rId27" Type="http://schemas.openxmlformats.org/officeDocument/2006/relationships/hyperlink" Target="https://doi.org/10.1016/j.jfranklin.2025.107944" TargetMode="External"/><Relationship Id="rId29" Type="http://schemas.openxmlformats.org/officeDocument/2006/relationships/hyperlink" Target="https://doi.org/10.1080/0951192X.2024.2343677" TargetMode="External"/><Relationship Id="rId11" Type="http://schemas.openxmlformats.org/officeDocument/2006/relationships/hyperlink" Target="https://doi.org/10.1007/978-981-97-0194-0_11" TargetMode="External"/><Relationship Id="rId10" Type="http://schemas.openxmlformats.org/officeDocument/2006/relationships/hyperlink" Target="https://doi.org/10.1109/SIEDS61124.2024.10534636" TargetMode="External"/><Relationship Id="rId13" Type="http://schemas.openxmlformats.org/officeDocument/2006/relationships/hyperlink" Target="https://doi.org/10.1080/21681015.2024.2330401" TargetMode="External"/><Relationship Id="rId12" Type="http://schemas.openxmlformats.org/officeDocument/2006/relationships/hyperlink" Target="https://doi.org/10.1007/978-981-97-2275-4_4" TargetMode="External"/><Relationship Id="rId15" Type="http://schemas.openxmlformats.org/officeDocument/2006/relationships/hyperlink" Target="https://doi.org/10.1080/00207543.2023.2217285" TargetMode="External"/><Relationship Id="rId14" Type="http://schemas.openxmlformats.org/officeDocument/2006/relationships/hyperlink" Target="https://doi.org/10.1007/978-981-99-6062-0_20" TargetMode="External"/><Relationship Id="rId17" Type="http://schemas.openxmlformats.org/officeDocument/2006/relationships/hyperlink" Target="https://doi.org/10.1016/j.cie.2023.109718" TargetMode="External"/><Relationship Id="rId16" Type="http://schemas.openxmlformats.org/officeDocument/2006/relationships/hyperlink" Target="https://doi.org/10.1109/TII.2023.3272661" TargetMode="External"/><Relationship Id="rId19" Type="http://schemas.openxmlformats.org/officeDocument/2006/relationships/hyperlink" Target="https://doi.org/10.1016/j.engappai.2023.106864" TargetMode="External"/><Relationship Id="rId18" Type="http://schemas.openxmlformats.org/officeDocument/2006/relationships/hyperlink" Target="https://doi.org/10.1016/j.cie.2023.109650" TargetMode="External"/><Relationship Id="rId1" Type="http://schemas.openxmlformats.org/officeDocument/2006/relationships/hyperlink" Target="https://doi.org/10.1109/SMC54092.2024.10831278" TargetMode="External"/><Relationship Id="rId2" Type="http://schemas.openxmlformats.org/officeDocument/2006/relationships/hyperlink" Target="https://doi.org/10.1109/RCAE62637.2024.10834207" TargetMode="External"/><Relationship Id="rId3" Type="http://schemas.openxmlformats.org/officeDocument/2006/relationships/hyperlink" Target="https://doi.org/10.1016/j.procir.2024.10.261" TargetMode="External"/><Relationship Id="rId4" Type="http://schemas.openxmlformats.org/officeDocument/2006/relationships/hyperlink" Target="https://doi.org/10.1109/ICMLCA63499.2024.10754379" TargetMode="External"/><Relationship Id="rId9" Type="http://schemas.openxmlformats.org/officeDocument/2006/relationships/hyperlink" Target="https://doi.org/10.1109/ACCESS.2024.3430218" TargetMode="External"/><Relationship Id="rId5" Type="http://schemas.openxmlformats.org/officeDocument/2006/relationships/hyperlink" Target="https://doi.org/10.23055/ijietap.2024.31.5.9997" TargetMode="External"/><Relationship Id="rId6" Type="http://schemas.openxmlformats.org/officeDocument/2006/relationships/hyperlink" Target="https://doi.org/10.1080/00207543.2024.2408671" TargetMode="External"/><Relationship Id="rId7" Type="http://schemas.openxmlformats.org/officeDocument/2006/relationships/hyperlink" Target="https://doi.org/10.1007/978-981-97-5675-9_8" TargetMode="External"/><Relationship Id="rId8" Type="http://schemas.openxmlformats.org/officeDocument/2006/relationships/hyperlink" Target="https://doi.org/10.1007/978-981-97-5581-3_15" TargetMode="External"/></Relationships>
</file>

<file path=xl/worksheets/_rels/sheet18.xml.rels><?xml version="1.0" encoding="UTF-8" standalone="yes"?><Relationships xmlns="http://schemas.openxmlformats.org/package/2006/relationships"><Relationship Id="rId31" Type="http://schemas.openxmlformats.org/officeDocument/2006/relationships/hyperlink" Target="https://doi.org/10.1016/j.ifacol.2018.03.046" TargetMode="External"/><Relationship Id="rId30" Type="http://schemas.openxmlformats.org/officeDocument/2006/relationships/hyperlink" Target="https://doi.org/10.1177/1687814018766776" TargetMode="External"/><Relationship Id="rId33" Type="http://schemas.openxmlformats.org/officeDocument/2006/relationships/drawing" Target="../drawings/drawing18.xml"/><Relationship Id="rId32" Type="http://schemas.openxmlformats.org/officeDocument/2006/relationships/hyperlink" Target="https://doi.org/10.1016/j.jmsy.2021.09.018" TargetMode="External"/><Relationship Id="rId20" Type="http://schemas.openxmlformats.org/officeDocument/2006/relationships/hyperlink" Target="https://doi.org/10.1016/j.asoc.2025.113474" TargetMode="External"/><Relationship Id="rId22" Type="http://schemas.openxmlformats.org/officeDocument/2006/relationships/hyperlink" Target="https://doi.org/10.1016/j.ins.2025.122023" TargetMode="External"/><Relationship Id="rId21" Type="http://schemas.openxmlformats.org/officeDocument/2006/relationships/hyperlink" Target="https://doi.org/10.1016/j.cie.2025.111310" TargetMode="External"/><Relationship Id="rId24" Type="http://schemas.openxmlformats.org/officeDocument/2006/relationships/hyperlink" Target="https://doi.org/10.1016/j.asoc.2025.113230" TargetMode="External"/><Relationship Id="rId23" Type="http://schemas.openxmlformats.org/officeDocument/2006/relationships/hyperlink" Target="https://doi.org/10.1007/s43069-025-00466-5" TargetMode="External"/><Relationship Id="rId26" Type="http://schemas.openxmlformats.org/officeDocument/2006/relationships/hyperlink" Target="https://doi.org/10.1109/TASE.2025.3591984" TargetMode="External"/><Relationship Id="rId25" Type="http://schemas.openxmlformats.org/officeDocument/2006/relationships/hyperlink" Target="https://doi.org/10.1007/978-981-96-9901-8_32" TargetMode="External"/><Relationship Id="rId28" Type="http://schemas.openxmlformats.org/officeDocument/2006/relationships/hyperlink" Target="https://doi.org/10.1109/CEC65147.2025.11043017" TargetMode="External"/><Relationship Id="rId27" Type="http://schemas.openxmlformats.org/officeDocument/2006/relationships/hyperlink" Target="https://doi.org/10.32604/cmc.2025.065153" TargetMode="External"/><Relationship Id="rId29" Type="http://schemas.openxmlformats.org/officeDocument/2006/relationships/hyperlink" Target="https://doi.org/10.1108/RPJ-11-2017-0238" TargetMode="External"/><Relationship Id="rId11" Type="http://schemas.openxmlformats.org/officeDocument/2006/relationships/hyperlink" Target="https://doi.org/10.1016/j.jmsy.2023.11.019" TargetMode="External"/><Relationship Id="rId10" Type="http://schemas.openxmlformats.org/officeDocument/2006/relationships/hyperlink" Target="https://doi.org/10.1016/j.swevo.2024.101762" TargetMode="External"/><Relationship Id="rId13" Type="http://schemas.openxmlformats.org/officeDocument/2006/relationships/hyperlink" Target="https://doi.org/10.1007/978-3-031-38165-2_135" TargetMode="External"/><Relationship Id="rId12" Type="http://schemas.openxmlformats.org/officeDocument/2006/relationships/hyperlink" Target="https://doi.org/10.1109/TSMC.2023.3317390" TargetMode="External"/><Relationship Id="rId15" Type="http://schemas.openxmlformats.org/officeDocument/2006/relationships/hyperlink" Target="https://doi.org/10.1117/12.2679540" TargetMode="External"/><Relationship Id="rId14" Type="http://schemas.openxmlformats.org/officeDocument/2006/relationships/hyperlink" Target="https://doi.org/10.1016/j.procir.2023.09.195" TargetMode="External"/><Relationship Id="rId17" Type="http://schemas.openxmlformats.org/officeDocument/2006/relationships/hyperlink" Target="https://doi.org/10.1016/j.compind.2021.103433" TargetMode="External"/><Relationship Id="rId16" Type="http://schemas.openxmlformats.org/officeDocument/2006/relationships/hyperlink" Target="https://doi.org/10.1155/2022/5892943" TargetMode="External"/><Relationship Id="rId19" Type="http://schemas.openxmlformats.org/officeDocument/2006/relationships/hyperlink" Target="https://doi.org/10.1007/s11740-017-0784-x" TargetMode="External"/><Relationship Id="rId18" Type="http://schemas.openxmlformats.org/officeDocument/2006/relationships/hyperlink" Target="https://doi.org/10.1109/CASE48305.2020.9216907" TargetMode="External"/><Relationship Id="rId1" Type="http://schemas.openxmlformats.org/officeDocument/2006/relationships/hyperlink" Target="https://doi.org/10.1016/j.jmsy.2024.03.015" TargetMode="External"/><Relationship Id="rId2" Type="http://schemas.openxmlformats.org/officeDocument/2006/relationships/hyperlink" Target="https://doi.org/10.3390/app14010283" TargetMode="External"/><Relationship Id="rId3" Type="http://schemas.openxmlformats.org/officeDocument/2006/relationships/hyperlink" Target="https://doi.org/10.1109/MSN63567.2024.00058" TargetMode="External"/><Relationship Id="rId4" Type="http://schemas.openxmlformats.org/officeDocument/2006/relationships/hyperlink" Target="https://doi.org/10.1007/s10845-021-01826-8" TargetMode="External"/><Relationship Id="rId9" Type="http://schemas.openxmlformats.org/officeDocument/2006/relationships/hyperlink" Target="https://doi.org/10.1109/TEM.2018.2846627" TargetMode="External"/><Relationship Id="rId5" Type="http://schemas.openxmlformats.org/officeDocument/2006/relationships/hyperlink" Target="https://doi.org/10.1145/3564695.3564778" TargetMode="External"/><Relationship Id="rId6" Type="http://schemas.openxmlformats.org/officeDocument/2006/relationships/hyperlink" Target="https://doi.org/10.1109/WSC57314.2022.10015282" TargetMode="External"/><Relationship Id="rId7" Type="http://schemas.openxmlformats.org/officeDocument/2006/relationships/hyperlink" Target="https://doi.org/10.1007/978-3-031-14844-6_3" TargetMode="External"/><Relationship Id="rId8" Type="http://schemas.openxmlformats.org/officeDocument/2006/relationships/hyperlink" Target="https://doi.org/10.1007/978-3-030-75680-2_62"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9.xml"/><Relationship Id="rId3"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i.org/10.1177/16878132221086120" TargetMode="External"/><Relationship Id="rId3" Type="http://schemas.openxmlformats.org/officeDocument/2006/relationships/hyperlink" Target="https://doi.org/10.1049/cim2.12042" TargetMode="External"/><Relationship Id="rId4" Type="http://schemas.openxmlformats.org/officeDocument/2006/relationships/hyperlink" Target="https://doi.org/10.1007/s11740-021-01064-0" TargetMode="External"/><Relationship Id="rId5" Type="http://schemas.openxmlformats.org/officeDocument/2006/relationships/hyperlink" Target="https://doi.org/10.1080/00207543.2023.2217285" TargetMode="External"/><Relationship Id="rId6" Type="http://schemas.openxmlformats.org/officeDocument/2006/relationships/drawing" Target="../drawings/drawing20.xml"/><Relationship Id="rId7"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20" Type="http://schemas.openxmlformats.org/officeDocument/2006/relationships/hyperlink" Target="https://doi.org/10.1007/978-3-030-01614-2_58" TargetMode="External"/><Relationship Id="rId22" Type="http://schemas.openxmlformats.org/officeDocument/2006/relationships/hyperlink" Target="https://doi.org/10.1016/j.rcim.2022.102518" TargetMode="External"/><Relationship Id="rId21" Type="http://schemas.openxmlformats.org/officeDocument/2006/relationships/hyperlink" Target="https://doi.org/10.1109/CASE49997.2022.9926471" TargetMode="External"/><Relationship Id="rId24" Type="http://schemas.openxmlformats.org/officeDocument/2006/relationships/hyperlink" Target="https://doi.org/10.1016/j.procir.2016.02.080" TargetMode="External"/><Relationship Id="rId23" Type="http://schemas.openxmlformats.org/officeDocument/2006/relationships/hyperlink" Target="https://doi.org/10.3390/app9020348" TargetMode="External"/><Relationship Id="rId26" Type="http://schemas.openxmlformats.org/officeDocument/2006/relationships/hyperlink" Target="https://doi.org/10.1109/ICRA46639.2022.9811952" TargetMode="External"/><Relationship Id="rId25" Type="http://schemas.openxmlformats.org/officeDocument/2006/relationships/hyperlink" Target="https://doi.org/10.1007/s00170-020-05356-0" TargetMode="External"/><Relationship Id="rId27" Type="http://schemas.openxmlformats.org/officeDocument/2006/relationships/drawing" Target="../drawings/drawing25.xml"/><Relationship Id="rId11" Type="http://schemas.openxmlformats.org/officeDocument/2006/relationships/hyperlink" Target="https://doi.org/10.1080/00207543.2024.2431178" TargetMode="External"/><Relationship Id="rId10" Type="http://schemas.openxmlformats.org/officeDocument/2006/relationships/hyperlink" Target="https://doi.org/10.1109/ACCESS.2024.3389091" TargetMode="External"/><Relationship Id="rId13" Type="http://schemas.openxmlformats.org/officeDocument/2006/relationships/hyperlink" Target="https://doi.org/10.1016/j.jclepro.2016.03.150" TargetMode="External"/><Relationship Id="rId12" Type="http://schemas.openxmlformats.org/officeDocument/2006/relationships/hyperlink" Target="https://doi.org/10.1016/j.cie.2025.111580" TargetMode="External"/><Relationship Id="rId15" Type="http://schemas.openxmlformats.org/officeDocument/2006/relationships/hyperlink" Target="https://doi.org/10.1016/j.rcim.2022.102321" TargetMode="External"/><Relationship Id="rId14" Type="http://schemas.openxmlformats.org/officeDocument/2006/relationships/hyperlink" Target="https://doi.org/10.1016/j.rcim.2021.102258" TargetMode="External"/><Relationship Id="rId17" Type="http://schemas.openxmlformats.org/officeDocument/2006/relationships/hyperlink" Target="https://doi.org/10.1080/21693277.2019.1618746" TargetMode="External"/><Relationship Id="rId16" Type="http://schemas.openxmlformats.org/officeDocument/2006/relationships/hyperlink" Target="https://doi.org/10.1007/978-3-030-27878-6_9" TargetMode="External"/><Relationship Id="rId19" Type="http://schemas.openxmlformats.org/officeDocument/2006/relationships/hyperlink" Target="https://doi.org/10.1016/j.ijinfomgt.2019.05.020" TargetMode="External"/><Relationship Id="rId18" Type="http://schemas.openxmlformats.org/officeDocument/2006/relationships/hyperlink" Target="https://doi.org/10.1016/j.rcim.2014.07.004" TargetMode="External"/><Relationship Id="rId1" Type="http://schemas.openxmlformats.org/officeDocument/2006/relationships/hyperlink" Target="https://doi.org/10.1016/j.resconrec.2020.104902" TargetMode="External"/><Relationship Id="rId2" Type="http://schemas.openxmlformats.org/officeDocument/2006/relationships/hyperlink" Target="https://doi.org/10.1007/s12063-020-00156-x" TargetMode="External"/><Relationship Id="rId3" Type="http://schemas.openxmlformats.org/officeDocument/2006/relationships/hyperlink" Target="https://doi.org/10.1016/j.energy.2020.118385" TargetMode="External"/><Relationship Id="rId4" Type="http://schemas.openxmlformats.org/officeDocument/2006/relationships/hyperlink" Target="https://doi.org/10.3390/sym14030561" TargetMode="External"/><Relationship Id="rId9" Type="http://schemas.openxmlformats.org/officeDocument/2006/relationships/hyperlink" Target="https://doi.org/10.1109/CoDIT62066.2024.10708345" TargetMode="External"/><Relationship Id="rId5" Type="http://schemas.openxmlformats.org/officeDocument/2006/relationships/hyperlink" Target="https://doi.org/10.1016/j.jclepro.2023.136228" TargetMode="External"/><Relationship Id="rId6" Type="http://schemas.openxmlformats.org/officeDocument/2006/relationships/hyperlink" Target="https://doi.org/10.3390/machines11010053" TargetMode="External"/><Relationship Id="rId7" Type="http://schemas.openxmlformats.org/officeDocument/2006/relationships/hyperlink" Target="https://doi.org/10.1007/978-3-031-71743-7_13" TargetMode="External"/><Relationship Id="rId8" Type="http://schemas.openxmlformats.org/officeDocument/2006/relationships/hyperlink" Target="https://doi.org/10.1109/JIOT.2024.3354251"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56"/>
    <col customWidth="1" min="2" max="39" width="4.56"/>
  </cols>
  <sheetData>
    <row r="1">
      <c r="A1" s="1"/>
      <c r="B1" s="2" t="s">
        <v>0</v>
      </c>
      <c r="C1" s="3"/>
      <c r="D1" s="4"/>
      <c r="E1" s="2" t="s">
        <v>1</v>
      </c>
      <c r="F1" s="3"/>
      <c r="G1" s="3"/>
      <c r="H1" s="3"/>
      <c r="I1" s="3"/>
      <c r="J1" s="3"/>
      <c r="K1" s="3"/>
      <c r="L1" s="3"/>
      <c r="M1" s="3"/>
      <c r="N1" s="3"/>
      <c r="O1" s="3"/>
      <c r="P1" s="3"/>
      <c r="Q1" s="3"/>
      <c r="R1" s="3"/>
      <c r="S1" s="3"/>
      <c r="T1" s="3"/>
      <c r="U1" s="3"/>
      <c r="V1" s="3"/>
      <c r="W1" s="3"/>
      <c r="X1" s="3"/>
      <c r="Y1" s="3"/>
      <c r="Z1" s="3"/>
      <c r="AA1" s="3"/>
      <c r="AB1" s="3"/>
      <c r="AC1" s="3"/>
      <c r="AD1" s="3"/>
      <c r="AE1" s="3"/>
      <c r="AF1" s="4"/>
      <c r="AG1" s="5" t="s">
        <v>2</v>
      </c>
    </row>
    <row r="2">
      <c r="A2" s="1" t="s">
        <v>3</v>
      </c>
      <c r="B2" s="1">
        <v>29.0</v>
      </c>
      <c r="C2" s="1">
        <v>30.0</v>
      </c>
      <c r="D2" s="1">
        <v>31.0</v>
      </c>
      <c r="E2" s="1">
        <v>1.0</v>
      </c>
      <c r="F2" s="6">
        <v>2.0</v>
      </c>
      <c r="G2" s="6">
        <v>3.0</v>
      </c>
      <c r="H2" s="6">
        <v>4.0</v>
      </c>
      <c r="I2" s="6">
        <v>5.0</v>
      </c>
      <c r="J2" s="6">
        <v>6.0</v>
      </c>
      <c r="K2" s="6">
        <v>7.0</v>
      </c>
      <c r="L2" s="6">
        <v>8.0</v>
      </c>
      <c r="M2" s="1">
        <v>9.0</v>
      </c>
      <c r="N2" s="1">
        <v>10.0</v>
      </c>
      <c r="O2" s="1">
        <v>11.0</v>
      </c>
      <c r="P2" s="1">
        <v>12.0</v>
      </c>
      <c r="Q2" s="1">
        <v>13.0</v>
      </c>
      <c r="R2" s="1">
        <v>14.0</v>
      </c>
      <c r="S2" s="1">
        <v>15.0</v>
      </c>
      <c r="T2" s="6">
        <v>16.0</v>
      </c>
      <c r="U2" s="6">
        <v>17.0</v>
      </c>
      <c r="V2" s="6">
        <v>18.0</v>
      </c>
      <c r="W2" s="6">
        <v>19.0</v>
      </c>
      <c r="X2" s="6">
        <v>20.0</v>
      </c>
      <c r="Y2" s="6">
        <v>21.0</v>
      </c>
      <c r="Z2" s="6">
        <v>22.0</v>
      </c>
      <c r="AA2" s="1">
        <v>23.0</v>
      </c>
      <c r="AB2" s="1">
        <v>24.0</v>
      </c>
      <c r="AC2" s="1">
        <v>25.0</v>
      </c>
      <c r="AD2" s="1">
        <v>26.0</v>
      </c>
      <c r="AE2" s="1">
        <v>27.0</v>
      </c>
      <c r="AF2" s="1">
        <v>28.0</v>
      </c>
      <c r="AG2" s="1">
        <v>1.0</v>
      </c>
      <c r="AH2" s="7">
        <v>2.0</v>
      </c>
      <c r="AI2" s="7">
        <v>3.0</v>
      </c>
      <c r="AJ2" s="7">
        <v>4.0</v>
      </c>
      <c r="AK2" s="7">
        <v>5.0</v>
      </c>
      <c r="AL2" s="7">
        <v>6.0</v>
      </c>
      <c r="AM2" s="1"/>
    </row>
    <row r="3">
      <c r="A3" s="8" t="s">
        <v>4</v>
      </c>
      <c r="B3" s="9"/>
      <c r="C3" s="9"/>
      <c r="D3" s="9"/>
      <c r="E3" s="10"/>
      <c r="F3" s="9"/>
      <c r="AF3" s="11" t="s">
        <v>5</v>
      </c>
      <c r="AL3" s="12" t="s">
        <v>6</v>
      </c>
    </row>
    <row r="4">
      <c r="A4" s="8" t="s">
        <v>7</v>
      </c>
      <c r="B4" s="9"/>
      <c r="C4" s="9"/>
      <c r="D4" s="9"/>
      <c r="E4" s="10"/>
      <c r="F4" s="9"/>
      <c r="G4" s="9"/>
      <c r="H4" s="10"/>
      <c r="Q4" s="13"/>
      <c r="R4" s="13"/>
    </row>
    <row r="5">
      <c r="A5" s="8" t="s">
        <v>8</v>
      </c>
      <c r="B5" s="9"/>
      <c r="C5" s="9"/>
      <c r="D5" s="9"/>
      <c r="E5" s="10"/>
      <c r="F5" s="9"/>
      <c r="G5" s="9"/>
      <c r="H5" s="10"/>
      <c r="I5" s="9"/>
    </row>
    <row r="6">
      <c r="A6" s="8" t="s">
        <v>9</v>
      </c>
      <c r="B6" s="9"/>
      <c r="C6" s="9"/>
      <c r="D6" s="9"/>
      <c r="E6" s="10"/>
      <c r="Q6" s="13"/>
      <c r="R6" s="13"/>
    </row>
    <row r="7">
      <c r="A7" s="8" t="s">
        <v>10</v>
      </c>
      <c r="E7" s="10"/>
      <c r="F7" s="9"/>
      <c r="G7" s="9"/>
      <c r="H7" s="9"/>
      <c r="I7" s="9"/>
      <c r="J7" s="9"/>
      <c r="K7" s="9"/>
      <c r="L7" s="9"/>
      <c r="M7" s="9"/>
      <c r="N7" s="9"/>
      <c r="O7" s="9"/>
      <c r="P7" s="9"/>
      <c r="Q7" s="14"/>
      <c r="R7" s="14"/>
      <c r="S7" s="14"/>
      <c r="T7" s="14"/>
    </row>
    <row r="8">
      <c r="A8" s="8" t="s">
        <v>11</v>
      </c>
      <c r="J8" s="13"/>
      <c r="K8" s="13"/>
      <c r="L8" s="13"/>
      <c r="M8" s="13"/>
      <c r="N8" s="13"/>
      <c r="O8" s="13"/>
      <c r="P8" s="13"/>
      <c r="Q8" s="13"/>
      <c r="R8" s="13"/>
      <c r="S8" s="15"/>
      <c r="T8" s="15"/>
    </row>
    <row r="9">
      <c r="A9" s="8" t="s">
        <v>12</v>
      </c>
      <c r="R9" s="13"/>
      <c r="S9" s="15"/>
      <c r="T9" s="15"/>
      <c r="U9" s="15"/>
      <c r="V9" s="15"/>
      <c r="W9" s="15"/>
    </row>
    <row r="10">
      <c r="A10" s="8" t="s">
        <v>13</v>
      </c>
      <c r="W10" s="15"/>
      <c r="X10" s="15"/>
      <c r="Y10" s="15"/>
      <c r="Z10" s="15"/>
    </row>
    <row r="11">
      <c r="A11" s="8" t="s">
        <v>14</v>
      </c>
      <c r="Y11" s="15"/>
      <c r="Z11" s="15"/>
      <c r="AA11" s="15"/>
      <c r="AB11" s="15"/>
      <c r="AC11" s="15"/>
    </row>
    <row r="12">
      <c r="A12" s="8" t="s">
        <v>15</v>
      </c>
      <c r="AC12" s="15"/>
      <c r="AD12" s="15"/>
      <c r="AE12" s="15"/>
      <c r="AG12" s="15"/>
      <c r="AI12" s="15"/>
      <c r="AK12" s="15"/>
    </row>
    <row r="13">
      <c r="A13" s="8" t="s">
        <v>16</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7"/>
      <c r="AG13" s="18"/>
      <c r="AH13" s="18"/>
      <c r="AI13" s="18"/>
      <c r="AJ13" s="18"/>
      <c r="AK13" s="18"/>
      <c r="AL13" s="17"/>
    </row>
    <row r="14">
      <c r="A14" s="19" t="s">
        <v>17</v>
      </c>
      <c r="B14" s="16"/>
      <c r="C14" s="16"/>
      <c r="D14" s="16"/>
      <c r="E14" s="16"/>
      <c r="F14" s="20" t="s">
        <v>18</v>
      </c>
      <c r="G14" s="20"/>
      <c r="H14" s="16"/>
      <c r="I14" s="16"/>
      <c r="J14" s="20" t="s">
        <v>18</v>
      </c>
      <c r="K14" s="16"/>
      <c r="L14" s="16"/>
      <c r="M14" s="16"/>
      <c r="N14" s="20" t="s">
        <v>18</v>
      </c>
      <c r="O14" s="16"/>
      <c r="P14" s="16"/>
      <c r="Q14" s="20" t="s">
        <v>18</v>
      </c>
      <c r="R14" s="16"/>
      <c r="S14" s="16"/>
      <c r="T14" s="16"/>
      <c r="U14" s="20" t="s">
        <v>18</v>
      </c>
      <c r="V14" s="16"/>
      <c r="W14" s="16"/>
      <c r="X14" s="20" t="s">
        <v>18</v>
      </c>
      <c r="Y14" s="16"/>
      <c r="Z14" s="16"/>
      <c r="AA14" s="16"/>
      <c r="AB14" s="20" t="s">
        <v>18</v>
      </c>
      <c r="AC14" s="16"/>
      <c r="AD14" s="20" t="s">
        <v>18</v>
      </c>
      <c r="AE14" s="20" t="s">
        <v>18</v>
      </c>
      <c r="AF14" s="16"/>
      <c r="AG14" s="16"/>
      <c r="AH14" s="20" t="s">
        <v>18</v>
      </c>
      <c r="AI14" s="16"/>
      <c r="AJ14" s="20" t="s">
        <v>18</v>
      </c>
      <c r="AK14" s="20" t="s">
        <v>18</v>
      </c>
      <c r="AL14" s="16"/>
    </row>
    <row r="15">
      <c r="A15" s="21" t="s">
        <v>19</v>
      </c>
    </row>
    <row r="16">
      <c r="A16" s="22" t="s">
        <v>20</v>
      </c>
    </row>
    <row r="17">
      <c r="A17" s="23" t="s">
        <v>21</v>
      </c>
    </row>
    <row r="18">
      <c r="A18" s="24" t="s">
        <v>22</v>
      </c>
    </row>
    <row r="19">
      <c r="A19" s="25" t="s">
        <v>23</v>
      </c>
    </row>
  </sheetData>
  <mergeCells count="5">
    <mergeCell ref="B1:D1"/>
    <mergeCell ref="E1:AF1"/>
    <mergeCell ref="AG1:AL1"/>
    <mergeCell ref="AF3:AF13"/>
    <mergeCell ref="AL3:AL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24</v>
      </c>
    </row>
    <row r="2">
      <c r="A2" s="26" t="s">
        <v>25</v>
      </c>
    </row>
    <row r="3">
      <c r="A3" s="26" t="s">
        <v>26</v>
      </c>
    </row>
    <row r="4">
      <c r="A4" s="26" t="s">
        <v>27</v>
      </c>
    </row>
    <row r="6">
      <c r="A6" s="26" t="s">
        <v>28</v>
      </c>
    </row>
    <row r="7">
      <c r="A7" s="26" t="s">
        <v>29</v>
      </c>
    </row>
    <row r="8">
      <c r="A8" s="26" t="s">
        <v>30</v>
      </c>
    </row>
    <row r="9">
      <c r="A9" s="26" t="s">
        <v>31</v>
      </c>
    </row>
    <row r="10">
      <c r="A10" s="26" t="s">
        <v>32</v>
      </c>
    </row>
    <row r="12">
      <c r="A12" s="26" t="s">
        <v>33</v>
      </c>
    </row>
    <row r="13">
      <c r="A13" s="26" t="s">
        <v>34</v>
      </c>
    </row>
    <row r="14">
      <c r="A14" s="26" t="s">
        <v>35</v>
      </c>
    </row>
    <row r="15">
      <c r="A15" s="26" t="s">
        <v>36</v>
      </c>
    </row>
    <row r="16">
      <c r="A16" s="26" t="s">
        <v>37</v>
      </c>
    </row>
    <row r="17">
      <c r="A17" s="26" t="s">
        <v>38</v>
      </c>
    </row>
    <row r="18">
      <c r="A18" s="26" t="s">
        <v>39</v>
      </c>
    </row>
    <row r="19">
      <c r="A19" s="26" t="s">
        <v>40</v>
      </c>
    </row>
    <row r="21">
      <c r="A21" s="26" t="s">
        <v>41</v>
      </c>
    </row>
    <row r="22">
      <c r="A22" s="26" t="s">
        <v>42</v>
      </c>
    </row>
    <row r="23">
      <c r="A23" s="26" t="s">
        <v>43</v>
      </c>
    </row>
    <row r="24">
      <c r="A24" s="26" t="s">
        <v>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78"/>
    <col customWidth="1" min="2" max="2" width="97.22"/>
  </cols>
  <sheetData>
    <row r="1" ht="19.5" customHeight="1">
      <c r="A1" s="26" t="s">
        <v>45</v>
      </c>
      <c r="B1" s="26" t="s">
        <v>46</v>
      </c>
    </row>
    <row r="2">
      <c r="A2" s="26" t="s">
        <v>47</v>
      </c>
      <c r="B2" s="26" t="s">
        <v>48</v>
      </c>
    </row>
    <row r="3">
      <c r="A3" s="26" t="s">
        <v>49</v>
      </c>
      <c r="B3" s="26" t="s">
        <v>50</v>
      </c>
    </row>
    <row r="4">
      <c r="A4" s="26" t="s">
        <v>51</v>
      </c>
      <c r="B4" s="26" t="s">
        <v>52</v>
      </c>
    </row>
    <row r="6">
      <c r="A6" s="27" t="s">
        <v>53</v>
      </c>
      <c r="B6" s="27" t="s">
        <v>54</v>
      </c>
    </row>
    <row r="7">
      <c r="B7" s="28" t="s">
        <v>55</v>
      </c>
    </row>
    <row r="8">
      <c r="B8" s="26" t="s">
        <v>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5.11"/>
    <col customWidth="1" min="3" max="3" width="10.0"/>
    <col customWidth="1" min="4" max="4" width="8.44"/>
    <col customWidth="1" min="5" max="5" width="9.56"/>
    <col customWidth="1" min="6" max="6" width="11.0"/>
    <col customWidth="1" min="7" max="7" width="12.44"/>
    <col customWidth="1" min="8" max="8" width="10.78"/>
    <col customWidth="1" min="9" max="9" width="14.33"/>
    <col customWidth="1" min="10" max="13" width="10.78"/>
    <col customWidth="1" min="14" max="15" width="6.78"/>
    <col customWidth="1" min="16" max="19" width="8.22"/>
    <col customWidth="1" min="20" max="20" width="10.89"/>
    <col customWidth="1" min="21" max="21" width="12.0"/>
    <col customWidth="1" min="22" max="22" width="14.56"/>
    <col customWidth="1" min="23" max="23" width="16.0"/>
    <col customWidth="1" min="24" max="26" width="14.56"/>
    <col customWidth="1" min="27" max="27" width="16.89"/>
    <col customWidth="1" min="28" max="28" width="23.89"/>
    <col customWidth="1" min="29" max="29" width="12.56"/>
  </cols>
  <sheetData>
    <row r="1" ht="14.25" customHeight="1">
      <c r="A1" s="29" t="s">
        <v>57</v>
      </c>
      <c r="B1" s="29" t="s">
        <v>58</v>
      </c>
      <c r="C1" s="30" t="s">
        <v>59</v>
      </c>
      <c r="D1" s="29" t="s">
        <v>60</v>
      </c>
      <c r="E1" s="29" t="s">
        <v>61</v>
      </c>
      <c r="F1" s="29" t="s">
        <v>62</v>
      </c>
      <c r="G1" s="29" t="s">
        <v>63</v>
      </c>
      <c r="H1" s="29" t="s">
        <v>64</v>
      </c>
      <c r="I1" s="29" t="s">
        <v>65</v>
      </c>
      <c r="J1" s="31" t="s">
        <v>66</v>
      </c>
      <c r="K1" s="31" t="s">
        <v>67</v>
      </c>
      <c r="L1" s="32" t="s">
        <v>68</v>
      </c>
      <c r="M1" s="33" t="s">
        <v>69</v>
      </c>
      <c r="N1" s="33" t="s">
        <v>70</v>
      </c>
      <c r="O1" s="33" t="s">
        <v>71</v>
      </c>
      <c r="P1" s="33" t="s">
        <v>72</v>
      </c>
      <c r="Q1" s="33" t="s">
        <v>73</v>
      </c>
      <c r="R1" s="33" t="s">
        <v>74</v>
      </c>
      <c r="S1" s="33" t="s">
        <v>75</v>
      </c>
      <c r="T1" s="33" t="s">
        <v>76</v>
      </c>
      <c r="U1" s="33" t="s">
        <v>77</v>
      </c>
      <c r="V1" s="33" t="s">
        <v>78</v>
      </c>
      <c r="W1" s="33" t="s">
        <v>79</v>
      </c>
      <c r="X1" s="34" t="s">
        <v>80</v>
      </c>
      <c r="Y1" s="34" t="s">
        <v>81</v>
      </c>
      <c r="Z1" s="34" t="s">
        <v>82</v>
      </c>
      <c r="AA1" s="35" t="s">
        <v>83</v>
      </c>
      <c r="AB1" s="35" t="s">
        <v>84</v>
      </c>
      <c r="AC1" s="36" t="s">
        <v>85</v>
      </c>
    </row>
    <row r="2" ht="14.25" customHeight="1">
      <c r="A2" s="37" t="s">
        <v>86</v>
      </c>
      <c r="B2" s="37" t="s">
        <v>87</v>
      </c>
      <c r="C2" s="38" t="s">
        <v>88</v>
      </c>
      <c r="D2" s="37" t="s">
        <v>89</v>
      </c>
      <c r="E2" s="37" t="s">
        <v>90</v>
      </c>
      <c r="F2" s="37" t="s">
        <v>91</v>
      </c>
      <c r="G2" s="37" t="s">
        <v>92</v>
      </c>
      <c r="I2" s="37" t="s">
        <v>45</v>
      </c>
      <c r="J2" s="37" t="s">
        <v>93</v>
      </c>
      <c r="N2" s="37">
        <f>COUNTIF($I$1:$I$250,"L0")</f>
        <v>9</v>
      </c>
      <c r="O2" s="37">
        <f>COUNTIF($I$1:$I$250,"L1")</f>
        <v>11</v>
      </c>
      <c r="P2" s="37">
        <f>COUNTIF($I$1:$I$250,"L2")</f>
        <v>102</v>
      </c>
      <c r="Q2" s="37">
        <f>COUNTIF($I$1:$I$250,"L3")</f>
        <v>6</v>
      </c>
      <c r="R2" s="37">
        <f>COUNTIF($I$1:$I$250,"L4")</f>
        <v>10</v>
      </c>
      <c r="S2" s="37">
        <f>COUNTIF($I$1:$I$250,"L3/L4")</f>
        <v>0</v>
      </c>
      <c r="T2" s="37">
        <f>COUNTIF($I$1:$I$250,"L0/L1/L2/L3/L4")</f>
        <v>2</v>
      </c>
      <c r="U2" s="37">
        <f>N2+O2+P2+S2+T2</f>
        <v>124</v>
      </c>
      <c r="V2" s="37">
        <f>N2</f>
        <v>9</v>
      </c>
      <c r="W2" s="37">
        <f>O2-1</f>
        <v>10</v>
      </c>
      <c r="X2" s="37">
        <f>P2-4</f>
        <v>98</v>
      </c>
      <c r="Y2" s="37">
        <f>Q2-0</f>
        <v>6</v>
      </c>
      <c r="Z2" s="37">
        <f>R2-2</f>
        <v>8</v>
      </c>
      <c r="AA2" s="37">
        <f t="shared" ref="AA2:AB2" si="1">S2</f>
        <v>0</v>
      </c>
      <c r="AB2" s="37">
        <f t="shared" si="1"/>
        <v>2</v>
      </c>
      <c r="AC2" s="37">
        <f>V2+W2+X2+AA2+AB2</f>
        <v>119</v>
      </c>
    </row>
    <row r="3" ht="14.25" customHeight="1">
      <c r="A3" s="37" t="s">
        <v>94</v>
      </c>
      <c r="B3" s="37" t="s">
        <v>95</v>
      </c>
      <c r="C3" s="38" t="s">
        <v>88</v>
      </c>
      <c r="D3" s="37" t="s">
        <v>96</v>
      </c>
      <c r="F3" s="37" t="s">
        <v>97</v>
      </c>
      <c r="G3" s="37" t="s">
        <v>92</v>
      </c>
      <c r="I3" s="37" t="s">
        <v>45</v>
      </c>
      <c r="J3" s="37" t="s">
        <v>93</v>
      </c>
    </row>
    <row r="4" ht="14.25" customHeight="1">
      <c r="A4" s="37" t="s">
        <v>98</v>
      </c>
      <c r="B4" s="37" t="s">
        <v>99</v>
      </c>
      <c r="C4" s="38" t="s">
        <v>88</v>
      </c>
      <c r="D4" s="37" t="s">
        <v>100</v>
      </c>
      <c r="E4" s="37" t="s">
        <v>101</v>
      </c>
      <c r="F4" s="37" t="s">
        <v>102</v>
      </c>
      <c r="G4" s="37" t="s">
        <v>92</v>
      </c>
      <c r="I4" s="37" t="s">
        <v>45</v>
      </c>
      <c r="J4" s="37" t="s">
        <v>93</v>
      </c>
    </row>
    <row r="5" ht="14.25" customHeight="1">
      <c r="A5" s="37" t="s">
        <v>103</v>
      </c>
      <c r="B5" s="37" t="s">
        <v>104</v>
      </c>
      <c r="C5" s="38" t="s">
        <v>88</v>
      </c>
      <c r="D5" s="37" t="s">
        <v>105</v>
      </c>
      <c r="F5" s="37" t="s">
        <v>106</v>
      </c>
      <c r="G5" s="37" t="s">
        <v>92</v>
      </c>
      <c r="I5" s="37" t="s">
        <v>45</v>
      </c>
      <c r="J5" s="37" t="s">
        <v>93</v>
      </c>
    </row>
    <row r="6" ht="14.25" customHeight="1">
      <c r="A6" s="37" t="s">
        <v>107</v>
      </c>
      <c r="B6" s="37" t="s">
        <v>108</v>
      </c>
      <c r="C6" s="38" t="s">
        <v>88</v>
      </c>
      <c r="D6" s="37" t="s">
        <v>109</v>
      </c>
      <c r="F6" s="37" t="s">
        <v>110</v>
      </c>
      <c r="G6" s="37" t="s">
        <v>92</v>
      </c>
      <c r="I6" s="37" t="s">
        <v>45</v>
      </c>
      <c r="J6" s="37" t="s">
        <v>93</v>
      </c>
    </row>
    <row r="7" ht="14.25" customHeight="1">
      <c r="A7" s="37" t="s">
        <v>111</v>
      </c>
      <c r="B7" s="37" t="s">
        <v>112</v>
      </c>
      <c r="C7" s="38" t="s">
        <v>88</v>
      </c>
      <c r="D7" s="37" t="s">
        <v>113</v>
      </c>
      <c r="E7" s="37" t="s">
        <v>90</v>
      </c>
      <c r="F7" s="37" t="s">
        <v>114</v>
      </c>
      <c r="G7" s="37" t="s">
        <v>115</v>
      </c>
      <c r="I7" s="37" t="s">
        <v>45</v>
      </c>
      <c r="J7" s="37" t="s">
        <v>93</v>
      </c>
    </row>
    <row r="8" ht="14.25" customHeight="1">
      <c r="A8" s="37" t="s">
        <v>116</v>
      </c>
      <c r="B8" s="37" t="s">
        <v>117</v>
      </c>
      <c r="C8" s="38" t="s">
        <v>88</v>
      </c>
      <c r="D8" s="37" t="s">
        <v>118</v>
      </c>
      <c r="F8" s="37" t="s">
        <v>119</v>
      </c>
      <c r="G8" s="37" t="s">
        <v>92</v>
      </c>
      <c r="I8" s="37" t="s">
        <v>45</v>
      </c>
      <c r="J8" s="37" t="s">
        <v>93</v>
      </c>
    </row>
    <row r="9" ht="14.25" customHeight="1">
      <c r="A9" s="37" t="s">
        <v>120</v>
      </c>
      <c r="B9" s="37" t="s">
        <v>121</v>
      </c>
      <c r="C9" s="38" t="s">
        <v>88</v>
      </c>
      <c r="D9" s="37" t="s">
        <v>122</v>
      </c>
      <c r="F9" s="37" t="s">
        <v>102</v>
      </c>
      <c r="G9" s="37" t="s">
        <v>92</v>
      </c>
      <c r="I9" s="37" t="s">
        <v>45</v>
      </c>
      <c r="J9" s="37" t="s">
        <v>93</v>
      </c>
    </row>
    <row r="10" ht="14.25" customHeight="1">
      <c r="A10" s="37" t="s">
        <v>123</v>
      </c>
      <c r="B10" s="37" t="s">
        <v>124</v>
      </c>
      <c r="C10" s="38" t="s">
        <v>88</v>
      </c>
      <c r="D10" s="37" t="s">
        <v>125</v>
      </c>
      <c r="E10" s="37" t="s">
        <v>126</v>
      </c>
      <c r="F10" s="37" t="s">
        <v>127</v>
      </c>
      <c r="G10" s="37" t="s">
        <v>115</v>
      </c>
      <c r="H10" s="37" t="s">
        <v>128</v>
      </c>
      <c r="I10" s="37" t="s">
        <v>45</v>
      </c>
      <c r="J10" s="37" t="s">
        <v>93</v>
      </c>
    </row>
    <row r="11" ht="14.25" customHeight="1">
      <c r="A11" s="37" t="s">
        <v>129</v>
      </c>
      <c r="B11" s="37" t="s">
        <v>130</v>
      </c>
      <c r="C11" s="38" t="s">
        <v>88</v>
      </c>
      <c r="D11" s="37" t="s">
        <v>131</v>
      </c>
      <c r="E11" s="37" t="s">
        <v>132</v>
      </c>
      <c r="F11" s="37" t="s">
        <v>133</v>
      </c>
      <c r="G11" s="37" t="s">
        <v>115</v>
      </c>
      <c r="I11" s="37" t="s">
        <v>47</v>
      </c>
      <c r="J11" s="37" t="s">
        <v>93</v>
      </c>
    </row>
    <row r="12" ht="14.25" customHeight="1">
      <c r="A12" s="37" t="s">
        <v>134</v>
      </c>
      <c r="B12" s="37" t="s">
        <v>135</v>
      </c>
      <c r="C12" s="38" t="s">
        <v>88</v>
      </c>
      <c r="D12" s="37" t="s">
        <v>136</v>
      </c>
      <c r="E12" s="37" t="s">
        <v>137</v>
      </c>
      <c r="F12" s="37" t="s">
        <v>138</v>
      </c>
      <c r="G12" s="37" t="s">
        <v>92</v>
      </c>
      <c r="I12" s="37" t="s">
        <v>47</v>
      </c>
      <c r="J12" s="37" t="s">
        <v>93</v>
      </c>
    </row>
    <row r="13" ht="14.25" customHeight="1">
      <c r="A13" s="37" t="s">
        <v>139</v>
      </c>
      <c r="B13" s="37" t="s">
        <v>140</v>
      </c>
      <c r="C13" s="38" t="s">
        <v>88</v>
      </c>
      <c r="D13" s="37" t="s">
        <v>141</v>
      </c>
      <c r="E13" s="37" t="s">
        <v>142</v>
      </c>
      <c r="F13" s="37" t="s">
        <v>143</v>
      </c>
      <c r="G13" s="37" t="s">
        <v>115</v>
      </c>
      <c r="I13" s="37" t="s">
        <v>47</v>
      </c>
      <c r="J13" s="37" t="s">
        <v>93</v>
      </c>
    </row>
    <row r="14" ht="14.25" customHeight="1">
      <c r="A14" s="37" t="s">
        <v>144</v>
      </c>
      <c r="B14" s="37" t="s">
        <v>145</v>
      </c>
      <c r="C14" s="38" t="s">
        <v>88</v>
      </c>
      <c r="D14" s="37" t="s">
        <v>141</v>
      </c>
      <c r="E14" s="37" t="s">
        <v>146</v>
      </c>
      <c r="F14" s="37" t="s">
        <v>147</v>
      </c>
      <c r="G14" s="37" t="s">
        <v>92</v>
      </c>
      <c r="I14" s="37" t="s">
        <v>47</v>
      </c>
      <c r="J14" s="37" t="s">
        <v>93</v>
      </c>
    </row>
    <row r="15" ht="14.25" customHeight="1">
      <c r="A15" s="37" t="s">
        <v>148</v>
      </c>
      <c r="B15" s="37" t="s">
        <v>149</v>
      </c>
      <c r="C15" s="38" t="s">
        <v>88</v>
      </c>
      <c r="D15" s="37" t="s">
        <v>150</v>
      </c>
      <c r="F15" s="37" t="s">
        <v>151</v>
      </c>
      <c r="G15" s="37" t="s">
        <v>92</v>
      </c>
      <c r="I15" s="37" t="s">
        <v>47</v>
      </c>
      <c r="J15" s="37" t="s">
        <v>93</v>
      </c>
    </row>
    <row r="16" ht="14.25" customHeight="1">
      <c r="A16" s="37" t="s">
        <v>152</v>
      </c>
      <c r="B16" s="37" t="s">
        <v>153</v>
      </c>
      <c r="C16" s="38" t="s">
        <v>88</v>
      </c>
      <c r="D16" s="37" t="s">
        <v>154</v>
      </c>
      <c r="F16" s="37" t="s">
        <v>155</v>
      </c>
      <c r="G16" s="37" t="s">
        <v>92</v>
      </c>
      <c r="I16" s="37" t="s">
        <v>47</v>
      </c>
      <c r="J16" s="37" t="s">
        <v>93</v>
      </c>
    </row>
    <row r="17" ht="14.25" customHeight="1">
      <c r="A17" s="37" t="s">
        <v>156</v>
      </c>
      <c r="B17" s="37" t="s">
        <v>157</v>
      </c>
      <c r="C17" s="38" t="s">
        <v>88</v>
      </c>
      <c r="D17" s="37" t="s">
        <v>158</v>
      </c>
      <c r="E17" s="37" t="s">
        <v>101</v>
      </c>
      <c r="F17" s="37" t="s">
        <v>159</v>
      </c>
      <c r="G17" s="37" t="s">
        <v>115</v>
      </c>
      <c r="I17" s="37" t="s">
        <v>47</v>
      </c>
      <c r="J17" s="37" t="s">
        <v>93</v>
      </c>
    </row>
    <row r="18" ht="14.25" customHeight="1">
      <c r="A18" s="37" t="s">
        <v>160</v>
      </c>
      <c r="B18" s="37" t="s">
        <v>161</v>
      </c>
      <c r="C18" s="38" t="s">
        <v>88</v>
      </c>
      <c r="D18" s="37" t="s">
        <v>150</v>
      </c>
      <c r="E18" s="37" t="s">
        <v>162</v>
      </c>
      <c r="F18" s="37" t="s">
        <v>163</v>
      </c>
      <c r="G18" s="37" t="s">
        <v>92</v>
      </c>
      <c r="I18" s="37" t="s">
        <v>47</v>
      </c>
      <c r="J18" s="37" t="s">
        <v>93</v>
      </c>
    </row>
    <row r="19" ht="14.25" customHeight="1">
      <c r="A19" s="37" t="s">
        <v>164</v>
      </c>
      <c r="B19" s="37" t="s">
        <v>165</v>
      </c>
      <c r="C19" s="38" t="s">
        <v>88</v>
      </c>
      <c r="D19" s="37" t="s">
        <v>166</v>
      </c>
      <c r="F19" s="37" t="s">
        <v>167</v>
      </c>
      <c r="G19" s="37" t="s">
        <v>92</v>
      </c>
      <c r="I19" s="37" t="s">
        <v>47</v>
      </c>
      <c r="J19" s="37" t="s">
        <v>93</v>
      </c>
    </row>
    <row r="20" ht="14.25" customHeight="1">
      <c r="A20" s="37" t="s">
        <v>168</v>
      </c>
      <c r="B20" s="37" t="s">
        <v>169</v>
      </c>
      <c r="C20" s="38" t="s">
        <v>88</v>
      </c>
      <c r="D20" s="37" t="s">
        <v>170</v>
      </c>
      <c r="E20" s="37" t="s">
        <v>162</v>
      </c>
      <c r="F20" s="37" t="s">
        <v>171</v>
      </c>
      <c r="G20" s="37" t="s">
        <v>115</v>
      </c>
      <c r="I20" s="37" t="s">
        <v>47</v>
      </c>
      <c r="J20" s="37" t="s">
        <v>93</v>
      </c>
    </row>
    <row r="21" ht="14.25" customHeight="1">
      <c r="A21" s="37" t="s">
        <v>172</v>
      </c>
      <c r="B21" s="37" t="s">
        <v>173</v>
      </c>
      <c r="C21" s="38" t="s">
        <v>88</v>
      </c>
      <c r="D21" s="37" t="s">
        <v>174</v>
      </c>
      <c r="E21" s="37" t="s">
        <v>175</v>
      </c>
      <c r="F21" s="37" t="s">
        <v>176</v>
      </c>
      <c r="G21" s="37" t="s">
        <v>115</v>
      </c>
      <c r="H21" s="37" t="s">
        <v>128</v>
      </c>
      <c r="I21" s="37" t="s">
        <v>47</v>
      </c>
      <c r="J21" s="37" t="s">
        <v>93</v>
      </c>
    </row>
    <row r="22" ht="14.25" customHeight="1">
      <c r="A22" s="37" t="s">
        <v>177</v>
      </c>
      <c r="B22" s="37" t="s">
        <v>178</v>
      </c>
      <c r="C22" s="38" t="s">
        <v>88</v>
      </c>
      <c r="D22" s="37" t="s">
        <v>179</v>
      </c>
      <c r="E22" s="37" t="s">
        <v>162</v>
      </c>
      <c r="F22" s="37" t="s">
        <v>180</v>
      </c>
      <c r="G22" s="37" t="s">
        <v>115</v>
      </c>
      <c r="I22" s="37" t="s">
        <v>49</v>
      </c>
      <c r="J22" s="37" t="s">
        <v>181</v>
      </c>
    </row>
    <row r="23" ht="14.25" customHeight="1">
      <c r="A23" s="37" t="s">
        <v>182</v>
      </c>
      <c r="B23" s="37" t="s">
        <v>183</v>
      </c>
      <c r="C23" s="38" t="s">
        <v>88</v>
      </c>
      <c r="D23" s="37" t="s">
        <v>179</v>
      </c>
      <c r="E23" s="37" t="s">
        <v>142</v>
      </c>
      <c r="F23" s="37" t="s">
        <v>184</v>
      </c>
      <c r="G23" s="37" t="s">
        <v>115</v>
      </c>
      <c r="I23" s="37" t="s">
        <v>49</v>
      </c>
      <c r="J23" s="37" t="s">
        <v>181</v>
      </c>
    </row>
    <row r="24" ht="14.25" customHeight="1">
      <c r="A24" s="37" t="s">
        <v>185</v>
      </c>
      <c r="B24" s="37" t="s">
        <v>186</v>
      </c>
      <c r="C24" s="38" t="s">
        <v>88</v>
      </c>
      <c r="D24" s="37" t="s">
        <v>187</v>
      </c>
      <c r="E24" s="37" t="s">
        <v>188</v>
      </c>
      <c r="F24" s="37" t="s">
        <v>189</v>
      </c>
      <c r="G24" s="37" t="s">
        <v>115</v>
      </c>
      <c r="I24" s="37" t="s">
        <v>49</v>
      </c>
      <c r="J24" s="37" t="s">
        <v>181</v>
      </c>
    </row>
    <row r="25" ht="14.25" customHeight="1">
      <c r="A25" s="37" t="s">
        <v>190</v>
      </c>
      <c r="B25" s="37" t="s">
        <v>191</v>
      </c>
      <c r="C25" s="38" t="s">
        <v>88</v>
      </c>
      <c r="D25" s="37" t="s">
        <v>192</v>
      </c>
      <c r="E25" s="37" t="s">
        <v>193</v>
      </c>
      <c r="F25" s="37" t="s">
        <v>194</v>
      </c>
      <c r="G25" s="37" t="s">
        <v>115</v>
      </c>
      <c r="I25" s="37" t="s">
        <v>49</v>
      </c>
      <c r="J25" s="37" t="s">
        <v>181</v>
      </c>
    </row>
    <row r="26" ht="14.25" customHeight="1">
      <c r="A26" s="37" t="s">
        <v>195</v>
      </c>
      <c r="B26" s="37" t="s">
        <v>196</v>
      </c>
      <c r="C26" s="38" t="s">
        <v>88</v>
      </c>
      <c r="D26" s="37" t="s">
        <v>197</v>
      </c>
      <c r="E26" s="37" t="s">
        <v>198</v>
      </c>
      <c r="F26" s="37" t="s">
        <v>189</v>
      </c>
      <c r="G26" s="37" t="s">
        <v>115</v>
      </c>
      <c r="I26" s="37" t="s">
        <v>49</v>
      </c>
      <c r="J26" s="37" t="s">
        <v>181</v>
      </c>
    </row>
    <row r="27" ht="14.25" customHeight="1">
      <c r="A27" s="37" t="s">
        <v>199</v>
      </c>
      <c r="B27" s="37" t="s">
        <v>200</v>
      </c>
      <c r="C27" s="38" t="s">
        <v>88</v>
      </c>
      <c r="D27" s="37" t="s">
        <v>201</v>
      </c>
      <c r="E27" s="37" t="s">
        <v>90</v>
      </c>
      <c r="F27" s="37" t="s">
        <v>142</v>
      </c>
      <c r="G27" s="37" t="s">
        <v>115</v>
      </c>
      <c r="I27" s="37" t="s">
        <v>49</v>
      </c>
      <c r="J27" s="37" t="s">
        <v>181</v>
      </c>
    </row>
    <row r="28" ht="14.25" customHeight="1">
      <c r="A28" s="37" t="s">
        <v>202</v>
      </c>
      <c r="B28" s="37" t="s">
        <v>203</v>
      </c>
      <c r="C28" s="38" t="s">
        <v>88</v>
      </c>
      <c r="D28" s="37" t="s">
        <v>150</v>
      </c>
      <c r="E28" s="37" t="s">
        <v>204</v>
      </c>
      <c r="F28" s="37" t="s">
        <v>189</v>
      </c>
      <c r="G28" s="37" t="s">
        <v>115</v>
      </c>
      <c r="I28" s="37" t="s">
        <v>49</v>
      </c>
      <c r="J28" s="37" t="s">
        <v>181</v>
      </c>
    </row>
    <row r="29" ht="14.25" customHeight="1">
      <c r="A29" s="37" t="s">
        <v>205</v>
      </c>
      <c r="B29" s="37" t="s">
        <v>206</v>
      </c>
      <c r="C29" s="38" t="s">
        <v>88</v>
      </c>
      <c r="D29" s="37" t="s">
        <v>207</v>
      </c>
      <c r="E29" s="37" t="s">
        <v>208</v>
      </c>
      <c r="F29" s="37" t="s">
        <v>209</v>
      </c>
      <c r="G29" s="37" t="s">
        <v>115</v>
      </c>
      <c r="I29" s="37" t="s">
        <v>49</v>
      </c>
      <c r="J29" s="37" t="s">
        <v>181</v>
      </c>
    </row>
    <row r="30" ht="14.25" customHeight="1">
      <c r="A30" s="37" t="s">
        <v>210</v>
      </c>
      <c r="B30" s="37" t="s">
        <v>211</v>
      </c>
      <c r="C30" s="38" t="s">
        <v>88</v>
      </c>
      <c r="D30" s="37" t="s">
        <v>113</v>
      </c>
      <c r="E30" s="37" t="s">
        <v>212</v>
      </c>
      <c r="F30" s="37" t="s">
        <v>142</v>
      </c>
      <c r="G30" s="37" t="s">
        <v>115</v>
      </c>
      <c r="H30" s="37" t="s">
        <v>128</v>
      </c>
      <c r="I30" s="37" t="s">
        <v>49</v>
      </c>
      <c r="J30" s="37" t="s">
        <v>181</v>
      </c>
    </row>
    <row r="31" ht="14.25" customHeight="1">
      <c r="A31" s="37" t="s">
        <v>213</v>
      </c>
      <c r="B31" s="37" t="s">
        <v>214</v>
      </c>
      <c r="C31" s="38" t="s">
        <v>88</v>
      </c>
      <c r="D31" s="37" t="s">
        <v>215</v>
      </c>
      <c r="E31" s="37" t="s">
        <v>216</v>
      </c>
      <c r="F31" s="37" t="s">
        <v>217</v>
      </c>
      <c r="G31" s="37" t="s">
        <v>92</v>
      </c>
      <c r="I31" s="37" t="s">
        <v>49</v>
      </c>
      <c r="J31" s="37" t="s">
        <v>181</v>
      </c>
    </row>
    <row r="32" ht="14.25" customHeight="1">
      <c r="A32" s="37" t="s">
        <v>218</v>
      </c>
      <c r="B32" s="37" t="s">
        <v>219</v>
      </c>
      <c r="C32" s="38" t="s">
        <v>88</v>
      </c>
      <c r="D32" s="37" t="s">
        <v>170</v>
      </c>
      <c r="E32" s="37" t="s">
        <v>220</v>
      </c>
      <c r="F32" s="37" t="s">
        <v>221</v>
      </c>
      <c r="G32" s="37" t="s">
        <v>115</v>
      </c>
      <c r="I32" s="37" t="s">
        <v>49</v>
      </c>
      <c r="J32" s="37" t="s">
        <v>181</v>
      </c>
    </row>
    <row r="33" ht="14.25" customHeight="1">
      <c r="A33" s="37" t="s">
        <v>222</v>
      </c>
      <c r="B33" s="37" t="s">
        <v>223</v>
      </c>
      <c r="C33" s="38" t="s">
        <v>88</v>
      </c>
      <c r="D33" s="37" t="s">
        <v>224</v>
      </c>
      <c r="E33" s="37" t="s">
        <v>90</v>
      </c>
      <c r="F33" s="37" t="s">
        <v>142</v>
      </c>
      <c r="G33" s="37" t="s">
        <v>115</v>
      </c>
      <c r="I33" s="37" t="s">
        <v>49</v>
      </c>
      <c r="J33" s="37" t="s">
        <v>181</v>
      </c>
    </row>
    <row r="34" ht="14.25" customHeight="1">
      <c r="A34" s="37" t="s">
        <v>225</v>
      </c>
      <c r="B34" s="37" t="s">
        <v>226</v>
      </c>
      <c r="C34" s="38" t="s">
        <v>88</v>
      </c>
      <c r="D34" s="37" t="s">
        <v>227</v>
      </c>
      <c r="E34" s="37" t="s">
        <v>228</v>
      </c>
      <c r="F34" s="37" t="s">
        <v>189</v>
      </c>
      <c r="G34" s="37" t="s">
        <v>115</v>
      </c>
      <c r="I34" s="37" t="s">
        <v>49</v>
      </c>
      <c r="J34" s="37" t="s">
        <v>181</v>
      </c>
    </row>
    <row r="35" ht="14.25" customHeight="1">
      <c r="A35" s="37" t="s">
        <v>229</v>
      </c>
      <c r="B35" s="37" t="s">
        <v>230</v>
      </c>
      <c r="C35" s="38" t="s">
        <v>88</v>
      </c>
      <c r="D35" s="37" t="s">
        <v>231</v>
      </c>
      <c r="E35" s="37" t="s">
        <v>232</v>
      </c>
      <c r="F35" s="37" t="s">
        <v>233</v>
      </c>
      <c r="G35" s="37" t="s">
        <v>115</v>
      </c>
      <c r="I35" s="37" t="s">
        <v>49</v>
      </c>
      <c r="J35" s="37" t="s">
        <v>181</v>
      </c>
    </row>
    <row r="36" ht="14.25" customHeight="1">
      <c r="A36" s="37" t="s">
        <v>234</v>
      </c>
      <c r="B36" s="37" t="s">
        <v>235</v>
      </c>
      <c r="C36" s="38" t="s">
        <v>88</v>
      </c>
      <c r="D36" s="37" t="s">
        <v>236</v>
      </c>
      <c r="E36" s="37" t="s">
        <v>237</v>
      </c>
      <c r="F36" s="37" t="s">
        <v>189</v>
      </c>
      <c r="G36" s="37" t="s">
        <v>115</v>
      </c>
      <c r="I36" s="37" t="s">
        <v>49</v>
      </c>
      <c r="J36" s="37" t="s">
        <v>181</v>
      </c>
    </row>
    <row r="37" ht="14.25" customHeight="1">
      <c r="A37" s="37" t="s">
        <v>238</v>
      </c>
      <c r="B37" s="37" t="s">
        <v>239</v>
      </c>
      <c r="C37" s="38" t="s">
        <v>88</v>
      </c>
      <c r="D37" s="37" t="s">
        <v>179</v>
      </c>
      <c r="E37" s="37" t="s">
        <v>228</v>
      </c>
      <c r="F37" s="37" t="s">
        <v>189</v>
      </c>
      <c r="G37" s="37" t="s">
        <v>115</v>
      </c>
      <c r="I37" s="37" t="s">
        <v>49</v>
      </c>
      <c r="J37" s="37" t="s">
        <v>181</v>
      </c>
    </row>
    <row r="38" ht="14.25" customHeight="1">
      <c r="A38" s="37" t="s">
        <v>240</v>
      </c>
      <c r="B38" s="37" t="s">
        <v>241</v>
      </c>
      <c r="C38" s="38" t="s">
        <v>88</v>
      </c>
      <c r="D38" s="37" t="s">
        <v>242</v>
      </c>
      <c r="E38" s="37" t="s">
        <v>243</v>
      </c>
      <c r="F38" s="37" t="s">
        <v>244</v>
      </c>
      <c r="G38" s="37" t="s">
        <v>115</v>
      </c>
      <c r="I38" s="37" t="s">
        <v>49</v>
      </c>
      <c r="J38" s="37" t="s">
        <v>181</v>
      </c>
    </row>
    <row r="39" ht="14.25" customHeight="1">
      <c r="A39" s="37" t="s">
        <v>245</v>
      </c>
      <c r="B39" s="37" t="s">
        <v>246</v>
      </c>
      <c r="C39" s="38" t="s">
        <v>88</v>
      </c>
      <c r="D39" s="37" t="s">
        <v>247</v>
      </c>
      <c r="E39" s="37" t="s">
        <v>248</v>
      </c>
      <c r="F39" s="37" t="s">
        <v>233</v>
      </c>
      <c r="G39" s="37" t="s">
        <v>115</v>
      </c>
      <c r="I39" s="37" t="s">
        <v>49</v>
      </c>
      <c r="J39" s="37" t="s">
        <v>181</v>
      </c>
    </row>
    <row r="40" ht="14.25" customHeight="1">
      <c r="A40" s="37" t="s">
        <v>249</v>
      </c>
      <c r="B40" s="37" t="s">
        <v>250</v>
      </c>
      <c r="C40" s="38" t="s">
        <v>88</v>
      </c>
      <c r="D40" s="37" t="s">
        <v>251</v>
      </c>
      <c r="E40" s="37" t="s">
        <v>252</v>
      </c>
      <c r="F40" s="37" t="s">
        <v>253</v>
      </c>
      <c r="G40" s="37" t="s">
        <v>115</v>
      </c>
      <c r="I40" s="37" t="s">
        <v>49</v>
      </c>
      <c r="J40" s="37" t="s">
        <v>181</v>
      </c>
    </row>
    <row r="41" ht="14.25" customHeight="1">
      <c r="A41" s="37" t="s">
        <v>254</v>
      </c>
      <c r="B41" s="37" t="s">
        <v>255</v>
      </c>
      <c r="C41" s="38" t="s">
        <v>88</v>
      </c>
      <c r="D41" s="37" t="s">
        <v>256</v>
      </c>
      <c r="E41" s="37" t="s">
        <v>257</v>
      </c>
      <c r="F41" s="37" t="s">
        <v>189</v>
      </c>
      <c r="G41" s="37" t="s">
        <v>115</v>
      </c>
      <c r="I41" s="37" t="s">
        <v>49</v>
      </c>
      <c r="J41" s="37" t="s">
        <v>181</v>
      </c>
    </row>
    <row r="42" ht="14.25" customHeight="1">
      <c r="A42" s="37" t="s">
        <v>258</v>
      </c>
      <c r="B42" s="37" t="s">
        <v>259</v>
      </c>
      <c r="C42" s="38" t="s">
        <v>88</v>
      </c>
      <c r="D42" s="37" t="s">
        <v>122</v>
      </c>
      <c r="E42" s="37" t="s">
        <v>216</v>
      </c>
      <c r="F42" s="37" t="s">
        <v>260</v>
      </c>
      <c r="G42" s="37" t="s">
        <v>115</v>
      </c>
      <c r="I42" s="37" t="s">
        <v>49</v>
      </c>
      <c r="J42" s="26" t="s">
        <v>261</v>
      </c>
    </row>
    <row r="43" ht="14.25" customHeight="1">
      <c r="A43" s="37" t="s">
        <v>262</v>
      </c>
      <c r="B43" s="37" t="s">
        <v>263</v>
      </c>
      <c r="C43" s="38" t="s">
        <v>88</v>
      </c>
      <c r="D43" s="37" t="s">
        <v>264</v>
      </c>
      <c r="E43" s="37" t="s">
        <v>265</v>
      </c>
      <c r="F43" s="37" t="s">
        <v>266</v>
      </c>
      <c r="G43" s="37" t="s">
        <v>115</v>
      </c>
      <c r="I43" s="37" t="s">
        <v>49</v>
      </c>
      <c r="J43" s="26" t="s">
        <v>261</v>
      </c>
    </row>
    <row r="44" ht="14.25" customHeight="1">
      <c r="A44" s="37" t="s">
        <v>267</v>
      </c>
      <c r="B44" s="37" t="s">
        <v>268</v>
      </c>
      <c r="C44" s="38" t="s">
        <v>88</v>
      </c>
      <c r="D44" s="37" t="s">
        <v>201</v>
      </c>
      <c r="E44" s="37" t="s">
        <v>142</v>
      </c>
      <c r="F44" s="37" t="s">
        <v>142</v>
      </c>
      <c r="G44" s="37" t="s">
        <v>115</v>
      </c>
      <c r="I44" s="37" t="s">
        <v>49</v>
      </c>
      <c r="J44" s="37" t="s">
        <v>269</v>
      </c>
    </row>
    <row r="45" ht="14.25" customHeight="1">
      <c r="A45" s="37" t="s">
        <v>270</v>
      </c>
      <c r="B45" s="37" t="s">
        <v>271</v>
      </c>
      <c r="C45" s="38" t="s">
        <v>88</v>
      </c>
      <c r="D45" s="37" t="s">
        <v>272</v>
      </c>
      <c r="F45" s="37" t="s">
        <v>273</v>
      </c>
      <c r="G45" s="37" t="s">
        <v>115</v>
      </c>
      <c r="I45" s="37" t="s">
        <v>49</v>
      </c>
      <c r="J45" s="37" t="s">
        <v>269</v>
      </c>
    </row>
    <row r="46" ht="14.25" customHeight="1">
      <c r="A46" s="37" t="s">
        <v>274</v>
      </c>
      <c r="B46" s="37" t="s">
        <v>275</v>
      </c>
      <c r="C46" s="38" t="s">
        <v>88</v>
      </c>
      <c r="D46" s="37" t="s">
        <v>276</v>
      </c>
      <c r="F46" s="37" t="s">
        <v>110</v>
      </c>
      <c r="G46" s="37" t="s">
        <v>92</v>
      </c>
      <c r="I46" s="37" t="s">
        <v>49</v>
      </c>
      <c r="J46" s="37" t="s">
        <v>269</v>
      </c>
    </row>
    <row r="47" ht="14.25" customHeight="1">
      <c r="A47" s="37" t="s">
        <v>277</v>
      </c>
      <c r="B47" s="37" t="s">
        <v>278</v>
      </c>
      <c r="C47" s="38" t="s">
        <v>88</v>
      </c>
      <c r="D47" s="37" t="s">
        <v>247</v>
      </c>
      <c r="E47" s="37" t="s">
        <v>279</v>
      </c>
      <c r="F47" s="37" t="s">
        <v>280</v>
      </c>
      <c r="G47" s="37" t="s">
        <v>115</v>
      </c>
      <c r="I47" s="37" t="s">
        <v>49</v>
      </c>
      <c r="J47" s="37" t="s">
        <v>269</v>
      </c>
    </row>
    <row r="48" ht="14.25" customHeight="1">
      <c r="A48" s="37" t="s">
        <v>281</v>
      </c>
      <c r="B48" s="37" t="s">
        <v>282</v>
      </c>
      <c r="C48" s="38" t="s">
        <v>88</v>
      </c>
      <c r="D48" s="37" t="s">
        <v>283</v>
      </c>
      <c r="E48" s="37" t="s">
        <v>284</v>
      </c>
      <c r="F48" s="37" t="s">
        <v>142</v>
      </c>
      <c r="G48" s="37" t="s">
        <v>115</v>
      </c>
      <c r="I48" s="37" t="s">
        <v>49</v>
      </c>
      <c r="J48" s="37" t="s">
        <v>269</v>
      </c>
    </row>
    <row r="49" ht="14.25" customHeight="1">
      <c r="A49" s="37" t="s">
        <v>285</v>
      </c>
      <c r="B49" s="37" t="s">
        <v>286</v>
      </c>
      <c r="C49" s="38" t="s">
        <v>88</v>
      </c>
      <c r="D49" s="37" t="s">
        <v>287</v>
      </c>
      <c r="F49" s="37" t="s">
        <v>102</v>
      </c>
      <c r="G49" s="37" t="s">
        <v>92</v>
      </c>
      <c r="I49" s="37" t="s">
        <v>49</v>
      </c>
      <c r="J49" s="37" t="s">
        <v>269</v>
      </c>
    </row>
    <row r="50" ht="14.25" customHeight="1">
      <c r="A50" s="37" t="s">
        <v>288</v>
      </c>
      <c r="B50" s="37" t="s">
        <v>289</v>
      </c>
      <c r="C50" s="38" t="s">
        <v>88</v>
      </c>
      <c r="D50" s="37" t="s">
        <v>290</v>
      </c>
      <c r="E50" s="37" t="s">
        <v>291</v>
      </c>
      <c r="F50" s="37" t="s">
        <v>233</v>
      </c>
      <c r="G50" s="37" t="s">
        <v>115</v>
      </c>
      <c r="I50" s="37" t="s">
        <v>49</v>
      </c>
      <c r="J50" s="37" t="s">
        <v>269</v>
      </c>
      <c r="M50" s="37" t="s">
        <v>292</v>
      </c>
    </row>
    <row r="51" ht="14.25" customHeight="1">
      <c r="A51" s="37" t="s">
        <v>293</v>
      </c>
      <c r="B51" s="37" t="s">
        <v>294</v>
      </c>
      <c r="C51" s="38" t="s">
        <v>88</v>
      </c>
      <c r="D51" s="37" t="s">
        <v>295</v>
      </c>
      <c r="E51" s="37" t="s">
        <v>296</v>
      </c>
      <c r="F51" s="37" t="s">
        <v>221</v>
      </c>
      <c r="G51" s="37" t="s">
        <v>115</v>
      </c>
      <c r="I51" s="37" t="s">
        <v>49</v>
      </c>
      <c r="J51" s="37" t="s">
        <v>269</v>
      </c>
      <c r="M51" s="37" t="s">
        <v>292</v>
      </c>
    </row>
    <row r="52" ht="14.25" customHeight="1">
      <c r="A52" s="37" t="s">
        <v>297</v>
      </c>
      <c r="B52" s="37" t="s">
        <v>298</v>
      </c>
      <c r="C52" s="38" t="s">
        <v>88</v>
      </c>
      <c r="D52" s="37" t="s">
        <v>299</v>
      </c>
      <c r="E52" s="37" t="s">
        <v>300</v>
      </c>
      <c r="F52" s="37" t="s">
        <v>301</v>
      </c>
      <c r="G52" s="37" t="s">
        <v>115</v>
      </c>
      <c r="I52" s="37" t="s">
        <v>49</v>
      </c>
      <c r="J52" s="37" t="s">
        <v>269</v>
      </c>
    </row>
    <row r="53" ht="14.25" customHeight="1">
      <c r="A53" s="37" t="s">
        <v>302</v>
      </c>
      <c r="B53" s="37" t="s">
        <v>303</v>
      </c>
      <c r="C53" s="38" t="s">
        <v>88</v>
      </c>
      <c r="D53" s="37" t="s">
        <v>109</v>
      </c>
      <c r="F53" s="37" t="s">
        <v>217</v>
      </c>
      <c r="G53" s="37" t="s">
        <v>92</v>
      </c>
      <c r="I53" s="37" t="s">
        <v>49</v>
      </c>
      <c r="J53" s="37" t="s">
        <v>269</v>
      </c>
    </row>
    <row r="54" ht="14.25" customHeight="1">
      <c r="A54" s="37" t="s">
        <v>304</v>
      </c>
      <c r="B54" s="37" t="s">
        <v>305</v>
      </c>
      <c r="C54" s="38" t="s">
        <v>88</v>
      </c>
      <c r="D54" s="37" t="s">
        <v>242</v>
      </c>
      <c r="E54" s="37" t="s">
        <v>306</v>
      </c>
      <c r="F54" s="37" t="s">
        <v>307</v>
      </c>
      <c r="G54" s="37" t="s">
        <v>115</v>
      </c>
      <c r="I54" s="37" t="s">
        <v>49</v>
      </c>
      <c r="J54" s="37" t="s">
        <v>269</v>
      </c>
      <c r="M54" s="37" t="s">
        <v>292</v>
      </c>
    </row>
    <row r="55" ht="14.25" customHeight="1">
      <c r="A55" s="37" t="s">
        <v>308</v>
      </c>
      <c r="B55" s="37" t="s">
        <v>309</v>
      </c>
      <c r="C55" s="38" t="s">
        <v>88</v>
      </c>
      <c r="D55" s="37" t="s">
        <v>310</v>
      </c>
      <c r="E55" s="37" t="s">
        <v>311</v>
      </c>
      <c r="F55" s="37" t="s">
        <v>233</v>
      </c>
      <c r="G55" s="37" t="s">
        <v>115</v>
      </c>
      <c r="I55" s="37" t="s">
        <v>49</v>
      </c>
      <c r="J55" s="37" t="s">
        <v>269</v>
      </c>
      <c r="M55" s="37" t="s">
        <v>292</v>
      </c>
    </row>
    <row r="56" ht="14.25" customHeight="1">
      <c r="A56" s="37" t="s">
        <v>312</v>
      </c>
      <c r="B56" s="37" t="s">
        <v>313</v>
      </c>
      <c r="C56" s="38" t="s">
        <v>88</v>
      </c>
      <c r="D56" s="37" t="s">
        <v>113</v>
      </c>
      <c r="E56" s="37" t="s">
        <v>300</v>
      </c>
      <c r="F56" s="37" t="s">
        <v>314</v>
      </c>
      <c r="G56" s="37" t="s">
        <v>92</v>
      </c>
      <c r="I56" s="37" t="s">
        <v>49</v>
      </c>
      <c r="J56" s="37" t="s">
        <v>269</v>
      </c>
    </row>
    <row r="57" ht="14.25" customHeight="1">
      <c r="A57" s="37" t="s">
        <v>315</v>
      </c>
      <c r="B57" s="37" t="s">
        <v>316</v>
      </c>
      <c r="C57" s="38" t="s">
        <v>88</v>
      </c>
      <c r="D57" s="37" t="s">
        <v>264</v>
      </c>
      <c r="E57" s="37" t="s">
        <v>162</v>
      </c>
      <c r="F57" s="37" t="s">
        <v>317</v>
      </c>
      <c r="G57" s="37" t="s">
        <v>115</v>
      </c>
      <c r="H57" s="37" t="s">
        <v>128</v>
      </c>
      <c r="I57" s="37" t="s">
        <v>49</v>
      </c>
      <c r="J57" s="37" t="s">
        <v>269</v>
      </c>
      <c r="M57" s="37" t="s">
        <v>292</v>
      </c>
    </row>
    <row r="58" ht="14.25" customHeight="1">
      <c r="A58" s="37" t="s">
        <v>318</v>
      </c>
      <c r="B58" s="37" t="s">
        <v>319</v>
      </c>
      <c r="C58" s="38" t="s">
        <v>88</v>
      </c>
      <c r="D58" s="37" t="s">
        <v>272</v>
      </c>
      <c r="E58" s="37" t="s">
        <v>162</v>
      </c>
      <c r="F58" s="37" t="s">
        <v>320</v>
      </c>
      <c r="G58" s="37" t="s">
        <v>92</v>
      </c>
      <c r="I58" s="37" t="s">
        <v>49</v>
      </c>
      <c r="J58" s="37" t="s">
        <v>269</v>
      </c>
    </row>
    <row r="59" ht="14.25" customHeight="1">
      <c r="A59" s="37" t="s">
        <v>321</v>
      </c>
      <c r="B59" s="37" t="s">
        <v>322</v>
      </c>
      <c r="C59" s="38" t="s">
        <v>88</v>
      </c>
      <c r="D59" s="37" t="s">
        <v>247</v>
      </c>
      <c r="E59" s="37" t="s">
        <v>323</v>
      </c>
      <c r="F59" s="37" t="s">
        <v>233</v>
      </c>
      <c r="G59" s="37" t="s">
        <v>115</v>
      </c>
      <c r="I59" s="37" t="s">
        <v>49</v>
      </c>
      <c r="J59" s="37" t="s">
        <v>269</v>
      </c>
    </row>
    <row r="60" ht="14.25" customHeight="1">
      <c r="A60" s="37" t="s">
        <v>324</v>
      </c>
      <c r="B60" s="37" t="s">
        <v>325</v>
      </c>
      <c r="C60" s="38" t="s">
        <v>88</v>
      </c>
      <c r="D60" s="37" t="s">
        <v>326</v>
      </c>
      <c r="E60" s="37" t="s">
        <v>311</v>
      </c>
      <c r="F60" s="37" t="s">
        <v>327</v>
      </c>
      <c r="G60" s="37" t="s">
        <v>115</v>
      </c>
      <c r="I60" s="37" t="s">
        <v>49</v>
      </c>
      <c r="J60" s="37" t="s">
        <v>269</v>
      </c>
    </row>
    <row r="61" ht="14.25" customHeight="1">
      <c r="A61" s="37" t="s">
        <v>328</v>
      </c>
      <c r="B61" s="37" t="s">
        <v>329</v>
      </c>
      <c r="C61" s="38" t="s">
        <v>88</v>
      </c>
      <c r="D61" s="37" t="s">
        <v>187</v>
      </c>
      <c r="E61" s="37" t="s">
        <v>330</v>
      </c>
      <c r="F61" s="37" t="s">
        <v>189</v>
      </c>
      <c r="G61" s="37" t="s">
        <v>115</v>
      </c>
      <c r="I61" s="37" t="s">
        <v>49</v>
      </c>
      <c r="J61" s="37" t="s">
        <v>269</v>
      </c>
    </row>
    <row r="62" ht="14.25" customHeight="1">
      <c r="A62" s="37" t="s">
        <v>331</v>
      </c>
      <c r="B62" s="37" t="s">
        <v>332</v>
      </c>
      <c r="C62" s="38" t="s">
        <v>88</v>
      </c>
      <c r="D62" s="37" t="s">
        <v>224</v>
      </c>
      <c r="F62" s="37" t="s">
        <v>333</v>
      </c>
      <c r="G62" s="37" t="s">
        <v>115</v>
      </c>
      <c r="I62" s="37" t="s">
        <v>49</v>
      </c>
      <c r="J62" s="37" t="s">
        <v>269</v>
      </c>
    </row>
    <row r="63" ht="14.25" customHeight="1">
      <c r="A63" s="37" t="s">
        <v>334</v>
      </c>
      <c r="B63" s="37" t="s">
        <v>335</v>
      </c>
      <c r="C63" s="38" t="s">
        <v>88</v>
      </c>
      <c r="D63" s="37" t="s">
        <v>336</v>
      </c>
      <c r="E63" s="37" t="s">
        <v>337</v>
      </c>
      <c r="F63" s="37" t="s">
        <v>338</v>
      </c>
      <c r="G63" s="37" t="s">
        <v>115</v>
      </c>
      <c r="I63" s="37" t="s">
        <v>49</v>
      </c>
      <c r="J63" s="37" t="s">
        <v>269</v>
      </c>
    </row>
    <row r="64" ht="14.25" customHeight="1">
      <c r="A64" s="37" t="s">
        <v>339</v>
      </c>
      <c r="B64" s="37" t="s">
        <v>340</v>
      </c>
      <c r="C64" s="38" t="s">
        <v>88</v>
      </c>
      <c r="D64" s="37" t="s">
        <v>109</v>
      </c>
      <c r="E64" s="37" t="s">
        <v>101</v>
      </c>
      <c r="F64" s="37" t="s">
        <v>155</v>
      </c>
      <c r="G64" s="37" t="s">
        <v>92</v>
      </c>
      <c r="I64" s="37" t="s">
        <v>49</v>
      </c>
      <c r="J64" s="37" t="s">
        <v>269</v>
      </c>
    </row>
    <row r="65" ht="14.25" customHeight="1">
      <c r="A65" s="37" t="s">
        <v>341</v>
      </c>
      <c r="B65" s="37" t="s">
        <v>342</v>
      </c>
      <c r="C65" s="38" t="s">
        <v>88</v>
      </c>
      <c r="D65" s="37" t="s">
        <v>343</v>
      </c>
      <c r="E65" s="37" t="s">
        <v>311</v>
      </c>
      <c r="F65" s="37" t="s">
        <v>233</v>
      </c>
      <c r="G65" s="37" t="s">
        <v>115</v>
      </c>
      <c r="I65" s="37" t="s">
        <v>49</v>
      </c>
      <c r="J65" s="37" t="s">
        <v>269</v>
      </c>
    </row>
    <row r="66" ht="14.25" customHeight="1">
      <c r="A66" s="37" t="s">
        <v>344</v>
      </c>
      <c r="B66" s="37" t="s">
        <v>345</v>
      </c>
      <c r="C66" s="38" t="s">
        <v>88</v>
      </c>
      <c r="D66" s="37" t="s">
        <v>201</v>
      </c>
      <c r="E66" s="37" t="s">
        <v>346</v>
      </c>
      <c r="F66" s="37" t="s">
        <v>209</v>
      </c>
      <c r="G66" s="37" t="s">
        <v>92</v>
      </c>
      <c r="I66" s="37" t="s">
        <v>49</v>
      </c>
      <c r="J66" s="37" t="s">
        <v>347</v>
      </c>
    </row>
    <row r="67" ht="14.25" customHeight="1">
      <c r="A67" s="37" t="s">
        <v>348</v>
      </c>
      <c r="B67" s="37" t="s">
        <v>349</v>
      </c>
      <c r="C67" s="38" t="s">
        <v>88</v>
      </c>
      <c r="D67" s="37" t="s">
        <v>179</v>
      </c>
      <c r="E67" s="37" t="s">
        <v>350</v>
      </c>
      <c r="F67" s="37" t="s">
        <v>189</v>
      </c>
      <c r="G67" s="37" t="s">
        <v>115</v>
      </c>
      <c r="I67" s="37" t="s">
        <v>49</v>
      </c>
      <c r="J67" s="37" t="s">
        <v>347</v>
      </c>
    </row>
    <row r="68" ht="14.25" customHeight="1">
      <c r="A68" s="37" t="s">
        <v>351</v>
      </c>
      <c r="B68" s="37" t="s">
        <v>352</v>
      </c>
      <c r="C68" s="38" t="s">
        <v>88</v>
      </c>
      <c r="D68" s="37" t="s">
        <v>353</v>
      </c>
      <c r="E68" s="37" t="s">
        <v>162</v>
      </c>
      <c r="F68" s="37" t="s">
        <v>354</v>
      </c>
      <c r="G68" s="37" t="s">
        <v>115</v>
      </c>
      <c r="I68" s="37" t="s">
        <v>49</v>
      </c>
      <c r="J68" s="37" t="s">
        <v>347</v>
      </c>
    </row>
    <row r="69" ht="14.25" customHeight="1">
      <c r="A69" s="37" t="s">
        <v>355</v>
      </c>
      <c r="B69" s="37" t="s">
        <v>356</v>
      </c>
      <c r="C69" s="38" t="s">
        <v>88</v>
      </c>
      <c r="D69" s="37" t="s">
        <v>357</v>
      </c>
      <c r="E69" s="37" t="s">
        <v>358</v>
      </c>
      <c r="F69" s="37" t="s">
        <v>189</v>
      </c>
      <c r="G69" s="37" t="s">
        <v>115</v>
      </c>
      <c r="I69" s="37" t="s">
        <v>49</v>
      </c>
      <c r="J69" s="37" t="s">
        <v>347</v>
      </c>
    </row>
    <row r="70" ht="14.25" customHeight="1">
      <c r="A70" s="37" t="s">
        <v>359</v>
      </c>
      <c r="B70" s="37" t="s">
        <v>360</v>
      </c>
      <c r="C70" s="38" t="s">
        <v>88</v>
      </c>
      <c r="D70" s="37" t="s">
        <v>122</v>
      </c>
      <c r="E70" s="37" t="s">
        <v>358</v>
      </c>
      <c r="F70" s="37" t="s">
        <v>221</v>
      </c>
      <c r="G70" s="37" t="s">
        <v>115</v>
      </c>
      <c r="I70" s="37" t="s">
        <v>49</v>
      </c>
      <c r="J70" s="37" t="s">
        <v>347</v>
      </c>
    </row>
    <row r="71" ht="14.25" customHeight="1">
      <c r="A71" s="37" t="s">
        <v>361</v>
      </c>
      <c r="B71" s="37" t="s">
        <v>362</v>
      </c>
      <c r="C71" s="38" t="s">
        <v>88</v>
      </c>
      <c r="D71" s="37" t="s">
        <v>363</v>
      </c>
      <c r="E71" s="37" t="s">
        <v>142</v>
      </c>
      <c r="F71" s="37" t="s">
        <v>364</v>
      </c>
      <c r="G71" s="37" t="s">
        <v>92</v>
      </c>
      <c r="I71" s="37" t="s">
        <v>49</v>
      </c>
      <c r="J71" s="37" t="s">
        <v>347</v>
      </c>
    </row>
    <row r="72" ht="14.25" customHeight="1">
      <c r="A72" s="37" t="s">
        <v>365</v>
      </c>
      <c r="B72" s="37" t="s">
        <v>366</v>
      </c>
      <c r="C72" s="38" t="s">
        <v>88</v>
      </c>
      <c r="D72" s="37" t="s">
        <v>367</v>
      </c>
      <c r="E72" s="37" t="s">
        <v>368</v>
      </c>
      <c r="F72" s="37" t="s">
        <v>369</v>
      </c>
      <c r="G72" s="37" t="s">
        <v>115</v>
      </c>
      <c r="H72" s="37" t="s">
        <v>128</v>
      </c>
      <c r="I72" s="37" t="s">
        <v>49</v>
      </c>
      <c r="J72" s="37" t="s">
        <v>347</v>
      </c>
    </row>
    <row r="73" ht="14.25" customHeight="1">
      <c r="A73" s="37" t="s">
        <v>370</v>
      </c>
      <c r="B73" s="37" t="s">
        <v>371</v>
      </c>
      <c r="C73" s="38" t="s">
        <v>88</v>
      </c>
      <c r="D73" s="37" t="s">
        <v>372</v>
      </c>
      <c r="E73" s="37" t="s">
        <v>101</v>
      </c>
      <c r="F73" s="37" t="s">
        <v>373</v>
      </c>
      <c r="G73" s="37" t="s">
        <v>92</v>
      </c>
      <c r="I73" s="37" t="s">
        <v>49</v>
      </c>
      <c r="J73" s="37" t="s">
        <v>347</v>
      </c>
    </row>
    <row r="74" ht="14.25" customHeight="1">
      <c r="A74" s="37" t="s">
        <v>374</v>
      </c>
      <c r="B74" s="37" t="s">
        <v>375</v>
      </c>
      <c r="C74" s="38" t="s">
        <v>88</v>
      </c>
      <c r="D74" s="37" t="s">
        <v>174</v>
      </c>
      <c r="E74" s="37" t="s">
        <v>101</v>
      </c>
      <c r="F74" s="37" t="s">
        <v>376</v>
      </c>
      <c r="G74" s="37" t="s">
        <v>115</v>
      </c>
      <c r="I74" s="37" t="s">
        <v>49</v>
      </c>
      <c r="J74" s="37" t="s">
        <v>347</v>
      </c>
    </row>
    <row r="75" ht="14.25" customHeight="1">
      <c r="A75" s="37" t="s">
        <v>377</v>
      </c>
      <c r="B75" s="37" t="s">
        <v>378</v>
      </c>
      <c r="C75" s="38" t="s">
        <v>88</v>
      </c>
      <c r="D75" s="37" t="s">
        <v>379</v>
      </c>
      <c r="E75" s="37" t="s">
        <v>380</v>
      </c>
      <c r="F75" s="37" t="s">
        <v>189</v>
      </c>
      <c r="G75" s="37" t="s">
        <v>115</v>
      </c>
      <c r="I75" s="37" t="s">
        <v>49</v>
      </c>
      <c r="J75" s="37" t="s">
        <v>347</v>
      </c>
    </row>
    <row r="76" ht="14.25" customHeight="1">
      <c r="A76" s="37" t="s">
        <v>381</v>
      </c>
      <c r="B76" s="37" t="s">
        <v>382</v>
      </c>
      <c r="C76" s="38" t="s">
        <v>88</v>
      </c>
      <c r="D76" s="37" t="s">
        <v>383</v>
      </c>
      <c r="E76" s="37" t="s">
        <v>384</v>
      </c>
      <c r="F76" s="37" t="s">
        <v>385</v>
      </c>
      <c r="G76" s="37" t="s">
        <v>115</v>
      </c>
      <c r="I76" s="37" t="s">
        <v>49</v>
      </c>
      <c r="J76" s="37" t="s">
        <v>347</v>
      </c>
    </row>
    <row r="77" ht="14.25" customHeight="1">
      <c r="A77" s="37" t="s">
        <v>386</v>
      </c>
      <c r="B77" s="37" t="s">
        <v>387</v>
      </c>
      <c r="C77" s="38" t="s">
        <v>88</v>
      </c>
      <c r="D77" s="37" t="s">
        <v>379</v>
      </c>
      <c r="E77" s="37" t="s">
        <v>388</v>
      </c>
      <c r="F77" s="37" t="s">
        <v>389</v>
      </c>
      <c r="G77" s="37" t="s">
        <v>115</v>
      </c>
      <c r="I77" s="37" t="s">
        <v>49</v>
      </c>
      <c r="J77" s="37" t="s">
        <v>347</v>
      </c>
    </row>
    <row r="78" ht="14.25" customHeight="1">
      <c r="A78" s="37" t="s">
        <v>390</v>
      </c>
      <c r="B78" s="37" t="s">
        <v>391</v>
      </c>
      <c r="C78" s="38" t="s">
        <v>88</v>
      </c>
      <c r="D78" s="37" t="s">
        <v>392</v>
      </c>
      <c r="F78" s="37" t="s">
        <v>393</v>
      </c>
      <c r="G78" s="37" t="s">
        <v>115</v>
      </c>
      <c r="H78" s="37" t="s">
        <v>128</v>
      </c>
      <c r="I78" s="37" t="s">
        <v>49</v>
      </c>
      <c r="J78" s="37" t="s">
        <v>347</v>
      </c>
    </row>
    <row r="79" ht="14.25" customHeight="1">
      <c r="A79" s="37" t="s">
        <v>394</v>
      </c>
      <c r="B79" s="37" t="s">
        <v>395</v>
      </c>
      <c r="C79" s="38" t="s">
        <v>88</v>
      </c>
      <c r="D79" s="37" t="s">
        <v>396</v>
      </c>
      <c r="E79" s="37" t="s">
        <v>397</v>
      </c>
      <c r="F79" s="37" t="s">
        <v>398</v>
      </c>
      <c r="G79" s="37" t="s">
        <v>92</v>
      </c>
      <c r="H79" s="37" t="s">
        <v>128</v>
      </c>
      <c r="I79" s="37" t="s">
        <v>49</v>
      </c>
      <c r="J79" s="37" t="s">
        <v>347</v>
      </c>
    </row>
    <row r="80" ht="14.25" customHeight="1">
      <c r="A80" s="37" t="s">
        <v>399</v>
      </c>
      <c r="B80" s="37" t="s">
        <v>400</v>
      </c>
      <c r="C80" s="38" t="s">
        <v>88</v>
      </c>
      <c r="D80" s="37" t="s">
        <v>401</v>
      </c>
      <c r="E80" s="37" t="s">
        <v>402</v>
      </c>
      <c r="F80" s="37" t="s">
        <v>403</v>
      </c>
      <c r="G80" s="37" t="s">
        <v>115</v>
      </c>
      <c r="I80" s="37" t="s">
        <v>49</v>
      </c>
      <c r="J80" s="37" t="s">
        <v>347</v>
      </c>
    </row>
    <row r="81" ht="14.25" customHeight="1">
      <c r="A81" s="37" t="s">
        <v>404</v>
      </c>
      <c r="B81" s="37" t="s">
        <v>405</v>
      </c>
      <c r="C81" s="38" t="s">
        <v>88</v>
      </c>
      <c r="D81" s="37" t="s">
        <v>406</v>
      </c>
      <c r="E81" s="37" t="s">
        <v>265</v>
      </c>
      <c r="F81" s="37" t="s">
        <v>221</v>
      </c>
      <c r="G81" s="37" t="s">
        <v>115</v>
      </c>
      <c r="H81" s="37" t="s">
        <v>128</v>
      </c>
      <c r="I81" s="37" t="s">
        <v>49</v>
      </c>
      <c r="J81" s="37" t="s">
        <v>347</v>
      </c>
    </row>
    <row r="82" ht="14.25" customHeight="1">
      <c r="A82" s="37" t="s">
        <v>407</v>
      </c>
      <c r="B82" s="37" t="s">
        <v>408</v>
      </c>
      <c r="C82" s="38" t="s">
        <v>88</v>
      </c>
      <c r="D82" s="37" t="s">
        <v>409</v>
      </c>
      <c r="F82" s="37" t="s">
        <v>410</v>
      </c>
      <c r="G82" s="37" t="s">
        <v>92</v>
      </c>
      <c r="H82" s="37" t="s">
        <v>128</v>
      </c>
      <c r="I82" s="37" t="s">
        <v>49</v>
      </c>
      <c r="J82" s="37" t="s">
        <v>347</v>
      </c>
    </row>
    <row r="83" ht="14.25" customHeight="1">
      <c r="A83" s="37" t="s">
        <v>411</v>
      </c>
      <c r="B83" s="37" t="s">
        <v>412</v>
      </c>
      <c r="C83" s="38" t="s">
        <v>88</v>
      </c>
      <c r="D83" s="37" t="s">
        <v>413</v>
      </c>
      <c r="E83" s="37" t="s">
        <v>414</v>
      </c>
      <c r="F83" s="37" t="s">
        <v>338</v>
      </c>
      <c r="G83" s="37" t="s">
        <v>115</v>
      </c>
      <c r="I83" s="37" t="s">
        <v>49</v>
      </c>
      <c r="J83" s="37" t="s">
        <v>347</v>
      </c>
    </row>
    <row r="84" ht="14.25" customHeight="1">
      <c r="A84" s="37" t="s">
        <v>415</v>
      </c>
      <c r="B84" s="37" t="s">
        <v>416</v>
      </c>
      <c r="C84" s="38" t="s">
        <v>88</v>
      </c>
      <c r="D84" s="37" t="s">
        <v>417</v>
      </c>
      <c r="E84" s="37" t="s">
        <v>418</v>
      </c>
      <c r="F84" s="37" t="s">
        <v>419</v>
      </c>
      <c r="G84" s="37" t="s">
        <v>115</v>
      </c>
      <c r="I84" s="37" t="s">
        <v>49</v>
      </c>
      <c r="J84" s="26" t="s">
        <v>261</v>
      </c>
    </row>
    <row r="85" ht="14.25" customHeight="1">
      <c r="A85" s="37" t="s">
        <v>420</v>
      </c>
      <c r="B85" s="37" t="s">
        <v>421</v>
      </c>
      <c r="C85" s="38" t="s">
        <v>88</v>
      </c>
      <c r="D85" s="37" t="s">
        <v>422</v>
      </c>
      <c r="E85" s="37" t="s">
        <v>423</v>
      </c>
      <c r="F85" s="37" t="s">
        <v>419</v>
      </c>
      <c r="G85" s="37" t="s">
        <v>115</v>
      </c>
      <c r="I85" s="37" t="s">
        <v>49</v>
      </c>
      <c r="J85" s="26" t="s">
        <v>261</v>
      </c>
    </row>
    <row r="86" ht="14.25" customHeight="1">
      <c r="A86" s="37" t="s">
        <v>424</v>
      </c>
      <c r="B86" s="37" t="s">
        <v>425</v>
      </c>
      <c r="C86" s="38" t="s">
        <v>88</v>
      </c>
      <c r="D86" s="37" t="s">
        <v>426</v>
      </c>
      <c r="E86" s="37" t="s">
        <v>300</v>
      </c>
      <c r="F86" s="37" t="s">
        <v>393</v>
      </c>
      <c r="G86" s="37" t="s">
        <v>115</v>
      </c>
      <c r="H86" s="37" t="s">
        <v>128</v>
      </c>
      <c r="I86" s="37" t="s">
        <v>49</v>
      </c>
      <c r="J86" s="26" t="s">
        <v>261</v>
      </c>
    </row>
    <row r="87" ht="14.25" customHeight="1">
      <c r="A87" s="37" t="s">
        <v>427</v>
      </c>
      <c r="B87" s="37" t="s">
        <v>428</v>
      </c>
      <c r="C87" s="38" t="s">
        <v>88</v>
      </c>
      <c r="D87" s="37" t="s">
        <v>429</v>
      </c>
      <c r="E87" s="37" t="s">
        <v>101</v>
      </c>
      <c r="F87" s="37" t="s">
        <v>430</v>
      </c>
      <c r="G87" s="37" t="s">
        <v>92</v>
      </c>
      <c r="I87" s="37" t="s">
        <v>49</v>
      </c>
      <c r="J87" s="37" t="s">
        <v>431</v>
      </c>
    </row>
    <row r="88" ht="14.25" customHeight="1">
      <c r="A88" s="37" t="s">
        <v>432</v>
      </c>
      <c r="B88" s="37" t="s">
        <v>433</v>
      </c>
      <c r="C88" s="38" t="s">
        <v>88</v>
      </c>
      <c r="D88" s="37" t="s">
        <v>125</v>
      </c>
      <c r="E88" s="37" t="s">
        <v>434</v>
      </c>
      <c r="F88" s="37" t="s">
        <v>209</v>
      </c>
      <c r="G88" s="37" t="s">
        <v>115</v>
      </c>
      <c r="I88" s="37" t="s">
        <v>49</v>
      </c>
      <c r="J88" s="37" t="s">
        <v>431</v>
      </c>
    </row>
    <row r="89" ht="14.25" customHeight="1">
      <c r="A89" s="37" t="s">
        <v>435</v>
      </c>
      <c r="B89" s="37" t="s">
        <v>436</v>
      </c>
      <c r="C89" s="38" t="s">
        <v>88</v>
      </c>
      <c r="D89" s="37" t="s">
        <v>256</v>
      </c>
      <c r="E89" s="37" t="s">
        <v>101</v>
      </c>
      <c r="F89" s="37" t="s">
        <v>102</v>
      </c>
      <c r="G89" s="37" t="s">
        <v>92</v>
      </c>
      <c r="H89" s="37" t="s">
        <v>128</v>
      </c>
      <c r="I89" s="37" t="s">
        <v>49</v>
      </c>
      <c r="J89" s="37" t="s">
        <v>431</v>
      </c>
    </row>
    <row r="90" ht="14.25" customHeight="1">
      <c r="A90" s="37" t="s">
        <v>437</v>
      </c>
      <c r="B90" s="37" t="s">
        <v>438</v>
      </c>
      <c r="C90" s="38" t="s">
        <v>88</v>
      </c>
      <c r="D90" s="37" t="s">
        <v>264</v>
      </c>
      <c r="E90" s="37" t="s">
        <v>439</v>
      </c>
      <c r="F90" s="37" t="s">
        <v>440</v>
      </c>
      <c r="G90" s="37" t="s">
        <v>115</v>
      </c>
      <c r="I90" s="37" t="s">
        <v>49</v>
      </c>
      <c r="J90" s="37" t="s">
        <v>431</v>
      </c>
    </row>
    <row r="91" ht="14.25" customHeight="1">
      <c r="A91" s="37" t="s">
        <v>441</v>
      </c>
      <c r="B91" s="37" t="s">
        <v>442</v>
      </c>
      <c r="C91" s="38" t="s">
        <v>88</v>
      </c>
      <c r="D91" s="37" t="s">
        <v>443</v>
      </c>
      <c r="E91" s="37" t="s">
        <v>444</v>
      </c>
      <c r="F91" s="37" t="s">
        <v>445</v>
      </c>
      <c r="G91" s="37" t="s">
        <v>115</v>
      </c>
      <c r="I91" s="37" t="s">
        <v>49</v>
      </c>
      <c r="J91" s="37" t="s">
        <v>431</v>
      </c>
    </row>
    <row r="92" ht="14.25" customHeight="1">
      <c r="A92" s="37" t="s">
        <v>446</v>
      </c>
      <c r="B92" s="37" t="s">
        <v>447</v>
      </c>
      <c r="C92" s="38" t="s">
        <v>88</v>
      </c>
      <c r="D92" s="37" t="s">
        <v>187</v>
      </c>
      <c r="E92" s="37" t="s">
        <v>448</v>
      </c>
      <c r="F92" s="37" t="s">
        <v>189</v>
      </c>
      <c r="G92" s="37" t="s">
        <v>115</v>
      </c>
      <c r="I92" s="37" t="s">
        <v>49</v>
      </c>
      <c r="J92" s="37" t="s">
        <v>431</v>
      </c>
    </row>
    <row r="93" ht="14.25" customHeight="1">
      <c r="A93" s="37" t="s">
        <v>449</v>
      </c>
      <c r="B93" s="37" t="s">
        <v>450</v>
      </c>
      <c r="C93" s="38" t="s">
        <v>88</v>
      </c>
      <c r="D93" s="37" t="s">
        <v>179</v>
      </c>
      <c r="E93" s="37" t="s">
        <v>451</v>
      </c>
      <c r="F93" s="37" t="s">
        <v>280</v>
      </c>
      <c r="G93" s="37" t="s">
        <v>92</v>
      </c>
      <c r="I93" s="37" t="s">
        <v>49</v>
      </c>
      <c r="J93" s="37" t="s">
        <v>431</v>
      </c>
    </row>
    <row r="94" ht="14.25" customHeight="1">
      <c r="A94" s="37" t="s">
        <v>452</v>
      </c>
      <c r="B94" s="37" t="s">
        <v>453</v>
      </c>
      <c r="C94" s="38" t="s">
        <v>88</v>
      </c>
      <c r="D94" s="37" t="s">
        <v>454</v>
      </c>
      <c r="E94" s="37" t="s">
        <v>455</v>
      </c>
      <c r="F94" s="37" t="s">
        <v>456</v>
      </c>
      <c r="G94" s="37" t="s">
        <v>92</v>
      </c>
      <c r="I94" s="37" t="s">
        <v>49</v>
      </c>
      <c r="J94" s="37" t="s">
        <v>431</v>
      </c>
    </row>
    <row r="95" ht="14.25" customHeight="1">
      <c r="A95" s="37" t="s">
        <v>457</v>
      </c>
      <c r="B95" s="37" t="s">
        <v>458</v>
      </c>
      <c r="C95" s="38" t="s">
        <v>88</v>
      </c>
      <c r="D95" s="37" t="s">
        <v>422</v>
      </c>
      <c r="E95" s="37" t="s">
        <v>162</v>
      </c>
      <c r="F95" s="37" t="s">
        <v>176</v>
      </c>
      <c r="G95" s="37" t="s">
        <v>92</v>
      </c>
      <c r="I95" s="37" t="s">
        <v>49</v>
      </c>
      <c r="J95" s="37" t="s">
        <v>431</v>
      </c>
    </row>
    <row r="96" ht="14.25" customHeight="1">
      <c r="A96" s="37" t="s">
        <v>459</v>
      </c>
      <c r="B96" s="37" t="s">
        <v>460</v>
      </c>
      <c r="C96" s="38" t="s">
        <v>88</v>
      </c>
      <c r="D96" s="37" t="s">
        <v>461</v>
      </c>
      <c r="E96" s="37" t="s">
        <v>462</v>
      </c>
      <c r="F96" s="37" t="s">
        <v>463</v>
      </c>
      <c r="G96" s="37" t="s">
        <v>92</v>
      </c>
      <c r="I96" s="37" t="s">
        <v>49</v>
      </c>
      <c r="J96" s="37" t="s">
        <v>431</v>
      </c>
    </row>
    <row r="97" ht="14.25" customHeight="1">
      <c r="A97" s="37" t="s">
        <v>464</v>
      </c>
      <c r="B97" s="37" t="s">
        <v>465</v>
      </c>
      <c r="C97" s="38" t="s">
        <v>88</v>
      </c>
      <c r="D97" s="37" t="s">
        <v>413</v>
      </c>
      <c r="E97" s="37" t="s">
        <v>466</v>
      </c>
      <c r="F97" s="37" t="s">
        <v>398</v>
      </c>
      <c r="G97" s="37" t="s">
        <v>115</v>
      </c>
      <c r="I97" s="37" t="s">
        <v>49</v>
      </c>
      <c r="J97" s="37" t="s">
        <v>431</v>
      </c>
    </row>
    <row r="98" ht="14.25" customHeight="1">
      <c r="A98" s="37" t="s">
        <v>467</v>
      </c>
      <c r="B98" s="37" t="s">
        <v>468</v>
      </c>
      <c r="C98" s="38" t="s">
        <v>88</v>
      </c>
      <c r="D98" s="37" t="s">
        <v>469</v>
      </c>
      <c r="E98" s="37" t="s">
        <v>470</v>
      </c>
      <c r="F98" s="37" t="s">
        <v>471</v>
      </c>
      <c r="G98" s="37" t="s">
        <v>115</v>
      </c>
      <c r="I98" s="37" t="s">
        <v>49</v>
      </c>
      <c r="J98" s="37" t="s">
        <v>431</v>
      </c>
    </row>
    <row r="99" ht="14.25" customHeight="1">
      <c r="A99" s="37" t="s">
        <v>472</v>
      </c>
      <c r="B99" s="37" t="s">
        <v>473</v>
      </c>
      <c r="C99" s="38" t="s">
        <v>88</v>
      </c>
      <c r="D99" s="37" t="s">
        <v>353</v>
      </c>
      <c r="F99" s="37" t="s">
        <v>474</v>
      </c>
      <c r="G99" s="37" t="s">
        <v>115</v>
      </c>
      <c r="I99" s="37" t="s">
        <v>49</v>
      </c>
      <c r="J99" s="37" t="s">
        <v>431</v>
      </c>
    </row>
    <row r="100" ht="14.25" customHeight="1">
      <c r="A100" s="37" t="s">
        <v>475</v>
      </c>
      <c r="B100" s="37" t="s">
        <v>476</v>
      </c>
      <c r="C100" s="38" t="s">
        <v>88</v>
      </c>
      <c r="D100" s="37" t="s">
        <v>477</v>
      </c>
      <c r="E100" s="37" t="s">
        <v>101</v>
      </c>
      <c r="F100" s="37" t="s">
        <v>478</v>
      </c>
      <c r="G100" s="37" t="s">
        <v>92</v>
      </c>
      <c r="I100" s="37" t="s">
        <v>49</v>
      </c>
      <c r="J100" s="37" t="s">
        <v>431</v>
      </c>
    </row>
    <row r="101" ht="14.25" customHeight="1">
      <c r="A101" s="37" t="s">
        <v>479</v>
      </c>
      <c r="B101" s="37" t="s">
        <v>480</v>
      </c>
      <c r="C101" s="38" t="s">
        <v>88</v>
      </c>
      <c r="D101" s="37" t="s">
        <v>363</v>
      </c>
      <c r="E101" s="37" t="s">
        <v>481</v>
      </c>
      <c r="F101" s="37" t="s">
        <v>189</v>
      </c>
      <c r="G101" s="37" t="s">
        <v>115</v>
      </c>
      <c r="I101" s="37" t="s">
        <v>49</v>
      </c>
      <c r="J101" s="37" t="s">
        <v>431</v>
      </c>
    </row>
    <row r="102" ht="14.25" customHeight="1">
      <c r="A102" s="37" t="s">
        <v>482</v>
      </c>
      <c r="B102" s="37" t="s">
        <v>483</v>
      </c>
      <c r="C102" s="38" t="s">
        <v>88</v>
      </c>
      <c r="D102" s="37" t="s">
        <v>426</v>
      </c>
      <c r="E102" s="37" t="s">
        <v>484</v>
      </c>
      <c r="F102" s="37" t="s">
        <v>485</v>
      </c>
      <c r="G102" s="37" t="s">
        <v>115</v>
      </c>
      <c r="I102" s="37" t="s">
        <v>49</v>
      </c>
      <c r="J102" s="37" t="s">
        <v>431</v>
      </c>
    </row>
    <row r="103" ht="14.25" customHeight="1">
      <c r="A103" s="37" t="s">
        <v>486</v>
      </c>
      <c r="B103" s="37" t="s">
        <v>487</v>
      </c>
      <c r="C103" s="38" t="s">
        <v>88</v>
      </c>
      <c r="D103" s="37" t="s">
        <v>488</v>
      </c>
      <c r="E103" s="37" t="s">
        <v>137</v>
      </c>
      <c r="F103" s="37" t="s">
        <v>489</v>
      </c>
      <c r="G103" s="37" t="s">
        <v>115</v>
      </c>
      <c r="I103" s="37" t="s">
        <v>49</v>
      </c>
      <c r="J103" s="37" t="s">
        <v>431</v>
      </c>
    </row>
    <row r="104" ht="14.25" customHeight="1">
      <c r="A104" s="37" t="s">
        <v>490</v>
      </c>
      <c r="B104" s="37" t="s">
        <v>491</v>
      </c>
      <c r="C104" s="38" t="s">
        <v>88</v>
      </c>
      <c r="D104" s="37" t="s">
        <v>492</v>
      </c>
      <c r="E104" s="37" t="s">
        <v>90</v>
      </c>
      <c r="F104" s="37" t="s">
        <v>493</v>
      </c>
      <c r="G104" s="37" t="s">
        <v>92</v>
      </c>
      <c r="I104" s="37" t="s">
        <v>49</v>
      </c>
      <c r="J104" s="37" t="s">
        <v>431</v>
      </c>
    </row>
    <row r="105" ht="14.25" customHeight="1">
      <c r="A105" s="37" t="s">
        <v>494</v>
      </c>
      <c r="B105" s="37" t="s">
        <v>495</v>
      </c>
      <c r="C105" s="38" t="s">
        <v>88</v>
      </c>
      <c r="D105" s="37" t="s">
        <v>290</v>
      </c>
      <c r="E105" s="37" t="s">
        <v>162</v>
      </c>
      <c r="F105" s="37" t="s">
        <v>496</v>
      </c>
      <c r="G105" s="37" t="s">
        <v>92</v>
      </c>
      <c r="I105" s="37" t="s">
        <v>49</v>
      </c>
      <c r="J105" s="37" t="s">
        <v>431</v>
      </c>
    </row>
    <row r="106" ht="14.25" customHeight="1">
      <c r="A106" s="37" t="s">
        <v>497</v>
      </c>
      <c r="B106" s="37" t="s">
        <v>498</v>
      </c>
      <c r="C106" s="38" t="s">
        <v>88</v>
      </c>
      <c r="D106" s="37" t="s">
        <v>122</v>
      </c>
      <c r="E106" s="37" t="s">
        <v>137</v>
      </c>
      <c r="F106" s="37" t="s">
        <v>102</v>
      </c>
      <c r="G106" s="37" t="s">
        <v>115</v>
      </c>
      <c r="I106" s="37" t="s">
        <v>49</v>
      </c>
      <c r="J106" s="37" t="s">
        <v>431</v>
      </c>
    </row>
    <row r="107" ht="14.25" customHeight="1">
      <c r="A107" s="37" t="s">
        <v>499</v>
      </c>
      <c r="B107" s="37" t="s">
        <v>500</v>
      </c>
      <c r="C107" s="38" t="s">
        <v>88</v>
      </c>
      <c r="D107" s="37" t="s">
        <v>501</v>
      </c>
      <c r="F107" s="37" t="s">
        <v>502</v>
      </c>
      <c r="G107" s="37" t="s">
        <v>92</v>
      </c>
      <c r="H107" s="37" t="s">
        <v>128</v>
      </c>
      <c r="I107" s="37" t="s">
        <v>49</v>
      </c>
      <c r="J107" s="37" t="s">
        <v>431</v>
      </c>
    </row>
    <row r="108" ht="14.25" customHeight="1">
      <c r="A108" s="37" t="s">
        <v>503</v>
      </c>
      <c r="B108" s="37" t="s">
        <v>504</v>
      </c>
      <c r="C108" s="38" t="s">
        <v>88</v>
      </c>
      <c r="D108" s="37" t="s">
        <v>505</v>
      </c>
      <c r="F108" s="37" t="s">
        <v>506</v>
      </c>
      <c r="G108" s="37" t="s">
        <v>115</v>
      </c>
      <c r="H108" s="37" t="s">
        <v>128</v>
      </c>
      <c r="I108" s="37" t="s">
        <v>49</v>
      </c>
      <c r="J108" s="37" t="s">
        <v>507</v>
      </c>
    </row>
    <row r="109" ht="14.25" customHeight="1">
      <c r="A109" s="37" t="s">
        <v>508</v>
      </c>
      <c r="B109" s="37" t="s">
        <v>509</v>
      </c>
      <c r="C109" s="38" t="s">
        <v>88</v>
      </c>
      <c r="D109" s="37" t="s">
        <v>510</v>
      </c>
      <c r="E109" s="37" t="s">
        <v>511</v>
      </c>
      <c r="F109" s="37" t="s">
        <v>233</v>
      </c>
      <c r="G109" s="37" t="s">
        <v>115</v>
      </c>
      <c r="I109" s="37" t="s">
        <v>49</v>
      </c>
      <c r="J109" s="37" t="s">
        <v>507</v>
      </c>
    </row>
    <row r="110" ht="14.25" customHeight="1">
      <c r="A110" s="37" t="s">
        <v>512</v>
      </c>
      <c r="B110" s="37" t="s">
        <v>513</v>
      </c>
      <c r="C110" s="38" t="s">
        <v>88</v>
      </c>
      <c r="D110" s="37" t="s">
        <v>207</v>
      </c>
      <c r="E110" s="37" t="s">
        <v>514</v>
      </c>
      <c r="F110" s="37" t="s">
        <v>515</v>
      </c>
      <c r="G110" s="37" t="s">
        <v>92</v>
      </c>
      <c r="I110" s="37" t="s">
        <v>49</v>
      </c>
      <c r="J110" s="37" t="s">
        <v>507</v>
      </c>
    </row>
    <row r="111" ht="14.25" customHeight="1">
      <c r="A111" s="37" t="s">
        <v>516</v>
      </c>
      <c r="B111" s="37" t="s">
        <v>517</v>
      </c>
      <c r="C111" s="38" t="s">
        <v>88</v>
      </c>
      <c r="D111" s="37" t="s">
        <v>518</v>
      </c>
      <c r="E111" s="37" t="s">
        <v>418</v>
      </c>
      <c r="F111" s="37" t="s">
        <v>419</v>
      </c>
      <c r="G111" s="37" t="s">
        <v>115</v>
      </c>
      <c r="H111" s="37" t="s">
        <v>128</v>
      </c>
      <c r="I111" s="37" t="s">
        <v>49</v>
      </c>
      <c r="J111" s="37" t="s">
        <v>507</v>
      </c>
    </row>
    <row r="112" ht="14.25" customHeight="1">
      <c r="A112" s="37" t="s">
        <v>519</v>
      </c>
      <c r="B112" s="37" t="s">
        <v>520</v>
      </c>
      <c r="C112" s="38" t="s">
        <v>88</v>
      </c>
      <c r="D112" s="37" t="s">
        <v>521</v>
      </c>
      <c r="E112" s="37" t="s">
        <v>522</v>
      </c>
      <c r="F112" s="37" t="s">
        <v>523</v>
      </c>
      <c r="G112" s="37" t="s">
        <v>115</v>
      </c>
      <c r="I112" s="37" t="s">
        <v>49</v>
      </c>
      <c r="J112" s="37" t="s">
        <v>507</v>
      </c>
    </row>
    <row r="113" ht="14.25" customHeight="1">
      <c r="A113" s="37" t="s">
        <v>524</v>
      </c>
      <c r="B113" s="37" t="s">
        <v>525</v>
      </c>
      <c r="C113" s="38" t="s">
        <v>88</v>
      </c>
      <c r="D113" s="37" t="s">
        <v>287</v>
      </c>
      <c r="E113" s="37" t="s">
        <v>346</v>
      </c>
      <c r="F113" s="37" t="s">
        <v>526</v>
      </c>
      <c r="G113" s="37" t="s">
        <v>115</v>
      </c>
      <c r="I113" s="37" t="s">
        <v>49</v>
      </c>
      <c r="J113" s="37" t="s">
        <v>507</v>
      </c>
    </row>
    <row r="114" ht="14.25" customHeight="1">
      <c r="A114" s="37" t="s">
        <v>527</v>
      </c>
      <c r="B114" s="37" t="s">
        <v>528</v>
      </c>
      <c r="C114" s="38" t="s">
        <v>88</v>
      </c>
      <c r="D114" s="37" t="s">
        <v>529</v>
      </c>
      <c r="E114" s="37" t="s">
        <v>137</v>
      </c>
      <c r="F114" s="37" t="s">
        <v>530</v>
      </c>
      <c r="G114" s="37" t="s">
        <v>115</v>
      </c>
      <c r="I114" s="37" t="s">
        <v>49</v>
      </c>
      <c r="J114" s="37" t="s">
        <v>507</v>
      </c>
    </row>
    <row r="115" ht="14.25" customHeight="1">
      <c r="A115" s="37" t="s">
        <v>531</v>
      </c>
      <c r="B115" s="37" t="s">
        <v>532</v>
      </c>
      <c r="C115" s="38" t="s">
        <v>88</v>
      </c>
      <c r="D115" s="37" t="s">
        <v>363</v>
      </c>
      <c r="E115" s="37" t="s">
        <v>126</v>
      </c>
      <c r="F115" s="37" t="s">
        <v>393</v>
      </c>
      <c r="G115" s="37" t="s">
        <v>115</v>
      </c>
      <c r="I115" s="37" t="s">
        <v>49</v>
      </c>
      <c r="J115" s="37" t="s">
        <v>507</v>
      </c>
    </row>
    <row r="116" ht="14.25" customHeight="1">
      <c r="A116" s="37" t="s">
        <v>533</v>
      </c>
      <c r="B116" s="37" t="s">
        <v>534</v>
      </c>
      <c r="C116" s="38" t="s">
        <v>88</v>
      </c>
      <c r="D116" s="37" t="s">
        <v>227</v>
      </c>
      <c r="E116" s="37" t="s">
        <v>535</v>
      </c>
      <c r="F116" s="37" t="s">
        <v>536</v>
      </c>
      <c r="G116" s="37" t="s">
        <v>115</v>
      </c>
      <c r="I116" s="37" t="s">
        <v>49</v>
      </c>
      <c r="J116" s="37" t="s">
        <v>507</v>
      </c>
    </row>
    <row r="117" ht="14.25" customHeight="1">
      <c r="A117" s="37" t="s">
        <v>537</v>
      </c>
      <c r="B117" s="37" t="s">
        <v>538</v>
      </c>
      <c r="C117" s="38" t="s">
        <v>88</v>
      </c>
      <c r="D117" s="37" t="s">
        <v>406</v>
      </c>
      <c r="E117" s="37" t="s">
        <v>142</v>
      </c>
      <c r="F117" s="37" t="s">
        <v>142</v>
      </c>
      <c r="G117" s="37" t="s">
        <v>115</v>
      </c>
      <c r="I117" s="37" t="s">
        <v>49</v>
      </c>
      <c r="J117" s="37" t="s">
        <v>507</v>
      </c>
    </row>
    <row r="118" ht="14.25" customHeight="1">
      <c r="A118" s="37" t="s">
        <v>539</v>
      </c>
      <c r="B118" s="37" t="s">
        <v>540</v>
      </c>
      <c r="C118" s="38" t="s">
        <v>88</v>
      </c>
      <c r="D118" s="37" t="s">
        <v>224</v>
      </c>
      <c r="E118" s="37" t="s">
        <v>162</v>
      </c>
      <c r="F118" s="37" t="s">
        <v>541</v>
      </c>
      <c r="G118" s="37" t="s">
        <v>92</v>
      </c>
      <c r="I118" s="37" t="s">
        <v>49</v>
      </c>
      <c r="J118" s="37" t="s">
        <v>507</v>
      </c>
    </row>
    <row r="119" ht="14.25" customHeight="1">
      <c r="A119" s="37" t="s">
        <v>542</v>
      </c>
      <c r="B119" s="37" t="s">
        <v>543</v>
      </c>
      <c r="C119" s="38" t="s">
        <v>88</v>
      </c>
      <c r="D119" s="37" t="s">
        <v>197</v>
      </c>
      <c r="F119" s="37" t="s">
        <v>301</v>
      </c>
      <c r="G119" s="37" t="s">
        <v>115</v>
      </c>
      <c r="I119" s="37" t="s">
        <v>49</v>
      </c>
      <c r="J119" s="37" t="s">
        <v>507</v>
      </c>
    </row>
    <row r="120" ht="14.25" customHeight="1">
      <c r="A120" s="37" t="s">
        <v>544</v>
      </c>
      <c r="B120" s="37" t="s">
        <v>545</v>
      </c>
      <c r="C120" s="38" t="s">
        <v>88</v>
      </c>
      <c r="D120" s="37" t="s">
        <v>429</v>
      </c>
      <c r="E120" s="37" t="s">
        <v>162</v>
      </c>
      <c r="F120" s="37" t="s">
        <v>171</v>
      </c>
      <c r="G120" s="37" t="s">
        <v>115</v>
      </c>
      <c r="I120" s="37" t="s">
        <v>49</v>
      </c>
      <c r="J120" s="37" t="s">
        <v>507</v>
      </c>
    </row>
    <row r="121" ht="14.25" customHeight="1">
      <c r="A121" s="37" t="s">
        <v>546</v>
      </c>
      <c r="B121" s="37" t="s">
        <v>547</v>
      </c>
      <c r="C121" s="38" t="s">
        <v>88</v>
      </c>
      <c r="D121" s="37" t="s">
        <v>125</v>
      </c>
      <c r="E121" s="37" t="s">
        <v>548</v>
      </c>
      <c r="F121" s="37" t="s">
        <v>209</v>
      </c>
      <c r="G121" s="37" t="s">
        <v>115</v>
      </c>
      <c r="I121" s="37" t="s">
        <v>49</v>
      </c>
      <c r="J121" s="37" t="s">
        <v>507</v>
      </c>
    </row>
    <row r="122" ht="14.25" customHeight="1">
      <c r="A122" s="37" t="s">
        <v>549</v>
      </c>
      <c r="B122" s="37" t="s">
        <v>550</v>
      </c>
      <c r="C122" s="38" t="s">
        <v>88</v>
      </c>
      <c r="D122" s="37" t="s">
        <v>551</v>
      </c>
      <c r="F122" s="37" t="s">
        <v>552</v>
      </c>
      <c r="G122" s="37" t="s">
        <v>92</v>
      </c>
      <c r="H122" s="37" t="s">
        <v>128</v>
      </c>
      <c r="I122" s="37" t="s">
        <v>49</v>
      </c>
      <c r="J122" s="37" t="s">
        <v>507</v>
      </c>
    </row>
    <row r="123" ht="14.25" customHeight="1">
      <c r="A123" s="37" t="s">
        <v>553</v>
      </c>
      <c r="B123" s="37" t="s">
        <v>554</v>
      </c>
      <c r="C123" s="38" t="s">
        <v>88</v>
      </c>
      <c r="D123" s="37" t="s">
        <v>555</v>
      </c>
      <c r="E123" s="37" t="s">
        <v>142</v>
      </c>
      <c r="F123" s="37" t="s">
        <v>556</v>
      </c>
      <c r="G123" s="37" t="s">
        <v>115</v>
      </c>
      <c r="I123" s="37" t="s">
        <v>49</v>
      </c>
      <c r="J123" s="37" t="s">
        <v>507</v>
      </c>
    </row>
    <row r="124" ht="14.25" customHeight="1">
      <c r="A124" s="37" t="s">
        <v>557</v>
      </c>
      <c r="B124" s="37" t="s">
        <v>558</v>
      </c>
      <c r="C124" s="38" t="s">
        <v>88</v>
      </c>
      <c r="D124" s="37" t="s">
        <v>283</v>
      </c>
      <c r="E124" s="37" t="s">
        <v>204</v>
      </c>
      <c r="F124" s="37" t="s">
        <v>189</v>
      </c>
      <c r="G124" s="37" t="s">
        <v>115</v>
      </c>
      <c r="I124" s="37" t="s">
        <v>559</v>
      </c>
      <c r="J124" s="37" t="s">
        <v>507</v>
      </c>
    </row>
    <row r="125" ht="14.25" customHeight="1">
      <c r="A125" s="37" t="s">
        <v>560</v>
      </c>
      <c r="B125" s="37" t="s">
        <v>561</v>
      </c>
      <c r="C125" s="38" t="s">
        <v>88</v>
      </c>
      <c r="D125" s="37" t="s">
        <v>276</v>
      </c>
      <c r="E125" s="37" t="s">
        <v>101</v>
      </c>
      <c r="F125" s="37" t="s">
        <v>562</v>
      </c>
      <c r="G125" s="37" t="s">
        <v>115</v>
      </c>
      <c r="I125" s="37" t="s">
        <v>559</v>
      </c>
      <c r="J125" s="37" t="s">
        <v>507</v>
      </c>
    </row>
    <row r="126" ht="14.25" customHeight="1">
      <c r="A126" s="37" t="s">
        <v>563</v>
      </c>
      <c r="B126" s="37" t="s">
        <v>564</v>
      </c>
      <c r="C126" s="38" t="s">
        <v>88</v>
      </c>
      <c r="D126" s="37" t="s">
        <v>363</v>
      </c>
      <c r="E126" s="37" t="s">
        <v>565</v>
      </c>
      <c r="F126" s="37" t="s">
        <v>189</v>
      </c>
      <c r="G126" s="37" t="s">
        <v>115</v>
      </c>
      <c r="I126" s="37" t="s">
        <v>559</v>
      </c>
      <c r="J126" s="37" t="s">
        <v>507</v>
      </c>
    </row>
    <row r="127" ht="14.25" customHeight="1">
      <c r="A127" s="37" t="s">
        <v>566</v>
      </c>
      <c r="B127" s="37" t="s">
        <v>567</v>
      </c>
      <c r="C127" s="38" t="s">
        <v>88</v>
      </c>
      <c r="D127" s="37" t="s">
        <v>568</v>
      </c>
      <c r="F127" s="37" t="s">
        <v>398</v>
      </c>
      <c r="G127" s="37" t="s">
        <v>115</v>
      </c>
      <c r="H127" s="37" t="s">
        <v>128</v>
      </c>
      <c r="I127" s="37" t="s">
        <v>559</v>
      </c>
      <c r="J127" s="37" t="s">
        <v>507</v>
      </c>
    </row>
    <row r="128" ht="14.25" customHeight="1">
      <c r="A128" s="37" t="s">
        <v>569</v>
      </c>
      <c r="B128" s="37" t="s">
        <v>570</v>
      </c>
      <c r="C128" s="38" t="s">
        <v>88</v>
      </c>
      <c r="D128" s="37" t="s">
        <v>571</v>
      </c>
      <c r="F128" s="37" t="s">
        <v>217</v>
      </c>
      <c r="G128" s="37" t="s">
        <v>115</v>
      </c>
      <c r="I128" s="37" t="s">
        <v>559</v>
      </c>
      <c r="J128" s="37" t="s">
        <v>507</v>
      </c>
    </row>
    <row r="129" ht="14.25" customHeight="1">
      <c r="A129" s="37" t="s">
        <v>572</v>
      </c>
      <c r="B129" s="37" t="s">
        <v>573</v>
      </c>
      <c r="C129" s="38" t="s">
        <v>88</v>
      </c>
      <c r="D129" s="37" t="s">
        <v>227</v>
      </c>
      <c r="F129" s="37" t="s">
        <v>574</v>
      </c>
      <c r="G129" s="37" t="s">
        <v>92</v>
      </c>
      <c r="H129" s="37" t="s">
        <v>128</v>
      </c>
      <c r="I129" s="37" t="s">
        <v>559</v>
      </c>
      <c r="J129" s="37" t="s">
        <v>507</v>
      </c>
    </row>
    <row r="130" ht="14.25" customHeight="1">
      <c r="A130" s="37" t="s">
        <v>575</v>
      </c>
      <c r="B130" s="37" t="s">
        <v>576</v>
      </c>
      <c r="C130" s="38" t="s">
        <v>88</v>
      </c>
      <c r="D130" s="37" t="s">
        <v>207</v>
      </c>
      <c r="E130" s="37" t="s">
        <v>577</v>
      </c>
      <c r="F130" s="37" t="s">
        <v>217</v>
      </c>
      <c r="G130" s="37" t="s">
        <v>92</v>
      </c>
      <c r="I130" s="37" t="s">
        <v>578</v>
      </c>
      <c r="J130" s="26" t="s">
        <v>269</v>
      </c>
    </row>
    <row r="131" ht="14.25" customHeight="1">
      <c r="A131" s="37" t="s">
        <v>579</v>
      </c>
      <c r="B131" s="37" t="s">
        <v>580</v>
      </c>
      <c r="C131" s="38" t="s">
        <v>88</v>
      </c>
      <c r="D131" s="37" t="s">
        <v>113</v>
      </c>
      <c r="E131" s="37" t="s">
        <v>581</v>
      </c>
      <c r="F131" s="37" t="s">
        <v>582</v>
      </c>
      <c r="G131" s="37" t="s">
        <v>92</v>
      </c>
      <c r="H131" s="37" t="s">
        <v>128</v>
      </c>
      <c r="I131" s="37" t="s">
        <v>578</v>
      </c>
      <c r="J131" s="26" t="s">
        <v>269</v>
      </c>
    </row>
    <row r="132" ht="13.5" customHeight="1">
      <c r="A132" s="37" t="s">
        <v>583</v>
      </c>
      <c r="B132" s="37" t="s">
        <v>584</v>
      </c>
      <c r="C132" s="38" t="s">
        <v>88</v>
      </c>
      <c r="D132" s="37" t="s">
        <v>283</v>
      </c>
      <c r="F132" s="37" t="s">
        <v>209</v>
      </c>
      <c r="G132" s="37" t="s">
        <v>92</v>
      </c>
      <c r="I132" s="37" t="s">
        <v>578</v>
      </c>
      <c r="J132" s="26" t="s">
        <v>269</v>
      </c>
    </row>
    <row r="133" ht="14.25" customHeight="1">
      <c r="A133" s="37" t="s">
        <v>585</v>
      </c>
      <c r="B133" s="37" t="s">
        <v>586</v>
      </c>
      <c r="C133" s="38" t="s">
        <v>88</v>
      </c>
      <c r="D133" s="37" t="s">
        <v>587</v>
      </c>
      <c r="E133" s="37" t="s">
        <v>137</v>
      </c>
      <c r="F133" s="37" t="s">
        <v>588</v>
      </c>
      <c r="G133" s="37" t="s">
        <v>92</v>
      </c>
      <c r="H133" s="37" t="s">
        <v>128</v>
      </c>
      <c r="I133" s="37" t="s">
        <v>578</v>
      </c>
      <c r="J133" s="26" t="s">
        <v>269</v>
      </c>
    </row>
    <row r="134" ht="14.25" customHeight="1">
      <c r="A134" s="37" t="s">
        <v>589</v>
      </c>
      <c r="B134" s="37" t="s">
        <v>590</v>
      </c>
      <c r="C134" s="38" t="s">
        <v>88</v>
      </c>
      <c r="D134" s="37" t="s">
        <v>283</v>
      </c>
      <c r="E134" s="37" t="s">
        <v>591</v>
      </c>
      <c r="F134" s="37" t="s">
        <v>217</v>
      </c>
      <c r="G134" s="37" t="s">
        <v>92</v>
      </c>
      <c r="H134" s="37" t="s">
        <v>128</v>
      </c>
      <c r="I134" s="37" t="s">
        <v>578</v>
      </c>
      <c r="J134" s="26" t="s">
        <v>269</v>
      </c>
    </row>
    <row r="135" ht="14.25" customHeight="1">
      <c r="A135" s="37" t="s">
        <v>592</v>
      </c>
      <c r="B135" s="37" t="s">
        <v>593</v>
      </c>
      <c r="C135" s="38" t="s">
        <v>88</v>
      </c>
      <c r="D135" s="37" t="s">
        <v>594</v>
      </c>
      <c r="F135" s="37" t="s">
        <v>209</v>
      </c>
      <c r="G135" s="37" t="s">
        <v>92</v>
      </c>
      <c r="H135" s="37" t="s">
        <v>128</v>
      </c>
      <c r="I135" s="37" t="s">
        <v>578</v>
      </c>
      <c r="J135" s="26" t="s">
        <v>269</v>
      </c>
    </row>
    <row r="136" ht="14.25" customHeight="1">
      <c r="A136" s="37" t="s">
        <v>595</v>
      </c>
      <c r="B136" s="37" t="s">
        <v>596</v>
      </c>
      <c r="C136" s="38" t="s">
        <v>88</v>
      </c>
      <c r="D136" s="37" t="s">
        <v>409</v>
      </c>
      <c r="E136" s="37" t="s">
        <v>101</v>
      </c>
      <c r="F136" s="37" t="s">
        <v>102</v>
      </c>
      <c r="G136" s="37" t="s">
        <v>92</v>
      </c>
      <c r="H136" s="37" t="s">
        <v>128</v>
      </c>
      <c r="I136" s="37" t="s">
        <v>578</v>
      </c>
      <c r="J136" s="26" t="s">
        <v>269</v>
      </c>
    </row>
    <row r="137" ht="14.25" customHeight="1">
      <c r="A137" s="37" t="s">
        <v>597</v>
      </c>
      <c r="B137" s="37" t="s">
        <v>598</v>
      </c>
      <c r="C137" s="38" t="s">
        <v>88</v>
      </c>
      <c r="D137" s="37" t="s">
        <v>599</v>
      </c>
      <c r="F137" s="37" t="s">
        <v>600</v>
      </c>
      <c r="G137" s="37" t="s">
        <v>92</v>
      </c>
      <c r="I137" s="37" t="s">
        <v>578</v>
      </c>
      <c r="J137" s="26" t="s">
        <v>269</v>
      </c>
    </row>
    <row r="138" ht="14.25" customHeight="1">
      <c r="A138" s="37" t="s">
        <v>601</v>
      </c>
      <c r="B138" s="37" t="s">
        <v>602</v>
      </c>
      <c r="C138" s="38" t="s">
        <v>88</v>
      </c>
      <c r="D138" s="37" t="s">
        <v>197</v>
      </c>
      <c r="F138" s="37" t="s">
        <v>603</v>
      </c>
      <c r="G138" s="37" t="s">
        <v>92</v>
      </c>
      <c r="I138" s="37" t="s">
        <v>578</v>
      </c>
      <c r="J138" s="26" t="s">
        <v>269</v>
      </c>
    </row>
    <row r="139" ht="14.25" customHeight="1">
      <c r="A139" s="37" t="s">
        <v>604</v>
      </c>
      <c r="B139" s="37" t="s">
        <v>605</v>
      </c>
      <c r="C139" s="38" t="s">
        <v>88</v>
      </c>
      <c r="D139" s="37" t="s">
        <v>501</v>
      </c>
      <c r="E139" s="37" t="s">
        <v>346</v>
      </c>
      <c r="F139" s="37" t="s">
        <v>138</v>
      </c>
      <c r="G139" s="37" t="s">
        <v>92</v>
      </c>
      <c r="I139" s="37" t="s">
        <v>578</v>
      </c>
      <c r="J139" s="26" t="s">
        <v>269</v>
      </c>
    </row>
    <row r="140" ht="14.25" customHeight="1">
      <c r="A140" s="37" t="s">
        <v>606</v>
      </c>
      <c r="B140" s="37" t="s">
        <v>607</v>
      </c>
      <c r="C140" s="38" t="s">
        <v>88</v>
      </c>
      <c r="D140" s="37" t="s">
        <v>283</v>
      </c>
      <c r="F140" s="37" t="s">
        <v>608</v>
      </c>
      <c r="G140" s="37" t="s">
        <v>92</v>
      </c>
      <c r="I140" s="37" t="s">
        <v>76</v>
      </c>
      <c r="J140" s="37" t="s">
        <v>609</v>
      </c>
    </row>
    <row r="141" ht="14.25" customHeight="1">
      <c r="A141" s="37" t="s">
        <v>610</v>
      </c>
      <c r="B141" s="37" t="s">
        <v>611</v>
      </c>
      <c r="C141" s="38" t="s">
        <v>88</v>
      </c>
      <c r="D141" s="37" t="s">
        <v>295</v>
      </c>
      <c r="F141" s="37" t="s">
        <v>515</v>
      </c>
      <c r="G141" s="37" t="s">
        <v>92</v>
      </c>
      <c r="I141" s="37" t="s">
        <v>76</v>
      </c>
      <c r="J141" s="37" t="s">
        <v>609</v>
      </c>
    </row>
    <row r="142" ht="14.25" customHeight="1">
      <c r="A142" s="37" t="s">
        <v>546</v>
      </c>
      <c r="B142" s="37" t="s">
        <v>547</v>
      </c>
      <c r="C142" s="38" t="s">
        <v>88</v>
      </c>
      <c r="D142" s="37" t="s">
        <v>125</v>
      </c>
      <c r="E142" s="37" t="s">
        <v>548</v>
      </c>
      <c r="F142" s="37" t="s">
        <v>209</v>
      </c>
      <c r="G142" s="37" t="s">
        <v>115</v>
      </c>
      <c r="H142" s="37" t="s">
        <v>612</v>
      </c>
      <c r="I142" s="37" t="s">
        <v>613</v>
      </c>
      <c r="J142" s="26" t="s">
        <v>609</v>
      </c>
    </row>
    <row r="143" ht="14.25" customHeight="1">
      <c r="A143" s="37" t="s">
        <v>274</v>
      </c>
      <c r="B143" s="37" t="s">
        <v>275</v>
      </c>
      <c r="C143" s="38" t="s">
        <v>88</v>
      </c>
      <c r="D143" s="37" t="s">
        <v>276</v>
      </c>
      <c r="F143" s="37" t="s">
        <v>110</v>
      </c>
      <c r="G143" s="37" t="s">
        <v>92</v>
      </c>
      <c r="H143" s="37" t="s">
        <v>612</v>
      </c>
      <c r="I143" s="26" t="s">
        <v>613</v>
      </c>
      <c r="J143" s="26" t="s">
        <v>609</v>
      </c>
    </row>
    <row r="144" ht="14.25" customHeight="1">
      <c r="A144" s="39" t="s">
        <v>614</v>
      </c>
      <c r="B144" s="39" t="s">
        <v>615</v>
      </c>
      <c r="C144" s="40" t="s">
        <v>616</v>
      </c>
      <c r="D144" s="39" t="s">
        <v>617</v>
      </c>
      <c r="E144" s="39" t="s">
        <v>618</v>
      </c>
      <c r="F144" s="39" t="s">
        <v>619</v>
      </c>
      <c r="G144" s="39" t="s">
        <v>92</v>
      </c>
      <c r="H144" s="39" t="s">
        <v>620</v>
      </c>
      <c r="I144" s="41"/>
      <c r="J144" s="39" t="s">
        <v>431</v>
      </c>
    </row>
    <row r="145" ht="14.25" customHeight="1">
      <c r="A145" s="39" t="s">
        <v>621</v>
      </c>
      <c r="B145" s="39" t="s">
        <v>622</v>
      </c>
      <c r="C145" s="40" t="s">
        <v>616</v>
      </c>
      <c r="D145" s="39" t="s">
        <v>623</v>
      </c>
      <c r="E145" s="39" t="s">
        <v>624</v>
      </c>
      <c r="F145" s="39" t="s">
        <v>189</v>
      </c>
      <c r="G145" s="39" t="s">
        <v>115</v>
      </c>
      <c r="H145" s="39" t="s">
        <v>620</v>
      </c>
      <c r="I145" s="41"/>
      <c r="J145" s="39" t="s">
        <v>431</v>
      </c>
    </row>
    <row r="146" ht="14.25" customHeight="1">
      <c r="A146" s="39" t="s">
        <v>625</v>
      </c>
      <c r="B146" s="39" t="s">
        <v>626</v>
      </c>
      <c r="C146" s="40" t="s">
        <v>616</v>
      </c>
      <c r="D146" s="39" t="s">
        <v>409</v>
      </c>
      <c r="E146" s="39" t="s">
        <v>101</v>
      </c>
      <c r="F146" s="39" t="s">
        <v>627</v>
      </c>
      <c r="G146" s="39" t="s">
        <v>115</v>
      </c>
      <c r="H146" s="39" t="s">
        <v>620</v>
      </c>
      <c r="I146" s="41"/>
      <c r="J146" s="39" t="s">
        <v>431</v>
      </c>
    </row>
    <row r="147" ht="14.25" customHeight="1">
      <c r="A147" s="39" t="s">
        <v>628</v>
      </c>
      <c r="B147" s="39" t="s">
        <v>629</v>
      </c>
      <c r="C147" s="40" t="s">
        <v>616</v>
      </c>
      <c r="D147" s="39" t="s">
        <v>630</v>
      </c>
      <c r="E147" s="39" t="s">
        <v>631</v>
      </c>
      <c r="F147" s="39" t="s">
        <v>221</v>
      </c>
      <c r="G147" s="39" t="s">
        <v>115</v>
      </c>
      <c r="H147" s="39" t="s">
        <v>620</v>
      </c>
      <c r="I147" s="41"/>
      <c r="J147" s="39" t="s">
        <v>507</v>
      </c>
    </row>
    <row r="148" ht="14.25" customHeight="1">
      <c r="A148" s="39" t="s">
        <v>632</v>
      </c>
      <c r="B148" s="39" t="s">
        <v>633</v>
      </c>
      <c r="C148" s="40" t="s">
        <v>616</v>
      </c>
      <c r="D148" s="39" t="s">
        <v>179</v>
      </c>
      <c r="E148" s="39" t="s">
        <v>198</v>
      </c>
      <c r="F148" s="39" t="s">
        <v>634</v>
      </c>
      <c r="G148" s="39" t="s">
        <v>115</v>
      </c>
      <c r="H148" s="39" t="s">
        <v>620</v>
      </c>
      <c r="I148" s="41"/>
      <c r="J148" s="39" t="s">
        <v>507</v>
      </c>
    </row>
    <row r="149" ht="14.25" customHeight="1">
      <c r="A149" s="39" t="s">
        <v>635</v>
      </c>
      <c r="B149" s="39" t="s">
        <v>636</v>
      </c>
      <c r="C149" s="40" t="s">
        <v>616</v>
      </c>
      <c r="D149" s="39" t="s">
        <v>637</v>
      </c>
      <c r="E149" s="39" t="s">
        <v>638</v>
      </c>
      <c r="F149" s="39" t="s">
        <v>639</v>
      </c>
      <c r="G149" s="39" t="s">
        <v>115</v>
      </c>
      <c r="H149" s="39" t="s">
        <v>620</v>
      </c>
      <c r="I149" s="41"/>
      <c r="J149" s="39" t="s">
        <v>347</v>
      </c>
    </row>
    <row r="150" ht="14.25" customHeight="1">
      <c r="A150" s="39" t="s">
        <v>640</v>
      </c>
      <c r="B150" s="39" t="s">
        <v>641</v>
      </c>
      <c r="C150" s="40" t="s">
        <v>616</v>
      </c>
      <c r="D150" s="39" t="s">
        <v>617</v>
      </c>
      <c r="E150" s="39" t="s">
        <v>642</v>
      </c>
      <c r="F150" s="39" t="s">
        <v>307</v>
      </c>
      <c r="G150" s="39" t="s">
        <v>115</v>
      </c>
      <c r="H150" s="39" t="s">
        <v>620</v>
      </c>
      <c r="I150" s="41"/>
      <c r="J150" s="39" t="s">
        <v>347</v>
      </c>
    </row>
    <row r="151" ht="14.25" customHeight="1">
      <c r="A151" s="39" t="s">
        <v>643</v>
      </c>
      <c r="B151" s="39" t="s">
        <v>644</v>
      </c>
      <c r="C151" s="40" t="s">
        <v>616</v>
      </c>
      <c r="D151" s="39" t="s">
        <v>645</v>
      </c>
      <c r="E151" s="39" t="s">
        <v>646</v>
      </c>
      <c r="F151" s="39" t="s">
        <v>233</v>
      </c>
      <c r="G151" s="39" t="s">
        <v>115</v>
      </c>
      <c r="H151" s="39" t="s">
        <v>620</v>
      </c>
      <c r="I151" s="41"/>
      <c r="J151" s="39" t="s">
        <v>347</v>
      </c>
    </row>
    <row r="152" ht="14.25" customHeight="1">
      <c r="A152" s="39" t="s">
        <v>647</v>
      </c>
      <c r="B152" s="39" t="s">
        <v>648</v>
      </c>
      <c r="C152" s="40" t="s">
        <v>616</v>
      </c>
      <c r="D152" s="39" t="s">
        <v>224</v>
      </c>
      <c r="E152" s="39" t="s">
        <v>418</v>
      </c>
      <c r="F152" s="39" t="s">
        <v>189</v>
      </c>
      <c r="G152" s="39" t="s">
        <v>115</v>
      </c>
      <c r="H152" s="39" t="s">
        <v>620</v>
      </c>
      <c r="I152" s="41"/>
      <c r="J152" s="39" t="s">
        <v>347</v>
      </c>
    </row>
    <row r="153" ht="14.25" customHeight="1">
      <c r="A153" s="39" t="s">
        <v>649</v>
      </c>
      <c r="B153" s="39" t="s">
        <v>650</v>
      </c>
      <c r="C153" s="40" t="s">
        <v>616</v>
      </c>
      <c r="D153" s="39" t="s">
        <v>166</v>
      </c>
      <c r="E153" s="39" t="s">
        <v>651</v>
      </c>
      <c r="F153" s="39" t="s">
        <v>189</v>
      </c>
      <c r="G153" s="39" t="s">
        <v>115</v>
      </c>
      <c r="H153" s="39" t="s">
        <v>620</v>
      </c>
      <c r="I153" s="41"/>
      <c r="J153" s="39" t="s">
        <v>347</v>
      </c>
    </row>
    <row r="154" ht="14.25" customHeight="1">
      <c r="A154" s="39" t="s">
        <v>652</v>
      </c>
      <c r="B154" s="39" t="s">
        <v>653</v>
      </c>
      <c r="C154" s="40" t="s">
        <v>616</v>
      </c>
      <c r="D154" s="39" t="s">
        <v>654</v>
      </c>
      <c r="E154" s="39" t="s">
        <v>655</v>
      </c>
      <c r="F154" s="39" t="s">
        <v>656</v>
      </c>
      <c r="G154" s="39" t="s">
        <v>115</v>
      </c>
      <c r="H154" s="39" t="s">
        <v>620</v>
      </c>
      <c r="I154" s="41"/>
      <c r="J154" s="39" t="s">
        <v>181</v>
      </c>
    </row>
    <row r="155" ht="14.25" customHeight="1">
      <c r="A155" s="39" t="s">
        <v>657</v>
      </c>
      <c r="B155" s="39" t="s">
        <v>658</v>
      </c>
      <c r="C155" s="40" t="s">
        <v>616</v>
      </c>
      <c r="D155" s="39" t="s">
        <v>617</v>
      </c>
      <c r="E155" s="39" t="s">
        <v>659</v>
      </c>
      <c r="F155" s="39" t="s">
        <v>385</v>
      </c>
      <c r="G155" s="39" t="s">
        <v>92</v>
      </c>
      <c r="H155" s="39" t="s">
        <v>620</v>
      </c>
      <c r="I155" s="41"/>
      <c r="J155" s="39" t="s">
        <v>181</v>
      </c>
    </row>
    <row r="156" ht="14.25" customHeight="1">
      <c r="A156" s="39" t="s">
        <v>660</v>
      </c>
      <c r="B156" s="39" t="s">
        <v>661</v>
      </c>
      <c r="C156" s="40" t="s">
        <v>616</v>
      </c>
      <c r="D156" s="39" t="s">
        <v>594</v>
      </c>
      <c r="F156" s="39" t="s">
        <v>662</v>
      </c>
      <c r="G156" s="39" t="s">
        <v>92</v>
      </c>
      <c r="H156" s="39" t="s">
        <v>620</v>
      </c>
      <c r="I156" s="41"/>
      <c r="J156" s="39" t="s">
        <v>181</v>
      </c>
    </row>
    <row r="157" ht="14.25" customHeight="1">
      <c r="A157" s="39" t="s">
        <v>663</v>
      </c>
      <c r="B157" s="39" t="s">
        <v>664</v>
      </c>
      <c r="C157" s="40" t="s">
        <v>616</v>
      </c>
      <c r="D157" s="39" t="s">
        <v>367</v>
      </c>
      <c r="E157" s="39" t="s">
        <v>665</v>
      </c>
      <c r="F157" s="39" t="s">
        <v>280</v>
      </c>
      <c r="G157" s="39" t="s">
        <v>115</v>
      </c>
      <c r="H157" s="39" t="s">
        <v>620</v>
      </c>
      <c r="I157" s="41"/>
      <c r="J157" s="39" t="s">
        <v>181</v>
      </c>
    </row>
    <row r="158" ht="14.25" customHeight="1">
      <c r="A158" s="39" t="s">
        <v>666</v>
      </c>
      <c r="B158" s="39" t="s">
        <v>667</v>
      </c>
      <c r="C158" s="40" t="s">
        <v>616</v>
      </c>
      <c r="D158" s="39" t="s">
        <v>170</v>
      </c>
      <c r="F158" s="39" t="s">
        <v>209</v>
      </c>
      <c r="G158" s="39" t="s">
        <v>92</v>
      </c>
      <c r="H158" s="39" t="s">
        <v>620</v>
      </c>
      <c r="I158" s="41"/>
      <c r="J158" s="39" t="s">
        <v>181</v>
      </c>
    </row>
    <row r="159" ht="14.25" customHeight="1">
      <c r="A159" s="39" t="s">
        <v>668</v>
      </c>
      <c r="B159" s="39" t="s">
        <v>669</v>
      </c>
      <c r="C159" s="40" t="s">
        <v>616</v>
      </c>
      <c r="D159" s="39" t="s">
        <v>287</v>
      </c>
      <c r="F159" s="39" t="s">
        <v>627</v>
      </c>
      <c r="G159" s="39" t="s">
        <v>115</v>
      </c>
      <c r="H159" s="39" t="s">
        <v>128</v>
      </c>
      <c r="J159" s="39" t="s">
        <v>507</v>
      </c>
    </row>
    <row r="160" ht="14.25" customHeight="1">
      <c r="A160" s="39" t="s">
        <v>670</v>
      </c>
      <c r="B160" s="39" t="s">
        <v>671</v>
      </c>
      <c r="C160" s="40" t="s">
        <v>616</v>
      </c>
      <c r="D160" s="39" t="s">
        <v>555</v>
      </c>
      <c r="E160" s="39" t="s">
        <v>198</v>
      </c>
      <c r="F160" s="39" t="s">
        <v>672</v>
      </c>
      <c r="G160" s="39" t="s">
        <v>115</v>
      </c>
      <c r="H160" s="39" t="s">
        <v>620</v>
      </c>
      <c r="I160" s="41"/>
      <c r="J160" s="39" t="s">
        <v>269</v>
      </c>
    </row>
    <row r="161" ht="14.25" customHeight="1">
      <c r="A161" s="39" t="s">
        <v>673</v>
      </c>
      <c r="B161" s="39" t="s">
        <v>674</v>
      </c>
      <c r="C161" s="40" t="s">
        <v>616</v>
      </c>
      <c r="D161" s="39" t="s">
        <v>141</v>
      </c>
      <c r="E161" s="39" t="s">
        <v>675</v>
      </c>
      <c r="F161" s="39" t="s">
        <v>189</v>
      </c>
      <c r="G161" s="39" t="s">
        <v>115</v>
      </c>
      <c r="H161" s="39" t="s">
        <v>620</v>
      </c>
      <c r="I161" s="41"/>
      <c r="J161" s="39" t="s">
        <v>269</v>
      </c>
    </row>
    <row r="162" ht="14.25" customHeight="1">
      <c r="A162" s="39" t="s">
        <v>676</v>
      </c>
      <c r="B162" s="39" t="s">
        <v>677</v>
      </c>
      <c r="C162" s="40" t="s">
        <v>616</v>
      </c>
      <c r="D162" s="39" t="s">
        <v>678</v>
      </c>
      <c r="E162" s="39" t="s">
        <v>137</v>
      </c>
      <c r="F162" s="39" t="s">
        <v>588</v>
      </c>
      <c r="G162" s="39" t="s">
        <v>115</v>
      </c>
      <c r="H162" s="39" t="s">
        <v>620</v>
      </c>
      <c r="I162" s="41"/>
      <c r="J162" s="39" t="s">
        <v>269</v>
      </c>
    </row>
    <row r="163" ht="14.25" customHeight="1">
      <c r="A163" s="39" t="s">
        <v>679</v>
      </c>
      <c r="B163" s="39" t="s">
        <v>680</v>
      </c>
      <c r="C163" s="40" t="s">
        <v>616</v>
      </c>
      <c r="D163" s="39" t="s">
        <v>367</v>
      </c>
      <c r="E163" s="39" t="s">
        <v>681</v>
      </c>
      <c r="F163" s="39" t="s">
        <v>189</v>
      </c>
      <c r="G163" s="39" t="s">
        <v>115</v>
      </c>
      <c r="H163" s="39" t="s">
        <v>620</v>
      </c>
      <c r="I163" s="41"/>
      <c r="J163" s="39" t="s">
        <v>269</v>
      </c>
    </row>
    <row r="164" ht="14.25" customHeight="1">
      <c r="A164" s="39" t="s">
        <v>682</v>
      </c>
      <c r="B164" s="39" t="s">
        <v>683</v>
      </c>
      <c r="C164" s="40" t="s">
        <v>616</v>
      </c>
      <c r="D164" s="39" t="s">
        <v>587</v>
      </c>
      <c r="E164" s="39" t="s">
        <v>684</v>
      </c>
      <c r="F164" s="39" t="s">
        <v>685</v>
      </c>
      <c r="G164" s="39" t="s">
        <v>115</v>
      </c>
      <c r="H164" s="39" t="s">
        <v>620</v>
      </c>
      <c r="I164" s="41"/>
      <c r="J164" s="39" t="s">
        <v>93</v>
      </c>
    </row>
    <row r="165" ht="14.25" customHeight="1">
      <c r="A165" s="39" t="s">
        <v>686</v>
      </c>
      <c r="B165" s="39" t="s">
        <v>687</v>
      </c>
      <c r="C165" s="40" t="s">
        <v>616</v>
      </c>
      <c r="D165" s="39" t="s">
        <v>417</v>
      </c>
      <c r="E165" s="39" t="s">
        <v>688</v>
      </c>
      <c r="F165" s="39" t="s">
        <v>142</v>
      </c>
      <c r="G165" s="39" t="s">
        <v>115</v>
      </c>
      <c r="H165" s="39" t="s">
        <v>620</v>
      </c>
      <c r="I165" s="41"/>
      <c r="J165" s="39" t="s">
        <v>93</v>
      </c>
    </row>
    <row r="166" ht="14.25" customHeight="1">
      <c r="A166" s="39" t="s">
        <v>689</v>
      </c>
      <c r="B166" s="39" t="s">
        <v>690</v>
      </c>
      <c r="C166" s="40" t="s">
        <v>616</v>
      </c>
      <c r="D166" s="39" t="s">
        <v>256</v>
      </c>
      <c r="E166" s="39" t="s">
        <v>691</v>
      </c>
      <c r="F166" s="39" t="s">
        <v>244</v>
      </c>
      <c r="G166" s="39" t="s">
        <v>115</v>
      </c>
      <c r="H166" s="39" t="s">
        <v>620</v>
      </c>
      <c r="I166" s="41"/>
      <c r="J166" s="39" t="s">
        <v>93</v>
      </c>
    </row>
    <row r="167" ht="14.25" customHeight="1">
      <c r="A167" s="39" t="s">
        <v>692</v>
      </c>
      <c r="B167" s="39" t="s">
        <v>693</v>
      </c>
      <c r="C167" s="40" t="s">
        <v>616</v>
      </c>
      <c r="D167" s="39" t="s">
        <v>215</v>
      </c>
      <c r="E167" s="39" t="s">
        <v>694</v>
      </c>
      <c r="F167" s="39" t="s">
        <v>695</v>
      </c>
      <c r="G167" s="39" t="s">
        <v>115</v>
      </c>
      <c r="H167" s="39" t="s">
        <v>620</v>
      </c>
      <c r="I167" s="41"/>
      <c r="J167" s="39" t="s">
        <v>347</v>
      </c>
    </row>
    <row r="168" ht="14.25" customHeight="1">
      <c r="A168" s="39" t="s">
        <v>696</v>
      </c>
      <c r="B168" s="39" t="s">
        <v>697</v>
      </c>
      <c r="C168" s="40" t="s">
        <v>616</v>
      </c>
      <c r="D168" s="39" t="s">
        <v>100</v>
      </c>
      <c r="E168" s="39" t="s">
        <v>698</v>
      </c>
      <c r="F168" s="39" t="s">
        <v>260</v>
      </c>
      <c r="G168" s="39" t="s">
        <v>115</v>
      </c>
      <c r="H168" s="39" t="s">
        <v>620</v>
      </c>
      <c r="I168" s="41"/>
      <c r="J168" s="39" t="s">
        <v>507</v>
      </c>
    </row>
    <row r="169" ht="14.25" customHeight="1">
      <c r="A169" s="39" t="s">
        <v>699</v>
      </c>
      <c r="B169" s="39" t="s">
        <v>700</v>
      </c>
      <c r="C169" s="40" t="s">
        <v>616</v>
      </c>
      <c r="D169" s="39" t="s">
        <v>256</v>
      </c>
      <c r="E169" s="39" t="s">
        <v>701</v>
      </c>
      <c r="F169" s="39" t="s">
        <v>702</v>
      </c>
      <c r="G169" s="39" t="s">
        <v>92</v>
      </c>
      <c r="H169" s="39" t="s">
        <v>128</v>
      </c>
      <c r="J169" s="39" t="s">
        <v>507</v>
      </c>
    </row>
    <row r="170" ht="14.25" customHeight="1">
      <c r="A170" s="39" t="s">
        <v>703</v>
      </c>
      <c r="B170" s="39" t="s">
        <v>704</v>
      </c>
      <c r="C170" s="40" t="s">
        <v>616</v>
      </c>
      <c r="D170" s="39" t="s">
        <v>264</v>
      </c>
      <c r="E170" s="39" t="s">
        <v>705</v>
      </c>
      <c r="F170" s="39" t="s">
        <v>142</v>
      </c>
      <c r="G170" s="39" t="s">
        <v>115</v>
      </c>
      <c r="H170" s="39" t="s">
        <v>620</v>
      </c>
      <c r="I170" s="41"/>
      <c r="J170" s="39" t="s">
        <v>181</v>
      </c>
    </row>
    <row r="171" ht="14.25" customHeight="1">
      <c r="A171" s="39" t="s">
        <v>706</v>
      </c>
      <c r="B171" s="39" t="s">
        <v>707</v>
      </c>
      <c r="C171" s="40" t="s">
        <v>616</v>
      </c>
      <c r="D171" s="39" t="s">
        <v>708</v>
      </c>
      <c r="E171" s="39" t="s">
        <v>198</v>
      </c>
      <c r="F171" s="39" t="s">
        <v>189</v>
      </c>
      <c r="G171" s="39" t="s">
        <v>115</v>
      </c>
      <c r="H171" s="39" t="s">
        <v>620</v>
      </c>
      <c r="I171" s="41"/>
      <c r="J171" s="39" t="s">
        <v>181</v>
      </c>
    </row>
    <row r="172" ht="14.25" customHeight="1">
      <c r="A172" s="39" t="s">
        <v>709</v>
      </c>
      <c r="B172" s="39" t="s">
        <v>710</v>
      </c>
      <c r="C172" s="40" t="s">
        <v>616</v>
      </c>
      <c r="D172" s="39" t="s">
        <v>587</v>
      </c>
      <c r="E172" s="39" t="s">
        <v>711</v>
      </c>
      <c r="F172" s="39" t="s">
        <v>221</v>
      </c>
      <c r="G172" s="39" t="s">
        <v>115</v>
      </c>
      <c r="H172" s="39" t="s">
        <v>620</v>
      </c>
      <c r="I172" s="41"/>
      <c r="J172" s="39" t="s">
        <v>181</v>
      </c>
    </row>
    <row r="173" ht="14.25" customHeight="1">
      <c r="A173" s="39" t="s">
        <v>712</v>
      </c>
      <c r="B173" s="39" t="s">
        <v>713</v>
      </c>
      <c r="C173" s="40" t="s">
        <v>616</v>
      </c>
      <c r="D173" s="39" t="s">
        <v>256</v>
      </c>
      <c r="E173" s="39" t="s">
        <v>265</v>
      </c>
      <c r="F173" s="39" t="s">
        <v>142</v>
      </c>
      <c r="G173" s="39" t="s">
        <v>115</v>
      </c>
      <c r="H173" s="39" t="s">
        <v>620</v>
      </c>
      <c r="I173" s="41"/>
      <c r="J173" s="39" t="s">
        <v>507</v>
      </c>
    </row>
    <row r="174" ht="14.25" customHeight="1">
      <c r="A174" s="39" t="s">
        <v>714</v>
      </c>
      <c r="B174" s="39" t="s">
        <v>715</v>
      </c>
      <c r="C174" s="40" t="s">
        <v>616</v>
      </c>
      <c r="D174" s="39" t="s">
        <v>125</v>
      </c>
      <c r="E174" s="39" t="s">
        <v>142</v>
      </c>
      <c r="F174" s="39" t="s">
        <v>142</v>
      </c>
      <c r="G174" s="39" t="s">
        <v>115</v>
      </c>
      <c r="H174" s="39" t="s">
        <v>620</v>
      </c>
      <c r="I174" s="41"/>
      <c r="J174" s="39" t="s">
        <v>507</v>
      </c>
    </row>
    <row r="175" ht="14.25" customHeight="1">
      <c r="A175" s="39" t="s">
        <v>716</v>
      </c>
      <c r="B175" s="39" t="s">
        <v>717</v>
      </c>
      <c r="C175" s="40" t="s">
        <v>616</v>
      </c>
      <c r="D175" s="39" t="s">
        <v>401</v>
      </c>
      <c r="E175" s="39" t="s">
        <v>718</v>
      </c>
      <c r="F175" s="39" t="s">
        <v>273</v>
      </c>
      <c r="G175" s="39" t="s">
        <v>92</v>
      </c>
      <c r="H175" s="39" t="s">
        <v>128</v>
      </c>
      <c r="J175" s="39" t="s">
        <v>93</v>
      </c>
    </row>
    <row r="176" ht="14.25" customHeight="1">
      <c r="A176" s="39" t="s">
        <v>719</v>
      </c>
      <c r="B176" s="39" t="s">
        <v>720</v>
      </c>
      <c r="C176" s="40" t="s">
        <v>616</v>
      </c>
      <c r="D176" s="39" t="s">
        <v>215</v>
      </c>
      <c r="E176" s="39" t="s">
        <v>721</v>
      </c>
      <c r="F176" s="39" t="s">
        <v>142</v>
      </c>
      <c r="G176" s="39" t="s">
        <v>115</v>
      </c>
      <c r="H176" s="39" t="s">
        <v>620</v>
      </c>
      <c r="I176" s="41"/>
      <c r="J176" s="39" t="s">
        <v>93</v>
      </c>
    </row>
    <row r="177" ht="14.25" customHeight="1">
      <c r="A177" s="39" t="s">
        <v>722</v>
      </c>
      <c r="B177" s="39" t="s">
        <v>723</v>
      </c>
      <c r="C177" s="40" t="s">
        <v>616</v>
      </c>
      <c r="D177" s="39" t="s">
        <v>100</v>
      </c>
      <c r="E177" s="39" t="s">
        <v>418</v>
      </c>
      <c r="F177" s="39" t="s">
        <v>142</v>
      </c>
      <c r="G177" s="39" t="s">
        <v>115</v>
      </c>
      <c r="H177" s="39" t="s">
        <v>620</v>
      </c>
      <c r="I177" s="41"/>
      <c r="J177" s="39" t="s">
        <v>347</v>
      </c>
    </row>
    <row r="178" ht="14.25" customHeight="1">
      <c r="A178" s="39" t="s">
        <v>724</v>
      </c>
      <c r="B178" s="39" t="s">
        <v>725</v>
      </c>
      <c r="C178" s="40" t="s">
        <v>616</v>
      </c>
      <c r="D178" s="39" t="s">
        <v>179</v>
      </c>
      <c r="E178" s="39" t="s">
        <v>726</v>
      </c>
      <c r="F178" s="39" t="s">
        <v>221</v>
      </c>
      <c r="G178" s="39" t="s">
        <v>115</v>
      </c>
      <c r="H178" s="39" t="s">
        <v>620</v>
      </c>
      <c r="I178" s="41"/>
      <c r="J178" s="39" t="s">
        <v>347</v>
      </c>
    </row>
    <row r="179" ht="14.25" customHeight="1">
      <c r="A179" s="39" t="s">
        <v>727</v>
      </c>
      <c r="B179" s="39" t="s">
        <v>728</v>
      </c>
      <c r="C179" s="40" t="s">
        <v>616</v>
      </c>
      <c r="D179" s="39" t="s">
        <v>729</v>
      </c>
      <c r="E179" s="39" t="s">
        <v>730</v>
      </c>
      <c r="F179" s="39" t="s">
        <v>209</v>
      </c>
      <c r="G179" s="39" t="s">
        <v>92</v>
      </c>
      <c r="H179" s="39" t="s">
        <v>620</v>
      </c>
      <c r="I179" s="41"/>
      <c r="J179" s="39" t="s">
        <v>431</v>
      </c>
    </row>
    <row r="180" ht="14.25" customHeight="1">
      <c r="A180" s="39" t="s">
        <v>731</v>
      </c>
      <c r="B180" s="39" t="s">
        <v>732</v>
      </c>
      <c r="C180" s="40" t="s">
        <v>616</v>
      </c>
      <c r="D180" s="39" t="s">
        <v>426</v>
      </c>
      <c r="E180" s="39" t="s">
        <v>733</v>
      </c>
      <c r="F180" s="39" t="s">
        <v>142</v>
      </c>
      <c r="G180" s="39" t="s">
        <v>115</v>
      </c>
      <c r="H180" s="39" t="s">
        <v>620</v>
      </c>
      <c r="I180" s="41"/>
      <c r="J180" s="39" t="s">
        <v>431</v>
      </c>
    </row>
    <row r="181" ht="14.25" customHeight="1">
      <c r="A181" s="39" t="s">
        <v>734</v>
      </c>
      <c r="B181" s="39" t="s">
        <v>735</v>
      </c>
      <c r="C181" s="40" t="s">
        <v>616</v>
      </c>
      <c r="D181" s="39" t="s">
        <v>409</v>
      </c>
      <c r="E181" s="39" t="s">
        <v>736</v>
      </c>
      <c r="F181" s="39" t="s">
        <v>244</v>
      </c>
      <c r="G181" s="39" t="s">
        <v>115</v>
      </c>
      <c r="H181" s="39" t="s">
        <v>620</v>
      </c>
      <c r="I181" s="41"/>
      <c r="J181" s="39" t="s">
        <v>431</v>
      </c>
    </row>
    <row r="182" ht="14.25" customHeight="1">
      <c r="A182" s="39" t="s">
        <v>737</v>
      </c>
      <c r="B182" s="39" t="s">
        <v>738</v>
      </c>
      <c r="C182" s="40" t="s">
        <v>616</v>
      </c>
      <c r="D182" s="39" t="s">
        <v>654</v>
      </c>
      <c r="E182" s="39" t="s">
        <v>739</v>
      </c>
      <c r="F182" s="39" t="s">
        <v>639</v>
      </c>
      <c r="G182" s="39" t="s">
        <v>115</v>
      </c>
      <c r="H182" s="39" t="s">
        <v>128</v>
      </c>
      <c r="J182" s="39" t="s">
        <v>431</v>
      </c>
    </row>
    <row r="183" ht="14.25" customHeight="1">
      <c r="A183" s="39" t="s">
        <v>740</v>
      </c>
      <c r="B183" s="39" t="s">
        <v>741</v>
      </c>
      <c r="C183" s="40" t="s">
        <v>616</v>
      </c>
      <c r="D183" s="39" t="s">
        <v>187</v>
      </c>
      <c r="E183" s="39" t="s">
        <v>742</v>
      </c>
      <c r="F183" s="39" t="s">
        <v>189</v>
      </c>
      <c r="G183" s="39" t="s">
        <v>115</v>
      </c>
      <c r="H183" s="39" t="s">
        <v>620</v>
      </c>
      <c r="I183" s="41"/>
      <c r="J183" s="39" t="s">
        <v>431</v>
      </c>
    </row>
    <row r="184" ht="14.25" customHeight="1">
      <c r="A184" s="39" t="s">
        <v>743</v>
      </c>
      <c r="B184" s="39" t="s">
        <v>744</v>
      </c>
      <c r="C184" s="40" t="s">
        <v>616</v>
      </c>
      <c r="D184" s="39" t="s">
        <v>745</v>
      </c>
      <c r="E184" s="39" t="s">
        <v>746</v>
      </c>
      <c r="F184" s="39" t="s">
        <v>747</v>
      </c>
      <c r="G184" s="39" t="s">
        <v>115</v>
      </c>
      <c r="H184" s="39" t="s">
        <v>620</v>
      </c>
      <c r="I184" s="41"/>
      <c r="J184" s="39" t="s">
        <v>347</v>
      </c>
    </row>
    <row r="185" ht="14.25" customHeight="1">
      <c r="A185" s="39" t="s">
        <v>748</v>
      </c>
      <c r="B185" s="39" t="s">
        <v>749</v>
      </c>
      <c r="C185" s="40" t="s">
        <v>616</v>
      </c>
      <c r="D185" s="39" t="s">
        <v>379</v>
      </c>
      <c r="E185" s="39" t="s">
        <v>750</v>
      </c>
      <c r="F185" s="39" t="s">
        <v>536</v>
      </c>
      <c r="G185" s="39" t="s">
        <v>115</v>
      </c>
      <c r="H185" s="39" t="s">
        <v>620</v>
      </c>
      <c r="I185" s="41"/>
      <c r="J185" s="39" t="s">
        <v>347</v>
      </c>
    </row>
    <row r="186" ht="14.25" customHeight="1">
      <c r="A186" s="39" t="s">
        <v>751</v>
      </c>
      <c r="B186" s="39" t="s">
        <v>752</v>
      </c>
      <c r="C186" s="40" t="s">
        <v>616</v>
      </c>
      <c r="D186" s="39" t="s">
        <v>753</v>
      </c>
      <c r="E186" s="39" t="s">
        <v>137</v>
      </c>
      <c r="F186" s="39" t="s">
        <v>102</v>
      </c>
      <c r="G186" s="39" t="s">
        <v>115</v>
      </c>
      <c r="H186" s="39" t="s">
        <v>620</v>
      </c>
      <c r="I186" s="41"/>
      <c r="J186" s="39" t="s">
        <v>347</v>
      </c>
    </row>
    <row r="187" ht="14.25" customHeight="1">
      <c r="A187" s="39" t="s">
        <v>754</v>
      </c>
      <c r="B187" s="39" t="s">
        <v>755</v>
      </c>
      <c r="C187" s="40" t="s">
        <v>616</v>
      </c>
      <c r="D187" s="39" t="s">
        <v>100</v>
      </c>
      <c r="E187" s="39" t="s">
        <v>756</v>
      </c>
      <c r="F187" s="39" t="s">
        <v>530</v>
      </c>
      <c r="G187" s="39" t="s">
        <v>92</v>
      </c>
      <c r="H187" s="39" t="s">
        <v>128</v>
      </c>
      <c r="J187" s="39" t="s">
        <v>347</v>
      </c>
    </row>
    <row r="188" ht="14.25" customHeight="1">
      <c r="A188" s="39" t="s">
        <v>757</v>
      </c>
      <c r="B188" s="39" t="s">
        <v>758</v>
      </c>
      <c r="C188" s="40" t="s">
        <v>616</v>
      </c>
      <c r="D188" s="39" t="s">
        <v>122</v>
      </c>
      <c r="E188" s="39" t="s">
        <v>198</v>
      </c>
      <c r="F188" s="39" t="s">
        <v>142</v>
      </c>
      <c r="G188" s="39" t="s">
        <v>115</v>
      </c>
      <c r="H188" s="39" t="s">
        <v>620</v>
      </c>
      <c r="I188" s="41"/>
      <c r="J188" s="39" t="s">
        <v>347</v>
      </c>
    </row>
    <row r="189" ht="14.25" customHeight="1">
      <c r="A189" s="39" t="s">
        <v>759</v>
      </c>
      <c r="B189" s="39" t="s">
        <v>760</v>
      </c>
      <c r="C189" s="40" t="s">
        <v>616</v>
      </c>
      <c r="D189" s="39" t="s">
        <v>568</v>
      </c>
      <c r="E189" s="39" t="s">
        <v>761</v>
      </c>
      <c r="F189" s="39" t="s">
        <v>273</v>
      </c>
      <c r="G189" s="39" t="s">
        <v>115</v>
      </c>
      <c r="H189" s="39" t="s">
        <v>128</v>
      </c>
      <c r="J189" s="39" t="s">
        <v>261</v>
      </c>
    </row>
    <row r="190" ht="14.25" customHeight="1">
      <c r="A190" s="39" t="s">
        <v>762</v>
      </c>
      <c r="B190" s="39" t="s">
        <v>763</v>
      </c>
      <c r="C190" s="40" t="s">
        <v>616</v>
      </c>
      <c r="D190" s="39" t="s">
        <v>708</v>
      </c>
      <c r="E190" s="39" t="s">
        <v>764</v>
      </c>
      <c r="F190" s="39" t="s">
        <v>389</v>
      </c>
      <c r="G190" s="39" t="s">
        <v>115</v>
      </c>
      <c r="H190" s="39" t="s">
        <v>620</v>
      </c>
      <c r="I190" s="41"/>
      <c r="J190" s="39" t="s">
        <v>261</v>
      </c>
    </row>
    <row r="191" ht="14.25" customHeight="1">
      <c r="A191" s="39" t="s">
        <v>765</v>
      </c>
      <c r="B191" s="39" t="s">
        <v>766</v>
      </c>
      <c r="C191" s="40" t="s">
        <v>616</v>
      </c>
      <c r="D191" s="39" t="s">
        <v>767</v>
      </c>
      <c r="E191" s="39" t="s">
        <v>514</v>
      </c>
      <c r="F191" s="39" t="s">
        <v>768</v>
      </c>
      <c r="G191" s="39" t="s">
        <v>92</v>
      </c>
      <c r="H191" s="39" t="s">
        <v>620</v>
      </c>
      <c r="I191" s="41"/>
      <c r="J191" s="39" t="s">
        <v>261</v>
      </c>
    </row>
    <row r="192" ht="14.25" customHeight="1">
      <c r="A192" s="39" t="s">
        <v>769</v>
      </c>
      <c r="B192" s="39" t="s">
        <v>770</v>
      </c>
      <c r="C192" s="40" t="s">
        <v>616</v>
      </c>
      <c r="D192" s="39" t="s">
        <v>599</v>
      </c>
      <c r="E192" s="39" t="s">
        <v>771</v>
      </c>
      <c r="F192" s="39" t="s">
        <v>221</v>
      </c>
      <c r="G192" s="39" t="s">
        <v>115</v>
      </c>
      <c r="H192" s="39" t="s">
        <v>620</v>
      </c>
      <c r="I192" s="41"/>
      <c r="J192" s="39" t="s">
        <v>507</v>
      </c>
    </row>
    <row r="193" ht="14.25" customHeight="1">
      <c r="A193" s="39" t="s">
        <v>772</v>
      </c>
      <c r="B193" s="39" t="s">
        <v>773</v>
      </c>
      <c r="C193" s="40" t="s">
        <v>616</v>
      </c>
      <c r="D193" s="39" t="s">
        <v>109</v>
      </c>
      <c r="E193" s="39" t="s">
        <v>774</v>
      </c>
      <c r="F193" s="39" t="s">
        <v>142</v>
      </c>
      <c r="G193" s="39" t="s">
        <v>115</v>
      </c>
      <c r="H193" s="39" t="s">
        <v>620</v>
      </c>
      <c r="I193" s="41"/>
      <c r="J193" s="39" t="s">
        <v>507</v>
      </c>
    </row>
    <row r="194" ht="14.25" customHeight="1">
      <c r="A194" s="39" t="s">
        <v>775</v>
      </c>
      <c r="B194" s="39" t="s">
        <v>776</v>
      </c>
      <c r="C194" s="40" t="s">
        <v>616</v>
      </c>
      <c r="D194" s="39" t="s">
        <v>401</v>
      </c>
      <c r="F194" s="39" t="s">
        <v>176</v>
      </c>
      <c r="G194" s="39" t="s">
        <v>115</v>
      </c>
      <c r="H194" s="39" t="s">
        <v>620</v>
      </c>
      <c r="I194" s="41"/>
      <c r="J194" s="39" t="s">
        <v>431</v>
      </c>
    </row>
    <row r="195" ht="14.25" customHeight="1">
      <c r="A195" s="39" t="s">
        <v>777</v>
      </c>
      <c r="B195" s="39" t="s">
        <v>778</v>
      </c>
      <c r="C195" s="40" t="s">
        <v>616</v>
      </c>
      <c r="D195" s="39" t="s">
        <v>779</v>
      </c>
      <c r="E195" s="39" t="s">
        <v>780</v>
      </c>
      <c r="F195" s="39" t="s">
        <v>781</v>
      </c>
      <c r="G195" s="39" t="s">
        <v>115</v>
      </c>
      <c r="H195" s="39" t="s">
        <v>620</v>
      </c>
      <c r="I195" s="41"/>
      <c r="J195" s="39" t="s">
        <v>431</v>
      </c>
    </row>
    <row r="196" ht="14.25" customHeight="1">
      <c r="A196" s="39" t="s">
        <v>782</v>
      </c>
      <c r="B196" s="39" t="s">
        <v>783</v>
      </c>
      <c r="C196" s="40" t="s">
        <v>616</v>
      </c>
      <c r="D196" s="39" t="s">
        <v>784</v>
      </c>
      <c r="E196" s="39" t="s">
        <v>785</v>
      </c>
      <c r="F196" s="39" t="s">
        <v>786</v>
      </c>
      <c r="G196" s="39" t="s">
        <v>115</v>
      </c>
      <c r="H196" s="39" t="s">
        <v>620</v>
      </c>
      <c r="I196" s="41"/>
      <c r="J196" s="39" t="s">
        <v>431</v>
      </c>
    </row>
    <row r="197" ht="14.25" customHeight="1">
      <c r="A197" s="39" t="s">
        <v>787</v>
      </c>
      <c r="B197" s="39" t="s">
        <v>788</v>
      </c>
      <c r="C197" s="40" t="s">
        <v>616</v>
      </c>
      <c r="D197" s="39" t="s">
        <v>789</v>
      </c>
      <c r="E197" s="39" t="s">
        <v>790</v>
      </c>
      <c r="F197" s="39" t="s">
        <v>791</v>
      </c>
      <c r="G197" s="39" t="s">
        <v>92</v>
      </c>
      <c r="H197" s="39" t="s">
        <v>128</v>
      </c>
      <c r="J197" s="39" t="s">
        <v>431</v>
      </c>
    </row>
    <row r="198" ht="14.25" customHeight="1">
      <c r="A198" s="39" t="s">
        <v>792</v>
      </c>
      <c r="B198" s="39" t="s">
        <v>793</v>
      </c>
      <c r="C198" s="40" t="s">
        <v>616</v>
      </c>
      <c r="D198" s="39" t="s">
        <v>794</v>
      </c>
      <c r="F198" s="39" t="s">
        <v>795</v>
      </c>
      <c r="G198" s="39" t="s">
        <v>92</v>
      </c>
      <c r="H198" s="39" t="s">
        <v>128</v>
      </c>
      <c r="J198" s="39" t="s">
        <v>431</v>
      </c>
    </row>
    <row r="199" ht="14.25" customHeight="1">
      <c r="A199" s="39" t="s">
        <v>796</v>
      </c>
      <c r="B199" s="39" t="s">
        <v>797</v>
      </c>
      <c r="C199" s="40" t="s">
        <v>616</v>
      </c>
      <c r="D199" s="39" t="s">
        <v>343</v>
      </c>
      <c r="E199" s="39" t="s">
        <v>798</v>
      </c>
      <c r="F199" s="39" t="s">
        <v>221</v>
      </c>
      <c r="G199" s="39" t="s">
        <v>115</v>
      </c>
      <c r="H199" s="39" t="s">
        <v>620</v>
      </c>
      <c r="I199" s="41"/>
      <c r="J199" s="39" t="s">
        <v>181</v>
      </c>
    </row>
    <row r="200" ht="14.25" customHeight="1">
      <c r="A200" s="39" t="s">
        <v>799</v>
      </c>
      <c r="B200" s="39" t="s">
        <v>800</v>
      </c>
      <c r="C200" s="40" t="s">
        <v>616</v>
      </c>
      <c r="D200" s="39" t="s">
        <v>150</v>
      </c>
      <c r="E200" s="39" t="s">
        <v>726</v>
      </c>
      <c r="F200" s="39" t="s">
        <v>221</v>
      </c>
      <c r="G200" s="39" t="s">
        <v>115</v>
      </c>
      <c r="H200" s="39" t="s">
        <v>620</v>
      </c>
      <c r="I200" s="41"/>
      <c r="J200" s="39" t="s">
        <v>181</v>
      </c>
    </row>
    <row r="201" ht="14.25" customHeight="1">
      <c r="A201" s="39" t="s">
        <v>801</v>
      </c>
      <c r="B201" s="39" t="s">
        <v>802</v>
      </c>
      <c r="C201" s="40" t="s">
        <v>616</v>
      </c>
      <c r="D201" s="39" t="s">
        <v>406</v>
      </c>
      <c r="F201" s="39" t="s">
        <v>803</v>
      </c>
      <c r="G201" s="39" t="s">
        <v>115</v>
      </c>
      <c r="H201" s="39" t="s">
        <v>620</v>
      </c>
      <c r="I201" s="41"/>
      <c r="J201" s="39" t="s">
        <v>181</v>
      </c>
    </row>
    <row r="202" ht="14.25" customHeight="1">
      <c r="A202" s="39" t="s">
        <v>804</v>
      </c>
      <c r="B202" s="39" t="s">
        <v>805</v>
      </c>
      <c r="C202" s="40" t="s">
        <v>616</v>
      </c>
      <c r="D202" s="39" t="s">
        <v>443</v>
      </c>
      <c r="E202" s="39" t="s">
        <v>806</v>
      </c>
      <c r="F202" s="39" t="s">
        <v>536</v>
      </c>
      <c r="G202" s="39" t="s">
        <v>115</v>
      </c>
      <c r="H202" s="39" t="s">
        <v>620</v>
      </c>
      <c r="I202" s="41"/>
      <c r="J202" s="39" t="s">
        <v>181</v>
      </c>
    </row>
    <row r="203" ht="14.25" customHeight="1">
      <c r="A203" s="39" t="s">
        <v>807</v>
      </c>
      <c r="B203" s="39" t="s">
        <v>808</v>
      </c>
      <c r="C203" s="40" t="s">
        <v>616</v>
      </c>
      <c r="D203" s="39" t="s">
        <v>426</v>
      </c>
      <c r="E203" s="39" t="s">
        <v>809</v>
      </c>
      <c r="F203" s="39" t="s">
        <v>189</v>
      </c>
      <c r="G203" s="39" t="s">
        <v>115</v>
      </c>
      <c r="H203" s="39" t="s">
        <v>620</v>
      </c>
      <c r="I203" s="41"/>
      <c r="J203" s="39" t="s">
        <v>181</v>
      </c>
    </row>
    <row r="204" ht="14.25" customHeight="1">
      <c r="A204" s="39" t="s">
        <v>810</v>
      </c>
      <c r="B204" s="39" t="s">
        <v>811</v>
      </c>
      <c r="C204" s="40" t="s">
        <v>616</v>
      </c>
      <c r="D204" s="39" t="s">
        <v>215</v>
      </c>
      <c r="E204" s="39" t="s">
        <v>137</v>
      </c>
      <c r="F204" s="39" t="s">
        <v>260</v>
      </c>
      <c r="G204" s="39" t="s">
        <v>115</v>
      </c>
      <c r="H204" s="39" t="s">
        <v>620</v>
      </c>
      <c r="I204" s="41"/>
      <c r="J204" s="39" t="s">
        <v>261</v>
      </c>
    </row>
    <row r="205" ht="14.25" customHeight="1">
      <c r="A205" s="39" t="s">
        <v>812</v>
      </c>
      <c r="B205" s="39" t="s">
        <v>813</v>
      </c>
      <c r="C205" s="40" t="s">
        <v>616</v>
      </c>
      <c r="D205" s="39" t="s">
        <v>409</v>
      </c>
      <c r="E205" s="39" t="s">
        <v>101</v>
      </c>
      <c r="F205" s="39" t="s">
        <v>627</v>
      </c>
      <c r="G205" s="39" t="s">
        <v>115</v>
      </c>
      <c r="H205" s="39" t="s">
        <v>620</v>
      </c>
      <c r="I205" s="41"/>
      <c r="J205" s="39" t="s">
        <v>261</v>
      </c>
    </row>
    <row r="206" ht="14.25" customHeight="1">
      <c r="A206" s="39" t="s">
        <v>814</v>
      </c>
      <c r="B206" s="39" t="s">
        <v>815</v>
      </c>
      <c r="C206" s="40" t="s">
        <v>616</v>
      </c>
      <c r="D206" s="39" t="s">
        <v>201</v>
      </c>
      <c r="E206" s="39" t="s">
        <v>681</v>
      </c>
      <c r="F206" s="39" t="s">
        <v>816</v>
      </c>
      <c r="G206" s="39" t="s">
        <v>115</v>
      </c>
      <c r="H206" s="39" t="s">
        <v>620</v>
      </c>
      <c r="I206" s="41"/>
      <c r="J206" s="39" t="s">
        <v>261</v>
      </c>
    </row>
    <row r="207" ht="14.25" customHeight="1">
      <c r="A207" s="39" t="s">
        <v>817</v>
      </c>
      <c r="B207" s="39" t="s">
        <v>818</v>
      </c>
      <c r="C207" s="40" t="s">
        <v>616</v>
      </c>
      <c r="D207" s="39" t="s">
        <v>125</v>
      </c>
      <c r="E207" s="39" t="s">
        <v>819</v>
      </c>
      <c r="F207" s="39" t="s">
        <v>820</v>
      </c>
      <c r="G207" s="39" t="s">
        <v>92</v>
      </c>
      <c r="H207" s="39" t="s">
        <v>620</v>
      </c>
      <c r="I207" s="41"/>
      <c r="J207" s="39" t="s">
        <v>261</v>
      </c>
    </row>
    <row r="208" ht="14.25" customHeight="1">
      <c r="A208" s="39" t="s">
        <v>821</v>
      </c>
      <c r="B208" s="39" t="s">
        <v>822</v>
      </c>
      <c r="C208" s="40" t="s">
        <v>616</v>
      </c>
      <c r="D208" s="39" t="s">
        <v>779</v>
      </c>
      <c r="E208" s="39" t="s">
        <v>484</v>
      </c>
      <c r="F208" s="39" t="s">
        <v>189</v>
      </c>
      <c r="G208" s="39" t="s">
        <v>115</v>
      </c>
      <c r="H208" s="39" t="s">
        <v>620</v>
      </c>
      <c r="I208" s="41"/>
      <c r="J208" s="39" t="s">
        <v>261</v>
      </c>
    </row>
    <row r="209" ht="14.25" customHeight="1">
      <c r="A209" s="39" t="s">
        <v>821</v>
      </c>
      <c r="B209" s="39" t="s">
        <v>822</v>
      </c>
      <c r="C209" s="40" t="s">
        <v>616</v>
      </c>
      <c r="D209" s="39" t="s">
        <v>779</v>
      </c>
      <c r="E209" s="39" t="s">
        <v>484</v>
      </c>
      <c r="F209" s="39" t="s">
        <v>189</v>
      </c>
      <c r="G209" s="39" t="s">
        <v>115</v>
      </c>
      <c r="H209" s="39" t="s">
        <v>620</v>
      </c>
      <c r="I209" s="41"/>
      <c r="J209" s="39" t="s">
        <v>261</v>
      </c>
    </row>
    <row r="210" ht="14.25" customHeight="1">
      <c r="A210" s="39" t="s">
        <v>823</v>
      </c>
      <c r="B210" s="39" t="s">
        <v>824</v>
      </c>
      <c r="C210" s="40" t="s">
        <v>616</v>
      </c>
      <c r="D210" s="39" t="s">
        <v>392</v>
      </c>
      <c r="E210" s="39" t="s">
        <v>825</v>
      </c>
      <c r="F210" s="39" t="s">
        <v>685</v>
      </c>
      <c r="G210" s="39" t="s">
        <v>115</v>
      </c>
      <c r="H210" s="39" t="s">
        <v>620</v>
      </c>
      <c r="I210" s="41"/>
      <c r="J210" s="39" t="s">
        <v>93</v>
      </c>
    </row>
    <row r="211" ht="14.25" customHeight="1">
      <c r="A211" s="39" t="s">
        <v>826</v>
      </c>
      <c r="B211" s="39" t="s">
        <v>827</v>
      </c>
      <c r="C211" s="40" t="s">
        <v>616</v>
      </c>
      <c r="D211" s="39" t="s">
        <v>409</v>
      </c>
      <c r="E211" s="39" t="s">
        <v>828</v>
      </c>
      <c r="F211" s="39" t="s">
        <v>142</v>
      </c>
      <c r="G211" s="39" t="s">
        <v>115</v>
      </c>
      <c r="H211" s="39" t="s">
        <v>620</v>
      </c>
      <c r="I211" s="41"/>
      <c r="J211" s="39" t="s">
        <v>93</v>
      </c>
    </row>
    <row r="212" ht="14.25" customHeight="1">
      <c r="A212" s="39" t="s">
        <v>829</v>
      </c>
      <c r="B212" s="39" t="s">
        <v>830</v>
      </c>
      <c r="C212" s="40" t="s">
        <v>616</v>
      </c>
      <c r="D212" s="39" t="s">
        <v>242</v>
      </c>
      <c r="E212" s="39" t="s">
        <v>296</v>
      </c>
      <c r="F212" s="39" t="s">
        <v>233</v>
      </c>
      <c r="G212" s="39" t="s">
        <v>115</v>
      </c>
      <c r="H212" s="39" t="s">
        <v>620</v>
      </c>
      <c r="I212" s="41"/>
      <c r="J212" s="39" t="s">
        <v>93</v>
      </c>
    </row>
    <row r="213" ht="14.25" customHeight="1">
      <c r="A213" s="39" t="s">
        <v>831</v>
      </c>
      <c r="B213" s="39" t="s">
        <v>832</v>
      </c>
      <c r="C213" s="40" t="s">
        <v>616</v>
      </c>
      <c r="D213" s="39" t="s">
        <v>833</v>
      </c>
      <c r="E213" s="39" t="s">
        <v>142</v>
      </c>
      <c r="F213" s="39" t="s">
        <v>385</v>
      </c>
      <c r="G213" s="39" t="s">
        <v>115</v>
      </c>
      <c r="H213" s="39" t="s">
        <v>620</v>
      </c>
      <c r="I213" s="41"/>
      <c r="J213" s="39" t="s">
        <v>93</v>
      </c>
    </row>
    <row r="214" ht="14.25" customHeight="1">
      <c r="A214" s="39" t="s">
        <v>831</v>
      </c>
      <c r="B214" s="39" t="s">
        <v>832</v>
      </c>
      <c r="C214" s="40" t="s">
        <v>616</v>
      </c>
      <c r="D214" s="39" t="s">
        <v>833</v>
      </c>
      <c r="E214" s="39" t="s">
        <v>142</v>
      </c>
      <c r="F214" s="39" t="s">
        <v>385</v>
      </c>
      <c r="G214" s="39" t="s">
        <v>115</v>
      </c>
      <c r="H214" s="39" t="s">
        <v>620</v>
      </c>
      <c r="I214" s="41"/>
      <c r="J214" s="39" t="s">
        <v>93</v>
      </c>
    </row>
    <row r="215" ht="14.25" customHeight="1">
      <c r="A215" s="39" t="s">
        <v>834</v>
      </c>
      <c r="B215" s="39" t="s">
        <v>835</v>
      </c>
      <c r="C215" s="40" t="s">
        <v>616</v>
      </c>
      <c r="D215" s="39" t="s">
        <v>708</v>
      </c>
      <c r="E215" s="39" t="s">
        <v>836</v>
      </c>
      <c r="F215" s="39" t="s">
        <v>221</v>
      </c>
      <c r="G215" s="39" t="s">
        <v>115</v>
      </c>
      <c r="H215" s="39" t="s">
        <v>620</v>
      </c>
      <c r="I215" s="41"/>
      <c r="J215" s="39" t="s">
        <v>93</v>
      </c>
    </row>
    <row r="216" ht="14.25" customHeight="1">
      <c r="A216" s="39" t="s">
        <v>837</v>
      </c>
      <c r="B216" s="39" t="s">
        <v>838</v>
      </c>
      <c r="C216" s="40" t="s">
        <v>616</v>
      </c>
      <c r="D216" s="39" t="s">
        <v>729</v>
      </c>
      <c r="E216" s="39" t="s">
        <v>839</v>
      </c>
      <c r="F216" s="39" t="s">
        <v>280</v>
      </c>
      <c r="G216" s="39" t="s">
        <v>115</v>
      </c>
      <c r="H216" s="39" t="s">
        <v>620</v>
      </c>
      <c r="I216" s="41"/>
      <c r="J216" s="39" t="s">
        <v>261</v>
      </c>
    </row>
    <row r="217" ht="14.25" customHeight="1">
      <c r="A217" s="39" t="s">
        <v>840</v>
      </c>
      <c r="B217" s="39" t="s">
        <v>841</v>
      </c>
      <c r="C217" s="40" t="s">
        <v>616</v>
      </c>
      <c r="D217" s="39" t="s">
        <v>833</v>
      </c>
      <c r="E217" s="39" t="s">
        <v>842</v>
      </c>
      <c r="F217" s="39" t="s">
        <v>843</v>
      </c>
      <c r="G217" s="39" t="s">
        <v>115</v>
      </c>
      <c r="H217" s="39" t="s">
        <v>620</v>
      </c>
      <c r="I217" s="41"/>
      <c r="J217" s="39" t="s">
        <v>261</v>
      </c>
    </row>
    <row r="218" ht="14.25" customHeight="1">
      <c r="A218" s="39" t="s">
        <v>844</v>
      </c>
      <c r="B218" s="39" t="s">
        <v>845</v>
      </c>
      <c r="C218" s="40" t="s">
        <v>616</v>
      </c>
      <c r="D218" s="39" t="s">
        <v>846</v>
      </c>
      <c r="E218" s="39" t="s">
        <v>101</v>
      </c>
      <c r="F218" s="39" t="s">
        <v>847</v>
      </c>
      <c r="G218" s="39" t="s">
        <v>115</v>
      </c>
      <c r="H218" s="39" t="s">
        <v>620</v>
      </c>
      <c r="I218" s="41"/>
      <c r="J218" s="39" t="s">
        <v>261</v>
      </c>
    </row>
    <row r="219" ht="14.25" customHeight="1">
      <c r="A219" s="39" t="s">
        <v>848</v>
      </c>
      <c r="B219" s="39" t="s">
        <v>849</v>
      </c>
      <c r="C219" s="40" t="s">
        <v>616</v>
      </c>
      <c r="D219" s="39" t="s">
        <v>109</v>
      </c>
      <c r="E219" s="39" t="s">
        <v>850</v>
      </c>
      <c r="F219" s="39" t="s">
        <v>221</v>
      </c>
      <c r="G219" s="39" t="s">
        <v>115</v>
      </c>
      <c r="H219" s="39" t="s">
        <v>620</v>
      </c>
      <c r="I219" s="41"/>
      <c r="J219" s="39" t="s">
        <v>261</v>
      </c>
    </row>
    <row r="220" ht="14.25" customHeight="1">
      <c r="A220" s="39" t="s">
        <v>851</v>
      </c>
      <c r="B220" s="39" t="s">
        <v>852</v>
      </c>
      <c r="C220" s="40" t="s">
        <v>616</v>
      </c>
      <c r="D220" s="39" t="s">
        <v>401</v>
      </c>
      <c r="E220" s="39" t="s">
        <v>853</v>
      </c>
      <c r="F220" s="39" t="s">
        <v>142</v>
      </c>
      <c r="G220" s="39" t="s">
        <v>115</v>
      </c>
      <c r="H220" s="39" t="s">
        <v>620</v>
      </c>
      <c r="I220" s="41"/>
      <c r="J220" s="39" t="s">
        <v>261</v>
      </c>
    </row>
    <row r="221" ht="14.25" customHeight="1">
      <c r="A221" s="39" t="s">
        <v>854</v>
      </c>
      <c r="B221" s="39" t="s">
        <v>855</v>
      </c>
      <c r="C221" s="40" t="s">
        <v>616</v>
      </c>
      <c r="D221" s="39" t="s">
        <v>264</v>
      </c>
      <c r="E221" s="39" t="s">
        <v>856</v>
      </c>
      <c r="F221" s="39" t="s">
        <v>857</v>
      </c>
      <c r="G221" s="39" t="s">
        <v>115</v>
      </c>
      <c r="H221" s="39" t="s">
        <v>620</v>
      </c>
      <c r="I221" s="41"/>
      <c r="J221" s="39" t="s">
        <v>507</v>
      </c>
    </row>
    <row r="222" ht="14.25" customHeight="1">
      <c r="A222" s="39" t="s">
        <v>858</v>
      </c>
      <c r="B222" s="39" t="s">
        <v>859</v>
      </c>
      <c r="C222" s="40" t="s">
        <v>616</v>
      </c>
      <c r="D222" s="39" t="s">
        <v>501</v>
      </c>
      <c r="E222" s="39" t="s">
        <v>860</v>
      </c>
      <c r="F222" s="39" t="s">
        <v>209</v>
      </c>
      <c r="G222" s="39" t="s">
        <v>92</v>
      </c>
      <c r="H222" s="39" t="s">
        <v>128</v>
      </c>
      <c r="J222" s="39" t="s">
        <v>269</v>
      </c>
    </row>
    <row r="223" ht="14.25" customHeight="1">
      <c r="A223" s="39" t="s">
        <v>861</v>
      </c>
      <c r="B223" s="39" t="s">
        <v>862</v>
      </c>
      <c r="C223" s="40" t="s">
        <v>616</v>
      </c>
      <c r="D223" s="39" t="s">
        <v>215</v>
      </c>
      <c r="E223" s="39" t="s">
        <v>863</v>
      </c>
      <c r="F223" s="39" t="s">
        <v>142</v>
      </c>
      <c r="G223" s="39" t="s">
        <v>115</v>
      </c>
      <c r="H223" s="39" t="s">
        <v>128</v>
      </c>
      <c r="J223" s="39" t="s">
        <v>269</v>
      </c>
    </row>
    <row r="224" ht="14.25" customHeight="1">
      <c r="A224" s="39" t="s">
        <v>864</v>
      </c>
      <c r="B224" s="39" t="s">
        <v>865</v>
      </c>
      <c r="C224" s="40" t="s">
        <v>616</v>
      </c>
      <c r="D224" s="39" t="s">
        <v>866</v>
      </c>
      <c r="F224" s="39" t="s">
        <v>867</v>
      </c>
      <c r="G224" s="39" t="s">
        <v>92</v>
      </c>
      <c r="H224" s="39" t="s">
        <v>620</v>
      </c>
      <c r="I224" s="41"/>
      <c r="J224" s="39" t="s">
        <v>269</v>
      </c>
    </row>
    <row r="225" ht="14.25" customHeight="1">
      <c r="A225" s="39" t="s">
        <v>868</v>
      </c>
      <c r="B225" s="39" t="s">
        <v>869</v>
      </c>
      <c r="C225" s="40" t="s">
        <v>616</v>
      </c>
      <c r="D225" s="39" t="s">
        <v>283</v>
      </c>
      <c r="E225" s="39" t="s">
        <v>870</v>
      </c>
      <c r="F225" s="39" t="s">
        <v>393</v>
      </c>
      <c r="G225" s="39" t="s">
        <v>92</v>
      </c>
      <c r="H225" s="39" t="s">
        <v>128</v>
      </c>
      <c r="J225" s="39" t="s">
        <v>269</v>
      </c>
    </row>
    <row r="226" ht="14.25" customHeight="1">
      <c r="A226" s="42" t="s">
        <v>871</v>
      </c>
      <c r="B226" s="39" t="s">
        <v>872</v>
      </c>
      <c r="C226" s="40" t="s">
        <v>616</v>
      </c>
      <c r="D226" s="39" t="s">
        <v>873</v>
      </c>
      <c r="E226" s="39" t="s">
        <v>142</v>
      </c>
      <c r="F226" s="39" t="s">
        <v>142</v>
      </c>
      <c r="G226" s="39" t="s">
        <v>115</v>
      </c>
      <c r="H226" s="39" t="s">
        <v>620</v>
      </c>
      <c r="I226" s="41"/>
      <c r="J226" s="39" t="s">
        <v>269</v>
      </c>
    </row>
    <row r="227" ht="14.25" customHeight="1">
      <c r="A227" s="39" t="s">
        <v>874</v>
      </c>
      <c r="B227" s="39" t="s">
        <v>875</v>
      </c>
      <c r="C227" s="40" t="s">
        <v>616</v>
      </c>
      <c r="D227" s="39" t="s">
        <v>529</v>
      </c>
      <c r="E227" s="39" t="s">
        <v>418</v>
      </c>
      <c r="F227" s="39" t="s">
        <v>114</v>
      </c>
      <c r="G227" s="39" t="s">
        <v>115</v>
      </c>
      <c r="H227" s="39" t="s">
        <v>620</v>
      </c>
      <c r="I227" s="41"/>
      <c r="J227" s="39" t="s">
        <v>269</v>
      </c>
    </row>
    <row r="228" ht="14.25" customHeight="1">
      <c r="A228" s="42" t="s">
        <v>871</v>
      </c>
      <c r="B228" s="39" t="s">
        <v>872</v>
      </c>
      <c r="C228" s="40" t="s">
        <v>616</v>
      </c>
      <c r="D228" s="39" t="s">
        <v>873</v>
      </c>
      <c r="E228" s="39" t="s">
        <v>142</v>
      </c>
      <c r="F228" s="39" t="s">
        <v>142</v>
      </c>
      <c r="G228" s="39" t="s">
        <v>115</v>
      </c>
      <c r="H228" s="39" t="s">
        <v>620</v>
      </c>
      <c r="I228" s="41"/>
      <c r="J228" s="39" t="s">
        <v>269</v>
      </c>
    </row>
    <row r="229" ht="14.25" customHeight="1">
      <c r="A229" s="39" t="s">
        <v>876</v>
      </c>
      <c r="B229" s="39" t="s">
        <v>877</v>
      </c>
      <c r="C229" s="40" t="s">
        <v>616</v>
      </c>
      <c r="D229" s="39" t="s">
        <v>878</v>
      </c>
      <c r="E229" s="39" t="s">
        <v>101</v>
      </c>
      <c r="F229" s="39" t="s">
        <v>879</v>
      </c>
      <c r="G229" s="39" t="s">
        <v>92</v>
      </c>
      <c r="H229" s="39" t="s">
        <v>128</v>
      </c>
      <c r="J229" s="39" t="s">
        <v>880</v>
      </c>
      <c r="K229" s="39"/>
      <c r="L229" s="39"/>
      <c r="M229" s="41"/>
      <c r="N229" s="41"/>
      <c r="O229" s="39"/>
      <c r="P229" s="39"/>
      <c r="Q229" s="41"/>
      <c r="R229" s="41"/>
      <c r="S229" s="41"/>
      <c r="T229" s="41"/>
      <c r="U229" s="41"/>
      <c r="V229" s="41"/>
      <c r="W229" s="41"/>
      <c r="X229" s="41"/>
    </row>
    <row r="230" ht="14.25" customHeight="1">
      <c r="A230" s="39" t="s">
        <v>881</v>
      </c>
      <c r="B230" s="39" t="s">
        <v>882</v>
      </c>
      <c r="C230" s="40" t="s">
        <v>616</v>
      </c>
      <c r="D230" s="39" t="s">
        <v>422</v>
      </c>
      <c r="E230" s="39" t="s">
        <v>101</v>
      </c>
      <c r="F230" s="39" t="s">
        <v>110</v>
      </c>
      <c r="G230" s="39" t="s">
        <v>92</v>
      </c>
      <c r="H230" s="39" t="s">
        <v>128</v>
      </c>
      <c r="J230" s="39" t="s">
        <v>269</v>
      </c>
      <c r="K230" s="39"/>
      <c r="L230" s="39"/>
      <c r="M230" s="41"/>
      <c r="N230" s="41"/>
      <c r="O230" s="39"/>
      <c r="P230" s="39"/>
      <c r="Q230" s="41"/>
      <c r="R230" s="41"/>
      <c r="S230" s="41"/>
      <c r="T230" s="41"/>
      <c r="U230" s="41"/>
      <c r="V230" s="41"/>
      <c r="W230" s="41"/>
      <c r="X230" s="41"/>
    </row>
    <row r="231" ht="14.25" customHeight="1">
      <c r="A231" s="39" t="s">
        <v>883</v>
      </c>
      <c r="B231" s="39" t="s">
        <v>884</v>
      </c>
      <c r="C231" s="40" t="s">
        <v>616</v>
      </c>
      <c r="D231" s="39" t="s">
        <v>885</v>
      </c>
      <c r="F231" s="39" t="s">
        <v>523</v>
      </c>
      <c r="G231" s="39" t="s">
        <v>92</v>
      </c>
      <c r="H231" s="39" t="s">
        <v>128</v>
      </c>
      <c r="J231" s="39" t="s">
        <v>507</v>
      </c>
      <c r="K231" s="39"/>
      <c r="L231" s="39"/>
      <c r="M231" s="41"/>
      <c r="N231" s="41"/>
      <c r="O231" s="39"/>
      <c r="P231" s="39"/>
      <c r="Q231" s="41"/>
      <c r="R231" s="41"/>
      <c r="S231" s="41"/>
      <c r="T231" s="41"/>
      <c r="U231" s="41"/>
      <c r="V231" s="41"/>
      <c r="W231" s="41"/>
      <c r="X231" s="41"/>
    </row>
    <row r="232" ht="14.25" customHeight="1">
      <c r="A232" s="39" t="s">
        <v>886</v>
      </c>
      <c r="B232" s="39" t="s">
        <v>887</v>
      </c>
      <c r="C232" s="40" t="s">
        <v>616</v>
      </c>
      <c r="D232" s="39" t="s">
        <v>413</v>
      </c>
      <c r="E232" s="39" t="s">
        <v>888</v>
      </c>
      <c r="F232" s="39" t="s">
        <v>217</v>
      </c>
      <c r="G232" s="39" t="s">
        <v>92</v>
      </c>
      <c r="H232" s="39" t="s">
        <v>128</v>
      </c>
      <c r="J232" s="39" t="s">
        <v>507</v>
      </c>
      <c r="K232" s="39"/>
      <c r="L232" s="39"/>
      <c r="M232" s="41"/>
      <c r="N232" s="41"/>
      <c r="O232" s="39"/>
      <c r="P232" s="39"/>
      <c r="Q232" s="41"/>
      <c r="R232" s="41"/>
      <c r="S232" s="41"/>
      <c r="T232" s="41"/>
      <c r="U232" s="41"/>
      <c r="V232" s="41"/>
      <c r="W232" s="41"/>
      <c r="X232" s="41"/>
    </row>
    <row r="233" ht="14.25" customHeight="1">
      <c r="A233" s="39" t="s">
        <v>889</v>
      </c>
      <c r="B233" s="39" t="s">
        <v>890</v>
      </c>
      <c r="C233" s="40" t="s">
        <v>891</v>
      </c>
      <c r="D233" s="39" t="s">
        <v>892</v>
      </c>
      <c r="E233" s="39" t="s">
        <v>514</v>
      </c>
      <c r="F233" s="39" t="s">
        <v>102</v>
      </c>
      <c r="G233" s="39" t="s">
        <v>115</v>
      </c>
      <c r="H233" s="39" t="s">
        <v>620</v>
      </c>
      <c r="I233" s="41"/>
      <c r="J233" s="39" t="s">
        <v>181</v>
      </c>
      <c r="K233" s="39"/>
      <c r="L233" s="39"/>
      <c r="M233" s="41"/>
      <c r="N233" s="41"/>
    </row>
    <row r="234" ht="14.25" customHeight="1">
      <c r="A234" s="39" t="s">
        <v>893</v>
      </c>
      <c r="B234" s="39" t="s">
        <v>894</v>
      </c>
      <c r="C234" s="40" t="s">
        <v>891</v>
      </c>
      <c r="D234" s="39" t="s">
        <v>895</v>
      </c>
      <c r="E234" s="39" t="s">
        <v>300</v>
      </c>
      <c r="F234" s="39" t="s">
        <v>260</v>
      </c>
      <c r="G234" s="39" t="s">
        <v>115</v>
      </c>
      <c r="H234" s="39" t="s">
        <v>620</v>
      </c>
      <c r="I234" s="41"/>
      <c r="J234" s="39" t="s">
        <v>269</v>
      </c>
      <c r="K234" s="39"/>
      <c r="L234" s="39"/>
      <c r="M234" s="41"/>
      <c r="N234" s="41"/>
    </row>
    <row r="235" ht="14.25" customHeight="1">
      <c r="A235" s="39" t="s">
        <v>896</v>
      </c>
      <c r="B235" s="39" t="s">
        <v>897</v>
      </c>
      <c r="C235" s="40" t="s">
        <v>891</v>
      </c>
      <c r="D235" s="39" t="s">
        <v>898</v>
      </c>
      <c r="F235" s="39" t="s">
        <v>209</v>
      </c>
      <c r="G235" s="39" t="s">
        <v>92</v>
      </c>
      <c r="H235" s="39" t="s">
        <v>620</v>
      </c>
      <c r="I235" s="41"/>
      <c r="J235" s="39" t="s">
        <v>261</v>
      </c>
      <c r="K235" s="39"/>
      <c r="L235" s="39"/>
      <c r="M235" s="41"/>
      <c r="N235" s="41"/>
    </row>
    <row r="236" ht="14.25" customHeight="1">
      <c r="A236" s="39" t="s">
        <v>899</v>
      </c>
      <c r="B236" s="39" t="s">
        <v>900</v>
      </c>
      <c r="C236" s="40" t="s">
        <v>891</v>
      </c>
      <c r="D236" s="39" t="s">
        <v>901</v>
      </c>
      <c r="E236" s="39" t="s">
        <v>162</v>
      </c>
      <c r="F236" s="39" t="s">
        <v>260</v>
      </c>
      <c r="G236" s="39" t="s">
        <v>92</v>
      </c>
      <c r="H236" s="39" t="s">
        <v>620</v>
      </c>
      <c r="I236" s="41"/>
      <c r="J236" s="39" t="s">
        <v>507</v>
      </c>
      <c r="K236" s="39"/>
      <c r="L236" s="39"/>
      <c r="M236" s="41"/>
      <c r="N236" s="41"/>
    </row>
    <row r="237" ht="14.25" customHeight="1">
      <c r="A237" s="39" t="s">
        <v>902</v>
      </c>
      <c r="B237" s="39" t="s">
        <v>903</v>
      </c>
      <c r="C237" s="40" t="s">
        <v>891</v>
      </c>
      <c r="D237" s="39" t="s">
        <v>904</v>
      </c>
      <c r="F237" s="39" t="s">
        <v>562</v>
      </c>
      <c r="G237" s="39" t="s">
        <v>92</v>
      </c>
      <c r="H237" s="39" t="s">
        <v>128</v>
      </c>
      <c r="J237" s="39" t="s">
        <v>269</v>
      </c>
      <c r="K237" s="39"/>
      <c r="L237" s="39"/>
      <c r="M237" s="41"/>
      <c r="N237" s="41"/>
    </row>
    <row r="238" ht="14.25" customHeight="1">
      <c r="A238" s="39" t="s">
        <v>905</v>
      </c>
      <c r="B238" s="39" t="s">
        <v>906</v>
      </c>
      <c r="C238" s="40" t="s">
        <v>891</v>
      </c>
      <c r="D238" s="39" t="s">
        <v>907</v>
      </c>
      <c r="E238" s="39" t="s">
        <v>101</v>
      </c>
      <c r="F238" s="39" t="s">
        <v>908</v>
      </c>
      <c r="G238" s="39" t="s">
        <v>115</v>
      </c>
      <c r="H238" s="39" t="s">
        <v>620</v>
      </c>
      <c r="I238" s="41"/>
      <c r="J238" s="39" t="s">
        <v>431</v>
      </c>
      <c r="K238" s="39"/>
      <c r="L238" s="39"/>
      <c r="M238" s="41"/>
      <c r="N238" s="41"/>
    </row>
    <row r="239" ht="14.25" customHeight="1">
      <c r="A239" s="39" t="s">
        <v>909</v>
      </c>
      <c r="B239" s="39" t="s">
        <v>910</v>
      </c>
      <c r="C239" s="40" t="s">
        <v>891</v>
      </c>
      <c r="D239" s="39" t="s">
        <v>907</v>
      </c>
      <c r="F239" s="39" t="s">
        <v>102</v>
      </c>
      <c r="G239" s="39" t="s">
        <v>115</v>
      </c>
      <c r="H239" s="39" t="s">
        <v>128</v>
      </c>
      <c r="J239" s="39" t="s">
        <v>181</v>
      </c>
      <c r="K239" s="39"/>
      <c r="L239" s="39"/>
      <c r="M239" s="41"/>
      <c r="N239" s="41"/>
    </row>
    <row r="240" ht="14.25" customHeight="1">
      <c r="A240" s="39" t="s">
        <v>911</v>
      </c>
      <c r="B240" s="39" t="s">
        <v>912</v>
      </c>
      <c r="C240" s="40" t="s">
        <v>891</v>
      </c>
      <c r="D240" s="39" t="s">
        <v>895</v>
      </c>
      <c r="E240" s="39" t="s">
        <v>126</v>
      </c>
      <c r="F240" s="39" t="s">
        <v>260</v>
      </c>
      <c r="G240" s="39" t="s">
        <v>92</v>
      </c>
      <c r="H240" s="39" t="s">
        <v>128</v>
      </c>
      <c r="J240" s="39" t="s">
        <v>347</v>
      </c>
      <c r="K240" s="39"/>
      <c r="L240" s="39"/>
      <c r="M240" s="41"/>
      <c r="N240" s="41"/>
    </row>
    <row r="241" ht="14.25" customHeight="1">
      <c r="A241" s="39" t="s">
        <v>913</v>
      </c>
      <c r="B241" s="39" t="s">
        <v>914</v>
      </c>
      <c r="C241" s="40" t="s">
        <v>891</v>
      </c>
      <c r="D241" s="39" t="s">
        <v>907</v>
      </c>
      <c r="E241" s="39" t="s">
        <v>126</v>
      </c>
      <c r="F241" s="39" t="s">
        <v>523</v>
      </c>
      <c r="G241" s="39" t="s">
        <v>115</v>
      </c>
      <c r="H241" s="39" t="s">
        <v>620</v>
      </c>
      <c r="I241" s="41"/>
      <c r="J241" s="39" t="s">
        <v>93</v>
      </c>
      <c r="K241" s="39"/>
      <c r="L241" s="39"/>
      <c r="M241" s="41"/>
      <c r="N241" s="41"/>
    </row>
    <row r="242" ht="14.25" customHeight="1">
      <c r="A242" s="39" t="s">
        <v>915</v>
      </c>
      <c r="B242" s="39" t="s">
        <v>916</v>
      </c>
      <c r="C242" s="40" t="s">
        <v>891</v>
      </c>
      <c r="D242" s="39" t="s">
        <v>917</v>
      </c>
      <c r="F242" s="39" t="s">
        <v>260</v>
      </c>
      <c r="G242" s="39" t="s">
        <v>92</v>
      </c>
      <c r="H242" s="39" t="s">
        <v>128</v>
      </c>
      <c r="J242" s="39" t="s">
        <v>507</v>
      </c>
      <c r="K242" s="39"/>
      <c r="L242" s="39"/>
      <c r="M242" s="41"/>
      <c r="N242" s="41"/>
    </row>
    <row r="243" ht="14.25" customHeight="1">
      <c r="A243" s="39" t="s">
        <v>918</v>
      </c>
      <c r="B243" s="39" t="s">
        <v>919</v>
      </c>
      <c r="C243" s="40" t="s">
        <v>891</v>
      </c>
      <c r="D243" s="39" t="s">
        <v>907</v>
      </c>
      <c r="F243" s="39" t="s">
        <v>920</v>
      </c>
      <c r="G243" s="39" t="s">
        <v>92</v>
      </c>
      <c r="H243" s="39" t="s">
        <v>128</v>
      </c>
      <c r="J243" s="39" t="s">
        <v>261</v>
      </c>
      <c r="K243" s="39"/>
      <c r="L243" s="39"/>
      <c r="M243" s="41"/>
      <c r="N243" s="41"/>
    </row>
    <row r="244" ht="14.25" customHeight="1">
      <c r="A244" s="39" t="s">
        <v>921</v>
      </c>
      <c r="B244" s="39" t="s">
        <v>922</v>
      </c>
      <c r="C244" s="40" t="s">
        <v>891</v>
      </c>
      <c r="D244" s="39" t="s">
        <v>898</v>
      </c>
      <c r="F244" s="39" t="s">
        <v>923</v>
      </c>
      <c r="G244" s="39" t="s">
        <v>92</v>
      </c>
      <c r="H244" s="39" t="s">
        <v>620</v>
      </c>
      <c r="I244" s="41"/>
      <c r="J244" s="39" t="s">
        <v>93</v>
      </c>
      <c r="K244" s="39"/>
      <c r="L244" s="39"/>
      <c r="M244" s="41"/>
      <c r="N244" s="41"/>
    </row>
    <row r="245" ht="14.25" customHeight="1">
      <c r="A245" s="39" t="s">
        <v>924</v>
      </c>
      <c r="B245" s="39" t="s">
        <v>925</v>
      </c>
      <c r="C245" s="40" t="s">
        <v>891</v>
      </c>
      <c r="D245" s="39" t="s">
        <v>907</v>
      </c>
      <c r="F245" s="39" t="s">
        <v>127</v>
      </c>
      <c r="G245" s="39" t="s">
        <v>92</v>
      </c>
      <c r="H245" s="39" t="s">
        <v>128</v>
      </c>
      <c r="J245" s="39" t="s">
        <v>93</v>
      </c>
      <c r="K245" s="39"/>
      <c r="L245" s="39"/>
      <c r="M245" s="41"/>
      <c r="N245" s="41"/>
    </row>
    <row r="246" ht="14.25" customHeight="1">
      <c r="A246" s="39" t="s">
        <v>926</v>
      </c>
      <c r="B246" s="39" t="s">
        <v>927</v>
      </c>
      <c r="C246" s="40" t="s">
        <v>891</v>
      </c>
      <c r="D246" s="39" t="s">
        <v>917</v>
      </c>
      <c r="E246" s="39" t="s">
        <v>162</v>
      </c>
      <c r="F246" s="39" t="s">
        <v>127</v>
      </c>
      <c r="G246" s="39" t="s">
        <v>92</v>
      </c>
      <c r="H246" s="39" t="s">
        <v>620</v>
      </c>
      <c r="I246" s="41"/>
      <c r="J246" s="39" t="s">
        <v>93</v>
      </c>
      <c r="K246" s="39"/>
      <c r="L246" s="39"/>
      <c r="M246" s="41"/>
      <c r="N246" s="41"/>
    </row>
    <row r="247" ht="14.25" customHeight="1">
      <c r="C247" s="38"/>
    </row>
    <row r="248" ht="14.25" customHeight="1">
      <c r="C248" s="38"/>
    </row>
    <row r="249" ht="14.25" customHeight="1">
      <c r="C249" s="38"/>
      <c r="D249" s="37" t="s">
        <v>274</v>
      </c>
      <c r="E249" s="37" t="s">
        <v>275</v>
      </c>
      <c r="F249" s="38" t="s">
        <v>88</v>
      </c>
      <c r="G249" s="37" t="s">
        <v>276</v>
      </c>
      <c r="I249" s="37" t="s">
        <v>110</v>
      </c>
      <c r="J249" s="37" t="s">
        <v>92</v>
      </c>
      <c r="K249" s="37" t="s">
        <v>612</v>
      </c>
    </row>
    <row r="250" ht="14.25" customHeight="1">
      <c r="C250" s="38"/>
      <c r="D250" s="37" t="s">
        <v>274</v>
      </c>
      <c r="E250" s="37" t="s">
        <v>275</v>
      </c>
      <c r="F250" s="38" t="s">
        <v>88</v>
      </c>
      <c r="G250" s="37" t="s">
        <v>276</v>
      </c>
      <c r="I250" s="37" t="s">
        <v>110</v>
      </c>
      <c r="J250" s="37" t="s">
        <v>92</v>
      </c>
      <c r="K250" s="37" t="s">
        <v>612</v>
      </c>
    </row>
    <row r="251" ht="14.25" customHeight="1">
      <c r="C251" s="38"/>
      <c r="D251" s="37" t="s">
        <v>546</v>
      </c>
      <c r="E251" s="37" t="s">
        <v>547</v>
      </c>
      <c r="F251" s="38" t="s">
        <v>88</v>
      </c>
      <c r="G251" s="37" t="s">
        <v>109</v>
      </c>
      <c r="H251" s="37" t="s">
        <v>548</v>
      </c>
      <c r="I251" s="37" t="s">
        <v>209</v>
      </c>
      <c r="J251" s="37" t="s">
        <v>115</v>
      </c>
      <c r="K251" s="37" t="s">
        <v>612</v>
      </c>
      <c r="L251" s="37" t="s">
        <v>613</v>
      </c>
    </row>
    <row r="252" ht="14.25" customHeight="1">
      <c r="C252" s="38"/>
      <c r="D252" s="37" t="s">
        <v>546</v>
      </c>
      <c r="E252" s="37" t="s">
        <v>547</v>
      </c>
      <c r="F252" s="38" t="s">
        <v>88</v>
      </c>
      <c r="G252" s="37" t="s">
        <v>109</v>
      </c>
      <c r="H252" s="37" t="s">
        <v>548</v>
      </c>
      <c r="I252" s="37" t="s">
        <v>209</v>
      </c>
      <c r="J252" s="37" t="s">
        <v>115</v>
      </c>
      <c r="K252" s="37" t="s">
        <v>612</v>
      </c>
      <c r="L252" s="37" t="s">
        <v>613</v>
      </c>
    </row>
    <row r="253" ht="14.25" customHeight="1">
      <c r="C253" s="38"/>
      <c r="F253" s="38"/>
    </row>
    <row r="254" ht="14.25" customHeight="1">
      <c r="C254" s="38"/>
      <c r="F254" s="38"/>
    </row>
    <row r="255" ht="14.25" customHeight="1">
      <c r="A255" s="39"/>
      <c r="B255" s="39"/>
      <c r="C255" s="38"/>
      <c r="D255" s="43" t="s">
        <v>928</v>
      </c>
      <c r="E255" s="44" t="s">
        <v>929</v>
      </c>
      <c r="F255" s="38"/>
      <c r="N255" s="26" t="s">
        <v>930</v>
      </c>
    </row>
    <row r="256" ht="14.25" customHeight="1">
      <c r="A256" s="39"/>
      <c r="B256" s="39"/>
      <c r="C256" s="38"/>
      <c r="D256" s="45" t="s">
        <v>931</v>
      </c>
      <c r="E256" s="46" t="s">
        <v>932</v>
      </c>
      <c r="F256" s="38"/>
      <c r="N256" s="26" t="s">
        <v>930</v>
      </c>
    </row>
    <row r="257" ht="14.25" customHeight="1">
      <c r="A257" s="39"/>
      <c r="B257" s="39"/>
      <c r="C257" s="38"/>
      <c r="D257" s="45" t="s">
        <v>933</v>
      </c>
      <c r="E257" s="46" t="s">
        <v>934</v>
      </c>
      <c r="F257" s="38"/>
      <c r="N257" s="26" t="s">
        <v>930</v>
      </c>
    </row>
    <row r="258" ht="14.25" customHeight="1">
      <c r="A258" s="39"/>
      <c r="B258" s="39"/>
      <c r="C258" s="38"/>
      <c r="D258" s="45" t="s">
        <v>935</v>
      </c>
      <c r="E258" s="46" t="s">
        <v>936</v>
      </c>
      <c r="F258" s="38"/>
      <c r="N258" s="26" t="s">
        <v>930</v>
      </c>
    </row>
    <row r="259" ht="14.25" customHeight="1">
      <c r="A259" s="39"/>
      <c r="B259" s="39"/>
      <c r="C259" s="38"/>
      <c r="D259" s="45" t="s">
        <v>937</v>
      </c>
      <c r="E259" s="46" t="s">
        <v>938</v>
      </c>
      <c r="F259" s="38"/>
      <c r="N259" s="26" t="s">
        <v>930</v>
      </c>
    </row>
    <row r="260" ht="14.25" customHeight="1">
      <c r="B260" s="47"/>
      <c r="C260" s="38"/>
      <c r="D260" s="48"/>
      <c r="E260" s="49" t="s">
        <v>939</v>
      </c>
      <c r="F260" s="38"/>
      <c r="N260" s="26" t="s">
        <v>930</v>
      </c>
    </row>
    <row r="261" ht="14.25" customHeight="1">
      <c r="B261" s="26"/>
      <c r="C261" s="38"/>
      <c r="D261" s="50"/>
      <c r="E261" s="51" t="s">
        <v>940</v>
      </c>
      <c r="F261" s="38"/>
      <c r="N261" s="26" t="s">
        <v>930</v>
      </c>
    </row>
    <row r="262" ht="14.25" customHeight="1">
      <c r="C262" s="38"/>
    </row>
    <row r="263" ht="14.25" customHeight="1">
      <c r="C263" s="38"/>
    </row>
    <row r="264" ht="14.25" customHeight="1">
      <c r="C264" s="38"/>
    </row>
    <row r="265" ht="14.25" customHeight="1">
      <c r="C265" s="38"/>
    </row>
    <row r="266" ht="14.25" customHeight="1">
      <c r="C266" s="38"/>
    </row>
    <row r="267" ht="14.25" customHeight="1">
      <c r="C267" s="38"/>
    </row>
    <row r="268" ht="14.25" customHeight="1">
      <c r="C268" s="38"/>
    </row>
    <row r="269" ht="14.25" customHeight="1">
      <c r="C269" s="38"/>
    </row>
    <row r="270" ht="14.25" customHeight="1">
      <c r="C270" s="38"/>
    </row>
    <row r="271" ht="14.25" customHeight="1">
      <c r="C271" s="38"/>
    </row>
    <row r="272" ht="14.25" customHeight="1">
      <c r="C272" s="38"/>
    </row>
    <row r="273" ht="14.25" customHeight="1">
      <c r="C273" s="38"/>
    </row>
    <row r="274" ht="14.25" customHeight="1">
      <c r="C274" s="38"/>
    </row>
    <row r="275" ht="14.25" customHeight="1">
      <c r="C275" s="38"/>
    </row>
    <row r="276" ht="14.25" customHeight="1">
      <c r="C276" s="38"/>
    </row>
    <row r="277" ht="14.25" customHeight="1">
      <c r="C277" s="38"/>
    </row>
    <row r="278" ht="14.25" customHeight="1">
      <c r="C278" s="38"/>
    </row>
    <row r="279" ht="14.25" customHeight="1">
      <c r="C279" s="38"/>
    </row>
    <row r="280" ht="14.25" customHeight="1">
      <c r="C280" s="38"/>
    </row>
    <row r="281" ht="14.25" customHeight="1">
      <c r="C281" s="38"/>
    </row>
    <row r="282" ht="14.25" customHeight="1">
      <c r="C282" s="38"/>
    </row>
    <row r="283" ht="14.25" customHeight="1">
      <c r="C283" s="38"/>
    </row>
    <row r="284" ht="14.25" customHeight="1">
      <c r="C284" s="38"/>
    </row>
    <row r="285" ht="14.25" customHeight="1">
      <c r="C285" s="38"/>
    </row>
    <row r="286" ht="14.25" customHeight="1">
      <c r="C286" s="38"/>
    </row>
    <row r="287" ht="14.25" customHeight="1">
      <c r="C287" s="38"/>
    </row>
    <row r="288" ht="14.25" customHeight="1">
      <c r="C288" s="38"/>
    </row>
    <row r="289" ht="14.25" customHeight="1">
      <c r="C289" s="38"/>
    </row>
    <row r="290" ht="14.25" customHeight="1">
      <c r="C290" s="38"/>
    </row>
    <row r="291" ht="14.25" customHeight="1">
      <c r="C291" s="38"/>
    </row>
    <row r="292" ht="14.25" customHeight="1">
      <c r="C292" s="38"/>
    </row>
    <row r="293" ht="14.25" customHeight="1">
      <c r="C293" s="38"/>
    </row>
    <row r="294" ht="14.25" customHeight="1">
      <c r="C294" s="38"/>
    </row>
    <row r="295" ht="14.25" customHeight="1">
      <c r="C295" s="38"/>
    </row>
    <row r="296" ht="14.25" customHeight="1">
      <c r="C296" s="38"/>
    </row>
    <row r="297" ht="14.25" customHeight="1">
      <c r="C297" s="38"/>
    </row>
    <row r="298" ht="14.25" customHeight="1">
      <c r="C298" s="38"/>
    </row>
    <row r="299" ht="14.25" customHeight="1">
      <c r="C299" s="38"/>
    </row>
    <row r="300" ht="14.25" customHeight="1">
      <c r="C300" s="38"/>
    </row>
    <row r="301" ht="14.25" customHeight="1">
      <c r="C301" s="38"/>
    </row>
    <row r="302" ht="14.25" customHeight="1">
      <c r="C302" s="38"/>
    </row>
    <row r="303" ht="14.25" customHeight="1">
      <c r="C303" s="38"/>
    </row>
    <row r="304" ht="14.25" customHeight="1">
      <c r="C304" s="38"/>
    </row>
    <row r="305" ht="14.25" customHeight="1">
      <c r="C305" s="38"/>
    </row>
    <row r="306" ht="14.25" customHeight="1">
      <c r="C306" s="38"/>
    </row>
    <row r="307" ht="14.25" customHeight="1">
      <c r="C307" s="38"/>
    </row>
    <row r="308" ht="14.25" customHeight="1">
      <c r="C308" s="38"/>
    </row>
    <row r="309" ht="14.25" customHeight="1">
      <c r="C309" s="38"/>
    </row>
    <row r="310" ht="14.25" customHeight="1">
      <c r="C310" s="38"/>
    </row>
    <row r="311" ht="14.25" customHeight="1">
      <c r="C311" s="38"/>
    </row>
    <row r="312" ht="14.25" customHeight="1">
      <c r="C312" s="38"/>
    </row>
    <row r="313" ht="14.25" customHeight="1">
      <c r="C313" s="38"/>
    </row>
    <row r="314" ht="14.25" customHeight="1">
      <c r="C314" s="38"/>
    </row>
    <row r="315" ht="14.25" customHeight="1">
      <c r="C315" s="38"/>
    </row>
    <row r="316" ht="14.25" customHeight="1">
      <c r="C316" s="38"/>
    </row>
    <row r="317" ht="14.25" customHeight="1">
      <c r="C317" s="38"/>
    </row>
    <row r="318" ht="14.25" customHeight="1">
      <c r="C318" s="38"/>
    </row>
    <row r="319" ht="14.25" customHeight="1">
      <c r="C319" s="38"/>
    </row>
    <row r="320" ht="14.25" customHeight="1">
      <c r="C320" s="38"/>
    </row>
    <row r="321" ht="14.25" customHeight="1">
      <c r="C321" s="38"/>
    </row>
    <row r="322" ht="14.25" customHeight="1">
      <c r="C322" s="38"/>
    </row>
    <row r="323" ht="14.25" customHeight="1">
      <c r="C323" s="38"/>
    </row>
    <row r="324" ht="14.25" customHeight="1">
      <c r="C324" s="38"/>
    </row>
    <row r="325" ht="14.25" customHeight="1">
      <c r="C325" s="38"/>
    </row>
    <row r="326" ht="14.25" customHeight="1">
      <c r="C326" s="38"/>
    </row>
    <row r="327" ht="14.25" customHeight="1">
      <c r="C327" s="38"/>
    </row>
    <row r="328" ht="14.25" customHeight="1">
      <c r="C328" s="38"/>
    </row>
    <row r="329" ht="14.25" customHeight="1">
      <c r="C329" s="38"/>
    </row>
    <row r="330" ht="14.25" customHeight="1">
      <c r="C330" s="38"/>
    </row>
    <row r="331" ht="14.25" customHeight="1">
      <c r="C331" s="38"/>
    </row>
    <row r="332" ht="14.25" customHeight="1">
      <c r="C332" s="38"/>
    </row>
    <row r="333" ht="14.25" customHeight="1">
      <c r="C333" s="38"/>
    </row>
    <row r="334" ht="14.25" customHeight="1">
      <c r="C334" s="38"/>
    </row>
    <row r="335" ht="14.25" customHeight="1">
      <c r="C335" s="38"/>
    </row>
    <row r="336" ht="14.25" customHeight="1">
      <c r="C336" s="38"/>
    </row>
    <row r="337" ht="14.25" customHeight="1">
      <c r="C337" s="38"/>
    </row>
    <row r="338" ht="14.25" customHeight="1">
      <c r="C338" s="38"/>
    </row>
    <row r="339" ht="14.25" customHeight="1">
      <c r="C339" s="38"/>
    </row>
    <row r="340" ht="14.25" customHeight="1">
      <c r="C340" s="38"/>
    </row>
    <row r="341" ht="14.25" customHeight="1">
      <c r="C341" s="38"/>
    </row>
    <row r="342" ht="14.25" customHeight="1">
      <c r="C342" s="38"/>
    </row>
    <row r="343" ht="14.25" customHeight="1">
      <c r="C343" s="38"/>
    </row>
    <row r="344" ht="14.25" customHeight="1">
      <c r="C344" s="38"/>
    </row>
    <row r="345" ht="14.25" customHeight="1">
      <c r="C345" s="38"/>
    </row>
    <row r="346" ht="14.25" customHeight="1">
      <c r="C346" s="38"/>
    </row>
    <row r="347" ht="14.25" customHeight="1">
      <c r="C347" s="38"/>
    </row>
    <row r="348" ht="14.25" customHeight="1">
      <c r="C348" s="38"/>
    </row>
    <row r="349" ht="14.25" customHeight="1">
      <c r="C349" s="38"/>
    </row>
    <row r="350" ht="14.25" customHeight="1">
      <c r="C350" s="38"/>
    </row>
    <row r="351" ht="14.25" customHeight="1">
      <c r="C351" s="38"/>
    </row>
    <row r="352" ht="14.25" customHeight="1">
      <c r="C352" s="38"/>
    </row>
    <row r="353" ht="14.25" customHeight="1">
      <c r="C353" s="38"/>
    </row>
    <row r="354" ht="14.25" customHeight="1">
      <c r="C354" s="38"/>
    </row>
    <row r="355" ht="14.25" customHeight="1">
      <c r="C355" s="38"/>
    </row>
    <row r="356" ht="14.25" customHeight="1">
      <c r="C356" s="38"/>
    </row>
    <row r="357" ht="14.25" customHeight="1">
      <c r="C357" s="38"/>
    </row>
    <row r="358" ht="14.25" customHeight="1">
      <c r="C358" s="38"/>
    </row>
    <row r="359" ht="14.25" customHeight="1">
      <c r="C359" s="38"/>
    </row>
    <row r="360" ht="14.25" customHeight="1">
      <c r="C360" s="38"/>
    </row>
    <row r="361" ht="14.25" customHeight="1">
      <c r="C361" s="38"/>
    </row>
    <row r="362" ht="14.25" customHeight="1">
      <c r="C362" s="38"/>
    </row>
    <row r="363" ht="14.25" customHeight="1">
      <c r="C363" s="38"/>
    </row>
    <row r="364" ht="14.25" customHeight="1">
      <c r="C364" s="38"/>
    </row>
    <row r="365" ht="14.25" customHeight="1">
      <c r="C365" s="38"/>
    </row>
    <row r="366" ht="14.25" customHeight="1">
      <c r="C366" s="38"/>
    </row>
    <row r="367" ht="14.25" customHeight="1">
      <c r="C367" s="38"/>
    </row>
    <row r="368" ht="14.25" customHeight="1">
      <c r="C368" s="38"/>
    </row>
    <row r="369" ht="14.25" customHeight="1">
      <c r="C369" s="38"/>
    </row>
    <row r="370" ht="14.25" customHeight="1">
      <c r="C370" s="38"/>
    </row>
    <row r="371" ht="14.25" customHeight="1">
      <c r="C371" s="38"/>
    </row>
    <row r="372" ht="14.25" customHeight="1">
      <c r="C372" s="38"/>
    </row>
    <row r="373" ht="14.25" customHeight="1">
      <c r="C373" s="38"/>
    </row>
    <row r="374" ht="14.25" customHeight="1">
      <c r="C374" s="38"/>
    </row>
    <row r="375" ht="14.25" customHeight="1">
      <c r="C375" s="38"/>
    </row>
    <row r="376" ht="14.25" customHeight="1">
      <c r="C376" s="38"/>
    </row>
    <row r="377" ht="14.25" customHeight="1">
      <c r="C377" s="38"/>
    </row>
    <row r="378" ht="14.25" customHeight="1">
      <c r="C378" s="38"/>
    </row>
    <row r="379" ht="14.25" customHeight="1">
      <c r="C379" s="38"/>
    </row>
    <row r="380" ht="14.25" customHeight="1">
      <c r="C380" s="38"/>
    </row>
    <row r="381" ht="14.25" customHeight="1">
      <c r="C381" s="38"/>
    </row>
    <row r="382" ht="14.25" customHeight="1">
      <c r="C382" s="38"/>
    </row>
    <row r="383" ht="14.25" customHeight="1">
      <c r="C383" s="38"/>
    </row>
    <row r="384" ht="14.25" customHeight="1">
      <c r="C384" s="38"/>
    </row>
    <row r="385" ht="14.25" customHeight="1">
      <c r="C385" s="38"/>
    </row>
    <row r="386" ht="14.25" customHeight="1">
      <c r="C386" s="38"/>
    </row>
    <row r="387" ht="14.25" customHeight="1">
      <c r="C387" s="38"/>
    </row>
    <row r="388" ht="14.25" customHeight="1">
      <c r="C388" s="38"/>
    </row>
    <row r="389" ht="14.25" customHeight="1">
      <c r="C389" s="38"/>
    </row>
    <row r="390" ht="14.25" customHeight="1">
      <c r="C390" s="38"/>
    </row>
    <row r="391" ht="14.25" customHeight="1">
      <c r="C391" s="38"/>
    </row>
    <row r="392" ht="14.25" customHeight="1">
      <c r="C392" s="38"/>
    </row>
    <row r="393" ht="14.25" customHeight="1">
      <c r="C393" s="38"/>
    </row>
    <row r="394" ht="14.25" customHeight="1">
      <c r="C394" s="38"/>
    </row>
    <row r="395" ht="14.25" customHeight="1">
      <c r="C395" s="38"/>
    </row>
    <row r="396" ht="14.25" customHeight="1">
      <c r="C396" s="38"/>
    </row>
    <row r="397" ht="14.25" customHeight="1">
      <c r="C397" s="38"/>
    </row>
    <row r="398" ht="14.25" customHeight="1">
      <c r="C398" s="38"/>
    </row>
    <row r="399" ht="14.25" customHeight="1">
      <c r="C399" s="38"/>
    </row>
    <row r="400" ht="14.25" customHeight="1">
      <c r="C400" s="38"/>
    </row>
    <row r="401" ht="14.25" customHeight="1">
      <c r="C401" s="38"/>
    </row>
    <row r="402" ht="14.25" customHeight="1">
      <c r="C402" s="38"/>
    </row>
    <row r="403" ht="14.25" customHeight="1">
      <c r="C403" s="38"/>
    </row>
    <row r="404" ht="14.25" customHeight="1">
      <c r="C404" s="38"/>
    </row>
    <row r="405" ht="14.25" customHeight="1">
      <c r="C405" s="38"/>
    </row>
    <row r="406" ht="14.25" customHeight="1">
      <c r="C406" s="38"/>
    </row>
    <row r="407" ht="14.25" customHeight="1">
      <c r="C407" s="38"/>
    </row>
    <row r="408" ht="14.25" customHeight="1">
      <c r="C408" s="38"/>
    </row>
    <row r="409" ht="14.25" customHeight="1">
      <c r="C409" s="38"/>
    </row>
    <row r="410" ht="14.25" customHeight="1">
      <c r="C410" s="38"/>
    </row>
    <row r="411" ht="14.25" customHeight="1">
      <c r="C411" s="38"/>
    </row>
    <row r="412" ht="14.25" customHeight="1">
      <c r="C412" s="38"/>
    </row>
    <row r="413" ht="14.25" customHeight="1">
      <c r="C413" s="38"/>
    </row>
    <row r="414" ht="14.25" customHeight="1">
      <c r="C414" s="38"/>
    </row>
    <row r="415" ht="14.25" customHeight="1">
      <c r="C415" s="38"/>
    </row>
    <row r="416" ht="14.25" customHeight="1">
      <c r="C416" s="38"/>
    </row>
    <row r="417" ht="14.25" customHeight="1">
      <c r="C417" s="38"/>
    </row>
    <row r="418" ht="14.25" customHeight="1">
      <c r="C418" s="38"/>
    </row>
    <row r="419" ht="14.25" customHeight="1">
      <c r="C419" s="38"/>
    </row>
    <row r="420" ht="14.25" customHeight="1">
      <c r="C420" s="38"/>
    </row>
    <row r="421" ht="14.25" customHeight="1">
      <c r="C421" s="38"/>
    </row>
    <row r="422" ht="14.25" customHeight="1">
      <c r="C422" s="38"/>
    </row>
    <row r="423" ht="14.25" customHeight="1">
      <c r="C423" s="38"/>
    </row>
    <row r="424" ht="14.25" customHeight="1">
      <c r="C424" s="38"/>
    </row>
    <row r="425" ht="14.25" customHeight="1">
      <c r="C425" s="38"/>
    </row>
    <row r="426" ht="14.25" customHeight="1">
      <c r="C426" s="38"/>
    </row>
    <row r="427" ht="14.25" customHeight="1">
      <c r="C427" s="38"/>
    </row>
    <row r="428" ht="14.25" customHeight="1">
      <c r="C428" s="38"/>
    </row>
    <row r="429" ht="14.25" customHeight="1">
      <c r="C429" s="38"/>
    </row>
    <row r="430" ht="14.25" customHeight="1">
      <c r="C430" s="38"/>
    </row>
    <row r="431" ht="14.25" customHeight="1">
      <c r="C431" s="38"/>
    </row>
    <row r="432" ht="14.25" customHeight="1">
      <c r="C432" s="38"/>
    </row>
    <row r="433" ht="14.25" customHeight="1">
      <c r="C433" s="38"/>
    </row>
    <row r="434" ht="14.25" customHeight="1">
      <c r="C434" s="38"/>
    </row>
    <row r="435" ht="14.25" customHeight="1">
      <c r="C435" s="38"/>
    </row>
    <row r="436" ht="14.25" customHeight="1">
      <c r="C436" s="38"/>
    </row>
    <row r="437" ht="14.25" customHeight="1">
      <c r="C437" s="38"/>
    </row>
    <row r="438" ht="14.25" customHeight="1">
      <c r="C438" s="38"/>
    </row>
    <row r="439" ht="14.25" customHeight="1">
      <c r="C439" s="38"/>
    </row>
    <row r="440" ht="14.25" customHeight="1">
      <c r="C440" s="38"/>
    </row>
    <row r="441" ht="14.25" customHeight="1">
      <c r="C441" s="38"/>
    </row>
    <row r="442" ht="14.25" customHeight="1">
      <c r="C442" s="38"/>
    </row>
    <row r="443" ht="14.25" customHeight="1">
      <c r="C443" s="38"/>
    </row>
    <row r="444" ht="14.25" customHeight="1">
      <c r="C444" s="38"/>
    </row>
    <row r="445" ht="14.25" customHeight="1">
      <c r="C445" s="38"/>
    </row>
    <row r="446" ht="14.25" customHeight="1">
      <c r="C446" s="38"/>
    </row>
    <row r="447" ht="14.25" customHeight="1">
      <c r="C447" s="38"/>
    </row>
    <row r="448" ht="14.25" customHeight="1">
      <c r="C448" s="38"/>
    </row>
    <row r="449" ht="14.25" customHeight="1">
      <c r="C449" s="38"/>
    </row>
    <row r="450" ht="14.25" customHeight="1">
      <c r="C450" s="38"/>
    </row>
    <row r="451" ht="14.25" customHeight="1">
      <c r="C451" s="38"/>
    </row>
    <row r="452" ht="14.25" customHeight="1">
      <c r="C452" s="38"/>
    </row>
    <row r="453" ht="14.25" customHeight="1">
      <c r="C453" s="38"/>
    </row>
    <row r="454" ht="14.25" customHeight="1">
      <c r="C454" s="38"/>
    </row>
    <row r="455" ht="14.25" customHeight="1">
      <c r="C455" s="38"/>
    </row>
    <row r="456" ht="14.25" customHeight="1">
      <c r="C456" s="38"/>
    </row>
    <row r="457" ht="14.25" customHeight="1">
      <c r="C457" s="38"/>
    </row>
    <row r="458" ht="14.25" customHeight="1">
      <c r="C458" s="38"/>
    </row>
    <row r="459" ht="14.25" customHeight="1">
      <c r="C459" s="38"/>
    </row>
    <row r="460" ht="14.25" customHeight="1">
      <c r="C460" s="38"/>
    </row>
    <row r="461" ht="14.25" customHeight="1">
      <c r="C461" s="38"/>
    </row>
    <row r="462" ht="14.25" customHeight="1">
      <c r="C462" s="38"/>
    </row>
    <row r="463" ht="14.25" customHeight="1">
      <c r="C463" s="38"/>
    </row>
    <row r="464" ht="14.25" customHeight="1">
      <c r="C464" s="38"/>
    </row>
    <row r="465" ht="14.25" customHeight="1">
      <c r="C465" s="38"/>
    </row>
    <row r="466" ht="14.25" customHeight="1">
      <c r="C466" s="38"/>
    </row>
    <row r="467" ht="14.25" customHeight="1">
      <c r="C467" s="38"/>
    </row>
    <row r="468" ht="14.25" customHeight="1">
      <c r="C468" s="38"/>
    </row>
    <row r="469" ht="14.25" customHeight="1">
      <c r="C469" s="38"/>
    </row>
    <row r="470" ht="14.25" customHeight="1">
      <c r="C470" s="38"/>
    </row>
    <row r="471" ht="14.25" customHeight="1">
      <c r="C471" s="38"/>
    </row>
    <row r="472" ht="14.25" customHeight="1">
      <c r="C472" s="38"/>
    </row>
    <row r="473" ht="14.25" customHeight="1">
      <c r="C473" s="38"/>
    </row>
    <row r="474" ht="14.25" customHeight="1">
      <c r="C474" s="38"/>
    </row>
    <row r="475" ht="14.25" customHeight="1">
      <c r="C475" s="38"/>
    </row>
    <row r="476" ht="14.25" customHeight="1">
      <c r="C476" s="38"/>
    </row>
    <row r="477" ht="14.25" customHeight="1">
      <c r="C477" s="38"/>
    </row>
    <row r="478" ht="14.25" customHeight="1">
      <c r="C478" s="38"/>
    </row>
    <row r="479" ht="14.25" customHeight="1">
      <c r="C479" s="38"/>
    </row>
    <row r="480" ht="14.25" customHeight="1">
      <c r="C480" s="38"/>
    </row>
    <row r="481" ht="14.25" customHeight="1">
      <c r="C481" s="38"/>
    </row>
    <row r="482" ht="14.25" customHeight="1">
      <c r="C482" s="38"/>
    </row>
    <row r="483" ht="14.25" customHeight="1">
      <c r="C483" s="38"/>
    </row>
    <row r="484" ht="14.25" customHeight="1">
      <c r="C484" s="38"/>
    </row>
    <row r="485" ht="14.25" customHeight="1">
      <c r="C485" s="38"/>
    </row>
    <row r="486" ht="14.25" customHeight="1">
      <c r="C486" s="38"/>
    </row>
    <row r="487" ht="14.25" customHeight="1">
      <c r="C487" s="38"/>
    </row>
    <row r="488" ht="14.25" customHeight="1">
      <c r="C488" s="38"/>
    </row>
    <row r="489" ht="14.25" customHeight="1">
      <c r="C489" s="38"/>
    </row>
    <row r="490" ht="14.25" customHeight="1">
      <c r="C490" s="38"/>
    </row>
    <row r="491" ht="14.25" customHeight="1">
      <c r="C491" s="38"/>
    </row>
    <row r="492" ht="14.25" customHeight="1">
      <c r="C492" s="38"/>
    </row>
    <row r="493" ht="14.25" customHeight="1">
      <c r="C493" s="38"/>
    </row>
    <row r="494" ht="14.25" customHeight="1">
      <c r="C494" s="38"/>
    </row>
    <row r="495" ht="14.25" customHeight="1">
      <c r="C495" s="38"/>
    </row>
    <row r="496" ht="14.25" customHeight="1">
      <c r="C496" s="38"/>
    </row>
    <row r="497" ht="14.25" customHeight="1">
      <c r="C497" s="38"/>
    </row>
    <row r="498" ht="14.25" customHeight="1">
      <c r="C498" s="38"/>
    </row>
    <row r="499" ht="14.25" customHeight="1">
      <c r="C499" s="38"/>
    </row>
    <row r="500" ht="14.25" customHeight="1">
      <c r="C500" s="38"/>
    </row>
    <row r="501" ht="14.25" customHeight="1">
      <c r="C501" s="38"/>
    </row>
    <row r="502" ht="14.25" customHeight="1">
      <c r="C502" s="38"/>
    </row>
    <row r="503" ht="14.25" customHeight="1">
      <c r="C503" s="38"/>
    </row>
    <row r="504" ht="14.25" customHeight="1">
      <c r="C504" s="38"/>
    </row>
    <row r="505" ht="14.25" customHeight="1">
      <c r="C505" s="38"/>
    </row>
    <row r="506" ht="14.25" customHeight="1">
      <c r="C506" s="38"/>
    </row>
    <row r="507" ht="14.25" customHeight="1">
      <c r="C507" s="38"/>
    </row>
    <row r="508" ht="14.25" customHeight="1">
      <c r="C508" s="38"/>
    </row>
    <row r="509" ht="14.25" customHeight="1">
      <c r="C509" s="38"/>
    </row>
    <row r="510" ht="14.25" customHeight="1">
      <c r="C510" s="38"/>
    </row>
    <row r="511" ht="14.25" customHeight="1">
      <c r="C511" s="38"/>
    </row>
    <row r="512" ht="14.25" customHeight="1">
      <c r="C512" s="38"/>
    </row>
    <row r="513" ht="14.25" customHeight="1">
      <c r="C513" s="38"/>
    </row>
    <row r="514" ht="14.25" customHeight="1">
      <c r="C514" s="38"/>
    </row>
    <row r="515" ht="14.25" customHeight="1">
      <c r="C515" s="38"/>
    </row>
    <row r="516" ht="14.25" customHeight="1">
      <c r="C516" s="38"/>
    </row>
    <row r="517" ht="14.25" customHeight="1">
      <c r="C517" s="38"/>
    </row>
    <row r="518" ht="14.25" customHeight="1">
      <c r="C518" s="38"/>
    </row>
    <row r="519" ht="14.25" customHeight="1">
      <c r="C519" s="38"/>
    </row>
    <row r="520" ht="14.25" customHeight="1">
      <c r="C520" s="38"/>
    </row>
    <row r="521" ht="14.25" customHeight="1">
      <c r="C521" s="38"/>
    </row>
    <row r="522" ht="14.25" customHeight="1">
      <c r="C522" s="38"/>
    </row>
    <row r="523" ht="14.25" customHeight="1">
      <c r="C523" s="38"/>
    </row>
    <row r="524" ht="14.25" customHeight="1">
      <c r="C524" s="38"/>
    </row>
    <row r="525" ht="14.25" customHeight="1">
      <c r="C525" s="38"/>
    </row>
    <row r="526" ht="14.25" customHeight="1">
      <c r="C526" s="38"/>
    </row>
    <row r="527" ht="14.25" customHeight="1">
      <c r="C527" s="38"/>
    </row>
    <row r="528" ht="14.25" customHeight="1">
      <c r="C528" s="38"/>
    </row>
    <row r="529" ht="14.25" customHeight="1">
      <c r="C529" s="38"/>
    </row>
    <row r="530" ht="14.25" customHeight="1">
      <c r="C530" s="38"/>
    </row>
    <row r="531" ht="14.25" customHeight="1">
      <c r="C531" s="38"/>
    </row>
    <row r="532" ht="14.25" customHeight="1">
      <c r="C532" s="38"/>
    </row>
    <row r="533" ht="14.25" customHeight="1">
      <c r="C533" s="38"/>
    </row>
    <row r="534" ht="14.25" customHeight="1">
      <c r="C534" s="38"/>
    </row>
    <row r="535" ht="14.25" customHeight="1">
      <c r="C535" s="38"/>
    </row>
    <row r="536" ht="14.25" customHeight="1">
      <c r="C536" s="38"/>
    </row>
    <row r="537" ht="14.25" customHeight="1">
      <c r="C537" s="38"/>
    </row>
    <row r="538" ht="14.25" customHeight="1">
      <c r="C538" s="38"/>
    </row>
    <row r="539" ht="14.25" customHeight="1">
      <c r="C539" s="38"/>
    </row>
    <row r="540" ht="14.25" customHeight="1">
      <c r="C540" s="38"/>
    </row>
    <row r="541" ht="14.25" customHeight="1">
      <c r="C541" s="38"/>
    </row>
    <row r="542" ht="14.25" customHeight="1">
      <c r="C542" s="38"/>
    </row>
    <row r="543" ht="14.25" customHeight="1">
      <c r="C543" s="38"/>
    </row>
    <row r="544" ht="14.25" customHeight="1">
      <c r="C544" s="38"/>
    </row>
    <row r="545" ht="14.25" customHeight="1">
      <c r="C545" s="38"/>
    </row>
    <row r="546" ht="14.25" customHeight="1">
      <c r="C546" s="38"/>
    </row>
    <row r="547" ht="14.25" customHeight="1">
      <c r="C547" s="38"/>
    </row>
    <row r="548" ht="14.25" customHeight="1">
      <c r="C548" s="38"/>
    </row>
    <row r="549" ht="14.25" customHeight="1">
      <c r="C549" s="38"/>
    </row>
    <row r="550" ht="14.25" customHeight="1">
      <c r="C550" s="38"/>
    </row>
    <row r="551" ht="14.25" customHeight="1">
      <c r="C551" s="38"/>
    </row>
    <row r="552" ht="14.25" customHeight="1">
      <c r="C552" s="38"/>
    </row>
    <row r="553" ht="14.25" customHeight="1">
      <c r="C553" s="38"/>
    </row>
    <row r="554" ht="14.25" customHeight="1">
      <c r="C554" s="38"/>
    </row>
    <row r="555" ht="14.25" customHeight="1">
      <c r="C555" s="38"/>
    </row>
    <row r="556" ht="14.25" customHeight="1">
      <c r="C556" s="38"/>
    </row>
    <row r="557" ht="14.25" customHeight="1">
      <c r="C557" s="38"/>
    </row>
    <row r="558" ht="14.25" customHeight="1">
      <c r="C558" s="38"/>
    </row>
    <row r="559" ht="14.25" customHeight="1">
      <c r="C559" s="38"/>
    </row>
    <row r="560" ht="14.25" customHeight="1">
      <c r="C560" s="38"/>
    </row>
    <row r="561" ht="14.25" customHeight="1">
      <c r="C561" s="38"/>
    </row>
    <row r="562" ht="14.25" customHeight="1">
      <c r="C562" s="38"/>
    </row>
    <row r="563" ht="14.25" customHeight="1">
      <c r="C563" s="38"/>
    </row>
    <row r="564" ht="14.25" customHeight="1">
      <c r="C564" s="38"/>
    </row>
    <row r="565" ht="14.25" customHeight="1">
      <c r="C565" s="38"/>
    </row>
    <row r="566" ht="14.25" customHeight="1">
      <c r="C566" s="38"/>
    </row>
    <row r="567" ht="14.25" customHeight="1">
      <c r="C567" s="38"/>
    </row>
    <row r="568" ht="14.25" customHeight="1">
      <c r="C568" s="38"/>
    </row>
    <row r="569" ht="14.25" customHeight="1">
      <c r="C569" s="38"/>
    </row>
    <row r="570" ht="14.25" customHeight="1">
      <c r="C570" s="38"/>
    </row>
    <row r="571" ht="14.25" customHeight="1">
      <c r="C571" s="38"/>
    </row>
    <row r="572" ht="14.25" customHeight="1">
      <c r="C572" s="38"/>
    </row>
    <row r="573" ht="14.25" customHeight="1">
      <c r="C573" s="38"/>
    </row>
    <row r="574" ht="14.25" customHeight="1">
      <c r="C574" s="38"/>
    </row>
    <row r="575" ht="14.25" customHeight="1">
      <c r="C575" s="38"/>
    </row>
    <row r="576" ht="14.25" customHeight="1">
      <c r="C576" s="38"/>
    </row>
    <row r="577" ht="14.25" customHeight="1">
      <c r="C577" s="38"/>
    </row>
    <row r="578" ht="14.25" customHeight="1">
      <c r="C578" s="38"/>
    </row>
    <row r="579" ht="14.25" customHeight="1">
      <c r="C579" s="38"/>
    </row>
    <row r="580" ht="14.25" customHeight="1">
      <c r="C580" s="38"/>
    </row>
    <row r="581" ht="14.25" customHeight="1">
      <c r="C581" s="38"/>
    </row>
    <row r="582" ht="14.25" customHeight="1">
      <c r="C582" s="38"/>
    </row>
    <row r="583" ht="14.25" customHeight="1">
      <c r="C583" s="38"/>
    </row>
    <row r="584" ht="14.25" customHeight="1">
      <c r="C584" s="38"/>
    </row>
    <row r="585" ht="14.25" customHeight="1">
      <c r="C585" s="38"/>
    </row>
    <row r="586" ht="14.25" customHeight="1">
      <c r="C586" s="38"/>
    </row>
    <row r="587" ht="14.25" customHeight="1">
      <c r="C587" s="38"/>
    </row>
    <row r="588" ht="14.25" customHeight="1">
      <c r="C588" s="38"/>
    </row>
    <row r="589" ht="14.25" customHeight="1">
      <c r="C589" s="38"/>
    </row>
    <row r="590" ht="14.25" customHeight="1">
      <c r="C590" s="38"/>
    </row>
    <row r="591" ht="14.25" customHeight="1">
      <c r="C591" s="38"/>
    </row>
    <row r="592" ht="14.25" customHeight="1">
      <c r="C592" s="38"/>
    </row>
    <row r="593" ht="14.25" customHeight="1">
      <c r="C593" s="38"/>
    </row>
    <row r="594" ht="14.25" customHeight="1">
      <c r="C594" s="38"/>
    </row>
    <row r="595" ht="14.25" customHeight="1">
      <c r="C595" s="38"/>
    </row>
    <row r="596" ht="14.25" customHeight="1">
      <c r="C596" s="38"/>
    </row>
    <row r="597" ht="14.25" customHeight="1">
      <c r="C597" s="38"/>
    </row>
    <row r="598" ht="14.25" customHeight="1">
      <c r="C598" s="38"/>
    </row>
    <row r="599" ht="14.25" customHeight="1">
      <c r="C599" s="38"/>
    </row>
    <row r="600" ht="14.25" customHeight="1">
      <c r="C600" s="38"/>
    </row>
    <row r="601" ht="14.25" customHeight="1">
      <c r="C601" s="38"/>
    </row>
    <row r="602" ht="14.25" customHeight="1">
      <c r="C602" s="38"/>
    </row>
    <row r="603" ht="14.25" customHeight="1">
      <c r="C603" s="38"/>
    </row>
    <row r="604" ht="14.25" customHeight="1">
      <c r="C604" s="38"/>
    </row>
    <row r="605" ht="14.25" customHeight="1">
      <c r="C605" s="38"/>
    </row>
    <row r="606" ht="14.25" customHeight="1">
      <c r="C606" s="38"/>
    </row>
    <row r="607" ht="14.25" customHeight="1">
      <c r="C607" s="38"/>
    </row>
    <row r="608" ht="14.25" customHeight="1">
      <c r="C608" s="38"/>
    </row>
    <row r="609" ht="14.25" customHeight="1">
      <c r="C609" s="38"/>
    </row>
    <row r="610" ht="14.25" customHeight="1">
      <c r="C610" s="38"/>
    </row>
    <row r="611" ht="14.25" customHeight="1">
      <c r="C611" s="38"/>
    </row>
    <row r="612" ht="14.25" customHeight="1">
      <c r="C612" s="38"/>
    </row>
    <row r="613" ht="14.25" customHeight="1">
      <c r="C613" s="38"/>
    </row>
    <row r="614" ht="14.25" customHeight="1">
      <c r="C614" s="38"/>
    </row>
    <row r="615" ht="14.25" customHeight="1">
      <c r="C615" s="38"/>
    </row>
    <row r="616" ht="14.25" customHeight="1">
      <c r="C616" s="38"/>
    </row>
    <row r="617" ht="14.25" customHeight="1">
      <c r="C617" s="38"/>
    </row>
    <row r="618" ht="14.25" customHeight="1">
      <c r="C618" s="38"/>
    </row>
    <row r="619" ht="14.25" customHeight="1">
      <c r="C619" s="38"/>
    </row>
    <row r="620" ht="14.25" customHeight="1">
      <c r="C620" s="38"/>
    </row>
    <row r="621" ht="14.25" customHeight="1">
      <c r="C621" s="38"/>
    </row>
    <row r="622" ht="14.25" customHeight="1">
      <c r="C622" s="38"/>
    </row>
    <row r="623" ht="14.25" customHeight="1">
      <c r="C623" s="38"/>
    </row>
    <row r="624" ht="14.25" customHeight="1">
      <c r="C624" s="38"/>
    </row>
    <row r="625" ht="14.25" customHeight="1">
      <c r="C625" s="38"/>
    </row>
    <row r="626" ht="14.25" customHeight="1">
      <c r="C626" s="38"/>
    </row>
    <row r="627" ht="14.25" customHeight="1">
      <c r="C627" s="38"/>
    </row>
    <row r="628" ht="14.25" customHeight="1">
      <c r="C628" s="38"/>
    </row>
    <row r="629" ht="14.25" customHeight="1">
      <c r="C629" s="38"/>
    </row>
    <row r="630" ht="14.25" customHeight="1">
      <c r="C630" s="38"/>
    </row>
    <row r="631" ht="14.25" customHeight="1">
      <c r="C631" s="38"/>
    </row>
    <row r="632" ht="14.25" customHeight="1">
      <c r="C632" s="38"/>
    </row>
    <row r="633" ht="14.25" customHeight="1">
      <c r="C633" s="38"/>
    </row>
    <row r="634" ht="14.25" customHeight="1">
      <c r="C634" s="38"/>
    </row>
    <row r="635" ht="14.25" customHeight="1">
      <c r="C635" s="38"/>
    </row>
    <row r="636" ht="14.25" customHeight="1">
      <c r="C636" s="38"/>
    </row>
    <row r="637" ht="14.25" customHeight="1">
      <c r="C637" s="38"/>
    </row>
    <row r="638" ht="14.25" customHeight="1">
      <c r="C638" s="38"/>
    </row>
    <row r="639" ht="14.25" customHeight="1">
      <c r="C639" s="38"/>
    </row>
    <row r="640" ht="14.25" customHeight="1">
      <c r="C640" s="38"/>
    </row>
    <row r="641" ht="14.25" customHeight="1">
      <c r="C641" s="38"/>
    </row>
    <row r="642" ht="14.25" customHeight="1">
      <c r="C642" s="38"/>
    </row>
    <row r="643" ht="14.25" customHeight="1">
      <c r="C643" s="38"/>
    </row>
    <row r="644" ht="14.25" customHeight="1">
      <c r="C644" s="38"/>
    </row>
    <row r="645" ht="14.25" customHeight="1">
      <c r="C645" s="38"/>
    </row>
    <row r="646" ht="14.25" customHeight="1">
      <c r="C646" s="38"/>
    </row>
    <row r="647" ht="14.25" customHeight="1">
      <c r="C647" s="38"/>
    </row>
    <row r="648" ht="14.25" customHeight="1">
      <c r="C648" s="38"/>
    </row>
    <row r="649" ht="14.25" customHeight="1">
      <c r="C649" s="38"/>
    </row>
    <row r="650" ht="14.25" customHeight="1">
      <c r="C650" s="38"/>
    </row>
    <row r="651" ht="14.25" customHeight="1">
      <c r="C651" s="38"/>
    </row>
    <row r="652" ht="14.25" customHeight="1">
      <c r="C652" s="38"/>
    </row>
    <row r="653" ht="14.25" customHeight="1">
      <c r="C653" s="38"/>
    </row>
    <row r="654" ht="14.25" customHeight="1">
      <c r="C654" s="38"/>
    </row>
    <row r="655" ht="14.25" customHeight="1">
      <c r="C655" s="38"/>
    </row>
    <row r="656" ht="14.25" customHeight="1">
      <c r="C656" s="38"/>
    </row>
    <row r="657" ht="14.25" customHeight="1">
      <c r="C657" s="38"/>
    </row>
    <row r="658" ht="14.25" customHeight="1">
      <c r="C658" s="38"/>
    </row>
    <row r="659" ht="14.25" customHeight="1">
      <c r="C659" s="38"/>
    </row>
    <row r="660" ht="14.25" customHeight="1">
      <c r="C660" s="38"/>
    </row>
    <row r="661" ht="14.25" customHeight="1">
      <c r="C661" s="38"/>
    </row>
    <row r="662" ht="14.25" customHeight="1">
      <c r="C662" s="38"/>
    </row>
    <row r="663" ht="14.25" customHeight="1">
      <c r="C663" s="38"/>
    </row>
    <row r="664" ht="14.25" customHeight="1">
      <c r="C664" s="38"/>
    </row>
    <row r="665" ht="14.25" customHeight="1">
      <c r="C665" s="38"/>
    </row>
    <row r="666" ht="14.25" customHeight="1">
      <c r="C666" s="38"/>
    </row>
    <row r="667" ht="14.25" customHeight="1">
      <c r="C667" s="38"/>
    </row>
    <row r="668" ht="14.25" customHeight="1">
      <c r="C668" s="38"/>
    </row>
    <row r="669" ht="14.25" customHeight="1">
      <c r="C669" s="38"/>
    </row>
    <row r="670" ht="14.25" customHeight="1">
      <c r="C670" s="38"/>
    </row>
    <row r="671" ht="14.25" customHeight="1">
      <c r="C671" s="38"/>
    </row>
    <row r="672" ht="14.25" customHeight="1">
      <c r="C672" s="38"/>
    </row>
    <row r="673" ht="14.25" customHeight="1">
      <c r="C673" s="38"/>
    </row>
    <row r="674" ht="14.25" customHeight="1">
      <c r="C674" s="38"/>
    </row>
    <row r="675" ht="14.25" customHeight="1">
      <c r="C675" s="38"/>
    </row>
    <row r="676" ht="14.25" customHeight="1">
      <c r="C676" s="38"/>
    </row>
    <row r="677" ht="14.25" customHeight="1">
      <c r="C677" s="38"/>
    </row>
    <row r="678" ht="14.25" customHeight="1">
      <c r="C678" s="38"/>
    </row>
    <row r="679" ht="14.25" customHeight="1">
      <c r="C679" s="38"/>
    </row>
    <row r="680" ht="14.25" customHeight="1">
      <c r="C680" s="38"/>
    </row>
    <row r="681" ht="14.25" customHeight="1">
      <c r="C681" s="38"/>
    </row>
    <row r="682" ht="14.25" customHeight="1">
      <c r="C682" s="38"/>
    </row>
    <row r="683" ht="14.25" customHeight="1">
      <c r="C683" s="38"/>
    </row>
    <row r="684" ht="14.25" customHeight="1">
      <c r="C684" s="38"/>
    </row>
    <row r="685" ht="14.25" customHeight="1">
      <c r="C685" s="38"/>
    </row>
    <row r="686" ht="14.25" customHeight="1">
      <c r="C686" s="38"/>
    </row>
    <row r="687" ht="14.25" customHeight="1">
      <c r="C687" s="38"/>
    </row>
    <row r="688" ht="14.25" customHeight="1">
      <c r="C688" s="38"/>
    </row>
    <row r="689" ht="14.25" customHeight="1">
      <c r="C689" s="38"/>
    </row>
    <row r="690" ht="14.25" customHeight="1">
      <c r="C690" s="38"/>
    </row>
    <row r="691" ht="14.25" customHeight="1">
      <c r="C691" s="38"/>
    </row>
    <row r="692" ht="14.25" customHeight="1">
      <c r="C692" s="38"/>
    </row>
    <row r="693" ht="14.25" customHeight="1">
      <c r="C693" s="38"/>
    </row>
    <row r="694" ht="14.25" customHeight="1">
      <c r="C694" s="38"/>
    </row>
    <row r="695" ht="14.25" customHeight="1">
      <c r="C695" s="38"/>
    </row>
    <row r="696" ht="14.25" customHeight="1">
      <c r="C696" s="38"/>
    </row>
    <row r="697" ht="14.25" customHeight="1">
      <c r="C697" s="38"/>
    </row>
    <row r="698" ht="14.25" customHeight="1">
      <c r="C698" s="38"/>
    </row>
    <row r="699" ht="14.25" customHeight="1">
      <c r="C699" s="38"/>
    </row>
    <row r="700" ht="14.25" customHeight="1">
      <c r="C700" s="38"/>
    </row>
    <row r="701" ht="14.25" customHeight="1">
      <c r="C701" s="38"/>
    </row>
    <row r="702" ht="14.25" customHeight="1">
      <c r="C702" s="38"/>
    </row>
    <row r="703" ht="14.25" customHeight="1">
      <c r="C703" s="38"/>
    </row>
    <row r="704" ht="14.25" customHeight="1">
      <c r="C704" s="38"/>
    </row>
    <row r="705" ht="14.25" customHeight="1">
      <c r="C705" s="38"/>
    </row>
    <row r="706" ht="14.25" customHeight="1">
      <c r="C706" s="38"/>
    </row>
    <row r="707" ht="14.25" customHeight="1">
      <c r="C707" s="38"/>
    </row>
    <row r="708" ht="14.25" customHeight="1">
      <c r="C708" s="38"/>
    </row>
    <row r="709" ht="14.25" customHeight="1">
      <c r="C709" s="38"/>
    </row>
    <row r="710" ht="14.25" customHeight="1">
      <c r="C710" s="38"/>
    </row>
    <row r="711" ht="14.25" customHeight="1">
      <c r="C711" s="38"/>
    </row>
    <row r="712" ht="14.25" customHeight="1">
      <c r="C712" s="38"/>
    </row>
    <row r="713" ht="14.25" customHeight="1">
      <c r="C713" s="38"/>
    </row>
    <row r="714" ht="14.25" customHeight="1">
      <c r="C714" s="38"/>
    </row>
    <row r="715" ht="14.25" customHeight="1">
      <c r="C715" s="38"/>
    </row>
    <row r="716" ht="14.25" customHeight="1">
      <c r="C716" s="38"/>
    </row>
    <row r="717" ht="14.25" customHeight="1">
      <c r="C717" s="38"/>
    </row>
    <row r="718" ht="14.25" customHeight="1">
      <c r="C718" s="38"/>
    </row>
    <row r="719" ht="14.25" customHeight="1">
      <c r="C719" s="38"/>
    </row>
    <row r="720" ht="14.25" customHeight="1">
      <c r="C720" s="38"/>
    </row>
    <row r="721" ht="14.25" customHeight="1">
      <c r="C721" s="38"/>
    </row>
    <row r="722" ht="14.25" customHeight="1">
      <c r="C722" s="38"/>
    </row>
    <row r="723" ht="14.25" customHeight="1">
      <c r="C723" s="38"/>
    </row>
    <row r="724" ht="14.25" customHeight="1">
      <c r="C724" s="38"/>
    </row>
    <row r="725" ht="14.25" customHeight="1">
      <c r="C725" s="38"/>
    </row>
    <row r="726" ht="14.25" customHeight="1">
      <c r="C726" s="38"/>
    </row>
    <row r="727" ht="14.25" customHeight="1">
      <c r="C727" s="38"/>
    </row>
    <row r="728" ht="14.25" customHeight="1">
      <c r="C728" s="38"/>
    </row>
    <row r="729" ht="14.25" customHeight="1">
      <c r="C729" s="38"/>
    </row>
    <row r="730" ht="14.25" customHeight="1">
      <c r="C730" s="38"/>
    </row>
    <row r="731" ht="14.25" customHeight="1">
      <c r="C731" s="38"/>
    </row>
    <row r="732" ht="14.25" customHeight="1">
      <c r="C732" s="38"/>
    </row>
    <row r="733" ht="14.25" customHeight="1">
      <c r="C733" s="38"/>
    </row>
    <row r="734" ht="14.25" customHeight="1">
      <c r="C734" s="38"/>
    </row>
    <row r="735" ht="14.25" customHeight="1">
      <c r="C735" s="38"/>
    </row>
    <row r="736" ht="14.25" customHeight="1">
      <c r="C736" s="38"/>
    </row>
    <row r="737" ht="14.25" customHeight="1">
      <c r="C737" s="38"/>
    </row>
    <row r="738" ht="14.25" customHeight="1">
      <c r="C738" s="38"/>
    </row>
    <row r="739" ht="14.25" customHeight="1">
      <c r="C739" s="38"/>
    </row>
    <row r="740" ht="14.25" customHeight="1">
      <c r="C740" s="38"/>
    </row>
    <row r="741" ht="14.25" customHeight="1">
      <c r="C741" s="38"/>
    </row>
    <row r="742" ht="14.25" customHeight="1">
      <c r="C742" s="38"/>
    </row>
    <row r="743" ht="14.25" customHeight="1">
      <c r="C743" s="38"/>
    </row>
    <row r="744" ht="14.25" customHeight="1">
      <c r="C744" s="38"/>
    </row>
    <row r="745" ht="14.25" customHeight="1">
      <c r="C745" s="38"/>
    </row>
    <row r="746" ht="14.25" customHeight="1">
      <c r="C746" s="38"/>
    </row>
    <row r="747" ht="14.25" customHeight="1">
      <c r="C747" s="38"/>
    </row>
    <row r="748" ht="14.25" customHeight="1">
      <c r="C748" s="38"/>
    </row>
    <row r="749" ht="14.25" customHeight="1">
      <c r="C749" s="38"/>
    </row>
    <row r="750" ht="14.25" customHeight="1">
      <c r="C750" s="38"/>
    </row>
    <row r="751" ht="14.25" customHeight="1">
      <c r="C751" s="38"/>
    </row>
    <row r="752" ht="14.25" customHeight="1">
      <c r="C752" s="38"/>
    </row>
    <row r="753" ht="14.25" customHeight="1">
      <c r="C753" s="38"/>
    </row>
    <row r="754" ht="14.25" customHeight="1">
      <c r="C754" s="38"/>
    </row>
    <row r="755" ht="14.25" customHeight="1">
      <c r="C755" s="38"/>
    </row>
    <row r="756" ht="14.25" customHeight="1">
      <c r="C756" s="38"/>
    </row>
    <row r="757" ht="14.25" customHeight="1">
      <c r="C757" s="38"/>
    </row>
    <row r="758" ht="14.25" customHeight="1">
      <c r="C758" s="38"/>
    </row>
    <row r="759" ht="14.25" customHeight="1">
      <c r="C759" s="38"/>
    </row>
    <row r="760" ht="14.25" customHeight="1">
      <c r="C760" s="38"/>
    </row>
    <row r="761" ht="14.25" customHeight="1">
      <c r="C761" s="38"/>
    </row>
    <row r="762" ht="14.25" customHeight="1">
      <c r="C762" s="38"/>
    </row>
    <row r="763" ht="14.25" customHeight="1">
      <c r="C763" s="38"/>
    </row>
    <row r="764" ht="14.25" customHeight="1">
      <c r="C764" s="38"/>
    </row>
    <row r="765" ht="14.25" customHeight="1">
      <c r="C765" s="38"/>
    </row>
    <row r="766" ht="14.25" customHeight="1">
      <c r="C766" s="38"/>
    </row>
    <row r="767" ht="14.25" customHeight="1">
      <c r="C767" s="38"/>
    </row>
    <row r="768" ht="14.25" customHeight="1">
      <c r="C768" s="38"/>
    </row>
    <row r="769" ht="14.25" customHeight="1">
      <c r="C769" s="38"/>
    </row>
    <row r="770" ht="14.25" customHeight="1">
      <c r="C770" s="38"/>
    </row>
    <row r="771" ht="14.25" customHeight="1">
      <c r="C771" s="38"/>
    </row>
    <row r="772" ht="14.25" customHeight="1">
      <c r="C772" s="38"/>
    </row>
    <row r="773" ht="14.25" customHeight="1">
      <c r="C773" s="38"/>
    </row>
    <row r="774" ht="14.25" customHeight="1">
      <c r="C774" s="38"/>
    </row>
    <row r="775" ht="14.25" customHeight="1">
      <c r="C775" s="38"/>
    </row>
    <row r="776" ht="14.25" customHeight="1">
      <c r="C776" s="38"/>
    </row>
    <row r="777" ht="14.25" customHeight="1">
      <c r="C777" s="38"/>
    </row>
    <row r="778" ht="14.25" customHeight="1">
      <c r="C778" s="38"/>
    </row>
    <row r="779" ht="14.25" customHeight="1">
      <c r="C779" s="38"/>
    </row>
    <row r="780" ht="14.25" customHeight="1">
      <c r="C780" s="38"/>
    </row>
    <row r="781" ht="14.25" customHeight="1">
      <c r="C781" s="38"/>
    </row>
    <row r="782" ht="14.25" customHeight="1">
      <c r="C782" s="38"/>
    </row>
    <row r="783" ht="14.25" customHeight="1">
      <c r="C783" s="38"/>
    </row>
    <row r="784" ht="14.25" customHeight="1">
      <c r="C784" s="38"/>
    </row>
    <row r="785" ht="14.25" customHeight="1">
      <c r="C785" s="38"/>
    </row>
    <row r="786" ht="14.25" customHeight="1">
      <c r="C786" s="38"/>
    </row>
    <row r="787" ht="14.25" customHeight="1">
      <c r="C787" s="38"/>
    </row>
    <row r="788" ht="14.25" customHeight="1">
      <c r="C788" s="38"/>
    </row>
    <row r="789" ht="14.25" customHeight="1">
      <c r="C789" s="38"/>
    </row>
    <row r="790" ht="14.25" customHeight="1">
      <c r="C790" s="38"/>
    </row>
    <row r="791" ht="14.25" customHeight="1">
      <c r="C791" s="38"/>
    </row>
    <row r="792" ht="14.25" customHeight="1">
      <c r="C792" s="38"/>
    </row>
    <row r="793" ht="14.25" customHeight="1">
      <c r="C793" s="38"/>
    </row>
    <row r="794" ht="14.25" customHeight="1">
      <c r="C794" s="38"/>
    </row>
    <row r="795" ht="14.25" customHeight="1">
      <c r="C795" s="38"/>
    </row>
    <row r="796" ht="14.25" customHeight="1">
      <c r="C796" s="38"/>
    </row>
    <row r="797" ht="14.25" customHeight="1">
      <c r="C797" s="38"/>
    </row>
    <row r="798" ht="14.25" customHeight="1">
      <c r="C798" s="38"/>
    </row>
    <row r="799" ht="14.25" customHeight="1">
      <c r="C799" s="38"/>
    </row>
    <row r="800" ht="14.25" customHeight="1">
      <c r="C800" s="38"/>
    </row>
    <row r="801" ht="14.25" customHeight="1">
      <c r="C801" s="38"/>
    </row>
    <row r="802" ht="14.25" customHeight="1">
      <c r="C802" s="38"/>
    </row>
    <row r="803" ht="14.25" customHeight="1">
      <c r="C803" s="38"/>
    </row>
    <row r="804" ht="14.25" customHeight="1">
      <c r="C804" s="38"/>
    </row>
    <row r="805" ht="14.25" customHeight="1">
      <c r="C805" s="38"/>
    </row>
    <row r="806" ht="14.25" customHeight="1">
      <c r="C806" s="38"/>
    </row>
    <row r="807" ht="14.25" customHeight="1">
      <c r="C807" s="38"/>
    </row>
    <row r="808" ht="14.25" customHeight="1">
      <c r="C808" s="38"/>
    </row>
    <row r="809" ht="14.25" customHeight="1">
      <c r="C809" s="38"/>
    </row>
    <row r="810" ht="14.25" customHeight="1">
      <c r="C810" s="38"/>
    </row>
    <row r="811" ht="14.25" customHeight="1">
      <c r="C811" s="38"/>
    </row>
    <row r="812" ht="14.25" customHeight="1">
      <c r="C812" s="38"/>
    </row>
    <row r="813" ht="14.25" customHeight="1">
      <c r="C813" s="38"/>
    </row>
    <row r="814" ht="14.25" customHeight="1">
      <c r="C814" s="38"/>
    </row>
    <row r="815" ht="14.25" customHeight="1">
      <c r="C815" s="38"/>
    </row>
    <row r="816" ht="14.25" customHeight="1">
      <c r="C816" s="38"/>
    </row>
    <row r="817" ht="14.25" customHeight="1">
      <c r="C817" s="38"/>
    </row>
    <row r="818" ht="14.25" customHeight="1">
      <c r="C818" s="38"/>
    </row>
    <row r="819" ht="14.25" customHeight="1">
      <c r="C819" s="38"/>
    </row>
    <row r="820" ht="14.25" customHeight="1">
      <c r="C820" s="38"/>
    </row>
    <row r="821" ht="14.25" customHeight="1">
      <c r="C821" s="38"/>
    </row>
    <row r="822" ht="14.25" customHeight="1">
      <c r="C822" s="38"/>
    </row>
    <row r="823" ht="14.25" customHeight="1">
      <c r="C823" s="38"/>
    </row>
    <row r="824" ht="14.25" customHeight="1">
      <c r="C824" s="38"/>
    </row>
    <row r="825" ht="14.25" customHeight="1">
      <c r="C825" s="38"/>
    </row>
    <row r="826" ht="14.25" customHeight="1">
      <c r="C826" s="38"/>
    </row>
    <row r="827" ht="14.25" customHeight="1">
      <c r="C827" s="38"/>
    </row>
    <row r="828" ht="14.25" customHeight="1">
      <c r="C828" s="38"/>
    </row>
    <row r="829" ht="14.25" customHeight="1">
      <c r="C829" s="38"/>
    </row>
    <row r="830" ht="14.25" customHeight="1">
      <c r="C830" s="38"/>
    </row>
    <row r="831" ht="14.25" customHeight="1">
      <c r="C831" s="38"/>
    </row>
    <row r="832" ht="14.25" customHeight="1">
      <c r="C832" s="38"/>
    </row>
    <row r="833" ht="14.25" customHeight="1">
      <c r="C833" s="38"/>
    </row>
    <row r="834" ht="14.25" customHeight="1">
      <c r="C834" s="38"/>
    </row>
    <row r="835" ht="14.25" customHeight="1">
      <c r="C835" s="38"/>
    </row>
    <row r="836" ht="14.25" customHeight="1">
      <c r="C836" s="38"/>
    </row>
    <row r="837" ht="14.25" customHeight="1">
      <c r="C837" s="38"/>
    </row>
    <row r="838" ht="14.25" customHeight="1">
      <c r="C838" s="38"/>
    </row>
    <row r="839" ht="14.25" customHeight="1">
      <c r="C839" s="38"/>
    </row>
    <row r="840" ht="14.25" customHeight="1">
      <c r="C840" s="38"/>
    </row>
    <row r="841" ht="14.25" customHeight="1">
      <c r="C841" s="38"/>
    </row>
    <row r="842" ht="14.25" customHeight="1">
      <c r="C842" s="38"/>
    </row>
    <row r="843" ht="14.25" customHeight="1">
      <c r="C843" s="38"/>
    </row>
    <row r="844" ht="14.25" customHeight="1">
      <c r="C844" s="38"/>
    </row>
    <row r="845" ht="14.25" customHeight="1">
      <c r="C845" s="38"/>
    </row>
    <row r="846" ht="14.25" customHeight="1">
      <c r="C846" s="38"/>
    </row>
    <row r="847" ht="14.25" customHeight="1">
      <c r="C847" s="38"/>
    </row>
    <row r="848" ht="14.25" customHeight="1">
      <c r="C848" s="38"/>
    </row>
    <row r="849" ht="14.25" customHeight="1">
      <c r="C849" s="38"/>
    </row>
    <row r="850" ht="14.25" customHeight="1">
      <c r="C850" s="38"/>
    </row>
    <row r="851" ht="14.25" customHeight="1">
      <c r="C851" s="38"/>
    </row>
    <row r="852" ht="14.25" customHeight="1">
      <c r="C852" s="38"/>
    </row>
    <row r="853" ht="14.25" customHeight="1">
      <c r="C853" s="38"/>
    </row>
    <row r="854" ht="14.25" customHeight="1">
      <c r="C854" s="38"/>
    </row>
    <row r="855" ht="14.25" customHeight="1">
      <c r="C855" s="38"/>
    </row>
    <row r="856" ht="14.25" customHeight="1">
      <c r="C856" s="38"/>
    </row>
    <row r="857" ht="14.25" customHeight="1">
      <c r="C857" s="38"/>
    </row>
    <row r="858" ht="14.25" customHeight="1">
      <c r="C858" s="38"/>
    </row>
    <row r="859" ht="14.25" customHeight="1">
      <c r="C859" s="38"/>
    </row>
    <row r="860" ht="14.25" customHeight="1">
      <c r="C860" s="38"/>
    </row>
    <row r="861" ht="14.25" customHeight="1">
      <c r="C861" s="38"/>
    </row>
    <row r="862" ht="14.25" customHeight="1">
      <c r="C862" s="38"/>
    </row>
    <row r="863" ht="14.25" customHeight="1">
      <c r="C863" s="38"/>
    </row>
    <row r="864" ht="14.25" customHeight="1">
      <c r="C864" s="38"/>
    </row>
    <row r="865" ht="14.25" customHeight="1">
      <c r="C865" s="38"/>
    </row>
    <row r="866" ht="14.25" customHeight="1">
      <c r="C866" s="38"/>
    </row>
    <row r="867" ht="14.25" customHeight="1">
      <c r="C867" s="38"/>
    </row>
    <row r="868" ht="14.25" customHeight="1">
      <c r="C868" s="38"/>
    </row>
    <row r="869" ht="14.25" customHeight="1">
      <c r="C869" s="38"/>
    </row>
    <row r="870" ht="14.25" customHeight="1">
      <c r="C870" s="38"/>
    </row>
    <row r="871" ht="14.25" customHeight="1">
      <c r="C871" s="38"/>
    </row>
    <row r="872" ht="14.25" customHeight="1">
      <c r="C872" s="38"/>
    </row>
    <row r="873" ht="14.25" customHeight="1">
      <c r="C873" s="38"/>
    </row>
    <row r="874" ht="14.25" customHeight="1">
      <c r="C874" s="38"/>
    </row>
    <row r="875" ht="14.25" customHeight="1">
      <c r="C875" s="38"/>
    </row>
    <row r="876" ht="14.25" customHeight="1">
      <c r="C876" s="38"/>
    </row>
    <row r="877" ht="14.25" customHeight="1">
      <c r="C877" s="38"/>
    </row>
    <row r="878" ht="14.25" customHeight="1">
      <c r="C878" s="38"/>
    </row>
    <row r="879" ht="14.25" customHeight="1">
      <c r="C879" s="38"/>
    </row>
    <row r="880" ht="14.25" customHeight="1">
      <c r="C880" s="38"/>
    </row>
    <row r="881" ht="14.25" customHeight="1">
      <c r="C881" s="38"/>
    </row>
    <row r="882" ht="14.25" customHeight="1">
      <c r="C882" s="38"/>
    </row>
    <row r="883" ht="14.25" customHeight="1">
      <c r="C883" s="38"/>
    </row>
    <row r="884" ht="14.25" customHeight="1">
      <c r="C884" s="38"/>
    </row>
    <row r="885" ht="14.25" customHeight="1">
      <c r="C885" s="38"/>
    </row>
    <row r="886" ht="14.25" customHeight="1">
      <c r="C886" s="38"/>
    </row>
    <row r="887" ht="14.25" customHeight="1">
      <c r="C887" s="38"/>
    </row>
    <row r="888" ht="14.25" customHeight="1">
      <c r="C888" s="38"/>
    </row>
    <row r="889" ht="14.25" customHeight="1">
      <c r="C889" s="38"/>
    </row>
    <row r="890" ht="14.25" customHeight="1">
      <c r="C890" s="38"/>
    </row>
    <row r="891" ht="14.25" customHeight="1">
      <c r="C891" s="38"/>
    </row>
    <row r="892" ht="14.25" customHeight="1">
      <c r="C892" s="38"/>
    </row>
    <row r="893" ht="14.25" customHeight="1">
      <c r="C893" s="38"/>
    </row>
    <row r="894" ht="14.25" customHeight="1">
      <c r="C894" s="38"/>
    </row>
    <row r="895" ht="14.25" customHeight="1">
      <c r="C895" s="38"/>
    </row>
    <row r="896" ht="14.25" customHeight="1">
      <c r="C896" s="38"/>
    </row>
    <row r="897" ht="14.25" customHeight="1">
      <c r="C897" s="38"/>
    </row>
    <row r="898" ht="14.25" customHeight="1">
      <c r="C898" s="38"/>
    </row>
    <row r="899" ht="14.25" customHeight="1">
      <c r="C899" s="38"/>
    </row>
    <row r="900" ht="14.25" customHeight="1">
      <c r="C900" s="38"/>
    </row>
    <row r="901" ht="14.25" customHeight="1">
      <c r="C901" s="38"/>
    </row>
    <row r="902" ht="14.25" customHeight="1">
      <c r="C902" s="38"/>
    </row>
    <row r="903" ht="14.25" customHeight="1">
      <c r="C903" s="38"/>
    </row>
    <row r="904" ht="14.25" customHeight="1">
      <c r="C904" s="38"/>
    </row>
    <row r="905" ht="14.25" customHeight="1">
      <c r="C905" s="38"/>
    </row>
    <row r="906" ht="14.25" customHeight="1">
      <c r="C906" s="38"/>
    </row>
    <row r="907" ht="14.25" customHeight="1">
      <c r="C907" s="38"/>
    </row>
    <row r="908" ht="14.25" customHeight="1">
      <c r="C908" s="38"/>
    </row>
    <row r="909" ht="14.25" customHeight="1">
      <c r="C909" s="38"/>
    </row>
    <row r="910" ht="14.25" customHeight="1">
      <c r="C910" s="38"/>
    </row>
    <row r="911" ht="14.25" customHeight="1">
      <c r="C911" s="38"/>
    </row>
    <row r="912" ht="14.25" customHeight="1">
      <c r="C912" s="38"/>
    </row>
    <row r="913" ht="14.25" customHeight="1">
      <c r="C913" s="38"/>
    </row>
    <row r="914" ht="14.25" customHeight="1">
      <c r="C914" s="38"/>
    </row>
    <row r="915" ht="14.25" customHeight="1">
      <c r="C915" s="38"/>
    </row>
    <row r="916" ht="14.25" customHeight="1">
      <c r="C916" s="38"/>
    </row>
    <row r="917" ht="14.25" customHeight="1">
      <c r="C917" s="38"/>
    </row>
    <row r="918" ht="14.25" customHeight="1">
      <c r="C918" s="38"/>
    </row>
    <row r="919" ht="14.25" customHeight="1">
      <c r="C919" s="38"/>
    </row>
    <row r="920" ht="14.25" customHeight="1">
      <c r="C920" s="38"/>
    </row>
    <row r="921" ht="14.25" customHeight="1">
      <c r="C921" s="38"/>
    </row>
    <row r="922" ht="14.25" customHeight="1">
      <c r="C922" s="38"/>
    </row>
    <row r="923" ht="14.25" customHeight="1">
      <c r="C923" s="38"/>
    </row>
    <row r="924" ht="14.25" customHeight="1">
      <c r="C924" s="38"/>
    </row>
    <row r="925" ht="14.25" customHeight="1">
      <c r="C925" s="38"/>
    </row>
    <row r="926" ht="14.25" customHeight="1">
      <c r="C926" s="38"/>
    </row>
    <row r="927" ht="14.25" customHeight="1">
      <c r="C927" s="38"/>
    </row>
    <row r="928" ht="14.25" customHeight="1">
      <c r="C928" s="38"/>
    </row>
    <row r="929" ht="14.25" customHeight="1">
      <c r="C929" s="38"/>
    </row>
    <row r="930" ht="14.25" customHeight="1">
      <c r="C930" s="38"/>
    </row>
    <row r="931" ht="14.25" customHeight="1">
      <c r="C931" s="38"/>
    </row>
    <row r="932" ht="14.25" customHeight="1">
      <c r="C932" s="38"/>
    </row>
    <row r="933" ht="14.25" customHeight="1">
      <c r="C933" s="38"/>
    </row>
    <row r="934" ht="14.25" customHeight="1">
      <c r="C934" s="38"/>
    </row>
    <row r="935" ht="14.25" customHeight="1">
      <c r="C935" s="38"/>
    </row>
    <row r="936" ht="14.25" customHeight="1">
      <c r="C936" s="38"/>
    </row>
    <row r="937" ht="14.25" customHeight="1">
      <c r="C937" s="38"/>
    </row>
    <row r="938" ht="14.25" customHeight="1">
      <c r="C938" s="38"/>
    </row>
    <row r="939" ht="14.25" customHeight="1">
      <c r="C939" s="38"/>
    </row>
    <row r="940" ht="14.25" customHeight="1">
      <c r="C940" s="38"/>
    </row>
    <row r="941" ht="14.25" customHeight="1">
      <c r="C941" s="38"/>
    </row>
    <row r="942" ht="14.25" customHeight="1">
      <c r="C942" s="38"/>
    </row>
    <row r="943" ht="14.25" customHeight="1">
      <c r="C943" s="38"/>
    </row>
    <row r="944" ht="14.25" customHeight="1">
      <c r="C944" s="38"/>
    </row>
    <row r="945" ht="14.25" customHeight="1">
      <c r="C945" s="38"/>
    </row>
    <row r="946" ht="14.25" customHeight="1">
      <c r="C946" s="38"/>
    </row>
    <row r="947" ht="14.25" customHeight="1">
      <c r="C947" s="38"/>
    </row>
    <row r="948" ht="14.25" customHeight="1">
      <c r="C948" s="38"/>
    </row>
    <row r="949" ht="14.25" customHeight="1">
      <c r="C949" s="38"/>
    </row>
    <row r="950" ht="14.25" customHeight="1">
      <c r="C950" s="38"/>
    </row>
    <row r="951" ht="14.25" customHeight="1">
      <c r="C951" s="38"/>
    </row>
    <row r="952" ht="14.25" customHeight="1">
      <c r="C952" s="38"/>
    </row>
    <row r="953" ht="14.25" customHeight="1">
      <c r="C953" s="38"/>
    </row>
    <row r="954" ht="14.25" customHeight="1">
      <c r="C954" s="38"/>
    </row>
    <row r="955" ht="14.25" customHeight="1">
      <c r="C955" s="38"/>
    </row>
    <row r="956" ht="14.25" customHeight="1">
      <c r="C956" s="38"/>
    </row>
    <row r="957" ht="14.25" customHeight="1">
      <c r="C957" s="38"/>
    </row>
    <row r="958" ht="14.25" customHeight="1">
      <c r="C958" s="38"/>
    </row>
    <row r="959" ht="14.25" customHeight="1">
      <c r="C959" s="38"/>
    </row>
    <row r="960" ht="14.25" customHeight="1">
      <c r="C960" s="38"/>
    </row>
    <row r="961" ht="14.25" customHeight="1">
      <c r="C961" s="38"/>
    </row>
    <row r="962" ht="14.25" customHeight="1">
      <c r="C962" s="38"/>
    </row>
    <row r="963" ht="14.25" customHeight="1">
      <c r="C963" s="38"/>
    </row>
    <row r="964" ht="14.25" customHeight="1">
      <c r="C964" s="38"/>
    </row>
    <row r="965" ht="14.25" customHeight="1">
      <c r="C965" s="38"/>
    </row>
    <row r="966" ht="14.25" customHeight="1">
      <c r="C966" s="38"/>
    </row>
    <row r="967" ht="14.25" customHeight="1">
      <c r="C967" s="38"/>
    </row>
    <row r="968" ht="14.25" customHeight="1">
      <c r="C968" s="38"/>
    </row>
    <row r="969" ht="14.25" customHeight="1">
      <c r="C969" s="38"/>
    </row>
    <row r="970" ht="14.25" customHeight="1">
      <c r="C970" s="38"/>
    </row>
    <row r="971" ht="14.25" customHeight="1">
      <c r="C971" s="38"/>
    </row>
    <row r="972" ht="14.25" customHeight="1">
      <c r="C972" s="38"/>
    </row>
    <row r="973" ht="14.25" customHeight="1">
      <c r="C973" s="38"/>
    </row>
    <row r="974" ht="14.25" customHeight="1">
      <c r="C974" s="38"/>
    </row>
    <row r="975" ht="14.25" customHeight="1">
      <c r="C975" s="38"/>
    </row>
    <row r="976" ht="14.25" customHeight="1">
      <c r="C976" s="38"/>
    </row>
    <row r="977" ht="14.25" customHeight="1">
      <c r="C977" s="38"/>
    </row>
    <row r="978" ht="14.25" customHeight="1">
      <c r="C978" s="38"/>
    </row>
    <row r="979" ht="14.25" customHeight="1">
      <c r="C979" s="38"/>
    </row>
    <row r="980" ht="14.25" customHeight="1">
      <c r="C980" s="38"/>
    </row>
    <row r="981" ht="14.25" customHeight="1">
      <c r="C981" s="38"/>
    </row>
    <row r="982" ht="14.25" customHeight="1">
      <c r="C982" s="38"/>
    </row>
    <row r="983" ht="14.25" customHeight="1">
      <c r="C983" s="38"/>
    </row>
    <row r="984" ht="14.25" customHeight="1">
      <c r="C984" s="38"/>
    </row>
    <row r="985" ht="14.25" customHeight="1">
      <c r="C985" s="38"/>
    </row>
    <row r="986" ht="14.25" customHeight="1">
      <c r="C986" s="38"/>
    </row>
    <row r="987" ht="14.25" customHeight="1">
      <c r="C987" s="38"/>
    </row>
    <row r="988" ht="14.25" customHeight="1">
      <c r="C988" s="38"/>
    </row>
    <row r="989" ht="14.25" customHeight="1">
      <c r="C989" s="38"/>
    </row>
    <row r="990" ht="14.25" customHeight="1">
      <c r="C990" s="38"/>
    </row>
    <row r="991" ht="14.25" customHeight="1">
      <c r="C991" s="38"/>
    </row>
    <row r="992" ht="14.25" customHeight="1">
      <c r="C992" s="38"/>
    </row>
    <row r="993" ht="14.25" customHeight="1">
      <c r="C993" s="38"/>
    </row>
    <row r="994" ht="14.25" customHeight="1">
      <c r="C994" s="38"/>
    </row>
    <row r="995" ht="14.25" customHeight="1">
      <c r="C995" s="38"/>
    </row>
    <row r="996" ht="14.25" customHeight="1">
      <c r="C996" s="38"/>
    </row>
    <row r="997" ht="14.25" customHeight="1">
      <c r="C997" s="38"/>
    </row>
    <row r="998" ht="14.25" customHeight="1">
      <c r="C998" s="38"/>
    </row>
    <row r="999" ht="14.25" customHeight="1">
      <c r="C999" s="38"/>
    </row>
    <row r="1000" ht="14.25" customHeight="1">
      <c r="C1000" s="38"/>
    </row>
  </sheetData>
  <mergeCells count="36">
    <mergeCell ref="D156:E156"/>
    <mergeCell ref="D158:E158"/>
    <mergeCell ref="D159:E159"/>
    <mergeCell ref="H159:I159"/>
    <mergeCell ref="H169:I169"/>
    <mergeCell ref="H175:I175"/>
    <mergeCell ref="H182:I182"/>
    <mergeCell ref="H187:I187"/>
    <mergeCell ref="H189:I189"/>
    <mergeCell ref="D194:E194"/>
    <mergeCell ref="H197:I197"/>
    <mergeCell ref="D198:E198"/>
    <mergeCell ref="H198:I198"/>
    <mergeCell ref="D201:E201"/>
    <mergeCell ref="H231:I231"/>
    <mergeCell ref="H232:I232"/>
    <mergeCell ref="H237:I237"/>
    <mergeCell ref="H239:I239"/>
    <mergeCell ref="H240:I240"/>
    <mergeCell ref="H242:I242"/>
    <mergeCell ref="H243:I243"/>
    <mergeCell ref="H245:I245"/>
    <mergeCell ref="D235:E235"/>
    <mergeCell ref="D237:E237"/>
    <mergeCell ref="D239:E239"/>
    <mergeCell ref="D242:E242"/>
    <mergeCell ref="D243:E243"/>
    <mergeCell ref="D244:E244"/>
    <mergeCell ref="D245:E245"/>
    <mergeCell ref="H222:I222"/>
    <mergeCell ref="H223:I223"/>
    <mergeCell ref="D224:E224"/>
    <mergeCell ref="H225:I225"/>
    <mergeCell ref="H229:I229"/>
    <mergeCell ref="H230:I230"/>
    <mergeCell ref="D231:E23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33"/>
    <col customWidth="1" min="3" max="3" width="26.67"/>
    <col customWidth="1" min="5" max="5" width="6.33"/>
    <col customWidth="1" min="6" max="6" width="10.11"/>
    <col customWidth="1" min="8" max="8" width="11.22"/>
    <col customWidth="1" min="9" max="9" width="11.89"/>
    <col customWidth="1" min="10" max="10" width="13.78"/>
    <col customWidth="1" min="11" max="11" width="10.11"/>
    <col customWidth="1" min="12" max="12" width="25.44"/>
    <col customWidth="1" min="22" max="22" width="6.78"/>
    <col customWidth="1" min="23" max="23" width="7.44"/>
    <col customWidth="1" min="24" max="24" width="33.22"/>
  </cols>
  <sheetData>
    <row r="1">
      <c r="A1" s="52" t="s">
        <v>941</v>
      </c>
      <c r="B1" s="53" t="s">
        <v>57</v>
      </c>
      <c r="C1" s="54" t="s">
        <v>58</v>
      </c>
      <c r="D1" s="55" t="s">
        <v>942</v>
      </c>
      <c r="E1" s="56" t="s">
        <v>943</v>
      </c>
      <c r="F1" s="57" t="s">
        <v>944</v>
      </c>
      <c r="G1" s="58" t="s">
        <v>945</v>
      </c>
      <c r="H1" s="58" t="s">
        <v>946</v>
      </c>
      <c r="I1" s="58" t="s">
        <v>947</v>
      </c>
      <c r="J1" s="59" t="s">
        <v>948</v>
      </c>
      <c r="K1" s="58" t="s">
        <v>62</v>
      </c>
      <c r="L1" s="58" t="s">
        <v>61</v>
      </c>
      <c r="M1" s="60" t="s">
        <v>949</v>
      </c>
      <c r="N1" s="61" t="s">
        <v>950</v>
      </c>
      <c r="O1" s="62" t="s">
        <v>951</v>
      </c>
      <c r="P1" s="62" t="s">
        <v>952</v>
      </c>
      <c r="Q1" s="63" t="s">
        <v>953</v>
      </c>
      <c r="R1" s="58" t="s">
        <v>954</v>
      </c>
      <c r="S1" s="58" t="s">
        <v>955</v>
      </c>
      <c r="T1" s="64" t="s">
        <v>956</v>
      </c>
      <c r="U1" s="65" t="s">
        <v>957</v>
      </c>
      <c r="V1" s="66" t="s">
        <v>958</v>
      </c>
      <c r="W1" s="64" t="s">
        <v>959</v>
      </c>
      <c r="X1" s="64"/>
      <c r="Y1" s="64"/>
      <c r="Z1" s="64"/>
      <c r="AA1" s="64"/>
      <c r="AB1" s="64"/>
      <c r="AC1" s="64"/>
      <c r="AD1" s="64"/>
      <c r="AE1" s="64"/>
      <c r="AF1" s="64"/>
      <c r="AG1" s="64"/>
      <c r="AH1" s="64"/>
      <c r="AI1" s="64"/>
      <c r="AJ1" s="64"/>
      <c r="AK1" s="64"/>
    </row>
    <row r="2">
      <c r="A2" s="67" t="s">
        <v>431</v>
      </c>
      <c r="B2" s="68" t="s">
        <v>432</v>
      </c>
      <c r="C2" s="68" t="s">
        <v>433</v>
      </c>
      <c r="D2" s="69" t="s">
        <v>960</v>
      </c>
      <c r="E2" s="67" t="s">
        <v>961</v>
      </c>
      <c r="F2" s="70" t="s">
        <v>49</v>
      </c>
      <c r="G2" s="71" t="s">
        <v>962</v>
      </c>
      <c r="H2" s="71" t="s">
        <v>963</v>
      </c>
      <c r="I2" s="72" t="s">
        <v>964</v>
      </c>
      <c r="J2" s="73" t="s">
        <v>965</v>
      </c>
      <c r="K2" s="26" t="s">
        <v>966</v>
      </c>
      <c r="L2" s="26" t="s">
        <v>967</v>
      </c>
      <c r="M2" s="71" t="s">
        <v>968</v>
      </c>
      <c r="N2" s="74">
        <v>2022.0</v>
      </c>
      <c r="O2" s="71" t="s">
        <v>969</v>
      </c>
      <c r="P2" s="71" t="s">
        <v>970</v>
      </c>
      <c r="Q2" s="67" t="s">
        <v>961</v>
      </c>
      <c r="R2" s="67" t="s">
        <v>971</v>
      </c>
      <c r="S2" s="67" t="s">
        <v>972</v>
      </c>
      <c r="T2" s="68"/>
      <c r="U2" s="42" t="s">
        <v>973</v>
      </c>
      <c r="V2" s="75" t="s">
        <v>930</v>
      </c>
      <c r="W2" s="76"/>
      <c r="X2" s="76"/>
      <c r="Y2" s="76"/>
      <c r="Z2" s="76"/>
      <c r="AA2" s="76"/>
      <c r="AB2" s="76"/>
      <c r="AC2" s="76"/>
      <c r="AD2" s="76"/>
      <c r="AE2" s="76"/>
      <c r="AF2" s="67"/>
      <c r="AG2" s="67"/>
      <c r="AH2" s="67"/>
      <c r="AI2" s="67"/>
      <c r="AJ2" s="67"/>
      <c r="AK2" s="67"/>
    </row>
    <row r="3">
      <c r="A3" s="67" t="s">
        <v>431</v>
      </c>
      <c r="B3" s="68" t="s">
        <v>435</v>
      </c>
      <c r="C3" s="68" t="s">
        <v>436</v>
      </c>
      <c r="D3" s="77" t="s">
        <v>974</v>
      </c>
      <c r="E3" s="67" t="s">
        <v>961</v>
      </c>
      <c r="F3" s="70" t="s">
        <v>49</v>
      </c>
      <c r="G3" s="71" t="s">
        <v>975</v>
      </c>
      <c r="H3" s="71" t="s">
        <v>975</v>
      </c>
      <c r="I3" s="26" t="s">
        <v>976</v>
      </c>
      <c r="J3" s="73" t="s">
        <v>965</v>
      </c>
      <c r="K3" s="26" t="s">
        <v>977</v>
      </c>
      <c r="L3" s="26" t="s">
        <v>967</v>
      </c>
      <c r="M3" s="71" t="s">
        <v>968</v>
      </c>
      <c r="N3" s="74">
        <v>2022.0</v>
      </c>
      <c r="O3" s="71" t="s">
        <v>978</v>
      </c>
      <c r="P3" s="71" t="s">
        <v>979</v>
      </c>
      <c r="Q3" s="67" t="s">
        <v>961</v>
      </c>
      <c r="R3" s="67" t="s">
        <v>980</v>
      </c>
      <c r="S3" s="67" t="s">
        <v>981</v>
      </c>
      <c r="T3" s="68"/>
      <c r="U3" s="42" t="s">
        <v>982</v>
      </c>
      <c r="V3" s="75" t="s">
        <v>930</v>
      </c>
      <c r="W3" s="78"/>
      <c r="X3" s="78"/>
      <c r="Y3" s="78"/>
      <c r="Z3" s="78"/>
      <c r="AA3" s="78"/>
      <c r="AB3" s="78"/>
      <c r="AC3" s="78"/>
      <c r="AD3" s="78"/>
      <c r="AE3" s="78"/>
      <c r="AF3" s="68"/>
      <c r="AG3" s="68"/>
      <c r="AH3" s="68"/>
      <c r="AI3" s="68"/>
      <c r="AJ3" s="68"/>
      <c r="AK3" s="68"/>
    </row>
    <row r="4">
      <c r="A4" s="67" t="s">
        <v>431</v>
      </c>
      <c r="B4" s="68" t="s">
        <v>437</v>
      </c>
      <c r="C4" s="68" t="s">
        <v>438</v>
      </c>
      <c r="D4" s="77" t="s">
        <v>983</v>
      </c>
      <c r="E4" s="67" t="s">
        <v>961</v>
      </c>
      <c r="F4" s="70" t="s">
        <v>49</v>
      </c>
      <c r="G4" s="71" t="s">
        <v>984</v>
      </c>
      <c r="H4" s="71"/>
      <c r="I4" s="72" t="s">
        <v>964</v>
      </c>
      <c r="J4" s="73" t="s">
        <v>985</v>
      </c>
      <c r="K4" s="26" t="s">
        <v>986</v>
      </c>
      <c r="L4" s="26" t="s">
        <v>987</v>
      </c>
      <c r="M4" s="71" t="s">
        <v>988</v>
      </c>
      <c r="N4" s="74">
        <v>2022.0</v>
      </c>
      <c r="O4" s="71" t="s">
        <v>989</v>
      </c>
      <c r="P4" s="71" t="s">
        <v>970</v>
      </c>
      <c r="Q4" s="67" t="s">
        <v>990</v>
      </c>
      <c r="R4" s="67" t="s">
        <v>991</v>
      </c>
      <c r="S4" s="67" t="s">
        <v>992</v>
      </c>
      <c r="T4" s="68"/>
      <c r="U4" s="42" t="s">
        <v>993</v>
      </c>
      <c r="V4" s="75" t="s">
        <v>930</v>
      </c>
      <c r="W4" s="78"/>
      <c r="X4" s="78"/>
      <c r="Y4" s="76"/>
      <c r="Z4" s="78"/>
      <c r="AA4" s="78"/>
      <c r="AB4" s="78"/>
      <c r="AC4" s="78"/>
      <c r="AD4" s="78"/>
      <c r="AE4" s="78"/>
      <c r="AF4" s="68"/>
      <c r="AG4" s="68"/>
      <c r="AH4" s="68"/>
      <c r="AI4" s="68"/>
      <c r="AJ4" s="68"/>
      <c r="AK4" s="68"/>
    </row>
    <row r="5">
      <c r="A5" s="67" t="s">
        <v>431</v>
      </c>
      <c r="B5" s="68" t="s">
        <v>441</v>
      </c>
      <c r="C5" s="68" t="s">
        <v>442</v>
      </c>
      <c r="D5" s="77" t="s">
        <v>994</v>
      </c>
      <c r="E5" s="67" t="s">
        <v>961</v>
      </c>
      <c r="F5" s="70" t="s">
        <v>49</v>
      </c>
      <c r="G5" s="71" t="s">
        <v>995</v>
      </c>
      <c r="H5" s="71"/>
      <c r="I5" s="70" t="s">
        <v>162</v>
      </c>
      <c r="J5" s="73" t="s">
        <v>996</v>
      </c>
      <c r="K5" s="26"/>
      <c r="L5" s="26" t="s">
        <v>997</v>
      </c>
      <c r="M5" s="71" t="s">
        <v>998</v>
      </c>
      <c r="N5" s="74">
        <v>2022.0</v>
      </c>
      <c r="O5" s="71" t="s">
        <v>999</v>
      </c>
      <c r="P5" s="71" t="s">
        <v>970</v>
      </c>
      <c r="Q5" s="67" t="s">
        <v>990</v>
      </c>
      <c r="R5" s="67" t="s">
        <v>991</v>
      </c>
      <c r="S5" s="67" t="s">
        <v>1000</v>
      </c>
      <c r="T5" s="68"/>
      <c r="U5" s="42" t="s">
        <v>1001</v>
      </c>
      <c r="V5" s="75" t="s">
        <v>930</v>
      </c>
      <c r="W5" s="78"/>
      <c r="X5" s="78"/>
      <c r="Y5" s="76"/>
      <c r="Z5" s="78"/>
      <c r="AA5" s="78"/>
      <c r="AB5" s="78"/>
      <c r="AC5" s="78"/>
      <c r="AD5" s="78"/>
      <c r="AE5" s="78"/>
      <c r="AF5" s="68"/>
      <c r="AG5" s="68"/>
      <c r="AH5" s="68"/>
      <c r="AI5" s="68"/>
      <c r="AJ5" s="68"/>
      <c r="AK5" s="68"/>
    </row>
    <row r="6">
      <c r="A6" s="67" t="s">
        <v>431</v>
      </c>
      <c r="B6" s="68" t="s">
        <v>446</v>
      </c>
      <c r="C6" s="68" t="s">
        <v>447</v>
      </c>
      <c r="D6" s="77" t="s">
        <v>1002</v>
      </c>
      <c r="E6" s="67" t="s">
        <v>961</v>
      </c>
      <c r="F6" s="70" t="s">
        <v>49</v>
      </c>
      <c r="G6" s="71" t="s">
        <v>1003</v>
      </c>
      <c r="H6" s="72" t="s">
        <v>964</v>
      </c>
      <c r="I6" s="70" t="s">
        <v>162</v>
      </c>
      <c r="J6" s="79" t="s">
        <v>1004</v>
      </c>
      <c r="K6" s="26" t="s">
        <v>1005</v>
      </c>
      <c r="L6" s="26" t="s">
        <v>1006</v>
      </c>
      <c r="M6" s="71" t="s">
        <v>1007</v>
      </c>
      <c r="N6" s="74">
        <v>2022.0</v>
      </c>
      <c r="O6" s="71" t="s">
        <v>989</v>
      </c>
      <c r="P6" s="71" t="s">
        <v>970</v>
      </c>
      <c r="Q6" s="67" t="s">
        <v>1008</v>
      </c>
      <c r="R6" s="67" t="s">
        <v>991</v>
      </c>
      <c r="S6" s="67" t="s">
        <v>1009</v>
      </c>
      <c r="T6" s="68"/>
      <c r="U6" s="42" t="s">
        <v>1010</v>
      </c>
      <c r="V6" s="75" t="s">
        <v>930</v>
      </c>
      <c r="W6" s="78"/>
      <c r="X6" s="76"/>
      <c r="Y6" s="78"/>
      <c r="Z6" s="78"/>
      <c r="AA6" s="78"/>
      <c r="AB6" s="78"/>
      <c r="AC6" s="78"/>
      <c r="AD6" s="78"/>
      <c r="AE6" s="78"/>
      <c r="AF6" s="68"/>
      <c r="AG6" s="68"/>
      <c r="AH6" s="68"/>
      <c r="AI6" s="68"/>
      <c r="AJ6" s="68"/>
      <c r="AK6" s="68"/>
    </row>
    <row r="7">
      <c r="A7" s="67" t="s">
        <v>431</v>
      </c>
      <c r="B7" s="68" t="s">
        <v>449</v>
      </c>
      <c r="C7" s="68" t="s">
        <v>450</v>
      </c>
      <c r="D7" s="77" t="s">
        <v>1011</v>
      </c>
      <c r="E7" s="67" t="s">
        <v>961</v>
      </c>
      <c r="F7" s="70" t="s">
        <v>49</v>
      </c>
      <c r="G7" s="71" t="s">
        <v>1012</v>
      </c>
      <c r="H7" s="72" t="s">
        <v>964</v>
      </c>
      <c r="I7" s="70" t="s">
        <v>162</v>
      </c>
      <c r="J7" s="73" t="s">
        <v>1013</v>
      </c>
      <c r="K7" s="26" t="s">
        <v>1005</v>
      </c>
      <c r="L7" s="26" t="s">
        <v>1014</v>
      </c>
      <c r="M7" s="71" t="s">
        <v>1015</v>
      </c>
      <c r="N7" s="74">
        <v>2022.0</v>
      </c>
      <c r="O7" s="71" t="s">
        <v>989</v>
      </c>
      <c r="P7" s="71" t="s">
        <v>1016</v>
      </c>
      <c r="Q7" s="67" t="s">
        <v>961</v>
      </c>
      <c r="R7" s="67" t="s">
        <v>1017</v>
      </c>
      <c r="S7" s="67" t="s">
        <v>1018</v>
      </c>
      <c r="T7" s="68"/>
      <c r="U7" s="42" t="s">
        <v>1019</v>
      </c>
      <c r="V7" s="75" t="s">
        <v>930</v>
      </c>
      <c r="W7" s="80"/>
      <c r="X7" s="81"/>
      <c r="Y7" s="76"/>
      <c r="Z7" s="76"/>
      <c r="AA7" s="76"/>
      <c r="AB7" s="76"/>
      <c r="AC7" s="76"/>
      <c r="AD7" s="76"/>
      <c r="AE7" s="76"/>
      <c r="AF7" s="68"/>
      <c r="AG7" s="68"/>
      <c r="AH7" s="68"/>
      <c r="AI7" s="68"/>
      <c r="AJ7" s="68"/>
      <c r="AK7" s="68"/>
    </row>
    <row r="8">
      <c r="A8" s="67" t="s">
        <v>431</v>
      </c>
      <c r="B8" s="68" t="s">
        <v>452</v>
      </c>
      <c r="C8" s="68" t="s">
        <v>453</v>
      </c>
      <c r="D8" s="69" t="s">
        <v>1020</v>
      </c>
      <c r="E8" s="67" t="s">
        <v>961</v>
      </c>
      <c r="F8" s="70" t="s">
        <v>49</v>
      </c>
      <c r="G8" s="71" t="s">
        <v>995</v>
      </c>
      <c r="H8" s="71"/>
      <c r="I8" s="70" t="s">
        <v>162</v>
      </c>
      <c r="J8" s="73" t="s">
        <v>985</v>
      </c>
      <c r="K8" s="26" t="s">
        <v>1005</v>
      </c>
      <c r="L8" s="26" t="s">
        <v>1021</v>
      </c>
      <c r="M8" s="71" t="s">
        <v>1022</v>
      </c>
      <c r="N8" s="74">
        <v>2022.0</v>
      </c>
      <c r="O8" s="71" t="s">
        <v>989</v>
      </c>
      <c r="P8" s="71" t="s">
        <v>1023</v>
      </c>
      <c r="Q8" s="67" t="s">
        <v>961</v>
      </c>
      <c r="R8" s="67" t="s">
        <v>980</v>
      </c>
      <c r="S8" s="67" t="s">
        <v>1024</v>
      </c>
      <c r="T8" s="68"/>
      <c r="U8" s="42" t="s">
        <v>1025</v>
      </c>
      <c r="V8" s="75" t="s">
        <v>1026</v>
      </c>
      <c r="W8" s="82"/>
      <c r="X8" s="78"/>
      <c r="Y8" s="76"/>
      <c r="Z8" s="76"/>
      <c r="AA8" s="78"/>
      <c r="AB8" s="76"/>
      <c r="AC8" s="78"/>
      <c r="AD8" s="78"/>
      <c r="AE8" s="78"/>
      <c r="AF8" s="68"/>
      <c r="AG8" s="68"/>
      <c r="AH8" s="68"/>
      <c r="AI8" s="68"/>
      <c r="AJ8" s="68"/>
      <c r="AK8" s="68"/>
    </row>
    <row r="9">
      <c r="A9" s="67" t="s">
        <v>431</v>
      </c>
      <c r="B9" s="68" t="s">
        <v>457</v>
      </c>
      <c r="C9" s="68" t="s">
        <v>458</v>
      </c>
      <c r="D9" s="77" t="s">
        <v>1027</v>
      </c>
      <c r="E9" s="67" t="s">
        <v>961</v>
      </c>
      <c r="F9" s="70" t="s">
        <v>49</v>
      </c>
      <c r="G9" s="71" t="s">
        <v>995</v>
      </c>
      <c r="H9" s="71"/>
      <c r="I9" s="70" t="s">
        <v>162</v>
      </c>
      <c r="J9" s="73" t="s">
        <v>985</v>
      </c>
      <c r="K9" s="26" t="s">
        <v>1028</v>
      </c>
      <c r="L9" s="26" t="s">
        <v>1029</v>
      </c>
      <c r="M9" s="71" t="s">
        <v>1022</v>
      </c>
      <c r="N9" s="74">
        <v>2022.0</v>
      </c>
      <c r="O9" s="71" t="s">
        <v>969</v>
      </c>
      <c r="P9" s="71" t="s">
        <v>970</v>
      </c>
      <c r="Q9" s="67" t="s">
        <v>961</v>
      </c>
      <c r="R9" s="67" t="s">
        <v>1017</v>
      </c>
      <c r="S9" s="67" t="s">
        <v>1030</v>
      </c>
      <c r="T9" s="68"/>
      <c r="U9" s="39" t="s">
        <v>1031</v>
      </c>
      <c r="V9" s="75" t="s">
        <v>930</v>
      </c>
      <c r="W9" s="68"/>
      <c r="X9" s="68"/>
      <c r="Y9" s="68"/>
      <c r="Z9" s="68"/>
      <c r="AA9" s="68"/>
      <c r="AB9" s="68"/>
      <c r="AC9" s="68"/>
      <c r="AD9" s="68"/>
      <c r="AE9" s="68"/>
      <c r="AF9" s="68"/>
      <c r="AG9" s="68"/>
      <c r="AH9" s="68"/>
      <c r="AI9" s="68"/>
      <c r="AJ9" s="68"/>
      <c r="AK9" s="68"/>
    </row>
    <row r="10">
      <c r="A10" s="67" t="s">
        <v>431</v>
      </c>
      <c r="B10" s="68" t="s">
        <v>459</v>
      </c>
      <c r="C10" s="68" t="s">
        <v>460</v>
      </c>
      <c r="D10" s="69" t="s">
        <v>1032</v>
      </c>
      <c r="E10" s="67" t="s">
        <v>961</v>
      </c>
      <c r="F10" s="70" t="s">
        <v>49</v>
      </c>
      <c r="G10" s="71" t="s">
        <v>1033</v>
      </c>
      <c r="H10" s="71"/>
      <c r="I10" s="70" t="s">
        <v>1033</v>
      </c>
      <c r="J10" s="73" t="s">
        <v>1034</v>
      </c>
      <c r="K10" s="26" t="s">
        <v>1035</v>
      </c>
      <c r="L10" s="26" t="s">
        <v>1036</v>
      </c>
      <c r="M10" s="71" t="s">
        <v>1022</v>
      </c>
      <c r="N10" s="74">
        <v>2021.0</v>
      </c>
      <c r="O10" s="71" t="s">
        <v>989</v>
      </c>
      <c r="P10" s="71" t="s">
        <v>970</v>
      </c>
      <c r="Q10" s="67" t="s">
        <v>961</v>
      </c>
      <c r="R10" s="67" t="s">
        <v>991</v>
      </c>
      <c r="S10" s="67" t="s">
        <v>1037</v>
      </c>
      <c r="T10" s="68"/>
      <c r="U10" s="39" t="s">
        <v>1038</v>
      </c>
      <c r="V10" s="75" t="s">
        <v>930</v>
      </c>
      <c r="W10" s="68"/>
      <c r="X10" s="68"/>
      <c r="Y10" s="68"/>
      <c r="Z10" s="68"/>
      <c r="AA10" s="68"/>
      <c r="AB10" s="68"/>
      <c r="AC10" s="68"/>
      <c r="AD10" s="68"/>
      <c r="AE10" s="68"/>
      <c r="AF10" s="68"/>
      <c r="AG10" s="68"/>
      <c r="AH10" s="68"/>
      <c r="AI10" s="68"/>
      <c r="AJ10" s="68"/>
      <c r="AK10" s="68"/>
    </row>
    <row r="11">
      <c r="A11" s="67" t="s">
        <v>431</v>
      </c>
      <c r="B11" s="68" t="s">
        <v>464</v>
      </c>
      <c r="C11" s="68" t="s">
        <v>465</v>
      </c>
      <c r="D11" s="69" t="s">
        <v>1039</v>
      </c>
      <c r="E11" s="67" t="s">
        <v>961</v>
      </c>
      <c r="F11" s="70" t="s">
        <v>49</v>
      </c>
      <c r="G11" s="71" t="s">
        <v>1040</v>
      </c>
      <c r="H11" s="71"/>
      <c r="I11" s="70" t="s">
        <v>162</v>
      </c>
      <c r="J11" s="73" t="s">
        <v>985</v>
      </c>
      <c r="K11" s="26" t="s">
        <v>1041</v>
      </c>
      <c r="L11" s="26"/>
      <c r="M11" s="71" t="s">
        <v>1022</v>
      </c>
      <c r="N11" s="74">
        <v>2021.0</v>
      </c>
      <c r="O11" s="71" t="s">
        <v>989</v>
      </c>
      <c r="P11" s="71" t="s">
        <v>970</v>
      </c>
      <c r="Q11" s="67" t="s">
        <v>1008</v>
      </c>
      <c r="R11" s="67" t="s">
        <v>1042</v>
      </c>
      <c r="S11" s="67" t="s">
        <v>1043</v>
      </c>
      <c r="T11" s="68"/>
      <c r="U11" s="39" t="s">
        <v>1044</v>
      </c>
      <c r="V11" s="75" t="s">
        <v>930</v>
      </c>
      <c r="W11" s="68"/>
      <c r="X11" s="68"/>
      <c r="Y11" s="68"/>
      <c r="Z11" s="68"/>
      <c r="AA11" s="68"/>
      <c r="AB11" s="68"/>
      <c r="AC11" s="68"/>
      <c r="AD11" s="68"/>
      <c r="AE11" s="68"/>
      <c r="AF11" s="68"/>
      <c r="AG11" s="68"/>
      <c r="AH11" s="68"/>
      <c r="AI11" s="68"/>
      <c r="AJ11" s="68"/>
      <c r="AK11" s="68"/>
    </row>
    <row r="12">
      <c r="A12" s="67" t="s">
        <v>431</v>
      </c>
      <c r="B12" s="68" t="s">
        <v>472</v>
      </c>
      <c r="C12" s="68" t="s">
        <v>473</v>
      </c>
      <c r="D12" s="69" t="s">
        <v>1045</v>
      </c>
      <c r="E12" s="67" t="s">
        <v>961</v>
      </c>
      <c r="F12" s="70" t="s">
        <v>49</v>
      </c>
      <c r="G12" s="71" t="s">
        <v>1046</v>
      </c>
      <c r="H12" s="71" t="s">
        <v>162</v>
      </c>
      <c r="I12" s="70" t="s">
        <v>162</v>
      </c>
      <c r="J12" s="73" t="s">
        <v>996</v>
      </c>
      <c r="K12" s="26" t="s">
        <v>1047</v>
      </c>
      <c r="L12" s="26"/>
      <c r="M12" s="71" t="s">
        <v>1022</v>
      </c>
      <c r="N12" s="74">
        <v>2021.0</v>
      </c>
      <c r="O12" s="71" t="s">
        <v>999</v>
      </c>
      <c r="P12" s="71" t="s">
        <v>970</v>
      </c>
      <c r="Q12" s="67" t="s">
        <v>990</v>
      </c>
      <c r="R12" s="67" t="s">
        <v>1048</v>
      </c>
      <c r="S12" s="67" t="s">
        <v>1049</v>
      </c>
      <c r="T12" s="68"/>
      <c r="U12" s="39" t="s">
        <v>1050</v>
      </c>
      <c r="V12" s="75" t="s">
        <v>930</v>
      </c>
      <c r="W12" s="68"/>
      <c r="X12" s="68"/>
      <c r="Y12" s="68"/>
      <c r="Z12" s="68"/>
      <c r="AA12" s="68"/>
      <c r="AB12" s="68"/>
      <c r="AC12" s="68"/>
      <c r="AD12" s="68"/>
      <c r="AE12" s="68"/>
      <c r="AF12" s="68"/>
      <c r="AG12" s="68"/>
      <c r="AH12" s="68"/>
      <c r="AI12" s="68"/>
      <c r="AJ12" s="68"/>
      <c r="AK12" s="68"/>
    </row>
    <row r="13">
      <c r="A13" s="67" t="s">
        <v>431</v>
      </c>
      <c r="B13" s="68" t="s">
        <v>475</v>
      </c>
      <c r="C13" s="68" t="s">
        <v>476</v>
      </c>
      <c r="D13" s="69" t="s">
        <v>1051</v>
      </c>
      <c r="E13" s="67" t="s">
        <v>961</v>
      </c>
      <c r="F13" s="70" t="s">
        <v>49</v>
      </c>
      <c r="G13" s="71" t="s">
        <v>1052</v>
      </c>
      <c r="H13" s="71"/>
      <c r="I13" s="70" t="s">
        <v>1033</v>
      </c>
      <c r="J13" s="73" t="s">
        <v>1034</v>
      </c>
      <c r="K13" s="26" t="s">
        <v>1053</v>
      </c>
      <c r="L13" s="26"/>
      <c r="M13" s="71" t="s">
        <v>1022</v>
      </c>
      <c r="N13" s="74">
        <v>2021.0</v>
      </c>
      <c r="O13" s="71" t="s">
        <v>1054</v>
      </c>
      <c r="P13" s="71" t="s">
        <v>970</v>
      </c>
      <c r="Q13" s="67" t="s">
        <v>961</v>
      </c>
      <c r="R13" s="67" t="s">
        <v>1055</v>
      </c>
      <c r="S13" s="67" t="s">
        <v>1056</v>
      </c>
      <c r="T13" s="68"/>
      <c r="U13" s="39" t="s">
        <v>1057</v>
      </c>
      <c r="V13" s="75" t="s">
        <v>930</v>
      </c>
      <c r="W13" s="68"/>
      <c r="X13" s="68"/>
      <c r="Y13" s="68"/>
      <c r="Z13" s="68"/>
      <c r="AA13" s="68"/>
      <c r="AB13" s="68"/>
      <c r="AC13" s="68"/>
      <c r="AD13" s="68"/>
      <c r="AE13" s="68"/>
      <c r="AF13" s="68"/>
      <c r="AG13" s="68"/>
      <c r="AH13" s="68"/>
      <c r="AI13" s="68"/>
      <c r="AJ13" s="68"/>
      <c r="AK13" s="68"/>
    </row>
    <row r="14">
      <c r="A14" s="67" t="s">
        <v>431</v>
      </c>
      <c r="B14" s="68" t="s">
        <v>486</v>
      </c>
      <c r="C14" s="68" t="s">
        <v>487</v>
      </c>
      <c r="D14" s="69" t="s">
        <v>1058</v>
      </c>
      <c r="E14" s="67" t="s">
        <v>961</v>
      </c>
      <c r="F14" s="70" t="s">
        <v>49</v>
      </c>
      <c r="G14" s="71" t="s">
        <v>1059</v>
      </c>
      <c r="H14" s="71" t="s">
        <v>162</v>
      </c>
      <c r="I14" s="70" t="s">
        <v>162</v>
      </c>
      <c r="J14" s="73" t="s">
        <v>1060</v>
      </c>
      <c r="K14" s="26" t="s">
        <v>1061</v>
      </c>
      <c r="L14" s="26"/>
      <c r="M14" s="71" t="s">
        <v>1062</v>
      </c>
      <c r="N14" s="74">
        <v>2021.0</v>
      </c>
      <c r="O14" s="71" t="s">
        <v>978</v>
      </c>
      <c r="P14" s="71" t="s">
        <v>970</v>
      </c>
      <c r="Q14" s="67" t="s">
        <v>961</v>
      </c>
      <c r="R14" s="67" t="s">
        <v>1055</v>
      </c>
      <c r="S14" s="67" t="s">
        <v>1063</v>
      </c>
      <c r="T14" s="68"/>
      <c r="U14" s="39" t="s">
        <v>1064</v>
      </c>
      <c r="V14" s="75" t="s">
        <v>930</v>
      </c>
      <c r="W14" s="68"/>
      <c r="X14" s="68"/>
      <c r="Y14" s="68"/>
      <c r="Z14" s="68"/>
      <c r="AA14" s="68"/>
      <c r="AB14" s="68"/>
      <c r="AC14" s="68"/>
      <c r="AD14" s="68"/>
      <c r="AE14" s="68"/>
      <c r="AF14" s="68"/>
      <c r="AG14" s="68"/>
      <c r="AH14" s="68"/>
      <c r="AI14" s="68"/>
      <c r="AJ14" s="68"/>
      <c r="AK14" s="68"/>
    </row>
    <row r="15">
      <c r="A15" s="67" t="s">
        <v>431</v>
      </c>
      <c r="B15" s="68" t="s">
        <v>490</v>
      </c>
      <c r="C15" s="68" t="s">
        <v>491</v>
      </c>
      <c r="D15" s="77" t="s">
        <v>1065</v>
      </c>
      <c r="E15" s="67" t="s">
        <v>961</v>
      </c>
      <c r="F15" s="70" t="s">
        <v>49</v>
      </c>
      <c r="G15" s="71" t="s">
        <v>1066</v>
      </c>
      <c r="H15" s="71" t="s">
        <v>1033</v>
      </c>
      <c r="I15" s="70" t="s">
        <v>162</v>
      </c>
      <c r="J15" s="73" t="s">
        <v>1034</v>
      </c>
      <c r="K15" s="26" t="s">
        <v>1005</v>
      </c>
      <c r="L15" s="26"/>
      <c r="M15" s="71" t="s">
        <v>1022</v>
      </c>
      <c r="N15" s="74">
        <v>2021.0</v>
      </c>
      <c r="O15" s="71" t="s">
        <v>989</v>
      </c>
      <c r="P15" s="71" t="s">
        <v>970</v>
      </c>
      <c r="Q15" s="67" t="s">
        <v>961</v>
      </c>
      <c r="R15" s="67" t="s">
        <v>991</v>
      </c>
      <c r="S15" s="67" t="s">
        <v>1043</v>
      </c>
      <c r="T15" s="68"/>
      <c r="U15" s="39" t="s">
        <v>1067</v>
      </c>
      <c r="V15" s="75" t="s">
        <v>930</v>
      </c>
      <c r="W15" s="68"/>
      <c r="X15" s="68"/>
      <c r="Y15" s="68"/>
      <c r="Z15" s="68"/>
      <c r="AA15" s="68"/>
      <c r="AB15" s="68"/>
      <c r="AC15" s="68"/>
      <c r="AD15" s="68"/>
      <c r="AE15" s="68"/>
      <c r="AF15" s="68"/>
      <c r="AG15" s="68"/>
      <c r="AH15" s="68"/>
      <c r="AI15" s="68"/>
      <c r="AJ15" s="68"/>
      <c r="AK15" s="68"/>
    </row>
    <row r="16">
      <c r="A16" s="67" t="s">
        <v>431</v>
      </c>
      <c r="B16" s="68" t="s">
        <v>494</v>
      </c>
      <c r="C16" s="68" t="s">
        <v>495</v>
      </c>
      <c r="D16" s="77" t="s">
        <v>1068</v>
      </c>
      <c r="E16" s="67" t="s">
        <v>961</v>
      </c>
      <c r="F16" s="70" t="s">
        <v>49</v>
      </c>
      <c r="G16" s="71" t="s">
        <v>1069</v>
      </c>
      <c r="H16" s="71"/>
      <c r="I16" s="70" t="s">
        <v>1033</v>
      </c>
      <c r="J16" s="73" t="s">
        <v>1034</v>
      </c>
      <c r="K16" s="26" t="s">
        <v>1070</v>
      </c>
      <c r="L16" s="26"/>
      <c r="M16" s="71" t="s">
        <v>1015</v>
      </c>
      <c r="N16" s="74">
        <v>2021.0</v>
      </c>
      <c r="O16" s="71" t="s">
        <v>989</v>
      </c>
      <c r="P16" s="71" t="s">
        <v>1071</v>
      </c>
      <c r="Q16" s="67" t="s">
        <v>961</v>
      </c>
      <c r="R16" s="67" t="s">
        <v>1072</v>
      </c>
      <c r="S16" s="67" t="s">
        <v>1073</v>
      </c>
      <c r="T16" s="68"/>
      <c r="U16" s="39" t="s">
        <v>1074</v>
      </c>
      <c r="V16" s="75" t="s">
        <v>930</v>
      </c>
      <c r="W16" s="68"/>
      <c r="X16" s="68"/>
      <c r="Y16" s="68"/>
      <c r="Z16" s="68"/>
      <c r="AA16" s="68"/>
      <c r="AB16" s="68"/>
      <c r="AC16" s="68"/>
      <c r="AD16" s="68"/>
      <c r="AE16" s="68"/>
      <c r="AF16" s="68"/>
      <c r="AG16" s="68"/>
      <c r="AH16" s="68"/>
      <c r="AI16" s="68"/>
      <c r="AJ16" s="68"/>
      <c r="AK16" s="68"/>
    </row>
    <row r="17">
      <c r="A17" s="67" t="s">
        <v>431</v>
      </c>
      <c r="B17" s="68" t="s">
        <v>497</v>
      </c>
      <c r="C17" s="68" t="s">
        <v>498</v>
      </c>
      <c r="D17" s="69" t="s">
        <v>1075</v>
      </c>
      <c r="E17" s="67" t="s">
        <v>961</v>
      </c>
      <c r="F17" s="70" t="s">
        <v>49</v>
      </c>
      <c r="G17" s="71" t="s">
        <v>1076</v>
      </c>
      <c r="H17" s="71" t="s">
        <v>1077</v>
      </c>
      <c r="I17" s="70" t="s">
        <v>162</v>
      </c>
      <c r="J17" s="73" t="s">
        <v>985</v>
      </c>
      <c r="K17" s="26" t="s">
        <v>1078</v>
      </c>
      <c r="L17" s="26" t="s">
        <v>1079</v>
      </c>
      <c r="M17" s="71" t="s">
        <v>1022</v>
      </c>
      <c r="N17" s="74">
        <v>2020.0</v>
      </c>
      <c r="O17" s="71" t="s">
        <v>989</v>
      </c>
      <c r="P17" s="71" t="s">
        <v>1080</v>
      </c>
      <c r="Q17" s="67" t="s">
        <v>961</v>
      </c>
      <c r="R17" s="67" t="s">
        <v>1081</v>
      </c>
      <c r="S17" s="67" t="s">
        <v>1082</v>
      </c>
      <c r="T17" s="68"/>
      <c r="U17" s="39" t="s">
        <v>1083</v>
      </c>
      <c r="V17" s="75" t="s">
        <v>930</v>
      </c>
      <c r="W17" s="68"/>
      <c r="X17" s="68"/>
      <c r="Y17" s="68"/>
      <c r="Z17" s="68"/>
      <c r="AA17" s="68"/>
      <c r="AB17" s="68"/>
      <c r="AC17" s="68"/>
      <c r="AD17" s="68"/>
      <c r="AE17" s="68"/>
      <c r="AF17" s="68"/>
      <c r="AG17" s="68"/>
      <c r="AH17" s="68"/>
      <c r="AI17" s="68"/>
      <c r="AJ17" s="68"/>
      <c r="AK17" s="68"/>
    </row>
    <row r="18">
      <c r="A18" s="67" t="s">
        <v>431</v>
      </c>
      <c r="B18" s="68" t="s">
        <v>499</v>
      </c>
      <c r="C18" s="68" t="s">
        <v>500</v>
      </c>
      <c r="D18" s="69" t="s">
        <v>1084</v>
      </c>
      <c r="E18" s="67" t="s">
        <v>961</v>
      </c>
      <c r="F18" s="70" t="s">
        <v>49</v>
      </c>
      <c r="G18" s="71" t="s">
        <v>1033</v>
      </c>
      <c r="H18" s="71"/>
      <c r="I18" s="70" t="s">
        <v>1033</v>
      </c>
      <c r="J18" s="73" t="s">
        <v>1085</v>
      </c>
      <c r="K18" s="26" t="s">
        <v>1086</v>
      </c>
      <c r="L18" s="26"/>
      <c r="M18" s="71" t="s">
        <v>1087</v>
      </c>
      <c r="N18" s="74">
        <v>2020.0</v>
      </c>
      <c r="O18" s="71" t="s">
        <v>1088</v>
      </c>
      <c r="P18" s="71" t="s">
        <v>1089</v>
      </c>
      <c r="Q18" s="67" t="s">
        <v>961</v>
      </c>
      <c r="R18" s="67" t="s">
        <v>1090</v>
      </c>
      <c r="S18" s="67" t="s">
        <v>1091</v>
      </c>
      <c r="T18" s="68"/>
      <c r="U18" s="39" t="s">
        <v>1092</v>
      </c>
      <c r="V18" s="75" t="s">
        <v>930</v>
      </c>
      <c r="W18" s="68"/>
      <c r="X18" s="68"/>
      <c r="Y18" s="68"/>
      <c r="Z18" s="68"/>
      <c r="AA18" s="68"/>
      <c r="AB18" s="68"/>
      <c r="AC18" s="68"/>
      <c r="AD18" s="68"/>
      <c r="AE18" s="68"/>
      <c r="AF18" s="68"/>
      <c r="AG18" s="68"/>
      <c r="AH18" s="68"/>
      <c r="AI18" s="68"/>
      <c r="AJ18" s="68"/>
      <c r="AK18" s="68"/>
    </row>
    <row r="19">
      <c r="A19" s="67" t="s">
        <v>431</v>
      </c>
      <c r="B19" s="83" t="s">
        <v>614</v>
      </c>
      <c r="C19" s="83" t="s">
        <v>615</v>
      </c>
      <c r="D19" s="77" t="s">
        <v>1093</v>
      </c>
      <c r="E19" s="67" t="s">
        <v>961</v>
      </c>
      <c r="F19" s="70" t="s">
        <v>49</v>
      </c>
      <c r="G19" s="71" t="s">
        <v>1094</v>
      </c>
      <c r="H19" s="71"/>
      <c r="I19" s="72" t="s">
        <v>964</v>
      </c>
      <c r="J19" s="73" t="s">
        <v>965</v>
      </c>
      <c r="K19" s="26" t="s">
        <v>1005</v>
      </c>
      <c r="L19" s="26" t="s">
        <v>1095</v>
      </c>
      <c r="M19" s="71" t="s">
        <v>1015</v>
      </c>
      <c r="N19" s="74">
        <v>2025.0</v>
      </c>
      <c r="O19" s="71" t="s">
        <v>978</v>
      </c>
      <c r="P19" s="71" t="s">
        <v>1096</v>
      </c>
      <c r="Q19" s="67" t="s">
        <v>961</v>
      </c>
      <c r="R19" s="67" t="s">
        <v>1097</v>
      </c>
      <c r="S19" s="67" t="s">
        <v>1098</v>
      </c>
      <c r="T19" s="68"/>
      <c r="U19" s="39" t="s">
        <v>1099</v>
      </c>
      <c r="V19" s="75" t="s">
        <v>1026</v>
      </c>
      <c r="W19" s="68"/>
      <c r="X19" s="68"/>
      <c r="Y19" s="68"/>
      <c r="Z19" s="68"/>
      <c r="AA19" s="68"/>
      <c r="AB19" s="68"/>
      <c r="AC19" s="68"/>
      <c r="AD19" s="68"/>
      <c r="AE19" s="68"/>
      <c r="AF19" s="68"/>
      <c r="AG19" s="68"/>
      <c r="AH19" s="68"/>
      <c r="AI19" s="68"/>
      <c r="AJ19" s="68"/>
      <c r="AK19" s="68"/>
    </row>
    <row r="20">
      <c r="A20" s="67" t="s">
        <v>431</v>
      </c>
      <c r="B20" s="83" t="s">
        <v>621</v>
      </c>
      <c r="C20" s="83" t="s">
        <v>622</v>
      </c>
      <c r="D20" s="77" t="s">
        <v>1100</v>
      </c>
      <c r="E20" s="67" t="s">
        <v>961</v>
      </c>
      <c r="F20" s="70" t="s">
        <v>49</v>
      </c>
      <c r="G20" s="71" t="s">
        <v>1101</v>
      </c>
      <c r="H20" s="72" t="s">
        <v>964</v>
      </c>
      <c r="I20" s="70" t="s">
        <v>162</v>
      </c>
      <c r="J20" s="79" t="s">
        <v>1102</v>
      </c>
      <c r="K20" s="26" t="s">
        <v>1005</v>
      </c>
      <c r="L20" s="26" t="s">
        <v>1103</v>
      </c>
      <c r="M20" s="71" t="s">
        <v>1022</v>
      </c>
      <c r="N20" s="74">
        <v>2025.0</v>
      </c>
      <c r="O20" s="71" t="s">
        <v>989</v>
      </c>
      <c r="P20" s="71" t="s">
        <v>970</v>
      </c>
      <c r="Q20" s="67" t="s">
        <v>990</v>
      </c>
      <c r="R20" s="67" t="s">
        <v>991</v>
      </c>
      <c r="S20" s="67" t="s">
        <v>1104</v>
      </c>
      <c r="T20" s="68"/>
      <c r="U20" s="39" t="s">
        <v>1105</v>
      </c>
      <c r="V20" s="75" t="s">
        <v>930</v>
      </c>
      <c r="W20" s="68"/>
      <c r="X20" s="67"/>
      <c r="Y20" s="68"/>
      <c r="Z20" s="68"/>
      <c r="AA20" s="68"/>
      <c r="AB20" s="68"/>
      <c r="AC20" s="68"/>
      <c r="AD20" s="68"/>
      <c r="AE20" s="68"/>
      <c r="AF20" s="68"/>
      <c r="AG20" s="68"/>
      <c r="AH20" s="68"/>
      <c r="AI20" s="68"/>
      <c r="AJ20" s="68"/>
      <c r="AK20" s="68"/>
    </row>
    <row r="21">
      <c r="A21" s="67" t="s">
        <v>431</v>
      </c>
      <c r="B21" s="83" t="s">
        <v>625</v>
      </c>
      <c r="C21" s="83" t="s">
        <v>626</v>
      </c>
      <c r="D21" s="77" t="s">
        <v>1106</v>
      </c>
      <c r="E21" s="67" t="s">
        <v>961</v>
      </c>
      <c r="F21" s="70" t="s">
        <v>49</v>
      </c>
      <c r="G21" s="71" t="s">
        <v>1107</v>
      </c>
      <c r="H21" s="71" t="s">
        <v>1108</v>
      </c>
      <c r="I21" s="70" t="s">
        <v>162</v>
      </c>
      <c r="J21" s="73" t="s">
        <v>985</v>
      </c>
      <c r="K21" s="26" t="s">
        <v>1109</v>
      </c>
      <c r="L21" s="26" t="s">
        <v>1110</v>
      </c>
      <c r="M21" s="71" t="s">
        <v>1022</v>
      </c>
      <c r="N21" s="74">
        <v>2025.0</v>
      </c>
      <c r="O21" s="71" t="s">
        <v>1111</v>
      </c>
      <c r="P21" s="71" t="s">
        <v>970</v>
      </c>
      <c r="Q21" s="67" t="s">
        <v>1112</v>
      </c>
      <c r="R21" s="67" t="s">
        <v>1113</v>
      </c>
      <c r="S21" s="67" t="s">
        <v>1114</v>
      </c>
      <c r="T21" s="68"/>
      <c r="U21" s="39" t="s">
        <v>1115</v>
      </c>
      <c r="V21" s="75" t="s">
        <v>930</v>
      </c>
      <c r="W21" s="68"/>
      <c r="X21" s="68"/>
      <c r="Y21" s="68"/>
      <c r="Z21" s="68"/>
      <c r="AA21" s="68"/>
      <c r="AB21" s="68"/>
      <c r="AC21" s="68"/>
      <c r="AD21" s="68"/>
      <c r="AE21" s="68"/>
      <c r="AF21" s="68"/>
      <c r="AG21" s="68"/>
      <c r="AH21" s="68"/>
      <c r="AI21" s="68"/>
      <c r="AJ21" s="68"/>
      <c r="AK21" s="68"/>
    </row>
    <row r="22">
      <c r="A22" s="67" t="s">
        <v>431</v>
      </c>
      <c r="B22" s="83" t="s">
        <v>727</v>
      </c>
      <c r="C22" s="83" t="s">
        <v>728</v>
      </c>
      <c r="D22" s="77" t="s">
        <v>1116</v>
      </c>
      <c r="E22" s="67" t="s">
        <v>961</v>
      </c>
      <c r="F22" s="70" t="s">
        <v>49</v>
      </c>
      <c r="G22" s="71" t="s">
        <v>976</v>
      </c>
      <c r="H22" s="71" t="s">
        <v>1117</v>
      </c>
      <c r="I22" s="70" t="s">
        <v>162</v>
      </c>
      <c r="J22" s="73" t="s">
        <v>1060</v>
      </c>
      <c r="K22" s="26" t="s">
        <v>1041</v>
      </c>
      <c r="L22" s="26" t="s">
        <v>1118</v>
      </c>
      <c r="M22" s="71" t="s">
        <v>1022</v>
      </c>
      <c r="N22" s="74">
        <v>2025.0</v>
      </c>
      <c r="O22" s="71" t="s">
        <v>989</v>
      </c>
      <c r="P22" s="71" t="s">
        <v>970</v>
      </c>
      <c r="Q22" s="67" t="s">
        <v>1119</v>
      </c>
      <c r="R22" s="67" t="s">
        <v>1120</v>
      </c>
      <c r="S22" s="67" t="s">
        <v>1121</v>
      </c>
      <c r="T22" s="68"/>
      <c r="U22" s="39" t="s">
        <v>1122</v>
      </c>
      <c r="V22" s="75" t="s">
        <v>930</v>
      </c>
      <c r="W22" s="68"/>
      <c r="X22" s="68"/>
      <c r="Y22" s="68"/>
      <c r="Z22" s="68"/>
      <c r="AA22" s="68"/>
      <c r="AB22" s="68"/>
      <c r="AC22" s="68"/>
      <c r="AD22" s="68"/>
      <c r="AE22" s="68"/>
      <c r="AF22" s="68"/>
      <c r="AG22" s="68"/>
      <c r="AH22" s="68"/>
      <c r="AI22" s="68"/>
      <c r="AJ22" s="68"/>
      <c r="AK22" s="68"/>
    </row>
    <row r="23">
      <c r="A23" s="67" t="s">
        <v>431</v>
      </c>
      <c r="B23" s="83" t="s">
        <v>731</v>
      </c>
      <c r="C23" s="83" t="s">
        <v>732</v>
      </c>
      <c r="D23" s="77" t="s">
        <v>1123</v>
      </c>
      <c r="E23" s="67" t="s">
        <v>961</v>
      </c>
      <c r="F23" s="70" t="s">
        <v>49</v>
      </c>
      <c r="G23" s="71" t="s">
        <v>984</v>
      </c>
      <c r="H23" s="72" t="s">
        <v>964</v>
      </c>
      <c r="I23" s="70" t="s">
        <v>162</v>
      </c>
      <c r="J23" s="73" t="s">
        <v>1124</v>
      </c>
      <c r="K23" s="26" t="s">
        <v>1005</v>
      </c>
      <c r="L23" s="26" t="s">
        <v>1125</v>
      </c>
      <c r="M23" s="71" t="s">
        <v>1022</v>
      </c>
      <c r="N23" s="74">
        <v>2025.0</v>
      </c>
      <c r="O23" s="71" t="s">
        <v>989</v>
      </c>
      <c r="P23" s="71" t="s">
        <v>970</v>
      </c>
      <c r="Q23" s="67" t="s">
        <v>1126</v>
      </c>
      <c r="R23" s="67" t="s">
        <v>1048</v>
      </c>
      <c r="S23" s="67" t="s">
        <v>1127</v>
      </c>
      <c r="T23" s="68"/>
      <c r="U23" s="39" t="s">
        <v>1128</v>
      </c>
      <c r="V23" s="75" t="s">
        <v>930</v>
      </c>
      <c r="W23" s="68"/>
      <c r="X23" s="67"/>
      <c r="Y23" s="68"/>
      <c r="Z23" s="68"/>
      <c r="AA23" s="68"/>
      <c r="AB23" s="68"/>
      <c r="AC23" s="68"/>
      <c r="AD23" s="68"/>
      <c r="AE23" s="68"/>
      <c r="AF23" s="68"/>
      <c r="AG23" s="68"/>
      <c r="AH23" s="68"/>
      <c r="AI23" s="68"/>
      <c r="AJ23" s="68"/>
      <c r="AK23" s="68"/>
    </row>
    <row r="24">
      <c r="A24" s="67" t="s">
        <v>431</v>
      </c>
      <c r="B24" s="83" t="s">
        <v>734</v>
      </c>
      <c r="C24" s="83" t="s">
        <v>735</v>
      </c>
      <c r="D24" s="77" t="s">
        <v>1129</v>
      </c>
      <c r="E24" s="67" t="s">
        <v>961</v>
      </c>
      <c r="F24" s="70" t="s">
        <v>49</v>
      </c>
      <c r="G24" s="71" t="s">
        <v>1101</v>
      </c>
      <c r="H24" s="71"/>
      <c r="I24" s="72" t="s">
        <v>964</v>
      </c>
      <c r="J24" s="79" t="s">
        <v>1130</v>
      </c>
      <c r="K24" s="26" t="s">
        <v>1131</v>
      </c>
      <c r="L24" s="26" t="s">
        <v>1132</v>
      </c>
      <c r="M24" s="71" t="s">
        <v>1015</v>
      </c>
      <c r="N24" s="74">
        <v>2025.0</v>
      </c>
      <c r="O24" s="71" t="s">
        <v>989</v>
      </c>
      <c r="P24" s="71" t="s">
        <v>970</v>
      </c>
      <c r="Q24" s="67" t="s">
        <v>1008</v>
      </c>
      <c r="R24" s="67" t="s">
        <v>1048</v>
      </c>
      <c r="S24" s="67" t="s">
        <v>1104</v>
      </c>
      <c r="T24" s="68"/>
      <c r="U24" s="39" t="s">
        <v>1133</v>
      </c>
      <c r="V24" s="75" t="s">
        <v>930</v>
      </c>
      <c r="W24" s="68"/>
      <c r="X24" s="68"/>
      <c r="Y24" s="68"/>
      <c r="Z24" s="68"/>
      <c r="AA24" s="68"/>
      <c r="AB24" s="68"/>
      <c r="AC24" s="68"/>
      <c r="AD24" s="68"/>
      <c r="AE24" s="68"/>
      <c r="AF24" s="68"/>
      <c r="AG24" s="68"/>
      <c r="AH24" s="68"/>
      <c r="AI24" s="68"/>
      <c r="AJ24" s="68"/>
      <c r="AK24" s="68"/>
    </row>
    <row r="25">
      <c r="A25" s="67" t="s">
        <v>431</v>
      </c>
      <c r="B25" s="83" t="s">
        <v>737</v>
      </c>
      <c r="C25" s="83" t="s">
        <v>738</v>
      </c>
      <c r="D25" s="77" t="s">
        <v>1134</v>
      </c>
      <c r="E25" s="67" t="s">
        <v>961</v>
      </c>
      <c r="F25" s="70" t="s">
        <v>49</v>
      </c>
      <c r="G25" s="71" t="s">
        <v>1101</v>
      </c>
      <c r="H25" s="72" t="s">
        <v>964</v>
      </c>
      <c r="I25" s="70" t="s">
        <v>162</v>
      </c>
      <c r="J25" s="79" t="s">
        <v>1135</v>
      </c>
      <c r="K25" s="26" t="s">
        <v>1061</v>
      </c>
      <c r="L25" s="26"/>
      <c r="M25" s="71" t="s">
        <v>1022</v>
      </c>
      <c r="N25" s="74">
        <v>2025.0</v>
      </c>
      <c r="O25" s="71" t="s">
        <v>989</v>
      </c>
      <c r="P25" s="71" t="s">
        <v>970</v>
      </c>
      <c r="Q25" s="67" t="s">
        <v>990</v>
      </c>
      <c r="R25" s="67" t="s">
        <v>1048</v>
      </c>
      <c r="S25" s="67" t="s">
        <v>1043</v>
      </c>
      <c r="T25" s="68"/>
      <c r="U25" s="39" t="s">
        <v>1136</v>
      </c>
      <c r="V25" s="75" t="s">
        <v>930</v>
      </c>
      <c r="W25" s="68"/>
      <c r="X25" s="67"/>
      <c r="Y25" s="68"/>
      <c r="Z25" s="68"/>
      <c r="AA25" s="68"/>
      <c r="AB25" s="68"/>
      <c r="AC25" s="68"/>
      <c r="AD25" s="68"/>
      <c r="AE25" s="68"/>
      <c r="AF25" s="68"/>
      <c r="AG25" s="68"/>
      <c r="AH25" s="68"/>
      <c r="AI25" s="68"/>
      <c r="AJ25" s="68"/>
      <c r="AK25" s="68"/>
    </row>
    <row r="26">
      <c r="A26" s="67" t="s">
        <v>431</v>
      </c>
      <c r="B26" s="83" t="s">
        <v>740</v>
      </c>
      <c r="C26" s="39" t="s">
        <v>741</v>
      </c>
      <c r="D26" s="69" t="s">
        <v>1137</v>
      </c>
      <c r="E26" s="67" t="s">
        <v>961</v>
      </c>
      <c r="F26" s="70" t="s">
        <v>49</v>
      </c>
      <c r="G26" s="71" t="s">
        <v>984</v>
      </c>
      <c r="H26" s="72" t="s">
        <v>964</v>
      </c>
      <c r="I26" s="70" t="s">
        <v>162</v>
      </c>
      <c r="J26" s="73" t="s">
        <v>1013</v>
      </c>
      <c r="K26" s="26" t="s">
        <v>1005</v>
      </c>
      <c r="L26" s="26" t="s">
        <v>1138</v>
      </c>
      <c r="M26" s="71" t="s">
        <v>1022</v>
      </c>
      <c r="N26" s="74">
        <v>2025.0</v>
      </c>
      <c r="O26" s="71" t="s">
        <v>989</v>
      </c>
      <c r="P26" s="71" t="s">
        <v>970</v>
      </c>
      <c r="Q26" s="67" t="s">
        <v>990</v>
      </c>
      <c r="R26" s="67" t="s">
        <v>980</v>
      </c>
      <c r="S26" s="67" t="s">
        <v>1139</v>
      </c>
      <c r="T26" s="68"/>
      <c r="U26" s="39" t="s">
        <v>1140</v>
      </c>
      <c r="V26" s="75" t="s">
        <v>930</v>
      </c>
      <c r="W26" s="68"/>
      <c r="X26" s="67"/>
      <c r="Y26" s="68"/>
      <c r="Z26" s="68"/>
      <c r="AA26" s="68"/>
      <c r="AB26" s="68"/>
      <c r="AC26" s="68"/>
      <c r="AD26" s="68"/>
      <c r="AE26" s="68"/>
      <c r="AF26" s="68"/>
      <c r="AG26" s="68"/>
      <c r="AH26" s="68"/>
      <c r="AI26" s="68"/>
      <c r="AJ26" s="68"/>
      <c r="AK26" s="68"/>
    </row>
    <row r="27">
      <c r="A27" s="76" t="s">
        <v>431</v>
      </c>
      <c r="B27" s="84" t="s">
        <v>775</v>
      </c>
      <c r="C27" s="84" t="s">
        <v>776</v>
      </c>
      <c r="D27" s="85" t="s">
        <v>1141</v>
      </c>
      <c r="E27" s="76" t="s">
        <v>961</v>
      </c>
      <c r="F27" s="86" t="s">
        <v>47</v>
      </c>
      <c r="G27" s="87" t="s">
        <v>1142</v>
      </c>
      <c r="H27" s="87"/>
      <c r="I27" s="72" t="s">
        <v>964</v>
      </c>
      <c r="J27" s="88" t="s">
        <v>1013</v>
      </c>
      <c r="K27" s="28" t="s">
        <v>1109</v>
      </c>
      <c r="L27" s="28" t="s">
        <v>1143</v>
      </c>
      <c r="M27" s="87" t="s">
        <v>998</v>
      </c>
      <c r="N27" s="89">
        <v>2025.0</v>
      </c>
      <c r="O27" s="87" t="s">
        <v>969</v>
      </c>
      <c r="P27" s="87" t="s">
        <v>970</v>
      </c>
      <c r="Q27" s="76" t="s">
        <v>961</v>
      </c>
      <c r="R27" s="76" t="s">
        <v>1048</v>
      </c>
      <c r="S27" s="76" t="s">
        <v>1037</v>
      </c>
      <c r="T27" s="76"/>
      <c r="U27" s="42" t="s">
        <v>1144</v>
      </c>
      <c r="V27" s="75" t="s">
        <v>930</v>
      </c>
      <c r="W27" s="78"/>
      <c r="X27" s="78"/>
      <c r="Y27" s="78"/>
      <c r="Z27" s="78"/>
      <c r="AA27" s="78"/>
      <c r="AB27" s="78"/>
      <c r="AC27" s="78"/>
      <c r="AD27" s="78"/>
      <c r="AE27" s="78"/>
      <c r="AF27" s="78"/>
      <c r="AG27" s="78"/>
      <c r="AH27" s="78"/>
      <c r="AI27" s="78"/>
      <c r="AJ27" s="78"/>
      <c r="AK27" s="78"/>
    </row>
    <row r="28">
      <c r="A28" s="67" t="s">
        <v>431</v>
      </c>
      <c r="B28" s="83" t="s">
        <v>777</v>
      </c>
      <c r="C28" s="83" t="s">
        <v>778</v>
      </c>
      <c r="D28" s="77" t="s">
        <v>1145</v>
      </c>
      <c r="E28" s="67" t="s">
        <v>961</v>
      </c>
      <c r="F28" s="70" t="s">
        <v>49</v>
      </c>
      <c r="G28" s="71" t="s">
        <v>1146</v>
      </c>
      <c r="H28" s="71" t="s">
        <v>984</v>
      </c>
      <c r="I28" s="72" t="s">
        <v>162</v>
      </c>
      <c r="J28" s="73" t="s">
        <v>996</v>
      </c>
      <c r="K28" s="26" t="s">
        <v>1147</v>
      </c>
      <c r="L28" s="26" t="s">
        <v>1036</v>
      </c>
      <c r="M28" s="71" t="s">
        <v>1022</v>
      </c>
      <c r="N28" s="74">
        <v>2025.0</v>
      </c>
      <c r="O28" s="71" t="s">
        <v>999</v>
      </c>
      <c r="P28" s="71" t="s">
        <v>970</v>
      </c>
      <c r="Q28" s="67" t="s">
        <v>1148</v>
      </c>
      <c r="R28" s="67" t="s">
        <v>1149</v>
      </c>
      <c r="S28" s="67" t="s">
        <v>1150</v>
      </c>
      <c r="T28" s="68"/>
      <c r="U28" s="39" t="s">
        <v>1151</v>
      </c>
      <c r="V28" s="75" t="s">
        <v>930</v>
      </c>
      <c r="W28" s="68"/>
      <c r="X28" s="68"/>
      <c r="Y28" s="68"/>
      <c r="Z28" s="68"/>
      <c r="AA28" s="68"/>
      <c r="AB28" s="68"/>
      <c r="AC28" s="68"/>
      <c r="AD28" s="68"/>
      <c r="AE28" s="68"/>
      <c r="AF28" s="68"/>
      <c r="AG28" s="68"/>
      <c r="AH28" s="68"/>
      <c r="AI28" s="68"/>
      <c r="AJ28" s="68"/>
      <c r="AK28" s="68"/>
    </row>
    <row r="29">
      <c r="A29" s="67" t="s">
        <v>431</v>
      </c>
      <c r="B29" s="83" t="s">
        <v>782</v>
      </c>
      <c r="C29" s="83" t="s">
        <v>783</v>
      </c>
      <c r="D29" s="77" t="s">
        <v>1152</v>
      </c>
      <c r="E29" s="67" t="s">
        <v>961</v>
      </c>
      <c r="F29" s="70" t="s">
        <v>49</v>
      </c>
      <c r="G29" s="71" t="s">
        <v>1094</v>
      </c>
      <c r="H29" s="71" t="s">
        <v>162</v>
      </c>
      <c r="I29" s="70" t="s">
        <v>162</v>
      </c>
      <c r="J29" s="73" t="s">
        <v>1153</v>
      </c>
      <c r="K29" s="26" t="s">
        <v>1005</v>
      </c>
      <c r="L29" s="26" t="s">
        <v>1154</v>
      </c>
      <c r="M29" s="71" t="s">
        <v>1022</v>
      </c>
      <c r="N29" s="74">
        <v>2025.0</v>
      </c>
      <c r="O29" s="71" t="s">
        <v>989</v>
      </c>
      <c r="P29" s="71" t="s">
        <v>970</v>
      </c>
      <c r="Q29" s="67" t="s">
        <v>961</v>
      </c>
      <c r="R29" s="67" t="s">
        <v>1048</v>
      </c>
      <c r="S29" s="67" t="s">
        <v>1155</v>
      </c>
      <c r="T29" s="68"/>
      <c r="U29" s="39" t="s">
        <v>1156</v>
      </c>
      <c r="V29" s="75" t="s">
        <v>930</v>
      </c>
      <c r="W29" s="68"/>
      <c r="X29" s="68"/>
      <c r="Y29" s="68"/>
      <c r="Z29" s="68"/>
      <c r="AA29" s="68"/>
      <c r="AB29" s="68"/>
      <c r="AC29" s="68"/>
      <c r="AD29" s="68"/>
      <c r="AE29" s="68"/>
      <c r="AF29" s="68"/>
      <c r="AG29" s="68"/>
      <c r="AH29" s="68"/>
      <c r="AI29" s="68"/>
      <c r="AJ29" s="68"/>
      <c r="AK29" s="68"/>
    </row>
    <row r="30">
      <c r="A30" s="67" t="s">
        <v>431</v>
      </c>
      <c r="B30" s="83" t="s">
        <v>787</v>
      </c>
      <c r="C30" s="83" t="s">
        <v>788</v>
      </c>
      <c r="D30" s="69" t="s">
        <v>1157</v>
      </c>
      <c r="E30" s="67" t="s">
        <v>961</v>
      </c>
      <c r="F30" s="70" t="s">
        <v>49</v>
      </c>
      <c r="G30" s="71" t="s">
        <v>1158</v>
      </c>
      <c r="H30" s="71"/>
      <c r="I30" s="70" t="s">
        <v>162</v>
      </c>
      <c r="J30" s="73" t="s">
        <v>1159</v>
      </c>
      <c r="K30" s="26" t="s">
        <v>1109</v>
      </c>
      <c r="L30" s="26"/>
      <c r="M30" s="71" t="s">
        <v>1160</v>
      </c>
      <c r="N30" s="74">
        <v>2025.0</v>
      </c>
      <c r="O30" s="71" t="s">
        <v>989</v>
      </c>
      <c r="P30" s="71" t="s">
        <v>970</v>
      </c>
      <c r="Q30" s="67" t="s">
        <v>961</v>
      </c>
      <c r="R30" s="67" t="s">
        <v>1048</v>
      </c>
      <c r="S30" s="67" t="s">
        <v>1161</v>
      </c>
      <c r="T30" s="68"/>
      <c r="U30" s="39" t="s">
        <v>1162</v>
      </c>
      <c r="V30" s="75" t="s">
        <v>930</v>
      </c>
      <c r="W30" s="68"/>
      <c r="X30" s="68"/>
      <c r="Y30" s="68"/>
      <c r="Z30" s="68"/>
      <c r="AA30" s="68"/>
      <c r="AB30" s="68"/>
      <c r="AC30" s="68"/>
      <c r="AD30" s="68"/>
      <c r="AE30" s="68"/>
      <c r="AF30" s="68"/>
      <c r="AG30" s="68"/>
      <c r="AH30" s="68"/>
      <c r="AI30" s="68"/>
      <c r="AJ30" s="68"/>
      <c r="AK30" s="68"/>
    </row>
    <row r="31">
      <c r="A31" s="67" t="s">
        <v>431</v>
      </c>
      <c r="B31" s="83" t="s">
        <v>905</v>
      </c>
      <c r="C31" s="83" t="s">
        <v>906</v>
      </c>
      <c r="D31" s="77" t="s">
        <v>1163</v>
      </c>
      <c r="E31" s="67" t="s">
        <v>961</v>
      </c>
      <c r="F31" s="70" t="s">
        <v>49</v>
      </c>
      <c r="G31" s="71" t="s">
        <v>1164</v>
      </c>
      <c r="H31" s="71"/>
      <c r="I31" s="70" t="s">
        <v>162</v>
      </c>
      <c r="J31" s="73" t="s">
        <v>985</v>
      </c>
      <c r="K31" s="26" t="s">
        <v>1109</v>
      </c>
      <c r="L31" s="26" t="s">
        <v>1125</v>
      </c>
      <c r="M31" s="71" t="s">
        <v>1165</v>
      </c>
      <c r="N31" s="74">
        <v>2022.0</v>
      </c>
      <c r="O31" s="71" t="s">
        <v>989</v>
      </c>
      <c r="P31" s="71" t="s">
        <v>970</v>
      </c>
      <c r="Q31" s="67" t="s">
        <v>1008</v>
      </c>
      <c r="R31" s="67" t="s">
        <v>1166</v>
      </c>
      <c r="S31" s="67" t="s">
        <v>1167</v>
      </c>
      <c r="T31" s="68"/>
      <c r="U31" s="39" t="s">
        <v>1168</v>
      </c>
      <c r="V31" s="75" t="s">
        <v>930</v>
      </c>
      <c r="W31" s="68"/>
      <c r="X31" s="68"/>
      <c r="Y31" s="68"/>
      <c r="Z31" s="68"/>
      <c r="AA31" s="68"/>
      <c r="AB31" s="68"/>
      <c r="AC31" s="68"/>
      <c r="AD31" s="68"/>
      <c r="AE31" s="68"/>
      <c r="AF31" s="68"/>
      <c r="AG31" s="68"/>
      <c r="AH31" s="68"/>
      <c r="AI31" s="68"/>
      <c r="AJ31" s="68"/>
      <c r="AK31" s="68"/>
    </row>
    <row r="32">
      <c r="A32" s="67" t="s">
        <v>431</v>
      </c>
      <c r="B32" s="83" t="s">
        <v>1169</v>
      </c>
      <c r="C32" s="83" t="s">
        <v>1170</v>
      </c>
      <c r="D32" s="77" t="s">
        <v>1171</v>
      </c>
      <c r="E32" s="67" t="s">
        <v>930</v>
      </c>
      <c r="F32" s="70" t="s">
        <v>49</v>
      </c>
      <c r="G32" s="71" t="s">
        <v>1172</v>
      </c>
      <c r="H32" s="71"/>
      <c r="I32" s="70" t="s">
        <v>162</v>
      </c>
      <c r="J32" s="73" t="s">
        <v>985</v>
      </c>
      <c r="K32" s="72" t="s">
        <v>1173</v>
      </c>
      <c r="L32" s="72" t="s">
        <v>1174</v>
      </c>
      <c r="M32" s="71" t="s">
        <v>1022</v>
      </c>
      <c r="N32" s="74">
        <v>2025.0</v>
      </c>
      <c r="O32" s="71" t="s">
        <v>989</v>
      </c>
      <c r="P32" s="71" t="s">
        <v>1175</v>
      </c>
      <c r="Q32" s="67" t="s">
        <v>961</v>
      </c>
      <c r="R32" s="67" t="s">
        <v>1176</v>
      </c>
      <c r="S32" s="67" t="s">
        <v>1177</v>
      </c>
      <c r="T32" s="68"/>
      <c r="U32" s="39" t="s">
        <v>1178</v>
      </c>
      <c r="V32" s="75" t="s">
        <v>930</v>
      </c>
      <c r="W32" s="68"/>
      <c r="X32" s="68"/>
      <c r="Y32" s="68"/>
      <c r="Z32" s="68"/>
      <c r="AA32" s="68"/>
      <c r="AB32" s="68"/>
      <c r="AC32" s="68"/>
      <c r="AD32" s="68"/>
      <c r="AE32" s="68"/>
      <c r="AF32" s="68"/>
      <c r="AG32" s="68"/>
      <c r="AH32" s="68"/>
      <c r="AI32" s="68"/>
      <c r="AJ32" s="68"/>
      <c r="AK32" s="68"/>
    </row>
    <row r="33">
      <c r="A33" s="67" t="s">
        <v>431</v>
      </c>
      <c r="B33" s="83" t="s">
        <v>1179</v>
      </c>
      <c r="C33" s="83" t="s">
        <v>1180</v>
      </c>
      <c r="D33" s="77" t="s">
        <v>1181</v>
      </c>
      <c r="E33" s="67" t="s">
        <v>930</v>
      </c>
      <c r="F33" s="72" t="s">
        <v>49</v>
      </c>
      <c r="G33" s="71" t="s">
        <v>1182</v>
      </c>
      <c r="H33" s="71" t="s">
        <v>1183</v>
      </c>
      <c r="I33" s="72" t="s">
        <v>162</v>
      </c>
      <c r="J33" s="73" t="s">
        <v>985</v>
      </c>
      <c r="K33" s="72" t="s">
        <v>1131</v>
      </c>
      <c r="L33" s="72" t="s">
        <v>1184</v>
      </c>
      <c r="M33" s="71" t="s">
        <v>1062</v>
      </c>
      <c r="N33" s="74">
        <v>2025.0</v>
      </c>
      <c r="O33" s="71" t="s">
        <v>989</v>
      </c>
      <c r="P33" s="71" t="s">
        <v>1185</v>
      </c>
      <c r="Q33" s="67" t="s">
        <v>961</v>
      </c>
      <c r="R33" s="67" t="s">
        <v>1017</v>
      </c>
      <c r="S33" s="67" t="s">
        <v>1186</v>
      </c>
      <c r="T33" s="68"/>
      <c r="U33" s="39" t="s">
        <v>1187</v>
      </c>
      <c r="V33" s="75" t="s">
        <v>1026</v>
      </c>
      <c r="W33" s="68"/>
      <c r="X33" s="68"/>
      <c r="Y33" s="68"/>
      <c r="Z33" s="68"/>
      <c r="AA33" s="68"/>
      <c r="AB33" s="68"/>
      <c r="AC33" s="68"/>
      <c r="AD33" s="68"/>
      <c r="AE33" s="68"/>
      <c r="AF33" s="68"/>
      <c r="AG33" s="68"/>
      <c r="AH33" s="68"/>
      <c r="AI33" s="68"/>
      <c r="AJ33" s="68"/>
      <c r="AK33" s="68"/>
    </row>
    <row r="34">
      <c r="A34" s="67" t="s">
        <v>431</v>
      </c>
      <c r="B34" s="83" t="s">
        <v>1188</v>
      </c>
      <c r="C34" s="83" t="s">
        <v>1189</v>
      </c>
      <c r="D34" s="77" t="s">
        <v>1190</v>
      </c>
      <c r="E34" s="67" t="s">
        <v>930</v>
      </c>
      <c r="F34" s="72" t="s">
        <v>559</v>
      </c>
      <c r="G34" s="71" t="s">
        <v>1191</v>
      </c>
      <c r="H34" s="71" t="s">
        <v>984</v>
      </c>
      <c r="I34" s="72" t="s">
        <v>964</v>
      </c>
      <c r="J34" s="73" t="s">
        <v>1192</v>
      </c>
      <c r="K34" s="72" t="s">
        <v>1005</v>
      </c>
      <c r="L34" s="72" t="s">
        <v>1193</v>
      </c>
      <c r="M34" s="71" t="s">
        <v>1022</v>
      </c>
      <c r="N34" s="74">
        <v>2025.0</v>
      </c>
      <c r="O34" s="71" t="s">
        <v>989</v>
      </c>
      <c r="P34" s="71" t="s">
        <v>1194</v>
      </c>
      <c r="Q34" s="67" t="s">
        <v>961</v>
      </c>
      <c r="R34" s="67" t="s">
        <v>1195</v>
      </c>
      <c r="S34" s="67" t="s">
        <v>1196</v>
      </c>
      <c r="T34" s="68"/>
      <c r="U34" s="39" t="s">
        <v>1197</v>
      </c>
      <c r="V34" s="75" t="s">
        <v>1198</v>
      </c>
      <c r="W34" s="67"/>
      <c r="X34" s="68"/>
      <c r="Y34" s="68"/>
      <c r="Z34" s="68"/>
      <c r="AA34" s="68"/>
      <c r="AB34" s="68"/>
      <c r="AC34" s="68"/>
      <c r="AD34" s="68"/>
      <c r="AE34" s="68"/>
      <c r="AF34" s="68"/>
      <c r="AG34" s="68"/>
      <c r="AH34" s="68"/>
      <c r="AI34" s="68"/>
      <c r="AJ34" s="68"/>
      <c r="AK34" s="68"/>
    </row>
    <row r="35" ht="15.0" customHeight="1">
      <c r="A35" s="67" t="s">
        <v>431</v>
      </c>
      <c r="B35" s="83" t="s">
        <v>1199</v>
      </c>
      <c r="C35" s="83" t="s">
        <v>1200</v>
      </c>
      <c r="D35" s="77" t="s">
        <v>1201</v>
      </c>
      <c r="E35" s="67" t="s">
        <v>930</v>
      </c>
      <c r="F35" s="70" t="s">
        <v>49</v>
      </c>
      <c r="G35" s="71" t="s">
        <v>1202</v>
      </c>
      <c r="H35" s="71" t="s">
        <v>162</v>
      </c>
      <c r="I35" s="72" t="s">
        <v>964</v>
      </c>
      <c r="J35" s="73" t="s">
        <v>985</v>
      </c>
      <c r="K35" s="90"/>
      <c r="L35" s="72" t="s">
        <v>1203</v>
      </c>
      <c r="M35" s="71" t="s">
        <v>1204</v>
      </c>
      <c r="N35" s="74">
        <v>2023.0</v>
      </c>
      <c r="O35" s="71" t="s">
        <v>989</v>
      </c>
      <c r="P35" s="71" t="s">
        <v>1205</v>
      </c>
      <c r="Q35" s="67" t="s">
        <v>961</v>
      </c>
      <c r="R35" s="67" t="s">
        <v>1048</v>
      </c>
      <c r="S35" s="67" t="s">
        <v>1206</v>
      </c>
      <c r="T35" s="68"/>
      <c r="U35" s="39" t="s">
        <v>1207</v>
      </c>
      <c r="V35" s="75" t="s">
        <v>930</v>
      </c>
      <c r="W35" s="68"/>
      <c r="X35" s="68"/>
      <c r="Y35" s="68"/>
      <c r="Z35" s="68"/>
      <c r="AA35" s="68"/>
      <c r="AB35" s="68"/>
      <c r="AC35" s="68"/>
      <c r="AD35" s="68"/>
      <c r="AE35" s="68"/>
      <c r="AF35" s="68"/>
      <c r="AG35" s="68"/>
      <c r="AH35" s="68"/>
      <c r="AI35" s="68"/>
      <c r="AJ35" s="68"/>
      <c r="AK35" s="68"/>
    </row>
    <row r="36">
      <c r="A36" s="67" t="s">
        <v>431</v>
      </c>
      <c r="B36" s="83" t="s">
        <v>1208</v>
      </c>
      <c r="C36" s="83" t="s">
        <v>1209</v>
      </c>
      <c r="D36" s="77" t="s">
        <v>1210</v>
      </c>
      <c r="E36" s="67" t="s">
        <v>930</v>
      </c>
      <c r="F36" s="72" t="s">
        <v>559</v>
      </c>
      <c r="G36" s="71" t="s">
        <v>984</v>
      </c>
      <c r="H36" s="71"/>
      <c r="I36" s="72" t="s">
        <v>964</v>
      </c>
      <c r="J36" s="73" t="s">
        <v>985</v>
      </c>
      <c r="K36" s="72" t="s">
        <v>1005</v>
      </c>
      <c r="L36" s="72" t="s">
        <v>1211</v>
      </c>
      <c r="M36" s="71" t="s">
        <v>1022</v>
      </c>
      <c r="N36" s="74">
        <v>2025.0</v>
      </c>
      <c r="O36" s="71" t="s">
        <v>1212</v>
      </c>
      <c r="P36" s="71" t="s">
        <v>970</v>
      </c>
      <c r="Q36" s="67" t="s">
        <v>1213</v>
      </c>
      <c r="R36" s="67" t="s">
        <v>1214</v>
      </c>
      <c r="S36" s="67" t="s">
        <v>1215</v>
      </c>
      <c r="T36" s="68"/>
      <c r="U36" s="39" t="s">
        <v>1216</v>
      </c>
      <c r="V36" s="75" t="s">
        <v>1198</v>
      </c>
      <c r="W36" s="68"/>
      <c r="X36" s="68"/>
      <c r="Y36" s="68"/>
      <c r="Z36" s="68"/>
      <c r="AA36" s="68"/>
      <c r="AB36" s="68"/>
      <c r="AC36" s="68"/>
      <c r="AD36" s="68"/>
      <c r="AE36" s="68"/>
      <c r="AF36" s="68"/>
      <c r="AG36" s="68"/>
      <c r="AH36" s="68"/>
      <c r="AI36" s="68"/>
      <c r="AJ36" s="68"/>
      <c r="AK36" s="68"/>
    </row>
    <row r="37">
      <c r="A37" s="91" t="s">
        <v>431</v>
      </c>
      <c r="B37" s="92" t="s">
        <v>1217</v>
      </c>
      <c r="C37" s="92" t="s">
        <v>1218</v>
      </c>
      <c r="D37" s="93" t="s">
        <v>1219</v>
      </c>
      <c r="E37" s="91" t="s">
        <v>930</v>
      </c>
      <c r="F37" s="94" t="s">
        <v>47</v>
      </c>
      <c r="G37" s="95" t="s">
        <v>1164</v>
      </c>
      <c r="H37" s="95"/>
      <c r="I37" s="94" t="s">
        <v>162</v>
      </c>
      <c r="J37" s="96" t="s">
        <v>985</v>
      </c>
      <c r="K37" s="94" t="s">
        <v>1220</v>
      </c>
      <c r="L37" s="94" t="s">
        <v>1221</v>
      </c>
      <c r="M37" s="95" t="s">
        <v>1022</v>
      </c>
      <c r="N37" s="97">
        <v>2025.0</v>
      </c>
      <c r="O37" s="95" t="s">
        <v>989</v>
      </c>
      <c r="P37" s="95" t="s">
        <v>970</v>
      </c>
      <c r="Q37" s="91" t="s">
        <v>961</v>
      </c>
      <c r="R37" s="91" t="s">
        <v>1222</v>
      </c>
      <c r="S37" s="91" t="s">
        <v>1223</v>
      </c>
      <c r="T37" s="91" t="s">
        <v>1224</v>
      </c>
      <c r="U37" s="98" t="s">
        <v>1225</v>
      </c>
      <c r="V37" s="75" t="s">
        <v>930</v>
      </c>
      <c r="W37" s="99"/>
      <c r="X37" s="99"/>
      <c r="Y37" s="99"/>
      <c r="Z37" s="99"/>
      <c r="AA37" s="99"/>
      <c r="AB37" s="99"/>
      <c r="AC37" s="99"/>
      <c r="AD37" s="99"/>
      <c r="AE37" s="99"/>
      <c r="AF37" s="78"/>
      <c r="AG37" s="78"/>
      <c r="AH37" s="78"/>
      <c r="AI37" s="78"/>
      <c r="AJ37" s="78"/>
      <c r="AK37" s="78"/>
    </row>
    <row r="38">
      <c r="A38" s="71" t="s">
        <v>181</v>
      </c>
      <c r="B38" s="71" t="s">
        <v>177</v>
      </c>
      <c r="C38" s="71" t="s">
        <v>178</v>
      </c>
      <c r="D38" s="100" t="s">
        <v>1226</v>
      </c>
      <c r="E38" s="67" t="s">
        <v>961</v>
      </c>
      <c r="F38" s="70" t="s">
        <v>49</v>
      </c>
      <c r="G38" s="71" t="s">
        <v>1227</v>
      </c>
      <c r="H38" s="71"/>
      <c r="I38" s="70" t="s">
        <v>162</v>
      </c>
      <c r="J38" s="73" t="s">
        <v>1228</v>
      </c>
      <c r="K38" s="72" t="s">
        <v>1229</v>
      </c>
      <c r="L38" s="72" t="s">
        <v>1230</v>
      </c>
      <c r="M38" s="71" t="s">
        <v>1087</v>
      </c>
      <c r="N38" s="74">
        <v>2024.0</v>
      </c>
      <c r="O38" s="71" t="s">
        <v>989</v>
      </c>
      <c r="P38" s="71" t="s">
        <v>970</v>
      </c>
      <c r="Q38" s="67" t="s">
        <v>961</v>
      </c>
      <c r="R38" s="26" t="s">
        <v>1048</v>
      </c>
      <c r="S38" s="26" t="s">
        <v>1231</v>
      </c>
      <c r="U38" s="39" t="s">
        <v>1232</v>
      </c>
      <c r="V38" s="75" t="s">
        <v>930</v>
      </c>
    </row>
    <row r="39">
      <c r="A39" s="71" t="s">
        <v>181</v>
      </c>
      <c r="B39" s="37" t="s">
        <v>182</v>
      </c>
      <c r="C39" s="71" t="s">
        <v>183</v>
      </c>
      <c r="D39" s="100" t="s">
        <v>1233</v>
      </c>
      <c r="E39" s="67" t="s">
        <v>961</v>
      </c>
      <c r="F39" s="70" t="s">
        <v>49</v>
      </c>
      <c r="G39" s="71" t="s">
        <v>1101</v>
      </c>
      <c r="H39" s="72" t="s">
        <v>964</v>
      </c>
      <c r="I39" s="70" t="s">
        <v>162</v>
      </c>
      <c r="J39" s="79" t="s">
        <v>1234</v>
      </c>
      <c r="K39" s="72" t="s">
        <v>1235</v>
      </c>
      <c r="L39" s="72" t="s">
        <v>1103</v>
      </c>
      <c r="M39" s="71" t="s">
        <v>998</v>
      </c>
      <c r="N39" s="74">
        <v>2024.0</v>
      </c>
      <c r="O39" s="71" t="s">
        <v>989</v>
      </c>
      <c r="P39" s="71" t="s">
        <v>970</v>
      </c>
      <c r="Q39" s="67" t="s">
        <v>990</v>
      </c>
      <c r="R39" s="26" t="s">
        <v>1048</v>
      </c>
      <c r="S39" s="26" t="s">
        <v>1236</v>
      </c>
      <c r="U39" s="39" t="s">
        <v>1237</v>
      </c>
      <c r="V39" s="75" t="s">
        <v>930</v>
      </c>
    </row>
    <row r="40">
      <c r="A40" s="71" t="s">
        <v>181</v>
      </c>
      <c r="B40" s="71" t="s">
        <v>185</v>
      </c>
      <c r="C40" s="71" t="s">
        <v>186</v>
      </c>
      <c r="D40" s="101" t="s">
        <v>1238</v>
      </c>
      <c r="E40" s="67" t="s">
        <v>961</v>
      </c>
      <c r="F40" s="70" t="s">
        <v>49</v>
      </c>
      <c r="G40" s="71" t="s">
        <v>1101</v>
      </c>
      <c r="H40" s="72" t="s">
        <v>964</v>
      </c>
      <c r="I40" s="70" t="s">
        <v>162</v>
      </c>
      <c r="J40" s="79" t="s">
        <v>1239</v>
      </c>
      <c r="K40" s="72" t="s">
        <v>1005</v>
      </c>
      <c r="L40" s="72" t="s">
        <v>1154</v>
      </c>
      <c r="M40" s="71" t="s">
        <v>1022</v>
      </c>
      <c r="N40" s="74">
        <v>2024.0</v>
      </c>
      <c r="O40" s="71" t="s">
        <v>989</v>
      </c>
      <c r="P40" s="71" t="s">
        <v>970</v>
      </c>
      <c r="Q40" s="67" t="s">
        <v>1119</v>
      </c>
      <c r="R40" s="26" t="s">
        <v>1048</v>
      </c>
      <c r="S40" s="26" t="s">
        <v>1240</v>
      </c>
      <c r="U40" s="39" t="s">
        <v>1241</v>
      </c>
      <c r="V40" s="75" t="s">
        <v>930</v>
      </c>
    </row>
    <row r="41">
      <c r="A41" s="71" t="s">
        <v>181</v>
      </c>
      <c r="B41" s="71" t="s">
        <v>190</v>
      </c>
      <c r="C41" s="71" t="s">
        <v>191</v>
      </c>
      <c r="D41" s="100" t="s">
        <v>1242</v>
      </c>
      <c r="E41" s="67" t="s">
        <v>961</v>
      </c>
      <c r="F41" s="70" t="s">
        <v>49</v>
      </c>
      <c r="G41" s="71" t="s">
        <v>1243</v>
      </c>
      <c r="H41" s="71"/>
      <c r="I41" s="70" t="s">
        <v>162</v>
      </c>
      <c r="J41" s="73" t="s">
        <v>985</v>
      </c>
      <c r="K41" s="72" t="s">
        <v>1244</v>
      </c>
      <c r="L41" s="72" t="s">
        <v>1245</v>
      </c>
      <c r="M41" s="71" t="s">
        <v>1246</v>
      </c>
      <c r="N41" s="74">
        <v>2024.0</v>
      </c>
      <c r="O41" s="71" t="s">
        <v>969</v>
      </c>
      <c r="P41" s="71" t="s">
        <v>970</v>
      </c>
      <c r="Q41" s="67" t="s">
        <v>1126</v>
      </c>
      <c r="R41" s="26" t="s">
        <v>1048</v>
      </c>
      <c r="S41" s="26" t="s">
        <v>1043</v>
      </c>
      <c r="U41" s="39" t="s">
        <v>1247</v>
      </c>
      <c r="V41" s="75" t="s">
        <v>930</v>
      </c>
    </row>
    <row r="42">
      <c r="A42" s="71" t="s">
        <v>181</v>
      </c>
      <c r="B42" s="71" t="s">
        <v>195</v>
      </c>
      <c r="C42" s="71" t="s">
        <v>196</v>
      </c>
      <c r="D42" s="101" t="s">
        <v>1248</v>
      </c>
      <c r="E42" s="67" t="s">
        <v>961</v>
      </c>
      <c r="F42" s="70" t="s">
        <v>49</v>
      </c>
      <c r="G42" s="71" t="s">
        <v>1249</v>
      </c>
      <c r="H42" s="71" t="s">
        <v>1250</v>
      </c>
      <c r="I42" s="72" t="s">
        <v>162</v>
      </c>
      <c r="J42" s="73" t="s">
        <v>985</v>
      </c>
      <c r="K42" s="72" t="s">
        <v>1005</v>
      </c>
      <c r="L42" s="72" t="s">
        <v>1014</v>
      </c>
      <c r="M42" s="71" t="s">
        <v>1022</v>
      </c>
      <c r="N42" s="74">
        <v>2024.0</v>
      </c>
      <c r="O42" s="71" t="s">
        <v>989</v>
      </c>
      <c r="P42" s="71" t="s">
        <v>970</v>
      </c>
      <c r="Q42" s="67" t="s">
        <v>1126</v>
      </c>
      <c r="R42" s="26" t="s">
        <v>1251</v>
      </c>
      <c r="S42" s="26" t="s">
        <v>1037</v>
      </c>
      <c r="U42" s="39" t="s">
        <v>1252</v>
      </c>
      <c r="V42" s="75" t="s">
        <v>930</v>
      </c>
    </row>
    <row r="43">
      <c r="A43" s="71" t="s">
        <v>181</v>
      </c>
      <c r="B43" s="71" t="s">
        <v>202</v>
      </c>
      <c r="C43" s="71" t="s">
        <v>203</v>
      </c>
      <c r="D43" s="101" t="s">
        <v>1253</v>
      </c>
      <c r="E43" s="67" t="s">
        <v>961</v>
      </c>
      <c r="F43" s="70" t="s">
        <v>49</v>
      </c>
      <c r="G43" s="71" t="s">
        <v>162</v>
      </c>
      <c r="H43" s="71"/>
      <c r="I43" s="72" t="s">
        <v>162</v>
      </c>
      <c r="J43" s="73" t="s">
        <v>985</v>
      </c>
      <c r="K43" s="72" t="s">
        <v>1005</v>
      </c>
      <c r="L43" s="72" t="s">
        <v>1254</v>
      </c>
      <c r="M43" s="71" t="s">
        <v>1246</v>
      </c>
      <c r="N43" s="74">
        <v>2024.0</v>
      </c>
      <c r="O43" s="71" t="s">
        <v>1255</v>
      </c>
      <c r="P43" s="71" t="s">
        <v>970</v>
      </c>
      <c r="Q43" s="67" t="s">
        <v>1008</v>
      </c>
      <c r="R43" s="26" t="s">
        <v>1048</v>
      </c>
      <c r="S43" s="26" t="s">
        <v>1037</v>
      </c>
      <c r="U43" s="39" t="s">
        <v>1256</v>
      </c>
      <c r="V43" s="75" t="s">
        <v>930</v>
      </c>
    </row>
    <row r="44">
      <c r="A44" s="71" t="s">
        <v>181</v>
      </c>
      <c r="B44" s="71" t="s">
        <v>210</v>
      </c>
      <c r="C44" s="71" t="s">
        <v>211</v>
      </c>
      <c r="D44" s="102" t="s">
        <v>1257</v>
      </c>
      <c r="E44" s="67" t="s">
        <v>961</v>
      </c>
      <c r="F44" s="70" t="s">
        <v>49</v>
      </c>
      <c r="G44" s="71" t="s">
        <v>1258</v>
      </c>
      <c r="H44" s="72" t="s">
        <v>964</v>
      </c>
      <c r="I44" s="72" t="s">
        <v>162</v>
      </c>
      <c r="J44" s="79" t="s">
        <v>1259</v>
      </c>
      <c r="K44" s="72" t="s">
        <v>1005</v>
      </c>
      <c r="L44" s="72" t="s">
        <v>1014</v>
      </c>
      <c r="M44" s="71" t="s">
        <v>1087</v>
      </c>
      <c r="N44" s="74">
        <v>2024.0</v>
      </c>
      <c r="O44" s="71" t="s">
        <v>989</v>
      </c>
      <c r="P44" s="71" t="s">
        <v>970</v>
      </c>
      <c r="Q44" s="67" t="s">
        <v>990</v>
      </c>
      <c r="R44" s="26" t="s">
        <v>1048</v>
      </c>
      <c r="S44" s="26" t="s">
        <v>1260</v>
      </c>
      <c r="U44" s="39" t="s">
        <v>1261</v>
      </c>
      <c r="V44" s="75" t="s">
        <v>930</v>
      </c>
    </row>
    <row r="45">
      <c r="A45" s="71" t="s">
        <v>181</v>
      </c>
      <c r="B45" s="71" t="s">
        <v>218</v>
      </c>
      <c r="C45" s="71" t="s">
        <v>219</v>
      </c>
      <c r="D45" s="102" t="s">
        <v>1262</v>
      </c>
      <c r="E45" s="67" t="s">
        <v>961</v>
      </c>
      <c r="F45" s="70" t="s">
        <v>49</v>
      </c>
      <c r="G45" s="71" t="s">
        <v>1258</v>
      </c>
      <c r="H45" s="72" t="s">
        <v>964</v>
      </c>
      <c r="I45" s="72" t="s">
        <v>162</v>
      </c>
      <c r="J45" s="79" t="s">
        <v>1263</v>
      </c>
      <c r="K45" s="72" t="s">
        <v>1005</v>
      </c>
      <c r="L45" s="72" t="s">
        <v>1264</v>
      </c>
      <c r="M45" s="71" t="s">
        <v>1022</v>
      </c>
      <c r="N45" s="74">
        <v>2024.0</v>
      </c>
      <c r="O45" s="71" t="s">
        <v>989</v>
      </c>
      <c r="P45" s="71" t="s">
        <v>970</v>
      </c>
      <c r="Q45" s="67" t="s">
        <v>1265</v>
      </c>
      <c r="R45" s="26" t="s">
        <v>1048</v>
      </c>
      <c r="S45" s="26" t="s">
        <v>1037</v>
      </c>
      <c r="U45" s="39" t="s">
        <v>1266</v>
      </c>
      <c r="V45" s="75" t="s">
        <v>930</v>
      </c>
    </row>
    <row r="46">
      <c r="A46" s="71" t="s">
        <v>181</v>
      </c>
      <c r="B46" s="71" t="s">
        <v>222</v>
      </c>
      <c r="C46" s="71" t="s">
        <v>223</v>
      </c>
      <c r="D46" s="102" t="s">
        <v>1267</v>
      </c>
      <c r="E46" s="67" t="s">
        <v>961</v>
      </c>
      <c r="F46" s="70" t="s">
        <v>49</v>
      </c>
      <c r="G46" s="71" t="s">
        <v>162</v>
      </c>
      <c r="H46" s="71"/>
      <c r="I46" s="70" t="s">
        <v>162</v>
      </c>
      <c r="J46" s="73" t="s">
        <v>985</v>
      </c>
      <c r="K46" s="72" t="s">
        <v>1005</v>
      </c>
      <c r="L46" s="72" t="s">
        <v>995</v>
      </c>
      <c r="M46" s="71" t="s">
        <v>1022</v>
      </c>
      <c r="N46" s="74">
        <v>2024.0</v>
      </c>
      <c r="O46" s="71" t="s">
        <v>989</v>
      </c>
      <c r="P46" s="71" t="s">
        <v>1268</v>
      </c>
      <c r="Q46" s="67" t="s">
        <v>961</v>
      </c>
      <c r="R46" s="26" t="s">
        <v>980</v>
      </c>
      <c r="S46" s="26" t="s">
        <v>1269</v>
      </c>
      <c r="U46" s="39" t="s">
        <v>1270</v>
      </c>
      <c r="V46" s="75" t="s">
        <v>1026</v>
      </c>
    </row>
    <row r="47">
      <c r="A47" s="71" t="s">
        <v>181</v>
      </c>
      <c r="B47" s="71" t="s">
        <v>225</v>
      </c>
      <c r="C47" s="71" t="s">
        <v>226</v>
      </c>
      <c r="D47" s="101" t="s">
        <v>1271</v>
      </c>
      <c r="E47" s="67" t="s">
        <v>961</v>
      </c>
      <c r="F47" s="70" t="s">
        <v>49</v>
      </c>
      <c r="G47" s="71" t="s">
        <v>984</v>
      </c>
      <c r="H47" s="71"/>
      <c r="I47" s="72" t="s">
        <v>162</v>
      </c>
      <c r="J47" s="73" t="s">
        <v>1013</v>
      </c>
      <c r="K47" s="72" t="s">
        <v>1005</v>
      </c>
      <c r="L47" s="72" t="s">
        <v>1272</v>
      </c>
      <c r="M47" s="71" t="s">
        <v>1022</v>
      </c>
      <c r="N47" s="74">
        <v>2024.0</v>
      </c>
      <c r="O47" s="71" t="s">
        <v>989</v>
      </c>
      <c r="P47" s="71" t="s">
        <v>970</v>
      </c>
      <c r="Q47" s="67" t="s">
        <v>1119</v>
      </c>
      <c r="R47" s="26" t="s">
        <v>1273</v>
      </c>
      <c r="S47" s="26" t="s">
        <v>1274</v>
      </c>
      <c r="U47" s="39" t="s">
        <v>1275</v>
      </c>
      <c r="V47" s="75" t="s">
        <v>930</v>
      </c>
    </row>
    <row r="48">
      <c r="A48" s="71" t="s">
        <v>181</v>
      </c>
      <c r="B48" s="71" t="s">
        <v>229</v>
      </c>
      <c r="C48" s="71" t="s">
        <v>230</v>
      </c>
      <c r="D48" s="102" t="s">
        <v>1276</v>
      </c>
      <c r="E48" s="67" t="s">
        <v>961</v>
      </c>
      <c r="F48" s="70" t="s">
        <v>49</v>
      </c>
      <c r="G48" s="71" t="s">
        <v>1277</v>
      </c>
      <c r="H48" s="72" t="s">
        <v>964</v>
      </c>
      <c r="I48" s="72" t="s">
        <v>162</v>
      </c>
      <c r="J48" s="79" t="s">
        <v>1278</v>
      </c>
      <c r="K48" s="72" t="s">
        <v>1005</v>
      </c>
      <c r="L48" s="72" t="s">
        <v>1279</v>
      </c>
      <c r="M48" s="71" t="s">
        <v>1022</v>
      </c>
      <c r="N48" s="74">
        <v>2024.0</v>
      </c>
      <c r="O48" s="71" t="s">
        <v>989</v>
      </c>
      <c r="P48" s="71" t="s">
        <v>970</v>
      </c>
      <c r="Q48" s="67" t="s">
        <v>1265</v>
      </c>
      <c r="R48" s="26" t="s">
        <v>1048</v>
      </c>
      <c r="S48" s="26" t="s">
        <v>1280</v>
      </c>
      <c r="U48" s="39" t="s">
        <v>1281</v>
      </c>
      <c r="V48" s="75" t="s">
        <v>930</v>
      </c>
    </row>
    <row r="49">
      <c r="A49" s="71" t="s">
        <v>181</v>
      </c>
      <c r="B49" s="71" t="s">
        <v>234</v>
      </c>
      <c r="C49" s="71" t="s">
        <v>235</v>
      </c>
      <c r="D49" s="102" t="s">
        <v>1282</v>
      </c>
      <c r="E49" s="67" t="s">
        <v>961</v>
      </c>
      <c r="F49" s="70" t="s">
        <v>49</v>
      </c>
      <c r="G49" s="71" t="s">
        <v>162</v>
      </c>
      <c r="H49" s="71"/>
      <c r="I49" s="70" t="s">
        <v>162</v>
      </c>
      <c r="J49" s="73" t="s">
        <v>985</v>
      </c>
      <c r="K49" s="72" t="s">
        <v>1005</v>
      </c>
      <c r="L49" s="72" t="s">
        <v>1283</v>
      </c>
      <c r="M49" s="71" t="s">
        <v>1022</v>
      </c>
      <c r="N49" s="74">
        <v>2024.0</v>
      </c>
      <c r="O49" s="71" t="s">
        <v>969</v>
      </c>
      <c r="P49" s="71" t="s">
        <v>970</v>
      </c>
      <c r="Q49" s="67" t="s">
        <v>1265</v>
      </c>
      <c r="R49" s="26" t="s">
        <v>1284</v>
      </c>
      <c r="S49" s="26" t="s">
        <v>1285</v>
      </c>
      <c r="U49" s="39" t="s">
        <v>1286</v>
      </c>
      <c r="V49" s="75" t="s">
        <v>930</v>
      </c>
    </row>
    <row r="50">
      <c r="A50" s="71" t="s">
        <v>181</v>
      </c>
      <c r="B50" s="71" t="s">
        <v>238</v>
      </c>
      <c r="C50" s="71" t="s">
        <v>239</v>
      </c>
      <c r="D50" s="101" t="s">
        <v>1287</v>
      </c>
      <c r="E50" s="67" t="s">
        <v>961</v>
      </c>
      <c r="F50" s="70" t="s">
        <v>49</v>
      </c>
      <c r="G50" s="71" t="s">
        <v>1277</v>
      </c>
      <c r="H50" s="72" t="s">
        <v>964</v>
      </c>
      <c r="I50" s="70" t="s">
        <v>162</v>
      </c>
      <c r="J50" s="79" t="s">
        <v>1288</v>
      </c>
      <c r="K50" s="72" t="s">
        <v>1005</v>
      </c>
      <c r="L50" s="72" t="s">
        <v>1289</v>
      </c>
      <c r="M50" s="71" t="s">
        <v>1015</v>
      </c>
      <c r="N50" s="74">
        <v>2024.0</v>
      </c>
      <c r="O50" s="71" t="s">
        <v>989</v>
      </c>
      <c r="P50" s="71" t="s">
        <v>970</v>
      </c>
      <c r="Q50" s="67" t="s">
        <v>1290</v>
      </c>
      <c r="R50" s="26" t="s">
        <v>1048</v>
      </c>
      <c r="S50" s="26" t="s">
        <v>1260</v>
      </c>
      <c r="U50" s="39" t="s">
        <v>1291</v>
      </c>
      <c r="V50" s="75" t="s">
        <v>930</v>
      </c>
    </row>
    <row r="51">
      <c r="A51" s="71" t="s">
        <v>181</v>
      </c>
      <c r="B51" s="71" t="s">
        <v>240</v>
      </c>
      <c r="C51" s="71" t="s">
        <v>241</v>
      </c>
      <c r="D51" s="102" t="s">
        <v>1292</v>
      </c>
      <c r="E51" s="67" t="s">
        <v>961</v>
      </c>
      <c r="F51" s="70" t="s">
        <v>49</v>
      </c>
      <c r="G51" s="71" t="s">
        <v>1293</v>
      </c>
      <c r="H51" s="71"/>
      <c r="I51" s="70" t="s">
        <v>1033</v>
      </c>
      <c r="J51" s="79" t="s">
        <v>1294</v>
      </c>
      <c r="K51" s="72" t="s">
        <v>1005</v>
      </c>
      <c r="L51" s="72" t="s">
        <v>1295</v>
      </c>
      <c r="M51" s="71" t="s">
        <v>1022</v>
      </c>
      <c r="N51" s="74">
        <v>2024.0</v>
      </c>
      <c r="O51" s="71" t="s">
        <v>1296</v>
      </c>
      <c r="P51" s="71" t="s">
        <v>970</v>
      </c>
      <c r="Q51" s="67" t="s">
        <v>1290</v>
      </c>
      <c r="R51" s="26" t="s">
        <v>1048</v>
      </c>
      <c r="S51" s="26" t="s">
        <v>1297</v>
      </c>
      <c r="U51" s="39" t="s">
        <v>1298</v>
      </c>
      <c r="V51" s="75" t="s">
        <v>930</v>
      </c>
    </row>
    <row r="52">
      <c r="A52" s="71" t="s">
        <v>181</v>
      </c>
      <c r="B52" s="71" t="s">
        <v>245</v>
      </c>
      <c r="C52" s="71" t="s">
        <v>246</v>
      </c>
      <c r="D52" s="102" t="s">
        <v>1299</v>
      </c>
      <c r="E52" s="67" t="s">
        <v>961</v>
      </c>
      <c r="F52" s="72" t="s">
        <v>559</v>
      </c>
      <c r="G52" s="71" t="s">
        <v>1258</v>
      </c>
      <c r="H52" s="72" t="s">
        <v>964</v>
      </c>
      <c r="I52" s="70" t="s">
        <v>162</v>
      </c>
      <c r="J52" s="79" t="s">
        <v>1300</v>
      </c>
      <c r="K52" s="72" t="s">
        <v>1005</v>
      </c>
      <c r="L52" s="72" t="s">
        <v>1301</v>
      </c>
      <c r="M52" s="71" t="s">
        <v>1022</v>
      </c>
      <c r="N52" s="74">
        <v>2023.0</v>
      </c>
      <c r="O52" s="71" t="s">
        <v>989</v>
      </c>
      <c r="P52" s="71" t="s">
        <v>970</v>
      </c>
      <c r="Q52" s="67" t="s">
        <v>1302</v>
      </c>
      <c r="R52" s="26" t="s">
        <v>1048</v>
      </c>
      <c r="S52" s="26" t="s">
        <v>1303</v>
      </c>
      <c r="U52" s="39" t="s">
        <v>1304</v>
      </c>
      <c r="V52" s="75" t="s">
        <v>930</v>
      </c>
    </row>
    <row r="53">
      <c r="A53" s="71" t="s">
        <v>181</v>
      </c>
      <c r="B53" s="71" t="s">
        <v>249</v>
      </c>
      <c r="C53" s="71" t="s">
        <v>250</v>
      </c>
      <c r="D53" s="102" t="s">
        <v>1305</v>
      </c>
      <c r="E53" s="67" t="s">
        <v>961</v>
      </c>
      <c r="F53" s="70" t="s">
        <v>49</v>
      </c>
      <c r="G53" s="71" t="s">
        <v>1172</v>
      </c>
      <c r="H53" s="71"/>
      <c r="I53" s="70" t="s">
        <v>162</v>
      </c>
      <c r="J53" s="73" t="s">
        <v>985</v>
      </c>
      <c r="K53" s="26" t="s">
        <v>1061</v>
      </c>
      <c r="L53" s="72" t="s">
        <v>1306</v>
      </c>
      <c r="M53" s="71" t="s">
        <v>1307</v>
      </c>
      <c r="N53" s="74">
        <v>2024.0</v>
      </c>
      <c r="O53" s="71" t="s">
        <v>989</v>
      </c>
      <c r="P53" s="71" t="s">
        <v>970</v>
      </c>
      <c r="Q53" s="67" t="s">
        <v>1290</v>
      </c>
      <c r="R53" s="26" t="s">
        <v>1048</v>
      </c>
      <c r="S53" s="26" t="s">
        <v>1308</v>
      </c>
      <c r="U53" s="39" t="s">
        <v>1309</v>
      </c>
      <c r="V53" s="75" t="s">
        <v>930</v>
      </c>
    </row>
    <row r="54">
      <c r="A54" s="71" t="s">
        <v>181</v>
      </c>
      <c r="B54" s="71" t="s">
        <v>254</v>
      </c>
      <c r="C54" s="71" t="s">
        <v>255</v>
      </c>
      <c r="D54" s="102" t="s">
        <v>1310</v>
      </c>
      <c r="E54" s="103" t="s">
        <v>961</v>
      </c>
      <c r="F54" s="70" t="s">
        <v>49</v>
      </c>
      <c r="G54" s="71" t="s">
        <v>1101</v>
      </c>
      <c r="H54" s="72" t="s">
        <v>964</v>
      </c>
      <c r="I54" s="70" t="s">
        <v>162</v>
      </c>
      <c r="J54" s="79" t="s">
        <v>1311</v>
      </c>
      <c r="K54" s="72" t="s">
        <v>1005</v>
      </c>
      <c r="L54" s="72" t="s">
        <v>1312</v>
      </c>
      <c r="M54" s="71" t="s">
        <v>1022</v>
      </c>
      <c r="N54" s="74">
        <v>2023.0</v>
      </c>
      <c r="O54" s="71" t="s">
        <v>989</v>
      </c>
      <c r="P54" s="71" t="s">
        <v>970</v>
      </c>
      <c r="Q54" s="67" t="s">
        <v>1265</v>
      </c>
      <c r="R54" s="26" t="s">
        <v>1048</v>
      </c>
      <c r="S54" s="26" t="s">
        <v>1313</v>
      </c>
      <c r="U54" s="39" t="s">
        <v>1314</v>
      </c>
      <c r="V54" s="75" t="s">
        <v>930</v>
      </c>
    </row>
    <row r="55">
      <c r="A55" s="71" t="s">
        <v>181</v>
      </c>
      <c r="B55" s="71" t="s">
        <v>652</v>
      </c>
      <c r="C55" s="71" t="s">
        <v>653</v>
      </c>
      <c r="D55" s="102" t="s">
        <v>1315</v>
      </c>
      <c r="E55" s="67" t="s">
        <v>961</v>
      </c>
      <c r="F55" s="70" t="s">
        <v>49</v>
      </c>
      <c r="G55" s="71" t="s">
        <v>1101</v>
      </c>
      <c r="H55" s="72" t="s">
        <v>964</v>
      </c>
      <c r="I55" s="70" t="s">
        <v>162</v>
      </c>
      <c r="J55" s="79" t="s">
        <v>1316</v>
      </c>
      <c r="K55" s="26" t="s">
        <v>1005</v>
      </c>
      <c r="L55" s="72" t="s">
        <v>1317</v>
      </c>
      <c r="M55" s="71" t="s">
        <v>1022</v>
      </c>
      <c r="N55" s="74">
        <v>2025.0</v>
      </c>
      <c r="O55" s="71" t="s">
        <v>989</v>
      </c>
      <c r="P55" s="71" t="s">
        <v>970</v>
      </c>
      <c r="Q55" s="67" t="s">
        <v>1265</v>
      </c>
      <c r="R55" s="26" t="s">
        <v>1048</v>
      </c>
      <c r="S55" s="26" t="s">
        <v>1318</v>
      </c>
      <c r="U55" s="39" t="s">
        <v>1319</v>
      </c>
      <c r="V55" s="75" t="s">
        <v>930</v>
      </c>
    </row>
    <row r="56">
      <c r="A56" s="71" t="s">
        <v>181</v>
      </c>
      <c r="B56" s="71" t="s">
        <v>657</v>
      </c>
      <c r="C56" s="71" t="s">
        <v>658</v>
      </c>
      <c r="D56" s="102" t="s">
        <v>1320</v>
      </c>
      <c r="E56" s="67" t="s">
        <v>961</v>
      </c>
      <c r="F56" s="70" t="s">
        <v>49</v>
      </c>
      <c r="G56" s="71" t="s">
        <v>1033</v>
      </c>
      <c r="H56" s="71"/>
      <c r="I56" s="70" t="s">
        <v>162</v>
      </c>
      <c r="J56" s="73" t="s">
        <v>1034</v>
      </c>
      <c r="K56" s="72" t="s">
        <v>1321</v>
      </c>
      <c r="L56" s="72" t="s">
        <v>1322</v>
      </c>
      <c r="M56" s="71" t="s">
        <v>1323</v>
      </c>
      <c r="N56" s="74">
        <v>2025.0</v>
      </c>
      <c r="O56" s="71" t="s">
        <v>989</v>
      </c>
      <c r="P56" s="71" t="s">
        <v>970</v>
      </c>
      <c r="Q56" s="67" t="s">
        <v>961</v>
      </c>
      <c r="R56" s="26" t="s">
        <v>1324</v>
      </c>
      <c r="S56" s="26" t="s">
        <v>1325</v>
      </c>
      <c r="U56" s="39" t="s">
        <v>1326</v>
      </c>
      <c r="V56" s="75" t="s">
        <v>930</v>
      </c>
    </row>
    <row r="57">
      <c r="A57" s="71" t="s">
        <v>181</v>
      </c>
      <c r="B57" s="71" t="s">
        <v>663</v>
      </c>
      <c r="C57" s="71" t="s">
        <v>664</v>
      </c>
      <c r="D57" s="102" t="s">
        <v>1327</v>
      </c>
      <c r="E57" s="67" t="s">
        <v>961</v>
      </c>
      <c r="F57" s="70" t="s">
        <v>49</v>
      </c>
      <c r="G57" s="71" t="s">
        <v>162</v>
      </c>
      <c r="H57" s="71"/>
      <c r="I57" s="70" t="s">
        <v>162</v>
      </c>
      <c r="J57" s="73" t="s">
        <v>985</v>
      </c>
      <c r="K57" s="72" t="s">
        <v>1005</v>
      </c>
      <c r="L57" s="72" t="s">
        <v>1328</v>
      </c>
      <c r="M57" s="71" t="s">
        <v>998</v>
      </c>
      <c r="N57" s="74">
        <v>2025.0</v>
      </c>
      <c r="O57" s="71" t="s">
        <v>969</v>
      </c>
      <c r="P57" s="71" t="s">
        <v>970</v>
      </c>
      <c r="Q57" s="67" t="s">
        <v>1126</v>
      </c>
      <c r="R57" s="26" t="s">
        <v>980</v>
      </c>
      <c r="S57" s="26" t="s">
        <v>1313</v>
      </c>
      <c r="U57" s="39" t="s">
        <v>1329</v>
      </c>
      <c r="V57" s="75" t="s">
        <v>930</v>
      </c>
    </row>
    <row r="58">
      <c r="A58" s="71" t="s">
        <v>181</v>
      </c>
      <c r="B58" s="71" t="s">
        <v>666</v>
      </c>
      <c r="C58" s="71" t="s">
        <v>667</v>
      </c>
      <c r="D58" s="102" t="s">
        <v>1330</v>
      </c>
      <c r="E58" s="67" t="s">
        <v>961</v>
      </c>
      <c r="F58" s="72" t="s">
        <v>559</v>
      </c>
      <c r="G58" s="71" t="s">
        <v>1249</v>
      </c>
      <c r="H58" s="71"/>
      <c r="I58" s="72" t="s">
        <v>964</v>
      </c>
      <c r="J58" s="73" t="s">
        <v>1192</v>
      </c>
      <c r="K58" s="72" t="s">
        <v>1131</v>
      </c>
      <c r="L58" s="72"/>
      <c r="M58" s="71" t="s">
        <v>1022</v>
      </c>
      <c r="N58" s="74">
        <v>2025.0</v>
      </c>
      <c r="O58" s="71" t="s">
        <v>999</v>
      </c>
      <c r="P58" s="71" t="s">
        <v>1194</v>
      </c>
      <c r="Q58" s="67" t="s">
        <v>961</v>
      </c>
      <c r="R58" s="26" t="s">
        <v>1331</v>
      </c>
      <c r="S58" s="26" t="s">
        <v>1332</v>
      </c>
      <c r="U58" s="39" t="s">
        <v>1333</v>
      </c>
      <c r="V58" s="75" t="s">
        <v>1198</v>
      </c>
    </row>
    <row r="59">
      <c r="A59" s="71" t="s">
        <v>181</v>
      </c>
      <c r="B59" s="71" t="s">
        <v>703</v>
      </c>
      <c r="C59" s="71" t="s">
        <v>704</v>
      </c>
      <c r="D59" s="102" t="s">
        <v>1334</v>
      </c>
      <c r="E59" s="67" t="s">
        <v>961</v>
      </c>
      <c r="F59" s="70" t="s">
        <v>49</v>
      </c>
      <c r="G59" s="71" t="s">
        <v>984</v>
      </c>
      <c r="H59" s="72" t="s">
        <v>964</v>
      </c>
      <c r="I59" s="70" t="s">
        <v>162</v>
      </c>
      <c r="J59" s="73" t="s">
        <v>985</v>
      </c>
      <c r="K59" s="72" t="s">
        <v>1005</v>
      </c>
      <c r="L59" s="72" t="s">
        <v>1335</v>
      </c>
      <c r="M59" s="71" t="s">
        <v>1022</v>
      </c>
      <c r="N59" s="74">
        <v>2025.0</v>
      </c>
      <c r="O59" s="71" t="s">
        <v>1336</v>
      </c>
      <c r="P59" s="71" t="s">
        <v>970</v>
      </c>
      <c r="Q59" s="67" t="s">
        <v>1265</v>
      </c>
      <c r="R59" s="26" t="s">
        <v>1284</v>
      </c>
      <c r="S59" s="26" t="s">
        <v>1337</v>
      </c>
      <c r="U59" s="39" t="s">
        <v>1338</v>
      </c>
      <c r="V59" s="75" t="s">
        <v>930</v>
      </c>
    </row>
    <row r="60">
      <c r="A60" s="71" t="s">
        <v>181</v>
      </c>
      <c r="B60" s="71" t="s">
        <v>709</v>
      </c>
      <c r="C60" s="71" t="s">
        <v>710</v>
      </c>
      <c r="D60" s="102" t="s">
        <v>1339</v>
      </c>
      <c r="E60" s="67" t="s">
        <v>961</v>
      </c>
      <c r="F60" s="70" t="s">
        <v>49</v>
      </c>
      <c r="G60" s="71" t="s">
        <v>1340</v>
      </c>
      <c r="H60" s="72" t="s">
        <v>964</v>
      </c>
      <c r="I60" s="70" t="s">
        <v>162</v>
      </c>
      <c r="J60" s="79" t="s">
        <v>1341</v>
      </c>
      <c r="K60" s="72" t="s">
        <v>1005</v>
      </c>
      <c r="L60" s="72" t="s">
        <v>1342</v>
      </c>
      <c r="M60" s="71" t="s">
        <v>1022</v>
      </c>
      <c r="N60" s="74">
        <v>2025.0</v>
      </c>
      <c r="O60" s="71" t="s">
        <v>978</v>
      </c>
      <c r="P60" s="71" t="s">
        <v>970</v>
      </c>
      <c r="Q60" s="67" t="s">
        <v>1265</v>
      </c>
      <c r="R60" s="26" t="s">
        <v>1343</v>
      </c>
      <c r="S60" s="26" t="s">
        <v>1043</v>
      </c>
      <c r="U60" s="39" t="s">
        <v>1344</v>
      </c>
      <c r="V60" s="75" t="s">
        <v>930</v>
      </c>
    </row>
    <row r="61">
      <c r="A61" s="71" t="s">
        <v>181</v>
      </c>
      <c r="B61" s="71" t="s">
        <v>801</v>
      </c>
      <c r="C61" s="71" t="s">
        <v>802</v>
      </c>
      <c r="D61" s="102" t="s">
        <v>1345</v>
      </c>
      <c r="E61" s="67" t="s">
        <v>961</v>
      </c>
      <c r="F61" s="70" t="s">
        <v>49</v>
      </c>
      <c r="G61" s="71" t="s">
        <v>1033</v>
      </c>
      <c r="H61" s="71"/>
      <c r="I61" s="70" t="s">
        <v>1033</v>
      </c>
      <c r="J61" s="73" t="s">
        <v>1034</v>
      </c>
      <c r="K61" s="72" t="s">
        <v>1346</v>
      </c>
      <c r="L61" s="72" t="s">
        <v>1347</v>
      </c>
      <c r="M61" s="71" t="s">
        <v>1348</v>
      </c>
      <c r="N61" s="74">
        <v>2025.0</v>
      </c>
      <c r="O61" s="71" t="s">
        <v>1349</v>
      </c>
      <c r="P61" s="71" t="s">
        <v>1350</v>
      </c>
      <c r="Q61" s="67" t="s">
        <v>961</v>
      </c>
      <c r="R61" s="26" t="s">
        <v>1351</v>
      </c>
      <c r="S61" s="26" t="s">
        <v>1352</v>
      </c>
      <c r="U61" s="39" t="s">
        <v>1353</v>
      </c>
      <c r="V61" s="75" t="s">
        <v>1026</v>
      </c>
    </row>
    <row r="62">
      <c r="A62" s="71" t="s">
        <v>181</v>
      </c>
      <c r="B62" s="71" t="s">
        <v>804</v>
      </c>
      <c r="C62" s="71" t="s">
        <v>805</v>
      </c>
      <c r="D62" s="102" t="s">
        <v>1354</v>
      </c>
      <c r="E62" s="67" t="s">
        <v>961</v>
      </c>
      <c r="F62" s="70" t="s">
        <v>49</v>
      </c>
      <c r="G62" s="71" t="s">
        <v>984</v>
      </c>
      <c r="H62" s="72" t="s">
        <v>964</v>
      </c>
      <c r="I62" s="70" t="s">
        <v>162</v>
      </c>
      <c r="J62" s="73" t="s">
        <v>985</v>
      </c>
      <c r="K62" s="72" t="s">
        <v>1005</v>
      </c>
      <c r="L62" s="72" t="s">
        <v>1154</v>
      </c>
      <c r="M62" s="71" t="s">
        <v>1022</v>
      </c>
      <c r="N62" s="74">
        <v>2025.0</v>
      </c>
      <c r="O62" s="71" t="s">
        <v>989</v>
      </c>
      <c r="P62" s="71" t="s">
        <v>970</v>
      </c>
      <c r="Q62" s="67" t="s">
        <v>1355</v>
      </c>
      <c r="R62" s="26" t="s">
        <v>1017</v>
      </c>
      <c r="S62" s="26" t="s">
        <v>1297</v>
      </c>
      <c r="U62" s="39" t="s">
        <v>1356</v>
      </c>
      <c r="V62" s="75" t="s">
        <v>930</v>
      </c>
    </row>
    <row r="63">
      <c r="A63" s="71" t="s">
        <v>181</v>
      </c>
      <c r="B63" s="71" t="s">
        <v>807</v>
      </c>
      <c r="C63" s="71" t="s">
        <v>808</v>
      </c>
      <c r="D63" s="102" t="s">
        <v>1357</v>
      </c>
      <c r="E63" s="67" t="s">
        <v>961</v>
      </c>
      <c r="F63" s="70" t="s">
        <v>49</v>
      </c>
      <c r="G63" s="71" t="s">
        <v>1358</v>
      </c>
      <c r="H63" s="72" t="s">
        <v>964</v>
      </c>
      <c r="I63" s="70" t="s">
        <v>162</v>
      </c>
      <c r="J63" s="79" t="s">
        <v>1359</v>
      </c>
      <c r="K63" s="72" t="s">
        <v>1005</v>
      </c>
      <c r="L63" s="72" t="s">
        <v>1360</v>
      </c>
      <c r="M63" s="71" t="s">
        <v>1022</v>
      </c>
      <c r="N63" s="74">
        <v>2025.0</v>
      </c>
      <c r="O63" s="71" t="s">
        <v>1336</v>
      </c>
      <c r="P63" s="71" t="s">
        <v>970</v>
      </c>
      <c r="Q63" s="67" t="s">
        <v>961</v>
      </c>
      <c r="R63" s="26" t="s">
        <v>1048</v>
      </c>
      <c r="S63" s="26" t="s">
        <v>1337</v>
      </c>
      <c r="U63" s="39" t="s">
        <v>1361</v>
      </c>
      <c r="V63" s="75" t="s">
        <v>930</v>
      </c>
    </row>
    <row r="64">
      <c r="A64" s="71" t="s">
        <v>181</v>
      </c>
      <c r="B64" s="104" t="s">
        <v>1362</v>
      </c>
      <c r="C64" s="104" t="s">
        <v>1363</v>
      </c>
      <c r="D64" s="105" t="s">
        <v>1364</v>
      </c>
      <c r="E64" s="26" t="s">
        <v>1198</v>
      </c>
      <c r="F64" s="70" t="s">
        <v>47</v>
      </c>
      <c r="G64" s="72" t="s">
        <v>1365</v>
      </c>
      <c r="H64" s="72"/>
      <c r="I64" s="72" t="s">
        <v>964</v>
      </c>
      <c r="J64" s="67" t="s">
        <v>1192</v>
      </c>
      <c r="K64" s="72" t="s">
        <v>1131</v>
      </c>
      <c r="L64" s="72" t="s">
        <v>1366</v>
      </c>
      <c r="M64" s="71" t="s">
        <v>1367</v>
      </c>
      <c r="N64" s="74">
        <v>2024.0</v>
      </c>
      <c r="O64" s="71" t="s">
        <v>978</v>
      </c>
      <c r="P64" s="71" t="s">
        <v>1368</v>
      </c>
      <c r="Q64" s="67" t="s">
        <v>961</v>
      </c>
      <c r="R64" s="26" t="s">
        <v>1369</v>
      </c>
      <c r="S64" s="26" t="s">
        <v>1370</v>
      </c>
      <c r="U64" s="39" t="s">
        <v>1371</v>
      </c>
      <c r="V64" s="75" t="s">
        <v>930</v>
      </c>
    </row>
    <row r="65">
      <c r="A65" s="71" t="s">
        <v>181</v>
      </c>
      <c r="B65" s="104" t="s">
        <v>1372</v>
      </c>
      <c r="C65" s="104" t="s">
        <v>1373</v>
      </c>
      <c r="D65" s="105" t="s">
        <v>1374</v>
      </c>
      <c r="E65" s="26" t="s">
        <v>1198</v>
      </c>
      <c r="F65" s="70" t="s">
        <v>49</v>
      </c>
      <c r="G65" s="72" t="s">
        <v>1069</v>
      </c>
      <c r="H65" s="72" t="s">
        <v>1250</v>
      </c>
      <c r="I65" s="72" t="s">
        <v>162</v>
      </c>
      <c r="J65" s="67" t="s">
        <v>1034</v>
      </c>
      <c r="K65" s="72" t="s">
        <v>1375</v>
      </c>
      <c r="L65" s="72" t="s">
        <v>1376</v>
      </c>
      <c r="M65" s="71" t="s">
        <v>1377</v>
      </c>
      <c r="N65" s="74">
        <v>2024.0</v>
      </c>
      <c r="O65" s="71" t="s">
        <v>989</v>
      </c>
      <c r="P65" s="71" t="s">
        <v>1378</v>
      </c>
      <c r="Q65" s="67" t="s">
        <v>961</v>
      </c>
      <c r="R65" s="26" t="s">
        <v>1379</v>
      </c>
      <c r="S65" s="26" t="s">
        <v>1337</v>
      </c>
      <c r="U65" s="39" t="s">
        <v>1380</v>
      </c>
      <c r="V65" s="75" t="s">
        <v>1026</v>
      </c>
      <c r="W65" s="26" t="s">
        <v>1381</v>
      </c>
    </row>
    <row r="66">
      <c r="A66" s="71" t="s">
        <v>181</v>
      </c>
      <c r="B66" s="104" t="s">
        <v>1382</v>
      </c>
      <c r="C66" s="104" t="s">
        <v>1383</v>
      </c>
      <c r="D66" s="105" t="s">
        <v>1384</v>
      </c>
      <c r="E66" s="26" t="s">
        <v>1198</v>
      </c>
      <c r="F66" s="70" t="s">
        <v>49</v>
      </c>
      <c r="G66" s="72" t="s">
        <v>962</v>
      </c>
      <c r="H66" s="72"/>
      <c r="I66" s="72" t="s">
        <v>964</v>
      </c>
      <c r="J66" s="67" t="s">
        <v>1192</v>
      </c>
      <c r="K66" s="72"/>
      <c r="L66" s="72" t="s">
        <v>1385</v>
      </c>
      <c r="M66" s="71" t="s">
        <v>1015</v>
      </c>
      <c r="N66" s="74">
        <v>2024.0</v>
      </c>
      <c r="O66" s="71" t="s">
        <v>999</v>
      </c>
      <c r="P66" s="71" t="s">
        <v>970</v>
      </c>
      <c r="Q66" s="67" t="s">
        <v>961</v>
      </c>
      <c r="R66" s="26" t="s">
        <v>1386</v>
      </c>
      <c r="S66" s="26" t="s">
        <v>1387</v>
      </c>
      <c r="U66" s="39" t="s">
        <v>1388</v>
      </c>
      <c r="V66" s="75" t="s">
        <v>930</v>
      </c>
    </row>
    <row r="67">
      <c r="A67" s="71" t="s">
        <v>181</v>
      </c>
      <c r="B67" s="104" t="s">
        <v>1389</v>
      </c>
      <c r="C67" s="104" t="s">
        <v>1390</v>
      </c>
      <c r="D67" s="105" t="s">
        <v>1391</v>
      </c>
      <c r="E67" s="26" t="s">
        <v>1198</v>
      </c>
      <c r="F67" s="70" t="s">
        <v>49</v>
      </c>
      <c r="G67" s="72" t="s">
        <v>1392</v>
      </c>
      <c r="H67" s="72"/>
      <c r="I67" s="70" t="s">
        <v>162</v>
      </c>
      <c r="J67" s="67" t="s">
        <v>985</v>
      </c>
      <c r="K67" s="72" t="s">
        <v>1109</v>
      </c>
      <c r="L67" s="72" t="s">
        <v>1393</v>
      </c>
      <c r="M67" s="71" t="s">
        <v>1022</v>
      </c>
      <c r="N67" s="74">
        <v>2024.0</v>
      </c>
      <c r="O67" s="71" t="s">
        <v>989</v>
      </c>
      <c r="P67" s="71" t="s">
        <v>1016</v>
      </c>
      <c r="Q67" s="67" t="s">
        <v>961</v>
      </c>
      <c r="R67" s="26" t="s">
        <v>1394</v>
      </c>
      <c r="S67" s="26" t="s">
        <v>1395</v>
      </c>
      <c r="U67" s="39" t="s">
        <v>1396</v>
      </c>
      <c r="V67" s="75" t="s">
        <v>930</v>
      </c>
      <c r="W67" s="26" t="s">
        <v>1397</v>
      </c>
    </row>
    <row r="68" ht="15.75" customHeight="1">
      <c r="A68" s="71" t="s">
        <v>181</v>
      </c>
      <c r="B68" s="104" t="s">
        <v>1398</v>
      </c>
      <c r="C68" s="104" t="s">
        <v>1399</v>
      </c>
      <c r="D68" s="105" t="s">
        <v>1400</v>
      </c>
      <c r="E68" s="26" t="s">
        <v>1198</v>
      </c>
      <c r="F68" s="70" t="s">
        <v>49</v>
      </c>
      <c r="G68" s="72" t="s">
        <v>984</v>
      </c>
      <c r="H68" s="72"/>
      <c r="I68" s="72" t="s">
        <v>964</v>
      </c>
      <c r="J68" s="67" t="s">
        <v>985</v>
      </c>
      <c r="K68" s="90" t="s">
        <v>1235</v>
      </c>
      <c r="L68" s="26"/>
      <c r="M68" s="71" t="s">
        <v>1022</v>
      </c>
      <c r="N68" s="74">
        <v>2023.0</v>
      </c>
      <c r="O68" s="71" t="s">
        <v>1111</v>
      </c>
      <c r="P68" s="71" t="s">
        <v>970</v>
      </c>
      <c r="Q68" s="67" t="s">
        <v>961</v>
      </c>
      <c r="R68" s="26" t="s">
        <v>1401</v>
      </c>
      <c r="S68" s="26" t="s">
        <v>1402</v>
      </c>
      <c r="U68" s="39" t="s">
        <v>1403</v>
      </c>
      <c r="V68" s="75" t="s">
        <v>930</v>
      </c>
    </row>
    <row r="69" ht="15.0" customHeight="1">
      <c r="A69" s="71" t="s">
        <v>181</v>
      </c>
      <c r="B69" s="104" t="s">
        <v>1404</v>
      </c>
      <c r="C69" s="104" t="s">
        <v>1405</v>
      </c>
      <c r="D69" s="105" t="s">
        <v>1406</v>
      </c>
      <c r="E69" s="26" t="s">
        <v>1198</v>
      </c>
      <c r="F69" s="70" t="s">
        <v>49</v>
      </c>
      <c r="G69" s="72" t="s">
        <v>984</v>
      </c>
      <c r="H69" s="72"/>
      <c r="I69" s="72" t="s">
        <v>964</v>
      </c>
      <c r="J69" s="67" t="s">
        <v>985</v>
      </c>
      <c r="K69" s="90" t="s">
        <v>1235</v>
      </c>
      <c r="L69" s="26"/>
      <c r="M69" s="71" t="s">
        <v>1407</v>
      </c>
      <c r="N69" s="74">
        <v>2022.0</v>
      </c>
      <c r="O69" s="71" t="s">
        <v>989</v>
      </c>
      <c r="P69" s="71" t="s">
        <v>1016</v>
      </c>
      <c r="Q69" s="67" t="s">
        <v>961</v>
      </c>
      <c r="R69" s="26" t="s">
        <v>1408</v>
      </c>
      <c r="S69" s="26" t="s">
        <v>1409</v>
      </c>
      <c r="U69" s="39" t="s">
        <v>1410</v>
      </c>
      <c r="V69" s="75" t="s">
        <v>1026</v>
      </c>
    </row>
    <row r="70">
      <c r="A70" s="106" t="s">
        <v>181</v>
      </c>
      <c r="B70" s="107" t="s">
        <v>1411</v>
      </c>
      <c r="C70" s="107" t="s">
        <v>1412</v>
      </c>
      <c r="D70" s="108" t="s">
        <v>1413</v>
      </c>
      <c r="E70" s="20" t="s">
        <v>1198</v>
      </c>
      <c r="F70" s="109" t="s">
        <v>49</v>
      </c>
      <c r="G70" s="110" t="s">
        <v>1414</v>
      </c>
      <c r="H70" s="110"/>
      <c r="I70" s="110" t="s">
        <v>976</v>
      </c>
      <c r="J70" s="111" t="s">
        <v>1415</v>
      </c>
      <c r="K70" s="110" t="s">
        <v>1235</v>
      </c>
      <c r="L70" s="110" t="s">
        <v>1376</v>
      </c>
      <c r="M70" s="106" t="s">
        <v>1416</v>
      </c>
      <c r="N70" s="112">
        <v>2021.0</v>
      </c>
      <c r="O70" s="106" t="s">
        <v>1417</v>
      </c>
      <c r="P70" s="106" t="s">
        <v>1016</v>
      </c>
      <c r="Q70" s="111" t="s">
        <v>961</v>
      </c>
      <c r="R70" s="20" t="s">
        <v>1418</v>
      </c>
      <c r="S70" s="20" t="s">
        <v>1419</v>
      </c>
      <c r="T70" s="16"/>
      <c r="U70" s="113" t="s">
        <v>1420</v>
      </c>
      <c r="V70" s="75" t="s">
        <v>930</v>
      </c>
      <c r="W70" s="16"/>
      <c r="X70" s="16"/>
      <c r="Y70" s="16"/>
      <c r="Z70" s="16"/>
      <c r="AA70" s="16"/>
      <c r="AB70" s="16"/>
      <c r="AC70" s="16"/>
      <c r="AD70" s="16"/>
      <c r="AE70" s="16"/>
    </row>
    <row r="71">
      <c r="A71" s="72" t="s">
        <v>347</v>
      </c>
      <c r="B71" s="114" t="s">
        <v>348</v>
      </c>
      <c r="C71" s="114" t="s">
        <v>349</v>
      </c>
      <c r="D71" s="115" t="s">
        <v>1421</v>
      </c>
      <c r="E71" s="70" t="s">
        <v>961</v>
      </c>
      <c r="F71" s="70" t="s">
        <v>49</v>
      </c>
      <c r="G71" s="26" t="s">
        <v>1422</v>
      </c>
      <c r="H71" s="26"/>
      <c r="I71" s="70" t="s">
        <v>162</v>
      </c>
      <c r="J71" s="67" t="s">
        <v>985</v>
      </c>
      <c r="K71" s="26" t="s">
        <v>1005</v>
      </c>
      <c r="L71" s="72" t="s">
        <v>1306</v>
      </c>
      <c r="M71" s="71" t="s">
        <v>1022</v>
      </c>
      <c r="N71" s="74">
        <v>2023.0</v>
      </c>
      <c r="O71" s="71" t="s">
        <v>989</v>
      </c>
      <c r="P71" s="71" t="s">
        <v>970</v>
      </c>
      <c r="Q71" s="67" t="s">
        <v>1290</v>
      </c>
      <c r="R71" s="26" t="s">
        <v>1418</v>
      </c>
      <c r="S71" s="26" t="s">
        <v>1423</v>
      </c>
      <c r="U71" s="39" t="s">
        <v>1424</v>
      </c>
      <c r="V71" s="75" t="s">
        <v>930</v>
      </c>
    </row>
    <row r="72">
      <c r="A72" s="72" t="s">
        <v>347</v>
      </c>
      <c r="B72" s="114" t="s">
        <v>351</v>
      </c>
      <c r="C72" s="114" t="s">
        <v>352</v>
      </c>
      <c r="D72" s="115" t="s">
        <v>1425</v>
      </c>
      <c r="E72" s="114" t="s">
        <v>961</v>
      </c>
      <c r="F72" s="114" t="s">
        <v>49</v>
      </c>
      <c r="G72" s="26" t="s">
        <v>984</v>
      </c>
      <c r="H72" s="26"/>
      <c r="I72" s="72" t="s">
        <v>964</v>
      </c>
      <c r="J72" s="67" t="s">
        <v>985</v>
      </c>
      <c r="K72" s="26" t="s">
        <v>1426</v>
      </c>
      <c r="L72" s="72" t="s">
        <v>995</v>
      </c>
      <c r="M72" s="71" t="s">
        <v>968</v>
      </c>
      <c r="N72" s="74">
        <v>2023.0</v>
      </c>
      <c r="O72" s="71" t="s">
        <v>969</v>
      </c>
      <c r="P72" s="71" t="s">
        <v>970</v>
      </c>
      <c r="Q72" s="67" t="s">
        <v>1265</v>
      </c>
      <c r="R72" s="26" t="s">
        <v>1048</v>
      </c>
      <c r="S72" s="26" t="s">
        <v>1427</v>
      </c>
      <c r="U72" s="39" t="s">
        <v>1428</v>
      </c>
      <c r="V72" s="75" t="s">
        <v>930</v>
      </c>
    </row>
    <row r="73">
      <c r="A73" s="72" t="s">
        <v>347</v>
      </c>
      <c r="B73" s="114" t="s">
        <v>355</v>
      </c>
      <c r="C73" s="114" t="s">
        <v>356</v>
      </c>
      <c r="D73" s="115" t="s">
        <v>1429</v>
      </c>
      <c r="E73" s="114" t="s">
        <v>961</v>
      </c>
      <c r="F73" s="114" t="s">
        <v>49</v>
      </c>
      <c r="G73" s="26" t="s">
        <v>1258</v>
      </c>
      <c r="H73" s="72" t="s">
        <v>964</v>
      </c>
      <c r="I73" s="70" t="s">
        <v>162</v>
      </c>
      <c r="J73" s="69" t="s">
        <v>1430</v>
      </c>
      <c r="K73" s="26" t="s">
        <v>1005</v>
      </c>
      <c r="L73" s="72" t="s">
        <v>1014</v>
      </c>
      <c r="M73" s="71" t="s">
        <v>1431</v>
      </c>
      <c r="N73" s="74">
        <v>2023.0</v>
      </c>
      <c r="O73" s="71" t="s">
        <v>989</v>
      </c>
      <c r="P73" s="71" t="s">
        <v>970</v>
      </c>
      <c r="Q73" s="67" t="s">
        <v>1119</v>
      </c>
      <c r="R73" s="26" t="s">
        <v>1048</v>
      </c>
      <c r="S73" s="26" t="s">
        <v>1432</v>
      </c>
      <c r="U73" s="39" t="s">
        <v>1433</v>
      </c>
      <c r="V73" s="75" t="s">
        <v>930</v>
      </c>
    </row>
    <row r="74">
      <c r="A74" s="72" t="s">
        <v>347</v>
      </c>
      <c r="B74" s="114" t="s">
        <v>359</v>
      </c>
      <c r="C74" s="114" t="s">
        <v>360</v>
      </c>
      <c r="D74" s="115" t="s">
        <v>1434</v>
      </c>
      <c r="E74" s="114" t="s">
        <v>961</v>
      </c>
      <c r="F74" s="114" t="s">
        <v>49</v>
      </c>
      <c r="G74" s="26" t="s">
        <v>1258</v>
      </c>
      <c r="H74" s="72" t="s">
        <v>964</v>
      </c>
      <c r="I74" s="70" t="s">
        <v>162</v>
      </c>
      <c r="J74" s="69" t="s">
        <v>1435</v>
      </c>
      <c r="K74" s="26" t="s">
        <v>1005</v>
      </c>
      <c r="L74" s="72" t="s">
        <v>1014</v>
      </c>
      <c r="M74" s="71" t="s">
        <v>1436</v>
      </c>
      <c r="N74" s="74">
        <v>2023.0</v>
      </c>
      <c r="O74" s="71" t="s">
        <v>989</v>
      </c>
      <c r="P74" s="71" t="s">
        <v>970</v>
      </c>
      <c r="Q74" s="67" t="s">
        <v>1437</v>
      </c>
      <c r="R74" s="26" t="s">
        <v>1048</v>
      </c>
      <c r="S74" s="26" t="s">
        <v>1438</v>
      </c>
      <c r="U74" s="39" t="s">
        <v>1439</v>
      </c>
      <c r="V74" s="75" t="s">
        <v>930</v>
      </c>
    </row>
    <row r="75">
      <c r="A75" s="72" t="s">
        <v>347</v>
      </c>
      <c r="B75" s="114" t="s">
        <v>365</v>
      </c>
      <c r="C75" s="114" t="s">
        <v>366</v>
      </c>
      <c r="D75" s="115" t="s">
        <v>1440</v>
      </c>
      <c r="E75" s="114" t="s">
        <v>961</v>
      </c>
      <c r="F75" s="114" t="s">
        <v>49</v>
      </c>
      <c r="G75" s="26" t="s">
        <v>1227</v>
      </c>
      <c r="H75" s="26"/>
      <c r="I75" s="70" t="s">
        <v>1033</v>
      </c>
      <c r="J75" s="67" t="s">
        <v>1034</v>
      </c>
      <c r="K75" s="26" t="s">
        <v>1441</v>
      </c>
      <c r="L75" s="72" t="s">
        <v>1442</v>
      </c>
      <c r="M75" s="71" t="s">
        <v>1022</v>
      </c>
      <c r="N75" s="74">
        <v>2022.0</v>
      </c>
      <c r="O75" s="71" t="s">
        <v>978</v>
      </c>
      <c r="P75" s="71" t="s">
        <v>970</v>
      </c>
      <c r="Q75" s="67" t="s">
        <v>1119</v>
      </c>
      <c r="R75" s="26" t="s">
        <v>1443</v>
      </c>
      <c r="S75" s="26" t="s">
        <v>1444</v>
      </c>
      <c r="U75" s="39" t="s">
        <v>1445</v>
      </c>
      <c r="V75" s="75" t="s">
        <v>930</v>
      </c>
    </row>
    <row r="76">
      <c r="A76" s="72" t="s">
        <v>347</v>
      </c>
      <c r="B76" s="114" t="s">
        <v>370</v>
      </c>
      <c r="C76" s="72" t="s">
        <v>1446</v>
      </c>
      <c r="D76" s="115" t="s">
        <v>1447</v>
      </c>
      <c r="E76" s="114" t="s">
        <v>961</v>
      </c>
      <c r="F76" s="114" t="s">
        <v>49</v>
      </c>
      <c r="G76" s="26" t="s">
        <v>1448</v>
      </c>
      <c r="H76" s="26"/>
      <c r="I76" s="70" t="s">
        <v>1033</v>
      </c>
      <c r="J76" s="67" t="s">
        <v>1034</v>
      </c>
      <c r="K76" s="26" t="s">
        <v>1449</v>
      </c>
      <c r="L76" s="72" t="s">
        <v>1450</v>
      </c>
      <c r="M76" s="71" t="s">
        <v>1022</v>
      </c>
      <c r="N76" s="74">
        <v>2022.0</v>
      </c>
      <c r="O76" s="71" t="s">
        <v>989</v>
      </c>
      <c r="P76" s="71" t="s">
        <v>1451</v>
      </c>
      <c r="Q76" s="67" t="s">
        <v>961</v>
      </c>
      <c r="R76" s="26" t="s">
        <v>1055</v>
      </c>
      <c r="S76" s="26" t="s">
        <v>1452</v>
      </c>
      <c r="U76" s="39" t="s">
        <v>1453</v>
      </c>
      <c r="V76" s="75" t="s">
        <v>1026</v>
      </c>
    </row>
    <row r="77">
      <c r="A77" s="72" t="s">
        <v>347</v>
      </c>
      <c r="B77" s="114" t="s">
        <v>377</v>
      </c>
      <c r="C77" s="114" t="s">
        <v>378</v>
      </c>
      <c r="D77" s="115" t="s">
        <v>1454</v>
      </c>
      <c r="E77" s="114" t="s">
        <v>961</v>
      </c>
      <c r="F77" s="114" t="s">
        <v>49</v>
      </c>
      <c r="G77" s="26" t="s">
        <v>984</v>
      </c>
      <c r="H77" s="72" t="s">
        <v>964</v>
      </c>
      <c r="I77" s="70" t="s">
        <v>162</v>
      </c>
      <c r="J77" s="67" t="s">
        <v>985</v>
      </c>
      <c r="K77" s="26" t="s">
        <v>1005</v>
      </c>
      <c r="L77" s="72"/>
      <c r="M77" s="71" t="s">
        <v>1022</v>
      </c>
      <c r="N77" s="74">
        <v>2022.0</v>
      </c>
      <c r="O77" s="71" t="s">
        <v>989</v>
      </c>
      <c r="P77" s="71" t="s">
        <v>970</v>
      </c>
      <c r="Q77" s="67" t="s">
        <v>1455</v>
      </c>
      <c r="R77" s="26" t="s">
        <v>1456</v>
      </c>
      <c r="S77" s="26" t="s">
        <v>1457</v>
      </c>
      <c r="U77" s="39" t="s">
        <v>1458</v>
      </c>
      <c r="V77" s="75" t="s">
        <v>930</v>
      </c>
      <c r="W77" s="26" t="s">
        <v>1459</v>
      </c>
    </row>
    <row r="78">
      <c r="A78" s="72" t="s">
        <v>347</v>
      </c>
      <c r="B78" s="114" t="s">
        <v>381</v>
      </c>
      <c r="C78" s="114" t="s">
        <v>382</v>
      </c>
      <c r="D78" s="115" t="s">
        <v>1460</v>
      </c>
      <c r="E78" s="114" t="s">
        <v>961</v>
      </c>
      <c r="F78" s="114" t="s">
        <v>49</v>
      </c>
      <c r="G78" s="26" t="s">
        <v>1069</v>
      </c>
      <c r="H78" s="26"/>
      <c r="I78" s="70" t="s">
        <v>162</v>
      </c>
      <c r="J78" s="67" t="s">
        <v>985</v>
      </c>
      <c r="K78" s="26" t="s">
        <v>1147</v>
      </c>
      <c r="L78" s="72" t="s">
        <v>1036</v>
      </c>
      <c r="M78" s="71" t="s">
        <v>1022</v>
      </c>
      <c r="N78" s="74">
        <v>2022.0</v>
      </c>
      <c r="O78" s="71" t="s">
        <v>999</v>
      </c>
      <c r="P78" s="71" t="s">
        <v>970</v>
      </c>
      <c r="Q78" s="67" t="s">
        <v>1461</v>
      </c>
      <c r="R78" s="26" t="s">
        <v>1048</v>
      </c>
      <c r="S78" s="26" t="s">
        <v>1462</v>
      </c>
      <c r="U78" s="39" t="s">
        <v>1463</v>
      </c>
      <c r="V78" s="75" t="s">
        <v>930</v>
      </c>
    </row>
    <row r="79">
      <c r="A79" s="72" t="s">
        <v>347</v>
      </c>
      <c r="B79" s="114" t="s">
        <v>386</v>
      </c>
      <c r="C79" s="114" t="s">
        <v>387</v>
      </c>
      <c r="D79" s="115" t="s">
        <v>1464</v>
      </c>
      <c r="E79" s="114" t="s">
        <v>961</v>
      </c>
      <c r="F79" s="114" t="s">
        <v>49</v>
      </c>
      <c r="G79" s="26" t="s">
        <v>1465</v>
      </c>
      <c r="H79" s="26"/>
      <c r="I79" s="70" t="s">
        <v>162</v>
      </c>
      <c r="J79" s="116" t="s">
        <v>1466</v>
      </c>
      <c r="K79" s="26" t="s">
        <v>1467</v>
      </c>
      <c r="L79" s="72" t="s">
        <v>1468</v>
      </c>
      <c r="M79" s="71" t="s">
        <v>1022</v>
      </c>
      <c r="N79" s="74">
        <v>2022.0</v>
      </c>
      <c r="O79" s="71" t="s">
        <v>989</v>
      </c>
      <c r="P79" s="71" t="s">
        <v>970</v>
      </c>
      <c r="Q79" s="67" t="s">
        <v>1265</v>
      </c>
      <c r="R79" s="26" t="s">
        <v>1048</v>
      </c>
      <c r="S79" s="26" t="s">
        <v>1469</v>
      </c>
      <c r="U79" s="39" t="s">
        <v>1470</v>
      </c>
      <c r="V79" s="75" t="s">
        <v>930</v>
      </c>
      <c r="W79" s="26" t="s">
        <v>1471</v>
      </c>
    </row>
    <row r="80">
      <c r="A80" s="72" t="s">
        <v>347</v>
      </c>
      <c r="B80" s="114" t="s">
        <v>390</v>
      </c>
      <c r="C80" s="114" t="s">
        <v>391</v>
      </c>
      <c r="D80" s="115" t="s">
        <v>1472</v>
      </c>
      <c r="E80" s="114" t="s">
        <v>961</v>
      </c>
      <c r="F80" s="114" t="s">
        <v>49</v>
      </c>
      <c r="G80" s="26" t="s">
        <v>1392</v>
      </c>
      <c r="H80" s="26"/>
      <c r="I80" s="70" t="s">
        <v>162</v>
      </c>
      <c r="J80" s="67" t="s">
        <v>985</v>
      </c>
      <c r="K80" s="26" t="s">
        <v>1473</v>
      </c>
      <c r="L80" s="72" t="s">
        <v>1021</v>
      </c>
      <c r="M80" s="71" t="s">
        <v>988</v>
      </c>
      <c r="N80" s="74">
        <v>2022.0</v>
      </c>
      <c r="O80" s="71" t="s">
        <v>989</v>
      </c>
      <c r="P80" s="71" t="s">
        <v>970</v>
      </c>
      <c r="Q80" s="67" t="s">
        <v>1461</v>
      </c>
      <c r="R80" s="26" t="s">
        <v>1474</v>
      </c>
      <c r="S80" s="26" t="s">
        <v>1475</v>
      </c>
      <c r="U80" s="39" t="s">
        <v>1476</v>
      </c>
      <c r="V80" s="75" t="s">
        <v>930</v>
      </c>
    </row>
    <row r="81">
      <c r="A81" s="72" t="s">
        <v>347</v>
      </c>
      <c r="B81" s="114" t="s">
        <v>394</v>
      </c>
      <c r="C81" s="114" t="s">
        <v>395</v>
      </c>
      <c r="D81" s="115" t="s">
        <v>1477</v>
      </c>
      <c r="E81" s="114" t="s">
        <v>961</v>
      </c>
      <c r="F81" s="72" t="s">
        <v>559</v>
      </c>
      <c r="G81" s="26" t="s">
        <v>1478</v>
      </c>
      <c r="H81" s="26"/>
      <c r="I81" s="70" t="s">
        <v>162</v>
      </c>
      <c r="J81" s="67" t="s">
        <v>1060</v>
      </c>
      <c r="K81" s="26" t="s">
        <v>1131</v>
      </c>
      <c r="L81" s="72" t="s">
        <v>1479</v>
      </c>
      <c r="M81" s="71" t="s">
        <v>1160</v>
      </c>
      <c r="N81" s="74">
        <v>2022.0</v>
      </c>
      <c r="O81" s="71" t="s">
        <v>1480</v>
      </c>
      <c r="P81" s="71" t="s">
        <v>1481</v>
      </c>
      <c r="Q81" s="67" t="s">
        <v>961</v>
      </c>
      <c r="R81" s="26" t="s">
        <v>1055</v>
      </c>
      <c r="S81" s="26" t="s">
        <v>1482</v>
      </c>
      <c r="U81" s="39" t="s">
        <v>1483</v>
      </c>
      <c r="V81" s="75" t="s">
        <v>1437</v>
      </c>
    </row>
    <row r="82">
      <c r="A82" s="72" t="s">
        <v>347</v>
      </c>
      <c r="B82" s="114" t="s">
        <v>399</v>
      </c>
      <c r="C82" s="114" t="s">
        <v>400</v>
      </c>
      <c r="D82" s="115" t="s">
        <v>1484</v>
      </c>
      <c r="E82" s="114" t="s">
        <v>961</v>
      </c>
      <c r="F82" s="114" t="s">
        <v>49</v>
      </c>
      <c r="G82" s="26" t="s">
        <v>1033</v>
      </c>
      <c r="H82" s="26"/>
      <c r="I82" s="72" t="s">
        <v>964</v>
      </c>
      <c r="J82" s="117" t="s">
        <v>1485</v>
      </c>
      <c r="K82" s="26" t="s">
        <v>1005</v>
      </c>
      <c r="L82" s="72" t="s">
        <v>1486</v>
      </c>
      <c r="M82" s="71" t="s">
        <v>1022</v>
      </c>
      <c r="N82" s="74">
        <v>2022.0</v>
      </c>
      <c r="O82" s="71" t="s">
        <v>989</v>
      </c>
      <c r="P82" s="71" t="s">
        <v>1023</v>
      </c>
      <c r="Q82" s="67" t="s">
        <v>961</v>
      </c>
      <c r="R82" s="26" t="s">
        <v>1487</v>
      </c>
      <c r="S82" s="26" t="s">
        <v>1488</v>
      </c>
      <c r="U82" s="39" t="s">
        <v>1489</v>
      </c>
      <c r="V82" s="75" t="s">
        <v>930</v>
      </c>
    </row>
    <row r="83">
      <c r="A83" s="72" t="s">
        <v>347</v>
      </c>
      <c r="B83" s="114" t="s">
        <v>404</v>
      </c>
      <c r="C83" s="114" t="s">
        <v>405</v>
      </c>
      <c r="D83" s="115" t="s">
        <v>1490</v>
      </c>
      <c r="E83" s="114" t="s">
        <v>961</v>
      </c>
      <c r="F83" s="114" t="s">
        <v>49</v>
      </c>
      <c r="G83" s="26" t="s">
        <v>995</v>
      </c>
      <c r="H83" s="26"/>
      <c r="I83" s="70" t="s">
        <v>162</v>
      </c>
      <c r="J83" s="104" t="s">
        <v>1491</v>
      </c>
      <c r="K83" s="26" t="s">
        <v>1005</v>
      </c>
      <c r="L83" s="72" t="s">
        <v>1492</v>
      </c>
      <c r="M83" s="71" t="s">
        <v>1493</v>
      </c>
      <c r="N83" s="74">
        <v>2022.0</v>
      </c>
      <c r="O83" s="71" t="s">
        <v>969</v>
      </c>
      <c r="P83" s="71" t="s">
        <v>970</v>
      </c>
      <c r="Q83" s="67" t="s">
        <v>1119</v>
      </c>
      <c r="R83" s="26" t="s">
        <v>1055</v>
      </c>
      <c r="S83" s="26" t="s">
        <v>1494</v>
      </c>
      <c r="U83" s="39" t="s">
        <v>1495</v>
      </c>
      <c r="V83" s="75" t="s">
        <v>930</v>
      </c>
    </row>
    <row r="84">
      <c r="A84" s="72" t="s">
        <v>347</v>
      </c>
      <c r="B84" s="114" t="s">
        <v>411</v>
      </c>
      <c r="C84" s="114" t="s">
        <v>412</v>
      </c>
      <c r="D84" s="118" t="s">
        <v>1496</v>
      </c>
      <c r="E84" s="114" t="s">
        <v>961</v>
      </c>
      <c r="F84" s="114" t="s">
        <v>49</v>
      </c>
      <c r="G84" s="26" t="s">
        <v>1012</v>
      </c>
      <c r="H84" s="26"/>
      <c r="I84" s="72" t="s">
        <v>964</v>
      </c>
      <c r="J84" s="104" t="s">
        <v>1491</v>
      </c>
      <c r="K84" s="26" t="s">
        <v>1005</v>
      </c>
      <c r="L84" s="72" t="s">
        <v>1497</v>
      </c>
      <c r="M84" s="71" t="s">
        <v>1022</v>
      </c>
      <c r="N84" s="74">
        <v>2022.0</v>
      </c>
      <c r="O84" s="71" t="s">
        <v>989</v>
      </c>
      <c r="P84" s="71" t="s">
        <v>970</v>
      </c>
      <c r="Q84" s="67" t="s">
        <v>1126</v>
      </c>
      <c r="R84" s="26" t="s">
        <v>1498</v>
      </c>
      <c r="S84" s="26" t="s">
        <v>1499</v>
      </c>
      <c r="U84" s="39" t="s">
        <v>1500</v>
      </c>
      <c r="V84" s="75" t="s">
        <v>930</v>
      </c>
    </row>
    <row r="85">
      <c r="A85" s="72" t="s">
        <v>347</v>
      </c>
      <c r="B85" s="114" t="s">
        <v>640</v>
      </c>
      <c r="C85" s="114" t="s">
        <v>641</v>
      </c>
      <c r="D85" s="118" t="s">
        <v>1501</v>
      </c>
      <c r="E85" s="114" t="s">
        <v>961</v>
      </c>
      <c r="F85" s="114" t="s">
        <v>49</v>
      </c>
      <c r="G85" s="26" t="s">
        <v>1502</v>
      </c>
      <c r="H85" s="26"/>
      <c r="I85" s="72" t="s">
        <v>162</v>
      </c>
      <c r="J85" s="116" t="s">
        <v>1503</v>
      </c>
      <c r="K85" s="26" t="s">
        <v>1005</v>
      </c>
      <c r="L85" s="72" t="s">
        <v>1103</v>
      </c>
      <c r="M85" s="71" t="s">
        <v>1022</v>
      </c>
      <c r="N85" s="74">
        <v>2025.0</v>
      </c>
      <c r="O85" s="71" t="s">
        <v>989</v>
      </c>
      <c r="P85" s="71" t="s">
        <v>970</v>
      </c>
      <c r="Q85" s="67" t="s">
        <v>1265</v>
      </c>
      <c r="R85" s="26" t="s">
        <v>1048</v>
      </c>
      <c r="S85" s="26" t="s">
        <v>1504</v>
      </c>
      <c r="U85" s="39" t="s">
        <v>1505</v>
      </c>
      <c r="V85" s="75" t="s">
        <v>930</v>
      </c>
    </row>
    <row r="86">
      <c r="A86" s="72" t="s">
        <v>347</v>
      </c>
      <c r="B86" s="114" t="s">
        <v>647</v>
      </c>
      <c r="C86" s="114" t="s">
        <v>648</v>
      </c>
      <c r="D86" s="118" t="s">
        <v>1506</v>
      </c>
      <c r="E86" s="114" t="s">
        <v>961</v>
      </c>
      <c r="F86" s="114" t="s">
        <v>49</v>
      </c>
      <c r="G86" s="26" t="s">
        <v>1502</v>
      </c>
      <c r="H86" s="26"/>
      <c r="I86" s="72" t="s">
        <v>162</v>
      </c>
      <c r="J86" s="69" t="s">
        <v>1507</v>
      </c>
      <c r="K86" s="26" t="s">
        <v>1005</v>
      </c>
      <c r="L86" s="72" t="s">
        <v>1125</v>
      </c>
      <c r="M86" s="71" t="s">
        <v>1022</v>
      </c>
      <c r="N86" s="74">
        <v>2025.0</v>
      </c>
      <c r="O86" s="71" t="s">
        <v>989</v>
      </c>
      <c r="P86" s="71" t="s">
        <v>970</v>
      </c>
      <c r="Q86" s="67" t="s">
        <v>1508</v>
      </c>
      <c r="R86" s="26" t="s">
        <v>1509</v>
      </c>
      <c r="S86" s="26" t="s">
        <v>1510</v>
      </c>
      <c r="U86" s="39" t="s">
        <v>1511</v>
      </c>
      <c r="V86" s="75" t="s">
        <v>930</v>
      </c>
    </row>
    <row r="87">
      <c r="A87" s="72" t="s">
        <v>347</v>
      </c>
      <c r="B87" s="114" t="s">
        <v>649</v>
      </c>
      <c r="C87" s="114" t="s">
        <v>650</v>
      </c>
      <c r="D87" s="118" t="s">
        <v>1512</v>
      </c>
      <c r="E87" s="114" t="s">
        <v>961</v>
      </c>
      <c r="F87" s="114" t="s">
        <v>49</v>
      </c>
      <c r="G87" s="26" t="s">
        <v>162</v>
      </c>
      <c r="H87" s="26"/>
      <c r="I87" s="70" t="s">
        <v>162</v>
      </c>
      <c r="J87" s="67" t="s">
        <v>985</v>
      </c>
      <c r="K87" s="26" t="s">
        <v>1005</v>
      </c>
      <c r="L87" s="72" t="s">
        <v>1125</v>
      </c>
      <c r="M87" s="71" t="s">
        <v>1022</v>
      </c>
      <c r="N87" s="74">
        <v>2025.0</v>
      </c>
      <c r="O87" s="71" t="s">
        <v>1336</v>
      </c>
      <c r="P87" s="71" t="s">
        <v>970</v>
      </c>
      <c r="Q87" s="67" t="s">
        <v>1126</v>
      </c>
      <c r="R87" s="26" t="s">
        <v>1513</v>
      </c>
      <c r="S87" s="26" t="s">
        <v>1514</v>
      </c>
      <c r="U87" s="39" t="s">
        <v>1515</v>
      </c>
      <c r="V87" s="75" t="s">
        <v>930</v>
      </c>
    </row>
    <row r="88">
      <c r="A88" s="72" t="s">
        <v>347</v>
      </c>
      <c r="B88" s="114" t="s">
        <v>722</v>
      </c>
      <c r="C88" s="114" t="s">
        <v>723</v>
      </c>
      <c r="D88" s="118" t="s">
        <v>1516</v>
      </c>
      <c r="E88" s="114" t="s">
        <v>961</v>
      </c>
      <c r="F88" s="114" t="s">
        <v>49</v>
      </c>
      <c r="G88" s="26" t="s">
        <v>162</v>
      </c>
      <c r="H88" s="26"/>
      <c r="I88" s="70" t="s">
        <v>162</v>
      </c>
      <c r="J88" s="67" t="s">
        <v>985</v>
      </c>
      <c r="K88" s="26" t="s">
        <v>1005</v>
      </c>
      <c r="L88" s="72" t="s">
        <v>1517</v>
      </c>
      <c r="M88" s="71" t="s">
        <v>1022</v>
      </c>
      <c r="N88" s="74">
        <v>2025.0</v>
      </c>
      <c r="O88" s="71" t="s">
        <v>989</v>
      </c>
      <c r="P88" s="71" t="s">
        <v>970</v>
      </c>
      <c r="Q88" s="67" t="s">
        <v>1126</v>
      </c>
      <c r="R88" s="26" t="s">
        <v>1518</v>
      </c>
      <c r="S88" s="26" t="s">
        <v>1519</v>
      </c>
      <c r="U88" s="39" t="s">
        <v>1520</v>
      </c>
      <c r="V88" s="75" t="s">
        <v>930</v>
      </c>
    </row>
    <row r="89">
      <c r="A89" s="72" t="s">
        <v>347</v>
      </c>
      <c r="B89" s="114" t="s">
        <v>743</v>
      </c>
      <c r="C89" s="114" t="s">
        <v>744</v>
      </c>
      <c r="D89" s="118" t="s">
        <v>1521</v>
      </c>
      <c r="E89" s="114" t="s">
        <v>961</v>
      </c>
      <c r="F89" s="114" t="s">
        <v>49</v>
      </c>
      <c r="G89" s="26" t="s">
        <v>1012</v>
      </c>
      <c r="H89" s="26"/>
      <c r="I89" s="72" t="s">
        <v>964</v>
      </c>
      <c r="J89" s="67" t="s">
        <v>985</v>
      </c>
      <c r="K89" s="26" t="s">
        <v>1005</v>
      </c>
      <c r="L89" s="72" t="s">
        <v>1522</v>
      </c>
      <c r="M89" s="71" t="s">
        <v>1022</v>
      </c>
      <c r="N89" s="74">
        <v>2025.0</v>
      </c>
      <c r="O89" s="71" t="s">
        <v>989</v>
      </c>
      <c r="P89" s="71" t="s">
        <v>970</v>
      </c>
      <c r="Q89" s="67" t="s">
        <v>1126</v>
      </c>
      <c r="R89" s="26" t="s">
        <v>1523</v>
      </c>
      <c r="S89" s="26" t="s">
        <v>1524</v>
      </c>
      <c r="U89" s="39" t="s">
        <v>1525</v>
      </c>
      <c r="V89" s="75" t="s">
        <v>930</v>
      </c>
    </row>
    <row r="90">
      <c r="A90" s="72" t="s">
        <v>347</v>
      </c>
      <c r="B90" s="114" t="s">
        <v>757</v>
      </c>
      <c r="C90" s="114" t="s">
        <v>758</v>
      </c>
      <c r="D90" s="118" t="s">
        <v>1526</v>
      </c>
      <c r="E90" s="114" t="s">
        <v>961</v>
      </c>
      <c r="F90" s="114" t="s">
        <v>49</v>
      </c>
      <c r="G90" s="26" t="s">
        <v>1258</v>
      </c>
      <c r="H90" s="26"/>
      <c r="I90" s="72" t="s">
        <v>162</v>
      </c>
      <c r="J90" s="69" t="s">
        <v>1527</v>
      </c>
      <c r="K90" s="26" t="s">
        <v>1005</v>
      </c>
      <c r="L90" s="72" t="s">
        <v>1497</v>
      </c>
      <c r="M90" s="71" t="s">
        <v>1022</v>
      </c>
      <c r="N90" s="74">
        <v>2025.0</v>
      </c>
      <c r="O90" s="71" t="s">
        <v>989</v>
      </c>
      <c r="P90" s="71" t="s">
        <v>970</v>
      </c>
      <c r="Q90" s="67" t="s">
        <v>1126</v>
      </c>
      <c r="R90" s="26" t="s">
        <v>1048</v>
      </c>
      <c r="S90" s="26" t="s">
        <v>1528</v>
      </c>
      <c r="U90" s="39" t="s">
        <v>1529</v>
      </c>
      <c r="V90" s="75" t="s">
        <v>930</v>
      </c>
    </row>
    <row r="91" ht="14.25" customHeight="1">
      <c r="A91" s="86" t="s">
        <v>347</v>
      </c>
      <c r="B91" s="119" t="s">
        <v>1530</v>
      </c>
      <c r="C91" s="119" t="s">
        <v>1531</v>
      </c>
      <c r="D91" s="120" t="s">
        <v>1532</v>
      </c>
      <c r="E91" s="119" t="s">
        <v>930</v>
      </c>
      <c r="F91" s="86" t="s">
        <v>559</v>
      </c>
      <c r="G91" s="28" t="s">
        <v>962</v>
      </c>
      <c r="H91" s="28" t="s">
        <v>1533</v>
      </c>
      <c r="I91" s="110" t="s">
        <v>964</v>
      </c>
      <c r="J91" s="121" t="s">
        <v>1534</v>
      </c>
      <c r="K91" s="28"/>
      <c r="L91" s="86" t="s">
        <v>1535</v>
      </c>
      <c r="M91" s="87" t="s">
        <v>1022</v>
      </c>
      <c r="N91" s="89">
        <v>2025.0</v>
      </c>
      <c r="O91" s="87" t="s">
        <v>1255</v>
      </c>
      <c r="P91" s="87" t="s">
        <v>1194</v>
      </c>
      <c r="Q91" s="76" t="s">
        <v>961</v>
      </c>
      <c r="R91" s="28" t="s">
        <v>1536</v>
      </c>
      <c r="S91" s="28" t="s">
        <v>1537</v>
      </c>
      <c r="T91" s="122"/>
      <c r="U91" s="42" t="s">
        <v>1538</v>
      </c>
      <c r="V91" s="75" t="s">
        <v>1198</v>
      </c>
      <c r="W91" s="122"/>
      <c r="X91" s="28"/>
      <c r="Y91" s="28" t="s">
        <v>1539</v>
      </c>
      <c r="Z91" s="122"/>
      <c r="AA91" s="122"/>
      <c r="AB91" s="122"/>
      <c r="AC91" s="122"/>
      <c r="AD91" s="122"/>
      <c r="AE91" s="122"/>
      <c r="AF91" s="122"/>
      <c r="AG91" s="122"/>
      <c r="AH91" s="122"/>
      <c r="AI91" s="122"/>
      <c r="AJ91" s="122"/>
      <c r="AK91" s="122"/>
    </row>
    <row r="92">
      <c r="A92" s="123" t="s">
        <v>269</v>
      </c>
      <c r="B92" s="124" t="s">
        <v>267</v>
      </c>
      <c r="C92" s="124" t="s">
        <v>268</v>
      </c>
      <c r="D92" s="125" t="s">
        <v>1540</v>
      </c>
      <c r="E92" s="126" t="s">
        <v>961</v>
      </c>
      <c r="F92" s="124" t="s">
        <v>49</v>
      </c>
      <c r="G92" s="127" t="s">
        <v>984</v>
      </c>
      <c r="H92" s="127" t="s">
        <v>162</v>
      </c>
      <c r="I92" s="70" t="s">
        <v>162</v>
      </c>
      <c r="J92" s="127" t="s">
        <v>1013</v>
      </c>
      <c r="K92" s="128" t="s">
        <v>1005</v>
      </c>
      <c r="L92" s="128" t="s">
        <v>1125</v>
      </c>
      <c r="M92" s="129" t="s">
        <v>1022</v>
      </c>
      <c r="N92" s="130">
        <v>2024.0</v>
      </c>
      <c r="O92" s="129" t="s">
        <v>1336</v>
      </c>
      <c r="P92" s="129" t="s">
        <v>970</v>
      </c>
      <c r="Q92" s="131" t="s">
        <v>1126</v>
      </c>
      <c r="R92" s="132" t="s">
        <v>1541</v>
      </c>
      <c r="S92" s="132" t="s">
        <v>1049</v>
      </c>
      <c r="T92" s="133"/>
      <c r="U92" s="134" t="s">
        <v>1542</v>
      </c>
      <c r="V92" s="75" t="s">
        <v>930</v>
      </c>
      <c r="W92" s="133"/>
      <c r="X92" s="133"/>
      <c r="Y92" s="133"/>
      <c r="Z92" s="133"/>
      <c r="AA92" s="133"/>
      <c r="AB92" s="133"/>
      <c r="AC92" s="133"/>
      <c r="AD92" s="133"/>
      <c r="AE92" s="133"/>
    </row>
    <row r="93">
      <c r="A93" s="72" t="s">
        <v>269</v>
      </c>
      <c r="B93" s="37" t="s">
        <v>277</v>
      </c>
      <c r="C93" s="37" t="s">
        <v>278</v>
      </c>
      <c r="D93" s="135" t="s">
        <v>1543</v>
      </c>
      <c r="E93" s="39" t="s">
        <v>961</v>
      </c>
      <c r="F93" s="39" t="s">
        <v>49</v>
      </c>
      <c r="G93" s="83" t="s">
        <v>1544</v>
      </c>
      <c r="H93" s="83"/>
      <c r="I93" s="72" t="s">
        <v>964</v>
      </c>
      <c r="J93" s="136" t="s">
        <v>1545</v>
      </c>
      <c r="K93" s="39" t="s">
        <v>1005</v>
      </c>
      <c r="L93" s="39" t="s">
        <v>1546</v>
      </c>
      <c r="M93" s="71" t="s">
        <v>1547</v>
      </c>
      <c r="N93" s="74">
        <v>2024.0</v>
      </c>
      <c r="O93" s="71" t="s">
        <v>989</v>
      </c>
      <c r="P93" s="71" t="s">
        <v>970</v>
      </c>
      <c r="Q93" s="67" t="s">
        <v>1265</v>
      </c>
      <c r="R93" s="26" t="s">
        <v>1017</v>
      </c>
      <c r="S93" s="26" t="s">
        <v>1260</v>
      </c>
      <c r="U93" s="39" t="s">
        <v>1548</v>
      </c>
      <c r="V93" s="75" t="s">
        <v>930</v>
      </c>
    </row>
    <row r="94">
      <c r="A94" s="72" t="s">
        <v>269</v>
      </c>
      <c r="B94" s="37" t="s">
        <v>285</v>
      </c>
      <c r="C94" s="37" t="s">
        <v>286</v>
      </c>
      <c r="D94" s="135" t="s">
        <v>1549</v>
      </c>
      <c r="E94" s="39" t="s">
        <v>961</v>
      </c>
      <c r="F94" s="39" t="s">
        <v>559</v>
      </c>
      <c r="G94" s="83" t="s">
        <v>1550</v>
      </c>
      <c r="H94" s="83"/>
      <c r="I94" s="137" t="s">
        <v>162</v>
      </c>
      <c r="J94" s="83" t="s">
        <v>1013</v>
      </c>
      <c r="K94" s="39" t="s">
        <v>1551</v>
      </c>
      <c r="L94" s="39" t="s">
        <v>1552</v>
      </c>
      <c r="M94" s="71" t="s">
        <v>1022</v>
      </c>
      <c r="N94" s="74">
        <v>2024.0</v>
      </c>
      <c r="O94" s="71" t="s">
        <v>1553</v>
      </c>
      <c r="P94" s="71" t="s">
        <v>970</v>
      </c>
      <c r="Q94" s="67" t="s">
        <v>961</v>
      </c>
      <c r="R94" s="26" t="s">
        <v>1554</v>
      </c>
      <c r="S94" s="26" t="s">
        <v>1555</v>
      </c>
      <c r="U94" s="39" t="s">
        <v>1556</v>
      </c>
      <c r="V94" s="75" t="s">
        <v>1198</v>
      </c>
    </row>
    <row r="95">
      <c r="A95" s="72" t="s">
        <v>269</v>
      </c>
      <c r="B95" s="37" t="s">
        <v>288</v>
      </c>
      <c r="C95" s="37" t="s">
        <v>289</v>
      </c>
      <c r="D95" s="135" t="s">
        <v>1557</v>
      </c>
      <c r="E95" s="39" t="s">
        <v>961</v>
      </c>
      <c r="F95" s="39" t="s">
        <v>49</v>
      </c>
      <c r="G95" s="83" t="s">
        <v>984</v>
      </c>
      <c r="H95" s="83"/>
      <c r="I95" s="72" t="s">
        <v>162</v>
      </c>
      <c r="J95" s="83" t="s">
        <v>1013</v>
      </c>
      <c r="K95" s="39" t="s">
        <v>1005</v>
      </c>
      <c r="L95" s="39" t="s">
        <v>1558</v>
      </c>
      <c r="M95" s="71" t="s">
        <v>1022</v>
      </c>
      <c r="N95" s="74">
        <v>2024.0</v>
      </c>
      <c r="O95" s="71" t="s">
        <v>989</v>
      </c>
      <c r="P95" s="71" t="s">
        <v>970</v>
      </c>
      <c r="Q95" s="67" t="s">
        <v>1265</v>
      </c>
      <c r="R95" s="26" t="s">
        <v>991</v>
      </c>
      <c r="S95" s="26" t="s">
        <v>1260</v>
      </c>
      <c r="U95" s="39" t="s">
        <v>1559</v>
      </c>
      <c r="V95" s="75" t="s">
        <v>930</v>
      </c>
    </row>
    <row r="96">
      <c r="A96" s="72" t="s">
        <v>269</v>
      </c>
      <c r="B96" s="37" t="s">
        <v>293</v>
      </c>
      <c r="C96" s="37" t="s">
        <v>294</v>
      </c>
      <c r="D96" s="138" t="s">
        <v>1560</v>
      </c>
      <c r="E96" s="39" t="s">
        <v>961</v>
      </c>
      <c r="F96" s="39" t="s">
        <v>49</v>
      </c>
      <c r="G96" s="67" t="s">
        <v>984</v>
      </c>
      <c r="H96" s="67"/>
      <c r="I96" s="72" t="s">
        <v>162</v>
      </c>
      <c r="J96" s="67" t="s">
        <v>1013</v>
      </c>
      <c r="K96" s="26" t="s">
        <v>1005</v>
      </c>
      <c r="L96" s="26" t="s">
        <v>1561</v>
      </c>
      <c r="M96" s="71" t="s">
        <v>1022</v>
      </c>
      <c r="N96" s="74">
        <v>2024.0</v>
      </c>
      <c r="O96" s="71" t="s">
        <v>989</v>
      </c>
      <c r="P96" s="71" t="s">
        <v>970</v>
      </c>
      <c r="Q96" s="67" t="s">
        <v>1265</v>
      </c>
      <c r="R96" s="26" t="s">
        <v>1562</v>
      </c>
      <c r="S96" s="26" t="s">
        <v>1260</v>
      </c>
      <c r="U96" s="39" t="s">
        <v>1563</v>
      </c>
      <c r="V96" s="75" t="s">
        <v>930</v>
      </c>
    </row>
    <row r="97">
      <c r="A97" s="72" t="s">
        <v>269</v>
      </c>
      <c r="B97" s="37" t="s">
        <v>297</v>
      </c>
      <c r="C97" s="37" t="s">
        <v>298</v>
      </c>
      <c r="D97" s="138" t="s">
        <v>1564</v>
      </c>
      <c r="E97" s="39" t="s">
        <v>961</v>
      </c>
      <c r="F97" s="37" t="s">
        <v>49</v>
      </c>
      <c r="G97" s="83" t="s">
        <v>995</v>
      </c>
      <c r="H97" s="83"/>
      <c r="I97" s="70" t="s">
        <v>162</v>
      </c>
      <c r="J97" s="83" t="s">
        <v>1013</v>
      </c>
      <c r="K97" s="26" t="s">
        <v>1131</v>
      </c>
      <c r="L97" s="26" t="s">
        <v>1565</v>
      </c>
      <c r="M97" s="71" t="s">
        <v>1348</v>
      </c>
      <c r="N97" s="74">
        <v>2024.0</v>
      </c>
      <c r="O97" s="71" t="s">
        <v>989</v>
      </c>
      <c r="P97" s="71" t="s">
        <v>970</v>
      </c>
      <c r="Q97" s="67" t="s">
        <v>1290</v>
      </c>
      <c r="R97" s="26" t="s">
        <v>1562</v>
      </c>
      <c r="S97" s="26" t="s">
        <v>1260</v>
      </c>
      <c r="U97" s="39" t="s">
        <v>1566</v>
      </c>
      <c r="V97" s="75" t="s">
        <v>930</v>
      </c>
    </row>
    <row r="98">
      <c r="A98" s="72" t="s">
        <v>269</v>
      </c>
      <c r="B98" s="37" t="s">
        <v>304</v>
      </c>
      <c r="C98" s="37" t="s">
        <v>305</v>
      </c>
      <c r="D98" s="135" t="s">
        <v>1567</v>
      </c>
      <c r="E98" s="39" t="s">
        <v>961</v>
      </c>
      <c r="F98" s="37" t="s">
        <v>49</v>
      </c>
      <c r="G98" s="83" t="s">
        <v>1012</v>
      </c>
      <c r="H98" s="83"/>
      <c r="I98" s="72" t="s">
        <v>162</v>
      </c>
      <c r="J98" s="83" t="s">
        <v>1013</v>
      </c>
      <c r="K98" s="26" t="s">
        <v>1568</v>
      </c>
      <c r="L98" s="26" t="s">
        <v>1569</v>
      </c>
      <c r="M98" s="71" t="s">
        <v>1022</v>
      </c>
      <c r="N98" s="74">
        <v>2024.0</v>
      </c>
      <c r="O98" s="71" t="s">
        <v>989</v>
      </c>
      <c r="P98" s="71" t="s">
        <v>970</v>
      </c>
      <c r="Q98" s="67" t="s">
        <v>1126</v>
      </c>
      <c r="R98" s="26" t="s">
        <v>1418</v>
      </c>
      <c r="S98" s="26" t="s">
        <v>1260</v>
      </c>
      <c r="U98" s="39" t="s">
        <v>1570</v>
      </c>
      <c r="V98" s="75" t="s">
        <v>930</v>
      </c>
    </row>
    <row r="99">
      <c r="A99" s="72" t="s">
        <v>269</v>
      </c>
      <c r="B99" s="37" t="s">
        <v>308</v>
      </c>
      <c r="C99" s="37" t="s">
        <v>309</v>
      </c>
      <c r="D99" s="135" t="s">
        <v>1571</v>
      </c>
      <c r="E99" s="39" t="s">
        <v>961</v>
      </c>
      <c r="F99" s="37" t="s">
        <v>49</v>
      </c>
      <c r="G99" s="83" t="s">
        <v>984</v>
      </c>
      <c r="H99" s="83" t="s">
        <v>162</v>
      </c>
      <c r="I99" s="72" t="s">
        <v>162</v>
      </c>
      <c r="J99" s="83" t="s">
        <v>1013</v>
      </c>
      <c r="K99" s="26" t="s">
        <v>1005</v>
      </c>
      <c r="L99" s="26" t="s">
        <v>1103</v>
      </c>
      <c r="M99" s="71" t="s">
        <v>1022</v>
      </c>
      <c r="N99" s="74">
        <v>2024.0</v>
      </c>
      <c r="O99" s="71" t="s">
        <v>989</v>
      </c>
      <c r="P99" s="71" t="s">
        <v>970</v>
      </c>
      <c r="Q99" s="67" t="s">
        <v>1265</v>
      </c>
      <c r="R99" s="26" t="s">
        <v>991</v>
      </c>
      <c r="S99" s="26" t="s">
        <v>1260</v>
      </c>
      <c r="U99" s="39" t="s">
        <v>1572</v>
      </c>
      <c r="V99" s="75" t="s">
        <v>930</v>
      </c>
    </row>
    <row r="100">
      <c r="A100" s="72" t="s">
        <v>269</v>
      </c>
      <c r="B100" s="37" t="s">
        <v>321</v>
      </c>
      <c r="C100" s="37" t="s">
        <v>322</v>
      </c>
      <c r="D100" s="138" t="s">
        <v>1573</v>
      </c>
      <c r="E100" s="39" t="s">
        <v>961</v>
      </c>
      <c r="F100" s="37" t="s">
        <v>49</v>
      </c>
      <c r="G100" s="83" t="s">
        <v>984</v>
      </c>
      <c r="H100" s="83" t="s">
        <v>162</v>
      </c>
      <c r="I100" s="72" t="s">
        <v>162</v>
      </c>
      <c r="J100" s="83" t="s">
        <v>1013</v>
      </c>
      <c r="K100" s="26" t="s">
        <v>1005</v>
      </c>
      <c r="L100" s="26" t="s">
        <v>1574</v>
      </c>
      <c r="M100" s="71" t="s">
        <v>1022</v>
      </c>
      <c r="N100" s="74">
        <v>2024.0</v>
      </c>
      <c r="O100" s="71" t="s">
        <v>989</v>
      </c>
      <c r="P100" s="71" t="s">
        <v>970</v>
      </c>
      <c r="Q100" s="67" t="s">
        <v>1265</v>
      </c>
      <c r="R100" s="26" t="s">
        <v>991</v>
      </c>
      <c r="S100" s="26" t="s">
        <v>1575</v>
      </c>
      <c r="U100" s="39" t="s">
        <v>1576</v>
      </c>
      <c r="V100" s="75" t="s">
        <v>930</v>
      </c>
    </row>
    <row r="101">
      <c r="A101" s="72" t="s">
        <v>269</v>
      </c>
      <c r="B101" s="37" t="s">
        <v>324</v>
      </c>
      <c r="C101" s="37" t="s">
        <v>325</v>
      </c>
      <c r="D101" s="135" t="s">
        <v>1577</v>
      </c>
      <c r="E101" s="39" t="s">
        <v>961</v>
      </c>
      <c r="F101" s="39" t="s">
        <v>49</v>
      </c>
      <c r="G101" s="83" t="s">
        <v>1578</v>
      </c>
      <c r="H101" s="83"/>
      <c r="I101" s="72" t="s">
        <v>162</v>
      </c>
      <c r="J101" s="139" t="s">
        <v>1579</v>
      </c>
      <c r="K101" s="39" t="s">
        <v>1568</v>
      </c>
      <c r="L101" s="39" t="s">
        <v>1103</v>
      </c>
      <c r="M101" s="71" t="s">
        <v>1022</v>
      </c>
      <c r="N101" s="74">
        <v>2023.0</v>
      </c>
      <c r="O101" s="71" t="s">
        <v>1580</v>
      </c>
      <c r="P101" s="71" t="s">
        <v>970</v>
      </c>
      <c r="Q101" s="67" t="s">
        <v>1126</v>
      </c>
      <c r="R101" s="26" t="s">
        <v>991</v>
      </c>
      <c r="S101" s="26" t="s">
        <v>1260</v>
      </c>
      <c r="U101" s="39" t="s">
        <v>1581</v>
      </c>
      <c r="V101" s="75" t="s">
        <v>930</v>
      </c>
    </row>
    <row r="102">
      <c r="A102" s="72" t="s">
        <v>269</v>
      </c>
      <c r="B102" s="37" t="s">
        <v>328</v>
      </c>
      <c r="C102" s="37" t="s">
        <v>329</v>
      </c>
      <c r="D102" s="135" t="s">
        <v>1582</v>
      </c>
      <c r="E102" s="39" t="s">
        <v>961</v>
      </c>
      <c r="F102" s="39" t="s">
        <v>559</v>
      </c>
      <c r="G102" s="83" t="s">
        <v>1583</v>
      </c>
      <c r="H102" s="83"/>
      <c r="I102" s="72" t="s">
        <v>162</v>
      </c>
      <c r="J102" s="83" t="s">
        <v>1584</v>
      </c>
      <c r="K102" s="39" t="s">
        <v>1005</v>
      </c>
      <c r="L102" s="39" t="s">
        <v>1569</v>
      </c>
      <c r="M102" s="71" t="s">
        <v>1022</v>
      </c>
      <c r="N102" s="74">
        <v>2023.0</v>
      </c>
      <c r="O102" s="71" t="s">
        <v>999</v>
      </c>
      <c r="P102" s="71" t="s">
        <v>970</v>
      </c>
      <c r="Q102" s="67" t="s">
        <v>1302</v>
      </c>
      <c r="R102" s="26" t="s">
        <v>991</v>
      </c>
      <c r="S102" s="26" t="s">
        <v>1260</v>
      </c>
      <c r="U102" s="39" t="s">
        <v>1585</v>
      </c>
      <c r="V102" s="75" t="s">
        <v>930</v>
      </c>
    </row>
    <row r="103">
      <c r="A103" s="72" t="s">
        <v>269</v>
      </c>
      <c r="B103" s="37" t="s">
        <v>331</v>
      </c>
      <c r="C103" s="37" t="s">
        <v>332</v>
      </c>
      <c r="D103" s="135" t="s">
        <v>1586</v>
      </c>
      <c r="E103" s="39" t="s">
        <v>961</v>
      </c>
      <c r="F103" s="39" t="s">
        <v>49</v>
      </c>
      <c r="G103" s="83" t="s">
        <v>1258</v>
      </c>
      <c r="H103" s="83"/>
      <c r="I103" s="72" t="s">
        <v>964</v>
      </c>
      <c r="J103" s="136" t="s">
        <v>1587</v>
      </c>
      <c r="K103" s="39" t="s">
        <v>1235</v>
      </c>
      <c r="L103" s="39"/>
      <c r="M103" s="71" t="s">
        <v>1022</v>
      </c>
      <c r="N103" s="74">
        <v>2023.0</v>
      </c>
      <c r="O103" s="71" t="s">
        <v>989</v>
      </c>
      <c r="P103" s="71" t="s">
        <v>970</v>
      </c>
      <c r="Q103" s="67" t="s">
        <v>1265</v>
      </c>
      <c r="R103" s="26" t="s">
        <v>1562</v>
      </c>
      <c r="S103" s="26" t="s">
        <v>1260</v>
      </c>
      <c r="U103" s="39" t="s">
        <v>1588</v>
      </c>
      <c r="V103" s="75" t="s">
        <v>930</v>
      </c>
    </row>
    <row r="104">
      <c r="A104" s="72" t="s">
        <v>269</v>
      </c>
      <c r="B104" s="37" t="s">
        <v>341</v>
      </c>
      <c r="C104" s="37" t="s">
        <v>342</v>
      </c>
      <c r="D104" s="135" t="s">
        <v>1589</v>
      </c>
      <c r="E104" s="39" t="s">
        <v>961</v>
      </c>
      <c r="F104" s="39" t="s">
        <v>49</v>
      </c>
      <c r="G104" s="83" t="s">
        <v>1101</v>
      </c>
      <c r="H104" s="83"/>
      <c r="I104" s="70" t="s">
        <v>162</v>
      </c>
      <c r="J104" s="139" t="s">
        <v>1590</v>
      </c>
      <c r="K104" s="39" t="s">
        <v>1005</v>
      </c>
      <c r="L104" s="39" t="s">
        <v>1103</v>
      </c>
      <c r="M104" s="71" t="s">
        <v>1022</v>
      </c>
      <c r="N104" s="74">
        <v>2023.0</v>
      </c>
      <c r="O104" s="71" t="s">
        <v>989</v>
      </c>
      <c r="P104" s="71" t="s">
        <v>970</v>
      </c>
      <c r="Q104" s="67" t="s">
        <v>1265</v>
      </c>
      <c r="R104" s="26" t="s">
        <v>991</v>
      </c>
      <c r="S104" s="26" t="s">
        <v>1260</v>
      </c>
      <c r="U104" s="39" t="s">
        <v>1591</v>
      </c>
      <c r="V104" s="75" t="s">
        <v>930</v>
      </c>
    </row>
    <row r="105">
      <c r="A105" s="72" t="s">
        <v>269</v>
      </c>
      <c r="B105" s="39" t="s">
        <v>893</v>
      </c>
      <c r="C105" s="39" t="s">
        <v>894</v>
      </c>
      <c r="D105" s="135" t="s">
        <v>1592</v>
      </c>
      <c r="E105" s="39" t="s">
        <v>961</v>
      </c>
      <c r="F105" s="39" t="s">
        <v>49</v>
      </c>
      <c r="G105" s="83" t="s">
        <v>1414</v>
      </c>
      <c r="H105" s="83"/>
      <c r="I105" s="72" t="s">
        <v>964</v>
      </c>
      <c r="J105" s="140" t="s">
        <v>1192</v>
      </c>
      <c r="K105" s="39"/>
      <c r="L105" s="39" t="s">
        <v>1593</v>
      </c>
      <c r="M105" s="71" t="s">
        <v>998</v>
      </c>
      <c r="N105" s="74">
        <v>2024.0</v>
      </c>
      <c r="O105" s="71" t="s">
        <v>978</v>
      </c>
      <c r="P105" s="71" t="s">
        <v>970</v>
      </c>
      <c r="Q105" s="67" t="s">
        <v>1265</v>
      </c>
      <c r="R105" s="26" t="s">
        <v>1594</v>
      </c>
      <c r="S105" s="26" t="s">
        <v>1595</v>
      </c>
      <c r="U105" s="39" t="s">
        <v>1596</v>
      </c>
      <c r="V105" s="75" t="s">
        <v>930</v>
      </c>
    </row>
    <row r="106">
      <c r="A106" s="72" t="s">
        <v>269</v>
      </c>
      <c r="B106" s="39" t="s">
        <v>670</v>
      </c>
      <c r="C106" s="39" t="s">
        <v>671</v>
      </c>
      <c r="D106" s="135" t="s">
        <v>1597</v>
      </c>
      <c r="E106" s="39" t="s">
        <v>961</v>
      </c>
      <c r="F106" s="39" t="s">
        <v>49</v>
      </c>
      <c r="G106" s="83" t="s">
        <v>1598</v>
      </c>
      <c r="H106" s="83"/>
      <c r="I106" s="70" t="s">
        <v>162</v>
      </c>
      <c r="J106" s="139" t="s">
        <v>1599</v>
      </c>
      <c r="K106" s="39" t="s">
        <v>1600</v>
      </c>
      <c r="L106" s="39" t="s">
        <v>1601</v>
      </c>
      <c r="M106" s="71" t="s">
        <v>1022</v>
      </c>
      <c r="N106" s="74">
        <v>2025.0</v>
      </c>
      <c r="O106" s="71" t="s">
        <v>989</v>
      </c>
      <c r="P106" s="71" t="s">
        <v>970</v>
      </c>
      <c r="Q106" s="67" t="s">
        <v>1265</v>
      </c>
      <c r="R106" s="26" t="s">
        <v>991</v>
      </c>
      <c r="S106" s="26" t="s">
        <v>1595</v>
      </c>
      <c r="U106" s="39" t="s">
        <v>1602</v>
      </c>
      <c r="V106" s="75" t="s">
        <v>930</v>
      </c>
    </row>
    <row r="107">
      <c r="A107" s="72" t="s">
        <v>269</v>
      </c>
      <c r="B107" s="39" t="s">
        <v>673</v>
      </c>
      <c r="C107" s="39" t="s">
        <v>674</v>
      </c>
      <c r="D107" s="135" t="s">
        <v>1603</v>
      </c>
      <c r="E107" s="39" t="s">
        <v>961</v>
      </c>
      <c r="F107" s="39" t="s">
        <v>49</v>
      </c>
      <c r="G107" s="83" t="s">
        <v>1277</v>
      </c>
      <c r="H107" s="72" t="s">
        <v>964</v>
      </c>
      <c r="I107" s="70" t="s">
        <v>162</v>
      </c>
      <c r="J107" s="139" t="s">
        <v>1604</v>
      </c>
      <c r="K107" s="39" t="s">
        <v>1005</v>
      </c>
      <c r="L107" s="39" t="s">
        <v>1605</v>
      </c>
      <c r="M107" s="71" t="s">
        <v>1022</v>
      </c>
      <c r="N107" s="74">
        <v>2025.0</v>
      </c>
      <c r="O107" s="71" t="s">
        <v>989</v>
      </c>
      <c r="P107" s="71" t="s">
        <v>970</v>
      </c>
      <c r="Q107" s="67" t="s">
        <v>1265</v>
      </c>
      <c r="R107" s="26" t="s">
        <v>1606</v>
      </c>
      <c r="S107" s="26" t="s">
        <v>1595</v>
      </c>
      <c r="U107" s="39" t="s">
        <v>1607</v>
      </c>
      <c r="V107" s="75" t="s">
        <v>930</v>
      </c>
    </row>
    <row r="108">
      <c r="A108" s="72" t="s">
        <v>269</v>
      </c>
      <c r="B108" s="39" t="s">
        <v>676</v>
      </c>
      <c r="C108" s="39" t="s">
        <v>677</v>
      </c>
      <c r="D108" s="135" t="s">
        <v>1608</v>
      </c>
      <c r="E108" s="39" t="s">
        <v>961</v>
      </c>
      <c r="F108" s="39" t="s">
        <v>49</v>
      </c>
      <c r="G108" s="83" t="s">
        <v>1033</v>
      </c>
      <c r="H108" s="83"/>
      <c r="I108" s="70" t="s">
        <v>1033</v>
      </c>
      <c r="J108" s="83" t="s">
        <v>1034</v>
      </c>
      <c r="K108" s="39" t="s">
        <v>977</v>
      </c>
      <c r="L108" s="39" t="s">
        <v>1609</v>
      </c>
      <c r="M108" s="71" t="s">
        <v>1323</v>
      </c>
      <c r="N108" s="74">
        <v>2025.0</v>
      </c>
      <c r="O108" s="71" t="s">
        <v>989</v>
      </c>
      <c r="P108" s="71" t="s">
        <v>970</v>
      </c>
      <c r="Q108" s="67" t="s">
        <v>961</v>
      </c>
      <c r="R108" s="26" t="s">
        <v>991</v>
      </c>
      <c r="S108" s="26" t="s">
        <v>1595</v>
      </c>
      <c r="U108" s="39" t="s">
        <v>1610</v>
      </c>
      <c r="V108" s="75" t="s">
        <v>930</v>
      </c>
    </row>
    <row r="109">
      <c r="A109" s="72" t="s">
        <v>269</v>
      </c>
      <c r="B109" s="39" t="s">
        <v>679</v>
      </c>
      <c r="C109" s="39" t="s">
        <v>680</v>
      </c>
      <c r="D109" s="135" t="s">
        <v>1611</v>
      </c>
      <c r="E109" s="39" t="s">
        <v>961</v>
      </c>
      <c r="F109" s="39" t="s">
        <v>49</v>
      </c>
      <c r="G109" s="83" t="s">
        <v>1277</v>
      </c>
      <c r="H109" s="83"/>
      <c r="I109" s="72" t="s">
        <v>162</v>
      </c>
      <c r="J109" s="139" t="s">
        <v>1612</v>
      </c>
      <c r="K109" s="39" t="s">
        <v>1005</v>
      </c>
      <c r="L109" s="39" t="s">
        <v>1613</v>
      </c>
      <c r="M109" s="71" t="s">
        <v>1022</v>
      </c>
      <c r="N109" s="74">
        <v>2025.0</v>
      </c>
      <c r="O109" s="71" t="s">
        <v>989</v>
      </c>
      <c r="P109" s="71" t="s">
        <v>970</v>
      </c>
      <c r="Q109" s="67" t="s">
        <v>1265</v>
      </c>
      <c r="R109" s="26" t="s">
        <v>991</v>
      </c>
      <c r="S109" s="26" t="s">
        <v>1595</v>
      </c>
      <c r="U109" s="39" t="s">
        <v>1614</v>
      </c>
      <c r="V109" s="75" t="s">
        <v>930</v>
      </c>
    </row>
    <row r="110">
      <c r="A110" s="72" t="s">
        <v>269</v>
      </c>
      <c r="B110" s="39" t="s">
        <v>858</v>
      </c>
      <c r="C110" s="39" t="s">
        <v>859</v>
      </c>
      <c r="D110" s="135" t="s">
        <v>1615</v>
      </c>
      <c r="E110" s="39" t="s">
        <v>961</v>
      </c>
      <c r="F110" s="39" t="s">
        <v>559</v>
      </c>
      <c r="G110" s="83" t="s">
        <v>976</v>
      </c>
      <c r="H110" s="83"/>
      <c r="I110" s="72" t="s">
        <v>964</v>
      </c>
      <c r="J110" s="83" t="s">
        <v>1192</v>
      </c>
      <c r="K110" s="39" t="s">
        <v>1131</v>
      </c>
      <c r="L110" s="39" t="s">
        <v>1616</v>
      </c>
      <c r="M110" s="71" t="s">
        <v>1323</v>
      </c>
      <c r="N110" s="74">
        <v>2025.0</v>
      </c>
      <c r="O110" s="71" t="s">
        <v>1617</v>
      </c>
      <c r="P110" s="71" t="s">
        <v>1618</v>
      </c>
      <c r="Q110" s="83" t="s">
        <v>961</v>
      </c>
      <c r="R110" s="26" t="s">
        <v>1619</v>
      </c>
      <c r="S110" s="26" t="s">
        <v>1620</v>
      </c>
      <c r="U110" s="39" t="s">
        <v>1621</v>
      </c>
      <c r="V110" s="75" t="s">
        <v>930</v>
      </c>
    </row>
    <row r="111">
      <c r="A111" s="72" t="s">
        <v>269</v>
      </c>
      <c r="B111" s="39" t="s">
        <v>861</v>
      </c>
      <c r="C111" s="39" t="s">
        <v>862</v>
      </c>
      <c r="D111" s="135" t="s">
        <v>1622</v>
      </c>
      <c r="E111" s="39" t="s">
        <v>961</v>
      </c>
      <c r="F111" s="39" t="s">
        <v>49</v>
      </c>
      <c r="G111" s="83" t="s">
        <v>1623</v>
      </c>
      <c r="H111" s="83"/>
      <c r="I111" s="137" t="s">
        <v>162</v>
      </c>
      <c r="J111" s="83" t="s">
        <v>1192</v>
      </c>
      <c r="K111" s="39" t="s">
        <v>1005</v>
      </c>
      <c r="L111" s="39" t="s">
        <v>1014</v>
      </c>
      <c r="M111" s="71" t="s">
        <v>1022</v>
      </c>
      <c r="N111" s="74">
        <v>2025.0</v>
      </c>
      <c r="O111" s="71" t="s">
        <v>978</v>
      </c>
      <c r="P111" s="71" t="s">
        <v>970</v>
      </c>
      <c r="Q111" s="83" t="s">
        <v>1265</v>
      </c>
      <c r="R111" s="26" t="s">
        <v>1624</v>
      </c>
      <c r="S111" s="26" t="s">
        <v>1625</v>
      </c>
      <c r="U111" s="39" t="s">
        <v>1626</v>
      </c>
      <c r="V111" s="75" t="s">
        <v>930</v>
      </c>
    </row>
    <row r="112">
      <c r="A112" s="72" t="s">
        <v>269</v>
      </c>
      <c r="B112" s="39" t="s">
        <v>864</v>
      </c>
      <c r="C112" s="39" t="s">
        <v>865</v>
      </c>
      <c r="D112" s="135" t="s">
        <v>1627</v>
      </c>
      <c r="E112" s="39" t="s">
        <v>961</v>
      </c>
      <c r="F112" s="39" t="s">
        <v>49</v>
      </c>
      <c r="G112" s="83" t="s">
        <v>1628</v>
      </c>
      <c r="H112" s="83"/>
      <c r="I112" s="72" t="s">
        <v>1629</v>
      </c>
      <c r="J112" s="104" t="s">
        <v>1034</v>
      </c>
      <c r="K112" s="39" t="s">
        <v>1109</v>
      </c>
      <c r="L112" s="26"/>
      <c r="M112" s="71" t="s">
        <v>1015</v>
      </c>
      <c r="N112" s="74">
        <v>2025.0</v>
      </c>
      <c r="O112" s="71" t="s">
        <v>989</v>
      </c>
      <c r="P112" s="71" t="s">
        <v>1630</v>
      </c>
      <c r="Q112" s="83" t="s">
        <v>1437</v>
      </c>
      <c r="R112" s="141" t="s">
        <v>1630</v>
      </c>
      <c r="S112" s="39" t="s">
        <v>1631</v>
      </c>
      <c r="T112" s="142"/>
      <c r="U112" s="39" t="s">
        <v>1632</v>
      </c>
      <c r="V112" s="75" t="s">
        <v>930</v>
      </c>
    </row>
    <row r="113" ht="15.75" customHeight="1">
      <c r="A113" s="70" t="s">
        <v>269</v>
      </c>
      <c r="B113" s="70" t="s">
        <v>1633</v>
      </c>
      <c r="C113" s="70" t="s">
        <v>1634</v>
      </c>
      <c r="D113" s="143" t="s">
        <v>1635</v>
      </c>
      <c r="E113" s="70" t="s">
        <v>930</v>
      </c>
      <c r="F113" s="70" t="s">
        <v>45</v>
      </c>
      <c r="G113" s="70" t="s">
        <v>984</v>
      </c>
      <c r="H113" s="70"/>
      <c r="I113" s="72" t="s">
        <v>964</v>
      </c>
      <c r="J113" s="104" t="s">
        <v>985</v>
      </c>
      <c r="K113" s="72"/>
      <c r="L113" s="90" t="s">
        <v>1636</v>
      </c>
      <c r="M113" s="71" t="s">
        <v>1637</v>
      </c>
      <c r="N113" s="74">
        <v>2020.0</v>
      </c>
      <c r="O113" s="71" t="s">
        <v>989</v>
      </c>
      <c r="P113" s="71" t="s">
        <v>970</v>
      </c>
      <c r="Q113" s="72" t="s">
        <v>961</v>
      </c>
      <c r="R113" s="144" t="s">
        <v>1638</v>
      </c>
      <c r="S113" s="72" t="s">
        <v>1639</v>
      </c>
      <c r="T113" s="72"/>
      <c r="U113" s="39" t="s">
        <v>1640</v>
      </c>
      <c r="V113" s="75" t="s">
        <v>930</v>
      </c>
      <c r="W113" s="114"/>
      <c r="X113" s="114"/>
      <c r="Y113" s="114"/>
      <c r="Z113" s="114"/>
      <c r="AA113" s="72" t="s">
        <v>1097</v>
      </c>
      <c r="AB113" s="114"/>
      <c r="AC113" s="114"/>
      <c r="AD113" s="114"/>
      <c r="AE113" s="114"/>
      <c r="AF113" s="114"/>
      <c r="AG113" s="114"/>
      <c r="AH113" s="114"/>
      <c r="AI113" s="114"/>
      <c r="AJ113" s="114"/>
      <c r="AK113" s="114"/>
    </row>
    <row r="114" ht="14.25" customHeight="1">
      <c r="A114" s="70" t="s">
        <v>269</v>
      </c>
      <c r="B114" s="114" t="s">
        <v>1641</v>
      </c>
      <c r="C114" s="114" t="s">
        <v>1642</v>
      </c>
      <c r="D114" s="143" t="s">
        <v>1643</v>
      </c>
      <c r="E114" s="70" t="s">
        <v>930</v>
      </c>
      <c r="F114" s="114" t="s">
        <v>45</v>
      </c>
      <c r="G114" s="70" t="s">
        <v>984</v>
      </c>
      <c r="H114" s="70"/>
      <c r="I114" s="72" t="s">
        <v>964</v>
      </c>
      <c r="J114" s="104" t="s">
        <v>985</v>
      </c>
      <c r="K114" s="72"/>
      <c r="L114" s="90" t="s">
        <v>1644</v>
      </c>
      <c r="M114" s="71" t="s">
        <v>998</v>
      </c>
      <c r="N114" s="74">
        <v>2020.0</v>
      </c>
      <c r="O114" s="71" t="s">
        <v>989</v>
      </c>
      <c r="P114" s="71" t="s">
        <v>970</v>
      </c>
      <c r="Q114" s="72" t="s">
        <v>961</v>
      </c>
      <c r="R114" s="144" t="s">
        <v>1645</v>
      </c>
      <c r="S114" s="72" t="s">
        <v>1646</v>
      </c>
      <c r="T114" s="72"/>
      <c r="U114" s="39" t="s">
        <v>1647</v>
      </c>
      <c r="V114" s="75" t="s">
        <v>930</v>
      </c>
      <c r="W114" s="114"/>
      <c r="X114" s="114"/>
      <c r="Y114" s="114"/>
      <c r="Z114" s="114"/>
      <c r="AA114" s="72" t="s">
        <v>1097</v>
      </c>
      <c r="AB114" s="114"/>
      <c r="AC114" s="114"/>
      <c r="AD114" s="114"/>
      <c r="AE114" s="114"/>
      <c r="AF114" s="114"/>
      <c r="AG114" s="114"/>
      <c r="AH114" s="114"/>
      <c r="AI114" s="114"/>
      <c r="AJ114" s="114"/>
      <c r="AK114" s="114"/>
    </row>
    <row r="115">
      <c r="A115" s="70" t="s">
        <v>269</v>
      </c>
      <c r="B115" s="114" t="s">
        <v>1648</v>
      </c>
      <c r="C115" s="114" t="s">
        <v>1649</v>
      </c>
      <c r="D115" s="145" t="s">
        <v>1650</v>
      </c>
      <c r="E115" s="70" t="s">
        <v>930</v>
      </c>
      <c r="F115" s="114" t="s">
        <v>559</v>
      </c>
      <c r="G115" s="70" t="s">
        <v>984</v>
      </c>
      <c r="H115" s="70"/>
      <c r="I115" s="72" t="s">
        <v>964</v>
      </c>
      <c r="J115" s="104" t="s">
        <v>985</v>
      </c>
      <c r="K115" s="72" t="s">
        <v>1629</v>
      </c>
      <c r="L115" s="72" t="s">
        <v>1651</v>
      </c>
      <c r="M115" s="71" t="s">
        <v>1652</v>
      </c>
      <c r="N115" s="74">
        <v>2020.0</v>
      </c>
      <c r="O115" s="71" t="s">
        <v>989</v>
      </c>
      <c r="P115" s="71" t="s">
        <v>970</v>
      </c>
      <c r="Q115" s="72" t="s">
        <v>961</v>
      </c>
      <c r="R115" s="144" t="s">
        <v>1653</v>
      </c>
      <c r="S115" s="72" t="s">
        <v>1654</v>
      </c>
      <c r="T115" s="114"/>
      <c r="U115" s="39" t="s">
        <v>1655</v>
      </c>
      <c r="V115" s="75" t="s">
        <v>1198</v>
      </c>
      <c r="W115" s="114"/>
      <c r="X115" s="114"/>
      <c r="Y115" s="114"/>
      <c r="Z115" s="114"/>
      <c r="AA115" s="72" t="s">
        <v>1097</v>
      </c>
      <c r="AB115" s="114"/>
      <c r="AC115" s="114"/>
      <c r="AD115" s="114"/>
      <c r="AE115" s="114"/>
      <c r="AF115" s="114"/>
      <c r="AG115" s="114"/>
      <c r="AH115" s="114"/>
      <c r="AI115" s="114"/>
      <c r="AJ115" s="114"/>
      <c r="AK115" s="114"/>
    </row>
    <row r="116" ht="13.5" customHeight="1">
      <c r="A116" s="70" t="s">
        <v>269</v>
      </c>
      <c r="B116" s="114" t="s">
        <v>1656</v>
      </c>
      <c r="C116" s="114" t="s">
        <v>1657</v>
      </c>
      <c r="D116" s="143" t="s">
        <v>1658</v>
      </c>
      <c r="E116" s="70" t="s">
        <v>930</v>
      </c>
      <c r="F116" s="114" t="s">
        <v>45</v>
      </c>
      <c r="G116" s="70" t="s">
        <v>984</v>
      </c>
      <c r="H116" s="70"/>
      <c r="I116" s="72" t="s">
        <v>964</v>
      </c>
      <c r="J116" s="117" t="s">
        <v>996</v>
      </c>
      <c r="K116" s="72"/>
      <c r="L116" s="90" t="s">
        <v>1659</v>
      </c>
      <c r="M116" s="71" t="s">
        <v>1022</v>
      </c>
      <c r="N116" s="74">
        <v>2023.0</v>
      </c>
      <c r="O116" s="71" t="s">
        <v>989</v>
      </c>
      <c r="P116" s="71" t="s">
        <v>970</v>
      </c>
      <c r="Q116" s="72" t="s">
        <v>961</v>
      </c>
      <c r="R116" s="144" t="s">
        <v>1660</v>
      </c>
      <c r="S116" s="72" t="s">
        <v>1661</v>
      </c>
      <c r="T116" s="72"/>
      <c r="U116" s="39" t="s">
        <v>1662</v>
      </c>
      <c r="V116" s="75" t="s">
        <v>930</v>
      </c>
      <c r="W116" s="114"/>
      <c r="X116" s="114"/>
      <c r="Y116" s="114"/>
      <c r="Z116" s="114"/>
      <c r="AA116" s="72" t="s">
        <v>1097</v>
      </c>
      <c r="AB116" s="114"/>
      <c r="AC116" s="114"/>
      <c r="AD116" s="114"/>
      <c r="AE116" s="114"/>
      <c r="AF116" s="114"/>
      <c r="AG116" s="114"/>
      <c r="AH116" s="114"/>
      <c r="AI116" s="114"/>
      <c r="AJ116" s="114"/>
      <c r="AK116" s="114"/>
    </row>
    <row r="117" ht="16.5" customHeight="1">
      <c r="A117" s="70" t="s">
        <v>269</v>
      </c>
      <c r="B117" s="114" t="s">
        <v>1663</v>
      </c>
      <c r="C117" s="114" t="s">
        <v>1664</v>
      </c>
      <c r="D117" s="143" t="s">
        <v>1665</v>
      </c>
      <c r="E117" s="70" t="s">
        <v>930</v>
      </c>
      <c r="F117" s="114" t="s">
        <v>45</v>
      </c>
      <c r="G117" s="70" t="s">
        <v>984</v>
      </c>
      <c r="H117" s="70"/>
      <c r="I117" s="72" t="s">
        <v>964</v>
      </c>
      <c r="J117" s="117" t="s">
        <v>996</v>
      </c>
      <c r="K117" s="26"/>
      <c r="L117" s="27" t="s">
        <v>1666</v>
      </c>
      <c r="M117" s="71" t="s">
        <v>1022</v>
      </c>
      <c r="N117" s="74">
        <v>2025.0</v>
      </c>
      <c r="O117" s="71" t="s">
        <v>1667</v>
      </c>
      <c r="P117" s="71" t="s">
        <v>970</v>
      </c>
      <c r="Q117" s="72" t="s">
        <v>961</v>
      </c>
      <c r="R117" s="144" t="s">
        <v>1668</v>
      </c>
      <c r="S117" s="72" t="s">
        <v>1669</v>
      </c>
      <c r="T117" s="72"/>
      <c r="U117" s="39" t="s">
        <v>1670</v>
      </c>
      <c r="V117" s="75" t="s">
        <v>930</v>
      </c>
      <c r="W117" s="72" t="s">
        <v>1671</v>
      </c>
      <c r="X117" s="114"/>
      <c r="Y117" s="114"/>
      <c r="Z117" s="114"/>
      <c r="AA117" s="72" t="s">
        <v>1672</v>
      </c>
      <c r="AB117" s="114"/>
      <c r="AC117" s="114"/>
      <c r="AD117" s="114"/>
      <c r="AE117" s="114"/>
      <c r="AF117" s="114"/>
      <c r="AG117" s="114"/>
      <c r="AH117" s="114"/>
      <c r="AI117" s="114"/>
      <c r="AJ117" s="114"/>
      <c r="AK117" s="114"/>
    </row>
    <row r="118" ht="14.25" customHeight="1">
      <c r="A118" s="70" t="s">
        <v>269</v>
      </c>
      <c r="B118" s="114" t="s">
        <v>1673</v>
      </c>
      <c r="C118" s="114" t="s">
        <v>1674</v>
      </c>
      <c r="D118" s="143" t="s">
        <v>1675</v>
      </c>
      <c r="E118" s="70" t="s">
        <v>930</v>
      </c>
      <c r="F118" s="114" t="s">
        <v>45</v>
      </c>
      <c r="G118" s="70" t="s">
        <v>1676</v>
      </c>
      <c r="H118" s="70"/>
      <c r="I118" s="72" t="s">
        <v>964</v>
      </c>
      <c r="J118" s="117" t="s">
        <v>996</v>
      </c>
      <c r="K118" s="26"/>
      <c r="L118" s="90" t="s">
        <v>1677</v>
      </c>
      <c r="M118" s="71" t="s">
        <v>1348</v>
      </c>
      <c r="N118" s="74">
        <v>2025.0</v>
      </c>
      <c r="O118" s="71" t="s">
        <v>989</v>
      </c>
      <c r="P118" s="71" t="s">
        <v>970</v>
      </c>
      <c r="Q118" s="72" t="s">
        <v>961</v>
      </c>
      <c r="R118" s="144" t="s">
        <v>1678</v>
      </c>
      <c r="S118" s="72" t="s">
        <v>1679</v>
      </c>
      <c r="T118" s="72"/>
      <c r="U118" s="39" t="s">
        <v>1680</v>
      </c>
      <c r="V118" s="75" t="s">
        <v>930</v>
      </c>
      <c r="W118" s="114"/>
      <c r="X118" s="114"/>
      <c r="Y118" s="114"/>
      <c r="Z118" s="114"/>
      <c r="AA118" s="72" t="s">
        <v>1097</v>
      </c>
      <c r="AB118" s="114"/>
      <c r="AC118" s="114"/>
      <c r="AD118" s="114"/>
      <c r="AE118" s="114"/>
      <c r="AF118" s="114"/>
      <c r="AG118" s="114"/>
      <c r="AH118" s="114"/>
      <c r="AI118" s="114"/>
      <c r="AJ118" s="114"/>
      <c r="AK118" s="114"/>
    </row>
    <row r="119" ht="14.25" customHeight="1">
      <c r="A119" s="109" t="s">
        <v>269</v>
      </c>
      <c r="B119" s="146" t="s">
        <v>1681</v>
      </c>
      <c r="C119" s="146" t="s">
        <v>1682</v>
      </c>
      <c r="D119" s="147" t="s">
        <v>1683</v>
      </c>
      <c r="E119" s="109" t="s">
        <v>930</v>
      </c>
      <c r="F119" s="146" t="s">
        <v>45</v>
      </c>
      <c r="G119" s="109" t="s">
        <v>1094</v>
      </c>
      <c r="H119" s="110"/>
      <c r="I119" s="110" t="s">
        <v>964</v>
      </c>
      <c r="J119" s="148" t="s">
        <v>996</v>
      </c>
      <c r="K119" s="20"/>
      <c r="L119" s="110" t="s">
        <v>1651</v>
      </c>
      <c r="M119" s="106" t="s">
        <v>1022</v>
      </c>
      <c r="N119" s="112">
        <v>2016.0</v>
      </c>
      <c r="O119" s="106" t="s">
        <v>978</v>
      </c>
      <c r="P119" s="106" t="s">
        <v>970</v>
      </c>
      <c r="Q119" s="110" t="s">
        <v>961</v>
      </c>
      <c r="R119" s="149" t="s">
        <v>1660</v>
      </c>
      <c r="S119" s="110" t="s">
        <v>1679</v>
      </c>
      <c r="T119" s="110"/>
      <c r="U119" s="113" t="s">
        <v>1684</v>
      </c>
      <c r="V119" s="75" t="s">
        <v>930</v>
      </c>
      <c r="W119" s="146"/>
      <c r="X119" s="146"/>
      <c r="Y119" s="146"/>
      <c r="Z119" s="146"/>
      <c r="AA119" s="110" t="s">
        <v>1097</v>
      </c>
      <c r="AB119" s="146"/>
      <c r="AC119" s="146"/>
      <c r="AD119" s="146"/>
      <c r="AE119" s="146"/>
      <c r="AF119" s="146"/>
      <c r="AG119" s="146"/>
      <c r="AH119" s="146"/>
      <c r="AI119" s="146"/>
      <c r="AJ119" s="146"/>
      <c r="AK119" s="146"/>
    </row>
    <row r="120">
      <c r="A120" s="26" t="s">
        <v>93</v>
      </c>
      <c r="B120" s="114" t="s">
        <v>86</v>
      </c>
      <c r="C120" s="114" t="s">
        <v>87</v>
      </c>
      <c r="D120" s="143" t="s">
        <v>1685</v>
      </c>
      <c r="E120" s="26" t="s">
        <v>961</v>
      </c>
      <c r="F120" s="70" t="s">
        <v>45</v>
      </c>
      <c r="G120" s="70" t="s">
        <v>995</v>
      </c>
      <c r="H120" s="70"/>
      <c r="I120" s="72" t="s">
        <v>1033</v>
      </c>
      <c r="J120" s="117" t="s">
        <v>1686</v>
      </c>
      <c r="K120" s="72" t="s">
        <v>1687</v>
      </c>
      <c r="L120" s="72" t="s">
        <v>995</v>
      </c>
      <c r="M120" s="72" t="s">
        <v>1022</v>
      </c>
      <c r="N120" s="72">
        <v>2024.0</v>
      </c>
      <c r="O120" s="72" t="s">
        <v>989</v>
      </c>
      <c r="P120" s="71" t="s">
        <v>1688</v>
      </c>
      <c r="Q120" s="72" t="s">
        <v>961</v>
      </c>
      <c r="R120" s="144" t="s">
        <v>1055</v>
      </c>
      <c r="S120" s="72" t="s">
        <v>1689</v>
      </c>
      <c r="T120" s="114"/>
      <c r="U120" s="39" t="s">
        <v>1690</v>
      </c>
      <c r="V120" s="75" t="s">
        <v>930</v>
      </c>
      <c r="W120" s="72" t="s">
        <v>1691</v>
      </c>
      <c r="X120" s="114"/>
      <c r="Y120" s="114"/>
      <c r="Z120" s="114"/>
      <c r="AA120" s="114"/>
      <c r="AB120" s="114"/>
      <c r="AC120" s="114"/>
      <c r="AD120" s="114"/>
      <c r="AE120" s="114"/>
      <c r="AF120" s="114"/>
      <c r="AG120" s="114"/>
      <c r="AH120" s="114"/>
      <c r="AI120" s="114"/>
    </row>
    <row r="121">
      <c r="A121" s="26" t="s">
        <v>93</v>
      </c>
      <c r="B121" s="114" t="s">
        <v>94</v>
      </c>
      <c r="C121" s="114" t="s">
        <v>95</v>
      </c>
      <c r="D121" s="143" t="s">
        <v>1692</v>
      </c>
      <c r="E121" s="26" t="s">
        <v>961</v>
      </c>
      <c r="F121" s="70" t="s">
        <v>45</v>
      </c>
      <c r="G121" s="70" t="s">
        <v>1693</v>
      </c>
      <c r="H121" s="70"/>
      <c r="I121" s="72" t="s">
        <v>1629</v>
      </c>
      <c r="J121" s="117" t="s">
        <v>1192</v>
      </c>
      <c r="K121" s="72" t="s">
        <v>1694</v>
      </c>
      <c r="L121" s="72"/>
      <c r="M121" s="72" t="s">
        <v>1695</v>
      </c>
      <c r="N121" s="72">
        <v>2024.0</v>
      </c>
      <c r="O121" s="72" t="s">
        <v>1580</v>
      </c>
      <c r="P121" s="72" t="s">
        <v>1688</v>
      </c>
      <c r="Q121" s="72" t="s">
        <v>961</v>
      </c>
      <c r="R121" s="144" t="s">
        <v>1055</v>
      </c>
      <c r="S121" s="72" t="s">
        <v>1696</v>
      </c>
      <c r="T121" s="114"/>
      <c r="U121" s="39" t="s">
        <v>1697</v>
      </c>
      <c r="V121" s="75" t="s">
        <v>930</v>
      </c>
      <c r="W121" s="114"/>
      <c r="X121" s="114"/>
      <c r="Y121" s="114"/>
      <c r="Z121" s="114"/>
      <c r="AA121" s="114"/>
      <c r="AB121" s="114"/>
      <c r="AC121" s="114"/>
      <c r="AD121" s="114"/>
      <c r="AE121" s="114"/>
      <c r="AF121" s="114"/>
      <c r="AG121" s="114"/>
      <c r="AH121" s="114"/>
      <c r="AI121" s="114"/>
    </row>
    <row r="122">
      <c r="A122" s="26" t="s">
        <v>93</v>
      </c>
      <c r="B122" s="114" t="s">
        <v>98</v>
      </c>
      <c r="C122" s="114" t="s">
        <v>99</v>
      </c>
      <c r="D122" s="143" t="s">
        <v>1698</v>
      </c>
      <c r="E122" s="26" t="s">
        <v>961</v>
      </c>
      <c r="F122" s="70" t="s">
        <v>45</v>
      </c>
      <c r="G122" s="70" t="s">
        <v>995</v>
      </c>
      <c r="H122" s="70"/>
      <c r="I122" s="72" t="s">
        <v>162</v>
      </c>
      <c r="J122" s="117" t="s">
        <v>1060</v>
      </c>
      <c r="K122" s="72" t="s">
        <v>977</v>
      </c>
      <c r="L122" s="72" t="s">
        <v>967</v>
      </c>
      <c r="M122" s="72" t="s">
        <v>1022</v>
      </c>
      <c r="N122" s="72">
        <v>2024.0</v>
      </c>
      <c r="O122" s="72" t="s">
        <v>1580</v>
      </c>
      <c r="P122" s="72" t="s">
        <v>1699</v>
      </c>
      <c r="Q122" s="72" t="s">
        <v>961</v>
      </c>
      <c r="R122" s="144" t="s">
        <v>1700</v>
      </c>
      <c r="S122" s="72" t="s">
        <v>1701</v>
      </c>
      <c r="T122" s="114"/>
      <c r="U122" s="39" t="s">
        <v>1702</v>
      </c>
      <c r="V122" s="75" t="s">
        <v>930</v>
      </c>
      <c r="W122" s="114"/>
      <c r="X122" s="114"/>
      <c r="Y122" s="114"/>
      <c r="Z122" s="114"/>
      <c r="AA122" s="114"/>
      <c r="AB122" s="114"/>
      <c r="AC122" s="114"/>
      <c r="AD122" s="114"/>
      <c r="AE122" s="114"/>
      <c r="AF122" s="114"/>
      <c r="AG122" s="114"/>
      <c r="AH122" s="114"/>
      <c r="AI122" s="114"/>
    </row>
    <row r="123">
      <c r="A123" s="26" t="s">
        <v>93</v>
      </c>
      <c r="B123" s="114" t="s">
        <v>103</v>
      </c>
      <c r="C123" s="114" t="s">
        <v>104</v>
      </c>
      <c r="D123" s="143" t="s">
        <v>1703</v>
      </c>
      <c r="E123" s="26" t="s">
        <v>961</v>
      </c>
      <c r="F123" s="70" t="s">
        <v>45</v>
      </c>
      <c r="G123" s="70" t="s">
        <v>1704</v>
      </c>
      <c r="H123" s="70"/>
      <c r="I123" s="72" t="s">
        <v>1033</v>
      </c>
      <c r="J123" s="117" t="s">
        <v>1034</v>
      </c>
      <c r="K123" s="72" t="s">
        <v>1705</v>
      </c>
      <c r="L123" s="72"/>
      <c r="M123" s="72" t="s">
        <v>1706</v>
      </c>
      <c r="N123" s="72">
        <v>2023.0</v>
      </c>
      <c r="O123" s="72" t="s">
        <v>1580</v>
      </c>
      <c r="P123" s="72" t="s">
        <v>1707</v>
      </c>
      <c r="Q123" s="72" t="s">
        <v>961</v>
      </c>
      <c r="R123" s="144" t="s">
        <v>1708</v>
      </c>
      <c r="S123" s="72" t="s">
        <v>1709</v>
      </c>
      <c r="T123" s="114"/>
      <c r="U123" s="39" t="s">
        <v>1710</v>
      </c>
      <c r="V123" s="75" t="s">
        <v>930</v>
      </c>
      <c r="W123" s="114"/>
      <c r="X123" s="114"/>
      <c r="Y123" s="114"/>
      <c r="Z123" s="114"/>
      <c r="AA123" s="114"/>
      <c r="AB123" s="114"/>
      <c r="AC123" s="114"/>
      <c r="AD123" s="114"/>
      <c r="AE123" s="114"/>
      <c r="AF123" s="114"/>
      <c r="AG123" s="114"/>
      <c r="AH123" s="114"/>
      <c r="AI123" s="114"/>
    </row>
    <row r="124" ht="13.5" customHeight="1">
      <c r="A124" s="26" t="s">
        <v>93</v>
      </c>
      <c r="B124" s="119" t="s">
        <v>111</v>
      </c>
      <c r="C124" s="119" t="s">
        <v>112</v>
      </c>
      <c r="D124" s="150" t="s">
        <v>1711</v>
      </c>
      <c r="E124" s="26" t="s">
        <v>961</v>
      </c>
      <c r="F124" s="137" t="s">
        <v>45</v>
      </c>
      <c r="G124" s="137" t="s">
        <v>995</v>
      </c>
      <c r="H124" s="137"/>
      <c r="I124" s="86" t="s">
        <v>162</v>
      </c>
      <c r="J124" s="81" t="s">
        <v>985</v>
      </c>
      <c r="K124" s="90" t="s">
        <v>1321</v>
      </c>
      <c r="L124" s="86" t="s">
        <v>1376</v>
      </c>
      <c r="M124" s="86" t="s">
        <v>1323</v>
      </c>
      <c r="N124" s="86">
        <v>2022.0</v>
      </c>
      <c r="O124" s="86" t="s">
        <v>989</v>
      </c>
      <c r="P124" s="86" t="s">
        <v>970</v>
      </c>
      <c r="Q124" s="86" t="s">
        <v>1008</v>
      </c>
      <c r="R124" s="151" t="s">
        <v>1055</v>
      </c>
      <c r="S124" s="86" t="s">
        <v>1712</v>
      </c>
      <c r="T124" s="119"/>
      <c r="U124" s="42" t="s">
        <v>1713</v>
      </c>
      <c r="V124" s="75" t="s">
        <v>930</v>
      </c>
      <c r="W124" s="119"/>
      <c r="X124" s="119"/>
      <c r="Y124" s="119"/>
      <c r="Z124" s="119"/>
      <c r="AA124" s="119"/>
      <c r="AB124" s="119"/>
      <c r="AC124" s="119"/>
      <c r="AD124" s="119"/>
      <c r="AE124" s="119"/>
      <c r="AF124" s="119"/>
      <c r="AG124" s="119"/>
      <c r="AH124" s="119"/>
      <c r="AI124" s="119"/>
    </row>
    <row r="125">
      <c r="A125" s="26" t="s">
        <v>93</v>
      </c>
      <c r="B125" s="114" t="s">
        <v>116</v>
      </c>
      <c r="C125" s="114" t="s">
        <v>117</v>
      </c>
      <c r="D125" s="143" t="s">
        <v>1714</v>
      </c>
      <c r="E125" s="26" t="s">
        <v>961</v>
      </c>
      <c r="F125" s="70" t="s">
        <v>45</v>
      </c>
      <c r="G125" s="70" t="s">
        <v>1715</v>
      </c>
      <c r="H125" s="70"/>
      <c r="I125" s="72" t="s">
        <v>1033</v>
      </c>
      <c r="J125" s="117" t="s">
        <v>1192</v>
      </c>
      <c r="K125" s="72" t="s">
        <v>1716</v>
      </c>
      <c r="L125" s="72"/>
      <c r="M125" s="72" t="s">
        <v>988</v>
      </c>
      <c r="N125" s="72">
        <v>2022.0</v>
      </c>
      <c r="O125" s="72" t="s">
        <v>978</v>
      </c>
      <c r="P125" s="72" t="s">
        <v>1717</v>
      </c>
      <c r="Q125" s="72" t="s">
        <v>961</v>
      </c>
      <c r="R125" s="144" t="s">
        <v>1055</v>
      </c>
      <c r="S125" s="72" t="s">
        <v>1718</v>
      </c>
      <c r="T125" s="114"/>
      <c r="U125" s="39" t="s">
        <v>1719</v>
      </c>
      <c r="V125" s="75" t="s">
        <v>930</v>
      </c>
      <c r="W125" s="114"/>
      <c r="X125" s="114"/>
      <c r="Y125" s="114"/>
      <c r="Z125" s="114"/>
      <c r="AA125" s="114"/>
      <c r="AB125" s="114"/>
      <c r="AC125" s="114"/>
      <c r="AD125" s="114"/>
      <c r="AE125" s="114"/>
      <c r="AF125" s="114"/>
      <c r="AG125" s="114"/>
      <c r="AH125" s="114"/>
      <c r="AI125" s="114"/>
    </row>
    <row r="126">
      <c r="A126" s="26" t="s">
        <v>93</v>
      </c>
      <c r="B126" s="37" t="s">
        <v>123</v>
      </c>
      <c r="C126" s="37" t="s">
        <v>124</v>
      </c>
      <c r="D126" s="105" t="s">
        <v>1720</v>
      </c>
      <c r="E126" s="26" t="s">
        <v>961</v>
      </c>
      <c r="F126" s="37" t="s">
        <v>45</v>
      </c>
      <c r="G126" s="26" t="s">
        <v>1721</v>
      </c>
      <c r="H126" s="26"/>
      <c r="I126" s="72" t="s">
        <v>964</v>
      </c>
      <c r="J126" s="67" t="s">
        <v>1192</v>
      </c>
      <c r="K126" s="26" t="s">
        <v>1716</v>
      </c>
      <c r="L126" s="26" t="s">
        <v>1565</v>
      </c>
      <c r="M126" s="71" t="s">
        <v>1431</v>
      </c>
      <c r="N126" s="74">
        <v>2018.0</v>
      </c>
      <c r="O126" s="71" t="s">
        <v>989</v>
      </c>
      <c r="P126" s="71" t="s">
        <v>970</v>
      </c>
      <c r="Q126" s="67" t="s">
        <v>961</v>
      </c>
      <c r="R126" s="26" t="s">
        <v>1722</v>
      </c>
      <c r="S126" s="26" t="s">
        <v>1723</v>
      </c>
      <c r="U126" s="39" t="s">
        <v>1724</v>
      </c>
      <c r="V126" s="75" t="s">
        <v>930</v>
      </c>
      <c r="X126" s="152"/>
    </row>
    <row r="127">
      <c r="A127" s="26" t="s">
        <v>93</v>
      </c>
      <c r="B127" s="37" t="s">
        <v>129</v>
      </c>
      <c r="C127" s="37" t="s">
        <v>130</v>
      </c>
      <c r="D127" s="105" t="s">
        <v>1725</v>
      </c>
      <c r="E127" s="26" t="s">
        <v>961</v>
      </c>
      <c r="F127" s="37" t="s">
        <v>47</v>
      </c>
      <c r="G127" s="26" t="s">
        <v>1544</v>
      </c>
      <c r="H127" s="26"/>
      <c r="I127" s="72" t="s">
        <v>964</v>
      </c>
      <c r="J127" s="69" t="s">
        <v>1726</v>
      </c>
      <c r="K127" s="26" t="s">
        <v>1727</v>
      </c>
      <c r="L127" s="26" t="s">
        <v>1728</v>
      </c>
      <c r="M127" s="71" t="s">
        <v>1493</v>
      </c>
      <c r="N127" s="74">
        <v>2024.0</v>
      </c>
      <c r="O127" s="71" t="s">
        <v>989</v>
      </c>
      <c r="P127" s="71" t="s">
        <v>1688</v>
      </c>
      <c r="Q127" s="67" t="s">
        <v>961</v>
      </c>
      <c r="R127" s="26" t="s">
        <v>1729</v>
      </c>
      <c r="S127" s="26" t="s">
        <v>1730</v>
      </c>
      <c r="U127" s="39" t="s">
        <v>1731</v>
      </c>
      <c r="V127" s="75" t="s">
        <v>930</v>
      </c>
      <c r="X127" s="152"/>
    </row>
    <row r="128">
      <c r="A128" s="26" t="s">
        <v>93</v>
      </c>
      <c r="B128" s="37" t="s">
        <v>134</v>
      </c>
      <c r="C128" s="37" t="s">
        <v>135</v>
      </c>
      <c r="D128" s="105" t="s">
        <v>1732</v>
      </c>
      <c r="E128" s="26" t="s">
        <v>961</v>
      </c>
      <c r="F128" s="37" t="s">
        <v>47</v>
      </c>
      <c r="G128" s="26" t="s">
        <v>962</v>
      </c>
      <c r="H128" s="26"/>
      <c r="I128" s="72" t="s">
        <v>162</v>
      </c>
      <c r="J128" s="67" t="s">
        <v>965</v>
      </c>
      <c r="K128" s="26" t="s">
        <v>1131</v>
      </c>
      <c r="L128" s="26" t="s">
        <v>1609</v>
      </c>
      <c r="M128" s="71" t="s">
        <v>1733</v>
      </c>
      <c r="N128" s="74">
        <v>2024.0</v>
      </c>
      <c r="O128" s="71" t="s">
        <v>1734</v>
      </c>
      <c r="P128" s="71" t="s">
        <v>1735</v>
      </c>
      <c r="Q128" s="67" t="s">
        <v>961</v>
      </c>
      <c r="R128" s="26" t="s">
        <v>1736</v>
      </c>
      <c r="S128" s="26" t="s">
        <v>1737</v>
      </c>
      <c r="U128" s="39" t="s">
        <v>1738</v>
      </c>
      <c r="V128" s="75" t="s">
        <v>930</v>
      </c>
      <c r="X128" s="152"/>
    </row>
    <row r="129">
      <c r="A129" s="26" t="s">
        <v>93</v>
      </c>
      <c r="B129" s="37" t="s">
        <v>139</v>
      </c>
      <c r="C129" s="37" t="s">
        <v>140</v>
      </c>
      <c r="D129" s="105" t="s">
        <v>1739</v>
      </c>
      <c r="E129" s="26" t="s">
        <v>961</v>
      </c>
      <c r="F129" s="37" t="s">
        <v>47</v>
      </c>
      <c r="G129" s="26" t="s">
        <v>984</v>
      </c>
      <c r="H129" s="26"/>
      <c r="I129" s="72" t="s">
        <v>162</v>
      </c>
      <c r="J129" s="67" t="s">
        <v>985</v>
      </c>
      <c r="K129" s="26" t="s">
        <v>1321</v>
      </c>
      <c r="L129" s="26" t="s">
        <v>1740</v>
      </c>
      <c r="M129" s="71" t="s">
        <v>998</v>
      </c>
      <c r="N129" s="74">
        <v>2024.0</v>
      </c>
      <c r="O129" s="71" t="s">
        <v>989</v>
      </c>
      <c r="P129" s="71" t="s">
        <v>970</v>
      </c>
      <c r="Q129" s="67" t="s">
        <v>961</v>
      </c>
      <c r="R129" s="26" t="s">
        <v>1048</v>
      </c>
      <c r="S129" s="26" t="s">
        <v>1741</v>
      </c>
      <c r="U129" s="39" t="s">
        <v>1742</v>
      </c>
      <c r="V129" s="75" t="s">
        <v>930</v>
      </c>
      <c r="X129" s="152"/>
    </row>
    <row r="130">
      <c r="A130" s="26" t="s">
        <v>93</v>
      </c>
      <c r="B130" s="37" t="s">
        <v>148</v>
      </c>
      <c r="C130" s="37" t="s">
        <v>149</v>
      </c>
      <c r="D130" s="105" t="s">
        <v>1743</v>
      </c>
      <c r="E130" s="26" t="s">
        <v>961</v>
      </c>
      <c r="F130" s="26" t="s">
        <v>45</v>
      </c>
      <c r="G130" s="26" t="s">
        <v>1623</v>
      </c>
      <c r="H130" s="26"/>
      <c r="I130" s="26" t="s">
        <v>976</v>
      </c>
      <c r="J130" s="67" t="s">
        <v>965</v>
      </c>
      <c r="K130" s="26" t="s">
        <v>1744</v>
      </c>
      <c r="L130" s="26"/>
      <c r="M130" s="71" t="s">
        <v>968</v>
      </c>
      <c r="N130" s="74">
        <v>2023.0</v>
      </c>
      <c r="O130" s="71" t="s">
        <v>1745</v>
      </c>
      <c r="P130" s="71" t="s">
        <v>1746</v>
      </c>
      <c r="Q130" s="67" t="s">
        <v>961</v>
      </c>
      <c r="R130" s="26" t="s">
        <v>1055</v>
      </c>
      <c r="S130" s="26" t="s">
        <v>1747</v>
      </c>
      <c r="U130" s="39" t="s">
        <v>1748</v>
      </c>
      <c r="V130" s="75" t="s">
        <v>930</v>
      </c>
      <c r="X130" s="152"/>
    </row>
    <row r="131">
      <c r="A131" s="26" t="s">
        <v>93</v>
      </c>
      <c r="B131" s="37" t="s">
        <v>156</v>
      </c>
      <c r="C131" s="37" t="s">
        <v>157</v>
      </c>
      <c r="D131" s="105" t="s">
        <v>1749</v>
      </c>
      <c r="E131" s="26" t="s">
        <v>961</v>
      </c>
      <c r="F131" s="37" t="s">
        <v>47</v>
      </c>
      <c r="G131" s="26" t="s">
        <v>984</v>
      </c>
      <c r="H131" s="26"/>
      <c r="I131" s="72" t="s">
        <v>964</v>
      </c>
      <c r="J131" s="67" t="s">
        <v>985</v>
      </c>
      <c r="K131" s="26" t="s">
        <v>1750</v>
      </c>
      <c r="L131" s="26" t="s">
        <v>967</v>
      </c>
      <c r="M131" s="71" t="s">
        <v>1022</v>
      </c>
      <c r="N131" s="74">
        <v>2022.0</v>
      </c>
      <c r="O131" s="71" t="s">
        <v>1580</v>
      </c>
      <c r="P131" s="71" t="s">
        <v>970</v>
      </c>
      <c r="Q131" s="67" t="s">
        <v>961</v>
      </c>
      <c r="R131" s="26" t="s">
        <v>1751</v>
      </c>
      <c r="S131" s="26" t="s">
        <v>1752</v>
      </c>
      <c r="U131" s="39" t="s">
        <v>1753</v>
      </c>
      <c r="V131" s="75" t="s">
        <v>930</v>
      </c>
      <c r="X131" s="152"/>
    </row>
    <row r="132">
      <c r="A132" s="26" t="s">
        <v>93</v>
      </c>
      <c r="B132" s="37" t="s">
        <v>160</v>
      </c>
      <c r="C132" s="37" t="s">
        <v>161</v>
      </c>
      <c r="D132" s="153" t="s">
        <v>1754</v>
      </c>
      <c r="E132" s="26" t="s">
        <v>961</v>
      </c>
      <c r="F132" s="37" t="s">
        <v>47</v>
      </c>
      <c r="G132" s="26" t="s">
        <v>1755</v>
      </c>
      <c r="H132" s="26"/>
      <c r="I132" s="26" t="s">
        <v>1033</v>
      </c>
      <c r="J132" s="67" t="s">
        <v>1686</v>
      </c>
      <c r="K132" s="26" t="s">
        <v>1756</v>
      </c>
      <c r="L132" s="26" t="s">
        <v>1757</v>
      </c>
      <c r="M132" s="71" t="s">
        <v>1733</v>
      </c>
      <c r="N132" s="74">
        <v>2021.0</v>
      </c>
      <c r="O132" s="71" t="s">
        <v>999</v>
      </c>
      <c r="P132" s="71" t="s">
        <v>1688</v>
      </c>
      <c r="Q132" s="67" t="s">
        <v>961</v>
      </c>
      <c r="R132" s="26" t="s">
        <v>1758</v>
      </c>
      <c r="S132" s="26" t="s">
        <v>1759</v>
      </c>
      <c r="U132" s="39" t="s">
        <v>1760</v>
      </c>
      <c r="V132" s="75" t="s">
        <v>930</v>
      </c>
      <c r="X132" s="152"/>
    </row>
    <row r="133">
      <c r="A133" s="26" t="s">
        <v>93</v>
      </c>
      <c r="B133" s="39" t="s">
        <v>682</v>
      </c>
      <c r="C133" s="39" t="s">
        <v>683</v>
      </c>
      <c r="D133" s="154" t="s">
        <v>1761</v>
      </c>
      <c r="E133" s="26" t="s">
        <v>961</v>
      </c>
      <c r="F133" s="39" t="s">
        <v>49</v>
      </c>
      <c r="G133" s="26" t="s">
        <v>1258</v>
      </c>
      <c r="H133" s="26"/>
      <c r="I133" s="72" t="s">
        <v>964</v>
      </c>
      <c r="J133" s="69" t="s">
        <v>1762</v>
      </c>
      <c r="K133" s="39" t="s">
        <v>1763</v>
      </c>
      <c r="L133" s="39" t="s">
        <v>1764</v>
      </c>
      <c r="M133" s="71" t="s">
        <v>1022</v>
      </c>
      <c r="N133" s="74">
        <v>2025.0</v>
      </c>
      <c r="O133" s="71" t="s">
        <v>989</v>
      </c>
      <c r="P133" s="71" t="s">
        <v>970</v>
      </c>
      <c r="Q133" s="67" t="s">
        <v>1765</v>
      </c>
      <c r="R133" s="26" t="s">
        <v>1766</v>
      </c>
      <c r="S133" s="26" t="s">
        <v>1767</v>
      </c>
      <c r="U133" s="39" t="s">
        <v>1768</v>
      </c>
      <c r="V133" s="75" t="s">
        <v>930</v>
      </c>
      <c r="X133" s="155"/>
    </row>
    <row r="134">
      <c r="A134" s="26" t="s">
        <v>93</v>
      </c>
      <c r="B134" s="39" t="s">
        <v>686</v>
      </c>
      <c r="C134" s="39" t="s">
        <v>687</v>
      </c>
      <c r="D134" s="154" t="s">
        <v>1769</v>
      </c>
      <c r="E134" s="26" t="s">
        <v>961</v>
      </c>
      <c r="F134" s="39" t="s">
        <v>49</v>
      </c>
      <c r="G134" s="26" t="s">
        <v>984</v>
      </c>
      <c r="H134" s="26"/>
      <c r="I134" s="26" t="s">
        <v>162</v>
      </c>
      <c r="J134" s="67" t="s">
        <v>985</v>
      </c>
      <c r="K134" s="39" t="s">
        <v>1005</v>
      </c>
      <c r="L134" s="39" t="s">
        <v>1770</v>
      </c>
      <c r="M134" s="71" t="s">
        <v>1022</v>
      </c>
      <c r="N134" s="74">
        <v>2025.0</v>
      </c>
      <c r="O134" s="71" t="s">
        <v>989</v>
      </c>
      <c r="P134" s="71" t="s">
        <v>970</v>
      </c>
      <c r="Q134" s="67" t="s">
        <v>1126</v>
      </c>
      <c r="R134" s="26" t="s">
        <v>1048</v>
      </c>
      <c r="S134" s="26" t="s">
        <v>1771</v>
      </c>
      <c r="U134" s="39" t="s">
        <v>1772</v>
      </c>
      <c r="V134" s="75" t="s">
        <v>930</v>
      </c>
      <c r="X134" s="155"/>
    </row>
    <row r="135">
      <c r="A135" s="26" t="s">
        <v>93</v>
      </c>
      <c r="B135" s="39" t="s">
        <v>689</v>
      </c>
      <c r="C135" s="39" t="s">
        <v>690</v>
      </c>
      <c r="D135" s="154" t="s">
        <v>1773</v>
      </c>
      <c r="E135" s="26" t="s">
        <v>961</v>
      </c>
      <c r="F135" s="39" t="s">
        <v>49</v>
      </c>
      <c r="G135" s="26" t="s">
        <v>984</v>
      </c>
      <c r="H135" s="26"/>
      <c r="I135" s="26" t="s">
        <v>162</v>
      </c>
      <c r="J135" s="67" t="s">
        <v>985</v>
      </c>
      <c r="K135" s="39" t="s">
        <v>1774</v>
      </c>
      <c r="L135" s="39" t="s">
        <v>1775</v>
      </c>
      <c r="M135" s="71" t="s">
        <v>1022</v>
      </c>
      <c r="N135" s="74">
        <v>2025.0</v>
      </c>
      <c r="O135" s="71" t="s">
        <v>1580</v>
      </c>
      <c r="P135" s="71" t="s">
        <v>970</v>
      </c>
      <c r="Q135" s="67" t="s">
        <v>961</v>
      </c>
      <c r="R135" s="26" t="s">
        <v>1055</v>
      </c>
      <c r="S135" s="26" t="s">
        <v>1776</v>
      </c>
      <c r="U135" s="39" t="s">
        <v>1777</v>
      </c>
      <c r="V135" s="75" t="s">
        <v>930</v>
      </c>
      <c r="X135" s="155"/>
    </row>
    <row r="136">
      <c r="A136" s="26" t="s">
        <v>93</v>
      </c>
      <c r="B136" s="39" t="s">
        <v>831</v>
      </c>
      <c r="C136" s="39" t="s">
        <v>832</v>
      </c>
      <c r="D136" s="156" t="s">
        <v>1778</v>
      </c>
      <c r="E136" s="26" t="s">
        <v>961</v>
      </c>
      <c r="F136" s="39" t="s">
        <v>49</v>
      </c>
      <c r="G136" s="26" t="s">
        <v>1258</v>
      </c>
      <c r="H136" s="26"/>
      <c r="I136" s="26" t="s">
        <v>162</v>
      </c>
      <c r="J136" s="69" t="s">
        <v>1779</v>
      </c>
      <c r="K136" s="39" t="s">
        <v>1321</v>
      </c>
      <c r="L136" s="39" t="s">
        <v>1335</v>
      </c>
      <c r="M136" s="71" t="s">
        <v>1022</v>
      </c>
      <c r="N136" s="74">
        <v>2025.0</v>
      </c>
      <c r="O136" s="71" t="s">
        <v>989</v>
      </c>
      <c r="P136" s="71" t="s">
        <v>970</v>
      </c>
      <c r="Q136" s="67" t="s">
        <v>961</v>
      </c>
      <c r="R136" s="26" t="s">
        <v>1780</v>
      </c>
      <c r="S136" s="26" t="s">
        <v>1781</v>
      </c>
      <c r="U136" s="39" t="s">
        <v>1782</v>
      </c>
      <c r="V136" s="75" t="s">
        <v>930</v>
      </c>
      <c r="X136" s="155"/>
    </row>
    <row r="137">
      <c r="A137" s="26" t="s">
        <v>93</v>
      </c>
      <c r="B137" s="39" t="s">
        <v>834</v>
      </c>
      <c r="C137" s="39" t="s">
        <v>835</v>
      </c>
      <c r="D137" s="154" t="s">
        <v>1783</v>
      </c>
      <c r="E137" s="26" t="s">
        <v>961</v>
      </c>
      <c r="F137" s="39" t="s">
        <v>49</v>
      </c>
      <c r="G137" s="26" t="s">
        <v>984</v>
      </c>
      <c r="H137" s="72" t="s">
        <v>964</v>
      </c>
      <c r="I137" s="26" t="s">
        <v>162</v>
      </c>
      <c r="J137" s="67" t="s">
        <v>985</v>
      </c>
      <c r="K137" s="39" t="s">
        <v>1005</v>
      </c>
      <c r="L137" s="39" t="s">
        <v>1784</v>
      </c>
      <c r="M137" s="71" t="s">
        <v>1022</v>
      </c>
      <c r="N137" s="74">
        <v>2025.0</v>
      </c>
      <c r="O137" s="71" t="s">
        <v>989</v>
      </c>
      <c r="P137" s="71" t="s">
        <v>970</v>
      </c>
      <c r="Q137" s="67" t="s">
        <v>1265</v>
      </c>
      <c r="R137" s="26" t="s">
        <v>1048</v>
      </c>
      <c r="S137" s="26" t="s">
        <v>1785</v>
      </c>
      <c r="U137" s="39" t="s">
        <v>1786</v>
      </c>
      <c r="V137" s="75" t="s">
        <v>930</v>
      </c>
      <c r="X137" s="157"/>
    </row>
    <row r="138">
      <c r="A138" s="26" t="s">
        <v>93</v>
      </c>
      <c r="B138" s="39" t="s">
        <v>913</v>
      </c>
      <c r="C138" s="39" t="s">
        <v>914</v>
      </c>
      <c r="D138" s="154" t="s">
        <v>1787</v>
      </c>
      <c r="E138" s="26" t="s">
        <v>961</v>
      </c>
      <c r="F138" s="39" t="s">
        <v>49</v>
      </c>
      <c r="G138" s="39" t="s">
        <v>1788</v>
      </c>
      <c r="H138" s="39"/>
      <c r="I138" s="72" t="s">
        <v>964</v>
      </c>
      <c r="J138" s="69" t="s">
        <v>1789</v>
      </c>
      <c r="K138" s="39"/>
      <c r="L138" s="39" t="s">
        <v>1565</v>
      </c>
      <c r="M138" s="71" t="s">
        <v>1246</v>
      </c>
      <c r="N138" s="74">
        <v>2021.0</v>
      </c>
      <c r="O138" s="71" t="s">
        <v>989</v>
      </c>
      <c r="P138" s="71" t="s">
        <v>970</v>
      </c>
      <c r="Q138" s="67" t="s">
        <v>1265</v>
      </c>
      <c r="R138" s="26" t="s">
        <v>1790</v>
      </c>
      <c r="S138" s="26" t="s">
        <v>1791</v>
      </c>
      <c r="U138" s="39" t="s">
        <v>1792</v>
      </c>
      <c r="V138" s="75" t="s">
        <v>930</v>
      </c>
      <c r="X138" s="155"/>
    </row>
    <row r="139">
      <c r="A139" s="28" t="s">
        <v>93</v>
      </c>
      <c r="B139" s="104" t="s">
        <v>1793</v>
      </c>
      <c r="C139" s="104" t="s">
        <v>1794</v>
      </c>
      <c r="D139" s="158" t="s">
        <v>1795</v>
      </c>
      <c r="E139" s="72" t="s">
        <v>930</v>
      </c>
      <c r="F139" s="72" t="s">
        <v>49</v>
      </c>
      <c r="G139" s="72" t="s">
        <v>1172</v>
      </c>
      <c r="H139" s="72"/>
      <c r="I139" s="72" t="s">
        <v>964</v>
      </c>
      <c r="J139" s="117" t="s">
        <v>985</v>
      </c>
      <c r="K139" s="72" t="s">
        <v>1796</v>
      </c>
      <c r="L139" s="72" t="s">
        <v>1797</v>
      </c>
      <c r="M139" s="71" t="s">
        <v>1022</v>
      </c>
      <c r="N139" s="74">
        <v>2025.0</v>
      </c>
      <c r="O139" s="71" t="s">
        <v>989</v>
      </c>
      <c r="P139" s="71" t="s">
        <v>970</v>
      </c>
      <c r="Q139" s="104" t="s">
        <v>930</v>
      </c>
      <c r="R139" s="144" t="s">
        <v>1798</v>
      </c>
      <c r="S139" s="72" t="s">
        <v>1799</v>
      </c>
      <c r="T139" s="114"/>
      <c r="U139" s="39" t="s">
        <v>1800</v>
      </c>
      <c r="V139" s="75" t="s">
        <v>930</v>
      </c>
      <c r="W139" s="114"/>
      <c r="X139" s="159"/>
      <c r="Y139" s="114"/>
      <c r="Z139" s="114"/>
      <c r="AA139" s="114"/>
      <c r="AB139" s="114"/>
      <c r="AC139" s="114"/>
      <c r="AD139" s="114"/>
      <c r="AE139" s="160"/>
      <c r="AF139" s="160"/>
      <c r="AG139" s="160"/>
      <c r="AH139" s="160"/>
      <c r="AI139" s="160"/>
      <c r="AJ139" s="160"/>
      <c r="AK139" s="160"/>
    </row>
    <row r="140">
      <c r="A140" s="28" t="s">
        <v>93</v>
      </c>
      <c r="B140" s="104" t="s">
        <v>1801</v>
      </c>
      <c r="C140" s="104" t="s">
        <v>1802</v>
      </c>
      <c r="D140" s="158" t="s">
        <v>1803</v>
      </c>
      <c r="E140" s="72" t="s">
        <v>930</v>
      </c>
      <c r="F140" s="72" t="s">
        <v>47</v>
      </c>
      <c r="G140" s="72" t="s">
        <v>1172</v>
      </c>
      <c r="H140" s="72"/>
      <c r="I140" s="72" t="s">
        <v>162</v>
      </c>
      <c r="J140" s="117" t="s">
        <v>996</v>
      </c>
      <c r="K140" s="72" t="s">
        <v>1131</v>
      </c>
      <c r="L140" s="72" t="s">
        <v>1804</v>
      </c>
      <c r="M140" s="71" t="s">
        <v>1733</v>
      </c>
      <c r="N140" s="74">
        <v>2025.0</v>
      </c>
      <c r="O140" s="71" t="s">
        <v>1734</v>
      </c>
      <c r="P140" s="71" t="s">
        <v>1016</v>
      </c>
      <c r="Q140" s="104" t="s">
        <v>930</v>
      </c>
      <c r="R140" s="144" t="s">
        <v>1805</v>
      </c>
      <c r="S140" s="72" t="s">
        <v>1806</v>
      </c>
      <c r="T140" s="114"/>
      <c r="U140" s="39" t="s">
        <v>1807</v>
      </c>
      <c r="V140" s="75" t="s">
        <v>930</v>
      </c>
      <c r="W140" s="72" t="s">
        <v>1808</v>
      </c>
      <c r="X140" s="159"/>
      <c r="Y140" s="114"/>
      <c r="Z140" s="114"/>
      <c r="AA140" s="114"/>
      <c r="AB140" s="114"/>
      <c r="AC140" s="114"/>
      <c r="AD140" s="114"/>
      <c r="AE140" s="160"/>
      <c r="AF140" s="160"/>
      <c r="AG140" s="160"/>
      <c r="AH140" s="160"/>
      <c r="AI140" s="160"/>
      <c r="AJ140" s="160"/>
      <c r="AK140" s="160"/>
    </row>
    <row r="141" ht="16.5" customHeight="1">
      <c r="A141" s="132" t="s">
        <v>507</v>
      </c>
      <c r="B141" s="161" t="s">
        <v>503</v>
      </c>
      <c r="C141" s="161" t="s">
        <v>504</v>
      </c>
      <c r="D141" s="162" t="s">
        <v>1809</v>
      </c>
      <c r="E141" s="163" t="s">
        <v>1437</v>
      </c>
      <c r="F141" s="161" t="s">
        <v>49</v>
      </c>
      <c r="G141" s="123" t="s">
        <v>1033</v>
      </c>
      <c r="H141" s="123"/>
      <c r="I141" s="123" t="s">
        <v>1033</v>
      </c>
      <c r="J141" s="131" t="s">
        <v>1034</v>
      </c>
      <c r="K141" s="164" t="s">
        <v>1716</v>
      </c>
      <c r="L141" s="123"/>
      <c r="M141" s="165" t="s">
        <v>1022</v>
      </c>
      <c r="N141" s="130">
        <v>2020.0</v>
      </c>
      <c r="O141" s="165" t="s">
        <v>1336</v>
      </c>
      <c r="P141" s="165" t="s">
        <v>1810</v>
      </c>
      <c r="Q141" s="166" t="s">
        <v>961</v>
      </c>
      <c r="R141" s="167" t="s">
        <v>1055</v>
      </c>
      <c r="S141" s="164" t="s">
        <v>1811</v>
      </c>
      <c r="T141" s="161"/>
      <c r="U141" s="134" t="s">
        <v>1812</v>
      </c>
      <c r="V141" s="75" t="s">
        <v>1026</v>
      </c>
      <c r="W141" s="161"/>
      <c r="X141" s="161"/>
      <c r="Y141" s="161"/>
      <c r="Z141" s="161"/>
      <c r="AA141" s="161"/>
      <c r="AB141" s="161"/>
      <c r="AC141" s="133"/>
      <c r="AD141" s="161"/>
      <c r="AE141" s="161"/>
      <c r="AF141" s="161"/>
      <c r="AG141" s="161"/>
      <c r="AH141" s="161"/>
      <c r="AI141" s="161"/>
      <c r="AJ141" s="114"/>
      <c r="AK141" s="114"/>
    </row>
    <row r="142" ht="15.0" customHeight="1">
      <c r="A142" s="26" t="s">
        <v>507</v>
      </c>
      <c r="B142" s="114" t="s">
        <v>508</v>
      </c>
      <c r="C142" s="114" t="s">
        <v>509</v>
      </c>
      <c r="D142" s="168" t="s">
        <v>1813</v>
      </c>
      <c r="E142" s="169" t="s">
        <v>1437</v>
      </c>
      <c r="F142" s="114" t="s">
        <v>49</v>
      </c>
      <c r="G142" s="72" t="s">
        <v>1101</v>
      </c>
      <c r="H142" s="72"/>
      <c r="I142" s="72" t="s">
        <v>162</v>
      </c>
      <c r="J142" s="69" t="s">
        <v>1814</v>
      </c>
      <c r="K142" s="72" t="s">
        <v>1005</v>
      </c>
      <c r="L142" s="72" t="s">
        <v>1815</v>
      </c>
      <c r="M142" s="71" t="s">
        <v>1022</v>
      </c>
      <c r="N142" s="74">
        <v>2020.0</v>
      </c>
      <c r="O142" s="71" t="s">
        <v>989</v>
      </c>
      <c r="P142" s="71" t="s">
        <v>970</v>
      </c>
      <c r="Q142" s="159" t="s">
        <v>1816</v>
      </c>
      <c r="R142" s="144" t="s">
        <v>1048</v>
      </c>
      <c r="S142" s="90" t="s">
        <v>1817</v>
      </c>
      <c r="T142" s="114"/>
      <c r="U142" s="39" t="s">
        <v>1818</v>
      </c>
      <c r="V142" s="75" t="s">
        <v>930</v>
      </c>
      <c r="W142" s="114"/>
      <c r="X142" s="114"/>
      <c r="Y142" s="114"/>
      <c r="Z142" s="114"/>
      <c r="AA142" s="114"/>
      <c r="AB142" s="114"/>
      <c r="AD142" s="114"/>
      <c r="AE142" s="114"/>
      <c r="AF142" s="114"/>
      <c r="AG142" s="114"/>
      <c r="AH142" s="114"/>
      <c r="AI142" s="114"/>
      <c r="AJ142" s="114"/>
      <c r="AK142" s="114"/>
    </row>
    <row r="143" ht="15.75" customHeight="1">
      <c r="A143" s="26" t="s">
        <v>507</v>
      </c>
      <c r="B143" s="114" t="s">
        <v>512</v>
      </c>
      <c r="C143" s="114" t="s">
        <v>513</v>
      </c>
      <c r="D143" s="118" t="s">
        <v>1819</v>
      </c>
      <c r="E143" s="169" t="s">
        <v>1437</v>
      </c>
      <c r="F143" s="114" t="s">
        <v>49</v>
      </c>
      <c r="G143" s="72" t="s">
        <v>1392</v>
      </c>
      <c r="H143" s="72"/>
      <c r="I143" s="72" t="s">
        <v>162</v>
      </c>
      <c r="J143" s="67" t="s">
        <v>985</v>
      </c>
      <c r="K143" s="72" t="s">
        <v>1820</v>
      </c>
      <c r="L143" s="72" t="s">
        <v>1821</v>
      </c>
      <c r="M143" s="71" t="s">
        <v>1087</v>
      </c>
      <c r="N143" s="74">
        <v>2020.0</v>
      </c>
      <c r="O143" s="71" t="s">
        <v>989</v>
      </c>
      <c r="P143" s="71" t="s">
        <v>1822</v>
      </c>
      <c r="Q143" s="159" t="s">
        <v>961</v>
      </c>
      <c r="R143" s="144" t="s">
        <v>1823</v>
      </c>
      <c r="S143" s="90" t="s">
        <v>1824</v>
      </c>
      <c r="T143" s="114"/>
      <c r="U143" s="39" t="s">
        <v>1825</v>
      </c>
      <c r="V143" s="75" t="s">
        <v>1026</v>
      </c>
      <c r="W143" s="114"/>
      <c r="X143" s="114"/>
      <c r="Y143" s="114"/>
      <c r="Z143" s="114"/>
      <c r="AA143" s="114"/>
      <c r="AB143" s="114"/>
      <c r="AD143" s="114"/>
      <c r="AE143" s="114"/>
      <c r="AF143" s="114"/>
      <c r="AG143" s="114"/>
      <c r="AH143" s="114"/>
      <c r="AI143" s="114"/>
      <c r="AJ143" s="114"/>
      <c r="AK143" s="114"/>
    </row>
    <row r="144" ht="12.75" customHeight="1">
      <c r="A144" s="26" t="s">
        <v>507</v>
      </c>
      <c r="B144" s="114" t="s">
        <v>516</v>
      </c>
      <c r="C144" s="114" t="s">
        <v>517</v>
      </c>
      <c r="D144" s="168" t="s">
        <v>1826</v>
      </c>
      <c r="E144" s="169" t="s">
        <v>1437</v>
      </c>
      <c r="F144" s="114" t="s">
        <v>49</v>
      </c>
      <c r="G144" s="72" t="s">
        <v>1012</v>
      </c>
      <c r="H144" s="72"/>
      <c r="I144" s="72" t="s">
        <v>162</v>
      </c>
      <c r="J144" s="67" t="s">
        <v>985</v>
      </c>
      <c r="K144" s="72" t="s">
        <v>1827</v>
      </c>
      <c r="L144" s="72" t="s">
        <v>967</v>
      </c>
      <c r="M144" s="71" t="s">
        <v>1015</v>
      </c>
      <c r="N144" s="74">
        <v>2020.0</v>
      </c>
      <c r="O144" s="71" t="s">
        <v>989</v>
      </c>
      <c r="P144" s="71" t="s">
        <v>970</v>
      </c>
      <c r="Q144" s="159" t="s">
        <v>961</v>
      </c>
      <c r="R144" s="144" t="s">
        <v>1055</v>
      </c>
      <c r="S144" s="90" t="s">
        <v>1828</v>
      </c>
      <c r="T144" s="114"/>
      <c r="U144" s="39" t="s">
        <v>1829</v>
      </c>
      <c r="V144" s="75" t="s">
        <v>1026</v>
      </c>
      <c r="W144" s="72" t="s">
        <v>1830</v>
      </c>
      <c r="X144" s="114"/>
      <c r="Y144" s="114"/>
      <c r="Z144" s="114"/>
      <c r="AA144" s="114"/>
      <c r="AB144" s="114"/>
      <c r="AD144" s="114"/>
      <c r="AE144" s="114"/>
      <c r="AF144" s="114"/>
      <c r="AG144" s="114"/>
      <c r="AH144" s="114"/>
      <c r="AI144" s="114"/>
      <c r="AJ144" s="114"/>
      <c r="AK144" s="114"/>
    </row>
    <row r="145" ht="11.25" customHeight="1">
      <c r="A145" s="26" t="s">
        <v>507</v>
      </c>
      <c r="B145" s="114" t="s">
        <v>519</v>
      </c>
      <c r="C145" s="114" t="s">
        <v>520</v>
      </c>
      <c r="D145" s="168" t="s">
        <v>1831</v>
      </c>
      <c r="E145" s="169" t="s">
        <v>1437</v>
      </c>
      <c r="F145" s="114" t="s">
        <v>49</v>
      </c>
      <c r="G145" s="72" t="s">
        <v>1392</v>
      </c>
      <c r="H145" s="72"/>
      <c r="I145" s="72" t="s">
        <v>162</v>
      </c>
      <c r="J145" s="67" t="s">
        <v>1060</v>
      </c>
      <c r="K145" s="114"/>
      <c r="L145" s="72" t="s">
        <v>1832</v>
      </c>
      <c r="M145" s="71" t="s">
        <v>1022</v>
      </c>
      <c r="N145" s="74">
        <v>2020.0</v>
      </c>
      <c r="O145" s="71" t="s">
        <v>989</v>
      </c>
      <c r="P145" s="71" t="s">
        <v>970</v>
      </c>
      <c r="Q145" s="159" t="s">
        <v>1833</v>
      </c>
      <c r="R145" s="144" t="s">
        <v>1048</v>
      </c>
      <c r="S145" s="90" t="s">
        <v>1834</v>
      </c>
      <c r="T145" s="114"/>
      <c r="U145" s="39" t="s">
        <v>1835</v>
      </c>
      <c r="V145" s="75" t="s">
        <v>1026</v>
      </c>
      <c r="W145" s="114"/>
      <c r="X145" s="114"/>
      <c r="Y145" s="114"/>
      <c r="Z145" s="114"/>
      <c r="AA145" s="114"/>
      <c r="AB145" s="114"/>
      <c r="AD145" s="114"/>
      <c r="AE145" s="114"/>
      <c r="AF145" s="114"/>
      <c r="AG145" s="114"/>
      <c r="AH145" s="114"/>
      <c r="AI145" s="114"/>
      <c r="AJ145" s="114"/>
      <c r="AK145" s="114"/>
    </row>
    <row r="146" ht="12.75" customHeight="1">
      <c r="A146" s="26" t="s">
        <v>507</v>
      </c>
      <c r="B146" s="114" t="s">
        <v>524</v>
      </c>
      <c r="C146" s="114" t="s">
        <v>525</v>
      </c>
      <c r="D146" s="168" t="s">
        <v>1836</v>
      </c>
      <c r="E146" s="169" t="s">
        <v>1437</v>
      </c>
      <c r="F146" s="114" t="s">
        <v>49</v>
      </c>
      <c r="G146" s="114" t="s">
        <v>995</v>
      </c>
      <c r="H146" s="114"/>
      <c r="I146" s="72" t="s">
        <v>162</v>
      </c>
      <c r="J146" s="67" t="s">
        <v>996</v>
      </c>
      <c r="K146" s="72" t="s">
        <v>1837</v>
      </c>
      <c r="L146" s="72" t="s">
        <v>1838</v>
      </c>
      <c r="M146" s="71" t="s">
        <v>968</v>
      </c>
      <c r="N146" s="74">
        <v>2019.0</v>
      </c>
      <c r="O146" s="71" t="s">
        <v>989</v>
      </c>
      <c r="P146" s="71" t="s">
        <v>1194</v>
      </c>
      <c r="Q146" s="159" t="s">
        <v>961</v>
      </c>
      <c r="R146" s="144" t="s">
        <v>1418</v>
      </c>
      <c r="S146" s="90" t="s">
        <v>1839</v>
      </c>
      <c r="T146" s="114"/>
      <c r="U146" s="39" t="s">
        <v>1840</v>
      </c>
      <c r="V146" s="75" t="s">
        <v>930</v>
      </c>
      <c r="W146" s="114"/>
      <c r="X146" s="114"/>
      <c r="Y146" s="114"/>
      <c r="Z146" s="114"/>
      <c r="AA146" s="114"/>
      <c r="AB146" s="114"/>
      <c r="AD146" s="114"/>
      <c r="AE146" s="114"/>
      <c r="AF146" s="114"/>
      <c r="AG146" s="114"/>
      <c r="AH146" s="114"/>
      <c r="AI146" s="114"/>
      <c r="AJ146" s="114"/>
      <c r="AK146" s="114"/>
    </row>
    <row r="147" ht="14.25" customHeight="1">
      <c r="A147" s="26" t="s">
        <v>507</v>
      </c>
      <c r="B147" s="114" t="s">
        <v>531</v>
      </c>
      <c r="C147" s="114" t="s">
        <v>532</v>
      </c>
      <c r="D147" s="168" t="s">
        <v>1841</v>
      </c>
      <c r="E147" s="169" t="s">
        <v>1437</v>
      </c>
      <c r="F147" s="114" t="s">
        <v>49</v>
      </c>
      <c r="G147" s="72" t="s">
        <v>1842</v>
      </c>
      <c r="H147" s="72"/>
      <c r="I147" s="72" t="s">
        <v>964</v>
      </c>
      <c r="J147" s="69" t="s">
        <v>1843</v>
      </c>
      <c r="K147" s="114"/>
      <c r="L147" s="72" t="s">
        <v>1844</v>
      </c>
      <c r="M147" s="71" t="s">
        <v>1015</v>
      </c>
      <c r="N147" s="74">
        <v>2019.0</v>
      </c>
      <c r="O147" s="71" t="s">
        <v>989</v>
      </c>
      <c r="P147" s="71" t="s">
        <v>970</v>
      </c>
      <c r="Q147" s="159" t="s">
        <v>1845</v>
      </c>
      <c r="R147" s="144" t="s">
        <v>1048</v>
      </c>
      <c r="S147" s="90" t="s">
        <v>1846</v>
      </c>
      <c r="T147" s="114"/>
      <c r="U147" s="39" t="s">
        <v>1847</v>
      </c>
      <c r="V147" s="75" t="s">
        <v>930</v>
      </c>
      <c r="W147" s="114"/>
      <c r="X147" s="114"/>
      <c r="Y147" s="114"/>
      <c r="Z147" s="114"/>
      <c r="AA147" s="114"/>
      <c r="AB147" s="114"/>
      <c r="AD147" s="114"/>
      <c r="AE147" s="114"/>
      <c r="AF147" s="114"/>
      <c r="AG147" s="114"/>
      <c r="AH147" s="114"/>
      <c r="AI147" s="114"/>
      <c r="AJ147" s="114"/>
      <c r="AK147" s="114"/>
    </row>
    <row r="148" ht="12.0" customHeight="1">
      <c r="A148" s="26" t="s">
        <v>507</v>
      </c>
      <c r="B148" s="114" t="s">
        <v>533</v>
      </c>
      <c r="C148" s="114" t="s">
        <v>534</v>
      </c>
      <c r="D148" s="168" t="s">
        <v>1848</v>
      </c>
      <c r="E148" s="169" t="s">
        <v>1437</v>
      </c>
      <c r="F148" s="114" t="s">
        <v>49</v>
      </c>
      <c r="G148" s="72" t="s">
        <v>1258</v>
      </c>
      <c r="H148" s="72"/>
      <c r="I148" s="72" t="s">
        <v>964</v>
      </c>
      <c r="J148" s="69" t="s">
        <v>1849</v>
      </c>
      <c r="K148" s="72" t="s">
        <v>1005</v>
      </c>
      <c r="L148" s="72" t="s">
        <v>1850</v>
      </c>
      <c r="M148" s="71" t="s">
        <v>1022</v>
      </c>
      <c r="N148" s="74">
        <v>2019.0</v>
      </c>
      <c r="O148" s="71" t="s">
        <v>989</v>
      </c>
      <c r="P148" s="71" t="s">
        <v>970</v>
      </c>
      <c r="Q148" s="159" t="s">
        <v>1851</v>
      </c>
      <c r="R148" s="170" t="s">
        <v>1852</v>
      </c>
      <c r="S148" s="90" t="s">
        <v>1853</v>
      </c>
      <c r="T148" s="114"/>
      <c r="U148" s="39" t="s">
        <v>1854</v>
      </c>
      <c r="V148" s="75" t="s">
        <v>930</v>
      </c>
      <c r="W148" s="114"/>
      <c r="X148" s="114"/>
      <c r="Y148" s="114"/>
      <c r="Z148" s="114"/>
      <c r="AA148" s="114"/>
      <c r="AB148" s="114"/>
      <c r="AD148" s="114"/>
      <c r="AE148" s="114"/>
      <c r="AF148" s="114"/>
      <c r="AG148" s="114"/>
      <c r="AH148" s="114"/>
      <c r="AI148" s="114"/>
      <c r="AJ148" s="114"/>
      <c r="AK148" s="114"/>
    </row>
    <row r="149" ht="12.75" customHeight="1">
      <c r="A149" s="26" t="s">
        <v>507</v>
      </c>
      <c r="B149" s="114" t="s">
        <v>537</v>
      </c>
      <c r="C149" s="114" t="s">
        <v>538</v>
      </c>
      <c r="D149" s="168" t="s">
        <v>1855</v>
      </c>
      <c r="E149" s="169" t="s">
        <v>1437</v>
      </c>
      <c r="F149" s="114" t="s">
        <v>49</v>
      </c>
      <c r="G149" s="114" t="s">
        <v>995</v>
      </c>
      <c r="H149" s="114"/>
      <c r="I149" s="72" t="s">
        <v>162</v>
      </c>
      <c r="J149" s="67" t="s">
        <v>996</v>
      </c>
      <c r="K149" s="72" t="s">
        <v>1005</v>
      </c>
      <c r="L149" s="72" t="s">
        <v>1335</v>
      </c>
      <c r="M149" s="71" t="s">
        <v>1015</v>
      </c>
      <c r="N149" s="74">
        <v>2019.0</v>
      </c>
      <c r="O149" s="71" t="s">
        <v>989</v>
      </c>
      <c r="P149" s="71" t="s">
        <v>970</v>
      </c>
      <c r="Q149" s="159" t="s">
        <v>961</v>
      </c>
      <c r="R149" s="144" t="s">
        <v>1055</v>
      </c>
      <c r="S149" s="90" t="s">
        <v>1856</v>
      </c>
      <c r="T149" s="114"/>
      <c r="U149" s="39" t="s">
        <v>1857</v>
      </c>
      <c r="V149" s="75" t="s">
        <v>930</v>
      </c>
      <c r="W149" s="114"/>
      <c r="X149" s="114"/>
      <c r="Y149" s="114"/>
      <c r="Z149" s="114"/>
      <c r="AA149" s="114"/>
      <c r="AB149" s="114"/>
      <c r="AD149" s="114"/>
      <c r="AE149" s="114"/>
      <c r="AF149" s="114"/>
      <c r="AG149" s="114"/>
      <c r="AH149" s="114"/>
      <c r="AI149" s="114"/>
      <c r="AJ149" s="114"/>
      <c r="AK149" s="114"/>
    </row>
    <row r="150" ht="12.75" customHeight="1">
      <c r="A150" s="26" t="s">
        <v>507</v>
      </c>
      <c r="B150" s="114" t="s">
        <v>539</v>
      </c>
      <c r="C150" s="114" t="s">
        <v>540</v>
      </c>
      <c r="D150" s="168" t="s">
        <v>1858</v>
      </c>
      <c r="E150" s="169" t="s">
        <v>1437</v>
      </c>
      <c r="F150" s="114" t="s">
        <v>49</v>
      </c>
      <c r="G150" s="72" t="s">
        <v>1859</v>
      </c>
      <c r="H150" s="72"/>
      <c r="I150" s="72" t="s">
        <v>162</v>
      </c>
      <c r="J150" s="67" t="s">
        <v>1192</v>
      </c>
      <c r="K150" s="72" t="s">
        <v>1131</v>
      </c>
      <c r="L150" s="72" t="s">
        <v>995</v>
      </c>
      <c r="M150" s="71" t="s">
        <v>1160</v>
      </c>
      <c r="N150" s="74">
        <v>2019.0</v>
      </c>
      <c r="O150" s="71" t="s">
        <v>989</v>
      </c>
      <c r="P150" s="71" t="s">
        <v>1481</v>
      </c>
      <c r="Q150" s="159" t="s">
        <v>961</v>
      </c>
      <c r="R150" s="144" t="s">
        <v>1048</v>
      </c>
      <c r="S150" s="90" t="s">
        <v>1860</v>
      </c>
      <c r="T150" s="114"/>
      <c r="U150" s="39" t="s">
        <v>1861</v>
      </c>
      <c r="V150" s="75" t="s">
        <v>1026</v>
      </c>
      <c r="W150" s="114"/>
      <c r="X150" s="114"/>
      <c r="Y150" s="114"/>
      <c r="Z150" s="114"/>
      <c r="AA150" s="114"/>
      <c r="AB150" s="114"/>
      <c r="AD150" s="114"/>
      <c r="AE150" s="114"/>
      <c r="AF150" s="114"/>
      <c r="AG150" s="114"/>
      <c r="AH150" s="114"/>
      <c r="AI150" s="114"/>
      <c r="AJ150" s="114"/>
      <c r="AK150" s="114"/>
    </row>
    <row r="151" ht="12.75" customHeight="1">
      <c r="A151" s="26" t="s">
        <v>507</v>
      </c>
      <c r="B151" s="114" t="s">
        <v>544</v>
      </c>
      <c r="C151" s="114" t="s">
        <v>545</v>
      </c>
      <c r="D151" s="168" t="s">
        <v>1862</v>
      </c>
      <c r="E151" s="169" t="s">
        <v>1437</v>
      </c>
      <c r="F151" s="114" t="s">
        <v>49</v>
      </c>
      <c r="G151" s="72" t="s">
        <v>1859</v>
      </c>
      <c r="H151" s="72"/>
      <c r="I151" s="72" t="s">
        <v>162</v>
      </c>
      <c r="J151" s="67" t="s">
        <v>1192</v>
      </c>
      <c r="K151" s="72" t="s">
        <v>1863</v>
      </c>
      <c r="L151" s="72" t="s">
        <v>995</v>
      </c>
      <c r="M151" s="71" t="s">
        <v>1015</v>
      </c>
      <c r="N151" s="74">
        <v>2018.0</v>
      </c>
      <c r="O151" s="71" t="s">
        <v>999</v>
      </c>
      <c r="P151" s="71" t="s">
        <v>970</v>
      </c>
      <c r="Q151" s="159" t="s">
        <v>1851</v>
      </c>
      <c r="R151" s="144" t="s">
        <v>1864</v>
      </c>
      <c r="S151" s="90" t="s">
        <v>1865</v>
      </c>
      <c r="T151" s="114"/>
      <c r="U151" s="39" t="s">
        <v>1866</v>
      </c>
      <c r="V151" s="75" t="s">
        <v>930</v>
      </c>
      <c r="W151" s="114"/>
      <c r="X151" s="114"/>
      <c r="Y151" s="114"/>
      <c r="Z151" s="114"/>
      <c r="AA151" s="114"/>
      <c r="AB151" s="114"/>
      <c r="AD151" s="114"/>
      <c r="AE151" s="114"/>
      <c r="AF151" s="114"/>
      <c r="AG151" s="114"/>
      <c r="AH151" s="114"/>
      <c r="AI151" s="114"/>
      <c r="AJ151" s="114"/>
      <c r="AK151" s="114"/>
    </row>
    <row r="152" ht="14.25" customHeight="1">
      <c r="A152" s="26" t="s">
        <v>507</v>
      </c>
      <c r="B152" s="114" t="s">
        <v>549</v>
      </c>
      <c r="C152" s="114" t="s">
        <v>550</v>
      </c>
      <c r="D152" s="168" t="s">
        <v>1867</v>
      </c>
      <c r="E152" s="169" t="s">
        <v>1437</v>
      </c>
      <c r="F152" s="114" t="s">
        <v>49</v>
      </c>
      <c r="G152" s="72" t="s">
        <v>1868</v>
      </c>
      <c r="H152" s="72"/>
      <c r="I152" s="72" t="s">
        <v>162</v>
      </c>
      <c r="J152" s="67" t="s">
        <v>1192</v>
      </c>
      <c r="K152" s="72" t="s">
        <v>1820</v>
      </c>
      <c r="L152" s="72"/>
      <c r="M152" s="71" t="s">
        <v>1022</v>
      </c>
      <c r="N152" s="74">
        <v>2022.0</v>
      </c>
      <c r="O152" s="71" t="s">
        <v>999</v>
      </c>
      <c r="P152" s="71" t="s">
        <v>1810</v>
      </c>
      <c r="Q152" s="159" t="s">
        <v>961</v>
      </c>
      <c r="R152" s="144" t="s">
        <v>1055</v>
      </c>
      <c r="S152" s="27" t="s">
        <v>1869</v>
      </c>
      <c r="T152" s="114"/>
      <c r="U152" s="39" t="s">
        <v>1870</v>
      </c>
      <c r="V152" s="75" t="s">
        <v>1026</v>
      </c>
      <c r="W152" s="72" t="s">
        <v>1871</v>
      </c>
      <c r="X152" s="114"/>
      <c r="Y152" s="114"/>
      <c r="Z152" s="114"/>
      <c r="AA152" s="114"/>
      <c r="AB152" s="114"/>
      <c r="AD152" s="114"/>
      <c r="AE152" s="114"/>
      <c r="AF152" s="114"/>
      <c r="AG152" s="114"/>
      <c r="AH152" s="114"/>
      <c r="AI152" s="114"/>
      <c r="AJ152" s="114"/>
      <c r="AK152" s="114"/>
    </row>
    <row r="153" ht="14.25" customHeight="1">
      <c r="A153" s="26" t="s">
        <v>507</v>
      </c>
      <c r="B153" s="114" t="s">
        <v>628</v>
      </c>
      <c r="C153" s="114" t="s">
        <v>629</v>
      </c>
      <c r="D153" s="168" t="s">
        <v>1872</v>
      </c>
      <c r="E153" s="169" t="s">
        <v>1437</v>
      </c>
      <c r="F153" s="114" t="s">
        <v>49</v>
      </c>
      <c r="G153" s="72" t="s">
        <v>1873</v>
      </c>
      <c r="H153" s="72"/>
      <c r="I153" s="72" t="s">
        <v>162</v>
      </c>
      <c r="J153" s="69" t="s">
        <v>1874</v>
      </c>
      <c r="K153" s="72" t="s">
        <v>1005</v>
      </c>
      <c r="L153" s="72" t="s">
        <v>1875</v>
      </c>
      <c r="M153" s="71" t="s">
        <v>1022</v>
      </c>
      <c r="N153" s="74">
        <v>2025.0</v>
      </c>
      <c r="O153" s="71" t="s">
        <v>1336</v>
      </c>
      <c r="P153" s="71" t="s">
        <v>970</v>
      </c>
      <c r="Q153" s="159" t="s">
        <v>1876</v>
      </c>
      <c r="R153" s="144" t="s">
        <v>1877</v>
      </c>
      <c r="S153" s="90" t="s">
        <v>1878</v>
      </c>
      <c r="T153" s="114"/>
      <c r="U153" s="39" t="s">
        <v>1879</v>
      </c>
      <c r="V153" s="75" t="s">
        <v>930</v>
      </c>
      <c r="W153" s="114"/>
      <c r="X153" s="114"/>
      <c r="Y153" s="114"/>
      <c r="Z153" s="114"/>
      <c r="AA153" s="114"/>
      <c r="AB153" s="114"/>
      <c r="AD153" s="114"/>
      <c r="AE153" s="114"/>
      <c r="AF153" s="114"/>
      <c r="AG153" s="114"/>
      <c r="AH153" s="114"/>
      <c r="AI153" s="114"/>
      <c r="AJ153" s="114"/>
      <c r="AK153" s="114"/>
    </row>
    <row r="154" ht="12.0" customHeight="1">
      <c r="A154" s="26" t="s">
        <v>507</v>
      </c>
      <c r="B154" s="114" t="s">
        <v>712</v>
      </c>
      <c r="C154" s="114" t="s">
        <v>713</v>
      </c>
      <c r="D154" s="171" t="s">
        <v>1880</v>
      </c>
      <c r="E154" s="169" t="s">
        <v>1437</v>
      </c>
      <c r="F154" s="114" t="s">
        <v>49</v>
      </c>
      <c r="G154" s="72" t="s">
        <v>1258</v>
      </c>
      <c r="H154" s="72"/>
      <c r="I154" s="72" t="s">
        <v>162</v>
      </c>
      <c r="J154" s="69" t="s">
        <v>1881</v>
      </c>
      <c r="K154" s="72" t="s">
        <v>1005</v>
      </c>
      <c r="L154" s="72" t="s">
        <v>1882</v>
      </c>
      <c r="M154" s="71" t="s">
        <v>1022</v>
      </c>
      <c r="N154" s="74">
        <v>2025.0</v>
      </c>
      <c r="O154" s="71" t="s">
        <v>989</v>
      </c>
      <c r="P154" s="71" t="s">
        <v>970</v>
      </c>
      <c r="Q154" s="159" t="s">
        <v>1851</v>
      </c>
      <c r="R154" s="144" t="s">
        <v>1877</v>
      </c>
      <c r="S154" s="90" t="s">
        <v>1883</v>
      </c>
      <c r="T154" s="114"/>
      <c r="U154" s="39" t="s">
        <v>1884</v>
      </c>
      <c r="V154" s="75" t="s">
        <v>930</v>
      </c>
      <c r="W154" s="114"/>
      <c r="X154" s="114"/>
      <c r="Y154" s="114"/>
      <c r="Z154" s="114"/>
      <c r="AA154" s="114"/>
      <c r="AB154" s="114"/>
      <c r="AD154" s="114"/>
      <c r="AE154" s="114"/>
      <c r="AF154" s="114"/>
      <c r="AG154" s="114"/>
      <c r="AH154" s="114"/>
      <c r="AI154" s="114"/>
      <c r="AJ154" s="114"/>
      <c r="AK154" s="114"/>
    </row>
    <row r="155" ht="13.5" customHeight="1">
      <c r="A155" s="26" t="s">
        <v>507</v>
      </c>
      <c r="B155" s="114" t="s">
        <v>714</v>
      </c>
      <c r="C155" s="114" t="s">
        <v>715</v>
      </c>
      <c r="D155" s="168" t="s">
        <v>1885</v>
      </c>
      <c r="E155" s="169" t="s">
        <v>1437</v>
      </c>
      <c r="F155" s="114" t="s">
        <v>49</v>
      </c>
      <c r="G155" s="114" t="s">
        <v>1142</v>
      </c>
      <c r="H155" s="114"/>
      <c r="I155" s="72" t="s">
        <v>162</v>
      </c>
      <c r="J155" s="67" t="s">
        <v>985</v>
      </c>
      <c r="K155" s="72" t="s">
        <v>1005</v>
      </c>
      <c r="L155" s="72"/>
      <c r="M155" s="71" t="s">
        <v>998</v>
      </c>
      <c r="N155" s="74">
        <v>2025.0</v>
      </c>
      <c r="O155" s="71" t="s">
        <v>1580</v>
      </c>
      <c r="P155" s="71" t="s">
        <v>970</v>
      </c>
      <c r="Q155" s="159" t="s">
        <v>1851</v>
      </c>
      <c r="R155" s="144" t="s">
        <v>1418</v>
      </c>
      <c r="S155" s="90" t="s">
        <v>1886</v>
      </c>
      <c r="T155" s="114"/>
      <c r="U155" s="39" t="s">
        <v>1887</v>
      </c>
      <c r="V155" s="75" t="s">
        <v>930</v>
      </c>
      <c r="W155" s="114"/>
      <c r="X155" s="114"/>
      <c r="Y155" s="114"/>
      <c r="Z155" s="114"/>
      <c r="AA155" s="114"/>
      <c r="AB155" s="114"/>
      <c r="AD155" s="114"/>
      <c r="AE155" s="114"/>
      <c r="AF155" s="114"/>
      <c r="AG155" s="114"/>
      <c r="AH155" s="114"/>
      <c r="AI155" s="114"/>
      <c r="AJ155" s="114"/>
      <c r="AK155" s="114"/>
    </row>
    <row r="156" ht="12.75" customHeight="1">
      <c r="A156" s="26" t="s">
        <v>507</v>
      </c>
      <c r="B156" s="114" t="s">
        <v>769</v>
      </c>
      <c r="C156" s="114" t="s">
        <v>770</v>
      </c>
      <c r="D156" s="168" t="s">
        <v>1888</v>
      </c>
      <c r="E156" s="169" t="s">
        <v>1437</v>
      </c>
      <c r="F156" s="114" t="s">
        <v>49</v>
      </c>
      <c r="G156" s="72" t="s">
        <v>1258</v>
      </c>
      <c r="H156" s="72"/>
      <c r="I156" s="72" t="s">
        <v>162</v>
      </c>
      <c r="J156" s="69" t="s">
        <v>1889</v>
      </c>
      <c r="K156" s="72" t="s">
        <v>1005</v>
      </c>
      <c r="L156" s="72" t="s">
        <v>1006</v>
      </c>
      <c r="M156" s="71" t="s">
        <v>1307</v>
      </c>
      <c r="N156" s="74">
        <v>2025.0</v>
      </c>
      <c r="O156" s="71" t="s">
        <v>989</v>
      </c>
      <c r="P156" s="71" t="s">
        <v>970</v>
      </c>
      <c r="Q156" s="159" t="s">
        <v>1833</v>
      </c>
      <c r="R156" s="170" t="s">
        <v>1852</v>
      </c>
      <c r="S156" s="90" t="s">
        <v>1890</v>
      </c>
      <c r="T156" s="114"/>
      <c r="U156" s="39" t="s">
        <v>1891</v>
      </c>
      <c r="V156" s="75" t="s">
        <v>930</v>
      </c>
      <c r="W156" s="114"/>
      <c r="X156" s="114"/>
      <c r="Y156" s="114"/>
      <c r="Z156" s="114"/>
      <c r="AA156" s="114"/>
      <c r="AB156" s="114"/>
      <c r="AD156" s="114"/>
      <c r="AE156" s="114"/>
      <c r="AF156" s="114"/>
      <c r="AG156" s="114"/>
      <c r="AH156" s="114"/>
      <c r="AI156" s="114"/>
      <c r="AJ156" s="114"/>
      <c r="AK156" s="114"/>
    </row>
    <row r="157" ht="14.25" customHeight="1">
      <c r="A157" s="26" t="s">
        <v>507</v>
      </c>
      <c r="B157" s="114" t="s">
        <v>899</v>
      </c>
      <c r="C157" s="114" t="s">
        <v>900</v>
      </c>
      <c r="D157" s="168" t="s">
        <v>1892</v>
      </c>
      <c r="E157" s="169" t="s">
        <v>1437</v>
      </c>
      <c r="F157" s="114" t="s">
        <v>49</v>
      </c>
      <c r="G157" s="114" t="s">
        <v>1012</v>
      </c>
      <c r="H157" s="114"/>
      <c r="I157" s="72" t="s">
        <v>162</v>
      </c>
      <c r="J157" s="67" t="s">
        <v>985</v>
      </c>
      <c r="K157" s="72" t="s">
        <v>1893</v>
      </c>
      <c r="L157" s="72" t="s">
        <v>995</v>
      </c>
      <c r="M157" s="71" t="s">
        <v>1062</v>
      </c>
      <c r="N157" s="74">
        <v>2024.0</v>
      </c>
      <c r="O157" s="71" t="s">
        <v>989</v>
      </c>
      <c r="P157" s="71" t="s">
        <v>1185</v>
      </c>
      <c r="Q157" s="159" t="s">
        <v>961</v>
      </c>
      <c r="R157" s="144" t="s">
        <v>1055</v>
      </c>
      <c r="S157" s="90" t="s">
        <v>1894</v>
      </c>
      <c r="T157" s="114"/>
      <c r="U157" s="39" t="s">
        <v>1895</v>
      </c>
      <c r="V157" s="75" t="s">
        <v>1026</v>
      </c>
      <c r="W157" s="114"/>
      <c r="X157" s="114"/>
      <c r="Y157" s="114"/>
      <c r="Z157" s="114"/>
      <c r="AA157" s="114"/>
      <c r="AB157" s="114"/>
      <c r="AD157" s="114"/>
      <c r="AE157" s="114"/>
      <c r="AF157" s="114"/>
      <c r="AG157" s="114"/>
      <c r="AH157" s="114"/>
      <c r="AI157" s="114"/>
      <c r="AJ157" s="114"/>
      <c r="AK157" s="114"/>
    </row>
    <row r="158" ht="15.75" customHeight="1">
      <c r="A158" s="26" t="s">
        <v>507</v>
      </c>
      <c r="B158" s="114" t="s">
        <v>854</v>
      </c>
      <c r="C158" s="114" t="s">
        <v>855</v>
      </c>
      <c r="D158" s="171" t="s">
        <v>1896</v>
      </c>
      <c r="E158" s="169" t="s">
        <v>1437</v>
      </c>
      <c r="F158" s="114" t="s">
        <v>49</v>
      </c>
      <c r="G158" s="114" t="s">
        <v>1012</v>
      </c>
      <c r="H158" s="114"/>
      <c r="I158" s="72" t="s">
        <v>964</v>
      </c>
      <c r="J158" s="67" t="s">
        <v>985</v>
      </c>
      <c r="K158" s="72" t="s">
        <v>1897</v>
      </c>
      <c r="L158" s="72" t="s">
        <v>967</v>
      </c>
      <c r="M158" s="71" t="s">
        <v>1087</v>
      </c>
      <c r="N158" s="74">
        <v>2024.0</v>
      </c>
      <c r="O158" s="71" t="s">
        <v>989</v>
      </c>
      <c r="P158" s="71" t="s">
        <v>970</v>
      </c>
      <c r="Q158" s="159" t="s">
        <v>1851</v>
      </c>
      <c r="R158" s="144" t="s">
        <v>1877</v>
      </c>
      <c r="S158" s="90" t="s">
        <v>1898</v>
      </c>
      <c r="T158" s="114"/>
      <c r="U158" s="39" t="s">
        <v>1899</v>
      </c>
      <c r="V158" s="75" t="s">
        <v>1026</v>
      </c>
      <c r="W158" s="72" t="s">
        <v>1900</v>
      </c>
      <c r="X158" s="114"/>
      <c r="Y158" s="114"/>
      <c r="Z158" s="114"/>
      <c r="AA158" s="114"/>
      <c r="AB158" s="114"/>
      <c r="AD158" s="114"/>
      <c r="AE158" s="114"/>
      <c r="AF158" s="114"/>
      <c r="AG158" s="114"/>
      <c r="AH158" s="114"/>
      <c r="AI158" s="114"/>
      <c r="AJ158" s="114"/>
      <c r="AK158" s="114"/>
    </row>
    <row r="159" ht="17.25" customHeight="1">
      <c r="A159" s="26" t="s">
        <v>507</v>
      </c>
      <c r="B159" s="114" t="s">
        <v>668</v>
      </c>
      <c r="C159" s="114" t="s">
        <v>669</v>
      </c>
      <c r="D159" s="168" t="s">
        <v>1901</v>
      </c>
      <c r="E159" s="169" t="s">
        <v>1437</v>
      </c>
      <c r="F159" s="114" t="s">
        <v>49</v>
      </c>
      <c r="G159" s="72" t="s">
        <v>1502</v>
      </c>
      <c r="H159" s="72"/>
      <c r="I159" s="72" t="s">
        <v>964</v>
      </c>
      <c r="J159" s="69" t="s">
        <v>1902</v>
      </c>
      <c r="K159" s="72" t="s">
        <v>1235</v>
      </c>
      <c r="L159" s="72"/>
      <c r="M159" s="71" t="s">
        <v>1022</v>
      </c>
      <c r="N159" s="74">
        <v>2025.0</v>
      </c>
      <c r="O159" s="71" t="s">
        <v>989</v>
      </c>
      <c r="P159" s="71" t="s">
        <v>970</v>
      </c>
      <c r="Q159" s="159" t="s">
        <v>961</v>
      </c>
      <c r="R159" s="144" t="s">
        <v>1048</v>
      </c>
      <c r="S159" s="90" t="s">
        <v>1903</v>
      </c>
      <c r="T159" s="114"/>
      <c r="U159" s="39" t="s">
        <v>1904</v>
      </c>
      <c r="V159" s="75" t="s">
        <v>1026</v>
      </c>
      <c r="W159" s="114"/>
      <c r="X159" s="114"/>
      <c r="Y159" s="114"/>
      <c r="Z159" s="114"/>
      <c r="AA159" s="114"/>
      <c r="AB159" s="114"/>
      <c r="AD159" s="114"/>
      <c r="AE159" s="114"/>
      <c r="AF159" s="114"/>
      <c r="AG159" s="114"/>
      <c r="AH159" s="114"/>
      <c r="AI159" s="114"/>
      <c r="AJ159" s="114"/>
      <c r="AK159" s="114"/>
    </row>
    <row r="160" ht="12.75" customHeight="1">
      <c r="A160" s="26" t="s">
        <v>507</v>
      </c>
      <c r="B160" s="114" t="s">
        <v>557</v>
      </c>
      <c r="C160" s="114" t="s">
        <v>558</v>
      </c>
      <c r="D160" s="168" t="s">
        <v>1905</v>
      </c>
      <c r="E160" s="169" t="s">
        <v>1437</v>
      </c>
      <c r="F160" s="114" t="s">
        <v>559</v>
      </c>
      <c r="G160" s="114" t="s">
        <v>1906</v>
      </c>
      <c r="H160" s="114"/>
      <c r="I160" s="72" t="s">
        <v>162</v>
      </c>
      <c r="J160" s="67" t="s">
        <v>985</v>
      </c>
      <c r="K160" s="72" t="s">
        <v>1005</v>
      </c>
      <c r="L160" s="72" t="s">
        <v>1014</v>
      </c>
      <c r="M160" s="71" t="s">
        <v>1022</v>
      </c>
      <c r="N160" s="74">
        <v>2024.0</v>
      </c>
      <c r="O160" s="71" t="s">
        <v>989</v>
      </c>
      <c r="P160" s="71" t="s">
        <v>970</v>
      </c>
      <c r="Q160" s="159" t="s">
        <v>961</v>
      </c>
      <c r="R160" s="144" t="s">
        <v>1877</v>
      </c>
      <c r="S160" s="90" t="s">
        <v>1907</v>
      </c>
      <c r="T160" s="114"/>
      <c r="U160" s="39" t="s">
        <v>1908</v>
      </c>
      <c r="V160" s="75" t="s">
        <v>1198</v>
      </c>
      <c r="W160" s="114"/>
      <c r="X160" s="114"/>
      <c r="Y160" s="114"/>
      <c r="Z160" s="114"/>
      <c r="AA160" s="114"/>
      <c r="AB160" s="114"/>
      <c r="AD160" s="114"/>
      <c r="AE160" s="114"/>
      <c r="AF160" s="114"/>
      <c r="AG160" s="114"/>
      <c r="AH160" s="114"/>
      <c r="AI160" s="114"/>
      <c r="AJ160" s="114"/>
      <c r="AK160" s="114"/>
    </row>
    <row r="161" ht="13.5" customHeight="1">
      <c r="A161" s="26" t="s">
        <v>507</v>
      </c>
      <c r="B161" s="114" t="s">
        <v>563</v>
      </c>
      <c r="C161" s="72" t="s">
        <v>564</v>
      </c>
      <c r="D161" s="168" t="s">
        <v>1909</v>
      </c>
      <c r="E161" s="169" t="s">
        <v>1437</v>
      </c>
      <c r="F161" s="114" t="s">
        <v>559</v>
      </c>
      <c r="G161" s="72" t="s">
        <v>984</v>
      </c>
      <c r="H161" s="72"/>
      <c r="I161" s="72" t="s">
        <v>162</v>
      </c>
      <c r="J161" s="67" t="s">
        <v>985</v>
      </c>
      <c r="K161" s="72" t="s">
        <v>1005</v>
      </c>
      <c r="L161" s="72" t="s">
        <v>1014</v>
      </c>
      <c r="M161" s="71" t="s">
        <v>1022</v>
      </c>
      <c r="N161" s="74">
        <v>2024.0</v>
      </c>
      <c r="O161" s="71" t="s">
        <v>989</v>
      </c>
      <c r="P161" s="71" t="s">
        <v>970</v>
      </c>
      <c r="Q161" s="159" t="s">
        <v>961</v>
      </c>
      <c r="R161" s="144" t="s">
        <v>1418</v>
      </c>
      <c r="S161" s="90" t="s">
        <v>1910</v>
      </c>
      <c r="T161" s="114"/>
      <c r="U161" s="39" t="s">
        <v>1911</v>
      </c>
      <c r="V161" s="75" t="s">
        <v>1198</v>
      </c>
      <c r="W161" s="114"/>
      <c r="X161" s="114"/>
      <c r="Y161" s="114"/>
      <c r="Z161" s="114"/>
      <c r="AA161" s="114"/>
      <c r="AB161" s="114"/>
      <c r="AD161" s="114"/>
      <c r="AE161" s="114"/>
      <c r="AF161" s="114"/>
      <c r="AG161" s="114"/>
      <c r="AH161" s="114"/>
      <c r="AI161" s="114"/>
      <c r="AJ161" s="114"/>
      <c r="AK161" s="114"/>
    </row>
    <row r="162" ht="15.75" customHeight="1">
      <c r="A162" s="26" t="s">
        <v>507</v>
      </c>
      <c r="B162" s="114" t="s">
        <v>699</v>
      </c>
      <c r="C162" s="114" t="s">
        <v>700</v>
      </c>
      <c r="D162" s="171" t="s">
        <v>1912</v>
      </c>
      <c r="E162" s="169" t="s">
        <v>1437</v>
      </c>
      <c r="F162" s="114" t="s">
        <v>559</v>
      </c>
      <c r="G162" s="114" t="s">
        <v>1142</v>
      </c>
      <c r="H162" s="114"/>
      <c r="I162" s="72" t="s">
        <v>964</v>
      </c>
      <c r="J162" s="67" t="s">
        <v>1192</v>
      </c>
      <c r="K162" s="72" t="s">
        <v>1131</v>
      </c>
      <c r="L162" s="72" t="s">
        <v>1913</v>
      </c>
      <c r="M162" s="71" t="s">
        <v>1367</v>
      </c>
      <c r="N162" s="74">
        <v>2025.0</v>
      </c>
      <c r="O162" s="71" t="s">
        <v>999</v>
      </c>
      <c r="P162" s="71" t="s">
        <v>1914</v>
      </c>
      <c r="Q162" s="159" t="s">
        <v>961</v>
      </c>
      <c r="R162" s="144" t="s">
        <v>1915</v>
      </c>
      <c r="S162" s="90" t="s">
        <v>1916</v>
      </c>
      <c r="T162" s="114"/>
      <c r="U162" s="39" t="s">
        <v>1917</v>
      </c>
      <c r="V162" s="75" t="s">
        <v>961</v>
      </c>
      <c r="W162" s="72"/>
      <c r="X162" s="114"/>
      <c r="Y162" s="114"/>
      <c r="Z162" s="114"/>
      <c r="AA162" s="114"/>
      <c r="AB162" s="114"/>
      <c r="AD162" s="114"/>
      <c r="AE162" s="114"/>
      <c r="AF162" s="114"/>
      <c r="AG162" s="114"/>
      <c r="AH162" s="114"/>
      <c r="AI162" s="114"/>
      <c r="AJ162" s="114"/>
      <c r="AK162" s="114"/>
    </row>
    <row r="163" ht="14.25" customHeight="1">
      <c r="A163" s="26" t="s">
        <v>507</v>
      </c>
      <c r="B163" s="114" t="s">
        <v>772</v>
      </c>
      <c r="C163" s="114" t="s">
        <v>773</v>
      </c>
      <c r="D163" s="168" t="s">
        <v>1918</v>
      </c>
      <c r="E163" s="169" t="s">
        <v>1437</v>
      </c>
      <c r="F163" s="114" t="s">
        <v>559</v>
      </c>
      <c r="G163" s="72" t="s">
        <v>1258</v>
      </c>
      <c r="H163" s="72"/>
      <c r="I163" s="72" t="s">
        <v>964</v>
      </c>
      <c r="J163" s="69" t="s">
        <v>1919</v>
      </c>
      <c r="K163" s="72" t="s">
        <v>1005</v>
      </c>
      <c r="L163" s="72" t="s">
        <v>1920</v>
      </c>
      <c r="M163" s="71" t="s">
        <v>1022</v>
      </c>
      <c r="N163" s="74">
        <v>2025.0</v>
      </c>
      <c r="O163" s="71" t="s">
        <v>989</v>
      </c>
      <c r="P163" s="71" t="s">
        <v>970</v>
      </c>
      <c r="Q163" s="159" t="s">
        <v>1921</v>
      </c>
      <c r="R163" s="170" t="s">
        <v>1922</v>
      </c>
      <c r="S163" s="90" t="s">
        <v>1923</v>
      </c>
      <c r="T163" s="114"/>
      <c r="U163" s="39" t="s">
        <v>1924</v>
      </c>
      <c r="V163" s="75" t="s">
        <v>930</v>
      </c>
      <c r="W163" s="114"/>
      <c r="X163" s="114"/>
      <c r="Y163" s="114"/>
      <c r="Z163" s="114"/>
      <c r="AA163" s="114"/>
      <c r="AB163" s="114"/>
      <c r="AD163" s="114"/>
      <c r="AE163" s="114"/>
      <c r="AF163" s="114"/>
      <c r="AG163" s="114"/>
      <c r="AH163" s="114"/>
      <c r="AI163" s="114"/>
      <c r="AJ163" s="114"/>
      <c r="AK163" s="114"/>
    </row>
    <row r="164" ht="16.5" customHeight="1">
      <c r="A164" s="26" t="s">
        <v>507</v>
      </c>
      <c r="B164" s="114" t="s">
        <v>886</v>
      </c>
      <c r="C164" s="114" t="s">
        <v>887</v>
      </c>
      <c r="D164" s="168" t="s">
        <v>1925</v>
      </c>
      <c r="E164" s="169" t="s">
        <v>1437</v>
      </c>
      <c r="F164" s="114" t="s">
        <v>559</v>
      </c>
      <c r="G164" s="72" t="s">
        <v>1926</v>
      </c>
      <c r="H164" s="72"/>
      <c r="I164" s="72" t="s">
        <v>162</v>
      </c>
      <c r="J164" s="67" t="s">
        <v>1192</v>
      </c>
      <c r="K164" s="72" t="s">
        <v>1131</v>
      </c>
      <c r="L164" s="72" t="s">
        <v>1927</v>
      </c>
      <c r="M164" s="71" t="s">
        <v>1928</v>
      </c>
      <c r="N164" s="74">
        <v>2018.0</v>
      </c>
      <c r="O164" s="71" t="s">
        <v>989</v>
      </c>
      <c r="P164" s="71" t="s">
        <v>1481</v>
      </c>
      <c r="Q164" s="159" t="s">
        <v>961</v>
      </c>
      <c r="R164" s="144" t="s">
        <v>1929</v>
      </c>
      <c r="S164" s="90" t="s">
        <v>1930</v>
      </c>
      <c r="T164" s="114"/>
      <c r="U164" s="39" t="s">
        <v>1931</v>
      </c>
      <c r="V164" s="75" t="s">
        <v>961</v>
      </c>
      <c r="W164" s="72"/>
      <c r="X164" s="114"/>
      <c r="Y164" s="114"/>
      <c r="Z164" s="114"/>
      <c r="AA164" s="114"/>
      <c r="AB164" s="114"/>
      <c r="AD164" s="114"/>
      <c r="AE164" s="114"/>
      <c r="AF164" s="114"/>
      <c r="AG164" s="114"/>
      <c r="AH164" s="114"/>
      <c r="AI164" s="114"/>
      <c r="AJ164" s="114"/>
      <c r="AK164" s="114"/>
    </row>
    <row r="165" ht="14.25" customHeight="1">
      <c r="A165" s="26" t="s">
        <v>507</v>
      </c>
      <c r="B165" s="114" t="s">
        <v>560</v>
      </c>
      <c r="C165" s="114" t="s">
        <v>561</v>
      </c>
      <c r="D165" s="168" t="s">
        <v>1932</v>
      </c>
      <c r="E165" s="169" t="s">
        <v>1437</v>
      </c>
      <c r="F165" s="72" t="s">
        <v>49</v>
      </c>
      <c r="G165" s="72" t="s">
        <v>1414</v>
      </c>
      <c r="H165" s="72"/>
      <c r="I165" s="72" t="s">
        <v>162</v>
      </c>
      <c r="J165" s="67" t="s">
        <v>965</v>
      </c>
      <c r="K165" s="114"/>
      <c r="L165" s="72" t="s">
        <v>967</v>
      </c>
      <c r="M165" s="71" t="s">
        <v>1022</v>
      </c>
      <c r="N165" s="74">
        <v>2024.0</v>
      </c>
      <c r="O165" s="71" t="s">
        <v>1933</v>
      </c>
      <c r="P165" s="71" t="s">
        <v>1194</v>
      </c>
      <c r="Q165" s="159" t="s">
        <v>961</v>
      </c>
      <c r="R165" s="144" t="s">
        <v>1055</v>
      </c>
      <c r="S165" s="90" t="s">
        <v>1934</v>
      </c>
      <c r="T165" s="114"/>
      <c r="U165" s="39" t="s">
        <v>1935</v>
      </c>
      <c r="V165" s="75" t="s">
        <v>1026</v>
      </c>
      <c r="W165" s="114"/>
      <c r="X165" s="114"/>
      <c r="Y165" s="114"/>
      <c r="Z165" s="114"/>
      <c r="AA165" s="114"/>
      <c r="AB165" s="114"/>
      <c r="AD165" s="114"/>
      <c r="AE165" s="114"/>
      <c r="AF165" s="114"/>
      <c r="AG165" s="114"/>
      <c r="AH165" s="114"/>
      <c r="AI165" s="114"/>
      <c r="AJ165" s="114"/>
      <c r="AK165" s="114"/>
    </row>
    <row r="166" ht="14.25" customHeight="1">
      <c r="A166" s="26" t="s">
        <v>507</v>
      </c>
      <c r="B166" s="114" t="s">
        <v>566</v>
      </c>
      <c r="C166" s="114" t="s">
        <v>567</v>
      </c>
      <c r="D166" s="168" t="s">
        <v>1936</v>
      </c>
      <c r="E166" s="169" t="s">
        <v>1437</v>
      </c>
      <c r="F166" s="72" t="s">
        <v>49</v>
      </c>
      <c r="G166" s="72" t="s">
        <v>1926</v>
      </c>
      <c r="H166" s="72"/>
      <c r="I166" s="72" t="s">
        <v>964</v>
      </c>
      <c r="J166" s="67" t="s">
        <v>1060</v>
      </c>
      <c r="K166" s="90" t="s">
        <v>1131</v>
      </c>
      <c r="L166" s="72"/>
      <c r="M166" s="71" t="s">
        <v>1407</v>
      </c>
      <c r="N166" s="74">
        <v>2023.0</v>
      </c>
      <c r="O166" s="71" t="s">
        <v>978</v>
      </c>
      <c r="P166" s="71" t="s">
        <v>970</v>
      </c>
      <c r="Q166" s="159" t="s">
        <v>961</v>
      </c>
      <c r="R166" s="144" t="s">
        <v>1418</v>
      </c>
      <c r="S166" s="90" t="s">
        <v>1937</v>
      </c>
      <c r="T166" s="114"/>
      <c r="U166" s="39" t="s">
        <v>1938</v>
      </c>
      <c r="V166" s="75" t="s">
        <v>930</v>
      </c>
      <c r="W166" s="114"/>
      <c r="X166" s="114"/>
      <c r="Y166" s="114"/>
      <c r="Z166" s="114"/>
      <c r="AA166" s="114"/>
      <c r="AB166" s="114"/>
      <c r="AD166" s="114"/>
      <c r="AE166" s="114"/>
      <c r="AF166" s="114"/>
      <c r="AG166" s="114"/>
      <c r="AH166" s="114"/>
      <c r="AI166" s="114"/>
      <c r="AJ166" s="114"/>
      <c r="AK166" s="114"/>
    </row>
    <row r="167" ht="14.25" customHeight="1">
      <c r="A167" s="26" t="s">
        <v>507</v>
      </c>
      <c r="B167" s="72" t="s">
        <v>1939</v>
      </c>
      <c r="C167" s="172" t="s">
        <v>1940</v>
      </c>
      <c r="D167" s="168" t="s">
        <v>1941</v>
      </c>
      <c r="E167" s="169" t="s">
        <v>1198</v>
      </c>
      <c r="F167" s="114" t="s">
        <v>559</v>
      </c>
      <c r="G167" s="72" t="s">
        <v>1942</v>
      </c>
      <c r="H167" s="72"/>
      <c r="I167" s="72" t="s">
        <v>162</v>
      </c>
      <c r="J167" s="67" t="s">
        <v>1192</v>
      </c>
      <c r="K167" s="90" t="s">
        <v>1943</v>
      </c>
      <c r="L167" s="72"/>
      <c r="M167" s="71" t="s">
        <v>1022</v>
      </c>
      <c r="N167" s="74">
        <v>2025.0</v>
      </c>
      <c r="O167" s="71" t="s">
        <v>1944</v>
      </c>
      <c r="P167" s="71" t="s">
        <v>1945</v>
      </c>
      <c r="Q167" s="159" t="s">
        <v>961</v>
      </c>
      <c r="R167" s="144" t="s">
        <v>1946</v>
      </c>
      <c r="S167" s="90" t="s">
        <v>1947</v>
      </c>
      <c r="T167" s="114"/>
      <c r="U167" s="39" t="s">
        <v>1948</v>
      </c>
      <c r="V167" s="75" t="s">
        <v>1198</v>
      </c>
      <c r="W167" s="114"/>
      <c r="X167" s="114"/>
      <c r="Y167" s="114"/>
      <c r="Z167" s="114"/>
      <c r="AA167" s="114"/>
      <c r="AB167" s="114"/>
      <c r="AD167" s="114"/>
      <c r="AE167" s="114"/>
      <c r="AF167" s="114"/>
      <c r="AG167" s="114"/>
      <c r="AH167" s="114"/>
      <c r="AI167" s="114"/>
      <c r="AJ167" s="114"/>
      <c r="AK167" s="114"/>
    </row>
    <row r="168" ht="18.0" customHeight="1">
      <c r="A168" s="26" t="s">
        <v>507</v>
      </c>
      <c r="B168" s="72" t="s">
        <v>1949</v>
      </c>
      <c r="C168" s="172" t="s">
        <v>1950</v>
      </c>
      <c r="D168" s="168" t="s">
        <v>1951</v>
      </c>
      <c r="E168" s="169" t="s">
        <v>1198</v>
      </c>
      <c r="F168" s="114" t="s">
        <v>559</v>
      </c>
      <c r="G168" s="72" t="s">
        <v>976</v>
      </c>
      <c r="H168" s="72"/>
      <c r="I168" s="72" t="s">
        <v>1952</v>
      </c>
      <c r="J168" s="67" t="s">
        <v>1192</v>
      </c>
      <c r="K168" s="72" t="s">
        <v>977</v>
      </c>
      <c r="L168" s="72"/>
      <c r="M168" s="71" t="s">
        <v>1022</v>
      </c>
      <c r="N168" s="74">
        <v>2025.0</v>
      </c>
      <c r="O168" s="71" t="s">
        <v>620</v>
      </c>
      <c r="P168" s="71" t="s">
        <v>1945</v>
      </c>
      <c r="Q168" s="159" t="s">
        <v>961</v>
      </c>
      <c r="R168" s="144" t="s">
        <v>1877</v>
      </c>
      <c r="S168" s="90" t="s">
        <v>1953</v>
      </c>
      <c r="T168" s="114"/>
      <c r="U168" s="39" t="s">
        <v>1954</v>
      </c>
      <c r="V168" s="75" t="s">
        <v>1198</v>
      </c>
      <c r="W168" s="114"/>
      <c r="X168" s="114"/>
      <c r="Y168" s="114"/>
      <c r="Z168" s="114"/>
      <c r="AA168" s="114"/>
      <c r="AB168" s="114"/>
      <c r="AD168" s="114"/>
      <c r="AE168" s="114"/>
      <c r="AF168" s="114"/>
      <c r="AG168" s="114"/>
      <c r="AH168" s="114"/>
      <c r="AI168" s="114"/>
      <c r="AJ168" s="114"/>
      <c r="AK168" s="114"/>
    </row>
    <row r="169" ht="17.25" customHeight="1">
      <c r="A169" s="26" t="s">
        <v>507</v>
      </c>
      <c r="B169" s="72" t="s">
        <v>1955</v>
      </c>
      <c r="C169" s="173" t="s">
        <v>1956</v>
      </c>
      <c r="D169" s="168" t="s">
        <v>1957</v>
      </c>
      <c r="E169" s="169" t="s">
        <v>1198</v>
      </c>
      <c r="F169" s="114" t="s">
        <v>559</v>
      </c>
      <c r="G169" s="72" t="s">
        <v>976</v>
      </c>
      <c r="H169" s="72"/>
      <c r="I169" s="72" t="s">
        <v>964</v>
      </c>
      <c r="J169" s="67" t="s">
        <v>1060</v>
      </c>
      <c r="K169" s="90" t="s">
        <v>977</v>
      </c>
      <c r="L169" s="72"/>
      <c r="M169" s="71" t="s">
        <v>1022</v>
      </c>
      <c r="N169" s="74">
        <v>2025.0</v>
      </c>
      <c r="O169" s="71" t="s">
        <v>1553</v>
      </c>
      <c r="P169" s="71" t="s">
        <v>1945</v>
      </c>
      <c r="Q169" s="159" t="s">
        <v>961</v>
      </c>
      <c r="R169" s="144" t="s">
        <v>1055</v>
      </c>
      <c r="S169" s="90" t="s">
        <v>1958</v>
      </c>
      <c r="T169" s="72" t="s">
        <v>1959</v>
      </c>
      <c r="U169" s="39" t="s">
        <v>1960</v>
      </c>
      <c r="V169" s="75" t="s">
        <v>1198</v>
      </c>
      <c r="W169" s="114"/>
      <c r="X169" s="114"/>
      <c r="Y169" s="114"/>
      <c r="Z169" s="114"/>
      <c r="AA169" s="114"/>
      <c r="AB169" s="114"/>
      <c r="AD169" s="114"/>
      <c r="AE169" s="114"/>
      <c r="AF169" s="114"/>
      <c r="AG169" s="114"/>
      <c r="AH169" s="114"/>
      <c r="AI169" s="114"/>
      <c r="AJ169" s="114"/>
      <c r="AK169" s="114"/>
    </row>
    <row r="170" ht="16.5" customHeight="1">
      <c r="A170" s="132" t="s">
        <v>261</v>
      </c>
      <c r="B170" s="133" t="s">
        <v>415</v>
      </c>
      <c r="C170" s="133" t="s">
        <v>416</v>
      </c>
      <c r="D170" s="174" t="s">
        <v>1961</v>
      </c>
      <c r="E170" s="132" t="s">
        <v>1437</v>
      </c>
      <c r="F170" s="133" t="s">
        <v>49</v>
      </c>
      <c r="G170" s="132" t="s">
        <v>984</v>
      </c>
      <c r="H170" s="132"/>
      <c r="I170" s="132" t="s">
        <v>1033</v>
      </c>
      <c r="J170" s="131" t="s">
        <v>1034</v>
      </c>
      <c r="K170" s="175" t="s">
        <v>1005</v>
      </c>
      <c r="L170" s="132" t="s">
        <v>967</v>
      </c>
      <c r="M170" s="165" t="s">
        <v>1022</v>
      </c>
      <c r="N170" s="130">
        <v>2022.0</v>
      </c>
      <c r="O170" s="165" t="s">
        <v>989</v>
      </c>
      <c r="P170" s="165" t="s">
        <v>970</v>
      </c>
      <c r="Q170" s="131" t="s">
        <v>1461</v>
      </c>
      <c r="R170" s="176" t="s">
        <v>1852</v>
      </c>
      <c r="S170" s="176" t="s">
        <v>1962</v>
      </c>
      <c r="T170" s="133"/>
      <c r="U170" s="134" t="s">
        <v>1963</v>
      </c>
      <c r="V170" s="75" t="s">
        <v>930</v>
      </c>
      <c r="W170" s="133"/>
      <c r="X170" s="133"/>
      <c r="Y170" s="133"/>
      <c r="Z170" s="133"/>
      <c r="AA170" s="133"/>
      <c r="AB170" s="133"/>
      <c r="AC170" s="133"/>
      <c r="AD170" s="133"/>
      <c r="AE170" s="133"/>
      <c r="AF170" s="37"/>
      <c r="AG170" s="37"/>
      <c r="AH170" s="37"/>
      <c r="AI170" s="37"/>
      <c r="AJ170" s="37"/>
      <c r="AK170" s="37"/>
    </row>
    <row r="171" ht="14.25" customHeight="1">
      <c r="A171" s="26" t="s">
        <v>261</v>
      </c>
      <c r="B171" s="37" t="s">
        <v>424</v>
      </c>
      <c r="C171" s="37" t="s">
        <v>425</v>
      </c>
      <c r="D171" s="118" t="s">
        <v>1964</v>
      </c>
      <c r="E171" s="26" t="s">
        <v>1437</v>
      </c>
      <c r="F171" s="37" t="s">
        <v>49</v>
      </c>
      <c r="G171" s="26" t="s">
        <v>1965</v>
      </c>
      <c r="H171" s="26"/>
      <c r="I171" s="72" t="s">
        <v>964</v>
      </c>
      <c r="J171" s="177" t="s">
        <v>1966</v>
      </c>
      <c r="K171" s="26" t="s">
        <v>1967</v>
      </c>
      <c r="L171" s="26" t="s">
        <v>1968</v>
      </c>
      <c r="M171" s="71" t="s">
        <v>1015</v>
      </c>
      <c r="N171" s="74">
        <v>2022.0</v>
      </c>
      <c r="O171" s="71" t="s">
        <v>989</v>
      </c>
      <c r="P171" s="71" t="s">
        <v>970</v>
      </c>
      <c r="Q171" s="67" t="s">
        <v>1265</v>
      </c>
      <c r="R171" s="178" t="s">
        <v>1048</v>
      </c>
      <c r="S171" s="179" t="s">
        <v>1969</v>
      </c>
      <c r="T171" s="37"/>
      <c r="U171" s="39" t="s">
        <v>1970</v>
      </c>
      <c r="V171" s="75" t="s">
        <v>1026</v>
      </c>
      <c r="W171" s="37"/>
      <c r="X171" s="37"/>
      <c r="Y171" s="37"/>
      <c r="Z171" s="37"/>
      <c r="AA171" s="37"/>
      <c r="AB171" s="37"/>
      <c r="AC171" s="37"/>
      <c r="AD171" s="37"/>
      <c r="AE171" s="37"/>
      <c r="AF171" s="37"/>
      <c r="AG171" s="37"/>
      <c r="AH171" s="37"/>
      <c r="AI171" s="37"/>
      <c r="AJ171" s="37"/>
      <c r="AK171" s="37"/>
    </row>
    <row r="172" ht="15.0" customHeight="1">
      <c r="A172" s="26" t="s">
        <v>261</v>
      </c>
      <c r="B172" s="37" t="s">
        <v>258</v>
      </c>
      <c r="C172" s="37" t="s">
        <v>259</v>
      </c>
      <c r="D172" s="180" t="s">
        <v>1971</v>
      </c>
      <c r="E172" s="26" t="s">
        <v>1437</v>
      </c>
      <c r="F172" s="37" t="s">
        <v>49</v>
      </c>
      <c r="G172" s="26" t="s">
        <v>1414</v>
      </c>
      <c r="H172" s="26"/>
      <c r="I172" s="72" t="s">
        <v>964</v>
      </c>
      <c r="J172" s="67" t="s">
        <v>1192</v>
      </c>
      <c r="K172" s="26" t="s">
        <v>1972</v>
      </c>
      <c r="L172" s="26" t="s">
        <v>1973</v>
      </c>
      <c r="M172" s="71" t="s">
        <v>1348</v>
      </c>
      <c r="N172" s="74">
        <v>2024.0</v>
      </c>
      <c r="O172" s="71" t="s">
        <v>1974</v>
      </c>
      <c r="P172" s="71" t="s">
        <v>979</v>
      </c>
      <c r="Q172" s="67" t="s">
        <v>961</v>
      </c>
      <c r="R172" s="178" t="s">
        <v>1048</v>
      </c>
      <c r="S172" s="179" t="s">
        <v>1975</v>
      </c>
      <c r="T172" s="37"/>
      <c r="U172" s="39" t="s">
        <v>1976</v>
      </c>
      <c r="V172" s="75" t="s">
        <v>1026</v>
      </c>
      <c r="W172" s="37"/>
      <c r="X172" s="37"/>
      <c r="Y172" s="37"/>
      <c r="Z172" s="37"/>
      <c r="AA172" s="37"/>
      <c r="AB172" s="37"/>
      <c r="AC172" s="37"/>
      <c r="AD172" s="37"/>
      <c r="AE172" s="37"/>
      <c r="AF172" s="37"/>
      <c r="AG172" s="37"/>
      <c r="AH172" s="37"/>
      <c r="AI172" s="37"/>
      <c r="AJ172" s="37"/>
      <c r="AK172" s="37"/>
    </row>
    <row r="173" ht="14.25" customHeight="1">
      <c r="A173" s="26" t="s">
        <v>261</v>
      </c>
      <c r="B173" s="122" t="s">
        <v>262</v>
      </c>
      <c r="C173" s="122" t="s">
        <v>263</v>
      </c>
      <c r="D173" s="181" t="s">
        <v>1977</v>
      </c>
      <c r="E173" s="28" t="s">
        <v>1437</v>
      </c>
      <c r="F173" s="122" t="s">
        <v>49</v>
      </c>
      <c r="G173" s="28" t="s">
        <v>1101</v>
      </c>
      <c r="H173" s="28"/>
      <c r="I173" s="28" t="s">
        <v>162</v>
      </c>
      <c r="J173" s="177" t="s">
        <v>1978</v>
      </c>
      <c r="K173" s="28" t="s">
        <v>1568</v>
      </c>
      <c r="L173" s="28" t="s">
        <v>1882</v>
      </c>
      <c r="M173" s="87" t="s">
        <v>1022</v>
      </c>
      <c r="N173" s="74">
        <v>2024.0</v>
      </c>
      <c r="O173" s="71" t="s">
        <v>989</v>
      </c>
      <c r="P173" s="71" t="s">
        <v>970</v>
      </c>
      <c r="Q173" s="76" t="s">
        <v>1265</v>
      </c>
      <c r="R173" s="182" t="s">
        <v>1877</v>
      </c>
      <c r="S173" s="183" t="s">
        <v>1886</v>
      </c>
      <c r="T173" s="122"/>
      <c r="U173" s="39" t="s">
        <v>1979</v>
      </c>
      <c r="V173" s="75" t="s">
        <v>1026</v>
      </c>
      <c r="W173" s="37"/>
      <c r="X173" s="37"/>
      <c r="Y173" s="37"/>
      <c r="Z173" s="37"/>
      <c r="AA173" s="37"/>
      <c r="AB173" s="37"/>
      <c r="AC173" s="37"/>
      <c r="AD173" s="37"/>
      <c r="AE173" s="37"/>
      <c r="AF173" s="37"/>
      <c r="AG173" s="37"/>
      <c r="AH173" s="37"/>
      <c r="AI173" s="37"/>
      <c r="AJ173" s="37"/>
      <c r="AK173" s="37"/>
    </row>
    <row r="174" ht="14.25" customHeight="1">
      <c r="A174" s="26" t="s">
        <v>261</v>
      </c>
      <c r="B174" s="37" t="s">
        <v>479</v>
      </c>
      <c r="C174" s="37" t="s">
        <v>480</v>
      </c>
      <c r="D174" s="180" t="s">
        <v>1980</v>
      </c>
      <c r="E174" s="26" t="s">
        <v>1437</v>
      </c>
      <c r="F174" s="37" t="s">
        <v>49</v>
      </c>
      <c r="G174" s="26" t="s">
        <v>1277</v>
      </c>
      <c r="H174" s="26"/>
      <c r="I174" s="26" t="s">
        <v>162</v>
      </c>
      <c r="J174" s="177" t="s">
        <v>1981</v>
      </c>
      <c r="K174" s="178" t="s">
        <v>1005</v>
      </c>
      <c r="L174" s="178" t="s">
        <v>1982</v>
      </c>
      <c r="M174" s="71" t="s">
        <v>1007</v>
      </c>
      <c r="N174" s="74">
        <v>2021.0</v>
      </c>
      <c r="O174" s="71" t="s">
        <v>989</v>
      </c>
      <c r="P174" s="71" t="s">
        <v>970</v>
      </c>
      <c r="Q174" s="67" t="s">
        <v>1265</v>
      </c>
      <c r="R174" s="178" t="s">
        <v>1606</v>
      </c>
      <c r="S174" s="179" t="s">
        <v>1983</v>
      </c>
      <c r="T174" s="37"/>
      <c r="U174" s="39" t="s">
        <v>1984</v>
      </c>
      <c r="V174" s="75" t="s">
        <v>930</v>
      </c>
      <c r="W174" s="37"/>
      <c r="X174" s="37"/>
      <c r="Y174" s="37"/>
      <c r="Z174" s="37"/>
      <c r="AA174" s="37"/>
      <c r="AB174" s="37"/>
      <c r="AC174" s="37"/>
      <c r="AD174" s="37"/>
      <c r="AE174" s="37"/>
      <c r="AF174" s="37"/>
      <c r="AG174" s="37"/>
      <c r="AH174" s="37"/>
      <c r="AI174" s="37"/>
      <c r="AJ174" s="37"/>
      <c r="AK174" s="37"/>
    </row>
    <row r="175" ht="15.0" customHeight="1">
      <c r="A175" s="26" t="s">
        <v>261</v>
      </c>
      <c r="B175" s="37" t="s">
        <v>482</v>
      </c>
      <c r="C175" s="37" t="s">
        <v>483</v>
      </c>
      <c r="D175" s="180" t="s">
        <v>1985</v>
      </c>
      <c r="E175" s="26" t="s">
        <v>1437</v>
      </c>
      <c r="F175" s="37" t="s">
        <v>49</v>
      </c>
      <c r="G175" s="26" t="s">
        <v>1258</v>
      </c>
      <c r="H175" s="26"/>
      <c r="I175" s="26" t="s">
        <v>162</v>
      </c>
      <c r="J175" s="69" t="s">
        <v>1986</v>
      </c>
      <c r="K175" s="26" t="s">
        <v>1987</v>
      </c>
      <c r="L175" s="26" t="s">
        <v>1014</v>
      </c>
      <c r="M175" s="71" t="s">
        <v>1022</v>
      </c>
      <c r="N175" s="74">
        <v>2021.0</v>
      </c>
      <c r="O175" s="71" t="s">
        <v>989</v>
      </c>
      <c r="P175" s="71" t="s">
        <v>970</v>
      </c>
      <c r="Q175" s="67" t="s">
        <v>1265</v>
      </c>
      <c r="R175" s="178" t="s">
        <v>1877</v>
      </c>
      <c r="S175" s="179" t="s">
        <v>1886</v>
      </c>
      <c r="T175" s="37"/>
      <c r="U175" s="39" t="s">
        <v>1988</v>
      </c>
      <c r="V175" s="75" t="s">
        <v>1026</v>
      </c>
      <c r="W175" s="37"/>
      <c r="X175" s="37"/>
      <c r="Y175" s="37"/>
      <c r="Z175" s="37"/>
      <c r="AA175" s="37"/>
      <c r="AB175" s="37"/>
      <c r="AC175" s="37"/>
      <c r="AD175" s="37"/>
      <c r="AE175" s="37"/>
      <c r="AF175" s="37"/>
      <c r="AG175" s="37"/>
      <c r="AH175" s="37"/>
      <c r="AI175" s="37"/>
      <c r="AJ175" s="37"/>
      <c r="AK175" s="37"/>
    </row>
    <row r="176" ht="15.75" customHeight="1">
      <c r="A176" s="26" t="s">
        <v>261</v>
      </c>
      <c r="B176" s="37" t="s">
        <v>318</v>
      </c>
      <c r="C176" s="26" t="s">
        <v>319</v>
      </c>
      <c r="D176" s="118" t="s">
        <v>1989</v>
      </c>
      <c r="E176" s="26" t="s">
        <v>1437</v>
      </c>
      <c r="F176" s="37" t="s">
        <v>49</v>
      </c>
      <c r="G176" s="26" t="s">
        <v>162</v>
      </c>
      <c r="H176" s="26"/>
      <c r="I176" s="26" t="s">
        <v>162</v>
      </c>
      <c r="J176" s="67" t="s">
        <v>985</v>
      </c>
      <c r="K176" s="26" t="s">
        <v>1109</v>
      </c>
      <c r="L176" s="26" t="s">
        <v>1376</v>
      </c>
      <c r="M176" s="71" t="s">
        <v>1015</v>
      </c>
      <c r="N176" s="74">
        <v>2024.0</v>
      </c>
      <c r="O176" s="71" t="s">
        <v>989</v>
      </c>
      <c r="P176" s="71" t="s">
        <v>1194</v>
      </c>
      <c r="Q176" s="67" t="s">
        <v>961</v>
      </c>
      <c r="R176" s="178" t="s">
        <v>1990</v>
      </c>
      <c r="S176" s="179" t="s">
        <v>1828</v>
      </c>
      <c r="T176" s="37"/>
      <c r="U176" s="39" t="s">
        <v>1991</v>
      </c>
      <c r="V176" s="75" t="s">
        <v>930</v>
      </c>
      <c r="W176" s="37"/>
      <c r="X176" s="37"/>
      <c r="Y176" s="37"/>
      <c r="Z176" s="37"/>
      <c r="AA176" s="37"/>
      <c r="AB176" s="37"/>
      <c r="AC176" s="37"/>
      <c r="AD176" s="37"/>
      <c r="AE176" s="37"/>
      <c r="AF176" s="37"/>
      <c r="AG176" s="37"/>
      <c r="AH176" s="37"/>
      <c r="AI176" s="37"/>
      <c r="AJ176" s="37"/>
      <c r="AK176" s="37"/>
    </row>
    <row r="177" ht="15.75" customHeight="1">
      <c r="A177" s="26" t="s">
        <v>261</v>
      </c>
      <c r="B177" s="37" t="s">
        <v>334</v>
      </c>
      <c r="C177" s="37" t="s">
        <v>335</v>
      </c>
      <c r="D177" s="180" t="s">
        <v>1992</v>
      </c>
      <c r="E177" s="26" t="s">
        <v>1437</v>
      </c>
      <c r="F177" s="26" t="s">
        <v>49</v>
      </c>
      <c r="G177" s="26" t="s">
        <v>162</v>
      </c>
      <c r="H177" s="26"/>
      <c r="I177" s="26" t="s">
        <v>162</v>
      </c>
      <c r="J177" s="67" t="s">
        <v>985</v>
      </c>
      <c r="K177" s="178" t="s">
        <v>1005</v>
      </c>
      <c r="L177" s="26" t="s">
        <v>995</v>
      </c>
      <c r="M177" s="71" t="s">
        <v>1993</v>
      </c>
      <c r="N177" s="74">
        <v>2023.0</v>
      </c>
      <c r="O177" s="71" t="s">
        <v>989</v>
      </c>
      <c r="P177" s="71" t="s">
        <v>970</v>
      </c>
      <c r="Q177" s="67" t="s">
        <v>1508</v>
      </c>
      <c r="R177" s="178" t="s">
        <v>1055</v>
      </c>
      <c r="S177" s="179" t="s">
        <v>1846</v>
      </c>
      <c r="T177" s="37"/>
      <c r="U177" s="39" t="s">
        <v>1994</v>
      </c>
      <c r="V177" s="75" t="s">
        <v>930</v>
      </c>
      <c r="W177" s="37"/>
      <c r="X177" s="37"/>
      <c r="Y177" s="37"/>
      <c r="Z177" s="37"/>
      <c r="AA177" s="37"/>
      <c r="AB177" s="37"/>
      <c r="AC177" s="37"/>
      <c r="AD177" s="37"/>
      <c r="AE177" s="37"/>
      <c r="AF177" s="37"/>
      <c r="AG177" s="37"/>
      <c r="AH177" s="37"/>
      <c r="AI177" s="37"/>
      <c r="AJ177" s="37"/>
      <c r="AK177" s="37"/>
    </row>
    <row r="178" ht="12.75" customHeight="1">
      <c r="A178" s="26" t="s">
        <v>261</v>
      </c>
      <c r="B178" s="37" t="s">
        <v>339</v>
      </c>
      <c r="C178" s="37" t="s">
        <v>340</v>
      </c>
      <c r="D178" s="180" t="s">
        <v>1995</v>
      </c>
      <c r="E178" s="26" t="s">
        <v>1437</v>
      </c>
      <c r="F178" s="26" t="s">
        <v>49</v>
      </c>
      <c r="G178" s="26" t="s">
        <v>1414</v>
      </c>
      <c r="H178" s="26"/>
      <c r="I178" s="72" t="s">
        <v>964</v>
      </c>
      <c r="J178" s="67" t="s">
        <v>1192</v>
      </c>
      <c r="K178" s="26" t="s">
        <v>1996</v>
      </c>
      <c r="L178" s="26" t="s">
        <v>967</v>
      </c>
      <c r="M178" s="71" t="s">
        <v>1997</v>
      </c>
      <c r="N178" s="74">
        <v>2023.0</v>
      </c>
      <c r="O178" s="71" t="s">
        <v>978</v>
      </c>
      <c r="P178" s="71" t="s">
        <v>1998</v>
      </c>
      <c r="Q178" s="67" t="s">
        <v>961</v>
      </c>
      <c r="R178" s="178" t="s">
        <v>1877</v>
      </c>
      <c r="S178" s="179" t="s">
        <v>1999</v>
      </c>
      <c r="T178" s="37"/>
      <c r="U178" s="39" t="s">
        <v>2000</v>
      </c>
      <c r="V178" s="75" t="s">
        <v>930</v>
      </c>
      <c r="W178" s="37"/>
      <c r="X178" s="37"/>
      <c r="Y178" s="37"/>
      <c r="Z178" s="37"/>
      <c r="AA178" s="37"/>
      <c r="AB178" s="37"/>
      <c r="AC178" s="37"/>
      <c r="AD178" s="37"/>
      <c r="AE178" s="37"/>
      <c r="AF178" s="37"/>
      <c r="AG178" s="37"/>
      <c r="AH178" s="37"/>
      <c r="AI178" s="37"/>
      <c r="AJ178" s="37"/>
      <c r="AK178" s="37"/>
    </row>
    <row r="179" ht="12.75" customHeight="1">
      <c r="A179" s="26" t="s">
        <v>261</v>
      </c>
      <c r="B179" s="26" t="s">
        <v>759</v>
      </c>
      <c r="C179" s="26" t="s">
        <v>760</v>
      </c>
      <c r="D179" s="180" t="s">
        <v>2001</v>
      </c>
      <c r="E179" s="26" t="s">
        <v>1437</v>
      </c>
      <c r="F179" s="37" t="s">
        <v>49</v>
      </c>
      <c r="G179" s="26" t="s">
        <v>1202</v>
      </c>
      <c r="H179" s="26"/>
      <c r="I179" s="26" t="s">
        <v>162</v>
      </c>
      <c r="J179" s="67" t="s">
        <v>996</v>
      </c>
      <c r="K179" s="26" t="s">
        <v>1967</v>
      </c>
      <c r="L179" s="26" t="s">
        <v>2002</v>
      </c>
      <c r="M179" s="71" t="s">
        <v>1015</v>
      </c>
      <c r="N179" s="74">
        <v>2025.0</v>
      </c>
      <c r="O179" s="71" t="s">
        <v>1580</v>
      </c>
      <c r="P179" s="71" t="s">
        <v>2003</v>
      </c>
      <c r="Q179" s="67" t="s">
        <v>961</v>
      </c>
      <c r="R179" s="178" t="s">
        <v>1606</v>
      </c>
      <c r="S179" s="179" t="s">
        <v>2004</v>
      </c>
      <c r="T179" s="37"/>
      <c r="U179" s="39" t="s">
        <v>2005</v>
      </c>
      <c r="V179" s="75" t="s">
        <v>1026</v>
      </c>
      <c r="W179" s="37"/>
      <c r="X179" s="37"/>
      <c r="Y179" s="37"/>
      <c r="Z179" s="37"/>
      <c r="AA179" s="37"/>
      <c r="AB179" s="37"/>
      <c r="AC179" s="37"/>
      <c r="AD179" s="37"/>
      <c r="AE179" s="37"/>
      <c r="AF179" s="37"/>
      <c r="AG179" s="37"/>
      <c r="AH179" s="37"/>
      <c r="AI179" s="37"/>
      <c r="AJ179" s="37"/>
      <c r="AK179" s="37"/>
    </row>
    <row r="180" ht="12.75" customHeight="1">
      <c r="A180" s="26" t="s">
        <v>261</v>
      </c>
      <c r="B180" s="26" t="s">
        <v>762</v>
      </c>
      <c r="C180" s="26" t="s">
        <v>763</v>
      </c>
      <c r="D180" s="180" t="s">
        <v>2006</v>
      </c>
      <c r="E180" s="26" t="s">
        <v>1437</v>
      </c>
      <c r="F180" s="37" t="s">
        <v>49</v>
      </c>
      <c r="G180" s="26" t="s">
        <v>984</v>
      </c>
      <c r="H180" s="26"/>
      <c r="I180" s="26" t="s">
        <v>162</v>
      </c>
      <c r="J180" s="67" t="s">
        <v>985</v>
      </c>
      <c r="K180" s="178" t="s">
        <v>1061</v>
      </c>
      <c r="L180" s="26" t="s">
        <v>2007</v>
      </c>
      <c r="M180" s="71" t="s">
        <v>1436</v>
      </c>
      <c r="N180" s="74">
        <v>2025.0</v>
      </c>
      <c r="O180" s="71" t="s">
        <v>989</v>
      </c>
      <c r="P180" s="71" t="s">
        <v>970</v>
      </c>
      <c r="Q180" s="67" t="s">
        <v>1265</v>
      </c>
      <c r="R180" s="178" t="s">
        <v>1877</v>
      </c>
      <c r="S180" s="27" t="s">
        <v>2008</v>
      </c>
      <c r="T180" s="37"/>
      <c r="U180" s="39" t="s">
        <v>2009</v>
      </c>
      <c r="V180" s="75" t="s">
        <v>930</v>
      </c>
      <c r="W180" s="37"/>
      <c r="X180" s="37"/>
      <c r="Y180" s="37"/>
      <c r="Z180" s="37"/>
      <c r="AA180" s="37"/>
      <c r="AB180" s="37"/>
      <c r="AC180" s="37"/>
      <c r="AD180" s="37"/>
      <c r="AE180" s="37"/>
      <c r="AF180" s="37"/>
      <c r="AG180" s="37"/>
      <c r="AH180" s="37"/>
      <c r="AI180" s="37"/>
      <c r="AJ180" s="37"/>
      <c r="AK180" s="37"/>
    </row>
    <row r="181" ht="13.5" customHeight="1">
      <c r="A181" s="26" t="s">
        <v>261</v>
      </c>
      <c r="B181" s="26" t="s">
        <v>765</v>
      </c>
      <c r="C181" s="26" t="s">
        <v>766</v>
      </c>
      <c r="D181" s="180" t="s">
        <v>2010</v>
      </c>
      <c r="E181" s="26" t="s">
        <v>1437</v>
      </c>
      <c r="F181" s="26" t="s">
        <v>49</v>
      </c>
      <c r="G181" s="26" t="s">
        <v>2011</v>
      </c>
      <c r="H181" s="26"/>
      <c r="I181" s="26" t="s">
        <v>162</v>
      </c>
      <c r="J181" s="67" t="s">
        <v>2012</v>
      </c>
      <c r="K181" s="178" t="s">
        <v>977</v>
      </c>
      <c r="L181" s="26" t="s">
        <v>2013</v>
      </c>
      <c r="M181" s="71" t="s">
        <v>1993</v>
      </c>
      <c r="N181" s="74">
        <v>2025.0</v>
      </c>
      <c r="O181" s="71" t="s">
        <v>1580</v>
      </c>
      <c r="P181" s="71" t="s">
        <v>1016</v>
      </c>
      <c r="Q181" s="67" t="s">
        <v>961</v>
      </c>
      <c r="R181" s="178" t="s">
        <v>1877</v>
      </c>
      <c r="S181" s="179" t="s">
        <v>2014</v>
      </c>
      <c r="T181" s="37"/>
      <c r="U181" s="39" t="s">
        <v>2015</v>
      </c>
      <c r="V181" s="75" t="s">
        <v>930</v>
      </c>
      <c r="W181" s="37"/>
      <c r="X181" s="37"/>
      <c r="Y181" s="37"/>
      <c r="Z181" s="37"/>
      <c r="AA181" s="37"/>
      <c r="AB181" s="37"/>
      <c r="AC181" s="37"/>
      <c r="AD181" s="37"/>
      <c r="AE181" s="37"/>
      <c r="AF181" s="37"/>
      <c r="AG181" s="37"/>
      <c r="AH181" s="37"/>
      <c r="AI181" s="37"/>
      <c r="AJ181" s="37"/>
      <c r="AK181" s="37"/>
    </row>
    <row r="182" ht="15.0" customHeight="1">
      <c r="A182" s="26" t="s">
        <v>261</v>
      </c>
      <c r="B182" s="184" t="s">
        <v>812</v>
      </c>
      <c r="C182" s="184" t="s">
        <v>813</v>
      </c>
      <c r="D182" s="185" t="s">
        <v>2016</v>
      </c>
      <c r="E182" s="26" t="s">
        <v>1437</v>
      </c>
      <c r="F182" s="37" t="s">
        <v>49</v>
      </c>
      <c r="G182" s="26" t="s">
        <v>976</v>
      </c>
      <c r="H182" s="26"/>
      <c r="I182" s="72" t="s">
        <v>964</v>
      </c>
      <c r="J182" s="67" t="s">
        <v>1192</v>
      </c>
      <c r="K182" s="26" t="s">
        <v>1235</v>
      </c>
      <c r="L182" s="26" t="s">
        <v>2017</v>
      </c>
      <c r="M182" s="71" t="s">
        <v>1022</v>
      </c>
      <c r="N182" s="74">
        <v>2025.0</v>
      </c>
      <c r="O182" s="71" t="s">
        <v>999</v>
      </c>
      <c r="P182" s="71" t="s">
        <v>970</v>
      </c>
      <c r="Q182" s="67" t="s">
        <v>1265</v>
      </c>
      <c r="R182" s="178" t="s">
        <v>1922</v>
      </c>
      <c r="S182" s="27" t="s">
        <v>2018</v>
      </c>
      <c r="T182" s="37"/>
      <c r="U182" s="39" t="s">
        <v>2019</v>
      </c>
      <c r="V182" s="75" t="s">
        <v>930</v>
      </c>
      <c r="W182" s="37"/>
      <c r="X182" s="37"/>
      <c r="Y182" s="37"/>
      <c r="Z182" s="37"/>
      <c r="AA182" s="37"/>
      <c r="AB182" s="37"/>
      <c r="AC182" s="37"/>
      <c r="AD182" s="37"/>
      <c r="AE182" s="37"/>
      <c r="AF182" s="37"/>
      <c r="AG182" s="37"/>
      <c r="AH182" s="37"/>
      <c r="AI182" s="37"/>
      <c r="AJ182" s="37"/>
      <c r="AK182" s="37"/>
    </row>
    <row r="183" ht="12.75" customHeight="1">
      <c r="A183" s="26" t="s">
        <v>261</v>
      </c>
      <c r="B183" s="184" t="s">
        <v>814</v>
      </c>
      <c r="C183" s="184" t="s">
        <v>815</v>
      </c>
      <c r="D183" s="185" t="s">
        <v>2020</v>
      </c>
      <c r="E183" s="26" t="s">
        <v>1437</v>
      </c>
      <c r="F183" s="37" t="s">
        <v>49</v>
      </c>
      <c r="G183" s="26" t="s">
        <v>1277</v>
      </c>
      <c r="H183" s="26"/>
      <c r="I183" s="26" t="s">
        <v>162</v>
      </c>
      <c r="J183" s="177" t="s">
        <v>2021</v>
      </c>
      <c r="K183" s="178" t="s">
        <v>2022</v>
      </c>
      <c r="L183" s="178" t="s">
        <v>2023</v>
      </c>
      <c r="M183" s="71" t="s">
        <v>1022</v>
      </c>
      <c r="N183" s="74">
        <v>2025.0</v>
      </c>
      <c r="O183" s="71" t="s">
        <v>989</v>
      </c>
      <c r="P183" s="71" t="s">
        <v>970</v>
      </c>
      <c r="Q183" s="67" t="s">
        <v>1265</v>
      </c>
      <c r="R183" s="178" t="s">
        <v>1877</v>
      </c>
      <c r="S183" s="179" t="s">
        <v>1846</v>
      </c>
      <c r="T183" s="37"/>
      <c r="U183" s="39" t="s">
        <v>2024</v>
      </c>
      <c r="V183" s="75" t="s">
        <v>930</v>
      </c>
      <c r="W183" s="37"/>
      <c r="X183" s="37"/>
      <c r="Y183" s="37"/>
      <c r="Z183" s="37"/>
      <c r="AA183" s="37"/>
      <c r="AB183" s="37"/>
      <c r="AC183" s="37"/>
      <c r="AD183" s="37"/>
      <c r="AE183" s="37"/>
      <c r="AF183" s="37"/>
      <c r="AG183" s="37"/>
      <c r="AH183" s="37"/>
      <c r="AI183" s="37"/>
      <c r="AJ183" s="37"/>
      <c r="AK183" s="37"/>
    </row>
    <row r="184" ht="15.75" customHeight="1">
      <c r="A184" s="26" t="s">
        <v>261</v>
      </c>
      <c r="B184" s="184" t="s">
        <v>817</v>
      </c>
      <c r="C184" s="184" t="s">
        <v>818</v>
      </c>
      <c r="D184" s="186" t="s">
        <v>2025</v>
      </c>
      <c r="E184" s="26" t="s">
        <v>1437</v>
      </c>
      <c r="F184" s="26" t="s">
        <v>49</v>
      </c>
      <c r="G184" s="26" t="s">
        <v>2026</v>
      </c>
      <c r="H184" s="26"/>
      <c r="I184" s="26" t="s">
        <v>162</v>
      </c>
      <c r="J184" s="67" t="s">
        <v>1060</v>
      </c>
      <c r="K184" s="178" t="s">
        <v>1967</v>
      </c>
      <c r="L184" s="26" t="s">
        <v>2027</v>
      </c>
      <c r="M184" s="71" t="s">
        <v>2028</v>
      </c>
      <c r="N184" s="74">
        <v>2025.0</v>
      </c>
      <c r="O184" s="71" t="s">
        <v>989</v>
      </c>
      <c r="P184" s="71" t="s">
        <v>1481</v>
      </c>
      <c r="Q184" s="67" t="s">
        <v>961</v>
      </c>
      <c r="R184" s="178" t="s">
        <v>1055</v>
      </c>
      <c r="S184" s="179" t="s">
        <v>2029</v>
      </c>
      <c r="T184" s="37"/>
      <c r="U184" s="39" t="s">
        <v>2030</v>
      </c>
      <c r="V184" s="75" t="s">
        <v>930</v>
      </c>
      <c r="W184" s="178" t="s">
        <v>2031</v>
      </c>
      <c r="X184" s="37"/>
      <c r="Y184" s="37"/>
      <c r="Z184" s="37"/>
      <c r="AA184" s="37"/>
      <c r="AB184" s="37"/>
      <c r="AC184" s="37"/>
      <c r="AD184" s="37"/>
      <c r="AE184" s="37"/>
      <c r="AF184" s="37"/>
      <c r="AG184" s="37"/>
      <c r="AH184" s="37"/>
      <c r="AI184" s="37"/>
      <c r="AJ184" s="37"/>
      <c r="AK184" s="37"/>
    </row>
    <row r="185" ht="12.75" customHeight="1">
      <c r="A185" s="26" t="s">
        <v>261</v>
      </c>
      <c r="B185" s="184" t="s">
        <v>821</v>
      </c>
      <c r="C185" s="184" t="s">
        <v>822</v>
      </c>
      <c r="D185" s="185" t="s">
        <v>2032</v>
      </c>
      <c r="E185" s="26" t="s">
        <v>1437</v>
      </c>
      <c r="F185" s="37" t="s">
        <v>49</v>
      </c>
      <c r="G185" s="26" t="s">
        <v>984</v>
      </c>
      <c r="H185" s="26"/>
      <c r="I185" s="26" t="s">
        <v>162</v>
      </c>
      <c r="J185" s="67" t="s">
        <v>985</v>
      </c>
      <c r="K185" s="26" t="s">
        <v>1005</v>
      </c>
      <c r="L185" s="178" t="s">
        <v>2033</v>
      </c>
      <c r="M185" s="71" t="s">
        <v>1022</v>
      </c>
      <c r="N185" s="74">
        <v>2025.0</v>
      </c>
      <c r="O185" s="71" t="s">
        <v>989</v>
      </c>
      <c r="P185" s="71" t="s">
        <v>970</v>
      </c>
      <c r="Q185" s="67" t="s">
        <v>1126</v>
      </c>
      <c r="R185" s="179" t="s">
        <v>2034</v>
      </c>
      <c r="S185" s="179" t="s">
        <v>2035</v>
      </c>
      <c r="T185" s="37"/>
      <c r="U185" s="39" t="s">
        <v>2036</v>
      </c>
      <c r="V185" s="75" t="s">
        <v>930</v>
      </c>
      <c r="W185" s="37"/>
      <c r="X185" s="37"/>
      <c r="Y185" s="37"/>
      <c r="Z185" s="37"/>
      <c r="AA185" s="37"/>
      <c r="AB185" s="37"/>
      <c r="AC185" s="37"/>
      <c r="AD185" s="37"/>
      <c r="AE185" s="37"/>
      <c r="AF185" s="37"/>
      <c r="AG185" s="37"/>
      <c r="AH185" s="37"/>
      <c r="AI185" s="37"/>
      <c r="AJ185" s="37"/>
      <c r="AK185" s="37"/>
    </row>
    <row r="186" ht="15.75" customHeight="1">
      <c r="A186" s="26" t="s">
        <v>261</v>
      </c>
      <c r="B186" s="184" t="s">
        <v>840</v>
      </c>
      <c r="C186" s="184" t="s">
        <v>841</v>
      </c>
      <c r="D186" s="185" t="s">
        <v>2037</v>
      </c>
      <c r="E186" s="26" t="s">
        <v>1437</v>
      </c>
      <c r="F186" s="37" t="s">
        <v>49</v>
      </c>
      <c r="G186" s="26" t="s">
        <v>984</v>
      </c>
      <c r="H186" s="26"/>
      <c r="I186" s="26" t="s">
        <v>162</v>
      </c>
      <c r="J186" s="67" t="s">
        <v>985</v>
      </c>
      <c r="K186" s="178" t="s">
        <v>2038</v>
      </c>
      <c r="L186" s="178"/>
      <c r="M186" s="71" t="s">
        <v>1022</v>
      </c>
      <c r="N186" s="74">
        <v>2025.0</v>
      </c>
      <c r="O186" s="71" t="s">
        <v>989</v>
      </c>
      <c r="P186" s="71" t="s">
        <v>970</v>
      </c>
      <c r="Q186" s="67" t="s">
        <v>1126</v>
      </c>
      <c r="R186" s="178" t="s">
        <v>1055</v>
      </c>
      <c r="S186" s="179" t="s">
        <v>2039</v>
      </c>
      <c r="T186" s="37"/>
      <c r="U186" s="39" t="s">
        <v>2040</v>
      </c>
      <c r="V186" s="75" t="s">
        <v>1026</v>
      </c>
      <c r="W186" s="37"/>
      <c r="X186" s="37"/>
      <c r="Y186" s="37"/>
      <c r="Z186" s="37"/>
      <c r="AA186" s="37"/>
      <c r="AB186" s="37"/>
      <c r="AC186" s="37"/>
      <c r="AD186" s="37"/>
      <c r="AE186" s="37"/>
      <c r="AF186" s="37"/>
      <c r="AG186" s="37"/>
      <c r="AH186" s="37"/>
      <c r="AI186" s="37"/>
      <c r="AJ186" s="37"/>
      <c r="AK186" s="37"/>
    </row>
    <row r="187" ht="13.5" customHeight="1">
      <c r="A187" s="26" t="s">
        <v>261</v>
      </c>
      <c r="B187" s="184" t="s">
        <v>848</v>
      </c>
      <c r="C187" s="184" t="s">
        <v>849</v>
      </c>
      <c r="D187" s="185" t="s">
        <v>2041</v>
      </c>
      <c r="E187" s="26" t="s">
        <v>1437</v>
      </c>
      <c r="F187" s="37" t="s">
        <v>49</v>
      </c>
      <c r="G187" s="26" t="s">
        <v>2042</v>
      </c>
      <c r="H187" s="26"/>
      <c r="I187" s="26" t="s">
        <v>162</v>
      </c>
      <c r="J187" s="177" t="s">
        <v>2043</v>
      </c>
      <c r="K187" s="178" t="s">
        <v>2044</v>
      </c>
      <c r="L187" s="178" t="s">
        <v>2045</v>
      </c>
      <c r="M187" s="71" t="s">
        <v>1022</v>
      </c>
      <c r="N187" s="74">
        <v>2025.0</v>
      </c>
      <c r="O187" s="71" t="s">
        <v>2046</v>
      </c>
      <c r="P187" s="71" t="s">
        <v>970</v>
      </c>
      <c r="Q187" s="67" t="s">
        <v>2047</v>
      </c>
      <c r="R187" s="187" t="s">
        <v>1877</v>
      </c>
      <c r="S187" s="27" t="s">
        <v>2048</v>
      </c>
      <c r="T187" s="184"/>
      <c r="U187" s="39" t="s">
        <v>2049</v>
      </c>
      <c r="V187" s="75" t="s">
        <v>930</v>
      </c>
      <c r="W187" s="37"/>
      <c r="X187" s="37"/>
      <c r="Y187" s="37"/>
      <c r="Z187" s="37"/>
      <c r="AA187" s="37"/>
      <c r="AB187" s="37"/>
      <c r="AC187" s="37"/>
      <c r="AD187" s="37"/>
      <c r="AE187" s="37"/>
      <c r="AF187" s="37"/>
      <c r="AG187" s="37"/>
      <c r="AH187" s="37"/>
      <c r="AI187" s="37"/>
      <c r="AJ187" s="37"/>
      <c r="AK187" s="37"/>
    </row>
    <row r="188" ht="14.25" customHeight="1">
      <c r="A188" s="26" t="s">
        <v>261</v>
      </c>
      <c r="B188" s="26" t="s">
        <v>851</v>
      </c>
      <c r="C188" s="26" t="s">
        <v>852</v>
      </c>
      <c r="D188" s="105" t="s">
        <v>2050</v>
      </c>
      <c r="E188" s="26" t="s">
        <v>1437</v>
      </c>
      <c r="F188" s="37" t="s">
        <v>49</v>
      </c>
      <c r="G188" s="26" t="s">
        <v>984</v>
      </c>
      <c r="H188" s="26"/>
      <c r="I188" s="26" t="s">
        <v>162</v>
      </c>
      <c r="J188" s="67" t="s">
        <v>985</v>
      </c>
      <c r="K188" s="26" t="s">
        <v>2051</v>
      </c>
      <c r="L188" s="26" t="s">
        <v>1103</v>
      </c>
      <c r="M188" s="71" t="s">
        <v>1022</v>
      </c>
      <c r="N188" s="74">
        <v>2025.0</v>
      </c>
      <c r="O188" s="71" t="s">
        <v>989</v>
      </c>
      <c r="P188" s="71" t="s">
        <v>970</v>
      </c>
      <c r="Q188" s="67" t="s">
        <v>1265</v>
      </c>
      <c r="R188" s="26" t="s">
        <v>1877</v>
      </c>
      <c r="S188" s="27" t="s">
        <v>2052</v>
      </c>
      <c r="U188" s="39" t="s">
        <v>2053</v>
      </c>
      <c r="V188" s="75" t="s">
        <v>1026</v>
      </c>
    </row>
    <row r="189" ht="14.25" customHeight="1">
      <c r="A189" s="26" t="s">
        <v>261</v>
      </c>
      <c r="B189" s="26" t="s">
        <v>896</v>
      </c>
      <c r="C189" s="26" t="s">
        <v>897</v>
      </c>
      <c r="D189" s="105" t="s">
        <v>2054</v>
      </c>
      <c r="E189" s="26" t="s">
        <v>1437</v>
      </c>
      <c r="F189" s="26" t="s">
        <v>49</v>
      </c>
      <c r="G189" s="26" t="s">
        <v>1172</v>
      </c>
      <c r="H189" s="26"/>
      <c r="I189" s="26" t="s">
        <v>162</v>
      </c>
      <c r="J189" s="67" t="s">
        <v>985</v>
      </c>
      <c r="K189" s="26" t="s">
        <v>2055</v>
      </c>
      <c r="L189" s="26" t="s">
        <v>2056</v>
      </c>
      <c r="M189" s="71" t="s">
        <v>1062</v>
      </c>
      <c r="N189" s="74">
        <v>2024.0</v>
      </c>
      <c r="O189" s="71" t="s">
        <v>989</v>
      </c>
      <c r="P189" s="71" t="s">
        <v>970</v>
      </c>
      <c r="Q189" s="67" t="s">
        <v>961</v>
      </c>
      <c r="R189" s="26" t="s">
        <v>1922</v>
      </c>
      <c r="S189" s="27" t="s">
        <v>2057</v>
      </c>
      <c r="U189" s="39" t="s">
        <v>2058</v>
      </c>
      <c r="V189" s="75" t="s">
        <v>930</v>
      </c>
    </row>
    <row r="190" ht="13.5" customHeight="1">
      <c r="A190" s="28" t="s">
        <v>261</v>
      </c>
      <c r="B190" s="80" t="s">
        <v>2059</v>
      </c>
      <c r="C190" s="80" t="s">
        <v>2060</v>
      </c>
      <c r="D190" s="188" t="s">
        <v>2061</v>
      </c>
      <c r="E190" s="189" t="s">
        <v>1198</v>
      </c>
      <c r="F190" s="151" t="s">
        <v>47</v>
      </c>
      <c r="G190" s="190" t="s">
        <v>2062</v>
      </c>
      <c r="H190" s="190"/>
      <c r="I190" s="72" t="s">
        <v>964</v>
      </c>
      <c r="J190" s="81" t="s">
        <v>2063</v>
      </c>
      <c r="K190" s="189" t="s">
        <v>1756</v>
      </c>
      <c r="L190" s="86" t="s">
        <v>2064</v>
      </c>
      <c r="M190" s="87" t="s">
        <v>2065</v>
      </c>
      <c r="N190" s="89">
        <v>2026.0</v>
      </c>
      <c r="O190" s="87" t="s">
        <v>999</v>
      </c>
      <c r="P190" s="191" t="s">
        <v>1688</v>
      </c>
      <c r="Q190" s="81" t="s">
        <v>2066</v>
      </c>
      <c r="R190" s="151" t="s">
        <v>1055</v>
      </c>
      <c r="S190" s="192" t="s">
        <v>2067</v>
      </c>
      <c r="T190" s="86" t="s">
        <v>2068</v>
      </c>
      <c r="U190" s="42" t="s">
        <v>2069</v>
      </c>
      <c r="V190" s="75" t="s">
        <v>930</v>
      </c>
      <c r="W190" s="86"/>
      <c r="X190" s="80"/>
      <c r="Y190" s="86"/>
      <c r="Z190" s="190"/>
      <c r="AA190" s="189"/>
      <c r="AB190" s="190"/>
      <c r="AC190" s="122"/>
      <c r="AD190" s="122"/>
      <c r="AE190" s="122"/>
      <c r="AF190" s="122"/>
      <c r="AG190" s="122"/>
      <c r="AH190" s="122"/>
      <c r="AI190" s="122"/>
      <c r="AJ190" s="122"/>
      <c r="AK190" s="122"/>
    </row>
    <row r="191" ht="12.0" customHeight="1">
      <c r="A191" s="28" t="s">
        <v>261</v>
      </c>
      <c r="B191" s="80" t="s">
        <v>2070</v>
      </c>
      <c r="C191" s="80" t="s">
        <v>2071</v>
      </c>
      <c r="D191" s="193" t="s">
        <v>2072</v>
      </c>
      <c r="E191" s="190" t="s">
        <v>930</v>
      </c>
      <c r="F191" s="151" t="s">
        <v>47</v>
      </c>
      <c r="G191" s="189" t="s">
        <v>2073</v>
      </c>
      <c r="H191" s="189"/>
      <c r="I191" s="189" t="s">
        <v>162</v>
      </c>
      <c r="J191" s="81" t="s">
        <v>985</v>
      </c>
      <c r="K191" s="189" t="s">
        <v>1005</v>
      </c>
      <c r="L191" s="189" t="s">
        <v>2074</v>
      </c>
      <c r="M191" s="87" t="s">
        <v>998</v>
      </c>
      <c r="N191" s="194">
        <v>2025.0</v>
      </c>
      <c r="O191" s="191" t="s">
        <v>969</v>
      </c>
      <c r="P191" s="191" t="s">
        <v>970</v>
      </c>
      <c r="Q191" s="81" t="s">
        <v>961</v>
      </c>
      <c r="R191" s="151" t="s">
        <v>1877</v>
      </c>
      <c r="S191" s="27" t="s">
        <v>2075</v>
      </c>
      <c r="T191" s="86" t="s">
        <v>2076</v>
      </c>
      <c r="U191" s="42" t="s">
        <v>2077</v>
      </c>
      <c r="V191" s="75" t="s">
        <v>930</v>
      </c>
      <c r="W191" s="86"/>
      <c r="X191" s="195"/>
      <c r="Y191" s="189"/>
      <c r="Z191" s="189"/>
      <c r="AA191" s="190"/>
      <c r="AB191" s="190"/>
      <c r="AC191" s="122"/>
      <c r="AD191" s="122"/>
      <c r="AE191" s="122"/>
      <c r="AF191" s="122"/>
      <c r="AG191" s="122"/>
      <c r="AH191" s="122"/>
      <c r="AI191" s="122"/>
      <c r="AJ191" s="122"/>
      <c r="AK191" s="122"/>
    </row>
    <row r="192" ht="12.75" customHeight="1">
      <c r="A192" s="26" t="s">
        <v>261</v>
      </c>
      <c r="B192" s="159" t="s">
        <v>2078</v>
      </c>
      <c r="C192" s="159" t="s">
        <v>2079</v>
      </c>
      <c r="D192" s="196" t="s">
        <v>2080</v>
      </c>
      <c r="E192" s="27" t="s">
        <v>930</v>
      </c>
      <c r="F192" s="144" t="s">
        <v>49</v>
      </c>
      <c r="G192" s="27" t="s">
        <v>2081</v>
      </c>
      <c r="H192" s="27"/>
      <c r="I192" s="27" t="s">
        <v>162</v>
      </c>
      <c r="J192" s="117" t="s">
        <v>985</v>
      </c>
      <c r="K192" s="90" t="s">
        <v>1005</v>
      </c>
      <c r="L192" s="27" t="s">
        <v>1125</v>
      </c>
      <c r="M192" s="71" t="s">
        <v>1022</v>
      </c>
      <c r="N192" s="74">
        <v>2026.0</v>
      </c>
      <c r="O192" s="157" t="s">
        <v>989</v>
      </c>
      <c r="P192" s="157" t="s">
        <v>970</v>
      </c>
      <c r="Q192" s="117" t="s">
        <v>961</v>
      </c>
      <c r="R192" s="144" t="s">
        <v>1877</v>
      </c>
      <c r="S192" s="170" t="s">
        <v>2082</v>
      </c>
      <c r="T192" s="72" t="s">
        <v>2083</v>
      </c>
      <c r="U192" s="39" t="s">
        <v>2084</v>
      </c>
      <c r="V192" s="75" t="s">
        <v>1026</v>
      </c>
      <c r="W192" s="72"/>
      <c r="X192" s="159"/>
      <c r="Y192" s="90"/>
      <c r="Z192" s="27"/>
      <c r="AA192" s="27"/>
      <c r="AB192" s="27"/>
    </row>
    <row r="193" ht="15.75" customHeight="1">
      <c r="A193" s="26" t="s">
        <v>261</v>
      </c>
      <c r="B193" s="159" t="s">
        <v>2085</v>
      </c>
      <c r="C193" s="159" t="s">
        <v>2086</v>
      </c>
      <c r="D193" s="196" t="s">
        <v>2087</v>
      </c>
      <c r="E193" s="90" t="s">
        <v>1198</v>
      </c>
      <c r="F193" s="144" t="s">
        <v>49</v>
      </c>
      <c r="G193" s="90" t="s">
        <v>2088</v>
      </c>
      <c r="H193" s="90"/>
      <c r="I193" s="90" t="s">
        <v>964</v>
      </c>
      <c r="J193" s="117" t="s">
        <v>2089</v>
      </c>
      <c r="K193" s="27"/>
      <c r="L193" s="90" t="s">
        <v>2090</v>
      </c>
      <c r="M193" s="71" t="s">
        <v>1307</v>
      </c>
      <c r="N193" s="74">
        <v>2026.0</v>
      </c>
      <c r="O193" s="157" t="s">
        <v>1417</v>
      </c>
      <c r="P193" s="157" t="s">
        <v>970</v>
      </c>
      <c r="Q193" s="117" t="s">
        <v>2091</v>
      </c>
      <c r="R193" s="144" t="s">
        <v>1877</v>
      </c>
      <c r="S193" s="170" t="s">
        <v>2092</v>
      </c>
      <c r="T193" s="72" t="s">
        <v>2083</v>
      </c>
      <c r="U193" s="39" t="s">
        <v>2093</v>
      </c>
      <c r="V193" s="75" t="s">
        <v>930</v>
      </c>
      <c r="W193" s="72"/>
      <c r="X193" s="159"/>
      <c r="Y193" s="90"/>
      <c r="Z193" s="90"/>
      <c r="AA193" s="27"/>
      <c r="AB193" s="27"/>
    </row>
    <row r="194" ht="15.0" customHeight="1">
      <c r="A194" s="26" t="s">
        <v>261</v>
      </c>
      <c r="B194" s="159" t="s">
        <v>2094</v>
      </c>
      <c r="C194" s="159" t="s">
        <v>2095</v>
      </c>
      <c r="D194" s="145" t="s">
        <v>2096</v>
      </c>
      <c r="E194" s="90" t="s">
        <v>1198</v>
      </c>
      <c r="F194" s="144" t="s">
        <v>49</v>
      </c>
      <c r="G194" s="90" t="s">
        <v>2097</v>
      </c>
      <c r="H194" s="90"/>
      <c r="I194" s="90" t="s">
        <v>162</v>
      </c>
      <c r="J194" s="117" t="s">
        <v>1192</v>
      </c>
      <c r="K194" s="90" t="s">
        <v>2098</v>
      </c>
      <c r="L194" s="90" t="s">
        <v>995</v>
      </c>
      <c r="M194" s="71" t="s">
        <v>998</v>
      </c>
      <c r="N194" s="74">
        <v>2025.0</v>
      </c>
      <c r="O194" s="157" t="s">
        <v>1417</v>
      </c>
      <c r="P194" s="71" t="s">
        <v>2099</v>
      </c>
      <c r="Q194" s="117" t="s">
        <v>961</v>
      </c>
      <c r="R194" s="144" t="s">
        <v>1055</v>
      </c>
      <c r="S194" s="170" t="s">
        <v>2100</v>
      </c>
      <c r="T194" s="114"/>
      <c r="U194" s="39" t="s">
        <v>2101</v>
      </c>
      <c r="V194" s="75" t="s">
        <v>1026</v>
      </c>
      <c r="W194" s="72"/>
      <c r="X194" s="159"/>
      <c r="Y194" s="90"/>
      <c r="Z194" s="72"/>
      <c r="AA194" s="90"/>
      <c r="AB194" s="90"/>
    </row>
    <row r="195" ht="17.25" customHeight="1">
      <c r="A195" s="26" t="s">
        <v>261</v>
      </c>
      <c r="B195" s="159" t="s">
        <v>2102</v>
      </c>
      <c r="C195" s="159" t="s">
        <v>2103</v>
      </c>
      <c r="D195" s="196" t="s">
        <v>2104</v>
      </c>
      <c r="E195" s="27" t="s">
        <v>930</v>
      </c>
      <c r="F195" s="144" t="s">
        <v>49</v>
      </c>
      <c r="G195" s="90" t="s">
        <v>2105</v>
      </c>
      <c r="H195" s="90"/>
      <c r="I195" s="90" t="s">
        <v>1033</v>
      </c>
      <c r="J195" s="117" t="s">
        <v>1034</v>
      </c>
      <c r="K195" s="72" t="s">
        <v>1005</v>
      </c>
      <c r="L195" s="90" t="s">
        <v>2106</v>
      </c>
      <c r="M195" s="71" t="s">
        <v>1022</v>
      </c>
      <c r="N195" s="74">
        <v>2025.0</v>
      </c>
      <c r="O195" s="157" t="s">
        <v>1580</v>
      </c>
      <c r="P195" s="71" t="s">
        <v>2107</v>
      </c>
      <c r="Q195" s="117" t="s">
        <v>2108</v>
      </c>
      <c r="R195" s="144" t="s">
        <v>2109</v>
      </c>
      <c r="S195" s="170" t="s">
        <v>1846</v>
      </c>
      <c r="T195" s="114"/>
      <c r="U195" s="39" t="s">
        <v>2110</v>
      </c>
      <c r="V195" s="75" t="s">
        <v>1026</v>
      </c>
      <c r="W195" s="72"/>
      <c r="X195" s="159"/>
      <c r="Y195" s="27"/>
      <c r="Z195" s="72"/>
      <c r="AA195" s="27"/>
      <c r="AB195" s="90"/>
    </row>
    <row r="196" ht="16.5" customHeight="1">
      <c r="A196" s="26" t="s">
        <v>261</v>
      </c>
      <c r="B196" s="159" t="s">
        <v>2111</v>
      </c>
      <c r="C196" s="159" t="s">
        <v>2112</v>
      </c>
      <c r="D196" s="196" t="s">
        <v>2113</v>
      </c>
      <c r="E196" s="90" t="s">
        <v>1198</v>
      </c>
      <c r="F196" s="144" t="s">
        <v>49</v>
      </c>
      <c r="G196" s="27" t="s">
        <v>2114</v>
      </c>
      <c r="H196" s="27"/>
      <c r="I196" s="90" t="s">
        <v>964</v>
      </c>
      <c r="J196" s="117" t="s">
        <v>985</v>
      </c>
      <c r="K196" s="27" t="s">
        <v>1967</v>
      </c>
      <c r="L196" s="27" t="s">
        <v>2115</v>
      </c>
      <c r="M196" s="71" t="s">
        <v>1993</v>
      </c>
      <c r="N196" s="74">
        <v>2025.0</v>
      </c>
      <c r="O196" s="157" t="s">
        <v>989</v>
      </c>
      <c r="P196" s="157" t="s">
        <v>2116</v>
      </c>
      <c r="Q196" s="117" t="s">
        <v>961</v>
      </c>
      <c r="R196" s="144" t="s">
        <v>1055</v>
      </c>
      <c r="S196" s="170" t="s">
        <v>2117</v>
      </c>
      <c r="T196" s="114"/>
      <c r="U196" s="39" t="s">
        <v>2118</v>
      </c>
      <c r="V196" s="75" t="s">
        <v>1026</v>
      </c>
      <c r="W196" s="72"/>
      <c r="X196" s="159"/>
      <c r="Y196" s="90"/>
      <c r="Z196" s="27"/>
      <c r="AA196" s="27"/>
      <c r="AB196" s="27"/>
    </row>
    <row r="197" ht="15.0" customHeight="1">
      <c r="A197" s="26" t="s">
        <v>261</v>
      </c>
      <c r="B197" s="159" t="s">
        <v>2119</v>
      </c>
      <c r="C197" s="159" t="s">
        <v>2120</v>
      </c>
      <c r="D197" s="196" t="s">
        <v>2121</v>
      </c>
      <c r="E197" s="27" t="s">
        <v>930</v>
      </c>
      <c r="F197" s="144" t="s">
        <v>559</v>
      </c>
      <c r="G197" s="27" t="s">
        <v>2122</v>
      </c>
      <c r="H197" s="27"/>
      <c r="I197" s="90" t="s">
        <v>964</v>
      </c>
      <c r="J197" s="117" t="s">
        <v>1192</v>
      </c>
      <c r="K197" s="72"/>
      <c r="L197" s="72" t="s">
        <v>2123</v>
      </c>
      <c r="M197" s="71" t="s">
        <v>1022</v>
      </c>
      <c r="N197" s="74">
        <v>2025.0</v>
      </c>
      <c r="O197" s="157" t="s">
        <v>2124</v>
      </c>
      <c r="P197" s="157" t="s">
        <v>970</v>
      </c>
      <c r="Q197" s="117" t="s">
        <v>961</v>
      </c>
      <c r="R197" s="144" t="s">
        <v>1877</v>
      </c>
      <c r="S197" s="170" t="s">
        <v>2125</v>
      </c>
      <c r="T197" s="114"/>
      <c r="U197" s="39" t="s">
        <v>2126</v>
      </c>
      <c r="V197" s="75" t="s">
        <v>961</v>
      </c>
      <c r="W197" s="72"/>
      <c r="X197" s="159"/>
      <c r="Y197" s="90"/>
      <c r="Z197" s="27"/>
      <c r="AA197" s="27"/>
      <c r="AB197" s="27"/>
    </row>
    <row r="198" ht="15.0" customHeight="1">
      <c r="A198" s="26" t="s">
        <v>261</v>
      </c>
      <c r="B198" s="159" t="s">
        <v>2127</v>
      </c>
      <c r="C198" s="159" t="s">
        <v>2128</v>
      </c>
      <c r="D198" s="196" t="s">
        <v>2129</v>
      </c>
      <c r="E198" s="27" t="s">
        <v>930</v>
      </c>
      <c r="F198" s="144" t="s">
        <v>559</v>
      </c>
      <c r="G198" s="90" t="s">
        <v>2130</v>
      </c>
      <c r="H198" s="90"/>
      <c r="I198" s="90" t="s">
        <v>162</v>
      </c>
      <c r="J198" s="117" t="s">
        <v>985</v>
      </c>
      <c r="K198" s="27"/>
      <c r="L198" s="27" t="s">
        <v>1522</v>
      </c>
      <c r="M198" s="71" t="s">
        <v>1022</v>
      </c>
      <c r="N198" s="74">
        <v>2025.0</v>
      </c>
      <c r="O198" s="157" t="s">
        <v>1336</v>
      </c>
      <c r="P198" s="157" t="s">
        <v>2131</v>
      </c>
      <c r="Q198" s="117" t="s">
        <v>961</v>
      </c>
      <c r="R198" s="144" t="s">
        <v>2132</v>
      </c>
      <c r="S198" s="170" t="s">
        <v>2092</v>
      </c>
      <c r="T198" s="114"/>
      <c r="U198" s="39" t="s">
        <v>2133</v>
      </c>
      <c r="V198" s="75" t="s">
        <v>1198</v>
      </c>
      <c r="W198" s="72"/>
      <c r="X198" s="159"/>
      <c r="Y198" s="90"/>
      <c r="Z198" s="27"/>
      <c r="AA198" s="27"/>
      <c r="AB198" s="27"/>
    </row>
    <row r="199" ht="13.5" customHeight="1">
      <c r="A199" s="26" t="s">
        <v>261</v>
      </c>
      <c r="B199" s="159" t="s">
        <v>2134</v>
      </c>
      <c r="C199" s="159" t="s">
        <v>2135</v>
      </c>
      <c r="D199" s="196" t="s">
        <v>2136</v>
      </c>
      <c r="E199" s="27" t="s">
        <v>930</v>
      </c>
      <c r="F199" s="144" t="s">
        <v>559</v>
      </c>
      <c r="G199" s="27" t="s">
        <v>2137</v>
      </c>
      <c r="H199" s="27"/>
      <c r="I199" s="197" t="s">
        <v>964</v>
      </c>
      <c r="J199" s="117" t="s">
        <v>1060</v>
      </c>
      <c r="K199" s="27" t="s">
        <v>1473</v>
      </c>
      <c r="L199" s="27" t="s">
        <v>2138</v>
      </c>
      <c r="M199" s="71" t="s">
        <v>1323</v>
      </c>
      <c r="N199" s="74">
        <v>2025.0</v>
      </c>
      <c r="O199" s="157" t="s">
        <v>989</v>
      </c>
      <c r="P199" s="157" t="s">
        <v>1016</v>
      </c>
      <c r="Q199" s="117" t="s">
        <v>961</v>
      </c>
      <c r="R199" s="144" t="s">
        <v>1055</v>
      </c>
      <c r="S199" s="170" t="s">
        <v>2139</v>
      </c>
      <c r="T199" s="114"/>
      <c r="U199" s="39" t="s">
        <v>2140</v>
      </c>
      <c r="V199" s="75" t="s">
        <v>961</v>
      </c>
      <c r="W199" s="72"/>
      <c r="X199" s="159"/>
      <c r="Y199" s="27"/>
      <c r="Z199" s="27"/>
      <c r="AA199" s="27"/>
      <c r="AB199" s="27"/>
    </row>
    <row r="200" ht="15.0" customHeight="1">
      <c r="A200" s="28" t="s">
        <v>261</v>
      </c>
      <c r="B200" s="80" t="s">
        <v>2141</v>
      </c>
      <c r="C200" s="80" t="s">
        <v>2142</v>
      </c>
      <c r="D200" s="193" t="s">
        <v>2143</v>
      </c>
      <c r="E200" s="190" t="s">
        <v>930</v>
      </c>
      <c r="F200" s="151" t="s">
        <v>559</v>
      </c>
      <c r="G200" s="190" t="s">
        <v>2144</v>
      </c>
      <c r="H200" s="190"/>
      <c r="I200" s="197" t="s">
        <v>964</v>
      </c>
      <c r="J200" s="81" t="s">
        <v>1192</v>
      </c>
      <c r="K200" s="190" t="s">
        <v>2145</v>
      </c>
      <c r="L200" s="190"/>
      <c r="M200" s="87" t="s">
        <v>1062</v>
      </c>
      <c r="N200" s="89">
        <v>2025.0</v>
      </c>
      <c r="O200" s="191" t="s">
        <v>2146</v>
      </c>
      <c r="P200" s="191" t="s">
        <v>2003</v>
      </c>
      <c r="Q200" s="81" t="s">
        <v>961</v>
      </c>
      <c r="R200" s="151" t="s">
        <v>1055</v>
      </c>
      <c r="S200" s="192" t="s">
        <v>2147</v>
      </c>
      <c r="T200" s="86" t="s">
        <v>2148</v>
      </c>
      <c r="U200" s="42" t="s">
        <v>2149</v>
      </c>
      <c r="V200" s="75" t="s">
        <v>930</v>
      </c>
      <c r="W200" s="86"/>
      <c r="X200" s="80"/>
      <c r="Y200" s="190"/>
      <c r="Z200" s="190"/>
      <c r="AA200" s="190"/>
      <c r="AB200" s="190"/>
      <c r="AC200" s="122"/>
      <c r="AD200" s="122"/>
      <c r="AE200" s="122"/>
      <c r="AF200" s="122"/>
      <c r="AG200" s="122"/>
      <c r="AH200" s="122"/>
      <c r="AI200" s="122"/>
      <c r="AJ200" s="122"/>
      <c r="AK200" s="122"/>
    </row>
    <row r="201" ht="15.0" customHeight="1">
      <c r="A201" s="26" t="s">
        <v>261</v>
      </c>
      <c r="B201" s="159" t="s">
        <v>2150</v>
      </c>
      <c r="C201" s="159" t="s">
        <v>2151</v>
      </c>
      <c r="D201" s="196" t="s">
        <v>2152</v>
      </c>
      <c r="E201" s="90" t="s">
        <v>1198</v>
      </c>
      <c r="F201" s="144" t="s">
        <v>49</v>
      </c>
      <c r="G201" s="27" t="s">
        <v>2153</v>
      </c>
      <c r="H201" s="27"/>
      <c r="I201" s="27" t="s">
        <v>162</v>
      </c>
      <c r="J201" s="117" t="s">
        <v>985</v>
      </c>
      <c r="K201" s="26" t="s">
        <v>1967</v>
      </c>
      <c r="L201" s="26" t="s">
        <v>1103</v>
      </c>
      <c r="M201" s="71" t="s">
        <v>1022</v>
      </c>
      <c r="N201" s="74">
        <v>2025.0</v>
      </c>
      <c r="O201" s="157" t="s">
        <v>989</v>
      </c>
      <c r="P201" s="157" t="s">
        <v>1481</v>
      </c>
      <c r="Q201" s="117" t="s">
        <v>961</v>
      </c>
      <c r="R201" s="144" t="s">
        <v>2154</v>
      </c>
      <c r="S201" s="170" t="s">
        <v>2155</v>
      </c>
      <c r="T201" s="114"/>
      <c r="U201" s="39" t="s">
        <v>2156</v>
      </c>
      <c r="V201" s="75" t="s">
        <v>1026</v>
      </c>
      <c r="W201" s="72"/>
      <c r="X201" s="159"/>
      <c r="Y201" s="27"/>
      <c r="Z201" s="27"/>
      <c r="AA201" s="27"/>
      <c r="AB201" s="27"/>
    </row>
    <row r="202" ht="17.25" customHeight="1">
      <c r="A202" s="26" t="s">
        <v>261</v>
      </c>
      <c r="B202" s="159" t="s">
        <v>2157</v>
      </c>
      <c r="C202" s="159" t="s">
        <v>2158</v>
      </c>
      <c r="D202" s="145" t="s">
        <v>2159</v>
      </c>
      <c r="E202" s="27" t="s">
        <v>930</v>
      </c>
      <c r="F202" s="144" t="s">
        <v>47</v>
      </c>
      <c r="G202" s="27" t="s">
        <v>2160</v>
      </c>
      <c r="H202" s="27"/>
      <c r="I202" s="27" t="s">
        <v>162</v>
      </c>
      <c r="J202" s="117" t="s">
        <v>985</v>
      </c>
      <c r="K202" s="26" t="s">
        <v>1967</v>
      </c>
      <c r="L202" s="26" t="s">
        <v>2161</v>
      </c>
      <c r="M202" s="71" t="s">
        <v>1377</v>
      </c>
      <c r="N202" s="74">
        <v>2025.0</v>
      </c>
      <c r="O202" s="157" t="s">
        <v>989</v>
      </c>
      <c r="P202" s="157" t="s">
        <v>1688</v>
      </c>
      <c r="Q202" s="117" t="s">
        <v>961</v>
      </c>
      <c r="R202" s="144" t="s">
        <v>2162</v>
      </c>
      <c r="S202" s="27" t="s">
        <v>2163</v>
      </c>
      <c r="T202" s="114"/>
      <c r="U202" s="39" t="s">
        <v>2164</v>
      </c>
      <c r="V202" s="75" t="s">
        <v>930</v>
      </c>
      <c r="W202" s="72"/>
      <c r="X202" s="159"/>
      <c r="Y202" s="27"/>
      <c r="Z202" s="27"/>
      <c r="AA202" s="27"/>
      <c r="AB202" s="27"/>
    </row>
    <row r="203" ht="15.0" customHeight="1">
      <c r="A203" s="26" t="s">
        <v>269</v>
      </c>
      <c r="B203" s="26" t="s">
        <v>2165</v>
      </c>
      <c r="C203" s="26" t="s">
        <v>2166</v>
      </c>
      <c r="D203" s="118" t="s">
        <v>2167</v>
      </c>
      <c r="E203" s="26" t="s">
        <v>930</v>
      </c>
      <c r="F203" s="26" t="s">
        <v>559</v>
      </c>
      <c r="G203" s="26" t="s">
        <v>2168</v>
      </c>
      <c r="I203" s="26" t="s">
        <v>162</v>
      </c>
      <c r="J203" s="67" t="s">
        <v>2169</v>
      </c>
      <c r="K203" s="26" t="s">
        <v>2170</v>
      </c>
      <c r="L203" s="26" t="s">
        <v>1036</v>
      </c>
      <c r="M203" s="71" t="s">
        <v>1022</v>
      </c>
      <c r="N203" s="74">
        <v>2025.0</v>
      </c>
      <c r="O203" s="71" t="s">
        <v>2171</v>
      </c>
      <c r="P203" s="71" t="s">
        <v>2172</v>
      </c>
      <c r="Q203" s="67" t="s">
        <v>2173</v>
      </c>
      <c r="R203" s="26" t="s">
        <v>2174</v>
      </c>
      <c r="S203" s="27" t="s">
        <v>2175</v>
      </c>
      <c r="T203" s="26" t="s">
        <v>2176</v>
      </c>
      <c r="U203" s="39" t="s">
        <v>2177</v>
      </c>
      <c r="V203" s="75" t="s">
        <v>961</v>
      </c>
    </row>
    <row r="204" ht="13.5" customHeight="1">
      <c r="A204" s="26" t="s">
        <v>269</v>
      </c>
      <c r="B204" s="26" t="s">
        <v>2178</v>
      </c>
      <c r="C204" s="26" t="s">
        <v>2179</v>
      </c>
      <c r="D204" s="118" t="s">
        <v>2180</v>
      </c>
      <c r="E204" s="26" t="s">
        <v>930</v>
      </c>
      <c r="F204" s="26" t="s">
        <v>49</v>
      </c>
      <c r="G204" s="26" t="s">
        <v>2168</v>
      </c>
      <c r="I204" s="26" t="s">
        <v>162</v>
      </c>
      <c r="J204" s="67" t="s">
        <v>985</v>
      </c>
      <c r="K204" s="27" t="s">
        <v>2181</v>
      </c>
      <c r="L204" s="27" t="s">
        <v>2033</v>
      </c>
      <c r="M204" s="71" t="s">
        <v>1022</v>
      </c>
      <c r="N204" s="74">
        <v>2025.0</v>
      </c>
      <c r="O204" s="71" t="s">
        <v>1580</v>
      </c>
      <c r="P204" s="71" t="s">
        <v>2172</v>
      </c>
      <c r="Q204" s="67" t="s">
        <v>2182</v>
      </c>
      <c r="R204" s="26" t="s">
        <v>2183</v>
      </c>
      <c r="S204" s="26" t="s">
        <v>2184</v>
      </c>
      <c r="T204" s="27" t="s">
        <v>2185</v>
      </c>
      <c r="U204" s="39" t="s">
        <v>2186</v>
      </c>
      <c r="V204" s="75" t="s">
        <v>930</v>
      </c>
    </row>
    <row r="205" ht="15.0" customHeight="1">
      <c r="A205" s="26" t="s">
        <v>269</v>
      </c>
      <c r="B205" s="26" t="s">
        <v>2187</v>
      </c>
      <c r="C205" s="26" t="s">
        <v>576</v>
      </c>
      <c r="D205" s="105" t="s">
        <v>2188</v>
      </c>
      <c r="E205" s="26" t="s">
        <v>1437</v>
      </c>
      <c r="F205" s="26" t="s">
        <v>559</v>
      </c>
      <c r="I205" s="26" t="s">
        <v>964</v>
      </c>
      <c r="J205" s="67" t="s">
        <v>985</v>
      </c>
      <c r="K205" s="26" t="s">
        <v>1131</v>
      </c>
      <c r="L205" s="67" t="s">
        <v>2189</v>
      </c>
      <c r="M205" s="71" t="s">
        <v>1323</v>
      </c>
      <c r="N205" s="74">
        <v>2023.0</v>
      </c>
      <c r="O205" s="71" t="s">
        <v>2190</v>
      </c>
      <c r="P205" s="71" t="s">
        <v>2191</v>
      </c>
      <c r="Q205" s="67" t="s">
        <v>961</v>
      </c>
      <c r="R205" s="26" t="s">
        <v>2192</v>
      </c>
      <c r="S205" s="26" t="s">
        <v>2193</v>
      </c>
      <c r="T205" s="27" t="s">
        <v>2194</v>
      </c>
      <c r="U205" s="39" t="s">
        <v>2195</v>
      </c>
      <c r="V205" s="75" t="s">
        <v>930</v>
      </c>
    </row>
    <row r="206" ht="17.25" customHeight="1">
      <c r="A206" s="26" t="s">
        <v>269</v>
      </c>
      <c r="B206" s="26" t="s">
        <v>2196</v>
      </c>
      <c r="C206" s="26" t="s">
        <v>586</v>
      </c>
      <c r="D206" s="105" t="s">
        <v>2197</v>
      </c>
      <c r="E206" s="26" t="s">
        <v>1437</v>
      </c>
      <c r="F206" s="26" t="s">
        <v>559</v>
      </c>
      <c r="I206" s="26" t="s">
        <v>162</v>
      </c>
      <c r="J206" s="67" t="s">
        <v>1192</v>
      </c>
      <c r="K206" s="26" t="s">
        <v>977</v>
      </c>
      <c r="L206" s="26" t="s">
        <v>2198</v>
      </c>
      <c r="M206" s="71" t="s">
        <v>1062</v>
      </c>
      <c r="N206" s="74">
        <v>2024.0</v>
      </c>
      <c r="O206" s="71" t="s">
        <v>2199</v>
      </c>
      <c r="P206" s="71" t="s">
        <v>2200</v>
      </c>
      <c r="Q206" s="67" t="s">
        <v>961</v>
      </c>
      <c r="R206" s="26" t="s">
        <v>2201</v>
      </c>
      <c r="S206" s="27" t="s">
        <v>2202</v>
      </c>
      <c r="T206" s="26" t="s">
        <v>2203</v>
      </c>
      <c r="U206" s="39" t="s">
        <v>2204</v>
      </c>
      <c r="V206" s="75" t="s">
        <v>1198</v>
      </c>
      <c r="W206" s="26" t="s">
        <v>2205</v>
      </c>
    </row>
    <row r="207">
      <c r="C207" s="198"/>
      <c r="J207" s="67"/>
      <c r="M207" s="71"/>
      <c r="N207" s="74"/>
      <c r="O207" s="71"/>
      <c r="P207" s="71"/>
      <c r="Q207" s="67"/>
      <c r="U207" s="41"/>
    </row>
    <row r="208">
      <c r="C208" s="199"/>
      <c r="J208" s="68"/>
      <c r="M208" s="200"/>
      <c r="N208" s="201"/>
      <c r="O208" s="200"/>
      <c r="P208" s="200"/>
      <c r="Q208" s="68"/>
      <c r="U208" s="41"/>
    </row>
    <row r="209">
      <c r="J209" s="68"/>
      <c r="M209" s="200"/>
      <c r="N209" s="201"/>
      <c r="O209" s="200"/>
      <c r="P209" s="200"/>
      <c r="Q209" s="68"/>
      <c r="U209" s="41"/>
    </row>
    <row r="210">
      <c r="B210" s="26"/>
      <c r="C210" s="26"/>
      <c r="J210" s="68"/>
      <c r="M210" s="200"/>
      <c r="N210" s="201"/>
      <c r="O210" s="200"/>
      <c r="P210" s="200"/>
      <c r="Q210" s="68"/>
      <c r="S210" s="27"/>
      <c r="U210" s="41"/>
    </row>
    <row r="211">
      <c r="B211" s="26"/>
      <c r="C211" s="26"/>
      <c r="G211" s="26" t="s">
        <v>2206</v>
      </c>
      <c r="H211" s="26" t="s">
        <v>2207</v>
      </c>
      <c r="I211" s="26" t="s">
        <v>2208</v>
      </c>
      <c r="J211" s="67" t="s">
        <v>2209</v>
      </c>
      <c r="K211" s="26" t="s">
        <v>970</v>
      </c>
      <c r="M211" s="200">
        <f>COUNTIF(I:I,"simulation")</f>
        <v>129</v>
      </c>
      <c r="N211" s="201"/>
      <c r="O211" s="200"/>
      <c r="P211" s="200"/>
      <c r="Q211" s="68"/>
      <c r="S211" s="27"/>
      <c r="U211" s="41"/>
    </row>
    <row r="212">
      <c r="G212" s="28">
        <f>COUNTIF(E:E,"Yes")</f>
        <v>41</v>
      </c>
      <c r="H212" s="28">
        <f>COUNTIF(E:E,"No")</f>
        <v>164</v>
      </c>
      <c r="I212" s="37">
        <f>G212+H212</f>
        <v>205</v>
      </c>
      <c r="J212" s="68">
        <f>COUNTIFS(F:F,"L2",P:P,"&lt;&gt;scheduling")</f>
        <v>36</v>
      </c>
      <c r="K212" s="68">
        <f>COUNTIFS(F:F,"L2",P:P,"scheduling")</f>
        <v>118</v>
      </c>
      <c r="M212" s="200"/>
      <c r="N212" s="201"/>
      <c r="O212" s="200"/>
      <c r="P212" s="200"/>
      <c r="Q212" s="68"/>
      <c r="U212" s="41"/>
    </row>
    <row r="213">
      <c r="H213" s="28"/>
      <c r="J213" s="68"/>
      <c r="M213" s="200"/>
      <c r="N213" s="201"/>
      <c r="O213" s="200"/>
      <c r="P213" s="200"/>
      <c r="Q213" s="68"/>
      <c r="U213" s="41"/>
    </row>
    <row r="214">
      <c r="G214" s="26" t="s">
        <v>49</v>
      </c>
      <c r="J214" s="68"/>
      <c r="M214" s="200"/>
      <c r="N214" s="201"/>
      <c r="O214" s="200"/>
      <c r="P214" s="200"/>
      <c r="Q214" s="68"/>
      <c r="U214" s="41"/>
    </row>
    <row r="215">
      <c r="G215" s="37">
        <f>COUNTIF(F:F,"L2")</f>
        <v>154</v>
      </c>
      <c r="H215" s="37">
        <f>G215-96</f>
        <v>58</v>
      </c>
      <c r="J215" s="68"/>
      <c r="M215" s="200"/>
      <c r="N215" s="201"/>
      <c r="O215" s="200"/>
      <c r="P215" s="200"/>
      <c r="Q215" s="68"/>
      <c r="U215" s="41"/>
    </row>
    <row r="216">
      <c r="G216" s="26" t="s">
        <v>47</v>
      </c>
      <c r="J216" s="68"/>
      <c r="M216" s="200"/>
      <c r="N216" s="201"/>
      <c r="O216" s="200"/>
      <c r="P216" s="200"/>
      <c r="Q216" s="68"/>
      <c r="U216" s="41"/>
    </row>
    <row r="217">
      <c r="G217" s="37">
        <f>COUNTIF(F:F,"L1")</f>
        <v>12</v>
      </c>
      <c r="J217" s="68"/>
      <c r="M217" s="200"/>
      <c r="N217" s="201"/>
      <c r="O217" s="200"/>
      <c r="P217" s="200"/>
      <c r="Q217" s="68"/>
      <c r="U217" s="41"/>
    </row>
    <row r="218">
      <c r="G218" s="26" t="s">
        <v>45</v>
      </c>
      <c r="J218" s="68"/>
      <c r="M218" s="200"/>
      <c r="N218" s="201"/>
      <c r="O218" s="200"/>
      <c r="P218" s="200"/>
      <c r="Q218" s="68"/>
      <c r="U218" s="41"/>
    </row>
    <row r="219">
      <c r="G219" s="37">
        <f>COUNTIF(F:F,"L0")</f>
        <v>14</v>
      </c>
      <c r="J219" s="68"/>
      <c r="M219" s="200"/>
      <c r="N219" s="201"/>
      <c r="O219" s="200"/>
      <c r="P219" s="200"/>
      <c r="Q219" s="68"/>
      <c r="U219" s="41"/>
    </row>
    <row r="220">
      <c r="G220" s="26" t="s">
        <v>559</v>
      </c>
      <c r="J220" s="68"/>
      <c r="M220" s="200"/>
      <c r="N220" s="201"/>
      <c r="O220" s="200"/>
      <c r="P220" s="200"/>
      <c r="Q220" s="68"/>
      <c r="U220" s="41"/>
    </row>
    <row r="221">
      <c r="G221" s="37">
        <f>COUNTIF(F:F,"L3")</f>
        <v>25</v>
      </c>
      <c r="J221" s="68"/>
      <c r="M221" s="200"/>
      <c r="N221" s="201"/>
      <c r="O221" s="200"/>
      <c r="P221" s="200"/>
      <c r="Q221" s="68"/>
      <c r="U221" s="41"/>
    </row>
    <row r="222">
      <c r="G222" s="26" t="s">
        <v>2208</v>
      </c>
      <c r="J222" s="68"/>
      <c r="M222" s="200"/>
      <c r="N222" s="201"/>
      <c r="O222" s="200"/>
      <c r="P222" s="200"/>
      <c r="Q222" s="68"/>
      <c r="U222" s="41"/>
    </row>
    <row r="223">
      <c r="G223" s="37">
        <f>G215+G217+G219+G221</f>
        <v>205</v>
      </c>
      <c r="J223" s="68"/>
      <c r="M223" s="200"/>
      <c r="N223" s="201"/>
      <c r="O223" s="200"/>
      <c r="P223" s="200"/>
      <c r="Q223" s="68"/>
      <c r="U223" s="41"/>
    </row>
    <row r="224">
      <c r="J224" s="68"/>
      <c r="M224" s="200"/>
      <c r="N224" s="201"/>
      <c r="O224" s="200"/>
      <c r="P224" s="200"/>
      <c r="Q224" s="68"/>
      <c r="U224" s="41"/>
    </row>
    <row r="225">
      <c r="J225" s="68"/>
      <c r="M225" s="200"/>
      <c r="N225" s="201"/>
      <c r="O225" s="200"/>
      <c r="P225" s="200"/>
      <c r="Q225" s="68"/>
      <c r="U225" s="41"/>
    </row>
    <row r="226">
      <c r="J226" s="68"/>
      <c r="M226" s="200"/>
      <c r="N226" s="201"/>
      <c r="O226" s="200"/>
      <c r="P226" s="200"/>
      <c r="Q226" s="68"/>
      <c r="U226" s="41"/>
    </row>
    <row r="227">
      <c r="J227" s="68"/>
      <c r="M227" s="200"/>
      <c r="N227" s="201"/>
      <c r="O227" s="200"/>
      <c r="P227" s="200"/>
      <c r="Q227" s="68"/>
      <c r="U227" s="41"/>
    </row>
    <row r="228">
      <c r="J228" s="68"/>
      <c r="M228" s="200"/>
      <c r="N228" s="201"/>
      <c r="O228" s="200"/>
      <c r="P228" s="200"/>
      <c r="Q228" s="68"/>
      <c r="U228" s="41"/>
    </row>
    <row r="229">
      <c r="J229" s="68"/>
      <c r="M229" s="200"/>
      <c r="N229" s="201"/>
      <c r="O229" s="200"/>
      <c r="P229" s="200"/>
      <c r="Q229" s="68"/>
      <c r="U229" s="41"/>
    </row>
    <row r="230">
      <c r="J230" s="68"/>
      <c r="M230" s="200"/>
      <c r="N230" s="201"/>
      <c r="O230" s="200"/>
      <c r="P230" s="200"/>
      <c r="Q230" s="68"/>
      <c r="U230" s="41"/>
    </row>
    <row r="231">
      <c r="J231" s="68"/>
      <c r="M231" s="200"/>
      <c r="N231" s="201"/>
      <c r="O231" s="200"/>
      <c r="P231" s="200"/>
      <c r="Q231" s="68"/>
      <c r="U231" s="41"/>
    </row>
    <row r="232">
      <c r="J232" s="68"/>
      <c r="M232" s="200"/>
      <c r="N232" s="201"/>
      <c r="O232" s="200"/>
      <c r="P232" s="200"/>
      <c r="Q232" s="68"/>
      <c r="U232" s="41"/>
    </row>
    <row r="233">
      <c r="J233" s="68"/>
      <c r="M233" s="200"/>
      <c r="N233" s="201"/>
      <c r="O233" s="200"/>
      <c r="P233" s="200"/>
      <c r="Q233" s="68"/>
      <c r="U233" s="41"/>
    </row>
    <row r="234">
      <c r="J234" s="68"/>
      <c r="M234" s="200"/>
      <c r="N234" s="201"/>
      <c r="O234" s="200"/>
      <c r="P234" s="200"/>
      <c r="Q234" s="68"/>
      <c r="U234" s="41"/>
    </row>
    <row r="235">
      <c r="J235" s="68"/>
      <c r="M235" s="200"/>
      <c r="N235" s="201"/>
      <c r="O235" s="200"/>
      <c r="P235" s="200"/>
      <c r="Q235" s="68"/>
      <c r="U235" s="41"/>
    </row>
    <row r="236">
      <c r="J236" s="68"/>
      <c r="M236" s="200"/>
      <c r="N236" s="201"/>
      <c r="O236" s="200"/>
      <c r="P236" s="200"/>
      <c r="Q236" s="68"/>
      <c r="U236" s="41"/>
    </row>
    <row r="237">
      <c r="J237" s="68"/>
      <c r="M237" s="200"/>
      <c r="N237" s="201"/>
      <c r="O237" s="200"/>
      <c r="P237" s="200"/>
      <c r="Q237" s="68"/>
      <c r="U237" s="41"/>
    </row>
    <row r="238">
      <c r="J238" s="68"/>
      <c r="M238" s="200"/>
      <c r="N238" s="201"/>
      <c r="O238" s="200"/>
      <c r="P238" s="200"/>
      <c r="Q238" s="68"/>
      <c r="U238" s="41"/>
    </row>
    <row r="239">
      <c r="J239" s="68"/>
      <c r="M239" s="200"/>
      <c r="N239" s="201"/>
      <c r="O239" s="200"/>
      <c r="P239" s="200"/>
      <c r="Q239" s="68"/>
      <c r="U239" s="41"/>
    </row>
    <row r="240">
      <c r="J240" s="68"/>
      <c r="M240" s="200"/>
      <c r="N240" s="201"/>
      <c r="O240" s="200"/>
      <c r="P240" s="200"/>
      <c r="Q240" s="68"/>
      <c r="U240" s="41"/>
    </row>
    <row r="241">
      <c r="J241" s="68"/>
      <c r="M241" s="200"/>
      <c r="N241" s="201"/>
      <c r="O241" s="200"/>
      <c r="P241" s="200"/>
      <c r="Q241" s="68"/>
      <c r="U241" s="41"/>
    </row>
    <row r="242">
      <c r="J242" s="68"/>
      <c r="M242" s="200"/>
      <c r="N242" s="201"/>
      <c r="O242" s="200"/>
      <c r="P242" s="200"/>
      <c r="Q242" s="68"/>
      <c r="U242" s="41"/>
    </row>
    <row r="243">
      <c r="J243" s="68"/>
      <c r="M243" s="200"/>
      <c r="N243" s="201"/>
      <c r="O243" s="200"/>
      <c r="P243" s="200"/>
      <c r="Q243" s="68"/>
      <c r="U243" s="41"/>
    </row>
    <row r="244">
      <c r="J244" s="68"/>
      <c r="M244" s="200"/>
      <c r="N244" s="201"/>
      <c r="O244" s="200"/>
      <c r="P244" s="200"/>
      <c r="Q244" s="68"/>
      <c r="U244" s="41"/>
    </row>
    <row r="245">
      <c r="J245" s="68"/>
      <c r="M245" s="200"/>
      <c r="N245" s="201"/>
      <c r="O245" s="200"/>
      <c r="P245" s="200"/>
      <c r="Q245" s="68"/>
      <c r="U245" s="41"/>
    </row>
    <row r="246">
      <c r="J246" s="68"/>
      <c r="M246" s="200"/>
      <c r="N246" s="201"/>
      <c r="O246" s="200"/>
      <c r="P246" s="200"/>
      <c r="Q246" s="68"/>
      <c r="U246" s="41"/>
    </row>
    <row r="247">
      <c r="J247" s="68"/>
      <c r="M247" s="200"/>
      <c r="N247" s="201"/>
      <c r="O247" s="200"/>
      <c r="P247" s="200"/>
      <c r="Q247" s="68"/>
      <c r="U247" s="41"/>
    </row>
    <row r="248">
      <c r="J248" s="68"/>
      <c r="M248" s="200"/>
      <c r="N248" s="201"/>
      <c r="O248" s="200"/>
      <c r="P248" s="200"/>
      <c r="Q248" s="68"/>
      <c r="U248" s="41"/>
    </row>
    <row r="249">
      <c r="J249" s="68"/>
      <c r="M249" s="200"/>
      <c r="N249" s="201"/>
      <c r="O249" s="200"/>
      <c r="P249" s="200"/>
      <c r="Q249" s="68"/>
      <c r="U249" s="41"/>
    </row>
    <row r="250">
      <c r="J250" s="68"/>
      <c r="M250" s="200"/>
      <c r="N250" s="201"/>
      <c r="O250" s="200"/>
      <c r="P250" s="200"/>
      <c r="Q250" s="68"/>
      <c r="U250" s="41"/>
    </row>
    <row r="251">
      <c r="J251" s="68"/>
      <c r="M251" s="200"/>
      <c r="N251" s="201"/>
      <c r="O251" s="200"/>
      <c r="P251" s="200"/>
      <c r="Q251" s="68"/>
      <c r="U251" s="41"/>
    </row>
    <row r="252">
      <c r="J252" s="68"/>
      <c r="M252" s="200"/>
      <c r="N252" s="201"/>
      <c r="O252" s="200"/>
      <c r="P252" s="200"/>
      <c r="Q252" s="68"/>
      <c r="U252" s="41"/>
    </row>
    <row r="253">
      <c r="J253" s="68"/>
      <c r="M253" s="200"/>
      <c r="N253" s="201"/>
      <c r="O253" s="200"/>
      <c r="P253" s="200"/>
      <c r="Q253" s="68"/>
      <c r="U253" s="41"/>
    </row>
    <row r="254">
      <c r="J254" s="68"/>
      <c r="M254" s="200"/>
      <c r="N254" s="201"/>
      <c r="O254" s="200"/>
      <c r="P254" s="200"/>
      <c r="Q254" s="68"/>
      <c r="U254" s="41"/>
    </row>
    <row r="255">
      <c r="J255" s="68"/>
      <c r="M255" s="200"/>
      <c r="N255" s="201"/>
      <c r="O255" s="200"/>
      <c r="P255" s="200"/>
      <c r="Q255" s="68"/>
      <c r="U255" s="41"/>
    </row>
    <row r="256">
      <c r="J256" s="68"/>
      <c r="M256" s="200"/>
      <c r="N256" s="201"/>
      <c r="O256" s="200"/>
      <c r="P256" s="200"/>
      <c r="Q256" s="68"/>
      <c r="U256" s="41"/>
    </row>
    <row r="257">
      <c r="J257" s="68"/>
      <c r="M257" s="200"/>
      <c r="N257" s="201"/>
      <c r="O257" s="200"/>
      <c r="P257" s="200"/>
      <c r="Q257" s="68"/>
      <c r="U257" s="41"/>
    </row>
    <row r="258">
      <c r="J258" s="68"/>
      <c r="M258" s="200"/>
      <c r="N258" s="201"/>
      <c r="O258" s="200"/>
      <c r="P258" s="200"/>
      <c r="Q258" s="68"/>
      <c r="U258" s="41"/>
    </row>
    <row r="259">
      <c r="J259" s="68"/>
      <c r="M259" s="200"/>
      <c r="N259" s="201"/>
      <c r="O259" s="200"/>
      <c r="P259" s="200"/>
      <c r="Q259" s="68"/>
      <c r="U259" s="41"/>
    </row>
    <row r="260">
      <c r="J260" s="68"/>
      <c r="M260" s="200"/>
      <c r="N260" s="201"/>
      <c r="O260" s="200"/>
      <c r="P260" s="200"/>
      <c r="Q260" s="68"/>
      <c r="U260" s="41"/>
    </row>
    <row r="261">
      <c r="J261" s="68"/>
      <c r="M261" s="200"/>
      <c r="N261" s="201"/>
      <c r="O261" s="200"/>
      <c r="P261" s="200"/>
      <c r="Q261" s="68"/>
      <c r="U261" s="41"/>
    </row>
    <row r="262">
      <c r="J262" s="68"/>
      <c r="M262" s="200"/>
      <c r="N262" s="201"/>
      <c r="O262" s="200"/>
      <c r="P262" s="200"/>
      <c r="Q262" s="68"/>
      <c r="U262" s="41"/>
    </row>
    <row r="263">
      <c r="J263" s="68"/>
      <c r="M263" s="200"/>
      <c r="N263" s="201"/>
      <c r="O263" s="200"/>
      <c r="P263" s="200"/>
      <c r="Q263" s="68"/>
      <c r="U263" s="41"/>
    </row>
    <row r="264">
      <c r="J264" s="68"/>
      <c r="M264" s="200"/>
      <c r="N264" s="201"/>
      <c r="O264" s="200"/>
      <c r="P264" s="200"/>
      <c r="Q264" s="68"/>
      <c r="U264" s="41"/>
    </row>
    <row r="265">
      <c r="J265" s="68"/>
      <c r="M265" s="200"/>
      <c r="N265" s="201"/>
      <c r="O265" s="200"/>
      <c r="P265" s="200"/>
      <c r="Q265" s="68"/>
      <c r="U265" s="41"/>
    </row>
    <row r="266">
      <c r="J266" s="68"/>
      <c r="M266" s="200"/>
      <c r="N266" s="201"/>
      <c r="O266" s="200"/>
      <c r="P266" s="200"/>
      <c r="Q266" s="68"/>
      <c r="U266" s="41"/>
    </row>
    <row r="267">
      <c r="J267" s="68"/>
      <c r="M267" s="200"/>
      <c r="N267" s="201"/>
      <c r="O267" s="200"/>
      <c r="P267" s="200"/>
      <c r="Q267" s="68"/>
      <c r="U267" s="41"/>
    </row>
    <row r="268">
      <c r="J268" s="68"/>
      <c r="M268" s="200"/>
      <c r="N268" s="201"/>
      <c r="O268" s="200"/>
      <c r="P268" s="200"/>
      <c r="Q268" s="68"/>
      <c r="U268" s="41"/>
    </row>
    <row r="269">
      <c r="J269" s="68"/>
      <c r="M269" s="200"/>
      <c r="N269" s="201"/>
      <c r="O269" s="200"/>
      <c r="P269" s="200"/>
      <c r="Q269" s="68"/>
      <c r="U269" s="41"/>
    </row>
    <row r="270">
      <c r="J270" s="68"/>
      <c r="M270" s="200"/>
      <c r="N270" s="201"/>
      <c r="O270" s="200"/>
      <c r="P270" s="200"/>
      <c r="Q270" s="68"/>
      <c r="U270" s="41"/>
    </row>
    <row r="271">
      <c r="J271" s="68"/>
      <c r="M271" s="200"/>
      <c r="N271" s="201"/>
      <c r="O271" s="200"/>
      <c r="P271" s="200"/>
      <c r="Q271" s="68"/>
      <c r="U271" s="41"/>
    </row>
    <row r="272">
      <c r="J272" s="68"/>
      <c r="M272" s="200"/>
      <c r="N272" s="201"/>
      <c r="O272" s="200"/>
      <c r="P272" s="200"/>
      <c r="Q272" s="68"/>
      <c r="U272" s="41"/>
    </row>
    <row r="273">
      <c r="J273" s="68"/>
      <c r="M273" s="200"/>
      <c r="N273" s="201"/>
      <c r="O273" s="200"/>
      <c r="P273" s="200"/>
      <c r="Q273" s="68"/>
      <c r="U273" s="41"/>
    </row>
    <row r="274">
      <c r="J274" s="68"/>
      <c r="M274" s="200"/>
      <c r="N274" s="201"/>
      <c r="O274" s="200"/>
      <c r="P274" s="200"/>
      <c r="Q274" s="68"/>
      <c r="U274" s="41"/>
    </row>
    <row r="275">
      <c r="J275" s="68"/>
      <c r="M275" s="200"/>
      <c r="N275" s="201"/>
      <c r="O275" s="200"/>
      <c r="P275" s="200"/>
      <c r="Q275" s="68"/>
      <c r="U275" s="41"/>
    </row>
    <row r="276">
      <c r="J276" s="68"/>
      <c r="M276" s="200"/>
      <c r="N276" s="201"/>
      <c r="O276" s="200"/>
      <c r="P276" s="200"/>
      <c r="Q276" s="68"/>
      <c r="U276" s="41"/>
    </row>
    <row r="277">
      <c r="J277" s="68"/>
      <c r="M277" s="200"/>
      <c r="N277" s="201"/>
      <c r="O277" s="200"/>
      <c r="P277" s="200"/>
      <c r="Q277" s="68"/>
      <c r="U277" s="41"/>
    </row>
    <row r="278">
      <c r="J278" s="68"/>
      <c r="M278" s="200"/>
      <c r="N278" s="201"/>
      <c r="O278" s="200"/>
      <c r="P278" s="200"/>
      <c r="Q278" s="68"/>
      <c r="U278" s="41"/>
    </row>
    <row r="279">
      <c r="J279" s="68"/>
      <c r="M279" s="200"/>
      <c r="N279" s="201"/>
      <c r="O279" s="200"/>
      <c r="P279" s="200"/>
      <c r="Q279" s="68"/>
      <c r="U279" s="41"/>
    </row>
    <row r="280">
      <c r="J280" s="68"/>
      <c r="M280" s="200"/>
      <c r="N280" s="201"/>
      <c r="O280" s="200"/>
      <c r="P280" s="200"/>
      <c r="Q280" s="68"/>
      <c r="U280" s="41"/>
    </row>
    <row r="281">
      <c r="J281" s="68"/>
      <c r="M281" s="200"/>
      <c r="N281" s="201"/>
      <c r="O281" s="200"/>
      <c r="P281" s="200"/>
      <c r="Q281" s="68"/>
      <c r="U281" s="41"/>
    </row>
    <row r="282">
      <c r="J282" s="68"/>
      <c r="M282" s="200"/>
      <c r="N282" s="201"/>
      <c r="O282" s="200"/>
      <c r="P282" s="200"/>
      <c r="Q282" s="68"/>
      <c r="U282" s="41"/>
    </row>
    <row r="283">
      <c r="J283" s="68"/>
      <c r="M283" s="200"/>
      <c r="N283" s="201"/>
      <c r="O283" s="200"/>
      <c r="P283" s="200"/>
      <c r="Q283" s="68"/>
      <c r="U283" s="41"/>
    </row>
    <row r="284">
      <c r="J284" s="68"/>
      <c r="M284" s="200"/>
      <c r="N284" s="201"/>
      <c r="O284" s="200"/>
      <c r="P284" s="200"/>
      <c r="Q284" s="68"/>
      <c r="U284" s="41"/>
    </row>
    <row r="285">
      <c r="J285" s="68"/>
      <c r="M285" s="200"/>
      <c r="N285" s="201"/>
      <c r="O285" s="200"/>
      <c r="P285" s="200"/>
      <c r="Q285" s="68"/>
      <c r="U285" s="41"/>
    </row>
    <row r="286">
      <c r="J286" s="68"/>
      <c r="M286" s="200"/>
      <c r="N286" s="201"/>
      <c r="O286" s="200"/>
      <c r="P286" s="200"/>
      <c r="Q286" s="68"/>
      <c r="U286" s="41"/>
    </row>
    <row r="287">
      <c r="J287" s="68"/>
      <c r="M287" s="200"/>
      <c r="N287" s="201"/>
      <c r="O287" s="200"/>
      <c r="P287" s="200"/>
      <c r="Q287" s="68"/>
      <c r="U287" s="41"/>
    </row>
    <row r="288">
      <c r="J288" s="68"/>
      <c r="M288" s="200"/>
      <c r="N288" s="201"/>
      <c r="O288" s="200"/>
      <c r="P288" s="200"/>
      <c r="Q288" s="68"/>
      <c r="U288" s="41"/>
    </row>
    <row r="289">
      <c r="J289" s="68"/>
      <c r="M289" s="200"/>
      <c r="N289" s="201"/>
      <c r="O289" s="200"/>
      <c r="P289" s="200"/>
      <c r="Q289" s="68"/>
      <c r="U289" s="41"/>
    </row>
    <row r="290">
      <c r="J290" s="68"/>
      <c r="M290" s="200"/>
      <c r="N290" s="201"/>
      <c r="O290" s="200"/>
      <c r="P290" s="200"/>
      <c r="Q290" s="68"/>
      <c r="U290" s="41"/>
    </row>
    <row r="291">
      <c r="J291" s="68"/>
      <c r="M291" s="200"/>
      <c r="N291" s="201"/>
      <c r="O291" s="200"/>
      <c r="P291" s="200"/>
      <c r="Q291" s="68"/>
      <c r="U291" s="41"/>
    </row>
    <row r="292">
      <c r="J292" s="68"/>
      <c r="M292" s="200"/>
      <c r="N292" s="201"/>
      <c r="O292" s="200"/>
      <c r="P292" s="200"/>
      <c r="Q292" s="68"/>
      <c r="U292" s="41"/>
    </row>
    <row r="293">
      <c r="J293" s="68"/>
      <c r="M293" s="200"/>
      <c r="N293" s="201"/>
      <c r="O293" s="200"/>
      <c r="P293" s="200"/>
      <c r="Q293" s="68"/>
      <c r="U293" s="41"/>
    </row>
    <row r="294">
      <c r="J294" s="68"/>
      <c r="M294" s="200"/>
      <c r="N294" s="201"/>
      <c r="O294" s="200"/>
      <c r="P294" s="200"/>
      <c r="Q294" s="68"/>
      <c r="U294" s="41"/>
    </row>
    <row r="295">
      <c r="J295" s="68"/>
      <c r="M295" s="200"/>
      <c r="N295" s="201"/>
      <c r="O295" s="200"/>
      <c r="P295" s="200"/>
      <c r="Q295" s="68"/>
      <c r="U295" s="41"/>
    </row>
    <row r="296">
      <c r="J296" s="68"/>
      <c r="M296" s="200"/>
      <c r="N296" s="201"/>
      <c r="O296" s="200"/>
      <c r="P296" s="200"/>
      <c r="Q296" s="68"/>
      <c r="U296" s="41"/>
    </row>
    <row r="297">
      <c r="J297" s="68"/>
      <c r="M297" s="200"/>
      <c r="N297" s="201"/>
      <c r="O297" s="200"/>
      <c r="P297" s="200"/>
      <c r="Q297" s="68"/>
      <c r="U297" s="41"/>
    </row>
    <row r="298">
      <c r="J298" s="68"/>
      <c r="M298" s="200"/>
      <c r="N298" s="201"/>
      <c r="O298" s="200"/>
      <c r="P298" s="200"/>
      <c r="Q298" s="68"/>
      <c r="U298" s="41"/>
    </row>
    <row r="299">
      <c r="J299" s="68"/>
      <c r="M299" s="200"/>
      <c r="N299" s="201"/>
      <c r="O299" s="200"/>
      <c r="P299" s="200"/>
      <c r="Q299" s="68"/>
      <c r="U299" s="41"/>
    </row>
    <row r="300">
      <c r="J300" s="68"/>
      <c r="M300" s="200"/>
      <c r="N300" s="201"/>
      <c r="O300" s="200"/>
      <c r="P300" s="200"/>
      <c r="Q300" s="68"/>
      <c r="U300" s="41"/>
    </row>
    <row r="301">
      <c r="J301" s="68"/>
      <c r="M301" s="200"/>
      <c r="N301" s="201"/>
      <c r="O301" s="200"/>
      <c r="P301" s="200"/>
      <c r="Q301" s="68"/>
      <c r="U301" s="41"/>
    </row>
    <row r="302">
      <c r="J302" s="68"/>
      <c r="M302" s="200"/>
      <c r="N302" s="201"/>
      <c r="O302" s="200"/>
      <c r="P302" s="200"/>
      <c r="Q302" s="68"/>
      <c r="U302" s="41"/>
    </row>
    <row r="303">
      <c r="J303" s="68"/>
      <c r="M303" s="200"/>
      <c r="N303" s="201"/>
      <c r="O303" s="200"/>
      <c r="P303" s="200"/>
      <c r="Q303" s="68"/>
      <c r="U303" s="41"/>
    </row>
    <row r="304">
      <c r="J304" s="68"/>
      <c r="M304" s="200"/>
      <c r="N304" s="201"/>
      <c r="O304" s="200"/>
      <c r="P304" s="200"/>
      <c r="Q304" s="68"/>
      <c r="U304" s="41"/>
    </row>
    <row r="305">
      <c r="J305" s="68"/>
      <c r="M305" s="200"/>
      <c r="N305" s="201"/>
      <c r="O305" s="200"/>
      <c r="P305" s="200"/>
      <c r="Q305" s="68"/>
      <c r="U305" s="41"/>
    </row>
    <row r="306">
      <c r="J306" s="68"/>
      <c r="M306" s="200"/>
      <c r="N306" s="201"/>
      <c r="O306" s="200"/>
      <c r="P306" s="200"/>
      <c r="Q306" s="68"/>
      <c r="U306" s="41"/>
    </row>
    <row r="307">
      <c r="J307" s="68"/>
      <c r="M307" s="200"/>
      <c r="N307" s="201"/>
      <c r="O307" s="200"/>
      <c r="P307" s="200"/>
      <c r="Q307" s="68"/>
      <c r="U307" s="41"/>
    </row>
    <row r="308">
      <c r="J308" s="68"/>
      <c r="M308" s="200"/>
      <c r="N308" s="201"/>
      <c r="O308" s="200"/>
      <c r="P308" s="200"/>
      <c r="Q308" s="68"/>
      <c r="U308" s="41"/>
    </row>
    <row r="309">
      <c r="J309" s="68"/>
      <c r="M309" s="200"/>
      <c r="N309" s="201"/>
      <c r="O309" s="200"/>
      <c r="P309" s="200"/>
      <c r="Q309" s="68"/>
      <c r="U309" s="41"/>
    </row>
    <row r="310">
      <c r="J310" s="68"/>
      <c r="M310" s="200"/>
      <c r="N310" s="201"/>
      <c r="O310" s="200"/>
      <c r="P310" s="200"/>
      <c r="Q310" s="68"/>
      <c r="U310" s="41"/>
    </row>
    <row r="311">
      <c r="J311" s="68"/>
      <c r="M311" s="200"/>
      <c r="N311" s="201"/>
      <c r="O311" s="200"/>
      <c r="P311" s="200"/>
      <c r="Q311" s="68"/>
      <c r="U311" s="41"/>
    </row>
    <row r="312">
      <c r="J312" s="68"/>
      <c r="M312" s="200"/>
      <c r="N312" s="201"/>
      <c r="O312" s="200"/>
      <c r="P312" s="200"/>
      <c r="Q312" s="68"/>
      <c r="U312" s="41"/>
    </row>
    <row r="313">
      <c r="J313" s="68"/>
      <c r="M313" s="200"/>
      <c r="N313" s="201"/>
      <c r="O313" s="200"/>
      <c r="P313" s="200"/>
      <c r="Q313" s="68"/>
      <c r="U313" s="41"/>
    </row>
    <row r="314">
      <c r="J314" s="68"/>
      <c r="M314" s="200"/>
      <c r="N314" s="201"/>
      <c r="O314" s="200"/>
      <c r="P314" s="200"/>
      <c r="Q314" s="68"/>
      <c r="U314" s="41"/>
    </row>
    <row r="315">
      <c r="J315" s="68"/>
      <c r="M315" s="200"/>
      <c r="N315" s="201"/>
      <c r="O315" s="200"/>
      <c r="P315" s="200"/>
      <c r="Q315" s="68"/>
      <c r="U315" s="41"/>
    </row>
    <row r="316">
      <c r="J316" s="68"/>
      <c r="M316" s="200"/>
      <c r="N316" s="201"/>
      <c r="O316" s="200"/>
      <c r="P316" s="200"/>
      <c r="Q316" s="68"/>
      <c r="U316" s="41"/>
    </row>
    <row r="317">
      <c r="J317" s="68"/>
      <c r="M317" s="200"/>
      <c r="N317" s="201"/>
      <c r="O317" s="200"/>
      <c r="P317" s="200"/>
      <c r="Q317" s="68"/>
      <c r="U317" s="41"/>
    </row>
    <row r="318">
      <c r="J318" s="68"/>
      <c r="M318" s="200"/>
      <c r="N318" s="201"/>
      <c r="O318" s="200"/>
      <c r="P318" s="200"/>
      <c r="Q318" s="68"/>
      <c r="U318" s="41"/>
    </row>
    <row r="319">
      <c r="J319" s="68"/>
      <c r="M319" s="200"/>
      <c r="N319" s="201"/>
      <c r="O319" s="200"/>
      <c r="P319" s="200"/>
      <c r="Q319" s="68"/>
      <c r="U319" s="41"/>
    </row>
    <row r="320">
      <c r="J320" s="68"/>
      <c r="M320" s="200"/>
      <c r="N320" s="201"/>
      <c r="O320" s="200"/>
      <c r="P320" s="200"/>
      <c r="Q320" s="68"/>
      <c r="U320" s="41"/>
    </row>
    <row r="321">
      <c r="J321" s="68"/>
      <c r="M321" s="200"/>
      <c r="N321" s="201"/>
      <c r="O321" s="200"/>
      <c r="P321" s="200"/>
      <c r="Q321" s="68"/>
      <c r="U321" s="41"/>
    </row>
    <row r="322">
      <c r="J322" s="68"/>
      <c r="M322" s="200"/>
      <c r="N322" s="201"/>
      <c r="O322" s="200"/>
      <c r="P322" s="200"/>
      <c r="Q322" s="68"/>
      <c r="U322" s="41"/>
    </row>
    <row r="323">
      <c r="J323" s="68"/>
      <c r="M323" s="200"/>
      <c r="N323" s="201"/>
      <c r="O323" s="200"/>
      <c r="P323" s="200"/>
      <c r="Q323" s="68"/>
      <c r="U323" s="41"/>
    </row>
    <row r="324">
      <c r="J324" s="68"/>
      <c r="M324" s="200"/>
      <c r="N324" s="201"/>
      <c r="O324" s="200"/>
      <c r="P324" s="200"/>
      <c r="Q324" s="68"/>
      <c r="U324" s="41"/>
    </row>
    <row r="325">
      <c r="J325" s="68"/>
      <c r="M325" s="200"/>
      <c r="N325" s="201"/>
      <c r="O325" s="200"/>
      <c r="P325" s="200"/>
      <c r="Q325" s="68"/>
      <c r="U325" s="41"/>
    </row>
    <row r="326">
      <c r="J326" s="68"/>
      <c r="M326" s="200"/>
      <c r="N326" s="201"/>
      <c r="O326" s="200"/>
      <c r="P326" s="200"/>
      <c r="Q326" s="68"/>
      <c r="U326" s="41"/>
    </row>
    <row r="327">
      <c r="J327" s="68"/>
      <c r="M327" s="200"/>
      <c r="N327" s="201"/>
      <c r="O327" s="200"/>
      <c r="P327" s="200"/>
      <c r="Q327" s="68"/>
      <c r="U327" s="41"/>
    </row>
    <row r="328">
      <c r="J328" s="68"/>
      <c r="M328" s="200"/>
      <c r="N328" s="201"/>
      <c r="O328" s="200"/>
      <c r="P328" s="200"/>
      <c r="Q328" s="68"/>
      <c r="U328" s="41"/>
    </row>
    <row r="329">
      <c r="J329" s="68"/>
      <c r="M329" s="200"/>
      <c r="N329" s="201"/>
      <c r="O329" s="200"/>
      <c r="P329" s="200"/>
      <c r="Q329" s="68"/>
      <c r="U329" s="41"/>
    </row>
    <row r="330">
      <c r="J330" s="68"/>
      <c r="M330" s="200"/>
      <c r="N330" s="201"/>
      <c r="O330" s="200"/>
      <c r="P330" s="200"/>
      <c r="Q330" s="68"/>
      <c r="U330" s="41"/>
    </row>
    <row r="331">
      <c r="J331" s="68"/>
      <c r="M331" s="200"/>
      <c r="N331" s="201"/>
      <c r="O331" s="200"/>
      <c r="P331" s="200"/>
      <c r="Q331" s="68"/>
      <c r="U331" s="41"/>
    </row>
    <row r="332">
      <c r="J332" s="68"/>
      <c r="M332" s="200"/>
      <c r="N332" s="201"/>
      <c r="O332" s="200"/>
      <c r="P332" s="200"/>
      <c r="Q332" s="68"/>
      <c r="U332" s="41"/>
    </row>
    <row r="333">
      <c r="J333" s="68"/>
      <c r="M333" s="200"/>
      <c r="N333" s="201"/>
      <c r="O333" s="200"/>
      <c r="P333" s="200"/>
      <c r="Q333" s="68"/>
      <c r="U333" s="41"/>
    </row>
    <row r="334">
      <c r="J334" s="68"/>
      <c r="M334" s="200"/>
      <c r="N334" s="201"/>
      <c r="O334" s="200"/>
      <c r="P334" s="200"/>
      <c r="Q334" s="68"/>
      <c r="U334" s="41"/>
    </row>
    <row r="335">
      <c r="J335" s="68"/>
      <c r="M335" s="200"/>
      <c r="N335" s="201"/>
      <c r="O335" s="200"/>
      <c r="P335" s="200"/>
      <c r="Q335" s="68"/>
      <c r="U335" s="41"/>
    </row>
    <row r="336">
      <c r="J336" s="68"/>
      <c r="M336" s="200"/>
      <c r="N336" s="201"/>
      <c r="O336" s="200"/>
      <c r="P336" s="200"/>
      <c r="Q336" s="68"/>
      <c r="U336" s="41"/>
    </row>
    <row r="337">
      <c r="J337" s="68"/>
      <c r="M337" s="200"/>
      <c r="N337" s="201"/>
      <c r="O337" s="200"/>
      <c r="P337" s="200"/>
      <c r="Q337" s="68"/>
      <c r="U337" s="41"/>
    </row>
    <row r="338">
      <c r="J338" s="68"/>
      <c r="M338" s="200"/>
      <c r="N338" s="201"/>
      <c r="O338" s="200"/>
      <c r="P338" s="200"/>
      <c r="Q338" s="68"/>
      <c r="U338" s="41"/>
    </row>
    <row r="339">
      <c r="J339" s="68"/>
      <c r="M339" s="200"/>
      <c r="N339" s="201"/>
      <c r="O339" s="200"/>
      <c r="P339" s="200"/>
      <c r="Q339" s="68"/>
      <c r="U339" s="41"/>
    </row>
    <row r="340">
      <c r="J340" s="68"/>
      <c r="M340" s="200"/>
      <c r="N340" s="201"/>
      <c r="O340" s="200"/>
      <c r="P340" s="200"/>
      <c r="Q340" s="68"/>
      <c r="U340" s="41"/>
    </row>
    <row r="341">
      <c r="J341" s="68"/>
      <c r="M341" s="200"/>
      <c r="N341" s="201"/>
      <c r="O341" s="200"/>
      <c r="P341" s="200"/>
      <c r="Q341" s="68"/>
      <c r="U341" s="41"/>
    </row>
    <row r="342">
      <c r="J342" s="68"/>
      <c r="M342" s="200"/>
      <c r="N342" s="201"/>
      <c r="O342" s="200"/>
      <c r="P342" s="200"/>
      <c r="Q342" s="68"/>
      <c r="U342" s="41"/>
    </row>
    <row r="343">
      <c r="J343" s="68"/>
      <c r="M343" s="200"/>
      <c r="N343" s="201"/>
      <c r="O343" s="200"/>
      <c r="P343" s="200"/>
      <c r="Q343" s="68"/>
      <c r="U343" s="41"/>
    </row>
    <row r="344">
      <c r="J344" s="68"/>
      <c r="M344" s="200"/>
      <c r="N344" s="201"/>
      <c r="O344" s="200"/>
      <c r="P344" s="200"/>
      <c r="Q344" s="68"/>
      <c r="U344" s="41"/>
    </row>
    <row r="345">
      <c r="J345" s="68"/>
      <c r="M345" s="200"/>
      <c r="N345" s="201"/>
      <c r="O345" s="200"/>
      <c r="P345" s="200"/>
      <c r="Q345" s="68"/>
      <c r="U345" s="41"/>
    </row>
    <row r="346">
      <c r="J346" s="68"/>
      <c r="M346" s="200"/>
      <c r="N346" s="201"/>
      <c r="O346" s="200"/>
      <c r="P346" s="200"/>
      <c r="Q346" s="68"/>
      <c r="U346" s="41"/>
    </row>
    <row r="347">
      <c r="J347" s="68"/>
      <c r="M347" s="200"/>
      <c r="N347" s="201"/>
      <c r="O347" s="200"/>
      <c r="P347" s="200"/>
      <c r="Q347" s="68"/>
      <c r="U347" s="41"/>
    </row>
    <row r="348">
      <c r="J348" s="68"/>
      <c r="M348" s="200"/>
      <c r="N348" s="201"/>
      <c r="O348" s="200"/>
      <c r="P348" s="200"/>
      <c r="Q348" s="68"/>
      <c r="U348" s="41"/>
    </row>
    <row r="349">
      <c r="J349" s="68"/>
      <c r="M349" s="200"/>
      <c r="N349" s="201"/>
      <c r="O349" s="200"/>
      <c r="P349" s="200"/>
      <c r="Q349" s="68"/>
      <c r="U349" s="41"/>
    </row>
    <row r="350">
      <c r="J350" s="68"/>
      <c r="M350" s="200"/>
      <c r="N350" s="201"/>
      <c r="O350" s="200"/>
      <c r="P350" s="200"/>
      <c r="Q350" s="68"/>
      <c r="U350" s="41"/>
    </row>
    <row r="351">
      <c r="J351" s="68"/>
      <c r="M351" s="200"/>
      <c r="N351" s="201"/>
      <c r="O351" s="200"/>
      <c r="P351" s="200"/>
      <c r="Q351" s="68"/>
      <c r="U351" s="41"/>
    </row>
    <row r="352">
      <c r="J352" s="68"/>
      <c r="M352" s="200"/>
      <c r="N352" s="201"/>
      <c r="O352" s="200"/>
      <c r="P352" s="200"/>
      <c r="Q352" s="68"/>
      <c r="U352" s="41"/>
    </row>
    <row r="353">
      <c r="J353" s="68"/>
      <c r="M353" s="200"/>
      <c r="N353" s="201"/>
      <c r="O353" s="200"/>
      <c r="P353" s="200"/>
      <c r="Q353" s="68"/>
      <c r="U353" s="41"/>
    </row>
    <row r="354">
      <c r="J354" s="68"/>
      <c r="M354" s="200"/>
      <c r="N354" s="201"/>
      <c r="O354" s="200"/>
      <c r="P354" s="200"/>
      <c r="Q354" s="68"/>
      <c r="U354" s="41"/>
    </row>
    <row r="355">
      <c r="J355" s="68"/>
      <c r="M355" s="200"/>
      <c r="N355" s="201"/>
      <c r="O355" s="200"/>
      <c r="P355" s="200"/>
      <c r="Q355" s="68"/>
      <c r="U355" s="41"/>
    </row>
    <row r="356">
      <c r="J356" s="68"/>
      <c r="M356" s="200"/>
      <c r="N356" s="201"/>
      <c r="O356" s="200"/>
      <c r="P356" s="200"/>
      <c r="Q356" s="68"/>
      <c r="U356" s="41"/>
    </row>
    <row r="357">
      <c r="J357" s="68"/>
      <c r="M357" s="200"/>
      <c r="N357" s="201"/>
      <c r="O357" s="200"/>
      <c r="P357" s="200"/>
      <c r="Q357" s="68"/>
      <c r="U357" s="41"/>
    </row>
    <row r="358">
      <c r="J358" s="68"/>
      <c r="M358" s="200"/>
      <c r="N358" s="201"/>
      <c r="O358" s="200"/>
      <c r="P358" s="200"/>
      <c r="Q358" s="68"/>
      <c r="U358" s="41"/>
    </row>
    <row r="359">
      <c r="J359" s="68"/>
      <c r="M359" s="200"/>
      <c r="N359" s="201"/>
      <c r="O359" s="200"/>
      <c r="P359" s="200"/>
      <c r="Q359" s="68"/>
      <c r="U359" s="41"/>
    </row>
    <row r="360">
      <c r="J360" s="68"/>
      <c r="M360" s="200"/>
      <c r="N360" s="201"/>
      <c r="O360" s="200"/>
      <c r="P360" s="200"/>
      <c r="Q360" s="68"/>
      <c r="U360" s="41"/>
    </row>
    <row r="361">
      <c r="J361" s="68"/>
      <c r="M361" s="200"/>
      <c r="N361" s="201"/>
      <c r="O361" s="200"/>
      <c r="P361" s="200"/>
      <c r="Q361" s="68"/>
      <c r="U361" s="41"/>
    </row>
    <row r="362">
      <c r="J362" s="68"/>
      <c r="M362" s="200"/>
      <c r="N362" s="201"/>
      <c r="O362" s="200"/>
      <c r="P362" s="200"/>
      <c r="Q362" s="68"/>
      <c r="U362" s="41"/>
    </row>
    <row r="363">
      <c r="J363" s="68"/>
      <c r="M363" s="200"/>
      <c r="N363" s="201"/>
      <c r="O363" s="200"/>
      <c r="P363" s="200"/>
      <c r="Q363" s="68"/>
      <c r="U363" s="41"/>
    </row>
    <row r="364">
      <c r="J364" s="68"/>
      <c r="M364" s="200"/>
      <c r="N364" s="201"/>
      <c r="O364" s="200"/>
      <c r="P364" s="200"/>
      <c r="Q364" s="68"/>
      <c r="U364" s="41"/>
    </row>
    <row r="365">
      <c r="J365" s="68"/>
      <c r="M365" s="200"/>
      <c r="N365" s="201"/>
      <c r="O365" s="200"/>
      <c r="P365" s="200"/>
      <c r="Q365" s="68"/>
      <c r="U365" s="41"/>
    </row>
    <row r="366">
      <c r="J366" s="68"/>
      <c r="M366" s="200"/>
      <c r="N366" s="201"/>
      <c r="O366" s="200"/>
      <c r="P366" s="200"/>
      <c r="Q366" s="68"/>
      <c r="U366" s="41"/>
    </row>
    <row r="367">
      <c r="J367" s="68"/>
      <c r="M367" s="200"/>
      <c r="N367" s="201"/>
      <c r="O367" s="200"/>
      <c r="P367" s="200"/>
      <c r="Q367" s="68"/>
      <c r="U367" s="41"/>
    </row>
    <row r="368">
      <c r="J368" s="68"/>
      <c r="M368" s="200"/>
      <c r="N368" s="201"/>
      <c r="O368" s="200"/>
      <c r="P368" s="200"/>
      <c r="Q368" s="68"/>
      <c r="U368" s="41"/>
    </row>
    <row r="369">
      <c r="J369" s="68"/>
      <c r="M369" s="200"/>
      <c r="N369" s="201"/>
      <c r="O369" s="200"/>
      <c r="P369" s="200"/>
      <c r="Q369" s="68"/>
      <c r="U369" s="41"/>
    </row>
    <row r="370">
      <c r="J370" s="68"/>
      <c r="M370" s="200"/>
      <c r="N370" s="201"/>
      <c r="O370" s="200"/>
      <c r="P370" s="200"/>
      <c r="Q370" s="68"/>
      <c r="U370" s="41"/>
    </row>
    <row r="371">
      <c r="J371" s="68"/>
      <c r="M371" s="200"/>
      <c r="N371" s="201"/>
      <c r="O371" s="200"/>
      <c r="P371" s="200"/>
      <c r="Q371" s="68"/>
      <c r="U371" s="41"/>
    </row>
    <row r="372">
      <c r="J372" s="68"/>
      <c r="M372" s="200"/>
      <c r="N372" s="201"/>
      <c r="O372" s="200"/>
      <c r="P372" s="200"/>
      <c r="Q372" s="68"/>
      <c r="U372" s="41"/>
    </row>
    <row r="373">
      <c r="J373" s="68"/>
      <c r="M373" s="200"/>
      <c r="N373" s="201"/>
      <c r="O373" s="200"/>
      <c r="P373" s="200"/>
      <c r="Q373" s="68"/>
      <c r="U373" s="41"/>
    </row>
    <row r="374">
      <c r="J374" s="68"/>
      <c r="M374" s="200"/>
      <c r="N374" s="201"/>
      <c r="O374" s="200"/>
      <c r="P374" s="200"/>
      <c r="Q374" s="68"/>
      <c r="U374" s="41"/>
    </row>
    <row r="375">
      <c r="J375" s="68"/>
      <c r="M375" s="200"/>
      <c r="N375" s="201"/>
      <c r="O375" s="200"/>
      <c r="P375" s="200"/>
      <c r="Q375" s="68"/>
      <c r="U375" s="41"/>
    </row>
    <row r="376">
      <c r="J376" s="68"/>
      <c r="M376" s="200"/>
      <c r="N376" s="201"/>
      <c r="O376" s="200"/>
      <c r="P376" s="200"/>
      <c r="Q376" s="68"/>
      <c r="U376" s="41"/>
    </row>
    <row r="377">
      <c r="J377" s="68"/>
      <c r="M377" s="200"/>
      <c r="N377" s="201"/>
      <c r="O377" s="200"/>
      <c r="P377" s="200"/>
      <c r="Q377" s="68"/>
      <c r="U377" s="41"/>
    </row>
    <row r="378">
      <c r="J378" s="68"/>
      <c r="M378" s="200"/>
      <c r="N378" s="201"/>
      <c r="O378" s="200"/>
      <c r="P378" s="200"/>
      <c r="Q378" s="68"/>
      <c r="U378" s="41"/>
    </row>
    <row r="379">
      <c r="J379" s="68"/>
      <c r="M379" s="200"/>
      <c r="N379" s="201"/>
      <c r="O379" s="200"/>
      <c r="P379" s="200"/>
      <c r="Q379" s="68"/>
      <c r="U379" s="41"/>
    </row>
    <row r="380">
      <c r="J380" s="68"/>
      <c r="M380" s="200"/>
      <c r="N380" s="201"/>
      <c r="O380" s="200"/>
      <c r="P380" s="200"/>
      <c r="Q380" s="68"/>
      <c r="U380" s="41"/>
    </row>
    <row r="381">
      <c r="J381" s="68"/>
      <c r="M381" s="200"/>
      <c r="N381" s="201"/>
      <c r="O381" s="200"/>
      <c r="P381" s="200"/>
      <c r="Q381" s="68"/>
      <c r="U381" s="41"/>
    </row>
    <row r="382">
      <c r="J382" s="68"/>
      <c r="M382" s="200"/>
      <c r="N382" s="201"/>
      <c r="O382" s="200"/>
      <c r="P382" s="200"/>
      <c r="Q382" s="68"/>
      <c r="U382" s="41"/>
    </row>
    <row r="383">
      <c r="J383" s="68"/>
      <c r="M383" s="200"/>
      <c r="N383" s="201"/>
      <c r="O383" s="200"/>
      <c r="P383" s="200"/>
      <c r="Q383" s="68"/>
      <c r="U383" s="41"/>
    </row>
    <row r="384">
      <c r="J384" s="68"/>
      <c r="M384" s="200"/>
      <c r="N384" s="201"/>
      <c r="O384" s="200"/>
      <c r="P384" s="200"/>
      <c r="Q384" s="68"/>
      <c r="U384" s="41"/>
    </row>
    <row r="385">
      <c r="J385" s="68"/>
      <c r="M385" s="200"/>
      <c r="N385" s="201"/>
      <c r="O385" s="200"/>
      <c r="P385" s="200"/>
      <c r="Q385" s="68"/>
      <c r="U385" s="41"/>
    </row>
    <row r="386">
      <c r="J386" s="68"/>
      <c r="M386" s="200"/>
      <c r="N386" s="201"/>
      <c r="O386" s="200"/>
      <c r="P386" s="200"/>
      <c r="Q386" s="68"/>
      <c r="U386" s="41"/>
    </row>
    <row r="387">
      <c r="J387" s="68"/>
      <c r="M387" s="200"/>
      <c r="N387" s="201"/>
      <c r="O387" s="200"/>
      <c r="P387" s="200"/>
      <c r="Q387" s="68"/>
      <c r="U387" s="41"/>
    </row>
    <row r="388">
      <c r="J388" s="68"/>
      <c r="M388" s="200"/>
      <c r="N388" s="201"/>
      <c r="O388" s="200"/>
      <c r="P388" s="200"/>
      <c r="Q388" s="68"/>
      <c r="U388" s="41"/>
    </row>
    <row r="389">
      <c r="J389" s="68"/>
      <c r="M389" s="200"/>
      <c r="N389" s="201"/>
      <c r="O389" s="200"/>
      <c r="P389" s="200"/>
      <c r="Q389" s="68"/>
      <c r="U389" s="41"/>
    </row>
    <row r="390">
      <c r="J390" s="68"/>
      <c r="M390" s="200"/>
      <c r="N390" s="201"/>
      <c r="O390" s="200"/>
      <c r="P390" s="200"/>
      <c r="Q390" s="68"/>
      <c r="U390" s="41"/>
    </row>
    <row r="391">
      <c r="J391" s="68"/>
      <c r="M391" s="200"/>
      <c r="N391" s="201"/>
      <c r="O391" s="200"/>
      <c r="P391" s="200"/>
      <c r="Q391" s="68"/>
      <c r="U391" s="41"/>
    </row>
    <row r="392">
      <c r="J392" s="68"/>
      <c r="M392" s="200"/>
      <c r="N392" s="201"/>
      <c r="O392" s="200"/>
      <c r="P392" s="200"/>
      <c r="Q392" s="68"/>
      <c r="U392" s="41"/>
    </row>
    <row r="393">
      <c r="J393" s="68"/>
      <c r="M393" s="200"/>
      <c r="N393" s="201"/>
      <c r="O393" s="200"/>
      <c r="P393" s="200"/>
      <c r="Q393" s="68"/>
      <c r="U393" s="41"/>
    </row>
    <row r="394">
      <c r="J394" s="68"/>
      <c r="M394" s="200"/>
      <c r="N394" s="201"/>
      <c r="O394" s="200"/>
      <c r="P394" s="200"/>
      <c r="Q394" s="68"/>
      <c r="U394" s="41"/>
    </row>
    <row r="395">
      <c r="J395" s="68"/>
      <c r="M395" s="200"/>
      <c r="N395" s="201"/>
      <c r="O395" s="200"/>
      <c r="P395" s="200"/>
      <c r="Q395" s="68"/>
      <c r="U395" s="41"/>
    </row>
    <row r="396">
      <c r="J396" s="68"/>
      <c r="M396" s="200"/>
      <c r="N396" s="201"/>
      <c r="O396" s="200"/>
      <c r="P396" s="200"/>
      <c r="Q396" s="68"/>
      <c r="U396" s="41"/>
    </row>
    <row r="397">
      <c r="J397" s="68"/>
      <c r="M397" s="200"/>
      <c r="N397" s="201"/>
      <c r="O397" s="200"/>
      <c r="P397" s="200"/>
      <c r="Q397" s="68"/>
      <c r="U397" s="41"/>
    </row>
    <row r="398">
      <c r="J398" s="68"/>
      <c r="M398" s="200"/>
      <c r="N398" s="201"/>
      <c r="O398" s="200"/>
      <c r="P398" s="200"/>
      <c r="Q398" s="68"/>
      <c r="U398" s="41"/>
    </row>
    <row r="399">
      <c r="J399" s="68"/>
      <c r="M399" s="200"/>
      <c r="N399" s="201"/>
      <c r="O399" s="200"/>
      <c r="P399" s="200"/>
      <c r="Q399" s="68"/>
      <c r="U399" s="41"/>
    </row>
    <row r="400">
      <c r="J400" s="68"/>
      <c r="M400" s="200"/>
      <c r="N400" s="201"/>
      <c r="O400" s="200"/>
      <c r="P400" s="200"/>
      <c r="Q400" s="68"/>
      <c r="U400" s="41"/>
    </row>
    <row r="401">
      <c r="J401" s="68"/>
      <c r="M401" s="200"/>
      <c r="N401" s="201"/>
      <c r="O401" s="200"/>
      <c r="P401" s="200"/>
      <c r="Q401" s="68"/>
      <c r="U401" s="41"/>
    </row>
    <row r="402">
      <c r="J402" s="68"/>
      <c r="M402" s="200"/>
      <c r="N402" s="201"/>
      <c r="O402" s="200"/>
      <c r="P402" s="200"/>
      <c r="Q402" s="68"/>
      <c r="U402" s="41"/>
    </row>
    <row r="403">
      <c r="J403" s="68"/>
      <c r="M403" s="200"/>
      <c r="N403" s="201"/>
      <c r="O403" s="200"/>
      <c r="P403" s="200"/>
      <c r="Q403" s="68"/>
      <c r="U403" s="41"/>
    </row>
    <row r="404">
      <c r="J404" s="68"/>
      <c r="M404" s="200"/>
      <c r="N404" s="201"/>
      <c r="O404" s="200"/>
      <c r="P404" s="200"/>
      <c r="Q404" s="68"/>
      <c r="U404" s="41"/>
    </row>
    <row r="405">
      <c r="J405" s="68"/>
      <c r="M405" s="200"/>
      <c r="N405" s="201"/>
      <c r="O405" s="200"/>
      <c r="P405" s="200"/>
      <c r="Q405" s="68"/>
      <c r="U405" s="41"/>
    </row>
    <row r="406">
      <c r="J406" s="68"/>
      <c r="M406" s="200"/>
      <c r="N406" s="201"/>
      <c r="O406" s="200"/>
      <c r="P406" s="200"/>
      <c r="Q406" s="68"/>
      <c r="U406" s="41"/>
    </row>
    <row r="407">
      <c r="J407" s="68"/>
      <c r="M407" s="200"/>
      <c r="N407" s="201"/>
      <c r="O407" s="200"/>
      <c r="P407" s="200"/>
      <c r="Q407" s="68"/>
      <c r="U407" s="41"/>
    </row>
    <row r="408">
      <c r="J408" s="68"/>
      <c r="M408" s="200"/>
      <c r="N408" s="201"/>
      <c r="O408" s="200"/>
      <c r="P408" s="200"/>
      <c r="Q408" s="68"/>
      <c r="U408" s="41"/>
    </row>
    <row r="409">
      <c r="J409" s="68"/>
      <c r="M409" s="200"/>
      <c r="N409" s="201"/>
      <c r="O409" s="200"/>
      <c r="P409" s="200"/>
      <c r="Q409" s="68"/>
      <c r="U409" s="41"/>
    </row>
    <row r="410">
      <c r="J410" s="68"/>
      <c r="M410" s="200"/>
      <c r="N410" s="201"/>
      <c r="O410" s="200"/>
      <c r="P410" s="200"/>
      <c r="Q410" s="68"/>
      <c r="U410" s="41"/>
    </row>
    <row r="411">
      <c r="J411" s="68"/>
      <c r="M411" s="200"/>
      <c r="N411" s="201"/>
      <c r="O411" s="200"/>
      <c r="P411" s="200"/>
      <c r="Q411" s="68"/>
      <c r="U411" s="41"/>
    </row>
    <row r="412">
      <c r="J412" s="68"/>
      <c r="M412" s="200"/>
      <c r="N412" s="201"/>
      <c r="O412" s="200"/>
      <c r="P412" s="200"/>
      <c r="Q412" s="68"/>
      <c r="U412" s="41"/>
    </row>
    <row r="413">
      <c r="J413" s="68"/>
      <c r="M413" s="200"/>
      <c r="N413" s="201"/>
      <c r="O413" s="200"/>
      <c r="P413" s="200"/>
      <c r="Q413" s="68"/>
      <c r="U413" s="41"/>
    </row>
    <row r="414">
      <c r="J414" s="68"/>
      <c r="M414" s="200"/>
      <c r="N414" s="201"/>
      <c r="O414" s="200"/>
      <c r="P414" s="200"/>
      <c r="Q414" s="68"/>
      <c r="U414" s="41"/>
    </row>
    <row r="415">
      <c r="J415" s="68"/>
      <c r="M415" s="200"/>
      <c r="N415" s="201"/>
      <c r="O415" s="200"/>
      <c r="P415" s="200"/>
      <c r="Q415" s="68"/>
      <c r="U415" s="41"/>
    </row>
    <row r="416">
      <c r="J416" s="68"/>
      <c r="M416" s="200"/>
      <c r="N416" s="201"/>
      <c r="O416" s="200"/>
      <c r="P416" s="200"/>
      <c r="Q416" s="68"/>
      <c r="U416" s="41"/>
    </row>
    <row r="417">
      <c r="J417" s="68"/>
      <c r="M417" s="200"/>
      <c r="N417" s="201"/>
      <c r="O417" s="200"/>
      <c r="P417" s="200"/>
      <c r="Q417" s="68"/>
      <c r="U417" s="41"/>
    </row>
    <row r="418">
      <c r="J418" s="68"/>
      <c r="M418" s="200"/>
      <c r="N418" s="201"/>
      <c r="O418" s="200"/>
      <c r="P418" s="200"/>
      <c r="Q418" s="68"/>
      <c r="U418" s="41"/>
    </row>
    <row r="419">
      <c r="J419" s="68"/>
      <c r="M419" s="200"/>
      <c r="N419" s="201"/>
      <c r="O419" s="200"/>
      <c r="P419" s="200"/>
      <c r="Q419" s="68"/>
      <c r="U419" s="41"/>
    </row>
    <row r="420">
      <c r="J420" s="68"/>
      <c r="M420" s="200"/>
      <c r="N420" s="201"/>
      <c r="O420" s="200"/>
      <c r="P420" s="200"/>
      <c r="Q420" s="68"/>
      <c r="U420" s="41"/>
    </row>
    <row r="421">
      <c r="J421" s="68"/>
      <c r="M421" s="200"/>
      <c r="N421" s="201"/>
      <c r="O421" s="200"/>
      <c r="P421" s="200"/>
      <c r="Q421" s="68"/>
      <c r="U421" s="41"/>
    </row>
    <row r="422">
      <c r="J422" s="68"/>
      <c r="M422" s="200"/>
      <c r="N422" s="201"/>
      <c r="O422" s="200"/>
      <c r="P422" s="200"/>
      <c r="Q422" s="68"/>
      <c r="U422" s="41"/>
    </row>
    <row r="423">
      <c r="J423" s="68"/>
      <c r="M423" s="200"/>
      <c r="N423" s="201"/>
      <c r="O423" s="200"/>
      <c r="P423" s="200"/>
      <c r="Q423" s="68"/>
      <c r="U423" s="41"/>
    </row>
    <row r="424">
      <c r="J424" s="68"/>
      <c r="M424" s="200"/>
      <c r="N424" s="201"/>
      <c r="O424" s="200"/>
      <c r="P424" s="200"/>
      <c r="Q424" s="68"/>
      <c r="U424" s="41"/>
    </row>
    <row r="425">
      <c r="J425" s="68"/>
      <c r="M425" s="200"/>
      <c r="N425" s="201"/>
      <c r="O425" s="200"/>
      <c r="P425" s="200"/>
      <c r="Q425" s="68"/>
      <c r="U425" s="41"/>
    </row>
    <row r="426">
      <c r="J426" s="68"/>
      <c r="M426" s="200"/>
      <c r="N426" s="201"/>
      <c r="O426" s="200"/>
      <c r="P426" s="200"/>
      <c r="Q426" s="68"/>
      <c r="U426" s="41"/>
    </row>
    <row r="427">
      <c r="J427" s="68"/>
      <c r="M427" s="200"/>
      <c r="N427" s="201"/>
      <c r="O427" s="200"/>
      <c r="P427" s="200"/>
      <c r="Q427" s="68"/>
      <c r="U427" s="41"/>
    </row>
    <row r="428">
      <c r="J428" s="68"/>
      <c r="M428" s="200"/>
      <c r="N428" s="201"/>
      <c r="O428" s="200"/>
      <c r="P428" s="200"/>
      <c r="Q428" s="68"/>
      <c r="U428" s="41"/>
    </row>
    <row r="429">
      <c r="J429" s="68"/>
      <c r="M429" s="200"/>
      <c r="N429" s="201"/>
      <c r="O429" s="200"/>
      <c r="P429" s="200"/>
      <c r="Q429" s="68"/>
      <c r="U429" s="41"/>
    </row>
    <row r="430">
      <c r="J430" s="68"/>
      <c r="M430" s="200"/>
      <c r="N430" s="201"/>
      <c r="O430" s="200"/>
      <c r="P430" s="200"/>
      <c r="Q430" s="68"/>
      <c r="U430" s="41"/>
    </row>
    <row r="431">
      <c r="J431" s="68"/>
      <c r="M431" s="200"/>
      <c r="N431" s="201"/>
      <c r="O431" s="200"/>
      <c r="P431" s="200"/>
      <c r="Q431" s="68"/>
      <c r="U431" s="41"/>
    </row>
    <row r="432">
      <c r="J432" s="68"/>
      <c r="M432" s="200"/>
      <c r="N432" s="201"/>
      <c r="O432" s="200"/>
      <c r="P432" s="200"/>
      <c r="Q432" s="68"/>
      <c r="U432" s="41"/>
    </row>
    <row r="433">
      <c r="J433" s="68"/>
      <c r="M433" s="200"/>
      <c r="N433" s="201"/>
      <c r="O433" s="200"/>
      <c r="P433" s="200"/>
      <c r="Q433" s="68"/>
      <c r="U433" s="41"/>
    </row>
    <row r="434">
      <c r="J434" s="68"/>
      <c r="M434" s="200"/>
      <c r="N434" s="201"/>
      <c r="O434" s="200"/>
      <c r="P434" s="200"/>
      <c r="Q434" s="68"/>
      <c r="U434" s="41"/>
    </row>
    <row r="435">
      <c r="J435" s="68"/>
      <c r="M435" s="200"/>
      <c r="N435" s="201"/>
      <c r="O435" s="200"/>
      <c r="P435" s="200"/>
      <c r="Q435" s="68"/>
      <c r="U435" s="41"/>
    </row>
    <row r="436">
      <c r="J436" s="68"/>
      <c r="M436" s="200"/>
      <c r="N436" s="201"/>
      <c r="O436" s="200"/>
      <c r="P436" s="200"/>
      <c r="Q436" s="68"/>
      <c r="U436" s="41"/>
    </row>
    <row r="437">
      <c r="J437" s="68"/>
      <c r="M437" s="200"/>
      <c r="N437" s="201"/>
      <c r="O437" s="200"/>
      <c r="P437" s="200"/>
      <c r="Q437" s="68"/>
      <c r="U437" s="41"/>
    </row>
    <row r="438">
      <c r="J438" s="68"/>
      <c r="M438" s="200"/>
      <c r="N438" s="201"/>
      <c r="O438" s="200"/>
      <c r="P438" s="200"/>
      <c r="Q438" s="68"/>
      <c r="U438" s="41"/>
    </row>
    <row r="439">
      <c r="J439" s="68"/>
      <c r="M439" s="200"/>
      <c r="N439" s="201"/>
      <c r="O439" s="200"/>
      <c r="P439" s="200"/>
      <c r="Q439" s="68"/>
      <c r="U439" s="41"/>
    </row>
    <row r="440">
      <c r="J440" s="68"/>
      <c r="M440" s="200"/>
      <c r="N440" s="201"/>
      <c r="O440" s="200"/>
      <c r="P440" s="200"/>
      <c r="Q440" s="68"/>
      <c r="U440" s="41"/>
    </row>
    <row r="441">
      <c r="J441" s="68"/>
      <c r="M441" s="200"/>
      <c r="N441" s="201"/>
      <c r="O441" s="200"/>
      <c r="P441" s="200"/>
      <c r="Q441" s="68"/>
      <c r="U441" s="41"/>
    </row>
    <row r="442">
      <c r="J442" s="68"/>
      <c r="M442" s="200"/>
      <c r="N442" s="201"/>
      <c r="O442" s="200"/>
      <c r="P442" s="200"/>
      <c r="Q442" s="68"/>
      <c r="U442" s="41"/>
    </row>
    <row r="443">
      <c r="J443" s="68"/>
      <c r="M443" s="200"/>
      <c r="N443" s="201"/>
      <c r="O443" s="200"/>
      <c r="P443" s="200"/>
      <c r="Q443" s="68"/>
      <c r="U443" s="41"/>
    </row>
    <row r="444">
      <c r="J444" s="68"/>
      <c r="M444" s="200"/>
      <c r="N444" s="201"/>
      <c r="O444" s="200"/>
      <c r="P444" s="200"/>
      <c r="Q444" s="68"/>
      <c r="U444" s="41"/>
    </row>
    <row r="445">
      <c r="J445" s="68"/>
      <c r="M445" s="200"/>
      <c r="N445" s="201"/>
      <c r="O445" s="200"/>
      <c r="P445" s="200"/>
      <c r="Q445" s="68"/>
      <c r="U445" s="41"/>
    </row>
    <row r="446">
      <c r="J446" s="68"/>
      <c r="M446" s="200"/>
      <c r="N446" s="201"/>
      <c r="O446" s="200"/>
      <c r="P446" s="200"/>
      <c r="Q446" s="68"/>
      <c r="U446" s="41"/>
    </row>
    <row r="447">
      <c r="J447" s="68"/>
      <c r="M447" s="200"/>
      <c r="N447" s="201"/>
      <c r="O447" s="200"/>
      <c r="P447" s="200"/>
      <c r="Q447" s="68"/>
      <c r="U447" s="41"/>
    </row>
    <row r="448">
      <c r="J448" s="68"/>
      <c r="M448" s="200"/>
      <c r="N448" s="201"/>
      <c r="O448" s="200"/>
      <c r="P448" s="200"/>
      <c r="Q448" s="68"/>
      <c r="U448" s="41"/>
    </row>
    <row r="449">
      <c r="J449" s="68"/>
      <c r="M449" s="200"/>
      <c r="N449" s="201"/>
      <c r="O449" s="200"/>
      <c r="P449" s="200"/>
      <c r="Q449" s="68"/>
      <c r="U449" s="41"/>
    </row>
    <row r="450">
      <c r="J450" s="68"/>
      <c r="M450" s="200"/>
      <c r="N450" s="201"/>
      <c r="O450" s="200"/>
      <c r="P450" s="200"/>
      <c r="Q450" s="68"/>
      <c r="U450" s="41"/>
    </row>
    <row r="451">
      <c r="J451" s="68"/>
      <c r="M451" s="200"/>
      <c r="N451" s="201"/>
      <c r="O451" s="200"/>
      <c r="P451" s="200"/>
      <c r="Q451" s="68"/>
      <c r="U451" s="41"/>
    </row>
    <row r="452">
      <c r="J452" s="68"/>
      <c r="M452" s="200"/>
      <c r="N452" s="201"/>
      <c r="O452" s="200"/>
      <c r="P452" s="200"/>
      <c r="Q452" s="68"/>
      <c r="U452" s="41"/>
    </row>
    <row r="453">
      <c r="J453" s="68"/>
      <c r="M453" s="200"/>
      <c r="N453" s="201"/>
      <c r="O453" s="200"/>
      <c r="P453" s="200"/>
      <c r="Q453" s="68"/>
      <c r="U453" s="41"/>
    </row>
    <row r="454">
      <c r="J454" s="68"/>
      <c r="M454" s="200"/>
      <c r="N454" s="201"/>
      <c r="O454" s="200"/>
      <c r="P454" s="200"/>
      <c r="Q454" s="68"/>
      <c r="U454" s="41"/>
    </row>
    <row r="455">
      <c r="J455" s="68"/>
      <c r="M455" s="200"/>
      <c r="N455" s="201"/>
      <c r="O455" s="200"/>
      <c r="P455" s="200"/>
      <c r="Q455" s="68"/>
      <c r="U455" s="41"/>
    </row>
    <row r="456">
      <c r="J456" s="68"/>
      <c r="M456" s="200"/>
      <c r="N456" s="201"/>
      <c r="O456" s="200"/>
      <c r="P456" s="200"/>
      <c r="Q456" s="68"/>
      <c r="U456" s="41"/>
    </row>
    <row r="457">
      <c r="J457" s="68"/>
      <c r="M457" s="200"/>
      <c r="N457" s="201"/>
      <c r="O457" s="200"/>
      <c r="P457" s="200"/>
      <c r="Q457" s="68"/>
      <c r="U457" s="41"/>
    </row>
    <row r="458">
      <c r="J458" s="68"/>
      <c r="M458" s="200"/>
      <c r="N458" s="201"/>
      <c r="O458" s="200"/>
      <c r="P458" s="200"/>
      <c r="Q458" s="68"/>
      <c r="U458" s="41"/>
    </row>
    <row r="459">
      <c r="J459" s="68"/>
      <c r="M459" s="200"/>
      <c r="N459" s="201"/>
      <c r="O459" s="200"/>
      <c r="P459" s="200"/>
      <c r="Q459" s="68"/>
      <c r="U459" s="41"/>
    </row>
    <row r="460">
      <c r="J460" s="68"/>
      <c r="M460" s="200"/>
      <c r="N460" s="201"/>
      <c r="O460" s="200"/>
      <c r="P460" s="200"/>
      <c r="Q460" s="68"/>
      <c r="U460" s="41"/>
    </row>
    <row r="461">
      <c r="J461" s="68"/>
      <c r="M461" s="200"/>
      <c r="N461" s="201"/>
      <c r="O461" s="200"/>
      <c r="P461" s="200"/>
      <c r="Q461" s="68"/>
      <c r="U461" s="41"/>
    </row>
    <row r="462">
      <c r="J462" s="68"/>
      <c r="M462" s="200"/>
      <c r="N462" s="201"/>
      <c r="O462" s="200"/>
      <c r="P462" s="200"/>
      <c r="Q462" s="68"/>
      <c r="U462" s="41"/>
    </row>
    <row r="463">
      <c r="J463" s="68"/>
      <c r="M463" s="200"/>
      <c r="N463" s="201"/>
      <c r="O463" s="200"/>
      <c r="P463" s="200"/>
      <c r="Q463" s="68"/>
      <c r="U463" s="41"/>
    </row>
    <row r="464">
      <c r="J464" s="68"/>
      <c r="M464" s="200"/>
      <c r="N464" s="201"/>
      <c r="O464" s="200"/>
      <c r="P464" s="200"/>
      <c r="Q464" s="68"/>
      <c r="U464" s="41"/>
    </row>
    <row r="465">
      <c r="J465" s="68"/>
      <c r="M465" s="200"/>
      <c r="N465" s="201"/>
      <c r="O465" s="200"/>
      <c r="P465" s="200"/>
      <c r="Q465" s="68"/>
      <c r="U465" s="41"/>
    </row>
    <row r="466">
      <c r="J466" s="68"/>
      <c r="M466" s="200"/>
      <c r="N466" s="201"/>
      <c r="O466" s="200"/>
      <c r="P466" s="200"/>
      <c r="Q466" s="68"/>
      <c r="U466" s="41"/>
    </row>
    <row r="467">
      <c r="J467" s="68"/>
      <c r="M467" s="200"/>
      <c r="N467" s="201"/>
      <c r="O467" s="200"/>
      <c r="P467" s="200"/>
      <c r="Q467" s="68"/>
      <c r="U467" s="41"/>
    </row>
    <row r="468">
      <c r="J468" s="68"/>
      <c r="M468" s="200"/>
      <c r="N468" s="201"/>
      <c r="O468" s="200"/>
      <c r="P468" s="200"/>
      <c r="Q468" s="68"/>
      <c r="U468" s="41"/>
    </row>
    <row r="469">
      <c r="J469" s="68"/>
      <c r="M469" s="200"/>
      <c r="N469" s="201"/>
      <c r="O469" s="200"/>
      <c r="P469" s="200"/>
      <c r="Q469" s="68"/>
      <c r="U469" s="41"/>
    </row>
    <row r="470">
      <c r="J470" s="68"/>
      <c r="M470" s="200"/>
      <c r="N470" s="201"/>
      <c r="O470" s="200"/>
      <c r="P470" s="200"/>
      <c r="Q470" s="68"/>
      <c r="U470" s="41"/>
    </row>
    <row r="471">
      <c r="J471" s="68"/>
      <c r="M471" s="200"/>
      <c r="N471" s="201"/>
      <c r="O471" s="200"/>
      <c r="P471" s="200"/>
      <c r="Q471" s="68"/>
      <c r="U471" s="41"/>
    </row>
    <row r="472">
      <c r="J472" s="68"/>
      <c r="M472" s="200"/>
      <c r="N472" s="201"/>
      <c r="O472" s="200"/>
      <c r="P472" s="200"/>
      <c r="Q472" s="68"/>
      <c r="U472" s="41"/>
    </row>
    <row r="473">
      <c r="J473" s="68"/>
      <c r="M473" s="200"/>
      <c r="N473" s="201"/>
      <c r="O473" s="200"/>
      <c r="P473" s="200"/>
      <c r="Q473" s="68"/>
      <c r="U473" s="41"/>
    </row>
    <row r="474">
      <c r="J474" s="68"/>
      <c r="M474" s="200"/>
      <c r="N474" s="201"/>
      <c r="O474" s="200"/>
      <c r="P474" s="200"/>
      <c r="Q474" s="68"/>
      <c r="U474" s="41"/>
    </row>
    <row r="475">
      <c r="J475" s="68"/>
      <c r="M475" s="200"/>
      <c r="N475" s="201"/>
      <c r="O475" s="200"/>
      <c r="P475" s="200"/>
      <c r="Q475" s="68"/>
      <c r="U475" s="41"/>
    </row>
    <row r="476">
      <c r="J476" s="68"/>
      <c r="M476" s="200"/>
      <c r="N476" s="201"/>
      <c r="O476" s="200"/>
      <c r="P476" s="200"/>
      <c r="Q476" s="68"/>
      <c r="U476" s="41"/>
    </row>
    <row r="477">
      <c r="J477" s="68"/>
      <c r="M477" s="200"/>
      <c r="N477" s="201"/>
      <c r="O477" s="200"/>
      <c r="P477" s="200"/>
      <c r="Q477" s="68"/>
      <c r="U477" s="41"/>
    </row>
    <row r="478">
      <c r="J478" s="68"/>
      <c r="M478" s="200"/>
      <c r="N478" s="201"/>
      <c r="O478" s="200"/>
      <c r="P478" s="200"/>
      <c r="Q478" s="68"/>
      <c r="U478" s="41"/>
    </row>
    <row r="479">
      <c r="J479" s="68"/>
      <c r="M479" s="200"/>
      <c r="N479" s="201"/>
      <c r="O479" s="200"/>
      <c r="P479" s="200"/>
      <c r="Q479" s="68"/>
      <c r="U479" s="41"/>
    </row>
    <row r="480">
      <c r="J480" s="68"/>
      <c r="M480" s="200"/>
      <c r="N480" s="201"/>
      <c r="O480" s="200"/>
      <c r="P480" s="200"/>
      <c r="Q480" s="68"/>
      <c r="U480" s="41"/>
    </row>
    <row r="481">
      <c r="J481" s="68"/>
      <c r="M481" s="200"/>
      <c r="N481" s="201"/>
      <c r="O481" s="200"/>
      <c r="P481" s="200"/>
      <c r="Q481" s="68"/>
      <c r="U481" s="41"/>
    </row>
    <row r="482">
      <c r="J482" s="68"/>
      <c r="M482" s="200"/>
      <c r="N482" s="201"/>
      <c r="O482" s="200"/>
      <c r="P482" s="200"/>
      <c r="Q482" s="68"/>
      <c r="U482" s="41"/>
    </row>
    <row r="483">
      <c r="J483" s="68"/>
      <c r="M483" s="200"/>
      <c r="N483" s="201"/>
      <c r="O483" s="200"/>
      <c r="P483" s="200"/>
      <c r="Q483" s="68"/>
      <c r="U483" s="41"/>
    </row>
    <row r="484">
      <c r="J484" s="68"/>
      <c r="M484" s="200"/>
      <c r="N484" s="201"/>
      <c r="O484" s="200"/>
      <c r="P484" s="200"/>
      <c r="Q484" s="68"/>
      <c r="U484" s="41"/>
    </row>
    <row r="485">
      <c r="J485" s="68"/>
      <c r="M485" s="200"/>
      <c r="N485" s="201"/>
      <c r="O485" s="200"/>
      <c r="P485" s="200"/>
      <c r="Q485" s="68"/>
      <c r="U485" s="41"/>
    </row>
    <row r="486">
      <c r="J486" s="68"/>
      <c r="M486" s="200"/>
      <c r="N486" s="201"/>
      <c r="O486" s="200"/>
      <c r="P486" s="200"/>
      <c r="Q486" s="68"/>
      <c r="U486" s="41"/>
    </row>
    <row r="487">
      <c r="J487" s="68"/>
      <c r="M487" s="200"/>
      <c r="N487" s="201"/>
      <c r="O487" s="200"/>
      <c r="P487" s="200"/>
      <c r="Q487" s="68"/>
      <c r="U487" s="41"/>
    </row>
    <row r="488">
      <c r="J488" s="68"/>
      <c r="M488" s="200"/>
      <c r="N488" s="201"/>
      <c r="O488" s="200"/>
      <c r="P488" s="200"/>
      <c r="Q488" s="68"/>
      <c r="U488" s="41"/>
    </row>
    <row r="489">
      <c r="J489" s="68"/>
      <c r="M489" s="200"/>
      <c r="N489" s="201"/>
      <c r="O489" s="200"/>
      <c r="P489" s="200"/>
      <c r="Q489" s="68"/>
      <c r="U489" s="41"/>
    </row>
    <row r="490">
      <c r="J490" s="68"/>
      <c r="M490" s="200"/>
      <c r="N490" s="201"/>
      <c r="O490" s="200"/>
      <c r="P490" s="200"/>
      <c r="Q490" s="68"/>
      <c r="U490" s="41"/>
    </row>
    <row r="491">
      <c r="J491" s="68"/>
      <c r="M491" s="200"/>
      <c r="N491" s="201"/>
      <c r="O491" s="200"/>
      <c r="P491" s="200"/>
      <c r="Q491" s="68"/>
      <c r="U491" s="41"/>
    </row>
    <row r="492">
      <c r="J492" s="68"/>
      <c r="M492" s="200"/>
      <c r="N492" s="201"/>
      <c r="O492" s="200"/>
      <c r="P492" s="200"/>
      <c r="Q492" s="68"/>
      <c r="U492" s="41"/>
    </row>
    <row r="493">
      <c r="J493" s="68"/>
      <c r="M493" s="200"/>
      <c r="N493" s="201"/>
      <c r="O493" s="200"/>
      <c r="P493" s="200"/>
      <c r="Q493" s="68"/>
      <c r="U493" s="41"/>
    </row>
    <row r="494">
      <c r="J494" s="68"/>
      <c r="M494" s="200"/>
      <c r="N494" s="201"/>
      <c r="O494" s="200"/>
      <c r="P494" s="200"/>
      <c r="Q494" s="68"/>
      <c r="U494" s="41"/>
    </row>
    <row r="495">
      <c r="J495" s="68"/>
      <c r="M495" s="200"/>
      <c r="N495" s="201"/>
      <c r="O495" s="200"/>
      <c r="P495" s="200"/>
      <c r="Q495" s="68"/>
      <c r="U495" s="41"/>
    </row>
    <row r="496">
      <c r="J496" s="68"/>
      <c r="M496" s="200"/>
      <c r="N496" s="201"/>
      <c r="O496" s="200"/>
      <c r="P496" s="200"/>
      <c r="Q496" s="68"/>
      <c r="U496" s="41"/>
    </row>
    <row r="497">
      <c r="J497" s="68"/>
      <c r="M497" s="200"/>
      <c r="N497" s="201"/>
      <c r="O497" s="200"/>
      <c r="P497" s="200"/>
      <c r="Q497" s="68"/>
      <c r="U497" s="41"/>
    </row>
    <row r="498">
      <c r="J498" s="68"/>
      <c r="M498" s="200"/>
      <c r="N498" s="201"/>
      <c r="O498" s="200"/>
      <c r="P498" s="200"/>
      <c r="Q498" s="68"/>
      <c r="U498" s="41"/>
    </row>
    <row r="499">
      <c r="J499" s="68"/>
      <c r="M499" s="200"/>
      <c r="N499" s="201"/>
      <c r="O499" s="200"/>
      <c r="P499" s="200"/>
      <c r="Q499" s="68"/>
      <c r="U499" s="41"/>
    </row>
    <row r="500">
      <c r="J500" s="68"/>
      <c r="M500" s="200"/>
      <c r="N500" s="201"/>
      <c r="O500" s="200"/>
      <c r="P500" s="200"/>
      <c r="Q500" s="68"/>
      <c r="U500" s="41"/>
    </row>
    <row r="501">
      <c r="J501" s="68"/>
      <c r="M501" s="200"/>
      <c r="N501" s="201"/>
      <c r="O501" s="200"/>
      <c r="P501" s="200"/>
      <c r="Q501" s="68"/>
      <c r="U501" s="41"/>
    </row>
    <row r="502">
      <c r="J502" s="68"/>
      <c r="M502" s="200"/>
      <c r="N502" s="201"/>
      <c r="O502" s="200"/>
      <c r="P502" s="200"/>
      <c r="Q502" s="68"/>
      <c r="U502" s="41"/>
    </row>
    <row r="503">
      <c r="J503" s="68"/>
      <c r="M503" s="200"/>
      <c r="N503" s="201"/>
      <c r="O503" s="200"/>
      <c r="P503" s="200"/>
      <c r="Q503" s="68"/>
      <c r="U503" s="41"/>
    </row>
    <row r="504">
      <c r="J504" s="68"/>
      <c r="M504" s="200"/>
      <c r="N504" s="201"/>
      <c r="O504" s="200"/>
      <c r="P504" s="200"/>
      <c r="Q504" s="68"/>
      <c r="U504" s="41"/>
    </row>
    <row r="505">
      <c r="J505" s="68"/>
      <c r="M505" s="200"/>
      <c r="N505" s="201"/>
      <c r="O505" s="200"/>
      <c r="P505" s="200"/>
      <c r="Q505" s="68"/>
      <c r="U505" s="41"/>
    </row>
    <row r="506">
      <c r="J506" s="68"/>
      <c r="M506" s="200"/>
      <c r="N506" s="201"/>
      <c r="O506" s="200"/>
      <c r="P506" s="200"/>
      <c r="Q506" s="68"/>
      <c r="U506" s="41"/>
    </row>
    <row r="507">
      <c r="J507" s="68"/>
      <c r="M507" s="200"/>
      <c r="N507" s="201"/>
      <c r="O507" s="200"/>
      <c r="P507" s="200"/>
      <c r="Q507" s="68"/>
      <c r="U507" s="41"/>
    </row>
    <row r="508">
      <c r="J508" s="68"/>
      <c r="M508" s="200"/>
      <c r="N508" s="201"/>
      <c r="O508" s="200"/>
      <c r="P508" s="200"/>
      <c r="Q508" s="68"/>
      <c r="U508" s="41"/>
    </row>
    <row r="509">
      <c r="J509" s="68"/>
      <c r="M509" s="200"/>
      <c r="N509" s="201"/>
      <c r="O509" s="200"/>
      <c r="P509" s="200"/>
      <c r="Q509" s="68"/>
      <c r="U509" s="41"/>
    </row>
    <row r="510">
      <c r="J510" s="68"/>
      <c r="M510" s="200"/>
      <c r="N510" s="201"/>
      <c r="O510" s="200"/>
      <c r="P510" s="200"/>
      <c r="Q510" s="68"/>
      <c r="U510" s="41"/>
    </row>
    <row r="511">
      <c r="J511" s="68"/>
      <c r="M511" s="200"/>
      <c r="N511" s="201"/>
      <c r="O511" s="200"/>
      <c r="P511" s="200"/>
      <c r="Q511" s="68"/>
      <c r="U511" s="41"/>
    </row>
    <row r="512">
      <c r="J512" s="68"/>
      <c r="M512" s="200"/>
      <c r="N512" s="201"/>
      <c r="O512" s="200"/>
      <c r="P512" s="200"/>
      <c r="Q512" s="68"/>
      <c r="U512" s="41"/>
    </row>
    <row r="513">
      <c r="J513" s="68"/>
      <c r="M513" s="200"/>
      <c r="N513" s="201"/>
      <c r="O513" s="200"/>
      <c r="P513" s="200"/>
      <c r="Q513" s="68"/>
      <c r="U513" s="41"/>
    </row>
    <row r="514">
      <c r="J514" s="68"/>
      <c r="M514" s="200"/>
      <c r="N514" s="201"/>
      <c r="O514" s="200"/>
      <c r="P514" s="200"/>
      <c r="Q514" s="68"/>
      <c r="U514" s="41"/>
    </row>
    <row r="515">
      <c r="J515" s="68"/>
      <c r="M515" s="200"/>
      <c r="N515" s="201"/>
      <c r="O515" s="200"/>
      <c r="P515" s="200"/>
      <c r="Q515" s="68"/>
      <c r="U515" s="41"/>
    </row>
    <row r="516">
      <c r="J516" s="68"/>
      <c r="M516" s="200"/>
      <c r="N516" s="201"/>
      <c r="O516" s="200"/>
      <c r="P516" s="200"/>
      <c r="Q516" s="68"/>
      <c r="U516" s="41"/>
    </row>
    <row r="517">
      <c r="J517" s="68"/>
      <c r="M517" s="200"/>
      <c r="N517" s="201"/>
      <c r="O517" s="200"/>
      <c r="P517" s="200"/>
      <c r="Q517" s="68"/>
      <c r="U517" s="41"/>
    </row>
    <row r="518">
      <c r="J518" s="68"/>
      <c r="M518" s="200"/>
      <c r="N518" s="201"/>
      <c r="O518" s="200"/>
      <c r="P518" s="200"/>
      <c r="Q518" s="68"/>
      <c r="U518" s="41"/>
    </row>
    <row r="519">
      <c r="J519" s="68"/>
      <c r="M519" s="200"/>
      <c r="N519" s="201"/>
      <c r="O519" s="200"/>
      <c r="P519" s="200"/>
      <c r="Q519" s="68"/>
      <c r="U519" s="41"/>
    </row>
    <row r="520">
      <c r="J520" s="68"/>
      <c r="M520" s="200"/>
      <c r="N520" s="201"/>
      <c r="O520" s="200"/>
      <c r="P520" s="200"/>
      <c r="Q520" s="68"/>
      <c r="U520" s="41"/>
    </row>
    <row r="521">
      <c r="J521" s="68"/>
      <c r="M521" s="200"/>
      <c r="N521" s="201"/>
      <c r="O521" s="200"/>
      <c r="P521" s="200"/>
      <c r="Q521" s="68"/>
      <c r="U521" s="41"/>
    </row>
    <row r="522">
      <c r="J522" s="68"/>
      <c r="M522" s="200"/>
      <c r="N522" s="201"/>
      <c r="O522" s="200"/>
      <c r="P522" s="200"/>
      <c r="Q522" s="68"/>
      <c r="U522" s="41"/>
    </row>
    <row r="523">
      <c r="J523" s="68"/>
      <c r="M523" s="200"/>
      <c r="N523" s="201"/>
      <c r="O523" s="200"/>
      <c r="P523" s="200"/>
      <c r="Q523" s="68"/>
      <c r="U523" s="41"/>
    </row>
    <row r="524">
      <c r="J524" s="68"/>
      <c r="M524" s="200"/>
      <c r="N524" s="201"/>
      <c r="O524" s="200"/>
      <c r="P524" s="200"/>
      <c r="Q524" s="68"/>
      <c r="U524" s="41"/>
    </row>
    <row r="525">
      <c r="J525" s="68"/>
      <c r="M525" s="200"/>
      <c r="N525" s="201"/>
      <c r="O525" s="200"/>
      <c r="P525" s="200"/>
      <c r="Q525" s="68"/>
      <c r="U525" s="41"/>
    </row>
    <row r="526">
      <c r="J526" s="68"/>
      <c r="M526" s="200"/>
      <c r="N526" s="201"/>
      <c r="O526" s="200"/>
      <c r="P526" s="200"/>
      <c r="Q526" s="68"/>
      <c r="U526" s="41"/>
    </row>
    <row r="527">
      <c r="J527" s="68"/>
      <c r="M527" s="200"/>
      <c r="N527" s="201"/>
      <c r="O527" s="200"/>
      <c r="P527" s="200"/>
      <c r="Q527" s="68"/>
      <c r="U527" s="41"/>
    </row>
    <row r="528">
      <c r="J528" s="68"/>
      <c r="M528" s="200"/>
      <c r="N528" s="201"/>
      <c r="O528" s="200"/>
      <c r="P528" s="200"/>
      <c r="Q528" s="68"/>
      <c r="U528" s="41"/>
    </row>
    <row r="529">
      <c r="J529" s="68"/>
      <c r="M529" s="200"/>
      <c r="N529" s="201"/>
      <c r="O529" s="200"/>
      <c r="P529" s="200"/>
      <c r="Q529" s="68"/>
      <c r="U529" s="41"/>
    </row>
    <row r="530">
      <c r="J530" s="68"/>
      <c r="M530" s="200"/>
      <c r="N530" s="201"/>
      <c r="O530" s="200"/>
      <c r="P530" s="200"/>
      <c r="Q530" s="68"/>
      <c r="U530" s="41"/>
    </row>
    <row r="531">
      <c r="J531" s="68"/>
      <c r="M531" s="200"/>
      <c r="N531" s="201"/>
      <c r="O531" s="200"/>
      <c r="P531" s="200"/>
      <c r="Q531" s="68"/>
      <c r="U531" s="41"/>
    </row>
    <row r="532">
      <c r="J532" s="68"/>
      <c r="M532" s="200"/>
      <c r="N532" s="201"/>
      <c r="O532" s="200"/>
      <c r="P532" s="200"/>
      <c r="Q532" s="68"/>
      <c r="U532" s="41"/>
    </row>
    <row r="533">
      <c r="J533" s="68"/>
      <c r="M533" s="200"/>
      <c r="N533" s="201"/>
      <c r="O533" s="200"/>
      <c r="P533" s="200"/>
      <c r="Q533" s="68"/>
      <c r="U533" s="41"/>
    </row>
    <row r="534">
      <c r="J534" s="68"/>
      <c r="M534" s="200"/>
      <c r="N534" s="201"/>
      <c r="O534" s="200"/>
      <c r="P534" s="200"/>
      <c r="Q534" s="68"/>
      <c r="U534" s="41"/>
    </row>
    <row r="535">
      <c r="J535" s="68"/>
      <c r="M535" s="200"/>
      <c r="N535" s="201"/>
      <c r="O535" s="200"/>
      <c r="P535" s="200"/>
      <c r="Q535" s="68"/>
      <c r="U535" s="41"/>
    </row>
    <row r="536">
      <c r="J536" s="68"/>
      <c r="M536" s="200"/>
      <c r="N536" s="201"/>
      <c r="O536" s="200"/>
      <c r="P536" s="200"/>
      <c r="Q536" s="68"/>
      <c r="U536" s="41"/>
    </row>
    <row r="537">
      <c r="J537" s="68"/>
      <c r="M537" s="200"/>
      <c r="N537" s="201"/>
      <c r="O537" s="200"/>
      <c r="P537" s="200"/>
      <c r="Q537" s="68"/>
      <c r="U537" s="41"/>
    </row>
    <row r="538">
      <c r="J538" s="68"/>
      <c r="M538" s="200"/>
      <c r="N538" s="201"/>
      <c r="O538" s="200"/>
      <c r="P538" s="200"/>
      <c r="Q538" s="68"/>
      <c r="U538" s="41"/>
    </row>
    <row r="539">
      <c r="J539" s="68"/>
      <c r="M539" s="200"/>
      <c r="N539" s="201"/>
      <c r="O539" s="200"/>
      <c r="P539" s="200"/>
      <c r="Q539" s="68"/>
      <c r="U539" s="41"/>
    </row>
    <row r="540">
      <c r="J540" s="68"/>
      <c r="M540" s="200"/>
      <c r="N540" s="201"/>
      <c r="O540" s="200"/>
      <c r="P540" s="200"/>
      <c r="Q540" s="68"/>
      <c r="U540" s="41"/>
    </row>
    <row r="541">
      <c r="J541" s="68"/>
      <c r="M541" s="200"/>
      <c r="N541" s="201"/>
      <c r="O541" s="200"/>
      <c r="P541" s="200"/>
      <c r="Q541" s="68"/>
      <c r="U541" s="41"/>
    </row>
    <row r="542">
      <c r="J542" s="68"/>
      <c r="M542" s="200"/>
      <c r="N542" s="201"/>
      <c r="O542" s="200"/>
      <c r="P542" s="200"/>
      <c r="Q542" s="68"/>
      <c r="U542" s="41"/>
    </row>
    <row r="543">
      <c r="J543" s="68"/>
      <c r="M543" s="200"/>
      <c r="N543" s="201"/>
      <c r="O543" s="200"/>
      <c r="P543" s="200"/>
      <c r="Q543" s="68"/>
      <c r="U543" s="41"/>
    </row>
    <row r="544">
      <c r="J544" s="68"/>
      <c r="M544" s="200"/>
      <c r="N544" s="201"/>
      <c r="O544" s="200"/>
      <c r="P544" s="200"/>
      <c r="Q544" s="68"/>
      <c r="U544" s="41"/>
    </row>
    <row r="545">
      <c r="J545" s="68"/>
      <c r="M545" s="200"/>
      <c r="N545" s="201"/>
      <c r="O545" s="200"/>
      <c r="P545" s="200"/>
      <c r="Q545" s="68"/>
      <c r="U545" s="41"/>
    </row>
    <row r="546">
      <c r="J546" s="68"/>
      <c r="M546" s="200"/>
      <c r="N546" s="201"/>
      <c r="O546" s="200"/>
      <c r="P546" s="200"/>
      <c r="Q546" s="68"/>
      <c r="U546" s="41"/>
    </row>
    <row r="547">
      <c r="J547" s="68"/>
      <c r="M547" s="200"/>
      <c r="N547" s="201"/>
      <c r="O547" s="200"/>
      <c r="P547" s="200"/>
      <c r="Q547" s="68"/>
      <c r="U547" s="41"/>
    </row>
    <row r="548">
      <c r="J548" s="68"/>
      <c r="M548" s="200"/>
      <c r="N548" s="201"/>
      <c r="O548" s="200"/>
      <c r="P548" s="200"/>
      <c r="Q548" s="68"/>
      <c r="U548" s="41"/>
    </row>
    <row r="549">
      <c r="J549" s="68"/>
      <c r="M549" s="200"/>
      <c r="N549" s="201"/>
      <c r="O549" s="200"/>
      <c r="P549" s="200"/>
      <c r="Q549" s="68"/>
      <c r="U549" s="41"/>
    </row>
    <row r="550">
      <c r="J550" s="68"/>
      <c r="M550" s="200"/>
      <c r="N550" s="201"/>
      <c r="O550" s="200"/>
      <c r="P550" s="200"/>
      <c r="Q550" s="68"/>
      <c r="U550" s="41"/>
    </row>
    <row r="551">
      <c r="J551" s="68"/>
      <c r="M551" s="200"/>
      <c r="N551" s="201"/>
      <c r="O551" s="200"/>
      <c r="P551" s="200"/>
      <c r="Q551" s="68"/>
      <c r="U551" s="41"/>
    </row>
    <row r="552">
      <c r="J552" s="68"/>
      <c r="M552" s="200"/>
      <c r="N552" s="201"/>
      <c r="O552" s="200"/>
      <c r="P552" s="200"/>
      <c r="Q552" s="68"/>
      <c r="U552" s="41"/>
    </row>
    <row r="553">
      <c r="J553" s="68"/>
      <c r="M553" s="200"/>
      <c r="N553" s="201"/>
      <c r="O553" s="200"/>
      <c r="P553" s="200"/>
      <c r="Q553" s="68"/>
      <c r="U553" s="41"/>
    </row>
    <row r="554">
      <c r="J554" s="68"/>
      <c r="M554" s="200"/>
      <c r="N554" s="201"/>
      <c r="O554" s="200"/>
      <c r="P554" s="200"/>
      <c r="Q554" s="68"/>
      <c r="U554" s="41"/>
    </row>
    <row r="555">
      <c r="J555" s="68"/>
      <c r="M555" s="200"/>
      <c r="N555" s="201"/>
      <c r="O555" s="200"/>
      <c r="P555" s="200"/>
      <c r="Q555" s="68"/>
      <c r="U555" s="41"/>
    </row>
    <row r="556">
      <c r="J556" s="68"/>
      <c r="M556" s="200"/>
      <c r="N556" s="201"/>
      <c r="O556" s="200"/>
      <c r="P556" s="200"/>
      <c r="Q556" s="68"/>
      <c r="U556" s="41"/>
    </row>
    <row r="557">
      <c r="J557" s="68"/>
      <c r="M557" s="200"/>
      <c r="N557" s="201"/>
      <c r="O557" s="200"/>
      <c r="P557" s="200"/>
      <c r="Q557" s="68"/>
      <c r="U557" s="41"/>
    </row>
    <row r="558">
      <c r="J558" s="68"/>
      <c r="M558" s="200"/>
      <c r="N558" s="201"/>
      <c r="O558" s="200"/>
      <c r="P558" s="200"/>
      <c r="Q558" s="68"/>
      <c r="U558" s="41"/>
    </row>
    <row r="559">
      <c r="J559" s="68"/>
      <c r="M559" s="200"/>
      <c r="N559" s="201"/>
      <c r="O559" s="200"/>
      <c r="P559" s="200"/>
      <c r="Q559" s="68"/>
      <c r="U559" s="41"/>
    </row>
    <row r="560">
      <c r="J560" s="68"/>
      <c r="M560" s="200"/>
      <c r="N560" s="201"/>
      <c r="O560" s="200"/>
      <c r="P560" s="200"/>
      <c r="Q560" s="68"/>
      <c r="U560" s="41"/>
    </row>
    <row r="561">
      <c r="J561" s="68"/>
      <c r="M561" s="200"/>
      <c r="N561" s="201"/>
      <c r="O561" s="200"/>
      <c r="P561" s="200"/>
      <c r="Q561" s="68"/>
      <c r="U561" s="41"/>
    </row>
    <row r="562">
      <c r="J562" s="68"/>
      <c r="M562" s="200"/>
      <c r="N562" s="201"/>
      <c r="O562" s="200"/>
      <c r="P562" s="200"/>
      <c r="Q562" s="68"/>
      <c r="U562" s="41"/>
    </row>
    <row r="563">
      <c r="J563" s="68"/>
      <c r="M563" s="200"/>
      <c r="N563" s="201"/>
      <c r="O563" s="200"/>
      <c r="P563" s="200"/>
      <c r="Q563" s="68"/>
      <c r="U563" s="41"/>
    </row>
    <row r="564">
      <c r="J564" s="68"/>
      <c r="M564" s="200"/>
      <c r="N564" s="201"/>
      <c r="O564" s="200"/>
      <c r="P564" s="200"/>
      <c r="Q564" s="68"/>
      <c r="U564" s="41"/>
    </row>
    <row r="565">
      <c r="J565" s="68"/>
      <c r="M565" s="200"/>
      <c r="N565" s="201"/>
      <c r="O565" s="200"/>
      <c r="P565" s="200"/>
      <c r="Q565" s="68"/>
      <c r="U565" s="41"/>
    </row>
    <row r="566">
      <c r="J566" s="68"/>
      <c r="M566" s="200"/>
      <c r="N566" s="201"/>
      <c r="O566" s="200"/>
      <c r="P566" s="200"/>
      <c r="Q566" s="68"/>
      <c r="U566" s="41"/>
    </row>
    <row r="567">
      <c r="J567" s="68"/>
      <c r="M567" s="200"/>
      <c r="N567" s="201"/>
      <c r="O567" s="200"/>
      <c r="P567" s="200"/>
      <c r="Q567" s="68"/>
      <c r="U567" s="41"/>
    </row>
    <row r="568">
      <c r="J568" s="68"/>
      <c r="M568" s="200"/>
      <c r="N568" s="201"/>
      <c r="O568" s="200"/>
      <c r="P568" s="200"/>
      <c r="Q568" s="68"/>
      <c r="U568" s="41"/>
    </row>
    <row r="569">
      <c r="J569" s="68"/>
      <c r="M569" s="200"/>
      <c r="N569" s="201"/>
      <c r="O569" s="200"/>
      <c r="P569" s="200"/>
      <c r="Q569" s="68"/>
      <c r="U569" s="41"/>
    </row>
    <row r="570">
      <c r="J570" s="68"/>
      <c r="M570" s="200"/>
      <c r="N570" s="201"/>
      <c r="O570" s="200"/>
      <c r="P570" s="200"/>
      <c r="Q570" s="68"/>
      <c r="U570" s="41"/>
    </row>
    <row r="571">
      <c r="J571" s="68"/>
      <c r="M571" s="200"/>
      <c r="N571" s="201"/>
      <c r="O571" s="200"/>
      <c r="P571" s="200"/>
      <c r="Q571" s="68"/>
      <c r="U571" s="41"/>
    </row>
    <row r="572">
      <c r="J572" s="68"/>
      <c r="M572" s="200"/>
      <c r="N572" s="201"/>
      <c r="O572" s="200"/>
      <c r="P572" s="200"/>
      <c r="Q572" s="68"/>
      <c r="U572" s="41"/>
    </row>
    <row r="573">
      <c r="J573" s="68"/>
      <c r="M573" s="200"/>
      <c r="N573" s="201"/>
      <c r="O573" s="200"/>
      <c r="P573" s="200"/>
      <c r="Q573" s="68"/>
      <c r="U573" s="41"/>
    </row>
    <row r="574">
      <c r="J574" s="68"/>
      <c r="M574" s="200"/>
      <c r="N574" s="201"/>
      <c r="O574" s="200"/>
      <c r="P574" s="200"/>
      <c r="Q574" s="68"/>
      <c r="U574" s="41"/>
    </row>
    <row r="575">
      <c r="J575" s="68"/>
      <c r="M575" s="200"/>
      <c r="N575" s="201"/>
      <c r="O575" s="200"/>
      <c r="P575" s="200"/>
      <c r="Q575" s="68"/>
      <c r="U575" s="41"/>
    </row>
    <row r="576">
      <c r="J576" s="68"/>
      <c r="M576" s="200"/>
      <c r="N576" s="201"/>
      <c r="O576" s="200"/>
      <c r="P576" s="200"/>
      <c r="Q576" s="68"/>
      <c r="U576" s="41"/>
    </row>
    <row r="577">
      <c r="J577" s="68"/>
      <c r="M577" s="200"/>
      <c r="N577" s="201"/>
      <c r="O577" s="200"/>
      <c r="P577" s="200"/>
      <c r="Q577" s="68"/>
      <c r="U577" s="41"/>
    </row>
    <row r="578">
      <c r="J578" s="68"/>
      <c r="M578" s="200"/>
      <c r="N578" s="201"/>
      <c r="O578" s="200"/>
      <c r="P578" s="200"/>
      <c r="Q578" s="68"/>
      <c r="U578" s="41"/>
    </row>
    <row r="579">
      <c r="J579" s="68"/>
      <c r="M579" s="200"/>
      <c r="N579" s="201"/>
      <c r="O579" s="200"/>
      <c r="P579" s="200"/>
      <c r="Q579" s="68"/>
      <c r="U579" s="41"/>
    </row>
    <row r="580">
      <c r="J580" s="68"/>
      <c r="M580" s="200"/>
      <c r="N580" s="201"/>
      <c r="O580" s="200"/>
      <c r="P580" s="200"/>
      <c r="Q580" s="68"/>
      <c r="U580" s="41"/>
    </row>
    <row r="581">
      <c r="J581" s="68"/>
      <c r="M581" s="200"/>
      <c r="N581" s="201"/>
      <c r="O581" s="200"/>
      <c r="P581" s="200"/>
      <c r="Q581" s="68"/>
      <c r="U581" s="41"/>
    </row>
    <row r="582">
      <c r="J582" s="68"/>
      <c r="M582" s="200"/>
      <c r="N582" s="201"/>
      <c r="O582" s="200"/>
      <c r="P582" s="200"/>
      <c r="Q582" s="68"/>
      <c r="U582" s="41"/>
    </row>
    <row r="583">
      <c r="J583" s="68"/>
      <c r="M583" s="200"/>
      <c r="N583" s="201"/>
      <c r="O583" s="200"/>
      <c r="P583" s="200"/>
      <c r="Q583" s="68"/>
      <c r="U583" s="41"/>
    </row>
    <row r="584">
      <c r="J584" s="68"/>
      <c r="M584" s="200"/>
      <c r="N584" s="201"/>
      <c r="O584" s="200"/>
      <c r="P584" s="200"/>
      <c r="Q584" s="68"/>
      <c r="U584" s="41"/>
    </row>
    <row r="585">
      <c r="J585" s="68"/>
      <c r="M585" s="200"/>
      <c r="N585" s="201"/>
      <c r="O585" s="200"/>
      <c r="P585" s="200"/>
      <c r="Q585" s="68"/>
      <c r="U585" s="41"/>
    </row>
    <row r="586">
      <c r="J586" s="68"/>
      <c r="M586" s="200"/>
      <c r="N586" s="201"/>
      <c r="O586" s="200"/>
      <c r="P586" s="200"/>
      <c r="Q586" s="68"/>
      <c r="U586" s="41"/>
    </row>
    <row r="587">
      <c r="J587" s="68"/>
      <c r="M587" s="200"/>
      <c r="N587" s="201"/>
      <c r="O587" s="200"/>
      <c r="P587" s="200"/>
      <c r="Q587" s="68"/>
      <c r="U587" s="41"/>
    </row>
    <row r="588">
      <c r="J588" s="68"/>
      <c r="M588" s="200"/>
      <c r="N588" s="201"/>
      <c r="O588" s="200"/>
      <c r="P588" s="200"/>
      <c r="Q588" s="68"/>
      <c r="U588" s="41"/>
    </row>
    <row r="589">
      <c r="J589" s="68"/>
      <c r="M589" s="200"/>
      <c r="N589" s="201"/>
      <c r="O589" s="200"/>
      <c r="P589" s="200"/>
      <c r="Q589" s="68"/>
      <c r="U589" s="41"/>
    </row>
    <row r="590">
      <c r="J590" s="68"/>
      <c r="M590" s="200"/>
      <c r="N590" s="201"/>
      <c r="O590" s="200"/>
      <c r="P590" s="200"/>
      <c r="Q590" s="68"/>
      <c r="U590" s="41"/>
    </row>
    <row r="591">
      <c r="J591" s="68"/>
      <c r="M591" s="200"/>
      <c r="N591" s="201"/>
      <c r="O591" s="200"/>
      <c r="P591" s="200"/>
      <c r="Q591" s="68"/>
      <c r="U591" s="41"/>
    </row>
    <row r="592">
      <c r="J592" s="68"/>
      <c r="M592" s="200"/>
      <c r="N592" s="201"/>
      <c r="O592" s="200"/>
      <c r="P592" s="200"/>
      <c r="Q592" s="68"/>
      <c r="U592" s="41"/>
    </row>
    <row r="593">
      <c r="J593" s="68"/>
      <c r="M593" s="200"/>
      <c r="N593" s="201"/>
      <c r="O593" s="200"/>
      <c r="P593" s="200"/>
      <c r="Q593" s="68"/>
      <c r="U593" s="41"/>
    </row>
    <row r="594">
      <c r="J594" s="68"/>
      <c r="M594" s="200"/>
      <c r="N594" s="201"/>
      <c r="O594" s="200"/>
      <c r="P594" s="200"/>
      <c r="Q594" s="68"/>
      <c r="U594" s="41"/>
    </row>
    <row r="595">
      <c r="J595" s="68"/>
      <c r="M595" s="200"/>
      <c r="N595" s="201"/>
      <c r="O595" s="200"/>
      <c r="P595" s="200"/>
      <c r="Q595" s="68"/>
      <c r="U595" s="41"/>
    </row>
    <row r="596">
      <c r="J596" s="68"/>
      <c r="M596" s="200"/>
      <c r="N596" s="201"/>
      <c r="O596" s="200"/>
      <c r="P596" s="200"/>
      <c r="Q596" s="68"/>
      <c r="U596" s="41"/>
    </row>
    <row r="597">
      <c r="J597" s="68"/>
      <c r="M597" s="200"/>
      <c r="N597" s="201"/>
      <c r="O597" s="200"/>
      <c r="P597" s="200"/>
      <c r="Q597" s="68"/>
      <c r="U597" s="41"/>
    </row>
    <row r="598">
      <c r="J598" s="68"/>
      <c r="M598" s="200"/>
      <c r="N598" s="201"/>
      <c r="O598" s="200"/>
      <c r="P598" s="200"/>
      <c r="Q598" s="68"/>
      <c r="U598" s="41"/>
    </row>
    <row r="599">
      <c r="J599" s="68"/>
      <c r="M599" s="200"/>
      <c r="N599" s="201"/>
      <c r="O599" s="200"/>
      <c r="P599" s="200"/>
      <c r="Q599" s="68"/>
      <c r="U599" s="41"/>
    </row>
    <row r="600">
      <c r="J600" s="68"/>
      <c r="M600" s="200"/>
      <c r="N600" s="201"/>
      <c r="O600" s="200"/>
      <c r="P600" s="200"/>
      <c r="Q600" s="68"/>
      <c r="U600" s="41"/>
    </row>
    <row r="601">
      <c r="J601" s="68"/>
      <c r="M601" s="200"/>
      <c r="N601" s="201"/>
      <c r="O601" s="200"/>
      <c r="P601" s="200"/>
      <c r="Q601" s="68"/>
      <c r="U601" s="41"/>
    </row>
    <row r="602">
      <c r="J602" s="68"/>
      <c r="M602" s="200"/>
      <c r="N602" s="201"/>
      <c r="O602" s="200"/>
      <c r="P602" s="200"/>
      <c r="Q602" s="68"/>
      <c r="U602" s="41"/>
    </row>
    <row r="603">
      <c r="J603" s="68"/>
      <c r="M603" s="200"/>
      <c r="N603" s="201"/>
      <c r="O603" s="200"/>
      <c r="P603" s="200"/>
      <c r="Q603" s="68"/>
      <c r="U603" s="41"/>
    </row>
    <row r="604">
      <c r="J604" s="68"/>
      <c r="M604" s="200"/>
      <c r="N604" s="201"/>
      <c r="O604" s="200"/>
      <c r="P604" s="200"/>
      <c r="Q604" s="68"/>
      <c r="U604" s="41"/>
    </row>
    <row r="605">
      <c r="J605" s="68"/>
      <c r="M605" s="200"/>
      <c r="N605" s="201"/>
      <c r="O605" s="200"/>
      <c r="P605" s="200"/>
      <c r="Q605" s="68"/>
      <c r="U605" s="41"/>
    </row>
    <row r="606">
      <c r="J606" s="68"/>
      <c r="M606" s="200"/>
      <c r="N606" s="201"/>
      <c r="O606" s="200"/>
      <c r="P606" s="200"/>
      <c r="Q606" s="68"/>
      <c r="U606" s="41"/>
    </row>
    <row r="607">
      <c r="J607" s="68"/>
      <c r="M607" s="200"/>
      <c r="N607" s="201"/>
      <c r="O607" s="200"/>
      <c r="P607" s="200"/>
      <c r="Q607" s="68"/>
      <c r="U607" s="41"/>
    </row>
    <row r="608">
      <c r="J608" s="68"/>
      <c r="M608" s="200"/>
      <c r="N608" s="201"/>
      <c r="O608" s="200"/>
      <c r="P608" s="200"/>
      <c r="Q608" s="68"/>
      <c r="U608" s="41"/>
    </row>
    <row r="609">
      <c r="J609" s="68"/>
      <c r="M609" s="200"/>
      <c r="N609" s="201"/>
      <c r="O609" s="200"/>
      <c r="P609" s="200"/>
      <c r="Q609" s="68"/>
      <c r="U609" s="41"/>
    </row>
    <row r="610">
      <c r="J610" s="68"/>
      <c r="M610" s="200"/>
      <c r="N610" s="201"/>
      <c r="O610" s="200"/>
      <c r="P610" s="200"/>
      <c r="Q610" s="68"/>
      <c r="U610" s="41"/>
    </row>
    <row r="611">
      <c r="J611" s="68"/>
      <c r="M611" s="200"/>
      <c r="N611" s="201"/>
      <c r="O611" s="200"/>
      <c r="P611" s="200"/>
      <c r="Q611" s="68"/>
      <c r="U611" s="41"/>
    </row>
    <row r="612">
      <c r="J612" s="68"/>
      <c r="M612" s="200"/>
      <c r="N612" s="201"/>
      <c r="O612" s="200"/>
      <c r="P612" s="200"/>
      <c r="Q612" s="68"/>
      <c r="U612" s="41"/>
    </row>
    <row r="613">
      <c r="J613" s="68"/>
      <c r="M613" s="200"/>
      <c r="N613" s="201"/>
      <c r="O613" s="200"/>
      <c r="P613" s="200"/>
      <c r="Q613" s="68"/>
      <c r="U613" s="41"/>
    </row>
    <row r="614">
      <c r="J614" s="68"/>
      <c r="M614" s="200"/>
      <c r="N614" s="201"/>
      <c r="O614" s="200"/>
      <c r="P614" s="200"/>
      <c r="Q614" s="68"/>
      <c r="U614" s="41"/>
    </row>
    <row r="615">
      <c r="J615" s="68"/>
      <c r="M615" s="200"/>
      <c r="N615" s="201"/>
      <c r="O615" s="200"/>
      <c r="P615" s="200"/>
      <c r="Q615" s="68"/>
      <c r="U615" s="41"/>
    </row>
    <row r="616">
      <c r="J616" s="68"/>
      <c r="M616" s="200"/>
      <c r="N616" s="201"/>
      <c r="O616" s="200"/>
      <c r="P616" s="200"/>
      <c r="Q616" s="68"/>
      <c r="U616" s="41"/>
    </row>
    <row r="617">
      <c r="J617" s="68"/>
      <c r="M617" s="200"/>
      <c r="N617" s="201"/>
      <c r="O617" s="200"/>
      <c r="P617" s="200"/>
      <c r="Q617" s="68"/>
      <c r="U617" s="41"/>
    </row>
    <row r="618">
      <c r="J618" s="68"/>
      <c r="M618" s="200"/>
      <c r="N618" s="201"/>
      <c r="O618" s="200"/>
      <c r="P618" s="200"/>
      <c r="Q618" s="68"/>
      <c r="U618" s="41"/>
    </row>
    <row r="619">
      <c r="J619" s="68"/>
      <c r="M619" s="200"/>
      <c r="N619" s="201"/>
      <c r="O619" s="200"/>
      <c r="P619" s="200"/>
      <c r="Q619" s="68"/>
      <c r="U619" s="41"/>
    </row>
    <row r="620">
      <c r="J620" s="68"/>
      <c r="M620" s="200"/>
      <c r="N620" s="201"/>
      <c r="O620" s="200"/>
      <c r="P620" s="200"/>
      <c r="Q620" s="68"/>
      <c r="U620" s="41"/>
    </row>
    <row r="621">
      <c r="J621" s="68"/>
      <c r="M621" s="200"/>
      <c r="N621" s="201"/>
      <c r="O621" s="200"/>
      <c r="P621" s="200"/>
      <c r="Q621" s="68"/>
      <c r="U621" s="41"/>
    </row>
    <row r="622">
      <c r="J622" s="68"/>
      <c r="M622" s="200"/>
      <c r="N622" s="201"/>
      <c r="O622" s="200"/>
      <c r="P622" s="200"/>
      <c r="Q622" s="68"/>
      <c r="U622" s="41"/>
    </row>
    <row r="623">
      <c r="J623" s="68"/>
      <c r="M623" s="200"/>
      <c r="N623" s="201"/>
      <c r="O623" s="200"/>
      <c r="P623" s="200"/>
      <c r="Q623" s="68"/>
      <c r="U623" s="41"/>
    </row>
    <row r="624">
      <c r="J624" s="68"/>
      <c r="M624" s="200"/>
      <c r="N624" s="201"/>
      <c r="O624" s="200"/>
      <c r="P624" s="200"/>
      <c r="Q624" s="68"/>
      <c r="U624" s="41"/>
    </row>
    <row r="625">
      <c r="J625" s="68"/>
      <c r="M625" s="200"/>
      <c r="N625" s="201"/>
      <c r="O625" s="200"/>
      <c r="P625" s="200"/>
      <c r="Q625" s="68"/>
      <c r="U625" s="41"/>
    </row>
    <row r="626">
      <c r="J626" s="68"/>
      <c r="M626" s="200"/>
      <c r="N626" s="201"/>
      <c r="O626" s="200"/>
      <c r="P626" s="200"/>
      <c r="Q626" s="68"/>
      <c r="U626" s="41"/>
    </row>
    <row r="627">
      <c r="J627" s="68"/>
      <c r="M627" s="200"/>
      <c r="N627" s="201"/>
      <c r="O627" s="200"/>
      <c r="P627" s="200"/>
      <c r="Q627" s="68"/>
      <c r="U627" s="41"/>
    </row>
    <row r="628">
      <c r="J628" s="68"/>
      <c r="M628" s="200"/>
      <c r="N628" s="201"/>
      <c r="O628" s="200"/>
      <c r="P628" s="200"/>
      <c r="Q628" s="68"/>
      <c r="U628" s="41"/>
    </row>
    <row r="629">
      <c r="J629" s="68"/>
      <c r="M629" s="200"/>
      <c r="N629" s="201"/>
      <c r="O629" s="200"/>
      <c r="P629" s="200"/>
      <c r="Q629" s="68"/>
      <c r="U629" s="41"/>
    </row>
    <row r="630">
      <c r="J630" s="68"/>
      <c r="M630" s="200"/>
      <c r="N630" s="201"/>
      <c r="O630" s="200"/>
      <c r="P630" s="200"/>
      <c r="Q630" s="68"/>
      <c r="U630" s="41"/>
    </row>
    <row r="631">
      <c r="J631" s="68"/>
      <c r="M631" s="200"/>
      <c r="N631" s="201"/>
      <c r="O631" s="200"/>
      <c r="P631" s="200"/>
      <c r="Q631" s="68"/>
      <c r="U631" s="41"/>
    </row>
    <row r="632">
      <c r="J632" s="68"/>
      <c r="M632" s="200"/>
      <c r="N632" s="201"/>
      <c r="O632" s="200"/>
      <c r="P632" s="200"/>
      <c r="Q632" s="68"/>
      <c r="U632" s="41"/>
    </row>
    <row r="633">
      <c r="J633" s="68"/>
      <c r="M633" s="200"/>
      <c r="N633" s="201"/>
      <c r="O633" s="200"/>
      <c r="P633" s="200"/>
      <c r="Q633" s="68"/>
      <c r="U633" s="41"/>
    </row>
    <row r="634">
      <c r="J634" s="68"/>
      <c r="M634" s="200"/>
      <c r="N634" s="201"/>
      <c r="O634" s="200"/>
      <c r="P634" s="200"/>
      <c r="Q634" s="68"/>
      <c r="U634" s="41"/>
    </row>
    <row r="635">
      <c r="J635" s="68"/>
      <c r="M635" s="200"/>
      <c r="N635" s="201"/>
      <c r="O635" s="200"/>
      <c r="P635" s="200"/>
      <c r="Q635" s="68"/>
      <c r="U635" s="41"/>
    </row>
    <row r="636">
      <c r="J636" s="68"/>
      <c r="M636" s="200"/>
      <c r="N636" s="201"/>
      <c r="O636" s="200"/>
      <c r="P636" s="200"/>
      <c r="Q636" s="68"/>
      <c r="U636" s="41"/>
    </row>
    <row r="637">
      <c r="J637" s="68"/>
      <c r="M637" s="200"/>
      <c r="N637" s="201"/>
      <c r="O637" s="200"/>
      <c r="P637" s="200"/>
      <c r="Q637" s="68"/>
      <c r="U637" s="41"/>
    </row>
    <row r="638">
      <c r="J638" s="68"/>
      <c r="M638" s="200"/>
      <c r="N638" s="201"/>
      <c r="O638" s="200"/>
      <c r="P638" s="200"/>
      <c r="Q638" s="68"/>
      <c r="U638" s="41"/>
    </row>
    <row r="639">
      <c r="J639" s="68"/>
      <c r="M639" s="200"/>
      <c r="N639" s="201"/>
      <c r="O639" s="200"/>
      <c r="P639" s="200"/>
      <c r="Q639" s="68"/>
      <c r="U639" s="41"/>
    </row>
    <row r="640">
      <c r="J640" s="68"/>
      <c r="M640" s="200"/>
      <c r="N640" s="201"/>
      <c r="O640" s="200"/>
      <c r="P640" s="200"/>
      <c r="Q640" s="68"/>
      <c r="U640" s="41"/>
    </row>
    <row r="641">
      <c r="J641" s="68"/>
      <c r="M641" s="200"/>
      <c r="N641" s="201"/>
      <c r="O641" s="200"/>
      <c r="P641" s="200"/>
      <c r="Q641" s="68"/>
      <c r="U641" s="41"/>
    </row>
    <row r="642">
      <c r="J642" s="68"/>
      <c r="M642" s="200"/>
      <c r="N642" s="201"/>
      <c r="O642" s="200"/>
      <c r="P642" s="200"/>
      <c r="Q642" s="68"/>
      <c r="U642" s="41"/>
    </row>
    <row r="643">
      <c r="J643" s="68"/>
      <c r="M643" s="200"/>
      <c r="N643" s="201"/>
      <c r="O643" s="200"/>
      <c r="P643" s="200"/>
      <c r="Q643" s="68"/>
      <c r="U643" s="41"/>
    </row>
    <row r="644">
      <c r="J644" s="68"/>
      <c r="M644" s="200"/>
      <c r="N644" s="201"/>
      <c r="O644" s="200"/>
      <c r="P644" s="200"/>
      <c r="Q644" s="68"/>
      <c r="U644" s="41"/>
    </row>
    <row r="645">
      <c r="J645" s="68"/>
      <c r="M645" s="200"/>
      <c r="N645" s="201"/>
      <c r="O645" s="200"/>
      <c r="P645" s="200"/>
      <c r="Q645" s="68"/>
      <c r="U645" s="41"/>
    </row>
    <row r="646">
      <c r="J646" s="68"/>
      <c r="M646" s="200"/>
      <c r="N646" s="201"/>
      <c r="O646" s="200"/>
      <c r="P646" s="200"/>
      <c r="Q646" s="68"/>
      <c r="U646" s="41"/>
    </row>
    <row r="647">
      <c r="J647" s="68"/>
      <c r="M647" s="200"/>
      <c r="N647" s="201"/>
      <c r="O647" s="200"/>
      <c r="P647" s="200"/>
      <c r="Q647" s="68"/>
      <c r="U647" s="41"/>
    </row>
    <row r="648">
      <c r="J648" s="68"/>
      <c r="M648" s="200"/>
      <c r="N648" s="201"/>
      <c r="O648" s="200"/>
      <c r="P648" s="200"/>
      <c r="Q648" s="68"/>
      <c r="U648" s="41"/>
    </row>
    <row r="649">
      <c r="J649" s="68"/>
      <c r="M649" s="200"/>
      <c r="N649" s="201"/>
      <c r="O649" s="200"/>
      <c r="P649" s="200"/>
      <c r="Q649" s="68"/>
      <c r="U649" s="41"/>
    </row>
    <row r="650">
      <c r="J650" s="68"/>
      <c r="M650" s="200"/>
      <c r="N650" s="201"/>
      <c r="O650" s="200"/>
      <c r="P650" s="200"/>
      <c r="Q650" s="68"/>
      <c r="U650" s="41"/>
    </row>
    <row r="651">
      <c r="J651" s="68"/>
      <c r="M651" s="200"/>
      <c r="N651" s="201"/>
      <c r="O651" s="200"/>
      <c r="P651" s="200"/>
      <c r="Q651" s="68"/>
      <c r="U651" s="41"/>
    </row>
    <row r="652">
      <c r="J652" s="68"/>
      <c r="M652" s="200"/>
      <c r="N652" s="201"/>
      <c r="O652" s="200"/>
      <c r="P652" s="200"/>
      <c r="Q652" s="68"/>
      <c r="U652" s="41"/>
    </row>
    <row r="653">
      <c r="J653" s="68"/>
      <c r="M653" s="200"/>
      <c r="N653" s="201"/>
      <c r="O653" s="200"/>
      <c r="P653" s="200"/>
      <c r="Q653" s="68"/>
      <c r="U653" s="41"/>
    </row>
    <row r="654">
      <c r="J654" s="68"/>
      <c r="M654" s="200"/>
      <c r="N654" s="201"/>
      <c r="O654" s="200"/>
      <c r="P654" s="200"/>
      <c r="Q654" s="68"/>
      <c r="U654" s="41"/>
    </row>
    <row r="655">
      <c r="J655" s="68"/>
      <c r="M655" s="200"/>
      <c r="N655" s="201"/>
      <c r="O655" s="200"/>
      <c r="P655" s="200"/>
      <c r="Q655" s="68"/>
      <c r="U655" s="41"/>
    </row>
    <row r="656">
      <c r="J656" s="68"/>
      <c r="M656" s="200"/>
      <c r="N656" s="201"/>
      <c r="O656" s="200"/>
      <c r="P656" s="200"/>
      <c r="Q656" s="68"/>
      <c r="U656" s="41"/>
    </row>
    <row r="657">
      <c r="J657" s="68"/>
      <c r="M657" s="200"/>
      <c r="N657" s="201"/>
      <c r="O657" s="200"/>
      <c r="P657" s="200"/>
      <c r="Q657" s="68"/>
      <c r="U657" s="41"/>
    </row>
    <row r="658">
      <c r="J658" s="68"/>
      <c r="M658" s="200"/>
      <c r="N658" s="201"/>
      <c r="O658" s="200"/>
      <c r="P658" s="200"/>
      <c r="Q658" s="68"/>
      <c r="U658" s="41"/>
    </row>
    <row r="659">
      <c r="J659" s="68"/>
      <c r="M659" s="200"/>
      <c r="N659" s="201"/>
      <c r="O659" s="200"/>
      <c r="P659" s="200"/>
      <c r="Q659" s="68"/>
      <c r="U659" s="41"/>
    </row>
    <row r="660">
      <c r="J660" s="68"/>
      <c r="M660" s="200"/>
      <c r="N660" s="201"/>
      <c r="O660" s="200"/>
      <c r="P660" s="200"/>
      <c r="Q660" s="68"/>
      <c r="U660" s="41"/>
    </row>
    <row r="661">
      <c r="J661" s="68"/>
      <c r="M661" s="200"/>
      <c r="N661" s="201"/>
      <c r="O661" s="200"/>
      <c r="P661" s="200"/>
      <c r="Q661" s="68"/>
      <c r="U661" s="41"/>
    </row>
    <row r="662">
      <c r="J662" s="68"/>
      <c r="M662" s="200"/>
      <c r="N662" s="201"/>
      <c r="O662" s="200"/>
      <c r="P662" s="200"/>
      <c r="Q662" s="68"/>
      <c r="U662" s="41"/>
    </row>
    <row r="663">
      <c r="J663" s="68"/>
      <c r="M663" s="200"/>
      <c r="N663" s="201"/>
      <c r="O663" s="200"/>
      <c r="P663" s="200"/>
      <c r="Q663" s="68"/>
      <c r="U663" s="41"/>
    </row>
    <row r="664">
      <c r="J664" s="68"/>
      <c r="M664" s="200"/>
      <c r="N664" s="201"/>
      <c r="O664" s="200"/>
      <c r="P664" s="200"/>
      <c r="Q664" s="68"/>
      <c r="U664" s="41"/>
    </row>
    <row r="665">
      <c r="J665" s="68"/>
      <c r="M665" s="200"/>
      <c r="N665" s="201"/>
      <c r="O665" s="200"/>
      <c r="P665" s="200"/>
      <c r="Q665" s="68"/>
      <c r="U665" s="41"/>
    </row>
    <row r="666">
      <c r="J666" s="68"/>
      <c r="M666" s="200"/>
      <c r="N666" s="201"/>
      <c r="O666" s="200"/>
      <c r="P666" s="200"/>
      <c r="Q666" s="68"/>
      <c r="U666" s="41"/>
    </row>
    <row r="667">
      <c r="J667" s="68"/>
      <c r="M667" s="200"/>
      <c r="N667" s="201"/>
      <c r="O667" s="200"/>
      <c r="P667" s="200"/>
      <c r="Q667" s="68"/>
      <c r="U667" s="41"/>
    </row>
    <row r="668">
      <c r="J668" s="68"/>
      <c r="M668" s="200"/>
      <c r="N668" s="201"/>
      <c r="O668" s="200"/>
      <c r="P668" s="200"/>
      <c r="Q668" s="68"/>
      <c r="U668" s="41"/>
    </row>
    <row r="669">
      <c r="J669" s="68"/>
      <c r="M669" s="200"/>
      <c r="N669" s="201"/>
      <c r="O669" s="200"/>
      <c r="P669" s="200"/>
      <c r="Q669" s="68"/>
      <c r="U669" s="41"/>
    </row>
    <row r="670">
      <c r="J670" s="68"/>
      <c r="M670" s="200"/>
      <c r="N670" s="201"/>
      <c r="O670" s="200"/>
      <c r="P670" s="200"/>
      <c r="Q670" s="68"/>
      <c r="U670" s="41"/>
    </row>
    <row r="671">
      <c r="J671" s="68"/>
      <c r="M671" s="200"/>
      <c r="N671" s="201"/>
      <c r="O671" s="200"/>
      <c r="P671" s="200"/>
      <c r="Q671" s="68"/>
      <c r="U671" s="41"/>
    </row>
    <row r="672">
      <c r="J672" s="68"/>
      <c r="M672" s="200"/>
      <c r="N672" s="201"/>
      <c r="O672" s="200"/>
      <c r="P672" s="200"/>
      <c r="Q672" s="68"/>
      <c r="U672" s="41"/>
    </row>
    <row r="673">
      <c r="J673" s="68"/>
      <c r="M673" s="200"/>
      <c r="N673" s="201"/>
      <c r="O673" s="200"/>
      <c r="P673" s="200"/>
      <c r="Q673" s="68"/>
      <c r="U673" s="41"/>
    </row>
    <row r="674">
      <c r="J674" s="68"/>
      <c r="M674" s="200"/>
      <c r="N674" s="201"/>
      <c r="O674" s="200"/>
      <c r="P674" s="200"/>
      <c r="Q674" s="68"/>
      <c r="U674" s="41"/>
    </row>
    <row r="675">
      <c r="J675" s="68"/>
      <c r="M675" s="200"/>
      <c r="N675" s="201"/>
      <c r="O675" s="200"/>
      <c r="P675" s="200"/>
      <c r="Q675" s="68"/>
      <c r="U675" s="41"/>
    </row>
    <row r="676">
      <c r="J676" s="68"/>
      <c r="M676" s="200"/>
      <c r="N676" s="201"/>
      <c r="O676" s="200"/>
      <c r="P676" s="200"/>
      <c r="Q676" s="68"/>
      <c r="U676" s="41"/>
    </row>
    <row r="677">
      <c r="J677" s="68"/>
      <c r="M677" s="200"/>
      <c r="N677" s="201"/>
      <c r="O677" s="200"/>
      <c r="P677" s="200"/>
      <c r="Q677" s="68"/>
      <c r="U677" s="41"/>
    </row>
    <row r="678">
      <c r="J678" s="68"/>
      <c r="M678" s="200"/>
      <c r="N678" s="201"/>
      <c r="O678" s="200"/>
      <c r="P678" s="200"/>
      <c r="Q678" s="68"/>
      <c r="U678" s="41"/>
    </row>
    <row r="679">
      <c r="J679" s="68"/>
      <c r="M679" s="200"/>
      <c r="N679" s="201"/>
      <c r="O679" s="200"/>
      <c r="P679" s="200"/>
      <c r="Q679" s="68"/>
      <c r="U679" s="41"/>
    </row>
    <row r="680">
      <c r="J680" s="68"/>
      <c r="M680" s="200"/>
      <c r="N680" s="201"/>
      <c r="O680" s="200"/>
      <c r="P680" s="200"/>
      <c r="Q680" s="68"/>
      <c r="U680" s="41"/>
    </row>
    <row r="681">
      <c r="J681" s="68"/>
      <c r="M681" s="200"/>
      <c r="N681" s="201"/>
      <c r="O681" s="200"/>
      <c r="P681" s="200"/>
      <c r="Q681" s="68"/>
      <c r="U681" s="41"/>
    </row>
    <row r="682">
      <c r="J682" s="68"/>
      <c r="M682" s="200"/>
      <c r="N682" s="201"/>
      <c r="O682" s="200"/>
      <c r="P682" s="200"/>
      <c r="Q682" s="68"/>
      <c r="U682" s="41"/>
    </row>
    <row r="683">
      <c r="J683" s="68"/>
      <c r="M683" s="200"/>
      <c r="N683" s="201"/>
      <c r="O683" s="200"/>
      <c r="P683" s="200"/>
      <c r="Q683" s="68"/>
      <c r="U683" s="41"/>
    </row>
    <row r="684">
      <c r="J684" s="68"/>
      <c r="M684" s="200"/>
      <c r="N684" s="201"/>
      <c r="O684" s="200"/>
      <c r="P684" s="200"/>
      <c r="Q684" s="68"/>
      <c r="U684" s="41"/>
    </row>
    <row r="685">
      <c r="J685" s="68"/>
      <c r="M685" s="200"/>
      <c r="N685" s="201"/>
      <c r="O685" s="200"/>
      <c r="P685" s="200"/>
      <c r="Q685" s="68"/>
      <c r="U685" s="41"/>
    </row>
    <row r="686">
      <c r="J686" s="68"/>
      <c r="M686" s="200"/>
      <c r="N686" s="201"/>
      <c r="O686" s="200"/>
      <c r="P686" s="200"/>
      <c r="Q686" s="68"/>
      <c r="U686" s="41"/>
    </row>
    <row r="687">
      <c r="J687" s="68"/>
      <c r="M687" s="200"/>
      <c r="N687" s="201"/>
      <c r="O687" s="200"/>
      <c r="P687" s="200"/>
      <c r="Q687" s="68"/>
      <c r="U687" s="41"/>
    </row>
    <row r="688">
      <c r="J688" s="68"/>
      <c r="M688" s="200"/>
      <c r="N688" s="201"/>
      <c r="O688" s="200"/>
      <c r="P688" s="200"/>
      <c r="Q688" s="68"/>
      <c r="U688" s="41"/>
    </row>
    <row r="689">
      <c r="J689" s="68"/>
      <c r="M689" s="200"/>
      <c r="N689" s="201"/>
      <c r="O689" s="200"/>
      <c r="P689" s="200"/>
      <c r="Q689" s="68"/>
      <c r="U689" s="41"/>
    </row>
    <row r="690">
      <c r="J690" s="68"/>
      <c r="M690" s="200"/>
      <c r="N690" s="201"/>
      <c r="O690" s="200"/>
      <c r="P690" s="200"/>
      <c r="Q690" s="68"/>
      <c r="U690" s="41"/>
    </row>
    <row r="691">
      <c r="J691" s="68"/>
      <c r="M691" s="200"/>
      <c r="N691" s="201"/>
      <c r="O691" s="200"/>
      <c r="P691" s="200"/>
      <c r="Q691" s="68"/>
      <c r="U691" s="41"/>
    </row>
    <row r="692">
      <c r="J692" s="68"/>
      <c r="M692" s="200"/>
      <c r="N692" s="201"/>
      <c r="O692" s="200"/>
      <c r="P692" s="200"/>
      <c r="Q692" s="68"/>
      <c r="U692" s="41"/>
    </row>
    <row r="693">
      <c r="J693" s="68"/>
      <c r="M693" s="200"/>
      <c r="N693" s="201"/>
      <c r="O693" s="200"/>
      <c r="P693" s="200"/>
      <c r="Q693" s="68"/>
      <c r="U693" s="41"/>
    </row>
    <row r="694">
      <c r="J694" s="68"/>
      <c r="M694" s="200"/>
      <c r="N694" s="201"/>
      <c r="O694" s="200"/>
      <c r="P694" s="200"/>
      <c r="Q694" s="68"/>
      <c r="U694" s="41"/>
    </row>
    <row r="695">
      <c r="J695" s="68"/>
      <c r="M695" s="200"/>
      <c r="N695" s="201"/>
      <c r="O695" s="200"/>
      <c r="P695" s="200"/>
      <c r="Q695" s="68"/>
      <c r="U695" s="41"/>
    </row>
    <row r="696">
      <c r="J696" s="68"/>
      <c r="M696" s="200"/>
      <c r="N696" s="201"/>
      <c r="O696" s="200"/>
      <c r="P696" s="200"/>
      <c r="Q696" s="68"/>
      <c r="U696" s="41"/>
    </row>
    <row r="697">
      <c r="J697" s="68"/>
      <c r="M697" s="200"/>
      <c r="N697" s="201"/>
      <c r="O697" s="200"/>
      <c r="P697" s="200"/>
      <c r="Q697" s="68"/>
      <c r="U697" s="41"/>
    </row>
    <row r="698">
      <c r="J698" s="68"/>
      <c r="M698" s="200"/>
      <c r="N698" s="201"/>
      <c r="O698" s="200"/>
      <c r="P698" s="200"/>
      <c r="Q698" s="68"/>
      <c r="U698" s="41"/>
    </row>
    <row r="699">
      <c r="J699" s="68"/>
      <c r="M699" s="200"/>
      <c r="N699" s="201"/>
      <c r="O699" s="200"/>
      <c r="P699" s="200"/>
      <c r="Q699" s="68"/>
      <c r="U699" s="41"/>
    </row>
    <row r="700">
      <c r="J700" s="68"/>
      <c r="M700" s="200"/>
      <c r="N700" s="201"/>
      <c r="O700" s="200"/>
      <c r="P700" s="200"/>
      <c r="Q700" s="68"/>
      <c r="U700" s="41"/>
    </row>
    <row r="701">
      <c r="J701" s="68"/>
      <c r="M701" s="200"/>
      <c r="N701" s="201"/>
      <c r="O701" s="200"/>
      <c r="P701" s="200"/>
      <c r="Q701" s="68"/>
      <c r="U701" s="41"/>
    </row>
    <row r="702">
      <c r="J702" s="68"/>
      <c r="M702" s="200"/>
      <c r="N702" s="201"/>
      <c r="O702" s="200"/>
      <c r="P702" s="200"/>
      <c r="Q702" s="68"/>
      <c r="U702" s="41"/>
    </row>
    <row r="703">
      <c r="J703" s="68"/>
      <c r="M703" s="200"/>
      <c r="N703" s="201"/>
      <c r="O703" s="200"/>
      <c r="P703" s="200"/>
      <c r="Q703" s="68"/>
      <c r="U703" s="41"/>
    </row>
    <row r="704">
      <c r="J704" s="68"/>
      <c r="M704" s="200"/>
      <c r="N704" s="201"/>
      <c r="O704" s="200"/>
      <c r="P704" s="200"/>
      <c r="Q704" s="68"/>
      <c r="U704" s="41"/>
    </row>
    <row r="705">
      <c r="J705" s="68"/>
      <c r="M705" s="200"/>
      <c r="N705" s="201"/>
      <c r="O705" s="200"/>
      <c r="P705" s="200"/>
      <c r="Q705" s="68"/>
      <c r="U705" s="41"/>
    </row>
    <row r="706">
      <c r="J706" s="68"/>
      <c r="M706" s="200"/>
      <c r="N706" s="201"/>
      <c r="O706" s="200"/>
      <c r="P706" s="200"/>
      <c r="Q706" s="68"/>
      <c r="U706" s="41"/>
    </row>
    <row r="707">
      <c r="J707" s="68"/>
      <c r="M707" s="200"/>
      <c r="N707" s="201"/>
      <c r="O707" s="200"/>
      <c r="P707" s="200"/>
      <c r="Q707" s="68"/>
      <c r="U707" s="41"/>
    </row>
    <row r="708">
      <c r="J708" s="68"/>
      <c r="M708" s="200"/>
      <c r="N708" s="201"/>
      <c r="O708" s="200"/>
      <c r="P708" s="200"/>
      <c r="Q708" s="68"/>
      <c r="U708" s="41"/>
    </row>
    <row r="709">
      <c r="J709" s="68"/>
      <c r="M709" s="200"/>
      <c r="N709" s="201"/>
      <c r="O709" s="200"/>
      <c r="P709" s="200"/>
      <c r="Q709" s="68"/>
      <c r="U709" s="41"/>
    </row>
    <row r="710">
      <c r="J710" s="68"/>
      <c r="M710" s="200"/>
      <c r="N710" s="201"/>
      <c r="O710" s="200"/>
      <c r="P710" s="200"/>
      <c r="Q710" s="68"/>
      <c r="U710" s="41"/>
    </row>
    <row r="711">
      <c r="J711" s="68"/>
      <c r="M711" s="200"/>
      <c r="N711" s="201"/>
      <c r="O711" s="200"/>
      <c r="P711" s="200"/>
      <c r="Q711" s="68"/>
      <c r="U711" s="41"/>
    </row>
    <row r="712">
      <c r="J712" s="68"/>
      <c r="M712" s="200"/>
      <c r="N712" s="201"/>
      <c r="O712" s="200"/>
      <c r="P712" s="200"/>
      <c r="Q712" s="68"/>
      <c r="U712" s="41"/>
    </row>
    <row r="713">
      <c r="J713" s="68"/>
      <c r="M713" s="200"/>
      <c r="N713" s="201"/>
      <c r="O713" s="200"/>
      <c r="P713" s="200"/>
      <c r="Q713" s="68"/>
      <c r="U713" s="41"/>
    </row>
    <row r="714">
      <c r="J714" s="68"/>
      <c r="M714" s="200"/>
      <c r="N714" s="201"/>
      <c r="O714" s="200"/>
      <c r="P714" s="200"/>
      <c r="Q714" s="68"/>
      <c r="U714" s="41"/>
    </row>
    <row r="715">
      <c r="J715" s="68"/>
      <c r="M715" s="200"/>
      <c r="N715" s="201"/>
      <c r="O715" s="200"/>
      <c r="P715" s="200"/>
      <c r="Q715" s="68"/>
      <c r="U715" s="41"/>
    </row>
    <row r="716">
      <c r="J716" s="68"/>
      <c r="M716" s="200"/>
      <c r="N716" s="201"/>
      <c r="O716" s="200"/>
      <c r="P716" s="200"/>
      <c r="Q716" s="68"/>
      <c r="U716" s="41"/>
    </row>
    <row r="717">
      <c r="J717" s="68"/>
      <c r="M717" s="200"/>
      <c r="N717" s="201"/>
      <c r="O717" s="200"/>
      <c r="P717" s="200"/>
      <c r="Q717" s="68"/>
      <c r="U717" s="41"/>
    </row>
    <row r="718">
      <c r="J718" s="68"/>
      <c r="M718" s="200"/>
      <c r="N718" s="201"/>
      <c r="O718" s="200"/>
      <c r="P718" s="200"/>
      <c r="Q718" s="68"/>
      <c r="U718" s="41"/>
    </row>
    <row r="719">
      <c r="J719" s="68"/>
      <c r="M719" s="200"/>
      <c r="N719" s="201"/>
      <c r="O719" s="200"/>
      <c r="P719" s="200"/>
      <c r="Q719" s="68"/>
      <c r="U719" s="41"/>
    </row>
    <row r="720">
      <c r="J720" s="68"/>
      <c r="M720" s="200"/>
      <c r="N720" s="201"/>
      <c r="O720" s="200"/>
      <c r="P720" s="200"/>
      <c r="Q720" s="68"/>
      <c r="U720" s="41"/>
    </row>
    <row r="721">
      <c r="J721" s="68"/>
      <c r="M721" s="200"/>
      <c r="N721" s="201"/>
      <c r="O721" s="200"/>
      <c r="P721" s="200"/>
      <c r="Q721" s="68"/>
      <c r="U721" s="41"/>
    </row>
    <row r="722">
      <c r="J722" s="68"/>
      <c r="M722" s="200"/>
      <c r="N722" s="201"/>
      <c r="O722" s="200"/>
      <c r="P722" s="200"/>
      <c r="Q722" s="68"/>
      <c r="U722" s="41"/>
    </row>
    <row r="723">
      <c r="J723" s="68"/>
      <c r="M723" s="200"/>
      <c r="N723" s="201"/>
      <c r="O723" s="200"/>
      <c r="P723" s="200"/>
      <c r="Q723" s="68"/>
      <c r="U723" s="41"/>
    </row>
    <row r="724">
      <c r="J724" s="68"/>
      <c r="M724" s="200"/>
      <c r="N724" s="201"/>
      <c r="O724" s="200"/>
      <c r="P724" s="200"/>
      <c r="Q724" s="68"/>
      <c r="U724" s="41"/>
    </row>
    <row r="725">
      <c r="J725" s="68"/>
      <c r="M725" s="200"/>
      <c r="N725" s="201"/>
      <c r="O725" s="200"/>
      <c r="P725" s="200"/>
      <c r="Q725" s="68"/>
      <c r="U725" s="41"/>
    </row>
    <row r="726">
      <c r="J726" s="68"/>
      <c r="M726" s="200"/>
      <c r="N726" s="201"/>
      <c r="O726" s="200"/>
      <c r="P726" s="200"/>
      <c r="Q726" s="68"/>
      <c r="U726" s="41"/>
    </row>
    <row r="727">
      <c r="J727" s="68"/>
      <c r="M727" s="200"/>
      <c r="N727" s="201"/>
      <c r="O727" s="200"/>
      <c r="P727" s="200"/>
      <c r="Q727" s="68"/>
      <c r="U727" s="41"/>
    </row>
    <row r="728">
      <c r="J728" s="68"/>
      <c r="M728" s="200"/>
      <c r="N728" s="201"/>
      <c r="O728" s="200"/>
      <c r="P728" s="200"/>
      <c r="Q728" s="68"/>
      <c r="U728" s="41"/>
    </row>
    <row r="729">
      <c r="J729" s="68"/>
      <c r="M729" s="200"/>
      <c r="N729" s="201"/>
      <c r="O729" s="200"/>
      <c r="P729" s="200"/>
      <c r="Q729" s="68"/>
      <c r="U729" s="41"/>
    </row>
    <row r="730">
      <c r="J730" s="68"/>
      <c r="M730" s="200"/>
      <c r="N730" s="201"/>
      <c r="O730" s="200"/>
      <c r="P730" s="200"/>
      <c r="Q730" s="68"/>
      <c r="U730" s="41"/>
    </row>
    <row r="731">
      <c r="J731" s="68"/>
      <c r="M731" s="200"/>
      <c r="N731" s="201"/>
      <c r="O731" s="200"/>
      <c r="P731" s="200"/>
      <c r="Q731" s="68"/>
      <c r="U731" s="41"/>
    </row>
    <row r="732">
      <c r="J732" s="68"/>
      <c r="M732" s="200"/>
      <c r="N732" s="201"/>
      <c r="O732" s="200"/>
      <c r="P732" s="200"/>
      <c r="Q732" s="68"/>
      <c r="U732" s="41"/>
    </row>
    <row r="733">
      <c r="J733" s="68"/>
      <c r="M733" s="200"/>
      <c r="N733" s="201"/>
      <c r="O733" s="200"/>
      <c r="P733" s="200"/>
      <c r="Q733" s="68"/>
      <c r="U733" s="41"/>
    </row>
    <row r="734">
      <c r="J734" s="68"/>
      <c r="M734" s="200"/>
      <c r="N734" s="201"/>
      <c r="O734" s="200"/>
      <c r="P734" s="200"/>
      <c r="Q734" s="68"/>
      <c r="U734" s="41"/>
    </row>
    <row r="735">
      <c r="J735" s="68"/>
      <c r="M735" s="200"/>
      <c r="N735" s="201"/>
      <c r="O735" s="200"/>
      <c r="P735" s="200"/>
      <c r="Q735" s="68"/>
      <c r="U735" s="41"/>
    </row>
    <row r="736">
      <c r="J736" s="68"/>
      <c r="M736" s="200"/>
      <c r="N736" s="201"/>
      <c r="O736" s="200"/>
      <c r="P736" s="200"/>
      <c r="Q736" s="68"/>
      <c r="U736" s="41"/>
    </row>
    <row r="737">
      <c r="J737" s="68"/>
      <c r="M737" s="200"/>
      <c r="N737" s="201"/>
      <c r="O737" s="200"/>
      <c r="P737" s="200"/>
      <c r="Q737" s="68"/>
      <c r="U737" s="41"/>
    </row>
    <row r="738">
      <c r="J738" s="68"/>
      <c r="M738" s="200"/>
      <c r="N738" s="201"/>
      <c r="O738" s="200"/>
      <c r="P738" s="200"/>
      <c r="Q738" s="68"/>
      <c r="U738" s="41"/>
    </row>
    <row r="739">
      <c r="J739" s="68"/>
      <c r="M739" s="200"/>
      <c r="N739" s="201"/>
      <c r="O739" s="200"/>
      <c r="P739" s="200"/>
      <c r="Q739" s="68"/>
      <c r="U739" s="41"/>
    </row>
    <row r="740">
      <c r="J740" s="68"/>
      <c r="M740" s="200"/>
      <c r="N740" s="201"/>
      <c r="O740" s="200"/>
      <c r="P740" s="200"/>
      <c r="Q740" s="68"/>
      <c r="U740" s="41"/>
    </row>
    <row r="741">
      <c r="J741" s="68"/>
      <c r="M741" s="200"/>
      <c r="N741" s="201"/>
      <c r="O741" s="200"/>
      <c r="P741" s="200"/>
      <c r="Q741" s="68"/>
      <c r="U741" s="41"/>
    </row>
    <row r="742">
      <c r="J742" s="68"/>
      <c r="M742" s="200"/>
      <c r="N742" s="201"/>
      <c r="O742" s="200"/>
      <c r="P742" s="200"/>
      <c r="Q742" s="68"/>
      <c r="U742" s="41"/>
    </row>
    <row r="743">
      <c r="J743" s="68"/>
      <c r="M743" s="200"/>
      <c r="N743" s="201"/>
      <c r="O743" s="200"/>
      <c r="P743" s="200"/>
      <c r="Q743" s="68"/>
      <c r="U743" s="41"/>
    </row>
    <row r="744">
      <c r="J744" s="68"/>
      <c r="M744" s="200"/>
      <c r="N744" s="201"/>
      <c r="O744" s="200"/>
      <c r="P744" s="200"/>
      <c r="Q744" s="68"/>
      <c r="U744" s="41"/>
    </row>
    <row r="745">
      <c r="J745" s="68"/>
      <c r="M745" s="200"/>
      <c r="N745" s="201"/>
      <c r="O745" s="200"/>
      <c r="P745" s="200"/>
      <c r="Q745" s="68"/>
      <c r="U745" s="41"/>
    </row>
    <row r="746">
      <c r="J746" s="68"/>
      <c r="M746" s="200"/>
      <c r="N746" s="201"/>
      <c r="O746" s="200"/>
      <c r="P746" s="200"/>
      <c r="Q746" s="68"/>
      <c r="U746" s="41"/>
    </row>
    <row r="747">
      <c r="J747" s="68"/>
      <c r="M747" s="200"/>
      <c r="N747" s="201"/>
      <c r="O747" s="200"/>
      <c r="P747" s="200"/>
      <c r="Q747" s="68"/>
      <c r="U747" s="41"/>
    </row>
    <row r="748">
      <c r="J748" s="68"/>
      <c r="M748" s="200"/>
      <c r="N748" s="201"/>
      <c r="O748" s="200"/>
      <c r="P748" s="200"/>
      <c r="Q748" s="68"/>
      <c r="U748" s="41"/>
    </row>
    <row r="749">
      <c r="J749" s="68"/>
      <c r="M749" s="200"/>
      <c r="N749" s="201"/>
      <c r="O749" s="200"/>
      <c r="P749" s="200"/>
      <c r="Q749" s="68"/>
      <c r="U749" s="41"/>
    </row>
    <row r="750">
      <c r="J750" s="68"/>
      <c r="M750" s="200"/>
      <c r="N750" s="201"/>
      <c r="O750" s="200"/>
      <c r="P750" s="200"/>
      <c r="Q750" s="68"/>
      <c r="U750" s="41"/>
    </row>
    <row r="751">
      <c r="J751" s="68"/>
      <c r="M751" s="200"/>
      <c r="N751" s="201"/>
      <c r="O751" s="200"/>
      <c r="P751" s="200"/>
      <c r="Q751" s="68"/>
      <c r="U751" s="41"/>
    </row>
    <row r="752">
      <c r="J752" s="68"/>
      <c r="M752" s="200"/>
      <c r="N752" s="201"/>
      <c r="O752" s="200"/>
      <c r="P752" s="200"/>
      <c r="Q752" s="68"/>
      <c r="U752" s="41"/>
    </row>
    <row r="753">
      <c r="J753" s="68"/>
      <c r="M753" s="200"/>
      <c r="N753" s="201"/>
      <c r="O753" s="200"/>
      <c r="P753" s="200"/>
      <c r="Q753" s="68"/>
      <c r="U753" s="41"/>
    </row>
    <row r="754">
      <c r="J754" s="68"/>
      <c r="M754" s="200"/>
      <c r="N754" s="201"/>
      <c r="O754" s="200"/>
      <c r="P754" s="200"/>
      <c r="Q754" s="68"/>
      <c r="U754" s="41"/>
    </row>
    <row r="755">
      <c r="J755" s="68"/>
      <c r="M755" s="200"/>
      <c r="N755" s="201"/>
      <c r="O755" s="200"/>
      <c r="P755" s="200"/>
      <c r="Q755" s="68"/>
      <c r="U755" s="41"/>
    </row>
    <row r="756">
      <c r="J756" s="68"/>
      <c r="M756" s="200"/>
      <c r="N756" s="201"/>
      <c r="O756" s="200"/>
      <c r="P756" s="200"/>
      <c r="Q756" s="68"/>
      <c r="U756" s="41"/>
    </row>
    <row r="757">
      <c r="J757" s="68"/>
      <c r="M757" s="200"/>
      <c r="N757" s="201"/>
      <c r="O757" s="200"/>
      <c r="P757" s="200"/>
      <c r="Q757" s="68"/>
      <c r="U757" s="41"/>
    </row>
    <row r="758">
      <c r="J758" s="68"/>
      <c r="M758" s="200"/>
      <c r="N758" s="201"/>
      <c r="O758" s="200"/>
      <c r="P758" s="200"/>
      <c r="Q758" s="68"/>
      <c r="U758" s="41"/>
    </row>
    <row r="759">
      <c r="J759" s="68"/>
      <c r="M759" s="200"/>
      <c r="N759" s="201"/>
      <c r="O759" s="200"/>
      <c r="P759" s="200"/>
      <c r="Q759" s="68"/>
      <c r="U759" s="41"/>
    </row>
    <row r="760">
      <c r="J760" s="68"/>
      <c r="M760" s="200"/>
      <c r="N760" s="201"/>
      <c r="O760" s="200"/>
      <c r="P760" s="200"/>
      <c r="Q760" s="68"/>
      <c r="U760" s="41"/>
    </row>
    <row r="761">
      <c r="J761" s="68"/>
      <c r="M761" s="200"/>
      <c r="N761" s="201"/>
      <c r="O761" s="200"/>
      <c r="P761" s="200"/>
      <c r="Q761" s="68"/>
      <c r="U761" s="41"/>
    </row>
    <row r="762">
      <c r="J762" s="68"/>
      <c r="M762" s="200"/>
      <c r="N762" s="201"/>
      <c r="O762" s="200"/>
      <c r="P762" s="200"/>
      <c r="Q762" s="68"/>
      <c r="U762" s="41"/>
    </row>
    <row r="763">
      <c r="J763" s="68"/>
      <c r="M763" s="200"/>
      <c r="N763" s="201"/>
      <c r="O763" s="200"/>
      <c r="P763" s="200"/>
      <c r="Q763" s="68"/>
      <c r="U763" s="41"/>
    </row>
    <row r="764">
      <c r="J764" s="68"/>
      <c r="M764" s="200"/>
      <c r="N764" s="201"/>
      <c r="O764" s="200"/>
      <c r="P764" s="200"/>
      <c r="Q764" s="68"/>
      <c r="U764" s="41"/>
    </row>
    <row r="765">
      <c r="J765" s="68"/>
      <c r="M765" s="200"/>
      <c r="N765" s="201"/>
      <c r="O765" s="200"/>
      <c r="P765" s="200"/>
      <c r="Q765" s="68"/>
      <c r="U765" s="41"/>
    </row>
    <row r="766">
      <c r="J766" s="68"/>
      <c r="M766" s="200"/>
      <c r="N766" s="201"/>
      <c r="O766" s="200"/>
      <c r="P766" s="200"/>
      <c r="Q766" s="68"/>
      <c r="U766" s="41"/>
    </row>
    <row r="767">
      <c r="J767" s="68"/>
      <c r="M767" s="200"/>
      <c r="N767" s="201"/>
      <c r="O767" s="200"/>
      <c r="P767" s="200"/>
      <c r="Q767" s="68"/>
      <c r="U767" s="41"/>
    </row>
    <row r="768">
      <c r="J768" s="68"/>
      <c r="M768" s="200"/>
      <c r="N768" s="201"/>
      <c r="O768" s="200"/>
      <c r="P768" s="200"/>
      <c r="Q768" s="68"/>
      <c r="U768" s="41"/>
    </row>
    <row r="769">
      <c r="J769" s="68"/>
      <c r="M769" s="200"/>
      <c r="N769" s="201"/>
      <c r="O769" s="200"/>
      <c r="P769" s="200"/>
      <c r="Q769" s="68"/>
      <c r="U769" s="41"/>
    </row>
    <row r="770">
      <c r="J770" s="68"/>
      <c r="M770" s="200"/>
      <c r="N770" s="201"/>
      <c r="O770" s="200"/>
      <c r="P770" s="200"/>
      <c r="Q770" s="68"/>
      <c r="U770" s="41"/>
    </row>
    <row r="771">
      <c r="J771" s="68"/>
      <c r="M771" s="200"/>
      <c r="N771" s="201"/>
      <c r="O771" s="200"/>
      <c r="P771" s="200"/>
      <c r="Q771" s="68"/>
      <c r="U771" s="41"/>
    </row>
    <row r="772">
      <c r="J772" s="68"/>
      <c r="M772" s="200"/>
      <c r="N772" s="201"/>
      <c r="O772" s="200"/>
      <c r="P772" s="200"/>
      <c r="Q772" s="68"/>
      <c r="U772" s="41"/>
    </row>
    <row r="773">
      <c r="J773" s="68"/>
      <c r="M773" s="200"/>
      <c r="N773" s="201"/>
      <c r="O773" s="200"/>
      <c r="P773" s="200"/>
      <c r="Q773" s="68"/>
      <c r="U773" s="41"/>
    </row>
    <row r="774">
      <c r="J774" s="68"/>
      <c r="M774" s="200"/>
      <c r="N774" s="201"/>
      <c r="O774" s="200"/>
      <c r="P774" s="200"/>
      <c r="Q774" s="68"/>
      <c r="U774" s="41"/>
    </row>
    <row r="775">
      <c r="J775" s="68"/>
      <c r="M775" s="200"/>
      <c r="N775" s="201"/>
      <c r="O775" s="200"/>
      <c r="P775" s="200"/>
      <c r="Q775" s="68"/>
      <c r="U775" s="41"/>
    </row>
    <row r="776">
      <c r="J776" s="68"/>
      <c r="M776" s="200"/>
      <c r="N776" s="201"/>
      <c r="O776" s="200"/>
      <c r="P776" s="200"/>
      <c r="Q776" s="68"/>
      <c r="U776" s="41"/>
    </row>
    <row r="777">
      <c r="J777" s="68"/>
      <c r="M777" s="200"/>
      <c r="N777" s="201"/>
      <c r="O777" s="200"/>
      <c r="P777" s="200"/>
      <c r="Q777" s="68"/>
      <c r="U777" s="41"/>
    </row>
    <row r="778">
      <c r="J778" s="68"/>
      <c r="M778" s="200"/>
      <c r="N778" s="201"/>
      <c r="O778" s="200"/>
      <c r="P778" s="200"/>
      <c r="Q778" s="68"/>
      <c r="U778" s="41"/>
    </row>
    <row r="779">
      <c r="J779" s="68"/>
      <c r="M779" s="200"/>
      <c r="N779" s="201"/>
      <c r="O779" s="200"/>
      <c r="P779" s="200"/>
      <c r="Q779" s="68"/>
      <c r="U779" s="41"/>
    </row>
    <row r="780">
      <c r="J780" s="68"/>
      <c r="M780" s="200"/>
      <c r="N780" s="201"/>
      <c r="O780" s="200"/>
      <c r="P780" s="200"/>
      <c r="Q780" s="68"/>
      <c r="U780" s="41"/>
    </row>
    <row r="781">
      <c r="J781" s="68"/>
      <c r="M781" s="200"/>
      <c r="N781" s="201"/>
      <c r="O781" s="200"/>
      <c r="P781" s="200"/>
      <c r="Q781" s="68"/>
      <c r="U781" s="41"/>
    </row>
    <row r="782">
      <c r="J782" s="68"/>
      <c r="M782" s="200"/>
      <c r="N782" s="201"/>
      <c r="O782" s="200"/>
      <c r="P782" s="200"/>
      <c r="Q782" s="68"/>
      <c r="U782" s="41"/>
    </row>
    <row r="783">
      <c r="J783" s="68"/>
      <c r="M783" s="200"/>
      <c r="N783" s="201"/>
      <c r="O783" s="200"/>
      <c r="P783" s="200"/>
      <c r="Q783" s="68"/>
      <c r="U783" s="41"/>
    </row>
    <row r="784">
      <c r="J784" s="68"/>
      <c r="M784" s="200"/>
      <c r="N784" s="201"/>
      <c r="O784" s="200"/>
      <c r="P784" s="200"/>
      <c r="Q784" s="68"/>
      <c r="U784" s="41"/>
    </row>
    <row r="785">
      <c r="J785" s="68"/>
      <c r="M785" s="200"/>
      <c r="N785" s="201"/>
      <c r="O785" s="200"/>
      <c r="P785" s="200"/>
      <c r="Q785" s="68"/>
      <c r="U785" s="41"/>
    </row>
    <row r="786">
      <c r="J786" s="68"/>
      <c r="M786" s="200"/>
      <c r="N786" s="201"/>
      <c r="O786" s="200"/>
      <c r="P786" s="200"/>
      <c r="Q786" s="68"/>
      <c r="U786" s="41"/>
    </row>
    <row r="787">
      <c r="J787" s="68"/>
      <c r="M787" s="200"/>
      <c r="N787" s="201"/>
      <c r="O787" s="200"/>
      <c r="P787" s="200"/>
      <c r="Q787" s="68"/>
      <c r="U787" s="41"/>
    </row>
    <row r="788">
      <c r="J788" s="68"/>
      <c r="M788" s="200"/>
      <c r="N788" s="201"/>
      <c r="O788" s="200"/>
      <c r="P788" s="200"/>
      <c r="Q788" s="68"/>
      <c r="U788" s="41"/>
    </row>
    <row r="789">
      <c r="J789" s="68"/>
      <c r="M789" s="200"/>
      <c r="N789" s="201"/>
      <c r="O789" s="200"/>
      <c r="P789" s="200"/>
      <c r="Q789" s="68"/>
      <c r="U789" s="41"/>
    </row>
    <row r="790">
      <c r="J790" s="68"/>
      <c r="M790" s="200"/>
      <c r="N790" s="201"/>
      <c r="O790" s="200"/>
      <c r="P790" s="200"/>
      <c r="Q790" s="68"/>
      <c r="U790" s="41"/>
    </row>
    <row r="791">
      <c r="J791" s="68"/>
      <c r="M791" s="200"/>
      <c r="N791" s="201"/>
      <c r="O791" s="200"/>
      <c r="P791" s="200"/>
      <c r="Q791" s="68"/>
      <c r="U791" s="41"/>
    </row>
    <row r="792">
      <c r="J792" s="68"/>
      <c r="M792" s="200"/>
      <c r="N792" s="201"/>
      <c r="O792" s="200"/>
      <c r="P792" s="200"/>
      <c r="Q792" s="68"/>
      <c r="U792" s="41"/>
    </row>
    <row r="793">
      <c r="J793" s="68"/>
      <c r="M793" s="200"/>
      <c r="N793" s="201"/>
      <c r="O793" s="200"/>
      <c r="P793" s="200"/>
      <c r="Q793" s="68"/>
      <c r="U793" s="41"/>
    </row>
    <row r="794">
      <c r="J794" s="68"/>
      <c r="M794" s="200"/>
      <c r="N794" s="201"/>
      <c r="O794" s="200"/>
      <c r="P794" s="200"/>
      <c r="Q794" s="68"/>
      <c r="U794" s="41"/>
    </row>
    <row r="795">
      <c r="J795" s="68"/>
      <c r="M795" s="200"/>
      <c r="N795" s="201"/>
      <c r="O795" s="200"/>
      <c r="P795" s="200"/>
      <c r="Q795" s="68"/>
      <c r="U795" s="41"/>
    </row>
    <row r="796">
      <c r="J796" s="68"/>
      <c r="M796" s="200"/>
      <c r="N796" s="201"/>
      <c r="O796" s="200"/>
      <c r="P796" s="200"/>
      <c r="Q796" s="68"/>
      <c r="U796" s="41"/>
    </row>
    <row r="797">
      <c r="J797" s="68"/>
      <c r="M797" s="200"/>
      <c r="N797" s="201"/>
      <c r="O797" s="200"/>
      <c r="P797" s="200"/>
      <c r="Q797" s="68"/>
      <c r="U797" s="41"/>
    </row>
    <row r="798">
      <c r="J798" s="68"/>
      <c r="M798" s="200"/>
      <c r="N798" s="201"/>
      <c r="O798" s="200"/>
      <c r="P798" s="200"/>
      <c r="Q798" s="68"/>
      <c r="U798" s="41"/>
    </row>
    <row r="799">
      <c r="J799" s="68"/>
      <c r="M799" s="200"/>
      <c r="N799" s="201"/>
      <c r="O799" s="200"/>
      <c r="P799" s="200"/>
      <c r="Q799" s="68"/>
      <c r="U799" s="41"/>
    </row>
    <row r="800">
      <c r="J800" s="68"/>
      <c r="M800" s="200"/>
      <c r="N800" s="201"/>
      <c r="O800" s="200"/>
      <c r="P800" s="200"/>
      <c r="Q800" s="68"/>
      <c r="U800" s="41"/>
    </row>
    <row r="801">
      <c r="J801" s="68"/>
      <c r="M801" s="200"/>
      <c r="N801" s="201"/>
      <c r="O801" s="200"/>
      <c r="P801" s="200"/>
      <c r="Q801" s="68"/>
      <c r="U801" s="41"/>
    </row>
    <row r="802">
      <c r="J802" s="68"/>
      <c r="M802" s="200"/>
      <c r="N802" s="201"/>
      <c r="O802" s="200"/>
      <c r="P802" s="200"/>
      <c r="Q802" s="68"/>
      <c r="U802" s="41"/>
    </row>
    <row r="803">
      <c r="J803" s="68"/>
      <c r="M803" s="200"/>
      <c r="N803" s="201"/>
      <c r="O803" s="200"/>
      <c r="P803" s="200"/>
      <c r="Q803" s="68"/>
      <c r="U803" s="41"/>
    </row>
    <row r="804">
      <c r="J804" s="68"/>
      <c r="M804" s="200"/>
      <c r="N804" s="201"/>
      <c r="O804" s="200"/>
      <c r="P804" s="200"/>
      <c r="Q804" s="68"/>
      <c r="U804" s="41"/>
    </row>
    <row r="805">
      <c r="J805" s="68"/>
      <c r="M805" s="200"/>
      <c r="N805" s="201"/>
      <c r="O805" s="200"/>
      <c r="P805" s="200"/>
      <c r="Q805" s="68"/>
      <c r="U805" s="41"/>
    </row>
    <row r="806">
      <c r="J806" s="68"/>
      <c r="M806" s="200"/>
      <c r="N806" s="201"/>
      <c r="O806" s="200"/>
      <c r="P806" s="200"/>
      <c r="Q806" s="68"/>
      <c r="U806" s="41"/>
    </row>
    <row r="807">
      <c r="J807" s="68"/>
      <c r="M807" s="200"/>
      <c r="N807" s="201"/>
      <c r="O807" s="200"/>
      <c r="P807" s="200"/>
      <c r="Q807" s="68"/>
      <c r="U807" s="41"/>
    </row>
    <row r="808">
      <c r="J808" s="68"/>
      <c r="M808" s="200"/>
      <c r="N808" s="201"/>
      <c r="O808" s="200"/>
      <c r="P808" s="200"/>
      <c r="Q808" s="68"/>
      <c r="U808" s="41"/>
    </row>
    <row r="809">
      <c r="J809" s="68"/>
      <c r="M809" s="200"/>
      <c r="N809" s="201"/>
      <c r="O809" s="200"/>
      <c r="P809" s="200"/>
      <c r="Q809" s="68"/>
      <c r="U809" s="41"/>
    </row>
    <row r="810">
      <c r="J810" s="68"/>
      <c r="M810" s="200"/>
      <c r="N810" s="201"/>
      <c r="O810" s="200"/>
      <c r="P810" s="200"/>
      <c r="Q810" s="68"/>
      <c r="U810" s="41"/>
    </row>
    <row r="811">
      <c r="J811" s="68"/>
      <c r="M811" s="200"/>
      <c r="N811" s="201"/>
      <c r="O811" s="200"/>
      <c r="P811" s="200"/>
      <c r="Q811" s="68"/>
      <c r="U811" s="41"/>
    </row>
    <row r="812">
      <c r="J812" s="68"/>
      <c r="M812" s="200"/>
      <c r="N812" s="201"/>
      <c r="O812" s="200"/>
      <c r="P812" s="200"/>
      <c r="Q812" s="68"/>
      <c r="U812" s="41"/>
    </row>
    <row r="813">
      <c r="J813" s="68"/>
      <c r="M813" s="200"/>
      <c r="N813" s="201"/>
      <c r="O813" s="200"/>
      <c r="P813" s="200"/>
      <c r="Q813" s="68"/>
      <c r="U813" s="41"/>
    </row>
    <row r="814">
      <c r="J814" s="68"/>
      <c r="M814" s="200"/>
      <c r="N814" s="201"/>
      <c r="O814" s="200"/>
      <c r="P814" s="200"/>
      <c r="Q814" s="68"/>
      <c r="U814" s="41"/>
    </row>
    <row r="815">
      <c r="J815" s="68"/>
      <c r="M815" s="200"/>
      <c r="N815" s="201"/>
      <c r="O815" s="200"/>
      <c r="P815" s="200"/>
      <c r="Q815" s="68"/>
      <c r="U815" s="41"/>
    </row>
    <row r="816">
      <c r="J816" s="68"/>
      <c r="M816" s="200"/>
      <c r="N816" s="201"/>
      <c r="O816" s="200"/>
      <c r="P816" s="200"/>
      <c r="Q816" s="68"/>
      <c r="U816" s="41"/>
    </row>
    <row r="817">
      <c r="J817" s="68"/>
      <c r="M817" s="200"/>
      <c r="N817" s="201"/>
      <c r="O817" s="200"/>
      <c r="P817" s="200"/>
      <c r="Q817" s="68"/>
      <c r="U817" s="41"/>
    </row>
    <row r="818">
      <c r="J818" s="68"/>
      <c r="M818" s="200"/>
      <c r="N818" s="201"/>
      <c r="O818" s="200"/>
      <c r="P818" s="200"/>
      <c r="Q818" s="68"/>
      <c r="U818" s="41"/>
    </row>
    <row r="819">
      <c r="J819" s="68"/>
      <c r="M819" s="200"/>
      <c r="N819" s="201"/>
      <c r="O819" s="200"/>
      <c r="P819" s="200"/>
      <c r="Q819" s="68"/>
      <c r="U819" s="41"/>
    </row>
    <row r="820">
      <c r="J820" s="68"/>
      <c r="M820" s="200"/>
      <c r="N820" s="201"/>
      <c r="O820" s="200"/>
      <c r="P820" s="200"/>
      <c r="Q820" s="68"/>
      <c r="U820" s="41"/>
    </row>
    <row r="821">
      <c r="J821" s="68"/>
      <c r="M821" s="200"/>
      <c r="N821" s="201"/>
      <c r="O821" s="200"/>
      <c r="P821" s="200"/>
      <c r="Q821" s="68"/>
      <c r="U821" s="41"/>
    </row>
    <row r="822">
      <c r="J822" s="68"/>
      <c r="M822" s="200"/>
      <c r="N822" s="201"/>
      <c r="O822" s="200"/>
      <c r="P822" s="200"/>
      <c r="Q822" s="68"/>
      <c r="U822" s="41"/>
    </row>
    <row r="823">
      <c r="J823" s="68"/>
      <c r="M823" s="200"/>
      <c r="N823" s="201"/>
      <c r="O823" s="200"/>
      <c r="P823" s="200"/>
      <c r="Q823" s="68"/>
      <c r="U823" s="41"/>
    </row>
    <row r="824">
      <c r="J824" s="68"/>
      <c r="M824" s="200"/>
      <c r="N824" s="201"/>
      <c r="O824" s="200"/>
      <c r="P824" s="200"/>
      <c r="Q824" s="68"/>
      <c r="U824" s="41"/>
    </row>
    <row r="825">
      <c r="J825" s="68"/>
      <c r="M825" s="200"/>
      <c r="N825" s="201"/>
      <c r="O825" s="200"/>
      <c r="P825" s="200"/>
      <c r="Q825" s="68"/>
      <c r="U825" s="41"/>
    </row>
    <row r="826">
      <c r="J826" s="68"/>
      <c r="M826" s="200"/>
      <c r="N826" s="201"/>
      <c r="O826" s="200"/>
      <c r="P826" s="200"/>
      <c r="Q826" s="68"/>
      <c r="U826" s="41"/>
    </row>
    <row r="827">
      <c r="J827" s="68"/>
      <c r="M827" s="200"/>
      <c r="N827" s="201"/>
      <c r="O827" s="200"/>
      <c r="P827" s="200"/>
      <c r="Q827" s="68"/>
      <c r="U827" s="41"/>
    </row>
    <row r="828">
      <c r="J828" s="68"/>
      <c r="M828" s="200"/>
      <c r="N828" s="201"/>
      <c r="O828" s="200"/>
      <c r="P828" s="200"/>
      <c r="Q828" s="68"/>
      <c r="U828" s="41"/>
    </row>
    <row r="829">
      <c r="J829" s="68"/>
      <c r="M829" s="200"/>
      <c r="N829" s="201"/>
      <c r="O829" s="200"/>
      <c r="P829" s="200"/>
      <c r="Q829" s="68"/>
      <c r="U829" s="41"/>
    </row>
    <row r="830">
      <c r="J830" s="68"/>
      <c r="M830" s="200"/>
      <c r="N830" s="201"/>
      <c r="O830" s="200"/>
      <c r="P830" s="200"/>
      <c r="Q830" s="68"/>
      <c r="U830" s="41"/>
    </row>
    <row r="831">
      <c r="J831" s="68"/>
      <c r="M831" s="200"/>
      <c r="N831" s="201"/>
      <c r="O831" s="200"/>
      <c r="P831" s="200"/>
      <c r="Q831" s="68"/>
      <c r="U831" s="41"/>
    </row>
    <row r="832">
      <c r="J832" s="68"/>
      <c r="M832" s="200"/>
      <c r="N832" s="201"/>
      <c r="O832" s="200"/>
      <c r="P832" s="200"/>
      <c r="Q832" s="68"/>
      <c r="U832" s="41"/>
    </row>
    <row r="833">
      <c r="J833" s="68"/>
      <c r="M833" s="200"/>
      <c r="N833" s="201"/>
      <c r="O833" s="200"/>
      <c r="P833" s="200"/>
      <c r="Q833" s="68"/>
      <c r="U833" s="41"/>
    </row>
    <row r="834">
      <c r="J834" s="68"/>
      <c r="M834" s="200"/>
      <c r="N834" s="201"/>
      <c r="O834" s="200"/>
      <c r="P834" s="200"/>
      <c r="Q834" s="68"/>
      <c r="U834" s="41"/>
    </row>
    <row r="835">
      <c r="J835" s="68"/>
      <c r="M835" s="200"/>
      <c r="N835" s="201"/>
      <c r="O835" s="200"/>
      <c r="P835" s="200"/>
      <c r="Q835" s="68"/>
      <c r="U835" s="41"/>
    </row>
    <row r="836">
      <c r="J836" s="68"/>
      <c r="M836" s="200"/>
      <c r="N836" s="201"/>
      <c r="O836" s="200"/>
      <c r="P836" s="200"/>
      <c r="Q836" s="68"/>
      <c r="U836" s="41"/>
    </row>
    <row r="837">
      <c r="J837" s="68"/>
      <c r="M837" s="200"/>
      <c r="N837" s="201"/>
      <c r="O837" s="200"/>
      <c r="P837" s="200"/>
      <c r="Q837" s="68"/>
      <c r="U837" s="41"/>
    </row>
    <row r="838">
      <c r="J838" s="68"/>
      <c r="M838" s="200"/>
      <c r="N838" s="201"/>
      <c r="O838" s="200"/>
      <c r="P838" s="200"/>
      <c r="Q838" s="68"/>
      <c r="U838" s="41"/>
    </row>
    <row r="839">
      <c r="J839" s="68"/>
      <c r="M839" s="200"/>
      <c r="N839" s="201"/>
      <c r="O839" s="200"/>
      <c r="P839" s="200"/>
      <c r="Q839" s="68"/>
      <c r="U839" s="41"/>
    </row>
    <row r="840">
      <c r="J840" s="68"/>
      <c r="M840" s="200"/>
      <c r="N840" s="201"/>
      <c r="O840" s="200"/>
      <c r="P840" s="200"/>
      <c r="Q840" s="68"/>
      <c r="U840" s="41"/>
    </row>
    <row r="841">
      <c r="J841" s="68"/>
      <c r="M841" s="200"/>
      <c r="N841" s="201"/>
      <c r="O841" s="200"/>
      <c r="P841" s="200"/>
      <c r="Q841" s="68"/>
      <c r="U841" s="41"/>
    </row>
    <row r="842">
      <c r="J842" s="68"/>
      <c r="M842" s="200"/>
      <c r="N842" s="201"/>
      <c r="O842" s="200"/>
      <c r="P842" s="200"/>
      <c r="Q842" s="68"/>
      <c r="U842" s="41"/>
    </row>
    <row r="843">
      <c r="J843" s="68"/>
      <c r="M843" s="200"/>
      <c r="N843" s="201"/>
      <c r="O843" s="200"/>
      <c r="P843" s="200"/>
      <c r="Q843" s="68"/>
      <c r="U843" s="41"/>
    </row>
    <row r="844">
      <c r="J844" s="68"/>
      <c r="M844" s="200"/>
      <c r="N844" s="201"/>
      <c r="O844" s="200"/>
      <c r="P844" s="200"/>
      <c r="Q844" s="68"/>
      <c r="U844" s="41"/>
    </row>
    <row r="845">
      <c r="J845" s="68"/>
      <c r="M845" s="200"/>
      <c r="N845" s="201"/>
      <c r="O845" s="200"/>
      <c r="P845" s="200"/>
      <c r="Q845" s="68"/>
      <c r="U845" s="41"/>
    </row>
    <row r="846">
      <c r="J846" s="68"/>
      <c r="M846" s="200"/>
      <c r="N846" s="201"/>
      <c r="O846" s="200"/>
      <c r="P846" s="200"/>
      <c r="Q846" s="68"/>
      <c r="U846" s="41"/>
    </row>
    <row r="847">
      <c r="J847" s="68"/>
      <c r="M847" s="200"/>
      <c r="N847" s="201"/>
      <c r="O847" s="200"/>
      <c r="P847" s="200"/>
      <c r="Q847" s="68"/>
      <c r="U847" s="41"/>
    </row>
    <row r="848">
      <c r="J848" s="68"/>
      <c r="M848" s="200"/>
      <c r="N848" s="201"/>
      <c r="O848" s="200"/>
      <c r="P848" s="200"/>
      <c r="Q848" s="68"/>
      <c r="U848" s="41"/>
    </row>
    <row r="849">
      <c r="J849" s="68"/>
      <c r="M849" s="200"/>
      <c r="N849" s="201"/>
      <c r="O849" s="200"/>
      <c r="P849" s="200"/>
      <c r="Q849" s="68"/>
      <c r="U849" s="41"/>
    </row>
    <row r="850">
      <c r="J850" s="68"/>
      <c r="M850" s="200"/>
      <c r="N850" s="201"/>
      <c r="O850" s="200"/>
      <c r="P850" s="200"/>
      <c r="Q850" s="68"/>
      <c r="U850" s="41"/>
    </row>
    <row r="851">
      <c r="J851" s="68"/>
      <c r="M851" s="200"/>
      <c r="N851" s="201"/>
      <c r="O851" s="200"/>
      <c r="P851" s="200"/>
      <c r="Q851" s="68"/>
      <c r="U851" s="41"/>
    </row>
    <row r="852">
      <c r="J852" s="68"/>
      <c r="M852" s="200"/>
      <c r="N852" s="201"/>
      <c r="O852" s="200"/>
      <c r="P852" s="200"/>
      <c r="Q852" s="68"/>
      <c r="U852" s="41"/>
    </row>
    <row r="853">
      <c r="J853" s="68"/>
      <c r="M853" s="200"/>
      <c r="N853" s="201"/>
      <c r="O853" s="200"/>
      <c r="P853" s="200"/>
      <c r="Q853" s="68"/>
      <c r="U853" s="41"/>
    </row>
    <row r="854">
      <c r="J854" s="68"/>
      <c r="M854" s="200"/>
      <c r="N854" s="201"/>
      <c r="O854" s="200"/>
      <c r="P854" s="200"/>
      <c r="Q854" s="68"/>
      <c r="U854" s="41"/>
    </row>
    <row r="855">
      <c r="J855" s="68"/>
      <c r="M855" s="200"/>
      <c r="N855" s="201"/>
      <c r="O855" s="200"/>
      <c r="P855" s="200"/>
      <c r="Q855" s="68"/>
      <c r="U855" s="41"/>
    </row>
    <row r="856">
      <c r="J856" s="68"/>
      <c r="M856" s="200"/>
      <c r="N856" s="201"/>
      <c r="O856" s="200"/>
      <c r="P856" s="200"/>
      <c r="Q856" s="68"/>
      <c r="U856" s="41"/>
    </row>
    <row r="857">
      <c r="J857" s="68"/>
      <c r="M857" s="200"/>
      <c r="N857" s="201"/>
      <c r="O857" s="200"/>
      <c r="P857" s="200"/>
      <c r="Q857" s="68"/>
      <c r="U857" s="41"/>
    </row>
    <row r="858">
      <c r="J858" s="68"/>
      <c r="M858" s="200"/>
      <c r="N858" s="201"/>
      <c r="O858" s="200"/>
      <c r="P858" s="200"/>
      <c r="Q858" s="68"/>
      <c r="U858" s="41"/>
    </row>
    <row r="859">
      <c r="J859" s="68"/>
      <c r="M859" s="200"/>
      <c r="N859" s="201"/>
      <c r="O859" s="200"/>
      <c r="P859" s="200"/>
      <c r="Q859" s="68"/>
      <c r="U859" s="41"/>
    </row>
    <row r="860">
      <c r="J860" s="68"/>
      <c r="M860" s="200"/>
      <c r="N860" s="201"/>
      <c r="O860" s="200"/>
      <c r="P860" s="200"/>
      <c r="Q860" s="68"/>
      <c r="U860" s="41"/>
    </row>
    <row r="861">
      <c r="J861" s="68"/>
      <c r="M861" s="200"/>
      <c r="N861" s="201"/>
      <c r="O861" s="200"/>
      <c r="P861" s="200"/>
      <c r="Q861" s="68"/>
      <c r="U861" s="41"/>
    </row>
    <row r="862">
      <c r="J862" s="68"/>
      <c r="M862" s="200"/>
      <c r="N862" s="201"/>
      <c r="O862" s="200"/>
      <c r="P862" s="200"/>
      <c r="Q862" s="68"/>
      <c r="U862" s="41"/>
    </row>
    <row r="863">
      <c r="J863" s="68"/>
      <c r="M863" s="200"/>
      <c r="N863" s="201"/>
      <c r="O863" s="200"/>
      <c r="P863" s="200"/>
      <c r="Q863" s="68"/>
      <c r="U863" s="41"/>
    </row>
    <row r="864">
      <c r="J864" s="68"/>
      <c r="M864" s="200"/>
      <c r="N864" s="201"/>
      <c r="O864" s="200"/>
      <c r="P864" s="200"/>
      <c r="Q864" s="68"/>
      <c r="U864" s="41"/>
    </row>
    <row r="865">
      <c r="J865" s="68"/>
      <c r="M865" s="200"/>
      <c r="N865" s="201"/>
      <c r="O865" s="200"/>
      <c r="P865" s="200"/>
      <c r="Q865" s="68"/>
      <c r="U865" s="41"/>
    </row>
    <row r="866">
      <c r="J866" s="68"/>
      <c r="M866" s="200"/>
      <c r="N866" s="201"/>
      <c r="O866" s="200"/>
      <c r="P866" s="200"/>
      <c r="Q866" s="68"/>
      <c r="U866" s="41"/>
    </row>
    <row r="867">
      <c r="J867" s="68"/>
      <c r="M867" s="200"/>
      <c r="N867" s="201"/>
      <c r="O867" s="200"/>
      <c r="P867" s="200"/>
      <c r="Q867" s="68"/>
      <c r="U867" s="41"/>
    </row>
    <row r="868">
      <c r="J868" s="68"/>
      <c r="M868" s="200"/>
      <c r="N868" s="201"/>
      <c r="O868" s="200"/>
      <c r="P868" s="200"/>
      <c r="Q868" s="68"/>
      <c r="U868" s="41"/>
    </row>
    <row r="869">
      <c r="J869" s="68"/>
      <c r="M869" s="200"/>
      <c r="N869" s="201"/>
      <c r="O869" s="200"/>
      <c r="P869" s="200"/>
      <c r="Q869" s="68"/>
      <c r="U869" s="41"/>
    </row>
    <row r="870">
      <c r="J870" s="68"/>
      <c r="M870" s="200"/>
      <c r="N870" s="201"/>
      <c r="O870" s="200"/>
      <c r="P870" s="200"/>
      <c r="Q870" s="68"/>
      <c r="U870" s="41"/>
    </row>
    <row r="871">
      <c r="J871" s="68"/>
      <c r="M871" s="200"/>
      <c r="N871" s="201"/>
      <c r="O871" s="200"/>
      <c r="P871" s="200"/>
      <c r="Q871" s="68"/>
      <c r="U871" s="41"/>
    </row>
    <row r="872">
      <c r="J872" s="68"/>
      <c r="M872" s="200"/>
      <c r="N872" s="201"/>
      <c r="O872" s="200"/>
      <c r="P872" s="200"/>
      <c r="Q872" s="68"/>
      <c r="U872" s="41"/>
    </row>
    <row r="873">
      <c r="J873" s="68"/>
      <c r="M873" s="200"/>
      <c r="N873" s="201"/>
      <c r="O873" s="200"/>
      <c r="P873" s="200"/>
      <c r="Q873" s="68"/>
      <c r="U873" s="41"/>
    </row>
    <row r="874">
      <c r="J874" s="68"/>
      <c r="M874" s="200"/>
      <c r="N874" s="201"/>
      <c r="O874" s="200"/>
      <c r="P874" s="200"/>
      <c r="Q874" s="68"/>
      <c r="U874" s="41"/>
    </row>
    <row r="875">
      <c r="J875" s="68"/>
      <c r="M875" s="200"/>
      <c r="N875" s="201"/>
      <c r="O875" s="200"/>
      <c r="P875" s="200"/>
      <c r="Q875" s="68"/>
      <c r="U875" s="41"/>
    </row>
    <row r="876">
      <c r="J876" s="68"/>
      <c r="M876" s="200"/>
      <c r="N876" s="201"/>
      <c r="O876" s="200"/>
      <c r="P876" s="200"/>
      <c r="Q876" s="68"/>
      <c r="U876" s="41"/>
    </row>
    <row r="877">
      <c r="J877" s="68"/>
      <c r="M877" s="200"/>
      <c r="N877" s="201"/>
      <c r="O877" s="200"/>
      <c r="P877" s="200"/>
      <c r="Q877" s="68"/>
      <c r="U877" s="41"/>
    </row>
    <row r="878">
      <c r="J878" s="68"/>
      <c r="M878" s="200"/>
      <c r="N878" s="201"/>
      <c r="O878" s="200"/>
      <c r="P878" s="200"/>
      <c r="Q878" s="68"/>
      <c r="U878" s="41"/>
    </row>
    <row r="879">
      <c r="J879" s="68"/>
      <c r="M879" s="200"/>
      <c r="N879" s="201"/>
      <c r="O879" s="200"/>
      <c r="P879" s="200"/>
      <c r="Q879" s="68"/>
      <c r="U879" s="41"/>
    </row>
    <row r="880">
      <c r="J880" s="68"/>
      <c r="M880" s="200"/>
      <c r="N880" s="201"/>
      <c r="O880" s="200"/>
      <c r="P880" s="200"/>
      <c r="Q880" s="68"/>
      <c r="U880" s="41"/>
    </row>
    <row r="881">
      <c r="J881" s="68"/>
      <c r="M881" s="200"/>
      <c r="N881" s="201"/>
      <c r="O881" s="200"/>
      <c r="P881" s="200"/>
      <c r="Q881" s="68"/>
      <c r="U881" s="41"/>
    </row>
    <row r="882">
      <c r="J882" s="68"/>
      <c r="M882" s="200"/>
      <c r="N882" s="201"/>
      <c r="O882" s="200"/>
      <c r="P882" s="200"/>
      <c r="Q882" s="68"/>
      <c r="U882" s="41"/>
    </row>
    <row r="883">
      <c r="J883" s="68"/>
      <c r="M883" s="200"/>
      <c r="N883" s="201"/>
      <c r="O883" s="200"/>
      <c r="P883" s="200"/>
      <c r="Q883" s="68"/>
      <c r="U883" s="41"/>
    </row>
    <row r="884">
      <c r="J884" s="68"/>
      <c r="M884" s="200"/>
      <c r="N884" s="201"/>
      <c r="O884" s="200"/>
      <c r="P884" s="200"/>
      <c r="Q884" s="68"/>
      <c r="U884" s="41"/>
    </row>
    <row r="885">
      <c r="J885" s="68"/>
      <c r="M885" s="200"/>
      <c r="N885" s="201"/>
      <c r="O885" s="200"/>
      <c r="P885" s="200"/>
      <c r="Q885" s="68"/>
      <c r="U885" s="41"/>
    </row>
    <row r="886">
      <c r="J886" s="68"/>
      <c r="M886" s="200"/>
      <c r="N886" s="201"/>
      <c r="O886" s="200"/>
      <c r="P886" s="200"/>
      <c r="Q886" s="68"/>
      <c r="U886" s="41"/>
    </row>
    <row r="887">
      <c r="J887" s="68"/>
      <c r="M887" s="200"/>
      <c r="N887" s="201"/>
      <c r="O887" s="200"/>
      <c r="P887" s="200"/>
      <c r="Q887" s="68"/>
      <c r="U887" s="41"/>
    </row>
    <row r="888">
      <c r="J888" s="68"/>
      <c r="M888" s="200"/>
      <c r="N888" s="201"/>
      <c r="O888" s="200"/>
      <c r="P888" s="200"/>
      <c r="Q888" s="68"/>
      <c r="U888" s="41"/>
    </row>
    <row r="889">
      <c r="J889" s="68"/>
      <c r="M889" s="200"/>
      <c r="N889" s="201"/>
      <c r="O889" s="200"/>
      <c r="P889" s="200"/>
      <c r="Q889" s="68"/>
      <c r="U889" s="41"/>
    </row>
    <row r="890">
      <c r="J890" s="68"/>
      <c r="M890" s="200"/>
      <c r="N890" s="201"/>
      <c r="O890" s="200"/>
      <c r="P890" s="200"/>
      <c r="Q890" s="68"/>
      <c r="U890" s="41"/>
    </row>
    <row r="891">
      <c r="J891" s="68"/>
      <c r="M891" s="200"/>
      <c r="N891" s="201"/>
      <c r="O891" s="200"/>
      <c r="P891" s="200"/>
      <c r="Q891" s="68"/>
      <c r="U891" s="41"/>
    </row>
    <row r="892">
      <c r="J892" s="68"/>
      <c r="M892" s="200"/>
      <c r="N892" s="201"/>
      <c r="O892" s="200"/>
      <c r="P892" s="200"/>
      <c r="Q892" s="68"/>
      <c r="U892" s="41"/>
    </row>
    <row r="893">
      <c r="J893" s="68"/>
      <c r="M893" s="200"/>
      <c r="N893" s="201"/>
      <c r="O893" s="200"/>
      <c r="P893" s="200"/>
      <c r="Q893" s="68"/>
      <c r="U893" s="41"/>
    </row>
    <row r="894">
      <c r="J894" s="68"/>
      <c r="M894" s="200"/>
      <c r="N894" s="201"/>
      <c r="O894" s="200"/>
      <c r="P894" s="200"/>
      <c r="Q894" s="68"/>
      <c r="U894" s="41"/>
    </row>
    <row r="895">
      <c r="J895" s="68"/>
      <c r="M895" s="200"/>
      <c r="N895" s="201"/>
      <c r="O895" s="200"/>
      <c r="P895" s="200"/>
      <c r="Q895" s="68"/>
      <c r="U895" s="41"/>
    </row>
    <row r="896">
      <c r="J896" s="68"/>
      <c r="M896" s="200"/>
      <c r="N896" s="201"/>
      <c r="O896" s="200"/>
      <c r="P896" s="200"/>
      <c r="Q896" s="68"/>
      <c r="U896" s="41"/>
    </row>
    <row r="897">
      <c r="J897" s="68"/>
      <c r="M897" s="200"/>
      <c r="N897" s="201"/>
      <c r="O897" s="200"/>
      <c r="P897" s="200"/>
      <c r="Q897" s="68"/>
      <c r="U897" s="41"/>
    </row>
    <row r="898">
      <c r="J898" s="68"/>
      <c r="M898" s="200"/>
      <c r="N898" s="201"/>
      <c r="O898" s="200"/>
      <c r="P898" s="200"/>
      <c r="Q898" s="68"/>
      <c r="U898" s="41"/>
    </row>
    <row r="899">
      <c r="J899" s="68"/>
      <c r="M899" s="200"/>
      <c r="N899" s="201"/>
      <c r="O899" s="200"/>
      <c r="P899" s="200"/>
      <c r="Q899" s="68"/>
      <c r="U899" s="41"/>
    </row>
    <row r="900">
      <c r="J900" s="68"/>
      <c r="M900" s="200"/>
      <c r="N900" s="201"/>
      <c r="O900" s="200"/>
      <c r="P900" s="200"/>
      <c r="Q900" s="68"/>
      <c r="U900" s="41"/>
    </row>
    <row r="901">
      <c r="J901" s="68"/>
      <c r="M901" s="200"/>
      <c r="N901" s="201"/>
      <c r="O901" s="200"/>
      <c r="P901" s="200"/>
      <c r="Q901" s="68"/>
      <c r="U901" s="41"/>
    </row>
    <row r="902">
      <c r="J902" s="68"/>
      <c r="M902" s="200"/>
      <c r="N902" s="201"/>
      <c r="O902" s="200"/>
      <c r="P902" s="200"/>
      <c r="Q902" s="68"/>
      <c r="U902" s="41"/>
    </row>
    <row r="903">
      <c r="J903" s="68"/>
      <c r="M903" s="200"/>
      <c r="N903" s="201"/>
      <c r="O903" s="200"/>
      <c r="P903" s="200"/>
      <c r="Q903" s="68"/>
      <c r="U903" s="41"/>
    </row>
    <row r="904">
      <c r="J904" s="68"/>
      <c r="M904" s="200"/>
      <c r="N904" s="201"/>
      <c r="O904" s="200"/>
      <c r="P904" s="200"/>
      <c r="Q904" s="68"/>
      <c r="U904" s="41"/>
    </row>
    <row r="905">
      <c r="J905" s="68"/>
      <c r="M905" s="200"/>
      <c r="N905" s="201"/>
      <c r="O905" s="200"/>
      <c r="P905" s="200"/>
      <c r="Q905" s="68"/>
      <c r="U905" s="41"/>
    </row>
    <row r="906">
      <c r="J906" s="68"/>
      <c r="M906" s="200"/>
      <c r="N906" s="201"/>
      <c r="O906" s="200"/>
      <c r="P906" s="200"/>
      <c r="Q906" s="68"/>
      <c r="U906" s="41"/>
    </row>
    <row r="907">
      <c r="J907" s="68"/>
      <c r="M907" s="200"/>
      <c r="N907" s="201"/>
      <c r="O907" s="200"/>
      <c r="P907" s="200"/>
      <c r="Q907" s="68"/>
      <c r="U907" s="41"/>
    </row>
    <row r="908">
      <c r="J908" s="68"/>
      <c r="M908" s="200"/>
      <c r="N908" s="201"/>
      <c r="O908" s="200"/>
      <c r="P908" s="200"/>
      <c r="Q908" s="68"/>
      <c r="U908" s="41"/>
    </row>
    <row r="909">
      <c r="J909" s="68"/>
      <c r="M909" s="200"/>
      <c r="N909" s="201"/>
      <c r="O909" s="200"/>
      <c r="P909" s="200"/>
      <c r="Q909" s="68"/>
      <c r="U909" s="41"/>
    </row>
    <row r="910">
      <c r="J910" s="68"/>
      <c r="M910" s="200"/>
      <c r="N910" s="201"/>
      <c r="O910" s="200"/>
      <c r="P910" s="200"/>
      <c r="Q910" s="68"/>
      <c r="U910" s="41"/>
    </row>
    <row r="911">
      <c r="J911" s="68"/>
      <c r="M911" s="200"/>
      <c r="N911" s="201"/>
      <c r="O911" s="200"/>
      <c r="P911" s="200"/>
      <c r="Q911" s="68"/>
      <c r="U911" s="41"/>
    </row>
    <row r="912">
      <c r="J912" s="68"/>
      <c r="M912" s="200"/>
      <c r="N912" s="201"/>
      <c r="O912" s="200"/>
      <c r="P912" s="200"/>
      <c r="Q912" s="68"/>
      <c r="U912" s="41"/>
    </row>
    <row r="913">
      <c r="J913" s="68"/>
      <c r="M913" s="200"/>
      <c r="N913" s="201"/>
      <c r="O913" s="200"/>
      <c r="P913" s="200"/>
      <c r="Q913" s="68"/>
      <c r="U913" s="41"/>
    </row>
    <row r="914">
      <c r="J914" s="68"/>
      <c r="M914" s="200"/>
      <c r="N914" s="201"/>
      <c r="O914" s="200"/>
      <c r="P914" s="200"/>
      <c r="Q914" s="68"/>
      <c r="U914" s="41"/>
    </row>
    <row r="915">
      <c r="J915" s="68"/>
      <c r="M915" s="200"/>
      <c r="N915" s="201"/>
      <c r="O915" s="200"/>
      <c r="P915" s="200"/>
      <c r="Q915" s="68"/>
      <c r="U915" s="41"/>
    </row>
    <row r="916">
      <c r="J916" s="68"/>
      <c r="M916" s="200"/>
      <c r="N916" s="201"/>
      <c r="O916" s="200"/>
      <c r="P916" s="200"/>
      <c r="Q916" s="68"/>
      <c r="U916" s="41"/>
    </row>
    <row r="917">
      <c r="J917" s="68"/>
      <c r="M917" s="200"/>
      <c r="N917" s="201"/>
      <c r="O917" s="200"/>
      <c r="P917" s="200"/>
      <c r="Q917" s="68"/>
      <c r="U917" s="41"/>
    </row>
    <row r="918">
      <c r="J918" s="68"/>
      <c r="M918" s="200"/>
      <c r="N918" s="201"/>
      <c r="O918" s="200"/>
      <c r="P918" s="200"/>
      <c r="Q918" s="68"/>
      <c r="U918" s="41"/>
    </row>
    <row r="919">
      <c r="J919" s="68"/>
      <c r="M919" s="200"/>
      <c r="N919" s="201"/>
      <c r="O919" s="200"/>
      <c r="P919" s="200"/>
      <c r="Q919" s="68"/>
      <c r="U919" s="41"/>
    </row>
    <row r="920">
      <c r="J920" s="68"/>
      <c r="M920" s="200"/>
      <c r="N920" s="201"/>
      <c r="O920" s="200"/>
      <c r="P920" s="200"/>
      <c r="Q920" s="68"/>
      <c r="U920" s="41"/>
    </row>
    <row r="921">
      <c r="J921" s="68"/>
      <c r="M921" s="200"/>
      <c r="N921" s="201"/>
      <c r="O921" s="200"/>
      <c r="P921" s="200"/>
      <c r="Q921" s="68"/>
      <c r="U921" s="41"/>
    </row>
    <row r="922">
      <c r="J922" s="68"/>
      <c r="M922" s="200"/>
      <c r="N922" s="201"/>
      <c r="O922" s="200"/>
      <c r="P922" s="200"/>
      <c r="Q922" s="68"/>
      <c r="U922" s="41"/>
    </row>
    <row r="923">
      <c r="J923" s="68"/>
      <c r="M923" s="200"/>
      <c r="N923" s="201"/>
      <c r="O923" s="200"/>
      <c r="P923" s="200"/>
      <c r="Q923" s="68"/>
      <c r="U923" s="41"/>
    </row>
    <row r="924">
      <c r="J924" s="68"/>
      <c r="M924" s="200"/>
      <c r="N924" s="201"/>
      <c r="O924" s="200"/>
      <c r="P924" s="200"/>
      <c r="Q924" s="68"/>
      <c r="U924" s="41"/>
    </row>
    <row r="925">
      <c r="J925" s="68"/>
      <c r="M925" s="200"/>
      <c r="N925" s="201"/>
      <c r="O925" s="200"/>
      <c r="P925" s="200"/>
      <c r="Q925" s="68"/>
      <c r="U925" s="41"/>
    </row>
    <row r="926">
      <c r="J926" s="68"/>
      <c r="M926" s="200"/>
      <c r="N926" s="201"/>
      <c r="O926" s="200"/>
      <c r="P926" s="200"/>
      <c r="Q926" s="68"/>
      <c r="U926" s="41"/>
    </row>
    <row r="927">
      <c r="J927" s="68"/>
      <c r="M927" s="200"/>
      <c r="N927" s="201"/>
      <c r="O927" s="200"/>
      <c r="P927" s="200"/>
      <c r="Q927" s="68"/>
      <c r="U927" s="41"/>
    </row>
    <row r="928">
      <c r="J928" s="68"/>
      <c r="M928" s="200"/>
      <c r="N928" s="201"/>
      <c r="O928" s="200"/>
      <c r="P928" s="200"/>
      <c r="Q928" s="68"/>
      <c r="U928" s="41"/>
    </row>
    <row r="929">
      <c r="J929" s="68"/>
      <c r="M929" s="200"/>
      <c r="N929" s="201"/>
      <c r="O929" s="200"/>
      <c r="P929" s="200"/>
      <c r="Q929" s="68"/>
      <c r="U929" s="41"/>
    </row>
    <row r="930">
      <c r="J930" s="68"/>
      <c r="M930" s="200"/>
      <c r="N930" s="201"/>
      <c r="O930" s="200"/>
      <c r="P930" s="200"/>
      <c r="Q930" s="68"/>
      <c r="U930" s="41"/>
    </row>
    <row r="931">
      <c r="J931" s="68"/>
      <c r="M931" s="200"/>
      <c r="N931" s="201"/>
      <c r="O931" s="200"/>
      <c r="P931" s="200"/>
      <c r="Q931" s="68"/>
      <c r="U931" s="41"/>
    </row>
    <row r="932">
      <c r="J932" s="68"/>
      <c r="M932" s="200"/>
      <c r="N932" s="201"/>
      <c r="O932" s="200"/>
      <c r="P932" s="200"/>
      <c r="Q932" s="68"/>
      <c r="U932" s="41"/>
    </row>
    <row r="933">
      <c r="J933" s="68"/>
      <c r="M933" s="200"/>
      <c r="N933" s="201"/>
      <c r="O933" s="200"/>
      <c r="P933" s="200"/>
      <c r="Q933" s="68"/>
      <c r="U933" s="41"/>
    </row>
    <row r="934">
      <c r="J934" s="68"/>
      <c r="M934" s="200"/>
      <c r="N934" s="201"/>
      <c r="O934" s="200"/>
      <c r="P934" s="200"/>
      <c r="Q934" s="68"/>
      <c r="U934" s="41"/>
    </row>
    <row r="935">
      <c r="J935" s="68"/>
      <c r="M935" s="200"/>
      <c r="N935" s="201"/>
      <c r="O935" s="200"/>
      <c r="P935" s="200"/>
      <c r="Q935" s="68"/>
      <c r="U935" s="41"/>
    </row>
    <row r="936">
      <c r="J936" s="68"/>
      <c r="M936" s="200"/>
      <c r="N936" s="201"/>
      <c r="O936" s="200"/>
      <c r="P936" s="200"/>
      <c r="Q936" s="68"/>
      <c r="U936" s="41"/>
    </row>
    <row r="937">
      <c r="J937" s="68"/>
      <c r="M937" s="200"/>
      <c r="N937" s="201"/>
      <c r="O937" s="200"/>
      <c r="P937" s="200"/>
      <c r="Q937" s="68"/>
      <c r="U937" s="41"/>
    </row>
    <row r="938">
      <c r="J938" s="68"/>
      <c r="M938" s="200"/>
      <c r="N938" s="201"/>
      <c r="O938" s="200"/>
      <c r="P938" s="200"/>
      <c r="Q938" s="68"/>
      <c r="U938" s="41"/>
    </row>
    <row r="939">
      <c r="J939" s="68"/>
      <c r="M939" s="200"/>
      <c r="N939" s="201"/>
      <c r="O939" s="200"/>
      <c r="P939" s="200"/>
      <c r="Q939" s="68"/>
      <c r="U939" s="41"/>
    </row>
    <row r="940">
      <c r="J940" s="68"/>
      <c r="M940" s="200"/>
      <c r="N940" s="201"/>
      <c r="O940" s="200"/>
      <c r="P940" s="200"/>
      <c r="Q940" s="68"/>
      <c r="U940" s="41"/>
    </row>
    <row r="941">
      <c r="J941" s="68"/>
      <c r="M941" s="200"/>
      <c r="N941" s="201"/>
      <c r="O941" s="200"/>
      <c r="P941" s="200"/>
      <c r="Q941" s="68"/>
      <c r="U941" s="41"/>
    </row>
    <row r="942">
      <c r="J942" s="68"/>
      <c r="M942" s="200"/>
      <c r="N942" s="201"/>
      <c r="O942" s="200"/>
      <c r="P942" s="200"/>
      <c r="Q942" s="68"/>
      <c r="U942" s="41"/>
    </row>
    <row r="943">
      <c r="J943" s="68"/>
      <c r="M943" s="200"/>
      <c r="N943" s="201"/>
      <c r="O943" s="200"/>
      <c r="P943" s="200"/>
      <c r="Q943" s="68"/>
      <c r="U943" s="41"/>
    </row>
    <row r="944">
      <c r="J944" s="68"/>
      <c r="M944" s="200"/>
      <c r="N944" s="201"/>
      <c r="O944" s="200"/>
      <c r="P944" s="200"/>
      <c r="Q944" s="68"/>
      <c r="U944" s="41"/>
    </row>
    <row r="945">
      <c r="J945" s="68"/>
      <c r="M945" s="200"/>
      <c r="N945" s="201"/>
      <c r="O945" s="200"/>
      <c r="P945" s="200"/>
      <c r="Q945" s="68"/>
      <c r="U945" s="41"/>
    </row>
    <row r="946">
      <c r="J946" s="68"/>
      <c r="M946" s="200"/>
      <c r="N946" s="201"/>
      <c r="O946" s="200"/>
      <c r="P946" s="200"/>
      <c r="Q946" s="68"/>
      <c r="U946" s="41"/>
    </row>
    <row r="947">
      <c r="J947" s="68"/>
      <c r="M947" s="200"/>
      <c r="N947" s="201"/>
      <c r="O947" s="200"/>
      <c r="P947" s="200"/>
      <c r="Q947" s="68"/>
      <c r="U947" s="41"/>
    </row>
    <row r="948">
      <c r="J948" s="68"/>
      <c r="M948" s="200"/>
      <c r="N948" s="201"/>
      <c r="O948" s="200"/>
      <c r="P948" s="200"/>
      <c r="Q948" s="68"/>
      <c r="U948" s="41"/>
    </row>
    <row r="949">
      <c r="J949" s="68"/>
      <c r="M949" s="200"/>
      <c r="N949" s="201"/>
      <c r="O949" s="200"/>
      <c r="P949" s="200"/>
      <c r="Q949" s="68"/>
      <c r="U949" s="41"/>
    </row>
    <row r="950">
      <c r="J950" s="68"/>
      <c r="M950" s="200"/>
      <c r="N950" s="201"/>
      <c r="O950" s="200"/>
      <c r="P950" s="200"/>
      <c r="Q950" s="68"/>
      <c r="U950" s="41"/>
    </row>
    <row r="951">
      <c r="J951" s="68"/>
      <c r="M951" s="200"/>
      <c r="N951" s="201"/>
      <c r="O951" s="200"/>
      <c r="P951" s="200"/>
      <c r="Q951" s="68"/>
      <c r="U951" s="41"/>
    </row>
    <row r="952">
      <c r="J952" s="68"/>
      <c r="M952" s="200"/>
      <c r="N952" s="201"/>
      <c r="O952" s="200"/>
      <c r="P952" s="200"/>
      <c r="Q952" s="68"/>
      <c r="U952" s="41"/>
    </row>
    <row r="953">
      <c r="J953" s="68"/>
      <c r="M953" s="200"/>
      <c r="N953" s="201"/>
      <c r="O953" s="200"/>
      <c r="P953" s="200"/>
      <c r="Q953" s="68"/>
      <c r="U953" s="41"/>
    </row>
    <row r="954">
      <c r="J954" s="68"/>
      <c r="M954" s="200"/>
      <c r="N954" s="201"/>
      <c r="O954" s="200"/>
      <c r="P954" s="200"/>
      <c r="Q954" s="68"/>
      <c r="U954" s="41"/>
    </row>
    <row r="955">
      <c r="J955" s="68"/>
      <c r="M955" s="200"/>
      <c r="N955" s="201"/>
      <c r="O955" s="200"/>
      <c r="P955" s="200"/>
      <c r="Q955" s="68"/>
      <c r="U955" s="41"/>
    </row>
    <row r="956">
      <c r="J956" s="68"/>
      <c r="M956" s="200"/>
      <c r="N956" s="201"/>
      <c r="O956" s="200"/>
      <c r="P956" s="200"/>
      <c r="Q956" s="68"/>
      <c r="U956" s="41"/>
    </row>
    <row r="957">
      <c r="J957" s="68"/>
      <c r="M957" s="200"/>
      <c r="N957" s="201"/>
      <c r="O957" s="200"/>
      <c r="P957" s="200"/>
      <c r="Q957" s="68"/>
      <c r="U957" s="41"/>
    </row>
    <row r="958">
      <c r="J958" s="68"/>
      <c r="M958" s="200"/>
      <c r="N958" s="201"/>
      <c r="O958" s="200"/>
      <c r="P958" s="200"/>
      <c r="Q958" s="68"/>
      <c r="U958" s="41"/>
    </row>
    <row r="959">
      <c r="J959" s="68"/>
      <c r="M959" s="200"/>
      <c r="N959" s="201"/>
      <c r="O959" s="200"/>
      <c r="P959" s="200"/>
      <c r="Q959" s="68"/>
      <c r="U959" s="41"/>
    </row>
    <row r="960">
      <c r="J960" s="68"/>
      <c r="M960" s="200"/>
      <c r="N960" s="201"/>
      <c r="O960" s="200"/>
      <c r="P960" s="200"/>
      <c r="Q960" s="68"/>
      <c r="U960" s="41"/>
    </row>
    <row r="961">
      <c r="J961" s="68"/>
      <c r="M961" s="200"/>
      <c r="N961" s="201"/>
      <c r="O961" s="200"/>
      <c r="P961" s="200"/>
      <c r="Q961" s="68"/>
      <c r="U961" s="41"/>
    </row>
    <row r="962">
      <c r="J962" s="68"/>
      <c r="M962" s="200"/>
      <c r="N962" s="201"/>
      <c r="O962" s="200"/>
      <c r="P962" s="200"/>
      <c r="Q962" s="68"/>
      <c r="U962" s="41"/>
    </row>
    <row r="963">
      <c r="J963" s="68"/>
      <c r="M963" s="200"/>
      <c r="N963" s="201"/>
      <c r="O963" s="200"/>
      <c r="P963" s="200"/>
      <c r="Q963" s="68"/>
      <c r="U963" s="41"/>
    </row>
    <row r="964">
      <c r="J964" s="68"/>
      <c r="M964" s="200"/>
      <c r="N964" s="201"/>
      <c r="O964" s="200"/>
      <c r="P964" s="200"/>
      <c r="Q964" s="68"/>
      <c r="U964" s="41"/>
    </row>
    <row r="965">
      <c r="J965" s="68"/>
      <c r="M965" s="200"/>
      <c r="N965" s="201"/>
      <c r="O965" s="200"/>
      <c r="P965" s="200"/>
      <c r="Q965" s="68"/>
      <c r="U965" s="41"/>
    </row>
    <row r="966">
      <c r="J966" s="68"/>
      <c r="M966" s="200"/>
      <c r="N966" s="201"/>
      <c r="O966" s="200"/>
      <c r="P966" s="200"/>
      <c r="Q966" s="68"/>
      <c r="U966" s="41"/>
    </row>
    <row r="967">
      <c r="J967" s="68"/>
      <c r="M967" s="200"/>
      <c r="N967" s="201"/>
      <c r="O967" s="200"/>
      <c r="P967" s="200"/>
      <c r="Q967" s="68"/>
      <c r="U967" s="41"/>
    </row>
    <row r="968">
      <c r="J968" s="68"/>
      <c r="M968" s="200"/>
      <c r="N968" s="201"/>
      <c r="O968" s="200"/>
      <c r="P968" s="200"/>
      <c r="Q968" s="68"/>
      <c r="U968" s="41"/>
    </row>
    <row r="969">
      <c r="J969" s="68"/>
      <c r="M969" s="200"/>
      <c r="N969" s="201"/>
      <c r="O969" s="200"/>
      <c r="P969" s="200"/>
      <c r="Q969" s="68"/>
      <c r="U969" s="41"/>
    </row>
    <row r="970">
      <c r="J970" s="68"/>
      <c r="M970" s="200"/>
      <c r="N970" s="201"/>
      <c r="O970" s="200"/>
      <c r="P970" s="200"/>
      <c r="Q970" s="68"/>
      <c r="U970" s="41"/>
    </row>
    <row r="971">
      <c r="J971" s="68"/>
      <c r="M971" s="200"/>
      <c r="N971" s="201"/>
      <c r="O971" s="200"/>
      <c r="P971" s="200"/>
      <c r="Q971" s="68"/>
      <c r="U971" s="41"/>
    </row>
    <row r="972">
      <c r="J972" s="68"/>
      <c r="M972" s="200"/>
      <c r="N972" s="201"/>
      <c r="O972" s="200"/>
      <c r="P972" s="200"/>
      <c r="Q972" s="68"/>
      <c r="U972" s="41"/>
    </row>
    <row r="973">
      <c r="J973" s="68"/>
      <c r="M973" s="200"/>
      <c r="N973" s="201"/>
      <c r="O973" s="200"/>
      <c r="P973" s="200"/>
      <c r="Q973" s="68"/>
      <c r="U973" s="41"/>
    </row>
    <row r="974">
      <c r="J974" s="68"/>
      <c r="M974" s="200"/>
      <c r="N974" s="201"/>
      <c r="O974" s="200"/>
      <c r="P974" s="200"/>
      <c r="Q974" s="68"/>
      <c r="U974" s="41"/>
    </row>
    <row r="975">
      <c r="J975" s="68"/>
      <c r="M975" s="200"/>
      <c r="N975" s="201"/>
      <c r="O975" s="200"/>
      <c r="P975" s="200"/>
      <c r="Q975" s="68"/>
      <c r="U975" s="41"/>
    </row>
    <row r="976">
      <c r="J976" s="68"/>
      <c r="M976" s="200"/>
      <c r="N976" s="201"/>
      <c r="O976" s="200"/>
      <c r="P976" s="200"/>
      <c r="Q976" s="68"/>
      <c r="U976" s="41"/>
    </row>
    <row r="977">
      <c r="J977" s="68"/>
      <c r="M977" s="200"/>
      <c r="N977" s="201"/>
      <c r="O977" s="200"/>
      <c r="P977" s="200"/>
      <c r="Q977" s="68"/>
      <c r="U977" s="41"/>
    </row>
    <row r="978">
      <c r="J978" s="68"/>
      <c r="M978" s="200"/>
      <c r="N978" s="201"/>
      <c r="O978" s="200"/>
      <c r="P978" s="200"/>
      <c r="Q978" s="68"/>
      <c r="U978" s="41"/>
    </row>
    <row r="979">
      <c r="J979" s="68"/>
      <c r="M979" s="200"/>
      <c r="N979" s="201"/>
      <c r="O979" s="200"/>
      <c r="P979" s="200"/>
      <c r="Q979" s="68"/>
      <c r="U979" s="41"/>
    </row>
    <row r="980">
      <c r="J980" s="68"/>
      <c r="M980" s="200"/>
      <c r="N980" s="201"/>
      <c r="O980" s="200"/>
      <c r="P980" s="200"/>
      <c r="Q980" s="68"/>
      <c r="U980" s="41"/>
    </row>
    <row r="981">
      <c r="J981" s="68"/>
      <c r="M981" s="200"/>
      <c r="N981" s="201"/>
      <c r="O981" s="200"/>
      <c r="P981" s="200"/>
      <c r="Q981" s="68"/>
      <c r="U981" s="41"/>
    </row>
    <row r="982">
      <c r="J982" s="68"/>
      <c r="M982" s="200"/>
      <c r="N982" s="201"/>
      <c r="O982" s="200"/>
      <c r="P982" s="200"/>
      <c r="Q982" s="68"/>
      <c r="U982" s="41"/>
    </row>
    <row r="983">
      <c r="J983" s="68"/>
      <c r="M983" s="200"/>
      <c r="N983" s="201"/>
      <c r="O983" s="200"/>
      <c r="P983" s="200"/>
      <c r="Q983" s="68"/>
      <c r="U983" s="41"/>
    </row>
    <row r="984">
      <c r="J984" s="68"/>
      <c r="M984" s="200"/>
      <c r="N984" s="201"/>
      <c r="O984" s="200"/>
      <c r="P984" s="200"/>
      <c r="Q984" s="68"/>
      <c r="U984" s="41"/>
    </row>
    <row r="985">
      <c r="J985" s="68"/>
      <c r="M985" s="200"/>
      <c r="N985" s="201"/>
      <c r="O985" s="200"/>
      <c r="P985" s="200"/>
      <c r="Q985" s="68"/>
      <c r="U985" s="41"/>
    </row>
    <row r="986">
      <c r="J986" s="68"/>
      <c r="M986" s="200"/>
      <c r="N986" s="201"/>
      <c r="O986" s="200"/>
      <c r="P986" s="200"/>
      <c r="Q986" s="68"/>
      <c r="U986" s="41"/>
    </row>
    <row r="987">
      <c r="J987" s="68"/>
      <c r="M987" s="200"/>
      <c r="N987" s="201"/>
      <c r="O987" s="200"/>
      <c r="P987" s="200"/>
      <c r="Q987" s="68"/>
      <c r="U987" s="41"/>
    </row>
    <row r="988">
      <c r="J988" s="68"/>
      <c r="M988" s="200"/>
      <c r="N988" s="201"/>
      <c r="O988" s="200"/>
      <c r="P988" s="200"/>
      <c r="Q988" s="68"/>
      <c r="U988" s="41"/>
    </row>
    <row r="989">
      <c r="J989" s="68"/>
      <c r="M989" s="200"/>
      <c r="N989" s="201"/>
      <c r="O989" s="200"/>
      <c r="P989" s="200"/>
      <c r="Q989" s="68"/>
      <c r="U989" s="41"/>
    </row>
    <row r="990">
      <c r="J990" s="68"/>
      <c r="M990" s="200"/>
      <c r="N990" s="201"/>
      <c r="O990" s="200"/>
      <c r="P990" s="200"/>
      <c r="Q990" s="68"/>
      <c r="U990" s="41"/>
    </row>
    <row r="991">
      <c r="J991" s="68"/>
      <c r="M991" s="200"/>
      <c r="N991" s="201"/>
      <c r="O991" s="200"/>
      <c r="P991" s="200"/>
      <c r="Q991" s="68"/>
      <c r="U991" s="41"/>
    </row>
    <row r="992">
      <c r="J992" s="68"/>
      <c r="M992" s="200"/>
      <c r="N992" s="201"/>
      <c r="O992" s="200"/>
      <c r="P992" s="200"/>
      <c r="Q992" s="68"/>
      <c r="U992" s="41"/>
    </row>
    <row r="993">
      <c r="J993" s="68"/>
      <c r="M993" s="200"/>
      <c r="N993" s="201"/>
      <c r="O993" s="200"/>
      <c r="P993" s="200"/>
      <c r="Q993" s="68"/>
      <c r="U993" s="41"/>
    </row>
    <row r="994">
      <c r="J994" s="68"/>
      <c r="M994" s="200"/>
      <c r="N994" s="201"/>
      <c r="O994" s="200"/>
      <c r="P994" s="200"/>
      <c r="Q994" s="68"/>
      <c r="U994" s="41"/>
    </row>
    <row r="995">
      <c r="J995" s="68"/>
      <c r="M995" s="200"/>
      <c r="N995" s="201"/>
      <c r="O995" s="200"/>
      <c r="P995" s="200"/>
      <c r="Q995" s="68"/>
      <c r="U995" s="41"/>
    </row>
    <row r="996">
      <c r="J996" s="68"/>
      <c r="M996" s="200"/>
      <c r="N996" s="201"/>
      <c r="O996" s="200"/>
      <c r="P996" s="200"/>
      <c r="Q996" s="68"/>
      <c r="U996" s="41"/>
    </row>
    <row r="997">
      <c r="J997" s="68"/>
      <c r="M997" s="200"/>
      <c r="N997" s="201"/>
      <c r="O997" s="200"/>
      <c r="P997" s="200"/>
      <c r="Q997" s="68"/>
      <c r="U997" s="41"/>
    </row>
    <row r="998">
      <c r="J998" s="68"/>
      <c r="M998" s="200"/>
      <c r="N998" s="201"/>
      <c r="O998" s="200"/>
      <c r="P998" s="200"/>
      <c r="Q998" s="68"/>
      <c r="U998" s="41"/>
    </row>
    <row r="999">
      <c r="J999" s="68"/>
      <c r="M999" s="200"/>
      <c r="N999" s="201"/>
      <c r="O999" s="200"/>
      <c r="P999" s="200"/>
      <c r="Q999" s="68"/>
      <c r="U999" s="41"/>
    </row>
    <row r="1000">
      <c r="J1000" s="68"/>
      <c r="M1000" s="200"/>
      <c r="N1000" s="201"/>
      <c r="O1000" s="200"/>
      <c r="P1000" s="200"/>
      <c r="Q1000" s="68"/>
      <c r="U1000" s="41"/>
    </row>
    <row r="1001">
      <c r="J1001" s="68"/>
      <c r="M1001" s="200"/>
      <c r="N1001" s="201"/>
      <c r="O1001" s="200"/>
      <c r="P1001" s="200"/>
      <c r="Q1001" s="68"/>
      <c r="U1001" s="41"/>
    </row>
    <row r="1002">
      <c r="J1002" s="68"/>
      <c r="M1002" s="200"/>
      <c r="N1002" s="201"/>
      <c r="O1002" s="200"/>
      <c r="P1002" s="200"/>
      <c r="Q1002" s="68"/>
      <c r="U1002" s="41"/>
    </row>
    <row r="1003">
      <c r="J1003" s="68"/>
      <c r="M1003" s="200"/>
      <c r="N1003" s="201"/>
      <c r="O1003" s="200"/>
      <c r="P1003" s="200"/>
      <c r="Q1003" s="68"/>
      <c r="U1003" s="41"/>
    </row>
    <row r="1004">
      <c r="J1004" s="68"/>
      <c r="M1004" s="200"/>
      <c r="N1004" s="201"/>
      <c r="O1004" s="200"/>
      <c r="P1004" s="200"/>
      <c r="Q1004" s="68"/>
      <c r="U1004" s="41"/>
    </row>
    <row r="1005">
      <c r="J1005" s="68"/>
      <c r="M1005" s="200"/>
      <c r="N1005" s="201"/>
      <c r="O1005" s="200"/>
      <c r="P1005" s="200"/>
      <c r="Q1005" s="68"/>
      <c r="U1005" s="41"/>
    </row>
    <row r="1006">
      <c r="J1006" s="68"/>
      <c r="M1006" s="200"/>
      <c r="N1006" s="201"/>
      <c r="O1006" s="200"/>
      <c r="P1006" s="200"/>
      <c r="Q1006" s="68"/>
      <c r="U1006" s="41"/>
    </row>
    <row r="1007">
      <c r="J1007" s="68"/>
      <c r="M1007" s="200"/>
      <c r="N1007" s="201"/>
      <c r="O1007" s="200"/>
      <c r="P1007" s="200"/>
      <c r="Q1007" s="68"/>
      <c r="U1007" s="41"/>
    </row>
    <row r="1008">
      <c r="J1008" s="68"/>
      <c r="M1008" s="200"/>
      <c r="N1008" s="201"/>
      <c r="O1008" s="200"/>
      <c r="P1008" s="200"/>
      <c r="Q1008" s="68"/>
      <c r="U1008" s="41"/>
    </row>
    <row r="1009">
      <c r="J1009" s="68"/>
      <c r="M1009" s="200"/>
      <c r="N1009" s="201"/>
      <c r="O1009" s="200"/>
      <c r="P1009" s="200"/>
      <c r="Q1009" s="68"/>
      <c r="U1009" s="41"/>
    </row>
    <row r="1010">
      <c r="J1010" s="68"/>
      <c r="M1010" s="200"/>
      <c r="N1010" s="201"/>
      <c r="O1010" s="200"/>
      <c r="P1010" s="200"/>
      <c r="Q1010" s="68"/>
      <c r="U1010" s="41"/>
    </row>
    <row r="1011">
      <c r="J1011" s="68"/>
      <c r="M1011" s="200"/>
      <c r="N1011" s="201"/>
      <c r="O1011" s="200"/>
      <c r="P1011" s="200"/>
      <c r="Q1011" s="68"/>
      <c r="U1011" s="41"/>
    </row>
    <row r="1012">
      <c r="J1012" s="68"/>
      <c r="M1012" s="200"/>
      <c r="N1012" s="201"/>
      <c r="O1012" s="200"/>
      <c r="P1012" s="200"/>
      <c r="Q1012" s="68"/>
      <c r="U1012" s="41"/>
    </row>
    <row r="1013">
      <c r="J1013" s="68"/>
      <c r="M1013" s="200"/>
      <c r="N1013" s="201"/>
      <c r="O1013" s="200"/>
      <c r="P1013" s="200"/>
      <c r="Q1013" s="68"/>
      <c r="U1013" s="41"/>
    </row>
    <row r="1014">
      <c r="J1014" s="68"/>
      <c r="M1014" s="200"/>
      <c r="N1014" s="201"/>
      <c r="O1014" s="200"/>
      <c r="P1014" s="200"/>
      <c r="Q1014" s="68"/>
      <c r="U1014" s="41"/>
    </row>
    <row r="1015">
      <c r="J1015" s="68"/>
      <c r="M1015" s="200"/>
      <c r="N1015" s="201"/>
      <c r="O1015" s="200"/>
      <c r="P1015" s="200"/>
      <c r="Q1015" s="68"/>
      <c r="U1015" s="41"/>
    </row>
  </sheetData>
  <conditionalFormatting sqref="C134">
    <cfRule type="expression" dxfId="0" priority="1">
      <formula>$P134="No"</formula>
    </cfRule>
  </conditionalFormatting>
  <conditionalFormatting sqref="C134">
    <cfRule type="expression" dxfId="1" priority="2">
      <formula>$P134=""</formula>
    </cfRule>
  </conditionalFormatting>
  <conditionalFormatting sqref="B170:B187 C170:C175 D170:H187 I170 K170:M187 N170:N188 O170:T187 I173:I177 C177:C187 I179:I181 I183:I187">
    <cfRule type="expression" dxfId="0" priority="3">
      <formula>$T170="No"</formula>
    </cfRule>
  </conditionalFormatting>
  <conditionalFormatting sqref="I3 B114:G140 H114:H136 K114:M140 O114:O140 Q114:Q140 J116:J140 I130 I132 I134:I137 H138:H140 I140">
    <cfRule type="expression" dxfId="0" priority="4">
      <formula>$G3="No"</formula>
    </cfRule>
  </conditionalFormatting>
  <conditionalFormatting sqref="I3 B114:G140 H114:H136 K114:M140 O114:O140 Q114:Q140 J116:J140 I130 I132 I134:I137 H138:H140 I140">
    <cfRule type="expression" dxfId="1" priority="5">
      <formula>$G3=""</formula>
    </cfRule>
  </conditionalFormatting>
  <conditionalFormatting sqref="V1:V1015">
    <cfRule type="cellIs" dxfId="2" priority="6" operator="equal">
      <formula>"No"</formula>
    </cfRule>
  </conditionalFormatting>
  <conditionalFormatting sqref="V1:V1015">
    <cfRule type="cellIs" dxfId="3" priority="7" operator="equal">
      <formula>"Yes"</formula>
    </cfRule>
  </conditionalFormatting>
  <conditionalFormatting sqref="V1">
    <cfRule type="notContainsBlanks" dxfId="4" priority="8">
      <formula>LEN(TRIM(V1))&gt;0</formula>
    </cfRule>
  </conditionalFormatting>
  <conditionalFormatting sqref="V1:V1015">
    <cfRule type="cellIs" dxfId="5" priority="9" operator="equal">
      <formula>"YesNo"</formula>
    </cfRule>
  </conditionalFormatting>
  <dataValidations>
    <dataValidation type="list" allowBlank="1" showErrorMessage="1" sqref="U120:U125">
      <formula1>'Exclussion basis'!$A$2:$A$4</formula1>
    </dataValidation>
  </dataValidations>
  <hyperlinks>
    <hyperlink r:id="rId2" ref="D2"/>
    <hyperlink r:id="rId3" ref="D3"/>
    <hyperlink r:id="rId4" ref="D4"/>
    <hyperlink r:id="rId5" ref="D5"/>
    <hyperlink r:id="rId6" ref="D6"/>
    <hyperlink r:id="rId7" ref="J6"/>
    <hyperlink r:id="rId8" ref="D7"/>
    <hyperlink r:id="rId9" ref="D8"/>
    <hyperlink r:id="rId10" ref="D9"/>
    <hyperlink r:id="rId11" ref="D10"/>
    <hyperlink r:id="rId12" ref="D11"/>
    <hyperlink r:id="rId13" ref="D12"/>
    <hyperlink r:id="rId14" ref="D13"/>
    <hyperlink r:id="rId15" ref="D14"/>
    <hyperlink r:id="rId16" ref="D15"/>
    <hyperlink r:id="rId17" ref="D16"/>
    <hyperlink r:id="rId18" ref="D17"/>
    <hyperlink r:id="rId19" ref="D18"/>
    <hyperlink r:id="rId20" ref="D19"/>
    <hyperlink r:id="rId21" ref="D20"/>
    <hyperlink r:id="rId22" ref="J20"/>
    <hyperlink r:id="rId23" ref="D21"/>
    <hyperlink r:id="rId24" ref="D22"/>
    <hyperlink r:id="rId25" ref="D23"/>
    <hyperlink r:id="rId26" ref="D24"/>
    <hyperlink r:id="rId27" ref="J24"/>
    <hyperlink r:id="rId28" ref="D25"/>
    <hyperlink r:id="rId29" ref="J25"/>
    <hyperlink r:id="rId30" ref="D26"/>
    <hyperlink r:id="rId31" ref="D27"/>
    <hyperlink r:id="rId32" ref="D28"/>
    <hyperlink r:id="rId33" ref="D29"/>
    <hyperlink r:id="rId34" ref="D30"/>
    <hyperlink r:id="rId35" ref="D31"/>
    <hyperlink r:id="rId36" ref="D32"/>
    <hyperlink r:id="rId37" ref="D33"/>
    <hyperlink r:id="rId38" ref="D34"/>
    <hyperlink r:id="rId39" ref="D35"/>
    <hyperlink r:id="rId40" ref="D36"/>
    <hyperlink r:id="rId41" ref="D37"/>
    <hyperlink r:id="rId42" ref="D38"/>
    <hyperlink r:id="rId43" ref="D39"/>
    <hyperlink r:id="rId44" ref="J39"/>
    <hyperlink r:id="rId45" ref="D40"/>
    <hyperlink r:id="rId46" ref="J40"/>
    <hyperlink r:id="rId47" ref="D41"/>
    <hyperlink r:id="rId48" ref="D42"/>
    <hyperlink r:id="rId49" ref="D43"/>
    <hyperlink r:id="rId50" ref="D44"/>
    <hyperlink r:id="rId51" ref="J44"/>
    <hyperlink r:id="rId52" ref="D45"/>
    <hyperlink r:id="rId53" ref="J45"/>
    <hyperlink r:id="rId54" ref="D46"/>
    <hyperlink r:id="rId55" ref="D47"/>
    <hyperlink r:id="rId56" ref="D48"/>
    <hyperlink r:id="rId57" ref="J48"/>
    <hyperlink r:id="rId58" ref="D49"/>
    <hyperlink r:id="rId59" ref="D50"/>
    <hyperlink r:id="rId60" ref="J50"/>
    <hyperlink r:id="rId61" ref="D51"/>
    <hyperlink r:id="rId62" ref="J51"/>
    <hyperlink r:id="rId63" ref="D52"/>
    <hyperlink r:id="rId64" ref="J52"/>
    <hyperlink r:id="rId65" ref="D53"/>
    <hyperlink r:id="rId66" ref="D54"/>
    <hyperlink r:id="rId67" ref="J54"/>
    <hyperlink r:id="rId68" ref="D55"/>
    <hyperlink r:id="rId69" ref="J55"/>
    <hyperlink r:id="rId70" ref="D56"/>
    <hyperlink r:id="rId71" ref="D57"/>
    <hyperlink r:id="rId72" ref="D58"/>
    <hyperlink r:id="rId73" ref="D59"/>
    <hyperlink r:id="rId74" ref="D60"/>
    <hyperlink r:id="rId75" ref="J60"/>
    <hyperlink r:id="rId76" ref="D61"/>
    <hyperlink r:id="rId77" ref="D62"/>
    <hyperlink r:id="rId78" ref="D63"/>
    <hyperlink r:id="rId79" ref="J63"/>
    <hyperlink r:id="rId80" ref="D64"/>
    <hyperlink r:id="rId81" ref="D65"/>
    <hyperlink r:id="rId82" ref="D66"/>
    <hyperlink r:id="rId83" ref="D67"/>
    <hyperlink r:id="rId84" ref="D68"/>
    <hyperlink r:id="rId85" ref="D69"/>
    <hyperlink r:id="rId86" ref="D70"/>
    <hyperlink r:id="rId87" ref="D71"/>
    <hyperlink r:id="rId88" ref="D72"/>
    <hyperlink r:id="rId89" ref="D73"/>
    <hyperlink r:id="rId90" ref="J73"/>
    <hyperlink r:id="rId91" ref="D74"/>
    <hyperlink r:id="rId92" ref="J74"/>
    <hyperlink r:id="rId93" ref="D75"/>
    <hyperlink r:id="rId94" ref="D76"/>
    <hyperlink r:id="rId95" ref="D77"/>
    <hyperlink r:id="rId96" ref="D78"/>
    <hyperlink r:id="rId97" ref="D79"/>
    <hyperlink r:id="rId98" ref="D80"/>
    <hyperlink r:id="rId99" ref="D81"/>
    <hyperlink r:id="rId100" ref="D82"/>
    <hyperlink r:id="rId101" ref="D83"/>
    <hyperlink r:id="rId102" ref="D84"/>
    <hyperlink r:id="rId103" ref="D85"/>
    <hyperlink r:id="rId104" ref="D86"/>
    <hyperlink r:id="rId105" ref="J86"/>
    <hyperlink r:id="rId106" ref="D87"/>
    <hyperlink r:id="rId107" ref="D88"/>
    <hyperlink r:id="rId108" ref="D89"/>
    <hyperlink r:id="rId109" ref="D90"/>
    <hyperlink r:id="rId110" ref="J90"/>
    <hyperlink r:id="rId111" ref="D91"/>
    <hyperlink r:id="rId112" ref="D92"/>
    <hyperlink r:id="rId113" ref="D93"/>
    <hyperlink r:id="rId114" ref="J93"/>
    <hyperlink r:id="rId115" ref="D94"/>
    <hyperlink r:id="rId116" ref="D95"/>
    <hyperlink r:id="rId117" ref="D96"/>
    <hyperlink r:id="rId118" ref="D97"/>
    <hyperlink r:id="rId119" ref="D98"/>
    <hyperlink r:id="rId120" ref="D99"/>
    <hyperlink r:id="rId121" ref="D100"/>
    <hyperlink r:id="rId122" ref="D101"/>
    <hyperlink r:id="rId123" ref="J101"/>
    <hyperlink r:id="rId124" ref="D102"/>
    <hyperlink r:id="rId125" ref="D103"/>
    <hyperlink r:id="rId126" ref="J103"/>
    <hyperlink r:id="rId127" ref="D104"/>
    <hyperlink r:id="rId128" ref="J104"/>
    <hyperlink r:id="rId129" ref="D105"/>
    <hyperlink r:id="rId130" ref="D106"/>
    <hyperlink r:id="rId131" ref="J106"/>
    <hyperlink r:id="rId132" ref="D107"/>
    <hyperlink r:id="rId133" ref="J107"/>
    <hyperlink r:id="rId134" ref="D108"/>
    <hyperlink r:id="rId135" ref="D109"/>
    <hyperlink r:id="rId136" ref="J109"/>
    <hyperlink r:id="rId137" ref="D110"/>
    <hyperlink r:id="rId138" ref="D111"/>
    <hyperlink r:id="rId139" ref="D112"/>
    <hyperlink r:id="rId140" ref="D113"/>
    <hyperlink r:id="rId141" ref="D114"/>
    <hyperlink r:id="rId142" ref="D115"/>
    <hyperlink r:id="rId143" ref="D116"/>
    <hyperlink r:id="rId144" ref="D117"/>
    <hyperlink r:id="rId145" ref="D118"/>
    <hyperlink r:id="rId146" ref="D119"/>
    <hyperlink r:id="rId147" ref="D120"/>
    <hyperlink r:id="rId148" ref="D121"/>
    <hyperlink r:id="rId149" ref="D122"/>
    <hyperlink r:id="rId150" ref="D123"/>
    <hyperlink r:id="rId151" ref="D124"/>
    <hyperlink r:id="rId152" ref="D125"/>
    <hyperlink r:id="rId153" ref="D126"/>
    <hyperlink r:id="rId154" ref="D127"/>
    <hyperlink r:id="rId155" ref="J127"/>
    <hyperlink r:id="rId156" ref="D128"/>
    <hyperlink r:id="rId157" ref="D129"/>
    <hyperlink r:id="rId158" ref="D130"/>
    <hyperlink r:id="rId159" ref="D131"/>
    <hyperlink r:id="rId160" ref="D132"/>
    <hyperlink r:id="rId161" ref="D133"/>
    <hyperlink r:id="rId162" ref="J133"/>
    <hyperlink r:id="rId163" ref="D134"/>
    <hyperlink r:id="rId164" ref="D135"/>
    <hyperlink r:id="rId165" ref="D136"/>
    <hyperlink r:id="rId166" ref="J136"/>
    <hyperlink r:id="rId167" ref="D137"/>
    <hyperlink r:id="rId168" ref="D138"/>
    <hyperlink r:id="rId169" ref="J138"/>
    <hyperlink r:id="rId170" ref="D139"/>
    <hyperlink r:id="rId171" ref="D140"/>
    <hyperlink r:id="rId172" ref="D141"/>
    <hyperlink r:id="rId173" ref="D142"/>
    <hyperlink r:id="rId174" ref="J142"/>
    <hyperlink r:id="rId175" ref="D143"/>
    <hyperlink r:id="rId176" ref="D144"/>
    <hyperlink r:id="rId177" ref="D145"/>
    <hyperlink r:id="rId178" ref="D146"/>
    <hyperlink r:id="rId179" ref="D147"/>
    <hyperlink r:id="rId180" ref="J147"/>
    <hyperlink r:id="rId181" ref="D148"/>
    <hyperlink r:id="rId182" ref="J148"/>
    <hyperlink r:id="rId183" ref="D149"/>
    <hyperlink r:id="rId184" ref="D150"/>
    <hyperlink r:id="rId185" ref="D151"/>
    <hyperlink r:id="rId186" ref="D152"/>
    <hyperlink r:id="rId187" ref="D153"/>
    <hyperlink r:id="rId188" ref="J153"/>
    <hyperlink r:id="rId189" ref="D154"/>
    <hyperlink r:id="rId190" ref="J154"/>
    <hyperlink r:id="rId191" ref="D155"/>
    <hyperlink r:id="rId192" ref="D156"/>
    <hyperlink r:id="rId193" ref="J156"/>
    <hyperlink r:id="rId194" ref="D157"/>
    <hyperlink r:id="rId195" ref="D158"/>
    <hyperlink r:id="rId196" ref="D159"/>
    <hyperlink r:id="rId197" ref="J159"/>
    <hyperlink r:id="rId198" ref="D160"/>
    <hyperlink r:id="rId199" ref="D161"/>
    <hyperlink r:id="rId200" ref="D162"/>
    <hyperlink r:id="rId201" ref="D163"/>
    <hyperlink r:id="rId202" ref="J163"/>
    <hyperlink r:id="rId203" ref="D164"/>
    <hyperlink r:id="rId204" ref="D165"/>
    <hyperlink r:id="rId205" ref="D166"/>
    <hyperlink r:id="rId206" ref="D167"/>
    <hyperlink r:id="rId207" ref="D168"/>
    <hyperlink r:id="rId208" ref="D169"/>
    <hyperlink r:id="rId209" ref="D170"/>
    <hyperlink r:id="rId210" ref="D171"/>
    <hyperlink r:id="rId211" ref="J171"/>
    <hyperlink r:id="rId212" ref="D172"/>
    <hyperlink r:id="rId213" ref="D173"/>
    <hyperlink r:id="rId214" ref="J173"/>
    <hyperlink r:id="rId215" ref="D174"/>
    <hyperlink r:id="rId216" ref="J174"/>
    <hyperlink r:id="rId217" ref="D175"/>
    <hyperlink r:id="rId218" ref="J175"/>
    <hyperlink r:id="rId219" ref="D176"/>
    <hyperlink r:id="rId220" ref="D177"/>
    <hyperlink r:id="rId221" ref="D178"/>
    <hyperlink r:id="rId222" ref="D179"/>
    <hyperlink r:id="rId223" ref="D180"/>
    <hyperlink r:id="rId224" ref="D181"/>
    <hyperlink r:id="rId225" ref="D182"/>
    <hyperlink r:id="rId226" ref="D183"/>
    <hyperlink r:id="rId227" ref="J183"/>
    <hyperlink r:id="rId228" ref="D184"/>
    <hyperlink r:id="rId229" ref="D185"/>
    <hyperlink r:id="rId230" ref="D186"/>
    <hyperlink r:id="rId231" ref="D187"/>
    <hyperlink r:id="rId232" ref="J187"/>
    <hyperlink r:id="rId233" ref="D188"/>
    <hyperlink r:id="rId234" ref="D189"/>
    <hyperlink r:id="rId235" ref="D190"/>
    <hyperlink r:id="rId236" ref="D191"/>
    <hyperlink r:id="rId237" ref="D192"/>
    <hyperlink r:id="rId238" ref="D193"/>
    <hyperlink r:id="rId239" ref="D194"/>
    <hyperlink r:id="rId240" ref="D195"/>
    <hyperlink r:id="rId241" ref="D196"/>
    <hyperlink r:id="rId242" ref="D197"/>
    <hyperlink r:id="rId243" ref="D198"/>
    <hyperlink r:id="rId244" ref="D199"/>
    <hyperlink r:id="rId245" ref="D200"/>
    <hyperlink r:id="rId246" ref="D201"/>
    <hyperlink r:id="rId247" ref="D202"/>
    <hyperlink r:id="rId248" ref="D203"/>
    <hyperlink r:id="rId249" ref="D204"/>
    <hyperlink r:id="rId250" ref="D205"/>
    <hyperlink r:id="rId251" ref="D206"/>
  </hyperlinks>
  <drawing r:id="rId252"/>
  <legacyDrawing r:id="rId25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0"/>
    <col customWidth="1" min="2" max="2" width="18.0"/>
    <col customWidth="1" min="3" max="3" width="27.11"/>
    <col customWidth="1" min="4" max="4" width="19.78"/>
    <col customWidth="1" min="8" max="8" width="19.0"/>
    <col customWidth="1" min="9" max="9" width="23.22"/>
  </cols>
  <sheetData>
    <row r="1">
      <c r="A1" s="202" t="s">
        <v>2210</v>
      </c>
      <c r="B1" s="202" t="s">
        <v>2211</v>
      </c>
      <c r="C1" s="5" t="s">
        <v>61</v>
      </c>
      <c r="D1" s="203" t="s">
        <v>2212</v>
      </c>
      <c r="H1" s="26" t="s">
        <v>2213</v>
      </c>
      <c r="I1" s="26" t="s">
        <v>2214</v>
      </c>
    </row>
    <row r="2">
      <c r="A2" s="26" t="s">
        <v>2215</v>
      </c>
      <c r="B2" s="37">
        <f>SUMPRODUCT(
  --(
     ISNUMBER(SEARCH("RL"," "&amp;'Cleaned Master sheet'!K1:K100002&amp;" "))
     +
     ISNUMBER(SEARCH("Reinforced learning",'Cleaned Master sheet'!K1:K100002))
   &gt; 0
  )
)</f>
        <v>103</v>
      </c>
      <c r="C2" s="26" t="s">
        <v>1335</v>
      </c>
      <c r="D2" s="37">
        <f>SUMPRODUCT(--(ISNUMBER(SEARCH(C2,'Cleaned Master sheet'!L1:L99996))))</f>
        <v>9</v>
      </c>
      <c r="G2" s="204" t="s">
        <v>2216</v>
      </c>
      <c r="H2" s="26" t="s">
        <v>2217</v>
      </c>
      <c r="I2" s="37" t="str">
        <f>TEXTJOIN(", ", TRUE, IF('Cleaned Master sheet'!I:I="Simulation", 'Cleaned Master sheet'!U:U,""))</f>
        <v/>
      </c>
    </row>
    <row r="3">
      <c r="A3" s="26" t="s">
        <v>2218</v>
      </c>
      <c r="B3" s="37">
        <f>SUMPRODUCT(
  --(
     ISNUMBER(SEARCH("ML"," "&amp;'Cleaned Master sheet'!K1:K100002&amp;" "))
     +
     ISNUMBER(SEARCH("Machine learning",'Cleaned Master sheet'!K1:K100002))
   &gt; 0
  )
)</f>
        <v>21</v>
      </c>
      <c r="C3" s="26" t="s">
        <v>2219</v>
      </c>
      <c r="D3" s="37">
        <f>SUMPRODUCT(--(ISNUMBER(SEARCH(C3,'Cleaned Master sheet'!L2:L99997))))</f>
        <v>0</v>
      </c>
      <c r="H3" s="26" t="s">
        <v>995</v>
      </c>
    </row>
    <row r="4">
      <c r="A4" s="26" t="s">
        <v>2220</v>
      </c>
      <c r="B4" s="37">
        <f>SUMPRODUCT(
  --(
     ISNUMBER(SEARCH("AI"," "&amp;'Cleaned Master sheet'!K1:K100005&amp;" "))
     +
     ISNUMBER(SEARCH("Artificial Intelligence",'Cleaned Master sheet'!K1:K100005))
   &gt; 0
  )
)</f>
        <v>11</v>
      </c>
      <c r="C4" s="26" t="s">
        <v>2221</v>
      </c>
      <c r="D4" s="37">
        <f>SUMPRODUCT(--(ISNUMBER(SEARCH(C4,'Cleaned Master sheet'!L3:L99998))))</f>
        <v>0</v>
      </c>
      <c r="H4" s="26" t="s">
        <v>2222</v>
      </c>
      <c r="I4" s="37" t="str">
        <f>TEXTJOIN(", ", TRUE, IF('Cleaned Master sheet'!I1:I1001="simulation", 'Cleaned Master sheet'!U1:U1001, ""))</f>
        <v/>
      </c>
    </row>
    <row r="5">
      <c r="A5" s="26" t="s">
        <v>2223</v>
      </c>
      <c r="B5" s="37">
        <f>SUMPRODUCT(
  --(
     ISNUMBER(SEARCH("DT"," "&amp;'Cleaned Master sheet'!K1:K100004&amp;" "))
     +
     ISNUMBER(SEARCH("Digital Twin",'Cleaned Master sheet'!K1:K100004))
   &gt; 0
  )
)</f>
        <v>21</v>
      </c>
      <c r="C5" s="26" t="s">
        <v>1110</v>
      </c>
      <c r="D5" s="37">
        <f>SUMPRODUCT(--(ISNUMBER(SEARCH(C5,'Cleaned Master sheet'!L4:L99999))))</f>
        <v>18</v>
      </c>
      <c r="H5" s="26" t="s">
        <v>2224</v>
      </c>
    </row>
    <row r="6">
      <c r="A6" s="26" t="s">
        <v>2225</v>
      </c>
      <c r="B6" s="37">
        <f>SUMPRODUCT(
  --(
     ISNUMBER(SEARCH("IoT"," "&amp;'Cleaned Master sheet'!K1:K100002&amp;" "))
     +
     ISNUMBER(SEARCH("Internet of Thing",'Cleaned Master sheet'!K1:K100002))
   &gt; 0
  )
)</f>
        <v>20</v>
      </c>
      <c r="C6" s="26" t="s">
        <v>2226</v>
      </c>
      <c r="D6" s="37">
        <f>SUMPRODUCT(--(ISNUMBER(SEARCH(C6,'Cleaned Master sheet'!L5:L100000))))</f>
        <v>21</v>
      </c>
      <c r="I6" s="37" t="str">
        <f>TEXTJOIN(", ", TRUE, IF(TRIM(LOWER('Cleaned Master sheet'!I1:I1001))="simulation", 'Cleaned Master sheet'!U1:U1001, ""))</f>
        <v>Bibtex ref, Ghasemi2022Demonstration, Herkes2022Using, Tremblet2022Predicting, Kim2022A, ElSayed2022Deep, Klar2022Scalability, Feng2022Predictive, He2022Simultaneous, Zhou2021Multiagent, Zhang2021Datadriven, Wang2021Evolutionary, Wan2021ArtificialIntelligenceDriven, Padovano2021A, Zhou2021Reinforcement, Glatt2021Modeling, Feng2020Simulation, Coito2020A, Chawalitanont2025Uncertaintyaware, Zhang2025MAMHSAN, Xiao2025Material, Duan2025A, Yuan2025Dynamic, WaubertdePuiseau2025Applying, Pan2025Smart, Wang2025A, Ahn2025A, Huang2025A, Wang2025Hybrid, Long2025RealTime, Meja2022Job, Wang2025Joint, Elbasheer2025Natural, Yang2025Refined, Hossain2023Multiobjective, Du2025Deep, Guo2025Dynamic, Santos2024Transitioning, Moon2024Learningenabled, Yang2024A, Nejati2024A, Yue2024Twostage, RangelMartnez2024A, Corra2024Rainbow, Tang2024Solving, He2024The, Wang2024Smart, Su2024Fast, Lu2024A, Lassoued2024Introducing, Pu2024MultiAgent, Huang2024An, SerranoRuiz2024Job, Wang2024Flexible, Zhao2025A, Li2025Demanddriven, Yoo2025Optimizing, Wang2025Inventory, Zeng2025Dynamic, Liu2025EFJSPIBDR, Canciglieri2025Smart, Wang2025Experience, Du2025GraphAugmented, Kochański2024Datadriven, Lefranc2024Enhancing, Petersen2024Multiobjective, Li2026Outoforder, Qu2023Selfdecision, Fragapane2020Increasing, Mahmood2021Production, Wang2023Job, Ghasemi2023Deep, Workneh2023Deep, Workneh2023Learning, Zhang2022Dynamic, Jiang2022A, Yang2022Realtime, Wang2022Solving, Yan2022Digital, Bencheikh2022An, Gdri2022Improving, He2022Joint, Zhang2022Dynamicb, Li2022Realtime, Li2025Evolutionary, Yuan2025Deep, Hu2025Dynamic, Shi2025Productionlogistics, Chen2025Optimizing, Yan2025A, Hong2025Cloudfogedge, Shi2024ProductionLogistics, Sun2024Research, Zhang2024Digital, He2024Deep, Xu2024Ab, Pereira2024Energy, Hou2024Deep, Zhang2024ExpertGuided, Lei2024LargeScale, Zhang2023Dynamic, Huang2023A, Xu2023Multiobjective, Song2023Flexible, Zhou2024Practical, Ding2025Deep, Zhang2025Optimization, Lee2025Cognitive, Zhong2025Flexible, Sherwin2025A, Li2025Energyaware, Rubel2025AgentBased, Tsao2020Energyefficient, Lee2020Idle, Golpira2020Smart, Wu2023Energyefficient, Xue2025Multiobjective, Bittencourt2025Simheuristic, Che2016Efficient, Li2024Unleashing, ZhangSprenger2024RTMN, Yu2024Design, Hoebert2023Knowledgedriven, Devanga2022Applied, Tanane2022Toward, Rubaiee2019An, Tian2024Balancing, Mahmoodi2024Datadriven, Kim2024Deep, Slot2023Versatile, Du2022Production, Senington2021Monte, Zhang2025Multiagent, Yan2025Deep, Zhang2025Integrated, Lyu2025Pathfinder, Yang2025Evolutionary, Ghaleb2021Realtime, Mao2025Job, Mahmoodi2025Predictive, Fang2020The, Han2020Research, Baltazar2020Prescriptive, Burggrf2020Performance, Peng2020The, Bemthuis2019An, Zhai2019Formulation, MndezHernndez2019A, Kuhnle2019Design, Gdri2019Data, Leusin2018Solving, Yang2022Research, Hu2025Graphbased, Hua2025Solving, Lee2025A, Echeverria2025Diverse, Elbasheer2024Leveraging, Rema2025Exploring, Zhou2025A, Zhang2024Ab, Yang2024Learning, PatalasMaliszewska2025AIDriven, Yan2025Ab, Kozjek2018Big, Ling2024Manufacturing, Senoner2023Addressing, Zhang2025Trusted, Zhang2025Digital, Zhang2025Digitala, Zhou2022Reinforcement, Zhai2022Predictive, Modesti2024Artificial, Wang2024Unified, Elsayed2021Deep, Yan2021Autonomous, Antons2024Designing, Liu2023A, Skr2023Optimization, Bubak2025An, Ouahabi2025Dynamic, Lee2025Ab, Ma2025Research, Li2025Ab, Flyckt2025Navigating, Yi2025Dynamic, Zeng2025PermutationInvariant, Wang2025MultiObjective, Zhong2025Solving, Salatiello2024Longsighted, Zhang2025Innovative, Choi2025Deep, Lan2026Knowledge, Yepes-borrero2026Unrelated, Kim2025Framework, Hou2025Learningbased, Cen2025Dual, Fu2025Hybrid, Wang2025Collaborative, Afari2025Datadriven, Vacchi2025Black, Li2025Generative, Urrea2025Hybrid, Li2025Realtime, Zheng2025Dynamic, Gong2023Collaborative, Cimino2024Enhancing</v>
      </c>
    </row>
    <row r="7">
      <c r="A7" s="26" t="s">
        <v>2221</v>
      </c>
      <c r="B7" s="37">
        <f>SUMPRODUCT(
  --(
     ISNUMBER(SEARCH("Heuristics"," "&amp;'Cleaned Master sheet'!K1:K100002&amp;" "))
  )
)</f>
        <v>0</v>
      </c>
      <c r="C7" s="26" t="s">
        <v>2227</v>
      </c>
      <c r="D7" s="37">
        <f>SUMPRODUCT(--(ISNUMBER(SEARCH(C7,'Cleaned Master sheet'!L6:L100001))))</f>
        <v>1</v>
      </c>
    </row>
    <row r="8">
      <c r="A8" s="26" t="s">
        <v>2228</v>
      </c>
      <c r="B8" s="26">
        <f>SUMPRODUCT(
  --(
     ISNUMBER(SEARCH("CPS"," "&amp;'Cleaned Master sheet'!K1:K100002&amp;" "))
     +
     ISNUMBER(SEARCH("Cyber Physical System",'Cleaned Master sheet'!K1:K100002))
   &gt; 0
  )
)</f>
        <v>17</v>
      </c>
      <c r="C8" s="26" t="s">
        <v>1095</v>
      </c>
      <c r="D8" s="37">
        <f>SUMPRODUCT(--(ISNUMBER(SEARCH(C8,'Cleaned Master sheet'!L7:L100002))))</f>
        <v>2</v>
      </c>
    </row>
    <row r="9">
      <c r="A9" s="26" t="s">
        <v>2229</v>
      </c>
      <c r="B9" s="26">
        <f>SUMPRODUCT(
  --(
     ISNUMBER(SEARCH("Metaheuristic"," "&amp;'Cleaned Master sheet'!K1:K100002&amp;" "))
     +
     ISNUMBER(SEARCH("GA",'Cleaned Master sheet'!K1:K100002))
   &gt; 0
  )
)</f>
        <v>0</v>
      </c>
      <c r="C9" s="26" t="s">
        <v>2230</v>
      </c>
      <c r="D9" s="37">
        <f>SUMPRODUCT(--(ISNUMBER(SEARCH(C9,'Cleaned Master sheet'!L8:L100003))))</f>
        <v>0</v>
      </c>
    </row>
    <row r="10">
      <c r="A10" s="26" t="s">
        <v>2231</v>
      </c>
      <c r="B10" s="37">
        <f>SUMPRODUCT(
  --(
     ISNUMBER(SEARCH("Robot"," "&amp;'Cleaned Master sheet'!K1:K100002&amp;" "))
     +
     ISNUMBER(SEARCH("HRC",'Cleaned Master sheet'!K1:K100002))
   &gt; 0
  )
)</f>
        <v>15</v>
      </c>
      <c r="C10" s="114" t="s">
        <v>2232</v>
      </c>
      <c r="D10" s="205">
        <f>SUMPRODUCT(--(ISNUMBER(SEARCH(C10,'Cleaned Master sheet'!L9:L100004))))</f>
        <v>0</v>
      </c>
    </row>
    <row r="11">
      <c r="A11" s="26" t="s">
        <v>2233</v>
      </c>
      <c r="B11" s="26">
        <f>SUMPRODUCT(
  --(
     ISNUMBER(SEARCH("AGV"," "&amp;'Cleaned Master sheet'!K1:K100002&amp;" "))
     +
     ISNUMBER(SEARCH("Automated Guided Vehicle",'Cleaned Master sheet'!K1:K100002))
   &gt; 0
  )
)</f>
        <v>14</v>
      </c>
      <c r="C11" s="72" t="s">
        <v>2234</v>
      </c>
      <c r="D11" s="205">
        <f>SUMPRODUCT(--(ISNUMBER(SEARCH(C11,'Cleaned Master sheet'!L10:L100005))))</f>
        <v>0</v>
      </c>
    </row>
    <row r="12">
      <c r="A12" s="26" t="s">
        <v>2235</v>
      </c>
      <c r="B12" s="26">
        <f>SUMPRODUCT(
  --(
     ISNUMBER(SEARCH("DES"," "&amp;'Cleaned Master sheet'!K1:K100002&amp;" "))
     +
     ISNUMBER(SEARCH("Discrete Event Simulation",'Cleaned Master sheet'!K1:K100002))
   &gt; 0
  )
)</f>
        <v>0</v>
      </c>
      <c r="C12" s="72" t="s">
        <v>695</v>
      </c>
      <c r="D12" s="205">
        <f>SUMPRODUCT(--(ISNUMBER(SEARCH(C12,'Cleaned Master sheet'!L11:L100006))))</f>
        <v>0</v>
      </c>
    </row>
    <row r="13">
      <c r="A13" s="26" t="s">
        <v>2236</v>
      </c>
      <c r="B13" s="37">
        <f>SUMPRODUCT(
  --(
     ISNUMBER(SEARCH("EC"," "&amp;'Cleaned Master sheet'!K1:K100002&amp;" "))
     +
     ISNUMBER(SEARCH("Edge Computing",'Cleaned Master sheet'!K1:K100002))
   &gt; 0
  )
)</f>
        <v>6</v>
      </c>
      <c r="C13" s="114" t="s">
        <v>2237</v>
      </c>
      <c r="D13" s="205">
        <f>SUMPRODUCT(--(ISNUMBER(SEARCH(C13,'Cleaned Master sheet'!L12:L100007))))</f>
        <v>0</v>
      </c>
    </row>
    <row r="14">
      <c r="A14" s="26" t="s">
        <v>2238</v>
      </c>
      <c r="B14" s="37">
        <f>SUMPRODUCT(
  --(
     ISNUMBER(SEARCH("MAS"," "&amp;'Cleaned Master sheet'!K1:K100002&amp;" "))
     +
     ISNUMBER(SEARCH("multi-agent",'Cleaned Master sheet'!K1:K100002))
   &gt; 0
  )
)</f>
        <v>7</v>
      </c>
      <c r="C14" s="72" t="s">
        <v>2239</v>
      </c>
      <c r="D14" s="205">
        <f>SUMPRODUCT(--(ISNUMBER(SEARCH(C14,'Cleaned Master sheet'!L13:L100008))))</f>
        <v>0</v>
      </c>
    </row>
    <row r="15">
      <c r="A15" s="26" t="s">
        <v>2240</v>
      </c>
      <c r="B15" s="26">
        <v>4.0</v>
      </c>
      <c r="C15" s="72" t="s">
        <v>2241</v>
      </c>
      <c r="D15" s="205">
        <f>SUMPRODUCT(--(ISNUMBER(SEARCH(C15,'Cleaned Master sheet'!L14:L100009))))</f>
        <v>0</v>
      </c>
    </row>
    <row r="16">
      <c r="A16" s="26" t="s">
        <v>2242</v>
      </c>
      <c r="B16" s="26">
        <f>SUMPRODUCT(
  --(
     ISNUMBER(SEARCH("RMS"," "&amp;'Cleaned Master sheet'!K1:K100002&amp;" "))
     +
     ISNUMBER(SEARCH("Reconfigurable Manufacturing System",'Cleaned Master sheet'!K1:K100002))
   &gt; 0
  )
)</f>
        <v>3</v>
      </c>
      <c r="C16" s="114" t="s">
        <v>1125</v>
      </c>
      <c r="D16" s="205">
        <f>SUMPRODUCT(--(ISNUMBER(SEARCH(C16,'Cleaned Master sheet'!L15:L100010))))</f>
        <v>22</v>
      </c>
    </row>
    <row r="17">
      <c r="A17" s="26" t="s">
        <v>2243</v>
      </c>
      <c r="B17" s="37">
        <f>SUMPRODUCT(
  --(
     ISNUMBER(SEARCH("MILP"," "&amp;'Cleaned Master sheet'!K1:K100002&amp;" "))
     +
     ISNUMBER(SEARCH("Mixed Integer Linear Programming",'Cleaned Master sheet'!K1:K100002))
   &gt; 0
  )
)</f>
        <v>0</v>
      </c>
      <c r="C17" s="114" t="s">
        <v>2244</v>
      </c>
      <c r="D17" s="205">
        <f>SUMPRODUCT(--(ISNUMBER(SEARCH(C17,'Cleaned Master sheet'!L16:L100011))))</f>
        <v>3</v>
      </c>
    </row>
    <row r="18">
      <c r="A18" s="26" t="s">
        <v>1021</v>
      </c>
      <c r="B18" s="37">
        <f>SUMPRODUCT(
  --(
     ISNUMBER(SEARCH("PM"," "&amp;'Cleaned Master sheet'!K1:K100002&amp;" "))
     +
     ISNUMBER(SEARCH("Predictive Maintenance",'Cleaned Master sheet'!K1:K100002))
   &gt; 0
  )
)</f>
        <v>0</v>
      </c>
      <c r="C18" s="114" t="s">
        <v>2245</v>
      </c>
      <c r="D18" s="205">
        <f>SUMPRODUCT(--(ISNUMBER(SEARCH(C18,'Cleaned Master sheet'!L17:L100012))))</f>
        <v>0</v>
      </c>
    </row>
    <row r="19">
      <c r="A19" s="26" t="s">
        <v>2246</v>
      </c>
      <c r="B19" s="37">
        <f>SUMPRODUCT(
  --(
     ISNUMBER(SEARCH("MES"," "&amp;'Cleaned Master sheet'!K1:K100003&amp;" "))
     +
     ISNUMBER(SEARCH("Manufacturing Enterprise System",'Cleaned Master sheet'!K1:K100003))
   &gt; 0
  )
)</f>
        <v>2</v>
      </c>
      <c r="C19" s="72" t="s">
        <v>2247</v>
      </c>
      <c r="D19" s="205">
        <f>SUMPRODUCT(--(ISNUMBER(SEARCH(C19,'Cleaned Master sheet'!L18:L100013))))</f>
        <v>0</v>
      </c>
    </row>
    <row r="20">
      <c r="A20" s="26" t="s">
        <v>2248</v>
      </c>
      <c r="B20" s="26">
        <f>SUMPRODUCT(
  --(
     ISNUMBER(SEARCH("FMS"," "&amp;'Cleaned Master sheet'!K1:K100002&amp;" "))
     +
     ISNUMBER(SEARCH("Flexible Manufacturing System",'Cleaned Master sheet'!K1:K100002))
   &gt; 0
  )
)</f>
        <v>2</v>
      </c>
      <c r="C20" s="114" t="s">
        <v>2249</v>
      </c>
      <c r="D20" s="205">
        <f>SUMPRODUCT(--(ISNUMBER(SEARCH(C20,'Cleaned Master sheet'!L19:L100014))))</f>
        <v>7</v>
      </c>
    </row>
    <row r="21">
      <c r="A21" s="26" t="s">
        <v>2250</v>
      </c>
      <c r="B21" s="26">
        <v>1.0</v>
      </c>
      <c r="C21" s="114" t="s">
        <v>2251</v>
      </c>
      <c r="D21" s="205">
        <f>SUMPRODUCT(--(ISNUMBER(SEARCH(C21,'Cleaned Master sheet'!L20:L100015))))</f>
        <v>0</v>
      </c>
    </row>
    <row r="22">
      <c r="A22" s="72" t="s">
        <v>2252</v>
      </c>
      <c r="B22" s="26">
        <v>1.0</v>
      </c>
      <c r="C22" s="114" t="s">
        <v>216</v>
      </c>
      <c r="D22" s="205">
        <f>SUMPRODUCT(--(ISNUMBER(SEARCH(C22,'Cleaned Master sheet'!L21:L100016))))</f>
        <v>3</v>
      </c>
    </row>
    <row r="23">
      <c r="A23" s="26" t="s">
        <v>2253</v>
      </c>
      <c r="B23" s="37">
        <f>SUMPRODUCT(
  --(
     ISNUMBER(SEARCH("AMR"," "&amp;'Cleaned Master sheet'!K1:K100002&amp;" "))
     +
     ISNUMBER(SEARCH("Autonomous",'Cleaned Master sheet'!K1:K100002))
   &gt; 0
  )
)</f>
        <v>14</v>
      </c>
      <c r="C23" s="114" t="s">
        <v>1023</v>
      </c>
      <c r="D23" s="205">
        <f>SUMPRODUCT(--(ISNUMBER(SEARCH(C23,'Cleaned Master sheet'!L22:L100017))))</f>
        <v>4</v>
      </c>
    </row>
    <row r="30">
      <c r="D30" s="28"/>
    </row>
    <row r="35">
      <c r="D35" s="72"/>
    </row>
    <row r="36">
      <c r="D36" s="72"/>
    </row>
    <row r="37">
      <c r="D37" s="72"/>
    </row>
    <row r="38">
      <c r="D38" s="90"/>
    </row>
    <row r="39">
      <c r="D39" s="72"/>
    </row>
    <row r="40">
      <c r="D40" s="86"/>
    </row>
    <row r="41">
      <c r="D41" s="72"/>
    </row>
    <row r="42">
      <c r="D42" s="72"/>
    </row>
    <row r="43">
      <c r="D43" s="72"/>
    </row>
    <row r="44">
      <c r="D44" s="72"/>
    </row>
    <row r="45">
      <c r="D45" s="72"/>
    </row>
    <row r="46">
      <c r="D46" s="72"/>
    </row>
    <row r="47">
      <c r="D47" s="72"/>
    </row>
    <row r="48">
      <c r="D48" s="72"/>
    </row>
    <row r="49">
      <c r="D49" s="72"/>
    </row>
    <row r="50">
      <c r="D50" s="72"/>
    </row>
    <row r="51">
      <c r="D51" s="72"/>
    </row>
    <row r="52">
      <c r="D52" s="72"/>
    </row>
    <row r="53">
      <c r="D53" s="72"/>
    </row>
    <row r="54">
      <c r="D54" s="72"/>
    </row>
    <row r="55">
      <c r="D55" s="72"/>
    </row>
    <row r="57">
      <c r="D57" s="72"/>
    </row>
    <row r="59">
      <c r="D59" s="72"/>
    </row>
    <row r="60">
      <c r="D60" s="72"/>
    </row>
    <row r="61">
      <c r="D61" s="72"/>
    </row>
    <row r="62">
      <c r="D62" s="72"/>
    </row>
    <row r="63">
      <c r="D63" s="72"/>
    </row>
    <row r="64">
      <c r="D64" s="72"/>
    </row>
    <row r="65">
      <c r="D65" s="72"/>
    </row>
    <row r="66">
      <c r="D66" s="72"/>
    </row>
    <row r="67">
      <c r="D67" s="72"/>
    </row>
    <row r="68">
      <c r="D68" s="72"/>
    </row>
    <row r="69">
      <c r="D69" s="70"/>
    </row>
    <row r="70">
      <c r="D70" s="70"/>
    </row>
    <row r="71">
      <c r="D71" s="70"/>
    </row>
    <row r="72">
      <c r="D72" s="72"/>
    </row>
    <row r="73">
      <c r="D73" s="70"/>
    </row>
    <row r="74">
      <c r="D74" s="72"/>
    </row>
    <row r="96">
      <c r="D96" s="28"/>
    </row>
    <row r="97">
      <c r="D97" s="28"/>
    </row>
    <row r="98">
      <c r="D98" s="39"/>
    </row>
    <row r="99">
      <c r="D99" s="39"/>
    </row>
    <row r="100">
      <c r="D100" s="39"/>
    </row>
    <row r="106">
      <c r="D106" s="39"/>
    </row>
    <row r="107">
      <c r="D107" s="39"/>
    </row>
    <row r="108">
      <c r="D108" s="39"/>
    </row>
    <row r="109">
      <c r="D109" s="39"/>
    </row>
    <row r="110">
      <c r="D110" s="39"/>
    </row>
    <row r="111">
      <c r="D111" s="39"/>
    </row>
    <row r="112">
      <c r="D112" s="39"/>
    </row>
    <row r="113">
      <c r="D113" s="39"/>
    </row>
    <row r="114">
      <c r="D114" s="39"/>
    </row>
    <row r="115">
      <c r="D115" s="39"/>
    </row>
    <row r="116">
      <c r="D116" s="39"/>
    </row>
    <row r="117">
      <c r="D117" s="39"/>
    </row>
    <row r="118">
      <c r="D118" s="70"/>
    </row>
    <row r="119">
      <c r="D119" s="70"/>
    </row>
    <row r="120">
      <c r="D120" s="114"/>
    </row>
    <row r="121">
      <c r="D121" s="70"/>
    </row>
    <row r="122">
      <c r="D122" s="70"/>
    </row>
    <row r="123">
      <c r="D123" s="70"/>
    </row>
    <row r="124">
      <c r="D124" s="70"/>
    </row>
    <row r="125">
      <c r="D125" s="37"/>
    </row>
    <row r="126">
      <c r="D126" s="37"/>
    </row>
    <row r="127">
      <c r="D127" s="37"/>
    </row>
    <row r="128">
      <c r="D128" s="37"/>
    </row>
    <row r="129">
      <c r="D129" s="37"/>
    </row>
    <row r="130">
      <c r="D130" s="37"/>
    </row>
    <row r="131">
      <c r="D131" s="37"/>
    </row>
    <row r="132">
      <c r="D132" s="37"/>
    </row>
    <row r="133">
      <c r="D133" s="39"/>
    </row>
    <row r="134">
      <c r="D134" s="39"/>
    </row>
    <row r="135">
      <c r="D135" s="39"/>
    </row>
    <row r="136">
      <c r="D136" s="39"/>
    </row>
    <row r="137">
      <c r="D137" s="39"/>
    </row>
    <row r="138">
      <c r="D138" s="39"/>
    </row>
    <row r="139">
      <c r="D139" s="70"/>
    </row>
    <row r="140">
      <c r="D140" s="70"/>
    </row>
    <row r="141">
      <c r="D141" s="206"/>
    </row>
    <row r="142">
      <c r="D142" s="72"/>
    </row>
    <row r="143">
      <c r="D143" s="72"/>
    </row>
    <row r="144">
      <c r="D144" s="72"/>
    </row>
    <row r="145">
      <c r="D145" s="114"/>
    </row>
    <row r="146">
      <c r="D146" s="72"/>
    </row>
    <row r="147">
      <c r="D147" s="114"/>
    </row>
    <row r="148">
      <c r="D148" s="72"/>
    </row>
    <row r="149">
      <c r="D149" s="72"/>
    </row>
    <row r="150">
      <c r="D150" s="72"/>
    </row>
    <row r="151">
      <c r="D151" s="72"/>
    </row>
    <row r="152">
      <c r="D152" s="72"/>
    </row>
    <row r="153">
      <c r="D153" s="72"/>
    </row>
    <row r="154">
      <c r="D154" s="72"/>
    </row>
    <row r="155">
      <c r="D155" s="72"/>
    </row>
    <row r="156">
      <c r="D156" s="72"/>
    </row>
    <row r="157">
      <c r="D157" s="72"/>
    </row>
    <row r="158">
      <c r="D158" s="72"/>
    </row>
    <row r="159">
      <c r="D159" s="72"/>
    </row>
    <row r="160">
      <c r="D160" s="114"/>
    </row>
    <row r="161">
      <c r="D161" s="72"/>
    </row>
    <row r="162">
      <c r="D162" s="72"/>
    </row>
    <row r="163">
      <c r="D163" s="72"/>
    </row>
    <row r="164">
      <c r="D164" s="72"/>
    </row>
    <row r="165">
      <c r="D165" s="114"/>
    </row>
    <row r="166">
      <c r="D166" s="114"/>
    </row>
    <row r="167">
      <c r="D167" s="206"/>
    </row>
    <row r="168">
      <c r="D168" s="90"/>
    </row>
    <row r="169">
      <c r="D169" s="72"/>
    </row>
    <row r="170">
      <c r="D170" s="90"/>
    </row>
    <row r="171">
      <c r="D171" s="26"/>
    </row>
    <row r="172">
      <c r="D172" s="207"/>
    </row>
    <row r="173">
      <c r="D173" s="26"/>
    </row>
    <row r="174">
      <c r="D174" s="26"/>
    </row>
    <row r="175">
      <c r="D175" s="122"/>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2">
      <c r="D192" s="189"/>
    </row>
    <row r="193">
      <c r="D193" s="189"/>
    </row>
    <row r="194">
      <c r="D194" s="90"/>
    </row>
    <row r="195">
      <c r="D195" s="27"/>
    </row>
    <row r="196">
      <c r="D196" s="90"/>
    </row>
    <row r="197">
      <c r="D197" s="72"/>
    </row>
    <row r="198">
      <c r="D198" s="27"/>
    </row>
    <row r="199">
      <c r="D199" s="72"/>
    </row>
    <row r="200">
      <c r="D200" s="27"/>
    </row>
    <row r="201">
      <c r="D201" s="27"/>
    </row>
    <row r="202">
      <c r="D202" s="27"/>
    </row>
    <row r="203">
      <c r="D203" s="27"/>
    </row>
    <row r="204">
      <c r="D204" s="190"/>
    </row>
  </sheetData>
  <autoFilter ref="$A$1:$B$23">
    <sortState ref="A1:B23">
      <sortCondition descending="1" ref="B1:B23"/>
    </sortState>
  </autoFilter>
  <mergeCells count="1">
    <mergeCell ref="G2:G5"/>
  </mergeCells>
  <conditionalFormatting sqref="D171:D189">
    <cfRule type="expression" dxfId="0" priority="1">
      <formula>$R171="No"</formula>
    </cfRule>
  </conditionalFormatting>
  <conditionalFormatting sqref="D119:D140">
    <cfRule type="expression" dxfId="0" priority="2">
      <formula>$G119="No"</formula>
    </cfRule>
  </conditionalFormatting>
  <conditionalFormatting sqref="D119:D140">
    <cfRule type="expression" dxfId="1" priority="3">
      <formula>$G119=""</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52" t="s">
        <v>941</v>
      </c>
      <c r="B1" s="53" t="s">
        <v>57</v>
      </c>
      <c r="C1" s="54" t="s">
        <v>58</v>
      </c>
      <c r="D1" s="55" t="s">
        <v>942</v>
      </c>
      <c r="E1" s="56" t="s">
        <v>943</v>
      </c>
      <c r="F1" s="57" t="s">
        <v>944</v>
      </c>
      <c r="G1" s="58" t="s">
        <v>945</v>
      </c>
      <c r="H1" s="58" t="s">
        <v>946</v>
      </c>
      <c r="I1" s="58" t="s">
        <v>947</v>
      </c>
      <c r="J1" s="59" t="s">
        <v>948</v>
      </c>
      <c r="K1" s="58" t="s">
        <v>62</v>
      </c>
      <c r="L1" s="58" t="s">
        <v>61</v>
      </c>
      <c r="M1" s="60" t="s">
        <v>949</v>
      </c>
      <c r="N1" s="61" t="s">
        <v>950</v>
      </c>
      <c r="O1" s="62" t="s">
        <v>951</v>
      </c>
      <c r="P1" s="62" t="s">
        <v>952</v>
      </c>
      <c r="Q1" s="63" t="s">
        <v>953</v>
      </c>
      <c r="R1" s="58" t="s">
        <v>954</v>
      </c>
      <c r="S1" s="58" t="s">
        <v>955</v>
      </c>
      <c r="T1" s="64" t="s">
        <v>956</v>
      </c>
      <c r="U1" s="65" t="s">
        <v>957</v>
      </c>
      <c r="V1" s="66" t="s">
        <v>958</v>
      </c>
      <c r="W1" s="64" t="s">
        <v>959</v>
      </c>
      <c r="X1" s="64"/>
      <c r="Y1" s="64"/>
      <c r="Z1" s="64"/>
      <c r="AA1" s="64"/>
      <c r="AB1" s="64"/>
      <c r="AC1" s="64"/>
      <c r="AD1" s="64"/>
      <c r="AE1" s="64"/>
      <c r="AF1" s="64"/>
      <c r="AG1" s="64"/>
      <c r="AH1" s="64"/>
      <c r="AI1" s="64"/>
      <c r="AJ1" s="64"/>
      <c r="AK1" s="64"/>
    </row>
    <row r="2">
      <c r="A2" s="26" t="s">
        <v>507</v>
      </c>
      <c r="C2" s="198" t="s">
        <v>2254</v>
      </c>
      <c r="D2" s="105" t="s">
        <v>2255</v>
      </c>
      <c r="E2" s="26" t="s">
        <v>2256</v>
      </c>
      <c r="F2" s="26" t="s">
        <v>2257</v>
      </c>
      <c r="I2" s="26" t="s">
        <v>1055</v>
      </c>
      <c r="J2" s="67" t="s">
        <v>1055</v>
      </c>
      <c r="K2" s="26" t="s">
        <v>1055</v>
      </c>
      <c r="L2" s="26" t="s">
        <v>1055</v>
      </c>
      <c r="M2" s="71" t="s">
        <v>2258</v>
      </c>
      <c r="N2" s="74">
        <v>2021.0</v>
      </c>
      <c r="O2" s="71" t="s">
        <v>2259</v>
      </c>
      <c r="P2" s="71" t="s">
        <v>1055</v>
      </c>
      <c r="Q2" s="67" t="s">
        <v>961</v>
      </c>
      <c r="R2" s="26" t="s">
        <v>1055</v>
      </c>
      <c r="S2" s="26" t="s">
        <v>1055</v>
      </c>
      <c r="T2" s="26" t="s">
        <v>2260</v>
      </c>
      <c r="U2" s="41"/>
      <c r="V2" s="26" t="s">
        <v>930</v>
      </c>
      <c r="W2" s="26" t="s">
        <v>2261</v>
      </c>
    </row>
  </sheetData>
  <conditionalFormatting sqref="V1">
    <cfRule type="notContainsBlanks" dxfId="4" priority="1">
      <formula>LEN(TRIM(V1))&gt;0</formula>
    </cfRule>
  </conditionalFormatting>
  <conditionalFormatting sqref="V1:V2">
    <cfRule type="containsText" dxfId="2" priority="2" operator="containsText" text="No">
      <formula>NOT(ISERROR(SEARCH(("No"),(V1))))</formula>
    </cfRule>
  </conditionalFormatting>
  <conditionalFormatting sqref="V1:V2">
    <cfRule type="containsText" dxfId="3" priority="3" operator="containsText" text="Yes">
      <formula>NOT(ISERROR(SEARCH(("Yes"),(V1))))</formula>
    </cfRule>
  </conditionalFormatting>
  <hyperlinks>
    <hyperlink r:id="rId1" ref="D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5.33"/>
    <col customWidth="1" min="2" max="2" width="24.33"/>
  </cols>
  <sheetData>
    <row r="1">
      <c r="A1" s="208" t="s">
        <v>2262</v>
      </c>
      <c r="B1" s="208" t="s">
        <v>2263</v>
      </c>
    </row>
    <row r="2">
      <c r="A2" s="209" t="s">
        <v>2264</v>
      </c>
      <c r="B2" s="209" t="s">
        <v>2265</v>
      </c>
    </row>
    <row r="3">
      <c r="A3" s="209" t="s">
        <v>2266</v>
      </c>
      <c r="B3" s="209" t="s">
        <v>2267</v>
      </c>
    </row>
    <row r="4">
      <c r="A4" s="209" t="s">
        <v>2268</v>
      </c>
      <c r="B4" s="209" t="s">
        <v>2269</v>
      </c>
    </row>
    <row r="5" ht="15.75" customHeight="1">
      <c r="A5" s="210" t="s">
        <v>2270</v>
      </c>
      <c r="B5" s="209" t="s">
        <v>2271</v>
      </c>
    </row>
    <row r="6">
      <c r="A6" s="209"/>
      <c r="B6" s="209"/>
    </row>
    <row r="7">
      <c r="A7" s="209"/>
      <c r="B7" s="209"/>
    </row>
    <row r="8">
      <c r="A8" s="209"/>
      <c r="B8" s="209"/>
    </row>
    <row r="9">
      <c r="A9" s="209"/>
      <c r="B9" s="209"/>
    </row>
    <row r="10">
      <c r="A10" s="209"/>
      <c r="B10" s="209"/>
    </row>
    <row r="11">
      <c r="A11" s="211"/>
      <c r="B11" s="209"/>
    </row>
    <row r="12">
      <c r="A12" s="209"/>
      <c r="B12" s="209"/>
    </row>
    <row r="13">
      <c r="A13" s="209"/>
      <c r="B13" s="209"/>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4.11"/>
    <col customWidth="1" min="8" max="8" width="14.89"/>
    <col customWidth="1" min="15" max="15" width="37.44"/>
  </cols>
  <sheetData>
    <row r="1">
      <c r="A1" s="212" t="s">
        <v>957</v>
      </c>
      <c r="B1" s="212" t="s">
        <v>2272</v>
      </c>
      <c r="C1" s="212" t="s">
        <v>58</v>
      </c>
      <c r="D1" s="212" t="s">
        <v>2273</v>
      </c>
      <c r="E1" s="212" t="s">
        <v>942</v>
      </c>
      <c r="F1" s="212" t="s">
        <v>2274</v>
      </c>
      <c r="G1" s="212" t="s">
        <v>2275</v>
      </c>
      <c r="H1" s="212" t="s">
        <v>2276</v>
      </c>
      <c r="I1" s="212" t="s">
        <v>2277</v>
      </c>
      <c r="J1" s="212" t="s">
        <v>2278</v>
      </c>
      <c r="K1" s="212" t="s">
        <v>2279</v>
      </c>
      <c r="L1" s="212" t="s">
        <v>2280</v>
      </c>
      <c r="M1" s="212" t="s">
        <v>2281</v>
      </c>
      <c r="N1" s="212" t="s">
        <v>2282</v>
      </c>
      <c r="O1" s="212" t="s">
        <v>2283</v>
      </c>
      <c r="P1" s="213" t="s">
        <v>2284</v>
      </c>
      <c r="Q1" s="214"/>
      <c r="R1" s="214"/>
      <c r="S1" s="214"/>
      <c r="T1" s="214"/>
      <c r="U1" s="214"/>
      <c r="V1" s="214"/>
      <c r="W1" s="214"/>
      <c r="X1" s="214"/>
      <c r="Y1" s="214"/>
      <c r="Z1" s="214"/>
      <c r="AA1" s="214"/>
      <c r="AB1" s="214"/>
      <c r="AC1" s="214"/>
      <c r="AD1" s="214"/>
      <c r="AE1" s="214"/>
      <c r="AF1" s="214"/>
      <c r="AG1" s="214"/>
      <c r="AH1" s="214"/>
      <c r="AI1" s="214"/>
    </row>
    <row r="2">
      <c r="A2" s="26" t="s">
        <v>2285</v>
      </c>
      <c r="B2" s="26" t="s">
        <v>961</v>
      </c>
      <c r="C2" s="26" t="s">
        <v>2286</v>
      </c>
      <c r="D2" s="26">
        <v>2023.0</v>
      </c>
      <c r="E2" s="105" t="s">
        <v>2287</v>
      </c>
      <c r="F2" s="26" t="s">
        <v>2288</v>
      </c>
      <c r="G2" s="26" t="s">
        <v>2289</v>
      </c>
      <c r="H2" s="26">
        <v>152.0</v>
      </c>
      <c r="I2" s="26" t="s">
        <v>2290</v>
      </c>
      <c r="J2" s="26" t="s">
        <v>2291</v>
      </c>
      <c r="K2" s="26" t="s">
        <v>2292</v>
      </c>
      <c r="L2" s="26" t="s">
        <v>2293</v>
      </c>
      <c r="M2" s="26" t="s">
        <v>2294</v>
      </c>
      <c r="N2" s="26" t="s">
        <v>2295</v>
      </c>
      <c r="O2" s="26" t="s">
        <v>2296</v>
      </c>
      <c r="P2" s="67" t="s">
        <v>2297</v>
      </c>
    </row>
    <row r="3">
      <c r="A3" s="26" t="s">
        <v>2298</v>
      </c>
      <c r="B3" s="26" t="s">
        <v>961</v>
      </c>
      <c r="C3" s="26" t="s">
        <v>2299</v>
      </c>
      <c r="D3" s="26">
        <v>2023.0</v>
      </c>
      <c r="E3" s="105" t="s">
        <v>2300</v>
      </c>
      <c r="F3" s="26" t="s">
        <v>2288</v>
      </c>
      <c r="G3" s="26" t="s">
        <v>2301</v>
      </c>
      <c r="H3" s="26" t="s">
        <v>1055</v>
      </c>
      <c r="I3" s="26" t="s">
        <v>2302</v>
      </c>
      <c r="J3" s="26" t="s">
        <v>2303</v>
      </c>
      <c r="K3" s="26" t="s">
        <v>2304</v>
      </c>
      <c r="L3" s="26" t="s">
        <v>2305</v>
      </c>
      <c r="M3" s="26" t="s">
        <v>2306</v>
      </c>
      <c r="N3" s="26" t="s">
        <v>2307</v>
      </c>
      <c r="O3" s="26" t="s">
        <v>2308</v>
      </c>
      <c r="P3" s="67" t="s">
        <v>2309</v>
      </c>
    </row>
    <row r="4">
      <c r="A4" s="26" t="s">
        <v>2310</v>
      </c>
      <c r="B4" s="26" t="s">
        <v>961</v>
      </c>
      <c r="C4" s="26" t="s">
        <v>2311</v>
      </c>
      <c r="D4" s="26">
        <v>2025.0</v>
      </c>
      <c r="E4" s="105" t="s">
        <v>2312</v>
      </c>
      <c r="F4" s="26" t="s">
        <v>2313</v>
      </c>
      <c r="G4" s="26" t="s">
        <v>2314</v>
      </c>
      <c r="H4" s="26">
        <v>93.0</v>
      </c>
      <c r="I4" s="26" t="s">
        <v>2315</v>
      </c>
      <c r="J4" s="26" t="s">
        <v>970</v>
      </c>
      <c r="K4" s="26" t="s">
        <v>2316</v>
      </c>
      <c r="L4" s="26" t="s">
        <v>49</v>
      </c>
      <c r="M4" s="26" t="s">
        <v>2317</v>
      </c>
      <c r="N4" s="26" t="s">
        <v>2318</v>
      </c>
      <c r="O4" s="26" t="s">
        <v>2319</v>
      </c>
      <c r="P4" s="67" t="s">
        <v>2320</v>
      </c>
    </row>
    <row r="5">
      <c r="A5" s="26" t="s">
        <v>2321</v>
      </c>
      <c r="B5" s="26" t="s">
        <v>961</v>
      </c>
      <c r="C5" s="26" t="s">
        <v>875</v>
      </c>
      <c r="D5" s="26">
        <v>2025.0</v>
      </c>
      <c r="E5" s="105" t="s">
        <v>2322</v>
      </c>
      <c r="F5" s="26" t="s">
        <v>2313</v>
      </c>
      <c r="G5" s="26" t="s">
        <v>2323</v>
      </c>
      <c r="H5" s="26" t="s">
        <v>1055</v>
      </c>
      <c r="I5" s="26" t="s">
        <v>2324</v>
      </c>
      <c r="J5" s="26" t="s">
        <v>2325</v>
      </c>
      <c r="K5" s="26" t="s">
        <v>2326</v>
      </c>
      <c r="L5" s="26" t="s">
        <v>49</v>
      </c>
      <c r="M5" s="26" t="s">
        <v>2327</v>
      </c>
      <c r="N5" s="26" t="s">
        <v>2328</v>
      </c>
      <c r="O5" s="26" t="s">
        <v>2329</v>
      </c>
      <c r="P5" s="67" t="s">
        <v>2330</v>
      </c>
    </row>
    <row r="6">
      <c r="A6" s="26" t="s">
        <v>2331</v>
      </c>
      <c r="B6" s="26" t="s">
        <v>961</v>
      </c>
      <c r="C6" s="26" t="s">
        <v>2332</v>
      </c>
      <c r="D6" s="26">
        <v>2025.0</v>
      </c>
      <c r="E6" s="105" t="s">
        <v>2333</v>
      </c>
      <c r="F6" s="26" t="s">
        <v>2313</v>
      </c>
      <c r="G6" s="26" t="s">
        <v>2334</v>
      </c>
      <c r="H6" s="26">
        <v>60.0</v>
      </c>
      <c r="I6" s="26" t="s">
        <v>2335</v>
      </c>
      <c r="J6" s="26" t="s">
        <v>970</v>
      </c>
      <c r="K6" s="26" t="s">
        <v>2336</v>
      </c>
      <c r="L6" s="26" t="s">
        <v>49</v>
      </c>
      <c r="M6" s="26" t="s">
        <v>2337</v>
      </c>
      <c r="N6" s="26" t="s">
        <v>2338</v>
      </c>
      <c r="O6" s="26" t="s">
        <v>2339</v>
      </c>
      <c r="P6" s="67" t="s">
        <v>2340</v>
      </c>
    </row>
    <row r="7">
      <c r="A7" s="26" t="s">
        <v>2341</v>
      </c>
      <c r="B7" s="26" t="s">
        <v>961</v>
      </c>
      <c r="C7" s="26" t="s">
        <v>2342</v>
      </c>
      <c r="D7" s="26">
        <v>2025.0</v>
      </c>
      <c r="E7" s="105" t="s">
        <v>2343</v>
      </c>
      <c r="F7" s="26" t="s">
        <v>2313</v>
      </c>
      <c r="G7" s="26" t="s">
        <v>2344</v>
      </c>
      <c r="H7" s="26" t="s">
        <v>1055</v>
      </c>
      <c r="I7" s="26" t="s">
        <v>2335</v>
      </c>
      <c r="J7" s="26" t="s">
        <v>970</v>
      </c>
      <c r="K7" s="26" t="s">
        <v>2345</v>
      </c>
      <c r="L7" s="26" t="s">
        <v>49</v>
      </c>
      <c r="M7" s="26" t="s">
        <v>2346</v>
      </c>
      <c r="N7" s="26" t="s">
        <v>2347</v>
      </c>
      <c r="O7" s="26" t="s">
        <v>2319</v>
      </c>
      <c r="P7" s="67" t="s">
        <v>2348</v>
      </c>
    </row>
    <row r="8">
      <c r="A8" s="26" t="s">
        <v>2349</v>
      </c>
      <c r="B8" s="26" t="s">
        <v>961</v>
      </c>
      <c r="C8" s="26" t="s">
        <v>2350</v>
      </c>
      <c r="D8" s="26">
        <v>2017.0</v>
      </c>
      <c r="E8" s="105" t="s">
        <v>2351</v>
      </c>
      <c r="F8" s="26" t="s">
        <v>2352</v>
      </c>
      <c r="G8" s="26" t="s">
        <v>2353</v>
      </c>
      <c r="H8" s="26" t="s">
        <v>1055</v>
      </c>
      <c r="I8" s="26" t="s">
        <v>2354</v>
      </c>
      <c r="J8" s="26" t="s">
        <v>2355</v>
      </c>
      <c r="K8" s="26" t="s">
        <v>2356</v>
      </c>
      <c r="L8" s="26" t="s">
        <v>2293</v>
      </c>
      <c r="M8" s="26" t="s">
        <v>2357</v>
      </c>
      <c r="N8" s="26" t="s">
        <v>2358</v>
      </c>
      <c r="O8" s="26" t="s">
        <v>2359</v>
      </c>
      <c r="P8" s="67" t="s">
        <v>2360</v>
      </c>
    </row>
    <row r="9">
      <c r="A9" s="26" t="s">
        <v>2361</v>
      </c>
      <c r="B9" s="26" t="s">
        <v>961</v>
      </c>
      <c r="C9" s="26" t="s">
        <v>2362</v>
      </c>
      <c r="D9" s="26">
        <v>2021.0</v>
      </c>
      <c r="E9" s="105" t="s">
        <v>2363</v>
      </c>
      <c r="F9" s="26" t="s">
        <v>2364</v>
      </c>
      <c r="G9" s="26" t="s">
        <v>2365</v>
      </c>
      <c r="H9" s="26" t="s">
        <v>1055</v>
      </c>
      <c r="I9" s="26" t="s">
        <v>2366</v>
      </c>
      <c r="J9" s="26" t="s">
        <v>2367</v>
      </c>
      <c r="K9" s="26" t="s">
        <v>2368</v>
      </c>
      <c r="L9" s="26" t="s">
        <v>49</v>
      </c>
      <c r="M9" s="26" t="s">
        <v>2369</v>
      </c>
      <c r="N9" s="26" t="s">
        <v>2370</v>
      </c>
      <c r="O9" s="26" t="s">
        <v>2308</v>
      </c>
      <c r="P9" s="67" t="s">
        <v>2371</v>
      </c>
    </row>
    <row r="10">
      <c r="A10" s="26" t="s">
        <v>2372</v>
      </c>
      <c r="B10" s="26" t="s">
        <v>961</v>
      </c>
      <c r="C10" s="26" t="s">
        <v>2373</v>
      </c>
      <c r="D10" s="26">
        <v>2021.0</v>
      </c>
      <c r="E10" s="105" t="s">
        <v>2374</v>
      </c>
      <c r="F10" s="26" t="s">
        <v>2364</v>
      </c>
      <c r="G10" s="26" t="s">
        <v>2375</v>
      </c>
      <c r="H10" s="26" t="s">
        <v>1055</v>
      </c>
      <c r="I10" s="26" t="s">
        <v>2290</v>
      </c>
      <c r="J10" s="26" t="s">
        <v>2376</v>
      </c>
      <c r="K10" s="26" t="s">
        <v>2377</v>
      </c>
      <c r="L10" s="26" t="s">
        <v>2378</v>
      </c>
      <c r="M10" s="26" t="s">
        <v>2379</v>
      </c>
      <c r="N10" s="26" t="s">
        <v>2380</v>
      </c>
      <c r="O10" s="26" t="s">
        <v>2308</v>
      </c>
      <c r="P10" s="67" t="s">
        <v>2381</v>
      </c>
    </row>
    <row r="11">
      <c r="P11" s="68"/>
    </row>
    <row r="12">
      <c r="P12" s="68"/>
    </row>
    <row r="13">
      <c r="P13" s="68"/>
    </row>
    <row r="14">
      <c r="P14" s="68"/>
    </row>
    <row r="15">
      <c r="P15" s="68"/>
    </row>
    <row r="16">
      <c r="P16" s="68"/>
    </row>
    <row r="17">
      <c r="P17" s="68"/>
    </row>
    <row r="18">
      <c r="P18" s="68"/>
    </row>
    <row r="19">
      <c r="P19" s="68"/>
    </row>
    <row r="20">
      <c r="P20" s="68"/>
    </row>
    <row r="21">
      <c r="P21" s="68"/>
    </row>
    <row r="22">
      <c r="P22" s="68"/>
    </row>
    <row r="23">
      <c r="P23" s="68"/>
    </row>
    <row r="24">
      <c r="P24" s="68"/>
    </row>
    <row r="25">
      <c r="P25" s="68"/>
    </row>
    <row r="26">
      <c r="P26" s="68"/>
    </row>
    <row r="27">
      <c r="P27" s="68"/>
    </row>
    <row r="28">
      <c r="P28" s="68"/>
    </row>
    <row r="29">
      <c r="P29" s="68"/>
    </row>
    <row r="30">
      <c r="P30" s="68"/>
    </row>
    <row r="31">
      <c r="P31" s="68"/>
    </row>
    <row r="32">
      <c r="P32" s="68"/>
    </row>
    <row r="33">
      <c r="P33" s="68"/>
    </row>
    <row r="34">
      <c r="P34" s="68"/>
    </row>
    <row r="35">
      <c r="P35" s="68"/>
    </row>
    <row r="36">
      <c r="P36" s="68"/>
    </row>
    <row r="37">
      <c r="P37" s="68"/>
    </row>
    <row r="38">
      <c r="P38" s="68"/>
    </row>
    <row r="39">
      <c r="P39" s="68"/>
    </row>
    <row r="40">
      <c r="P40" s="68"/>
    </row>
    <row r="41">
      <c r="P41" s="68"/>
    </row>
    <row r="42">
      <c r="P42" s="68"/>
    </row>
    <row r="43">
      <c r="P43" s="68"/>
    </row>
    <row r="44">
      <c r="P44" s="68"/>
    </row>
    <row r="45">
      <c r="P45" s="68"/>
    </row>
    <row r="46">
      <c r="P46" s="68"/>
    </row>
    <row r="47">
      <c r="P47" s="68"/>
    </row>
    <row r="48">
      <c r="P48" s="68"/>
    </row>
    <row r="49">
      <c r="P49" s="68"/>
    </row>
    <row r="50">
      <c r="P50" s="68"/>
    </row>
    <row r="51">
      <c r="P51" s="68"/>
    </row>
    <row r="52">
      <c r="P52" s="68"/>
    </row>
    <row r="53">
      <c r="P53" s="68"/>
    </row>
    <row r="54">
      <c r="P54" s="68"/>
    </row>
    <row r="55">
      <c r="P55" s="68"/>
    </row>
    <row r="56">
      <c r="P56" s="68"/>
    </row>
    <row r="57">
      <c r="P57" s="68"/>
    </row>
    <row r="58">
      <c r="P58" s="68"/>
    </row>
    <row r="59">
      <c r="P59" s="68"/>
    </row>
    <row r="60">
      <c r="P60" s="68"/>
    </row>
    <row r="61">
      <c r="P61" s="68"/>
    </row>
    <row r="62">
      <c r="P62" s="68"/>
    </row>
    <row r="63">
      <c r="P63" s="68"/>
    </row>
    <row r="64">
      <c r="P64" s="68"/>
    </row>
    <row r="65">
      <c r="P65" s="68"/>
    </row>
    <row r="66">
      <c r="P66" s="68"/>
    </row>
    <row r="67">
      <c r="P67" s="68"/>
    </row>
    <row r="68">
      <c r="P68" s="68"/>
    </row>
    <row r="69">
      <c r="P69" s="68"/>
    </row>
    <row r="70">
      <c r="P70" s="68"/>
    </row>
    <row r="71">
      <c r="P71" s="68"/>
    </row>
    <row r="72">
      <c r="P72" s="68"/>
    </row>
    <row r="73">
      <c r="P73" s="68"/>
    </row>
    <row r="74">
      <c r="P74" s="68"/>
    </row>
    <row r="75">
      <c r="P75" s="68"/>
    </row>
    <row r="76">
      <c r="P76" s="68"/>
    </row>
    <row r="77">
      <c r="P77" s="68"/>
    </row>
    <row r="78">
      <c r="P78" s="68"/>
    </row>
    <row r="79">
      <c r="P79" s="68"/>
    </row>
    <row r="80">
      <c r="P80" s="68"/>
    </row>
    <row r="81">
      <c r="P81" s="68"/>
    </row>
    <row r="82">
      <c r="P82" s="68"/>
    </row>
    <row r="83">
      <c r="P83" s="68"/>
    </row>
    <row r="84">
      <c r="P84" s="68"/>
    </row>
    <row r="85">
      <c r="P85" s="68"/>
    </row>
    <row r="86">
      <c r="P86" s="68"/>
    </row>
    <row r="87">
      <c r="P87" s="68"/>
    </row>
    <row r="88">
      <c r="P88" s="68"/>
    </row>
    <row r="89">
      <c r="P89" s="68"/>
    </row>
    <row r="90">
      <c r="P90" s="68"/>
    </row>
    <row r="91">
      <c r="P91" s="68"/>
    </row>
    <row r="92">
      <c r="P92" s="68"/>
    </row>
    <row r="93">
      <c r="P93" s="68"/>
    </row>
    <row r="94">
      <c r="P94" s="68"/>
    </row>
    <row r="95">
      <c r="P95" s="68"/>
    </row>
    <row r="96">
      <c r="P96" s="68"/>
    </row>
    <row r="97">
      <c r="P97" s="68"/>
    </row>
    <row r="98">
      <c r="P98" s="68"/>
    </row>
    <row r="99">
      <c r="P99" s="68"/>
    </row>
    <row r="100">
      <c r="P100" s="68"/>
    </row>
    <row r="101">
      <c r="P101" s="68"/>
    </row>
    <row r="102">
      <c r="P102" s="68"/>
    </row>
    <row r="103">
      <c r="P103" s="68"/>
    </row>
    <row r="104">
      <c r="P104" s="68"/>
    </row>
    <row r="105">
      <c r="P105" s="68"/>
    </row>
    <row r="106">
      <c r="P106" s="68"/>
    </row>
    <row r="107">
      <c r="P107" s="68"/>
    </row>
    <row r="108">
      <c r="P108" s="68"/>
    </row>
    <row r="109">
      <c r="P109" s="68"/>
    </row>
    <row r="110">
      <c r="P110" s="68"/>
    </row>
    <row r="111">
      <c r="P111" s="68"/>
    </row>
    <row r="112">
      <c r="P112" s="68"/>
    </row>
    <row r="113">
      <c r="P113" s="68"/>
    </row>
    <row r="114">
      <c r="P114" s="68"/>
    </row>
    <row r="115">
      <c r="P115" s="68"/>
    </row>
    <row r="116">
      <c r="P116" s="68"/>
    </row>
    <row r="117">
      <c r="P117" s="68"/>
    </row>
    <row r="118">
      <c r="P118" s="68"/>
    </row>
    <row r="119">
      <c r="P119" s="68"/>
    </row>
    <row r="120">
      <c r="P120" s="68"/>
    </row>
    <row r="121">
      <c r="P121" s="68"/>
    </row>
    <row r="122">
      <c r="P122" s="68"/>
    </row>
    <row r="123">
      <c r="P123" s="68"/>
    </row>
    <row r="124">
      <c r="P124" s="68"/>
    </row>
    <row r="125">
      <c r="P125" s="68"/>
    </row>
    <row r="126">
      <c r="P126" s="68"/>
    </row>
    <row r="127">
      <c r="P127" s="68"/>
    </row>
    <row r="128">
      <c r="P128" s="68"/>
    </row>
    <row r="129">
      <c r="P129" s="68"/>
    </row>
    <row r="130">
      <c r="P130" s="68"/>
    </row>
    <row r="131">
      <c r="P131" s="68"/>
    </row>
    <row r="132">
      <c r="P132" s="68"/>
    </row>
    <row r="133">
      <c r="P133" s="68"/>
    </row>
    <row r="134">
      <c r="P134" s="68"/>
    </row>
    <row r="135">
      <c r="P135" s="68"/>
    </row>
    <row r="136">
      <c r="P136" s="68"/>
    </row>
    <row r="137">
      <c r="P137" s="68"/>
    </row>
    <row r="138">
      <c r="P138" s="68"/>
    </row>
    <row r="139">
      <c r="P139" s="68"/>
    </row>
    <row r="140">
      <c r="P140" s="68"/>
    </row>
    <row r="141">
      <c r="P141" s="68"/>
    </row>
    <row r="142">
      <c r="P142" s="68"/>
    </row>
    <row r="143">
      <c r="P143" s="68"/>
    </row>
    <row r="144">
      <c r="P144" s="68"/>
    </row>
    <row r="145">
      <c r="P145" s="68"/>
    </row>
    <row r="146">
      <c r="P146" s="68"/>
    </row>
    <row r="147">
      <c r="P147" s="68"/>
    </row>
    <row r="148">
      <c r="P148" s="68"/>
    </row>
    <row r="149">
      <c r="P149" s="68"/>
    </row>
    <row r="150">
      <c r="P150" s="68"/>
    </row>
    <row r="151">
      <c r="P151" s="68"/>
    </row>
    <row r="152">
      <c r="P152" s="68"/>
    </row>
    <row r="153">
      <c r="P153" s="68"/>
    </row>
    <row r="154">
      <c r="P154" s="68"/>
    </row>
    <row r="155">
      <c r="P155" s="68"/>
    </row>
    <row r="156">
      <c r="P156" s="68"/>
    </row>
    <row r="157">
      <c r="P157" s="68"/>
    </row>
    <row r="158">
      <c r="P158" s="68"/>
    </row>
    <row r="159">
      <c r="P159" s="68"/>
    </row>
    <row r="160">
      <c r="P160" s="68"/>
    </row>
    <row r="161">
      <c r="P161" s="68"/>
    </row>
    <row r="162">
      <c r="P162" s="68"/>
    </row>
    <row r="163">
      <c r="P163" s="68"/>
    </row>
    <row r="164">
      <c r="P164" s="68"/>
    </row>
    <row r="165">
      <c r="P165" s="68"/>
    </row>
    <row r="166">
      <c r="P166" s="68"/>
    </row>
    <row r="167">
      <c r="P167" s="68"/>
    </row>
    <row r="168">
      <c r="P168" s="68"/>
    </row>
    <row r="169">
      <c r="P169" s="68"/>
    </row>
    <row r="170">
      <c r="P170" s="68"/>
    </row>
    <row r="171">
      <c r="P171" s="68"/>
    </row>
    <row r="172">
      <c r="P172" s="68"/>
    </row>
    <row r="173">
      <c r="P173" s="68"/>
    </row>
    <row r="174">
      <c r="P174" s="68"/>
    </row>
    <row r="175">
      <c r="P175" s="68"/>
    </row>
    <row r="176">
      <c r="P176" s="68"/>
    </row>
    <row r="177">
      <c r="P177" s="68"/>
    </row>
    <row r="178">
      <c r="P178" s="68"/>
    </row>
    <row r="179">
      <c r="P179" s="68"/>
    </row>
    <row r="180">
      <c r="P180" s="68"/>
    </row>
    <row r="181">
      <c r="P181" s="68"/>
    </row>
    <row r="182">
      <c r="P182" s="68"/>
    </row>
    <row r="183">
      <c r="P183" s="68"/>
    </row>
    <row r="184">
      <c r="P184" s="68"/>
    </row>
    <row r="185">
      <c r="P185" s="68"/>
    </row>
    <row r="186">
      <c r="P186" s="68"/>
    </row>
    <row r="187">
      <c r="P187" s="68"/>
    </row>
    <row r="188">
      <c r="P188" s="68"/>
    </row>
    <row r="189">
      <c r="P189" s="68"/>
    </row>
    <row r="190">
      <c r="P190" s="68"/>
    </row>
    <row r="191">
      <c r="P191" s="68"/>
    </row>
    <row r="192">
      <c r="P192" s="68"/>
    </row>
    <row r="193">
      <c r="P193" s="68"/>
    </row>
    <row r="194">
      <c r="P194" s="68"/>
    </row>
    <row r="195">
      <c r="P195" s="68"/>
    </row>
    <row r="196">
      <c r="P196" s="68"/>
    </row>
    <row r="197">
      <c r="P197" s="68"/>
    </row>
    <row r="198">
      <c r="P198" s="68"/>
    </row>
    <row r="199">
      <c r="P199" s="68"/>
    </row>
    <row r="200">
      <c r="P200" s="68"/>
    </row>
    <row r="201">
      <c r="P201" s="68"/>
    </row>
    <row r="202">
      <c r="P202" s="68"/>
    </row>
    <row r="203">
      <c r="P203" s="68"/>
    </row>
    <row r="204">
      <c r="P204" s="68"/>
    </row>
    <row r="205">
      <c r="P205" s="68"/>
    </row>
    <row r="206">
      <c r="P206" s="68"/>
    </row>
    <row r="207">
      <c r="P207" s="68"/>
    </row>
    <row r="208">
      <c r="P208" s="68"/>
    </row>
    <row r="209">
      <c r="P209" s="68"/>
    </row>
    <row r="210">
      <c r="P210" s="68"/>
    </row>
    <row r="211">
      <c r="P211" s="68"/>
    </row>
    <row r="212">
      <c r="P212" s="68"/>
    </row>
    <row r="213">
      <c r="P213" s="68"/>
    </row>
    <row r="214">
      <c r="P214" s="68"/>
    </row>
    <row r="215">
      <c r="P215" s="68"/>
    </row>
    <row r="216">
      <c r="P216" s="68"/>
    </row>
    <row r="217">
      <c r="P217" s="68"/>
    </row>
    <row r="218">
      <c r="P218" s="68"/>
    </row>
    <row r="219">
      <c r="P219" s="68"/>
    </row>
    <row r="220">
      <c r="P220" s="68"/>
    </row>
    <row r="221">
      <c r="P221" s="68"/>
    </row>
    <row r="222">
      <c r="P222" s="68"/>
    </row>
    <row r="223">
      <c r="P223" s="68"/>
    </row>
    <row r="224">
      <c r="P224" s="68"/>
    </row>
    <row r="225">
      <c r="P225" s="68"/>
    </row>
    <row r="226">
      <c r="P226" s="68"/>
    </row>
    <row r="227">
      <c r="P227" s="68"/>
    </row>
    <row r="228">
      <c r="P228" s="68"/>
    </row>
    <row r="229">
      <c r="P229" s="68"/>
    </row>
    <row r="230">
      <c r="P230" s="68"/>
    </row>
    <row r="231">
      <c r="P231" s="68"/>
    </row>
    <row r="232">
      <c r="P232" s="68"/>
    </row>
    <row r="233">
      <c r="P233" s="68"/>
    </row>
    <row r="234">
      <c r="P234" s="68"/>
    </row>
    <row r="235">
      <c r="P235" s="68"/>
    </row>
    <row r="236">
      <c r="P236" s="68"/>
    </row>
    <row r="237">
      <c r="P237" s="68"/>
    </row>
    <row r="238">
      <c r="P238" s="68"/>
    </row>
    <row r="239">
      <c r="P239" s="68"/>
    </row>
    <row r="240">
      <c r="P240" s="68"/>
    </row>
    <row r="241">
      <c r="P241" s="68"/>
    </row>
    <row r="242">
      <c r="P242" s="68"/>
    </row>
    <row r="243">
      <c r="P243" s="68"/>
    </row>
    <row r="244">
      <c r="P244" s="68"/>
    </row>
    <row r="245">
      <c r="P245" s="68"/>
    </row>
    <row r="246">
      <c r="P246" s="68"/>
    </row>
    <row r="247">
      <c r="P247" s="68"/>
    </row>
    <row r="248">
      <c r="P248" s="68"/>
    </row>
    <row r="249">
      <c r="P249" s="68"/>
    </row>
    <row r="250">
      <c r="P250" s="68"/>
    </row>
    <row r="251">
      <c r="P251" s="68"/>
    </row>
    <row r="252">
      <c r="P252" s="68"/>
    </row>
    <row r="253">
      <c r="P253" s="68"/>
    </row>
    <row r="254">
      <c r="P254" s="68"/>
    </row>
    <row r="255">
      <c r="P255" s="68"/>
    </row>
    <row r="256">
      <c r="P256" s="68"/>
    </row>
    <row r="257">
      <c r="P257" s="68"/>
    </row>
    <row r="258">
      <c r="P258" s="68"/>
    </row>
    <row r="259">
      <c r="P259" s="68"/>
    </row>
    <row r="260">
      <c r="P260" s="68"/>
    </row>
    <row r="261">
      <c r="P261" s="68"/>
    </row>
    <row r="262">
      <c r="P262" s="68"/>
    </row>
    <row r="263">
      <c r="P263" s="68"/>
    </row>
    <row r="264">
      <c r="P264" s="68"/>
    </row>
    <row r="265">
      <c r="P265" s="68"/>
    </row>
    <row r="266">
      <c r="P266" s="68"/>
    </row>
    <row r="267">
      <c r="P267" s="68"/>
    </row>
    <row r="268">
      <c r="P268" s="68"/>
    </row>
    <row r="269">
      <c r="P269" s="68"/>
    </row>
    <row r="270">
      <c r="P270" s="68"/>
    </row>
    <row r="271">
      <c r="P271" s="68"/>
    </row>
    <row r="272">
      <c r="P272" s="68"/>
    </row>
    <row r="273">
      <c r="P273" s="68"/>
    </row>
    <row r="274">
      <c r="P274" s="68"/>
    </row>
    <row r="275">
      <c r="P275" s="68"/>
    </row>
    <row r="276">
      <c r="P276" s="68"/>
    </row>
    <row r="277">
      <c r="P277" s="68"/>
    </row>
    <row r="278">
      <c r="P278" s="68"/>
    </row>
    <row r="279">
      <c r="P279" s="68"/>
    </row>
    <row r="280">
      <c r="P280" s="68"/>
    </row>
    <row r="281">
      <c r="P281" s="68"/>
    </row>
    <row r="282">
      <c r="P282" s="68"/>
    </row>
    <row r="283">
      <c r="P283" s="68"/>
    </row>
    <row r="284">
      <c r="P284" s="68"/>
    </row>
    <row r="285">
      <c r="P285" s="68"/>
    </row>
    <row r="286">
      <c r="P286" s="68"/>
    </row>
    <row r="287">
      <c r="P287" s="68"/>
    </row>
    <row r="288">
      <c r="P288" s="68"/>
    </row>
    <row r="289">
      <c r="P289" s="68"/>
    </row>
    <row r="290">
      <c r="P290" s="68"/>
    </row>
    <row r="291">
      <c r="P291" s="68"/>
    </row>
    <row r="292">
      <c r="P292" s="68"/>
    </row>
    <row r="293">
      <c r="P293" s="68"/>
    </row>
    <row r="294">
      <c r="P294" s="68"/>
    </row>
    <row r="295">
      <c r="P295" s="68"/>
    </row>
    <row r="296">
      <c r="P296" s="68"/>
    </row>
    <row r="297">
      <c r="P297" s="68"/>
    </row>
    <row r="298">
      <c r="P298" s="68"/>
    </row>
    <row r="299">
      <c r="P299" s="68"/>
    </row>
    <row r="300">
      <c r="P300" s="68"/>
    </row>
    <row r="301">
      <c r="P301" s="68"/>
    </row>
    <row r="302">
      <c r="P302" s="68"/>
    </row>
    <row r="303">
      <c r="P303" s="68"/>
    </row>
    <row r="304">
      <c r="P304" s="68"/>
    </row>
    <row r="305">
      <c r="P305" s="68"/>
    </row>
    <row r="306">
      <c r="P306" s="68"/>
    </row>
    <row r="307">
      <c r="P307" s="68"/>
    </row>
    <row r="308">
      <c r="P308" s="68"/>
    </row>
    <row r="309">
      <c r="P309" s="68"/>
    </row>
    <row r="310">
      <c r="P310" s="68"/>
    </row>
    <row r="311">
      <c r="P311" s="68"/>
    </row>
    <row r="312">
      <c r="P312" s="68"/>
    </row>
    <row r="313">
      <c r="P313" s="68"/>
    </row>
    <row r="314">
      <c r="P314" s="68"/>
    </row>
    <row r="315">
      <c r="P315" s="68"/>
    </row>
    <row r="316">
      <c r="P316" s="68"/>
    </row>
    <row r="317">
      <c r="P317" s="68"/>
    </row>
    <row r="318">
      <c r="P318" s="68"/>
    </row>
    <row r="319">
      <c r="P319" s="68"/>
    </row>
    <row r="320">
      <c r="P320" s="68"/>
    </row>
    <row r="321">
      <c r="P321" s="68"/>
    </row>
    <row r="322">
      <c r="P322" s="68"/>
    </row>
    <row r="323">
      <c r="P323" s="68"/>
    </row>
    <row r="324">
      <c r="P324" s="68"/>
    </row>
    <row r="325">
      <c r="P325" s="68"/>
    </row>
    <row r="326">
      <c r="P326" s="68"/>
    </row>
    <row r="327">
      <c r="P327" s="68"/>
    </row>
    <row r="328">
      <c r="P328" s="68"/>
    </row>
    <row r="329">
      <c r="P329" s="68"/>
    </row>
    <row r="330">
      <c r="P330" s="68"/>
    </row>
    <row r="331">
      <c r="P331" s="68"/>
    </row>
    <row r="332">
      <c r="P332" s="68"/>
    </row>
    <row r="333">
      <c r="P333" s="68"/>
    </row>
    <row r="334">
      <c r="P334" s="68"/>
    </row>
    <row r="335">
      <c r="P335" s="68"/>
    </row>
    <row r="336">
      <c r="P336" s="68"/>
    </row>
    <row r="337">
      <c r="P337" s="68"/>
    </row>
    <row r="338">
      <c r="P338" s="68"/>
    </row>
    <row r="339">
      <c r="P339" s="68"/>
    </row>
    <row r="340">
      <c r="P340" s="68"/>
    </row>
    <row r="341">
      <c r="P341" s="68"/>
    </row>
    <row r="342">
      <c r="P342" s="68"/>
    </row>
    <row r="343">
      <c r="P343" s="68"/>
    </row>
    <row r="344">
      <c r="P344" s="68"/>
    </row>
    <row r="345">
      <c r="P345" s="68"/>
    </row>
    <row r="346">
      <c r="P346" s="68"/>
    </row>
    <row r="347">
      <c r="P347" s="68"/>
    </row>
    <row r="348">
      <c r="P348" s="68"/>
    </row>
    <row r="349">
      <c r="P349" s="68"/>
    </row>
    <row r="350">
      <c r="P350" s="68"/>
    </row>
    <row r="351">
      <c r="P351" s="68"/>
    </row>
    <row r="352">
      <c r="P352" s="68"/>
    </row>
    <row r="353">
      <c r="P353" s="68"/>
    </row>
    <row r="354">
      <c r="P354" s="68"/>
    </row>
    <row r="355">
      <c r="P355" s="68"/>
    </row>
    <row r="356">
      <c r="P356" s="68"/>
    </row>
    <row r="357">
      <c r="P357" s="68"/>
    </row>
    <row r="358">
      <c r="P358" s="68"/>
    </row>
    <row r="359">
      <c r="P359" s="68"/>
    </row>
    <row r="360">
      <c r="P360" s="68"/>
    </row>
    <row r="361">
      <c r="P361" s="68"/>
    </row>
    <row r="362">
      <c r="P362" s="68"/>
    </row>
    <row r="363">
      <c r="P363" s="68"/>
    </row>
    <row r="364">
      <c r="P364" s="68"/>
    </row>
    <row r="365">
      <c r="P365" s="68"/>
    </row>
    <row r="366">
      <c r="P366" s="68"/>
    </row>
    <row r="367">
      <c r="P367" s="68"/>
    </row>
    <row r="368">
      <c r="P368" s="68"/>
    </row>
    <row r="369">
      <c r="P369" s="68"/>
    </row>
    <row r="370">
      <c r="P370" s="68"/>
    </row>
    <row r="371">
      <c r="P371" s="68"/>
    </row>
    <row r="372">
      <c r="P372" s="68"/>
    </row>
    <row r="373">
      <c r="P373" s="68"/>
    </row>
    <row r="374">
      <c r="P374" s="68"/>
    </row>
    <row r="375">
      <c r="P375" s="68"/>
    </row>
    <row r="376">
      <c r="P376" s="68"/>
    </row>
    <row r="377">
      <c r="P377" s="68"/>
    </row>
    <row r="378">
      <c r="P378" s="68"/>
    </row>
    <row r="379">
      <c r="P379" s="68"/>
    </row>
    <row r="380">
      <c r="P380" s="68"/>
    </row>
    <row r="381">
      <c r="P381" s="68"/>
    </row>
    <row r="382">
      <c r="P382" s="68"/>
    </row>
    <row r="383">
      <c r="P383" s="68"/>
    </row>
    <row r="384">
      <c r="P384" s="68"/>
    </row>
    <row r="385">
      <c r="P385" s="68"/>
    </row>
    <row r="386">
      <c r="P386" s="68"/>
    </row>
    <row r="387">
      <c r="P387" s="68"/>
    </row>
    <row r="388">
      <c r="P388" s="68"/>
    </row>
    <row r="389">
      <c r="P389" s="68"/>
    </row>
    <row r="390">
      <c r="P390" s="68"/>
    </row>
    <row r="391">
      <c r="P391" s="68"/>
    </row>
    <row r="392">
      <c r="P392" s="68"/>
    </row>
    <row r="393">
      <c r="P393" s="68"/>
    </row>
    <row r="394">
      <c r="P394" s="68"/>
    </row>
    <row r="395">
      <c r="P395" s="68"/>
    </row>
    <row r="396">
      <c r="P396" s="68"/>
    </row>
    <row r="397">
      <c r="P397" s="68"/>
    </row>
    <row r="398">
      <c r="P398" s="68"/>
    </row>
    <row r="399">
      <c r="P399" s="68"/>
    </row>
    <row r="400">
      <c r="P400" s="68"/>
    </row>
    <row r="401">
      <c r="P401" s="68"/>
    </row>
    <row r="402">
      <c r="P402" s="68"/>
    </row>
    <row r="403">
      <c r="P403" s="68"/>
    </row>
    <row r="404">
      <c r="P404" s="68"/>
    </row>
    <row r="405">
      <c r="P405" s="68"/>
    </row>
    <row r="406">
      <c r="P406" s="68"/>
    </row>
    <row r="407">
      <c r="P407" s="68"/>
    </row>
    <row r="408">
      <c r="P408" s="68"/>
    </row>
    <row r="409">
      <c r="P409" s="68"/>
    </row>
    <row r="410">
      <c r="P410" s="68"/>
    </row>
    <row r="411">
      <c r="P411" s="68"/>
    </row>
    <row r="412">
      <c r="P412" s="68"/>
    </row>
    <row r="413">
      <c r="P413" s="68"/>
    </row>
    <row r="414">
      <c r="P414" s="68"/>
    </row>
    <row r="415">
      <c r="P415" s="68"/>
    </row>
    <row r="416">
      <c r="P416" s="68"/>
    </row>
    <row r="417">
      <c r="P417" s="68"/>
    </row>
    <row r="418">
      <c r="P418" s="68"/>
    </row>
    <row r="419">
      <c r="P419" s="68"/>
    </row>
    <row r="420">
      <c r="P420" s="68"/>
    </row>
    <row r="421">
      <c r="P421" s="68"/>
    </row>
    <row r="422">
      <c r="P422" s="68"/>
    </row>
    <row r="423">
      <c r="P423" s="68"/>
    </row>
    <row r="424">
      <c r="P424" s="68"/>
    </row>
    <row r="425">
      <c r="P425" s="68"/>
    </row>
    <row r="426">
      <c r="P426" s="68"/>
    </row>
    <row r="427">
      <c r="P427" s="68"/>
    </row>
    <row r="428">
      <c r="P428" s="68"/>
    </row>
    <row r="429">
      <c r="P429" s="68"/>
    </row>
    <row r="430">
      <c r="P430" s="68"/>
    </row>
    <row r="431">
      <c r="P431" s="68"/>
    </row>
    <row r="432">
      <c r="P432" s="68"/>
    </row>
    <row r="433">
      <c r="P433" s="68"/>
    </row>
    <row r="434">
      <c r="P434" s="68"/>
    </row>
    <row r="435">
      <c r="P435" s="68"/>
    </row>
    <row r="436">
      <c r="P436" s="68"/>
    </row>
    <row r="437">
      <c r="P437" s="68"/>
    </row>
    <row r="438">
      <c r="P438" s="68"/>
    </row>
    <row r="439">
      <c r="P439" s="68"/>
    </row>
    <row r="440">
      <c r="P440" s="68"/>
    </row>
    <row r="441">
      <c r="P441" s="68"/>
    </row>
    <row r="442">
      <c r="P442" s="68"/>
    </row>
    <row r="443">
      <c r="P443" s="68"/>
    </row>
    <row r="444">
      <c r="P444" s="68"/>
    </row>
    <row r="445">
      <c r="P445" s="68"/>
    </row>
    <row r="446">
      <c r="P446" s="68"/>
    </row>
    <row r="447">
      <c r="P447" s="68"/>
    </row>
    <row r="448">
      <c r="P448" s="68"/>
    </row>
    <row r="449">
      <c r="P449" s="68"/>
    </row>
    <row r="450">
      <c r="P450" s="68"/>
    </row>
    <row r="451">
      <c r="P451" s="68"/>
    </row>
    <row r="452">
      <c r="P452" s="68"/>
    </row>
    <row r="453">
      <c r="P453" s="68"/>
    </row>
    <row r="454">
      <c r="P454" s="68"/>
    </row>
    <row r="455">
      <c r="P455" s="68"/>
    </row>
    <row r="456">
      <c r="P456" s="68"/>
    </row>
    <row r="457">
      <c r="P457" s="68"/>
    </row>
    <row r="458">
      <c r="P458" s="68"/>
    </row>
    <row r="459">
      <c r="P459" s="68"/>
    </row>
    <row r="460">
      <c r="P460" s="68"/>
    </row>
    <row r="461">
      <c r="P461" s="68"/>
    </row>
    <row r="462">
      <c r="P462" s="68"/>
    </row>
    <row r="463">
      <c r="P463" s="68"/>
    </row>
    <row r="464">
      <c r="P464" s="68"/>
    </row>
    <row r="465">
      <c r="P465" s="68"/>
    </row>
    <row r="466">
      <c r="P466" s="68"/>
    </row>
    <row r="467">
      <c r="P467" s="68"/>
    </row>
    <row r="468">
      <c r="P468" s="68"/>
    </row>
    <row r="469">
      <c r="P469" s="68"/>
    </row>
    <row r="470">
      <c r="P470" s="68"/>
    </row>
    <row r="471">
      <c r="P471" s="68"/>
    </row>
    <row r="472">
      <c r="P472" s="68"/>
    </row>
    <row r="473">
      <c r="P473" s="68"/>
    </row>
    <row r="474">
      <c r="P474" s="68"/>
    </row>
    <row r="475">
      <c r="P475" s="68"/>
    </row>
    <row r="476">
      <c r="P476" s="68"/>
    </row>
    <row r="477">
      <c r="P477" s="68"/>
    </row>
    <row r="478">
      <c r="P478" s="68"/>
    </row>
    <row r="479">
      <c r="P479" s="68"/>
    </row>
    <row r="480">
      <c r="P480" s="68"/>
    </row>
    <row r="481">
      <c r="P481" s="68"/>
    </row>
    <row r="482">
      <c r="P482" s="68"/>
    </row>
    <row r="483">
      <c r="P483" s="68"/>
    </row>
    <row r="484">
      <c r="P484" s="68"/>
    </row>
    <row r="485">
      <c r="P485" s="68"/>
    </row>
    <row r="486">
      <c r="P486" s="68"/>
    </row>
    <row r="487">
      <c r="P487" s="68"/>
    </row>
    <row r="488">
      <c r="P488" s="68"/>
    </row>
    <row r="489">
      <c r="P489" s="68"/>
    </row>
    <row r="490">
      <c r="P490" s="68"/>
    </row>
    <row r="491">
      <c r="P491" s="68"/>
    </row>
    <row r="492">
      <c r="P492" s="68"/>
    </row>
    <row r="493">
      <c r="P493" s="68"/>
    </row>
    <row r="494">
      <c r="P494" s="68"/>
    </row>
    <row r="495">
      <c r="P495" s="68"/>
    </row>
    <row r="496">
      <c r="P496" s="68"/>
    </row>
    <row r="497">
      <c r="P497" s="68"/>
    </row>
    <row r="498">
      <c r="P498" s="68"/>
    </row>
    <row r="499">
      <c r="P499" s="68"/>
    </row>
    <row r="500">
      <c r="P500" s="68"/>
    </row>
    <row r="501">
      <c r="P501" s="68"/>
    </row>
    <row r="502">
      <c r="P502" s="68"/>
    </row>
    <row r="503">
      <c r="P503" s="68"/>
    </row>
    <row r="504">
      <c r="P504" s="68"/>
    </row>
    <row r="505">
      <c r="P505" s="68"/>
    </row>
    <row r="506">
      <c r="P506" s="68"/>
    </row>
    <row r="507">
      <c r="P507" s="68"/>
    </row>
    <row r="508">
      <c r="P508" s="68"/>
    </row>
    <row r="509">
      <c r="P509" s="68"/>
    </row>
    <row r="510">
      <c r="P510" s="68"/>
    </row>
    <row r="511">
      <c r="P511" s="68"/>
    </row>
    <row r="512">
      <c r="P512" s="68"/>
    </row>
    <row r="513">
      <c r="P513" s="68"/>
    </row>
    <row r="514">
      <c r="P514" s="68"/>
    </row>
    <row r="515">
      <c r="P515" s="68"/>
    </row>
    <row r="516">
      <c r="P516" s="68"/>
    </row>
    <row r="517">
      <c r="P517" s="68"/>
    </row>
    <row r="518">
      <c r="P518" s="68"/>
    </row>
    <row r="519">
      <c r="P519" s="68"/>
    </row>
    <row r="520">
      <c r="P520" s="68"/>
    </row>
    <row r="521">
      <c r="P521" s="68"/>
    </row>
    <row r="522">
      <c r="P522" s="68"/>
    </row>
    <row r="523">
      <c r="P523" s="68"/>
    </row>
    <row r="524">
      <c r="P524" s="68"/>
    </row>
    <row r="525">
      <c r="P525" s="68"/>
    </row>
    <row r="526">
      <c r="P526" s="68"/>
    </row>
    <row r="527">
      <c r="P527" s="68"/>
    </row>
    <row r="528">
      <c r="P528" s="68"/>
    </row>
    <row r="529">
      <c r="P529" s="68"/>
    </row>
    <row r="530">
      <c r="P530" s="68"/>
    </row>
    <row r="531">
      <c r="P531" s="68"/>
    </row>
    <row r="532">
      <c r="P532" s="68"/>
    </row>
    <row r="533">
      <c r="P533" s="68"/>
    </row>
    <row r="534">
      <c r="P534" s="68"/>
    </row>
    <row r="535">
      <c r="P535" s="68"/>
    </row>
    <row r="536">
      <c r="P536" s="68"/>
    </row>
    <row r="537">
      <c r="P537" s="68"/>
    </row>
    <row r="538">
      <c r="P538" s="68"/>
    </row>
    <row r="539">
      <c r="P539" s="68"/>
    </row>
    <row r="540">
      <c r="P540" s="68"/>
    </row>
    <row r="541">
      <c r="P541" s="68"/>
    </row>
    <row r="542">
      <c r="P542" s="68"/>
    </row>
    <row r="543">
      <c r="P543" s="68"/>
    </row>
    <row r="544">
      <c r="P544" s="68"/>
    </row>
    <row r="545">
      <c r="P545" s="68"/>
    </row>
    <row r="546">
      <c r="P546" s="68"/>
    </row>
    <row r="547">
      <c r="P547" s="68"/>
    </row>
    <row r="548">
      <c r="P548" s="68"/>
    </row>
    <row r="549">
      <c r="P549" s="68"/>
    </row>
    <row r="550">
      <c r="P550" s="68"/>
    </row>
    <row r="551">
      <c r="P551" s="68"/>
    </row>
    <row r="552">
      <c r="P552" s="68"/>
    </row>
    <row r="553">
      <c r="P553" s="68"/>
    </row>
    <row r="554">
      <c r="P554" s="68"/>
    </row>
    <row r="555">
      <c r="P555" s="68"/>
    </row>
    <row r="556">
      <c r="P556" s="68"/>
    </row>
    <row r="557">
      <c r="P557" s="68"/>
    </row>
    <row r="558">
      <c r="P558" s="68"/>
    </row>
    <row r="559">
      <c r="P559" s="68"/>
    </row>
    <row r="560">
      <c r="P560" s="68"/>
    </row>
    <row r="561">
      <c r="P561" s="68"/>
    </row>
    <row r="562">
      <c r="P562" s="68"/>
    </row>
    <row r="563">
      <c r="P563" s="68"/>
    </row>
    <row r="564">
      <c r="P564" s="68"/>
    </row>
    <row r="565">
      <c r="P565" s="68"/>
    </row>
    <row r="566">
      <c r="P566" s="68"/>
    </row>
    <row r="567">
      <c r="P567" s="68"/>
    </row>
    <row r="568">
      <c r="P568" s="68"/>
    </row>
    <row r="569">
      <c r="P569" s="68"/>
    </row>
    <row r="570">
      <c r="P570" s="68"/>
    </row>
    <row r="571">
      <c r="P571" s="68"/>
    </row>
    <row r="572">
      <c r="P572" s="68"/>
    </row>
    <row r="573">
      <c r="P573" s="68"/>
    </row>
    <row r="574">
      <c r="P574" s="68"/>
    </row>
    <row r="575">
      <c r="P575" s="68"/>
    </row>
    <row r="576">
      <c r="P576" s="68"/>
    </row>
    <row r="577">
      <c r="P577" s="68"/>
    </row>
    <row r="578">
      <c r="P578" s="68"/>
    </row>
    <row r="579">
      <c r="P579" s="68"/>
    </row>
    <row r="580">
      <c r="P580" s="68"/>
    </row>
    <row r="581">
      <c r="P581" s="68"/>
    </row>
    <row r="582">
      <c r="P582" s="68"/>
    </row>
    <row r="583">
      <c r="P583" s="68"/>
    </row>
    <row r="584">
      <c r="P584" s="68"/>
    </row>
    <row r="585">
      <c r="P585" s="68"/>
    </row>
    <row r="586">
      <c r="P586" s="68"/>
    </row>
    <row r="587">
      <c r="P587" s="68"/>
    </row>
    <row r="588">
      <c r="P588" s="68"/>
    </row>
    <row r="589">
      <c r="P589" s="68"/>
    </row>
    <row r="590">
      <c r="P590" s="68"/>
    </row>
    <row r="591">
      <c r="P591" s="68"/>
    </row>
    <row r="592">
      <c r="P592" s="68"/>
    </row>
    <row r="593">
      <c r="P593" s="68"/>
    </row>
    <row r="594">
      <c r="P594" s="68"/>
    </row>
    <row r="595">
      <c r="P595" s="68"/>
    </row>
    <row r="596">
      <c r="P596" s="68"/>
    </row>
    <row r="597">
      <c r="P597" s="68"/>
    </row>
    <row r="598">
      <c r="P598" s="68"/>
    </row>
    <row r="599">
      <c r="P599" s="68"/>
    </row>
    <row r="600">
      <c r="P600" s="68"/>
    </row>
    <row r="601">
      <c r="P601" s="68"/>
    </row>
    <row r="602">
      <c r="P602" s="68"/>
    </row>
    <row r="603">
      <c r="P603" s="68"/>
    </row>
    <row r="604">
      <c r="P604" s="68"/>
    </row>
    <row r="605">
      <c r="P605" s="68"/>
    </row>
    <row r="606">
      <c r="P606" s="68"/>
    </row>
    <row r="607">
      <c r="P607" s="68"/>
    </row>
    <row r="608">
      <c r="P608" s="68"/>
    </row>
    <row r="609">
      <c r="P609" s="68"/>
    </row>
    <row r="610">
      <c r="P610" s="68"/>
    </row>
    <row r="611">
      <c r="P611" s="68"/>
    </row>
    <row r="612">
      <c r="P612" s="68"/>
    </row>
    <row r="613">
      <c r="P613" s="68"/>
    </row>
    <row r="614">
      <c r="P614" s="68"/>
    </row>
    <row r="615">
      <c r="P615" s="68"/>
    </row>
    <row r="616">
      <c r="P616" s="68"/>
    </row>
    <row r="617">
      <c r="P617" s="68"/>
    </row>
    <row r="618">
      <c r="P618" s="68"/>
    </row>
    <row r="619">
      <c r="P619" s="68"/>
    </row>
    <row r="620">
      <c r="P620" s="68"/>
    </row>
    <row r="621">
      <c r="P621" s="68"/>
    </row>
    <row r="622">
      <c r="P622" s="68"/>
    </row>
    <row r="623">
      <c r="P623" s="68"/>
    </row>
    <row r="624">
      <c r="P624" s="68"/>
    </row>
    <row r="625">
      <c r="P625" s="68"/>
    </row>
    <row r="626">
      <c r="P626" s="68"/>
    </row>
    <row r="627">
      <c r="P627" s="68"/>
    </row>
    <row r="628">
      <c r="P628" s="68"/>
    </row>
    <row r="629">
      <c r="P629" s="68"/>
    </row>
    <row r="630">
      <c r="P630" s="68"/>
    </row>
    <row r="631">
      <c r="P631" s="68"/>
    </row>
    <row r="632">
      <c r="P632" s="68"/>
    </row>
    <row r="633">
      <c r="P633" s="68"/>
    </row>
    <row r="634">
      <c r="P634" s="68"/>
    </row>
    <row r="635">
      <c r="P635" s="68"/>
    </row>
    <row r="636">
      <c r="P636" s="68"/>
    </row>
    <row r="637">
      <c r="P637" s="68"/>
    </row>
    <row r="638">
      <c r="P638" s="68"/>
    </row>
    <row r="639">
      <c r="P639" s="68"/>
    </row>
    <row r="640">
      <c r="P640" s="68"/>
    </row>
    <row r="641">
      <c r="P641" s="68"/>
    </row>
    <row r="642">
      <c r="P642" s="68"/>
    </row>
    <row r="643">
      <c r="P643" s="68"/>
    </row>
    <row r="644">
      <c r="P644" s="68"/>
    </row>
    <row r="645">
      <c r="P645" s="68"/>
    </row>
    <row r="646">
      <c r="P646" s="68"/>
    </row>
    <row r="647">
      <c r="P647" s="68"/>
    </row>
    <row r="648">
      <c r="P648" s="68"/>
    </row>
    <row r="649">
      <c r="P649" s="68"/>
    </row>
    <row r="650">
      <c r="P650" s="68"/>
    </row>
    <row r="651">
      <c r="P651" s="68"/>
    </row>
    <row r="652">
      <c r="P652" s="68"/>
    </row>
    <row r="653">
      <c r="P653" s="68"/>
    </row>
    <row r="654">
      <c r="P654" s="68"/>
    </row>
    <row r="655">
      <c r="P655" s="68"/>
    </row>
    <row r="656">
      <c r="P656" s="68"/>
    </row>
    <row r="657">
      <c r="P657" s="68"/>
    </row>
    <row r="658">
      <c r="P658" s="68"/>
    </row>
    <row r="659">
      <c r="P659" s="68"/>
    </row>
    <row r="660">
      <c r="P660" s="68"/>
    </row>
    <row r="661">
      <c r="P661" s="68"/>
    </row>
    <row r="662">
      <c r="P662" s="68"/>
    </row>
    <row r="663">
      <c r="P663" s="68"/>
    </row>
    <row r="664">
      <c r="P664" s="68"/>
    </row>
    <row r="665">
      <c r="P665" s="68"/>
    </row>
    <row r="666">
      <c r="P666" s="68"/>
    </row>
    <row r="667">
      <c r="P667" s="68"/>
    </row>
    <row r="668">
      <c r="P668" s="68"/>
    </row>
    <row r="669">
      <c r="P669" s="68"/>
    </row>
    <row r="670">
      <c r="P670" s="68"/>
    </row>
    <row r="671">
      <c r="P671" s="68"/>
    </row>
    <row r="672">
      <c r="P672" s="68"/>
    </row>
    <row r="673">
      <c r="P673" s="68"/>
    </row>
    <row r="674">
      <c r="P674" s="68"/>
    </row>
    <row r="675">
      <c r="P675" s="68"/>
    </row>
    <row r="676">
      <c r="P676" s="68"/>
    </row>
    <row r="677">
      <c r="P677" s="68"/>
    </row>
    <row r="678">
      <c r="P678" s="68"/>
    </row>
    <row r="679">
      <c r="P679" s="68"/>
    </row>
    <row r="680">
      <c r="P680" s="68"/>
    </row>
    <row r="681">
      <c r="P681" s="68"/>
    </row>
    <row r="682">
      <c r="P682" s="68"/>
    </row>
    <row r="683">
      <c r="P683" s="68"/>
    </row>
    <row r="684">
      <c r="P684" s="68"/>
    </row>
    <row r="685">
      <c r="P685" s="68"/>
    </row>
    <row r="686">
      <c r="P686" s="68"/>
    </row>
    <row r="687">
      <c r="P687" s="68"/>
    </row>
    <row r="688">
      <c r="P688" s="68"/>
    </row>
    <row r="689">
      <c r="P689" s="68"/>
    </row>
    <row r="690">
      <c r="P690" s="68"/>
    </row>
    <row r="691">
      <c r="P691" s="68"/>
    </row>
    <row r="692">
      <c r="P692" s="68"/>
    </row>
    <row r="693">
      <c r="P693" s="68"/>
    </row>
    <row r="694">
      <c r="P694" s="68"/>
    </row>
    <row r="695">
      <c r="P695" s="68"/>
    </row>
    <row r="696">
      <c r="P696" s="68"/>
    </row>
    <row r="697">
      <c r="P697" s="68"/>
    </row>
    <row r="698">
      <c r="P698" s="68"/>
    </row>
    <row r="699">
      <c r="P699" s="68"/>
    </row>
    <row r="700">
      <c r="P700" s="68"/>
    </row>
    <row r="701">
      <c r="P701" s="68"/>
    </row>
    <row r="702">
      <c r="P702" s="68"/>
    </row>
    <row r="703">
      <c r="P703" s="68"/>
    </row>
    <row r="704">
      <c r="P704" s="68"/>
    </row>
    <row r="705">
      <c r="P705" s="68"/>
    </row>
    <row r="706">
      <c r="P706" s="68"/>
    </row>
    <row r="707">
      <c r="P707" s="68"/>
    </row>
    <row r="708">
      <c r="P708" s="68"/>
    </row>
    <row r="709">
      <c r="P709" s="68"/>
    </row>
    <row r="710">
      <c r="P710" s="68"/>
    </row>
    <row r="711">
      <c r="P711" s="68"/>
    </row>
    <row r="712">
      <c r="P712" s="68"/>
    </row>
    <row r="713">
      <c r="P713" s="68"/>
    </row>
    <row r="714">
      <c r="P714" s="68"/>
    </row>
    <row r="715">
      <c r="P715" s="68"/>
    </row>
    <row r="716">
      <c r="P716" s="68"/>
    </row>
    <row r="717">
      <c r="P717" s="68"/>
    </row>
    <row r="718">
      <c r="P718" s="68"/>
    </row>
    <row r="719">
      <c r="P719" s="68"/>
    </row>
    <row r="720">
      <c r="P720" s="68"/>
    </row>
    <row r="721">
      <c r="P721" s="68"/>
    </row>
    <row r="722">
      <c r="P722" s="68"/>
    </row>
    <row r="723">
      <c r="P723" s="68"/>
    </row>
    <row r="724">
      <c r="P724" s="68"/>
    </row>
    <row r="725">
      <c r="P725" s="68"/>
    </row>
    <row r="726">
      <c r="P726" s="68"/>
    </row>
    <row r="727">
      <c r="P727" s="68"/>
    </row>
    <row r="728">
      <c r="P728" s="68"/>
    </row>
    <row r="729">
      <c r="P729" s="68"/>
    </row>
    <row r="730">
      <c r="P730" s="68"/>
    </row>
    <row r="731">
      <c r="P731" s="68"/>
    </row>
    <row r="732">
      <c r="P732" s="68"/>
    </row>
    <row r="733">
      <c r="P733" s="68"/>
    </row>
    <row r="734">
      <c r="P734" s="68"/>
    </row>
    <row r="735">
      <c r="P735" s="68"/>
    </row>
    <row r="736">
      <c r="P736" s="68"/>
    </row>
    <row r="737">
      <c r="P737" s="68"/>
    </row>
    <row r="738">
      <c r="P738" s="68"/>
    </row>
    <row r="739">
      <c r="P739" s="68"/>
    </row>
    <row r="740">
      <c r="P740" s="68"/>
    </row>
    <row r="741">
      <c r="P741" s="68"/>
    </row>
    <row r="742">
      <c r="P742" s="68"/>
    </row>
    <row r="743">
      <c r="P743" s="68"/>
    </row>
    <row r="744">
      <c r="P744" s="68"/>
    </row>
    <row r="745">
      <c r="P745" s="68"/>
    </row>
    <row r="746">
      <c r="P746" s="68"/>
    </row>
    <row r="747">
      <c r="P747" s="68"/>
    </row>
    <row r="748">
      <c r="P748" s="68"/>
    </row>
    <row r="749">
      <c r="P749" s="68"/>
    </row>
    <row r="750">
      <c r="P750" s="68"/>
    </row>
    <row r="751">
      <c r="P751" s="68"/>
    </row>
    <row r="752">
      <c r="P752" s="68"/>
    </row>
    <row r="753">
      <c r="P753" s="68"/>
    </row>
    <row r="754">
      <c r="P754" s="68"/>
    </row>
    <row r="755">
      <c r="P755" s="68"/>
    </row>
    <row r="756">
      <c r="P756" s="68"/>
    </row>
    <row r="757">
      <c r="P757" s="68"/>
    </row>
    <row r="758">
      <c r="P758" s="68"/>
    </row>
    <row r="759">
      <c r="P759" s="68"/>
    </row>
    <row r="760">
      <c r="P760" s="68"/>
    </row>
    <row r="761">
      <c r="P761" s="68"/>
    </row>
    <row r="762">
      <c r="P762" s="68"/>
    </row>
    <row r="763">
      <c r="P763" s="68"/>
    </row>
    <row r="764">
      <c r="P764" s="68"/>
    </row>
    <row r="765">
      <c r="P765" s="68"/>
    </row>
    <row r="766">
      <c r="P766" s="68"/>
    </row>
    <row r="767">
      <c r="P767" s="68"/>
    </row>
    <row r="768">
      <c r="P768" s="68"/>
    </row>
    <row r="769">
      <c r="P769" s="68"/>
    </row>
    <row r="770">
      <c r="P770" s="68"/>
    </row>
    <row r="771">
      <c r="P771" s="68"/>
    </row>
    <row r="772">
      <c r="P772" s="68"/>
    </row>
    <row r="773">
      <c r="P773" s="68"/>
    </row>
    <row r="774">
      <c r="P774" s="68"/>
    </row>
    <row r="775">
      <c r="P775" s="68"/>
    </row>
    <row r="776">
      <c r="P776" s="68"/>
    </row>
    <row r="777">
      <c r="P777" s="68"/>
    </row>
    <row r="778">
      <c r="P778" s="68"/>
    </row>
    <row r="779">
      <c r="P779" s="68"/>
    </row>
    <row r="780">
      <c r="P780" s="68"/>
    </row>
    <row r="781">
      <c r="P781" s="68"/>
    </row>
    <row r="782">
      <c r="P782" s="68"/>
    </row>
    <row r="783">
      <c r="P783" s="68"/>
    </row>
    <row r="784">
      <c r="P784" s="68"/>
    </row>
    <row r="785">
      <c r="P785" s="68"/>
    </row>
    <row r="786">
      <c r="P786" s="68"/>
    </row>
    <row r="787">
      <c r="P787" s="68"/>
    </row>
    <row r="788">
      <c r="P788" s="68"/>
    </row>
    <row r="789">
      <c r="P789" s="68"/>
    </row>
    <row r="790">
      <c r="P790" s="68"/>
    </row>
    <row r="791">
      <c r="P791" s="68"/>
    </row>
    <row r="792">
      <c r="P792" s="68"/>
    </row>
    <row r="793">
      <c r="P793" s="68"/>
    </row>
    <row r="794">
      <c r="P794" s="68"/>
    </row>
    <row r="795">
      <c r="P795" s="68"/>
    </row>
    <row r="796">
      <c r="P796" s="68"/>
    </row>
    <row r="797">
      <c r="P797" s="68"/>
    </row>
    <row r="798">
      <c r="P798" s="68"/>
    </row>
    <row r="799">
      <c r="P799" s="68"/>
    </row>
    <row r="800">
      <c r="P800" s="68"/>
    </row>
    <row r="801">
      <c r="P801" s="68"/>
    </row>
    <row r="802">
      <c r="P802" s="68"/>
    </row>
    <row r="803">
      <c r="P803" s="68"/>
    </row>
    <row r="804">
      <c r="P804" s="68"/>
    </row>
    <row r="805">
      <c r="P805" s="68"/>
    </row>
    <row r="806">
      <c r="P806" s="68"/>
    </row>
    <row r="807">
      <c r="P807" s="68"/>
    </row>
    <row r="808">
      <c r="P808" s="68"/>
    </row>
    <row r="809">
      <c r="P809" s="68"/>
    </row>
    <row r="810">
      <c r="P810" s="68"/>
    </row>
    <row r="811">
      <c r="P811" s="68"/>
    </row>
    <row r="812">
      <c r="P812" s="68"/>
    </row>
    <row r="813">
      <c r="P813" s="68"/>
    </row>
    <row r="814">
      <c r="P814" s="68"/>
    </row>
    <row r="815">
      <c r="P815" s="68"/>
    </row>
    <row r="816">
      <c r="P816" s="68"/>
    </row>
    <row r="817">
      <c r="P817" s="68"/>
    </row>
    <row r="818">
      <c r="P818" s="68"/>
    </row>
    <row r="819">
      <c r="P819" s="68"/>
    </row>
    <row r="820">
      <c r="P820" s="68"/>
    </row>
    <row r="821">
      <c r="P821" s="68"/>
    </row>
    <row r="822">
      <c r="P822" s="68"/>
    </row>
    <row r="823">
      <c r="P823" s="68"/>
    </row>
    <row r="824">
      <c r="P824" s="68"/>
    </row>
    <row r="825">
      <c r="P825" s="68"/>
    </row>
    <row r="826">
      <c r="P826" s="68"/>
    </row>
    <row r="827">
      <c r="P827" s="68"/>
    </row>
    <row r="828">
      <c r="P828" s="68"/>
    </row>
    <row r="829">
      <c r="P829" s="68"/>
    </row>
    <row r="830">
      <c r="P830" s="68"/>
    </row>
    <row r="831">
      <c r="P831" s="68"/>
    </row>
    <row r="832">
      <c r="P832" s="68"/>
    </row>
    <row r="833">
      <c r="P833" s="68"/>
    </row>
    <row r="834">
      <c r="P834" s="68"/>
    </row>
    <row r="835">
      <c r="P835" s="68"/>
    </row>
    <row r="836">
      <c r="P836" s="68"/>
    </row>
    <row r="837">
      <c r="P837" s="68"/>
    </row>
    <row r="838">
      <c r="P838" s="68"/>
    </row>
    <row r="839">
      <c r="P839" s="68"/>
    </row>
    <row r="840">
      <c r="P840" s="68"/>
    </row>
    <row r="841">
      <c r="P841" s="68"/>
    </row>
    <row r="842">
      <c r="P842" s="68"/>
    </row>
    <row r="843">
      <c r="P843" s="68"/>
    </row>
    <row r="844">
      <c r="P844" s="68"/>
    </row>
    <row r="845">
      <c r="P845" s="68"/>
    </row>
    <row r="846">
      <c r="P846" s="68"/>
    </row>
    <row r="847">
      <c r="P847" s="68"/>
    </row>
    <row r="848">
      <c r="P848" s="68"/>
    </row>
    <row r="849">
      <c r="P849" s="68"/>
    </row>
    <row r="850">
      <c r="P850" s="68"/>
    </row>
    <row r="851">
      <c r="P851" s="68"/>
    </row>
    <row r="852">
      <c r="P852" s="68"/>
    </row>
    <row r="853">
      <c r="P853" s="68"/>
    </row>
    <row r="854">
      <c r="P854" s="68"/>
    </row>
    <row r="855">
      <c r="P855" s="68"/>
    </row>
    <row r="856">
      <c r="P856" s="68"/>
    </row>
    <row r="857">
      <c r="P857" s="68"/>
    </row>
    <row r="858">
      <c r="P858" s="68"/>
    </row>
    <row r="859">
      <c r="P859" s="68"/>
    </row>
    <row r="860">
      <c r="P860" s="68"/>
    </row>
    <row r="861">
      <c r="P861" s="68"/>
    </row>
    <row r="862">
      <c r="P862" s="68"/>
    </row>
    <row r="863">
      <c r="P863" s="68"/>
    </row>
    <row r="864">
      <c r="P864" s="68"/>
    </row>
    <row r="865">
      <c r="P865" s="68"/>
    </row>
    <row r="866">
      <c r="P866" s="68"/>
    </row>
    <row r="867">
      <c r="P867" s="68"/>
    </row>
    <row r="868">
      <c r="P868" s="68"/>
    </row>
    <row r="869">
      <c r="P869" s="68"/>
    </row>
    <row r="870">
      <c r="P870" s="68"/>
    </row>
    <row r="871">
      <c r="P871" s="68"/>
    </row>
    <row r="872">
      <c r="P872" s="68"/>
    </row>
    <row r="873">
      <c r="P873" s="68"/>
    </row>
    <row r="874">
      <c r="P874" s="68"/>
    </row>
    <row r="875">
      <c r="P875" s="68"/>
    </row>
    <row r="876">
      <c r="P876" s="68"/>
    </row>
    <row r="877">
      <c r="P877" s="68"/>
    </row>
    <row r="878">
      <c r="P878" s="68"/>
    </row>
    <row r="879">
      <c r="P879" s="68"/>
    </row>
    <row r="880">
      <c r="P880" s="68"/>
    </row>
    <row r="881">
      <c r="P881" s="68"/>
    </row>
    <row r="882">
      <c r="P882" s="68"/>
    </row>
    <row r="883">
      <c r="P883" s="68"/>
    </row>
    <row r="884">
      <c r="P884" s="68"/>
    </row>
    <row r="885">
      <c r="P885" s="68"/>
    </row>
    <row r="886">
      <c r="P886" s="68"/>
    </row>
    <row r="887">
      <c r="P887" s="68"/>
    </row>
    <row r="888">
      <c r="P888" s="68"/>
    </row>
    <row r="889">
      <c r="P889" s="68"/>
    </row>
    <row r="890">
      <c r="P890" s="68"/>
    </row>
    <row r="891">
      <c r="P891" s="68"/>
    </row>
    <row r="892">
      <c r="P892" s="68"/>
    </row>
    <row r="893">
      <c r="P893" s="68"/>
    </row>
    <row r="894">
      <c r="P894" s="68"/>
    </row>
    <row r="895">
      <c r="P895" s="68"/>
    </row>
    <row r="896">
      <c r="P896" s="68"/>
    </row>
    <row r="897">
      <c r="P897" s="68"/>
    </row>
    <row r="898">
      <c r="P898" s="68"/>
    </row>
    <row r="899">
      <c r="P899" s="68"/>
    </row>
    <row r="900">
      <c r="P900" s="68"/>
    </row>
    <row r="901">
      <c r="P901" s="68"/>
    </row>
    <row r="902">
      <c r="P902" s="68"/>
    </row>
    <row r="903">
      <c r="P903" s="68"/>
    </row>
    <row r="904">
      <c r="P904" s="68"/>
    </row>
    <row r="905">
      <c r="P905" s="68"/>
    </row>
    <row r="906">
      <c r="P906" s="68"/>
    </row>
    <row r="907">
      <c r="P907" s="68"/>
    </row>
    <row r="908">
      <c r="P908" s="68"/>
    </row>
    <row r="909">
      <c r="P909" s="68"/>
    </row>
    <row r="910">
      <c r="P910" s="68"/>
    </row>
    <row r="911">
      <c r="P911" s="68"/>
    </row>
    <row r="912">
      <c r="P912" s="68"/>
    </row>
    <row r="913">
      <c r="P913" s="68"/>
    </row>
    <row r="914">
      <c r="P914" s="68"/>
    </row>
    <row r="915">
      <c r="P915" s="68"/>
    </row>
    <row r="916">
      <c r="P916" s="68"/>
    </row>
    <row r="917">
      <c r="P917" s="68"/>
    </row>
    <row r="918">
      <c r="P918" s="68"/>
    </row>
    <row r="919">
      <c r="P919" s="68"/>
    </row>
    <row r="920">
      <c r="P920" s="68"/>
    </row>
    <row r="921">
      <c r="P921" s="68"/>
    </row>
    <row r="922">
      <c r="P922" s="68"/>
    </row>
    <row r="923">
      <c r="P923" s="68"/>
    </row>
    <row r="924">
      <c r="P924" s="68"/>
    </row>
    <row r="925">
      <c r="P925" s="68"/>
    </row>
    <row r="926">
      <c r="P926" s="68"/>
    </row>
    <row r="927">
      <c r="P927" s="68"/>
    </row>
    <row r="928">
      <c r="P928" s="68"/>
    </row>
    <row r="929">
      <c r="P929" s="68"/>
    </row>
    <row r="930">
      <c r="P930" s="68"/>
    </row>
    <row r="931">
      <c r="P931" s="68"/>
    </row>
    <row r="932">
      <c r="P932" s="68"/>
    </row>
    <row r="933">
      <c r="P933" s="68"/>
    </row>
    <row r="934">
      <c r="P934" s="68"/>
    </row>
    <row r="935">
      <c r="P935" s="68"/>
    </row>
    <row r="936">
      <c r="P936" s="68"/>
    </row>
    <row r="937">
      <c r="P937" s="68"/>
    </row>
    <row r="938">
      <c r="P938" s="68"/>
    </row>
    <row r="939">
      <c r="P939" s="68"/>
    </row>
    <row r="940">
      <c r="P940" s="68"/>
    </row>
    <row r="941">
      <c r="P941" s="68"/>
    </row>
    <row r="942">
      <c r="P942" s="68"/>
    </row>
    <row r="943">
      <c r="P943" s="68"/>
    </row>
    <row r="944">
      <c r="P944" s="68"/>
    </row>
    <row r="945">
      <c r="P945" s="68"/>
    </row>
    <row r="946">
      <c r="P946" s="68"/>
    </row>
    <row r="947">
      <c r="P947" s="68"/>
    </row>
    <row r="948">
      <c r="P948" s="68"/>
    </row>
    <row r="949">
      <c r="P949" s="68"/>
    </row>
    <row r="950">
      <c r="P950" s="68"/>
    </row>
    <row r="951">
      <c r="P951" s="68"/>
    </row>
    <row r="952">
      <c r="P952" s="68"/>
    </row>
    <row r="953">
      <c r="P953" s="68"/>
    </row>
    <row r="954">
      <c r="P954" s="68"/>
    </row>
    <row r="955">
      <c r="P955" s="68"/>
    </row>
    <row r="956">
      <c r="P956" s="68"/>
    </row>
    <row r="957">
      <c r="P957" s="68"/>
    </row>
    <row r="958">
      <c r="P958" s="68"/>
    </row>
    <row r="959">
      <c r="P959" s="68"/>
    </row>
    <row r="960">
      <c r="P960" s="68"/>
    </row>
    <row r="961">
      <c r="P961" s="68"/>
    </row>
    <row r="962">
      <c r="P962" s="68"/>
    </row>
    <row r="963">
      <c r="P963" s="68"/>
    </row>
    <row r="964">
      <c r="P964" s="68"/>
    </row>
    <row r="965">
      <c r="P965" s="68"/>
    </row>
    <row r="966">
      <c r="P966" s="68"/>
    </row>
    <row r="967">
      <c r="P967" s="68"/>
    </row>
    <row r="968">
      <c r="P968" s="68"/>
    </row>
    <row r="969">
      <c r="P969" s="68"/>
    </row>
    <row r="970">
      <c r="P970" s="68"/>
    </row>
    <row r="971">
      <c r="P971" s="68"/>
    </row>
    <row r="972">
      <c r="P972" s="68"/>
    </row>
    <row r="973">
      <c r="P973" s="68"/>
    </row>
    <row r="974">
      <c r="P974" s="68"/>
    </row>
    <row r="975">
      <c r="P975" s="68"/>
    </row>
    <row r="976">
      <c r="P976" s="68"/>
    </row>
    <row r="977">
      <c r="P977" s="68"/>
    </row>
    <row r="978">
      <c r="P978" s="68"/>
    </row>
    <row r="979">
      <c r="P979" s="68"/>
    </row>
    <row r="980">
      <c r="P980" s="68"/>
    </row>
    <row r="981">
      <c r="P981" s="68"/>
    </row>
    <row r="982">
      <c r="P982" s="68"/>
    </row>
    <row r="983">
      <c r="P983" s="68"/>
    </row>
  </sheetData>
  <hyperlinks>
    <hyperlink r:id="rId1" ref="E2"/>
    <hyperlink r:id="rId2" ref="E3"/>
    <hyperlink r:id="rId3" ref="E4"/>
    <hyperlink r:id="rId4" ref="E5"/>
    <hyperlink r:id="rId5" ref="E6"/>
    <hyperlink r:id="rId6" ref="E7"/>
    <hyperlink r:id="rId7" ref="E8"/>
    <hyperlink r:id="rId8" ref="E9"/>
    <hyperlink r:id="rId9" ref="E10"/>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3.22"/>
    <col customWidth="1" min="3" max="3" width="23.44"/>
    <col customWidth="1" min="4" max="4" width="47.0"/>
    <col customWidth="1" min="6" max="6" width="17.11"/>
    <col customWidth="1" min="7" max="7" width="17.44"/>
    <col customWidth="1" min="8" max="8" width="22.89"/>
    <col customWidth="1" min="9" max="9" width="12.22"/>
  </cols>
  <sheetData>
    <row r="1" ht="33.75" customHeight="1">
      <c r="A1" s="215" t="s">
        <v>66</v>
      </c>
      <c r="B1" s="215" t="s">
        <v>58</v>
      </c>
      <c r="C1" s="215" t="s">
        <v>2382</v>
      </c>
      <c r="D1" s="215" t="s">
        <v>2383</v>
      </c>
      <c r="E1" s="216" t="s">
        <v>943</v>
      </c>
      <c r="F1" s="28" t="s">
        <v>2384</v>
      </c>
      <c r="G1" s="28" t="s">
        <v>2385</v>
      </c>
      <c r="H1" s="28" t="s">
        <v>2386</v>
      </c>
      <c r="I1" s="122"/>
      <c r="J1" s="81" t="s">
        <v>2387</v>
      </c>
      <c r="K1" s="81" t="s">
        <v>2388</v>
      </c>
      <c r="L1" s="81" t="s">
        <v>2389</v>
      </c>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row>
    <row r="2">
      <c r="A2" s="81" t="s">
        <v>347</v>
      </c>
      <c r="B2" s="81" t="s">
        <v>2390</v>
      </c>
      <c r="C2" s="81" t="s">
        <v>2388</v>
      </c>
      <c r="D2" s="81" t="s">
        <v>2391</v>
      </c>
      <c r="E2" s="28" t="s">
        <v>1198</v>
      </c>
      <c r="F2" s="28">
        <f>COUNTIF(E:E,"Yes")</f>
        <v>133</v>
      </c>
      <c r="G2" s="28">
        <f>COUNTIF(E:E,"No")</f>
        <v>81</v>
      </c>
      <c r="H2" s="28">
        <v>24.0</v>
      </c>
      <c r="I2" s="28"/>
      <c r="J2" s="28">
        <f>COUNTIF(C:C,"Title/Abstract")</f>
        <v>56</v>
      </c>
      <c r="K2" s="28">
        <f>COUNTIF(C:C,"Paper review")</f>
        <v>145</v>
      </c>
      <c r="L2" s="28">
        <f>COUNTIF(C:C,"Not recieved")</f>
        <v>13</v>
      </c>
      <c r="M2" s="28"/>
      <c r="N2" s="122"/>
      <c r="O2" s="28"/>
      <c r="P2" s="28"/>
      <c r="Q2" s="28"/>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row>
    <row r="3">
      <c r="A3" s="81" t="s">
        <v>347</v>
      </c>
      <c r="B3" s="81" t="s">
        <v>912</v>
      </c>
      <c r="C3" s="81" t="s">
        <v>2388</v>
      </c>
      <c r="D3" s="81" t="s">
        <v>2392</v>
      </c>
      <c r="E3" s="42" t="s">
        <v>1437</v>
      </c>
      <c r="F3" s="42"/>
      <c r="G3" s="42"/>
      <c r="H3" s="28"/>
      <c r="I3" s="28"/>
      <c r="J3" s="119"/>
      <c r="K3" s="28"/>
      <c r="L3" s="217"/>
      <c r="M3" s="28"/>
      <c r="N3" s="28"/>
      <c r="O3" s="28"/>
      <c r="P3" s="28"/>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row>
    <row r="4">
      <c r="A4" s="81" t="s">
        <v>93</v>
      </c>
      <c r="B4" s="218" t="s">
        <v>925</v>
      </c>
      <c r="C4" s="81" t="s">
        <v>2388</v>
      </c>
      <c r="D4" s="80"/>
      <c r="E4" s="28" t="s">
        <v>1437</v>
      </c>
      <c r="F4" s="119"/>
      <c r="G4" s="86" t="s">
        <v>2207</v>
      </c>
      <c r="H4" s="86" t="s">
        <v>2389</v>
      </c>
      <c r="I4" s="86" t="s">
        <v>2393</v>
      </c>
      <c r="J4" s="191" t="s">
        <v>2394</v>
      </c>
      <c r="K4" s="191" t="s">
        <v>2395</v>
      </c>
      <c r="L4" s="86" t="s">
        <v>2396</v>
      </c>
      <c r="M4" s="86" t="s">
        <v>2397</v>
      </c>
      <c r="N4" s="86" t="s">
        <v>2208</v>
      </c>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row>
    <row r="5">
      <c r="A5" s="81" t="s">
        <v>507</v>
      </c>
      <c r="B5" s="81" t="s">
        <v>573</v>
      </c>
      <c r="C5" s="81" t="s">
        <v>2388</v>
      </c>
      <c r="D5" s="81" t="s">
        <v>2398</v>
      </c>
      <c r="E5" s="42" t="s">
        <v>1437</v>
      </c>
      <c r="F5" s="119"/>
      <c r="G5" s="119"/>
      <c r="H5" s="119">
        <f>SUMPRODUCT((C:C="not recieved")*(TRIM(E:E)="no"))</f>
        <v>12</v>
      </c>
      <c r="I5" s="189">
        <f>SUMPRODUCT((C:C="Title/Abstract")*(TRIM(E:E)="no")*(TRIM(D:D)="duplicate"))</f>
        <v>5</v>
      </c>
      <c r="J5" s="37">
        <f>SUMPRODUCT((C:C="Title/Abstract")*(TRIM(E:E)="no")*(NOT(ISNUMBER(SEARCH("*review paper*",D:D))))*(NOT(ISNUMBER(SEARCH("*duplicate*",D:D)))))</f>
        <v>16</v>
      </c>
      <c r="K5" s="119">
        <f>COUNTIFS(C:C,"Title/Abstract",E:E,"no",D:D,"*review paper*")
+COUNTIFS(C:C,"Paper review",E:E,"no",D:D,"*review paper*")</f>
        <v>5</v>
      </c>
      <c r="L5" s="119">
        <f>SUMPRODUCT((C:C="Paper review")*(TRIM(E:E)="no")*(NOT(ISNUMBER(SEARCH("shallow",D:D))))*(NOT(ISNUMBER(SEARCH("*review paper*",D:D)))))</f>
        <v>36</v>
      </c>
      <c r="M5" s="119">
        <f>COUNTIFS(C:C,"Title/Abstract",E:E,"no",D:D,"*shallow*")
+COUNTIFS(C:C,"Paper review",E:E,"no",D:D,"*shallow*")</f>
        <v>7</v>
      </c>
      <c r="N5" s="119">
        <f t="shared" ref="N5:N6" si="1">H5+I5+J5+K5+L5+M5</f>
        <v>81</v>
      </c>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row>
    <row r="6">
      <c r="A6" s="81" t="s">
        <v>261</v>
      </c>
      <c r="B6" s="26" t="s">
        <v>822</v>
      </c>
      <c r="C6" s="81" t="s">
        <v>2394</v>
      </c>
      <c r="D6" s="81" t="s">
        <v>612</v>
      </c>
      <c r="E6" s="42" t="s">
        <v>1437</v>
      </c>
      <c r="F6" s="119"/>
      <c r="G6" s="86" t="s">
        <v>2206</v>
      </c>
      <c r="H6" s="119">
        <f>SUMPRODUCT((C:C="not recieved")*(TRIM(E:E)="yes"))</f>
        <v>1</v>
      </c>
      <c r="I6" s="219">
        <f>SUMPRODUCT((C:C="Title/Abstract")*(TRIM(E:E)="yes")*(TRIM(D:D)="duplicate"))</f>
        <v>4</v>
      </c>
      <c r="J6" s="119">
        <f>SUMPRODUCT((C:C="Title/Abstract")*(TRIM(E:E)="yes")*(NOT(ISNUMBER(SEARCH("*review paper*",D:D))))*(NOT(ISNUMBER(SEARCH("*duplicate*",D:D)))))</f>
        <v>17</v>
      </c>
      <c r="K6" s="119">
        <f>COUNTIFS(C:C,"Title/Abstract",E:E,"yes",D:D,"*review paper*")
+COUNTIFS(C:C,"Paper review",E:E,"no",D:D,"*review paper*")</f>
        <v>11</v>
      </c>
      <c r="L6" s="119">
        <f>SUMPRODUCT((C:C="Paper review")*(TRIM(E:E)="yes")*(NOT(ISNUMBER(SEARCH("shallow",D:D))))*(NOT(ISNUMBER(SEARCH("*review paper*",D:D)))))</f>
        <v>100</v>
      </c>
      <c r="M6" s="119">
        <f>COUNTIFS(C:C,"Title/Abstract",E:E,"yes",D:D,"*shallow*")
+COUNTIFS(C:C,"Paper review",E:E,"yes",D:D,"*shallow*")</f>
        <v>0</v>
      </c>
      <c r="N6" s="119">
        <f t="shared" si="1"/>
        <v>133</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row>
    <row r="7">
      <c r="A7" s="81" t="s">
        <v>261</v>
      </c>
      <c r="B7" s="81" t="s">
        <v>845</v>
      </c>
      <c r="C7" s="81" t="s">
        <v>2388</v>
      </c>
      <c r="D7" s="81" t="s">
        <v>2399</v>
      </c>
      <c r="E7" s="28" t="s">
        <v>1437</v>
      </c>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row>
    <row r="8">
      <c r="A8" s="81" t="s">
        <v>261</v>
      </c>
      <c r="B8" s="81" t="s">
        <v>919</v>
      </c>
      <c r="C8" s="81" t="s">
        <v>2394</v>
      </c>
      <c r="D8" s="81" t="s">
        <v>2391</v>
      </c>
      <c r="E8" s="42" t="s">
        <v>1437</v>
      </c>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row>
    <row r="9">
      <c r="A9" s="76" t="s">
        <v>261</v>
      </c>
      <c r="B9" s="81" t="s">
        <v>2400</v>
      </c>
      <c r="C9" s="81" t="s">
        <v>2394</v>
      </c>
      <c r="D9" s="81" t="s">
        <v>2401</v>
      </c>
      <c r="E9" s="28" t="s">
        <v>1198</v>
      </c>
      <c r="F9" s="119"/>
      <c r="G9" s="119"/>
      <c r="H9" s="119"/>
      <c r="I9" s="119"/>
      <c r="J9" s="119"/>
      <c r="K9" s="119"/>
      <c r="L9" s="80"/>
      <c r="M9" s="119"/>
      <c r="N9" s="119"/>
      <c r="O9" s="86"/>
      <c r="P9" s="86"/>
      <c r="Q9" s="119"/>
      <c r="R9" s="119"/>
      <c r="S9" s="119"/>
      <c r="T9" s="119"/>
      <c r="U9" s="80"/>
      <c r="V9" s="119"/>
      <c r="W9" s="119"/>
      <c r="X9" s="119"/>
      <c r="Y9" s="119"/>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row>
    <row r="10">
      <c r="A10" s="76" t="s">
        <v>261</v>
      </c>
      <c r="B10" s="76" t="s">
        <v>2402</v>
      </c>
      <c r="C10" s="81" t="s">
        <v>2394</v>
      </c>
      <c r="D10" s="76" t="s">
        <v>2395</v>
      </c>
      <c r="E10" s="42" t="s">
        <v>1198</v>
      </c>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row>
    <row r="11">
      <c r="A11" s="81" t="s">
        <v>261</v>
      </c>
      <c r="B11" s="81" t="s">
        <v>2403</v>
      </c>
      <c r="C11" s="81" t="s">
        <v>2394</v>
      </c>
      <c r="D11" s="81" t="s">
        <v>2404</v>
      </c>
      <c r="E11" s="28" t="s">
        <v>1198</v>
      </c>
      <c r="F11" s="119"/>
      <c r="G11" s="119"/>
      <c r="H11" s="119"/>
      <c r="I11" s="119"/>
      <c r="J11" s="119"/>
      <c r="K11" s="119"/>
      <c r="L11" s="80"/>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row>
    <row r="12">
      <c r="A12" s="76" t="s">
        <v>261</v>
      </c>
      <c r="B12" s="76" t="s">
        <v>2405</v>
      </c>
      <c r="C12" s="81" t="s">
        <v>2394</v>
      </c>
      <c r="D12" s="76" t="s">
        <v>2406</v>
      </c>
      <c r="E12" s="42" t="s">
        <v>1198</v>
      </c>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row>
    <row r="13">
      <c r="A13" s="76" t="s">
        <v>261</v>
      </c>
      <c r="B13" s="76" t="s">
        <v>2407</v>
      </c>
      <c r="C13" s="81" t="s">
        <v>2394</v>
      </c>
      <c r="D13" s="76" t="s">
        <v>2395</v>
      </c>
      <c r="E13" s="28" t="s">
        <v>1198</v>
      </c>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row>
    <row r="14">
      <c r="A14" s="76" t="s">
        <v>431</v>
      </c>
      <c r="B14" s="81" t="s">
        <v>428</v>
      </c>
      <c r="C14" s="81" t="s">
        <v>2388</v>
      </c>
      <c r="D14" s="81" t="s">
        <v>2408</v>
      </c>
      <c r="E14" s="42" t="s">
        <v>1437</v>
      </c>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row>
    <row r="15">
      <c r="A15" s="76" t="s">
        <v>431</v>
      </c>
      <c r="B15" s="81" t="s">
        <v>468</v>
      </c>
      <c r="C15" s="81" t="s">
        <v>2388</v>
      </c>
      <c r="D15" s="81" t="s">
        <v>2409</v>
      </c>
      <c r="E15" s="28" t="s">
        <v>1437</v>
      </c>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row>
    <row r="16">
      <c r="A16" s="76" t="s">
        <v>431</v>
      </c>
      <c r="B16" s="81" t="s">
        <v>793</v>
      </c>
      <c r="C16" s="81" t="s">
        <v>2394</v>
      </c>
      <c r="D16" s="81" t="s">
        <v>2395</v>
      </c>
      <c r="E16" s="42" t="s">
        <v>1437</v>
      </c>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row>
    <row r="17">
      <c r="A17" s="76" t="s">
        <v>181</v>
      </c>
      <c r="B17" s="81" t="s">
        <v>200</v>
      </c>
      <c r="C17" s="81" t="s">
        <v>2389</v>
      </c>
      <c r="D17" s="81" t="s">
        <v>2410</v>
      </c>
      <c r="E17" s="28" t="s">
        <v>1437</v>
      </c>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row>
    <row r="18">
      <c r="A18" s="76" t="s">
        <v>181</v>
      </c>
      <c r="B18" s="81" t="s">
        <v>661</v>
      </c>
      <c r="C18" s="81" t="s">
        <v>2388</v>
      </c>
      <c r="D18" s="81" t="s">
        <v>2409</v>
      </c>
      <c r="E18" s="42" t="s">
        <v>1437</v>
      </c>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row>
    <row r="19">
      <c r="A19" s="76" t="s">
        <v>181</v>
      </c>
      <c r="B19" s="81" t="s">
        <v>797</v>
      </c>
      <c r="C19" s="81" t="s">
        <v>2389</v>
      </c>
      <c r="D19" s="81" t="s">
        <v>2410</v>
      </c>
      <c r="E19" s="28" t="s">
        <v>1437</v>
      </c>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row>
    <row r="20">
      <c r="A20" s="76" t="s">
        <v>181</v>
      </c>
      <c r="B20" s="81" t="s">
        <v>800</v>
      </c>
      <c r="C20" s="81" t="s">
        <v>2388</v>
      </c>
      <c r="D20" s="81" t="s">
        <v>2409</v>
      </c>
      <c r="E20" s="42" t="s">
        <v>1437</v>
      </c>
      <c r="F20" s="119"/>
      <c r="G20" s="119"/>
      <c r="H20" s="119"/>
      <c r="I20" s="119"/>
      <c r="J20" s="119"/>
      <c r="K20" s="119"/>
      <c r="L20" s="119"/>
      <c r="M20" s="119"/>
      <c r="N20" s="119"/>
      <c r="O20" s="119"/>
      <c r="P20" s="119"/>
      <c r="Q20" s="119"/>
      <c r="R20" s="119"/>
      <c r="S20" s="119"/>
      <c r="T20" s="220"/>
      <c r="U20" s="119"/>
      <c r="V20" s="119"/>
      <c r="W20" s="119"/>
      <c r="X20" s="119"/>
      <c r="Y20" s="119"/>
      <c r="Z20" s="119"/>
      <c r="AA20" s="119"/>
      <c r="AB20" s="119"/>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row>
    <row r="21">
      <c r="A21" s="76" t="s">
        <v>181</v>
      </c>
      <c r="B21" s="81" t="s">
        <v>890</v>
      </c>
      <c r="C21" s="81" t="s">
        <v>2389</v>
      </c>
      <c r="D21" s="81" t="s">
        <v>2410</v>
      </c>
      <c r="E21" s="28" t="s">
        <v>1437</v>
      </c>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row>
    <row r="22">
      <c r="A22" s="76" t="s">
        <v>181</v>
      </c>
      <c r="B22" s="81" t="s">
        <v>910</v>
      </c>
      <c r="C22" s="81" t="s">
        <v>2388</v>
      </c>
      <c r="D22" s="81" t="s">
        <v>2409</v>
      </c>
      <c r="E22" s="42" t="s">
        <v>1437</v>
      </c>
      <c r="F22" s="119"/>
      <c r="G22" s="119"/>
      <c r="I22" s="119"/>
      <c r="J22" s="119"/>
      <c r="K22" s="119"/>
      <c r="L22" s="119"/>
      <c r="M22" s="119"/>
      <c r="N22" s="119"/>
      <c r="O22" s="119"/>
      <c r="P22" s="119"/>
      <c r="Q22" s="119"/>
      <c r="R22" s="119"/>
      <c r="S22" s="119"/>
      <c r="T22" s="220"/>
      <c r="U22" s="119"/>
      <c r="V22" s="119"/>
      <c r="W22" s="119"/>
      <c r="X22" s="119"/>
      <c r="Y22" s="119"/>
      <c r="Z22" s="119"/>
      <c r="AA22" s="119"/>
      <c r="AB22" s="119"/>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row>
    <row r="23">
      <c r="A23" s="76" t="s">
        <v>269</v>
      </c>
      <c r="B23" s="81" t="s">
        <v>271</v>
      </c>
      <c r="C23" s="81" t="s">
        <v>2388</v>
      </c>
      <c r="D23" s="88" t="s">
        <v>2411</v>
      </c>
      <c r="E23" s="28" t="s">
        <v>1437</v>
      </c>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row>
    <row r="24">
      <c r="A24" s="76" t="s">
        <v>269</v>
      </c>
      <c r="B24" s="81" t="s">
        <v>275</v>
      </c>
      <c r="C24" s="81" t="s">
        <v>2388</v>
      </c>
      <c r="D24" s="88" t="s">
        <v>2412</v>
      </c>
      <c r="E24" s="42" t="s">
        <v>1437</v>
      </c>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row>
    <row r="25">
      <c r="A25" s="76" t="s">
        <v>269</v>
      </c>
      <c r="B25" s="37" t="s">
        <v>275</v>
      </c>
      <c r="C25" s="81" t="s">
        <v>2394</v>
      </c>
      <c r="D25" s="81" t="s">
        <v>612</v>
      </c>
      <c r="E25" s="42" t="s">
        <v>1437</v>
      </c>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row>
    <row r="26">
      <c r="A26" s="76" t="s">
        <v>269</v>
      </c>
      <c r="B26" s="81" t="s">
        <v>282</v>
      </c>
      <c r="C26" s="81" t="s">
        <v>2389</v>
      </c>
      <c r="D26" s="88" t="s">
        <v>2413</v>
      </c>
      <c r="E26" s="28" t="s">
        <v>1437</v>
      </c>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row>
    <row r="27">
      <c r="A27" s="76" t="s">
        <v>269</v>
      </c>
      <c r="B27" s="81" t="s">
        <v>303</v>
      </c>
      <c r="C27" s="81" t="s">
        <v>2394</v>
      </c>
      <c r="D27" s="81" t="s">
        <v>2409</v>
      </c>
      <c r="E27" s="42" t="s">
        <v>1437</v>
      </c>
      <c r="F27" s="119"/>
      <c r="G27" s="119"/>
      <c r="H27" s="119"/>
      <c r="I27" s="119"/>
      <c r="J27" s="119"/>
      <c r="K27" s="119"/>
      <c r="L27" s="119"/>
      <c r="M27" s="119"/>
      <c r="N27" s="119"/>
      <c r="O27" s="119"/>
      <c r="P27" s="119"/>
      <c r="Q27" s="119"/>
      <c r="R27" s="119"/>
      <c r="S27" s="119"/>
      <c r="T27" s="220"/>
      <c r="U27" s="119"/>
      <c r="V27" s="119"/>
      <c r="W27" s="119"/>
      <c r="X27" s="119"/>
      <c r="Y27" s="119"/>
      <c r="Z27" s="119"/>
      <c r="AA27" s="119"/>
      <c r="AB27" s="119"/>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row>
    <row r="28">
      <c r="A28" s="76" t="s">
        <v>269</v>
      </c>
      <c r="B28" s="81" t="s">
        <v>313</v>
      </c>
      <c r="C28" s="81" t="s">
        <v>2394</v>
      </c>
      <c r="D28" s="88" t="s">
        <v>2414</v>
      </c>
      <c r="E28" s="28" t="s">
        <v>1437</v>
      </c>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row>
    <row r="29">
      <c r="A29" s="76" t="s">
        <v>269</v>
      </c>
      <c r="B29" s="81" t="s">
        <v>316</v>
      </c>
      <c r="C29" s="81" t="s">
        <v>2388</v>
      </c>
      <c r="D29" s="88" t="s">
        <v>2415</v>
      </c>
      <c r="E29" s="42" t="s">
        <v>1437</v>
      </c>
      <c r="F29" s="119"/>
      <c r="G29" s="119"/>
      <c r="I29" s="119"/>
      <c r="J29" s="119"/>
      <c r="K29" s="119"/>
      <c r="L29" s="119"/>
      <c r="M29" s="119"/>
      <c r="N29" s="119"/>
      <c r="O29" s="119"/>
      <c r="P29" s="119"/>
      <c r="Q29" s="119"/>
      <c r="R29" s="119"/>
      <c r="S29" s="119"/>
      <c r="T29" s="220"/>
      <c r="U29" s="119"/>
      <c r="V29" s="119"/>
      <c r="W29" s="119"/>
      <c r="X29" s="119"/>
      <c r="Y29" s="119"/>
      <c r="Z29" s="119"/>
      <c r="AA29" s="119"/>
      <c r="AB29" s="119"/>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row>
    <row r="30">
      <c r="A30" s="76" t="s">
        <v>269</v>
      </c>
      <c r="B30" s="81" t="s">
        <v>877</v>
      </c>
      <c r="C30" s="81" t="s">
        <v>2388</v>
      </c>
      <c r="D30" s="221" t="s">
        <v>2416</v>
      </c>
      <c r="E30" s="28" t="s">
        <v>1437</v>
      </c>
      <c r="F30" s="119"/>
      <c r="G30" s="119"/>
      <c r="H30" s="119"/>
      <c r="I30" s="119"/>
      <c r="J30" s="119"/>
      <c r="K30" s="80"/>
      <c r="L30" s="119"/>
      <c r="M30" s="80"/>
      <c r="N30" s="80"/>
      <c r="O30" s="119"/>
      <c r="P30" s="119"/>
      <c r="Q30" s="119"/>
      <c r="R30" s="119"/>
      <c r="S30" s="119"/>
      <c r="T30" s="119"/>
      <c r="U30" s="119"/>
      <c r="V30" s="119"/>
      <c r="W30" s="80"/>
      <c r="X30" s="80"/>
      <c r="Y30" s="119"/>
      <c r="Z30" s="119"/>
      <c r="AA30" s="119"/>
      <c r="AB30" s="119"/>
      <c r="AC30" s="80"/>
      <c r="AD30" s="80"/>
      <c r="AE30" s="119"/>
      <c r="AF30" s="119"/>
      <c r="AG30" s="119"/>
      <c r="AH30" s="119"/>
      <c r="AI30" s="119"/>
      <c r="AJ30" s="119"/>
      <c r="AK30" s="119"/>
      <c r="AL30" s="119"/>
      <c r="AM30" s="119"/>
      <c r="AN30" s="119"/>
      <c r="AO30" s="119"/>
      <c r="AP30" s="119"/>
      <c r="AQ30" s="119"/>
      <c r="AR30" s="119"/>
      <c r="AS30" s="119"/>
      <c r="AT30" s="119"/>
      <c r="AU30" s="119"/>
      <c r="AV30" s="119"/>
      <c r="AW30" s="119"/>
      <c r="AX30" s="119"/>
      <c r="AY30" s="119"/>
    </row>
    <row r="31">
      <c r="A31" s="76" t="s">
        <v>269</v>
      </c>
      <c r="B31" s="81" t="s">
        <v>903</v>
      </c>
      <c r="C31" s="81" t="s">
        <v>2388</v>
      </c>
      <c r="D31" s="222" t="s">
        <v>2417</v>
      </c>
      <c r="E31" s="42" t="s">
        <v>1437</v>
      </c>
      <c r="F31" s="119"/>
      <c r="G31" s="119"/>
      <c r="H31" s="223"/>
      <c r="I31" s="119"/>
      <c r="J31" s="119"/>
      <c r="K31" s="80"/>
      <c r="L31" s="80"/>
      <c r="M31" s="80"/>
      <c r="N31" s="80"/>
      <c r="O31" s="119"/>
      <c r="P31" s="119"/>
      <c r="Q31" s="119"/>
      <c r="R31" s="119"/>
      <c r="S31" s="119"/>
      <c r="T31" s="119"/>
      <c r="U31" s="119"/>
      <c r="V31" s="119"/>
      <c r="W31" s="80"/>
      <c r="X31" s="80"/>
      <c r="Z31" s="119"/>
      <c r="AA31" s="80"/>
      <c r="AB31" s="80"/>
      <c r="AC31" s="80"/>
      <c r="AD31" s="80"/>
      <c r="AE31" s="119"/>
      <c r="AF31" s="119"/>
      <c r="AG31" s="119"/>
      <c r="AH31" s="119"/>
      <c r="AI31" s="119"/>
      <c r="AJ31" s="119"/>
      <c r="AK31" s="119"/>
      <c r="AL31" s="119"/>
      <c r="AM31" s="119"/>
      <c r="AN31" s="119"/>
      <c r="AO31" s="119"/>
      <c r="AP31" s="119"/>
      <c r="AQ31" s="119"/>
      <c r="AR31" s="119"/>
      <c r="AS31" s="119"/>
      <c r="AT31" s="119"/>
      <c r="AU31" s="119"/>
      <c r="AV31" s="119"/>
      <c r="AW31" s="119"/>
      <c r="AX31" s="119"/>
      <c r="AY31" s="119"/>
    </row>
    <row r="32">
      <c r="A32" s="76" t="s">
        <v>269</v>
      </c>
      <c r="B32" s="81" t="s">
        <v>869</v>
      </c>
      <c r="C32" s="81" t="s">
        <v>2388</v>
      </c>
      <c r="D32" s="222" t="s">
        <v>2418</v>
      </c>
      <c r="E32" s="28" t="s">
        <v>1437</v>
      </c>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80"/>
      <c r="AD32" s="80"/>
      <c r="AE32" s="119"/>
      <c r="AF32" s="119"/>
      <c r="AG32" s="119"/>
      <c r="AH32" s="119"/>
      <c r="AI32" s="119"/>
      <c r="AJ32" s="119"/>
      <c r="AK32" s="119"/>
      <c r="AL32" s="119"/>
      <c r="AM32" s="119"/>
      <c r="AN32" s="119"/>
      <c r="AO32" s="119"/>
      <c r="AP32" s="119"/>
      <c r="AQ32" s="119"/>
      <c r="AR32" s="119"/>
      <c r="AS32" s="119"/>
      <c r="AT32" s="119"/>
      <c r="AU32" s="119"/>
      <c r="AV32" s="119"/>
      <c r="AW32" s="119"/>
      <c r="AX32" s="119"/>
      <c r="AY32" s="119"/>
    </row>
    <row r="33">
      <c r="A33" s="76" t="s">
        <v>269</v>
      </c>
      <c r="B33" s="81" t="s">
        <v>872</v>
      </c>
      <c r="C33" s="81" t="s">
        <v>2394</v>
      </c>
      <c r="D33" s="222" t="s">
        <v>2419</v>
      </c>
      <c r="E33" s="42" t="s">
        <v>1437</v>
      </c>
      <c r="F33" s="119"/>
      <c r="G33" s="119"/>
      <c r="H33" s="119"/>
      <c r="I33" s="119"/>
      <c r="J33" s="119"/>
      <c r="K33" s="119"/>
      <c r="L33" s="119"/>
      <c r="M33" s="80"/>
      <c r="N33" s="119"/>
      <c r="O33" s="119"/>
      <c r="P33" s="119"/>
      <c r="Q33" s="119"/>
      <c r="R33" s="119"/>
      <c r="S33" s="119"/>
      <c r="T33" s="119"/>
      <c r="U33" s="119"/>
      <c r="V33" s="119"/>
      <c r="W33" s="119"/>
      <c r="X33" s="119"/>
      <c r="Y33" s="119"/>
      <c r="Z33" s="119"/>
      <c r="AA33" s="119"/>
      <c r="AB33" s="119"/>
      <c r="AC33" s="80"/>
      <c r="AD33" s="80"/>
      <c r="AE33" s="119"/>
      <c r="AF33" s="119"/>
      <c r="AG33" s="119"/>
      <c r="AH33" s="119"/>
      <c r="AI33" s="119"/>
      <c r="AJ33" s="119"/>
      <c r="AK33" s="119"/>
      <c r="AL33" s="119"/>
      <c r="AM33" s="119"/>
      <c r="AN33" s="119"/>
      <c r="AO33" s="119"/>
      <c r="AP33" s="119"/>
      <c r="AQ33" s="119"/>
      <c r="AR33" s="119"/>
      <c r="AS33" s="119"/>
      <c r="AT33" s="119"/>
      <c r="AU33" s="119"/>
      <c r="AV33" s="119"/>
      <c r="AW33" s="119"/>
      <c r="AX33" s="119"/>
      <c r="AY33" s="119"/>
    </row>
    <row r="34">
      <c r="A34" s="76" t="s">
        <v>269</v>
      </c>
      <c r="B34" s="39" t="s">
        <v>872</v>
      </c>
      <c r="C34" s="81" t="s">
        <v>2394</v>
      </c>
      <c r="D34" s="81" t="s">
        <v>612</v>
      </c>
      <c r="E34" s="42" t="s">
        <v>1437</v>
      </c>
      <c r="F34" s="119"/>
      <c r="G34" s="119"/>
      <c r="H34" s="119"/>
      <c r="I34" s="119"/>
      <c r="J34" s="119"/>
      <c r="K34" s="119"/>
      <c r="L34" s="119"/>
      <c r="M34" s="80"/>
      <c r="N34" s="119"/>
      <c r="O34" s="119"/>
      <c r="P34" s="119"/>
      <c r="Q34" s="119"/>
      <c r="R34" s="119"/>
      <c r="S34" s="119"/>
      <c r="T34" s="119"/>
      <c r="U34" s="119"/>
      <c r="V34" s="119"/>
      <c r="W34" s="119"/>
      <c r="X34" s="119"/>
      <c r="Y34" s="119"/>
      <c r="Z34" s="119"/>
      <c r="AA34" s="119"/>
      <c r="AB34" s="119"/>
      <c r="AC34" s="80"/>
      <c r="AD34" s="80"/>
      <c r="AE34" s="119"/>
      <c r="AF34" s="119"/>
      <c r="AG34" s="119"/>
      <c r="AH34" s="119"/>
      <c r="AI34" s="119"/>
      <c r="AJ34" s="119"/>
      <c r="AK34" s="119"/>
      <c r="AL34" s="119"/>
      <c r="AM34" s="119"/>
      <c r="AN34" s="119"/>
      <c r="AO34" s="119"/>
      <c r="AP34" s="119"/>
      <c r="AQ34" s="119"/>
      <c r="AR34" s="119"/>
      <c r="AS34" s="119"/>
      <c r="AT34" s="119"/>
      <c r="AU34" s="119"/>
      <c r="AV34" s="119"/>
      <c r="AW34" s="119"/>
      <c r="AX34" s="119"/>
      <c r="AY34" s="119"/>
    </row>
    <row r="35">
      <c r="A35" s="76" t="s">
        <v>269</v>
      </c>
      <c r="B35" s="81" t="s">
        <v>875</v>
      </c>
      <c r="C35" s="81" t="s">
        <v>2394</v>
      </c>
      <c r="D35" s="222" t="s">
        <v>2420</v>
      </c>
      <c r="E35" s="28" t="s">
        <v>1437</v>
      </c>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row>
    <row r="36">
      <c r="A36" s="76" t="s">
        <v>269</v>
      </c>
      <c r="B36" s="81" t="s">
        <v>882</v>
      </c>
      <c r="C36" s="81" t="s">
        <v>2388</v>
      </c>
      <c r="D36" s="222" t="s">
        <v>2421</v>
      </c>
      <c r="E36" s="42" t="s">
        <v>1437</v>
      </c>
      <c r="F36" s="119"/>
      <c r="G36" s="119"/>
      <c r="H36" s="119"/>
      <c r="I36" s="119"/>
      <c r="J36" s="119"/>
      <c r="K36" s="119"/>
      <c r="L36" s="119"/>
      <c r="M36" s="119"/>
      <c r="N36" s="119"/>
      <c r="O36" s="119"/>
      <c r="P36" s="119"/>
      <c r="R36" s="119"/>
      <c r="S36" s="119"/>
      <c r="T36" s="80"/>
      <c r="U36" s="119"/>
      <c r="V36" s="119"/>
      <c r="W36" s="119"/>
      <c r="X36" s="119"/>
      <c r="Y36" s="119"/>
      <c r="Z36" s="119"/>
      <c r="AA36" s="119"/>
      <c r="AB36" s="80"/>
      <c r="AC36" s="80"/>
      <c r="AD36" s="80"/>
      <c r="AF36" s="119"/>
      <c r="AG36" s="119"/>
      <c r="AH36" s="119"/>
      <c r="AI36" s="119"/>
      <c r="AJ36" s="119"/>
      <c r="AK36" s="119"/>
      <c r="AL36" s="119"/>
      <c r="AM36" s="119"/>
      <c r="AN36" s="119"/>
      <c r="AO36" s="119"/>
      <c r="AP36" s="119"/>
      <c r="AQ36" s="119"/>
      <c r="AR36" s="119"/>
      <c r="AS36" s="119"/>
      <c r="AT36" s="119"/>
      <c r="AU36" s="119"/>
      <c r="AV36" s="119"/>
      <c r="AW36" s="119"/>
      <c r="AX36" s="119"/>
      <c r="AY36" s="119"/>
    </row>
    <row r="37">
      <c r="A37" s="76" t="s">
        <v>269</v>
      </c>
      <c r="B37" s="81" t="s">
        <v>580</v>
      </c>
      <c r="C37" s="81" t="s">
        <v>2394</v>
      </c>
      <c r="D37" s="224" t="s">
        <v>2422</v>
      </c>
      <c r="E37" s="28" t="s">
        <v>1437</v>
      </c>
      <c r="F37" s="119"/>
      <c r="G37" s="119"/>
      <c r="H37" s="119"/>
      <c r="I37" s="80"/>
      <c r="J37" s="80"/>
      <c r="K37" s="80"/>
      <c r="L37" s="80"/>
      <c r="M37" s="80"/>
      <c r="N37" s="80"/>
      <c r="O37" s="80"/>
      <c r="P37" s="119"/>
      <c r="Q37" s="119"/>
      <c r="R37" s="119"/>
      <c r="S37" s="119"/>
      <c r="T37" s="80"/>
      <c r="U37" s="80"/>
      <c r="V37" s="80"/>
      <c r="W37" s="80"/>
      <c r="X37" s="119"/>
      <c r="Y37" s="119"/>
      <c r="Z37" s="80"/>
      <c r="AA37" s="80"/>
      <c r="AB37" s="80"/>
      <c r="AC37" s="80"/>
      <c r="AD37" s="80"/>
      <c r="AG37" s="119"/>
      <c r="AH37" s="119"/>
      <c r="AI37" s="119"/>
      <c r="AJ37" s="119"/>
      <c r="AK37" s="119"/>
      <c r="AL37" s="119"/>
      <c r="AM37" s="119"/>
      <c r="AN37" s="119"/>
      <c r="AO37" s="119"/>
      <c r="AP37" s="119"/>
      <c r="AQ37" s="119"/>
      <c r="AR37" s="119"/>
      <c r="AS37" s="119"/>
      <c r="AT37" s="119"/>
      <c r="AU37" s="119"/>
      <c r="AV37" s="119"/>
      <c r="AW37" s="119"/>
      <c r="AX37" s="119"/>
      <c r="AY37" s="119"/>
    </row>
    <row r="38">
      <c r="A38" s="76" t="s">
        <v>269</v>
      </c>
      <c r="B38" s="81" t="s">
        <v>584</v>
      </c>
      <c r="C38" s="81" t="s">
        <v>2394</v>
      </c>
      <c r="D38" s="224" t="s">
        <v>2423</v>
      </c>
      <c r="E38" s="42" t="s">
        <v>1437</v>
      </c>
      <c r="F38" s="119"/>
      <c r="G38" s="119"/>
      <c r="H38" s="119"/>
      <c r="I38" s="80"/>
      <c r="J38" s="80"/>
      <c r="K38" s="80"/>
      <c r="L38" s="80"/>
      <c r="M38" s="80"/>
      <c r="N38" s="80"/>
      <c r="O38" s="80"/>
      <c r="P38" s="119"/>
      <c r="Q38" s="119"/>
      <c r="R38" s="119"/>
      <c r="S38" s="119"/>
      <c r="T38" s="80"/>
      <c r="U38" s="80"/>
      <c r="V38" s="119"/>
      <c r="W38" s="80"/>
      <c r="X38" s="119"/>
      <c r="Y38" s="119"/>
      <c r="Z38" s="119"/>
      <c r="AA38" s="119"/>
      <c r="AB38" s="119"/>
      <c r="AC38" s="80"/>
      <c r="AD38" s="80"/>
      <c r="AE38" s="80"/>
      <c r="AG38" s="119"/>
      <c r="AH38" s="119"/>
      <c r="AI38" s="119"/>
      <c r="AJ38" s="119"/>
      <c r="AK38" s="119"/>
      <c r="AL38" s="119"/>
      <c r="AM38" s="119"/>
      <c r="AN38" s="119"/>
      <c r="AO38" s="119"/>
      <c r="AP38" s="119"/>
      <c r="AQ38" s="119"/>
      <c r="AR38" s="119"/>
      <c r="AS38" s="119"/>
      <c r="AT38" s="119"/>
      <c r="AU38" s="119"/>
      <c r="AV38" s="119"/>
      <c r="AW38" s="119"/>
      <c r="AX38" s="119"/>
      <c r="AY38" s="119"/>
    </row>
    <row r="39">
      <c r="A39" s="76" t="s">
        <v>269</v>
      </c>
      <c r="B39" s="81" t="s">
        <v>590</v>
      </c>
      <c r="C39" s="81" t="s">
        <v>2394</v>
      </c>
      <c r="D39" s="222" t="s">
        <v>2424</v>
      </c>
      <c r="E39" s="28" t="s">
        <v>1437</v>
      </c>
      <c r="F39" s="119"/>
      <c r="G39" s="119"/>
      <c r="H39" s="119"/>
      <c r="I39" s="80"/>
      <c r="J39" s="80"/>
      <c r="K39" s="80"/>
      <c r="L39" s="80"/>
      <c r="O39" s="80"/>
      <c r="P39" s="119"/>
      <c r="Q39" s="119"/>
      <c r="R39" s="119"/>
      <c r="S39" s="119"/>
      <c r="T39" s="80"/>
      <c r="U39" s="80"/>
      <c r="V39" s="80"/>
      <c r="W39" s="80"/>
      <c r="AA39" s="119"/>
      <c r="AB39" s="119"/>
      <c r="AC39" s="80"/>
      <c r="AD39" s="80"/>
      <c r="AE39" s="80"/>
      <c r="AG39" s="119"/>
      <c r="AH39" s="119"/>
      <c r="AI39" s="119"/>
      <c r="AJ39" s="119"/>
      <c r="AK39" s="119"/>
      <c r="AL39" s="119"/>
      <c r="AM39" s="119"/>
      <c r="AN39" s="119"/>
      <c r="AO39" s="119"/>
      <c r="AP39" s="119"/>
      <c r="AQ39" s="119"/>
      <c r="AR39" s="119"/>
      <c r="AS39" s="119"/>
      <c r="AT39" s="119"/>
      <c r="AU39" s="119"/>
      <c r="AV39" s="119"/>
      <c r="AW39" s="119"/>
      <c r="AX39" s="119"/>
      <c r="AY39" s="119"/>
    </row>
    <row r="40">
      <c r="A40" s="76" t="s">
        <v>269</v>
      </c>
      <c r="B40" s="81" t="s">
        <v>593</v>
      </c>
      <c r="C40" s="81" t="s">
        <v>2388</v>
      </c>
      <c r="D40" s="222" t="s">
        <v>2415</v>
      </c>
      <c r="E40" s="42" t="s">
        <v>1437</v>
      </c>
      <c r="F40" s="119"/>
      <c r="G40" s="119"/>
      <c r="H40" s="119"/>
      <c r="I40" s="119"/>
      <c r="J40" s="119"/>
      <c r="K40" s="119"/>
      <c r="L40" s="119"/>
      <c r="M40" s="119"/>
      <c r="N40" s="119"/>
      <c r="O40" s="80"/>
      <c r="P40" s="119"/>
      <c r="Q40" s="119"/>
      <c r="R40" s="119"/>
      <c r="S40" s="119"/>
      <c r="T40" s="119"/>
      <c r="U40" s="80"/>
      <c r="Y40" s="119"/>
      <c r="Z40" s="119"/>
      <c r="AA40" s="119"/>
      <c r="AB40" s="119"/>
      <c r="AC40" s="119"/>
      <c r="AD40" s="119"/>
      <c r="AE40" s="80"/>
      <c r="AG40" s="119"/>
      <c r="AH40" s="119"/>
      <c r="AI40" s="119"/>
      <c r="AJ40" s="119"/>
      <c r="AK40" s="119"/>
      <c r="AL40" s="119"/>
      <c r="AM40" s="119"/>
      <c r="AN40" s="119"/>
      <c r="AO40" s="119"/>
      <c r="AP40" s="119"/>
      <c r="AQ40" s="119"/>
      <c r="AR40" s="119"/>
      <c r="AS40" s="119"/>
      <c r="AT40" s="119"/>
      <c r="AU40" s="119"/>
      <c r="AV40" s="119"/>
      <c r="AW40" s="119"/>
      <c r="AX40" s="119"/>
      <c r="AY40" s="119"/>
    </row>
    <row r="41">
      <c r="A41" s="76" t="s">
        <v>269</v>
      </c>
      <c r="B41" s="81" t="s">
        <v>596</v>
      </c>
      <c r="C41" s="81" t="s">
        <v>2394</v>
      </c>
      <c r="D41" s="222" t="s">
        <v>2424</v>
      </c>
      <c r="E41" s="28" t="s">
        <v>1437</v>
      </c>
      <c r="F41" s="119"/>
      <c r="G41" s="119"/>
      <c r="H41" s="119"/>
      <c r="I41" s="80"/>
      <c r="J41" s="80"/>
      <c r="K41" s="80"/>
      <c r="L41" s="119"/>
      <c r="M41" s="119"/>
      <c r="N41" s="119"/>
      <c r="O41" s="80"/>
      <c r="P41" s="119"/>
      <c r="Q41" s="119"/>
      <c r="R41" s="119"/>
      <c r="S41" s="119"/>
      <c r="T41" s="80"/>
      <c r="U41" s="80"/>
      <c r="X41" s="119"/>
      <c r="Y41" s="119"/>
      <c r="Z41" s="119"/>
      <c r="AA41" s="119"/>
      <c r="AB41" s="119"/>
      <c r="AC41" s="80"/>
      <c r="AD41" s="80"/>
      <c r="AG41" s="119"/>
      <c r="AH41" s="119"/>
      <c r="AI41" s="119"/>
      <c r="AJ41" s="119"/>
      <c r="AK41" s="119"/>
      <c r="AL41" s="119"/>
      <c r="AM41" s="119"/>
      <c r="AN41" s="119"/>
      <c r="AO41" s="119"/>
      <c r="AP41" s="119"/>
      <c r="AQ41" s="119"/>
      <c r="AR41" s="119"/>
      <c r="AS41" s="119"/>
      <c r="AT41" s="119"/>
      <c r="AU41" s="119"/>
      <c r="AV41" s="119"/>
      <c r="AW41" s="119"/>
      <c r="AX41" s="119"/>
      <c r="AY41" s="119"/>
    </row>
    <row r="42">
      <c r="A42" s="76" t="s">
        <v>269</v>
      </c>
      <c r="B42" s="81" t="s">
        <v>598</v>
      </c>
      <c r="C42" s="81" t="s">
        <v>2388</v>
      </c>
      <c r="D42" s="222" t="s">
        <v>2425</v>
      </c>
      <c r="E42" s="42" t="s">
        <v>1437</v>
      </c>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row>
    <row r="43">
      <c r="A43" s="76" t="s">
        <v>269</v>
      </c>
      <c r="B43" s="81" t="s">
        <v>602</v>
      </c>
      <c r="C43" s="81" t="s">
        <v>2389</v>
      </c>
      <c r="D43" s="88" t="s">
        <v>2413</v>
      </c>
      <c r="E43" s="28" t="s">
        <v>1437</v>
      </c>
      <c r="F43" s="119"/>
      <c r="G43" s="119"/>
      <c r="H43" s="119"/>
      <c r="I43" s="80"/>
      <c r="J43" s="80"/>
      <c r="K43" s="80"/>
      <c r="L43" s="80"/>
      <c r="M43" s="80"/>
      <c r="N43" s="119"/>
      <c r="O43" s="80"/>
      <c r="P43" s="119"/>
      <c r="Q43" s="119"/>
      <c r="R43" s="119"/>
      <c r="S43" s="119"/>
      <c r="T43" s="80"/>
      <c r="U43" s="80"/>
      <c r="V43" s="80"/>
      <c r="W43" s="80"/>
      <c r="X43" s="80"/>
      <c r="AA43" s="80"/>
      <c r="AC43" s="80"/>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row>
    <row r="44">
      <c r="A44" s="76" t="s">
        <v>269</v>
      </c>
      <c r="B44" s="81" t="s">
        <v>605</v>
      </c>
      <c r="C44" s="81" t="s">
        <v>2394</v>
      </c>
      <c r="D44" s="222" t="s">
        <v>2426</v>
      </c>
      <c r="E44" s="42" t="s">
        <v>1437</v>
      </c>
      <c r="F44" s="80"/>
      <c r="G44" s="80"/>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row>
    <row r="45">
      <c r="A45" s="76" t="s">
        <v>93</v>
      </c>
      <c r="B45" s="81" t="s">
        <v>108</v>
      </c>
      <c r="C45" s="81" t="s">
        <v>2388</v>
      </c>
      <c r="D45" s="222" t="s">
        <v>2427</v>
      </c>
      <c r="E45" s="28" t="s">
        <v>1437</v>
      </c>
      <c r="F45" s="119"/>
      <c r="G45" s="80"/>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row>
    <row r="46">
      <c r="A46" s="26" t="s">
        <v>93</v>
      </c>
      <c r="B46" s="39" t="s">
        <v>832</v>
      </c>
      <c r="C46" s="81" t="s">
        <v>2394</v>
      </c>
      <c r="D46" s="222" t="s">
        <v>612</v>
      </c>
      <c r="E46" s="28" t="s">
        <v>1437</v>
      </c>
      <c r="F46" s="119"/>
      <c r="G46" s="80"/>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row>
    <row r="47">
      <c r="A47" s="76" t="s">
        <v>93</v>
      </c>
      <c r="B47" s="81" t="s">
        <v>121</v>
      </c>
      <c r="C47" s="81" t="s">
        <v>2388</v>
      </c>
      <c r="D47" s="222" t="s">
        <v>2427</v>
      </c>
      <c r="E47" s="42" t="s">
        <v>1437</v>
      </c>
      <c r="F47" s="80"/>
      <c r="G47" s="80"/>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row>
    <row r="48">
      <c r="A48" s="76" t="s">
        <v>93</v>
      </c>
      <c r="B48" s="81" t="s">
        <v>145</v>
      </c>
      <c r="C48" s="81" t="s">
        <v>2388</v>
      </c>
      <c r="D48" s="222" t="s">
        <v>2428</v>
      </c>
      <c r="E48" s="28" t="s">
        <v>1437</v>
      </c>
      <c r="F48" s="119"/>
      <c r="G48" s="80"/>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row>
    <row r="49">
      <c r="A49" s="76" t="s">
        <v>93</v>
      </c>
      <c r="B49" s="81" t="s">
        <v>153</v>
      </c>
      <c r="C49" s="81" t="s">
        <v>2389</v>
      </c>
      <c r="D49" s="88" t="s">
        <v>2429</v>
      </c>
      <c r="E49" s="42" t="s">
        <v>1437</v>
      </c>
      <c r="F49" s="80"/>
      <c r="G49" s="80"/>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row>
    <row r="50">
      <c r="A50" s="76" t="s">
        <v>93</v>
      </c>
      <c r="B50" s="81" t="s">
        <v>165</v>
      </c>
      <c r="C50" s="81" t="s">
        <v>2388</v>
      </c>
      <c r="D50" s="88" t="s">
        <v>2430</v>
      </c>
      <c r="E50" s="28" t="s">
        <v>1437</v>
      </c>
      <c r="F50" s="119"/>
      <c r="G50" s="80"/>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row>
    <row r="51">
      <c r="A51" s="76" t="s">
        <v>93</v>
      </c>
      <c r="B51" s="81" t="s">
        <v>169</v>
      </c>
      <c r="C51" s="81" t="s">
        <v>2389</v>
      </c>
      <c r="D51" s="88" t="s">
        <v>2431</v>
      </c>
      <c r="E51" s="42" t="s">
        <v>1437</v>
      </c>
      <c r="F51" s="119"/>
      <c r="G51" s="80"/>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row>
    <row r="52">
      <c r="A52" s="76" t="s">
        <v>93</v>
      </c>
      <c r="B52" s="81" t="s">
        <v>717</v>
      </c>
      <c r="C52" s="81" t="s">
        <v>2388</v>
      </c>
      <c r="D52" s="88" t="s">
        <v>2432</v>
      </c>
      <c r="E52" s="28" t="s">
        <v>1437</v>
      </c>
      <c r="F52" s="80"/>
      <c r="G52" s="80"/>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row>
    <row r="53">
      <c r="A53" s="76" t="s">
        <v>93</v>
      </c>
      <c r="B53" s="225" t="s">
        <v>720</v>
      </c>
      <c r="C53" s="81" t="s">
        <v>2394</v>
      </c>
      <c r="D53" s="88" t="s">
        <v>2432</v>
      </c>
      <c r="E53" s="42" t="s">
        <v>1437</v>
      </c>
      <c r="F53" s="119"/>
      <c r="G53" s="226"/>
      <c r="H53" s="226"/>
      <c r="I53" s="119"/>
      <c r="J53" s="119"/>
      <c r="K53" s="119"/>
      <c r="L53" s="119"/>
      <c r="M53" s="119"/>
      <c r="N53" s="119"/>
      <c r="O53" s="226"/>
      <c r="P53" s="226"/>
      <c r="Q53" s="226"/>
      <c r="R53" s="119"/>
      <c r="S53" s="226"/>
      <c r="T53" s="226"/>
      <c r="U53" s="119"/>
      <c r="V53" s="119"/>
      <c r="W53" s="119"/>
      <c r="X53" s="119"/>
      <c r="Y53" s="119"/>
      <c r="Z53" s="119"/>
      <c r="AA53" s="119"/>
      <c r="AB53" s="119"/>
      <c r="AC53" s="119"/>
      <c r="AD53" s="119"/>
      <c r="AE53" s="119"/>
      <c r="AF53" s="119"/>
      <c r="AG53" s="122"/>
      <c r="AH53" s="122"/>
      <c r="AI53" s="122"/>
      <c r="AJ53" s="122"/>
      <c r="AK53" s="122"/>
      <c r="AL53" s="122"/>
      <c r="AM53" s="122"/>
      <c r="AN53" s="122"/>
      <c r="AO53" s="122"/>
      <c r="AP53" s="122"/>
      <c r="AQ53" s="122"/>
      <c r="AR53" s="122"/>
      <c r="AS53" s="122"/>
      <c r="AT53" s="122"/>
      <c r="AU53" s="122"/>
      <c r="AV53" s="122"/>
      <c r="AW53" s="122"/>
      <c r="AX53" s="122"/>
      <c r="AY53" s="122"/>
    </row>
    <row r="54">
      <c r="A54" s="76" t="s">
        <v>93</v>
      </c>
      <c r="B54" s="225" t="s">
        <v>824</v>
      </c>
      <c r="C54" s="81" t="s">
        <v>2388</v>
      </c>
      <c r="D54" s="88" t="s">
        <v>2432</v>
      </c>
      <c r="E54" s="28" t="s">
        <v>1437</v>
      </c>
      <c r="F54" s="119"/>
      <c r="G54" s="226"/>
      <c r="H54" s="226"/>
      <c r="I54" s="119"/>
      <c r="J54" s="226"/>
      <c r="K54" s="226"/>
      <c r="L54" s="119"/>
      <c r="M54" s="226"/>
      <c r="N54" s="119"/>
      <c r="O54" s="226"/>
      <c r="P54" s="226"/>
      <c r="Q54" s="226"/>
      <c r="R54" s="119"/>
      <c r="S54" s="226"/>
      <c r="T54" s="226"/>
      <c r="U54" s="119"/>
      <c r="V54" s="226"/>
      <c r="W54" s="119"/>
      <c r="X54" s="119"/>
      <c r="Y54" s="119"/>
      <c r="Z54" s="119"/>
      <c r="AA54" s="119"/>
      <c r="AB54" s="119"/>
      <c r="AC54" s="119"/>
      <c r="AD54" s="119"/>
      <c r="AE54" s="119"/>
      <c r="AF54" s="119"/>
      <c r="AG54" s="122"/>
      <c r="AH54" s="122"/>
      <c r="AI54" s="122"/>
      <c r="AJ54" s="122"/>
      <c r="AK54" s="122"/>
      <c r="AL54" s="122"/>
      <c r="AM54" s="122"/>
      <c r="AN54" s="122"/>
      <c r="AO54" s="122"/>
      <c r="AP54" s="122"/>
      <c r="AQ54" s="122"/>
      <c r="AR54" s="122"/>
      <c r="AS54" s="122"/>
      <c r="AT54" s="122"/>
      <c r="AU54" s="122"/>
      <c r="AV54" s="122"/>
      <c r="AW54" s="122"/>
      <c r="AX54" s="122"/>
      <c r="AY54" s="122"/>
    </row>
    <row r="55">
      <c r="A55" s="76" t="s">
        <v>93</v>
      </c>
      <c r="B55" s="225" t="s">
        <v>827</v>
      </c>
      <c r="C55" s="81" t="s">
        <v>2394</v>
      </c>
      <c r="D55" s="88" t="s">
        <v>2432</v>
      </c>
      <c r="E55" s="42" t="s">
        <v>1437</v>
      </c>
      <c r="F55" s="226"/>
      <c r="G55" s="226"/>
      <c r="H55" s="226"/>
      <c r="I55" s="119"/>
      <c r="J55" s="119"/>
      <c r="K55" s="119"/>
      <c r="L55" s="119"/>
      <c r="M55" s="119"/>
      <c r="N55" s="119"/>
      <c r="O55" s="226"/>
      <c r="P55" s="226"/>
      <c r="Q55" s="226"/>
      <c r="R55" s="119"/>
      <c r="S55" s="226"/>
      <c r="T55" s="119"/>
      <c r="U55" s="119"/>
      <c r="V55" s="119"/>
      <c r="W55" s="119"/>
      <c r="X55" s="119"/>
      <c r="Y55" s="119"/>
      <c r="Z55" s="119"/>
      <c r="AA55" s="119"/>
      <c r="AB55" s="119"/>
      <c r="AC55" s="119"/>
      <c r="AD55" s="119"/>
      <c r="AE55" s="119"/>
      <c r="AF55" s="119"/>
      <c r="AG55" s="122"/>
      <c r="AH55" s="122"/>
      <c r="AI55" s="122"/>
      <c r="AJ55" s="122"/>
      <c r="AK55" s="122"/>
      <c r="AL55" s="122"/>
      <c r="AM55" s="122"/>
      <c r="AN55" s="122"/>
      <c r="AO55" s="122"/>
      <c r="AP55" s="122"/>
      <c r="AQ55" s="122"/>
      <c r="AR55" s="122"/>
      <c r="AS55" s="122"/>
      <c r="AT55" s="122"/>
      <c r="AU55" s="122"/>
      <c r="AV55" s="122"/>
      <c r="AW55" s="122"/>
      <c r="AX55" s="122"/>
      <c r="AY55" s="122"/>
    </row>
    <row r="56">
      <c r="A56" s="76" t="s">
        <v>93</v>
      </c>
      <c r="B56" s="225" t="s">
        <v>922</v>
      </c>
      <c r="C56" s="81" t="s">
        <v>2388</v>
      </c>
      <c r="D56" s="88" t="s">
        <v>2433</v>
      </c>
      <c r="E56" s="28" t="s">
        <v>1437</v>
      </c>
      <c r="F56" s="119"/>
      <c r="G56" s="226"/>
      <c r="H56" s="226"/>
      <c r="I56" s="119"/>
      <c r="J56" s="119"/>
      <c r="K56" s="119"/>
      <c r="L56" s="119"/>
      <c r="M56" s="119"/>
      <c r="N56" s="119"/>
      <c r="O56" s="226"/>
      <c r="P56" s="226"/>
      <c r="Q56" s="119"/>
      <c r="R56" s="119"/>
      <c r="S56" s="226"/>
      <c r="T56" s="119"/>
      <c r="U56" s="119"/>
      <c r="V56" s="119"/>
      <c r="W56" s="119"/>
      <c r="X56" s="119"/>
      <c r="Y56" s="119"/>
      <c r="Z56" s="119"/>
      <c r="AA56" s="119"/>
      <c r="AB56" s="119"/>
      <c r="AC56" s="119"/>
      <c r="AD56" s="119"/>
      <c r="AE56" s="119"/>
      <c r="AF56" s="119"/>
      <c r="AG56" s="122"/>
      <c r="AH56" s="122"/>
      <c r="AI56" s="122"/>
      <c r="AJ56" s="122"/>
      <c r="AK56" s="122"/>
      <c r="AL56" s="122"/>
      <c r="AM56" s="122"/>
      <c r="AN56" s="122"/>
      <c r="AO56" s="122"/>
      <c r="AP56" s="122"/>
      <c r="AQ56" s="122"/>
      <c r="AR56" s="122"/>
      <c r="AS56" s="122"/>
      <c r="AT56" s="122"/>
      <c r="AU56" s="122"/>
      <c r="AV56" s="122"/>
      <c r="AW56" s="122"/>
      <c r="AX56" s="122"/>
      <c r="AY56" s="122"/>
    </row>
    <row r="57">
      <c r="A57" s="76" t="s">
        <v>93</v>
      </c>
      <c r="B57" s="225" t="s">
        <v>927</v>
      </c>
      <c r="C57" s="81" t="s">
        <v>2388</v>
      </c>
      <c r="D57" s="88" t="s">
        <v>2432</v>
      </c>
      <c r="E57" s="42" t="s">
        <v>1437</v>
      </c>
      <c r="F57" s="119"/>
      <c r="G57" s="226"/>
      <c r="H57" s="226"/>
      <c r="I57" s="119"/>
      <c r="J57" s="119"/>
      <c r="K57" s="119"/>
      <c r="L57" s="119"/>
      <c r="M57" s="119"/>
      <c r="N57" s="119"/>
      <c r="O57" s="226"/>
      <c r="P57" s="226"/>
      <c r="Q57" s="226"/>
      <c r="R57" s="119"/>
      <c r="S57" s="226"/>
      <c r="T57" s="119"/>
      <c r="U57" s="119"/>
      <c r="V57" s="119"/>
      <c r="W57" s="119"/>
      <c r="X57" s="119"/>
      <c r="Y57" s="226"/>
      <c r="Z57" s="119"/>
      <c r="AA57" s="226"/>
      <c r="AB57" s="119"/>
      <c r="AC57" s="119"/>
      <c r="AD57" s="119"/>
      <c r="AE57" s="119"/>
      <c r="AF57" s="119"/>
      <c r="AG57" s="122"/>
      <c r="AH57" s="122"/>
      <c r="AI57" s="122"/>
      <c r="AJ57" s="122"/>
      <c r="AK57" s="122"/>
      <c r="AL57" s="122"/>
      <c r="AM57" s="122"/>
      <c r="AN57" s="122"/>
      <c r="AO57" s="122"/>
      <c r="AP57" s="122"/>
      <c r="AQ57" s="122"/>
      <c r="AR57" s="122"/>
      <c r="AS57" s="122"/>
      <c r="AT57" s="122"/>
      <c r="AU57" s="122"/>
      <c r="AV57" s="122"/>
      <c r="AW57" s="122"/>
      <c r="AX57" s="122"/>
      <c r="AY57" s="122"/>
    </row>
    <row r="58">
      <c r="A58" s="76" t="s">
        <v>507</v>
      </c>
      <c r="B58" s="225" t="s">
        <v>528</v>
      </c>
      <c r="C58" s="81" t="s">
        <v>2388</v>
      </c>
      <c r="D58" s="88" t="s">
        <v>2434</v>
      </c>
      <c r="E58" s="28" t="s">
        <v>1437</v>
      </c>
      <c r="F58" s="226"/>
      <c r="G58" s="226"/>
      <c r="H58" s="226"/>
      <c r="I58" s="119"/>
      <c r="J58" s="119"/>
      <c r="K58" s="119"/>
      <c r="L58" s="119"/>
      <c r="M58" s="119"/>
      <c r="N58" s="119"/>
      <c r="O58" s="226"/>
      <c r="P58" s="226"/>
      <c r="Q58" s="119"/>
      <c r="R58" s="119"/>
      <c r="S58" s="226"/>
      <c r="T58" s="119"/>
      <c r="U58" s="119"/>
      <c r="V58" s="119"/>
      <c r="W58" s="119"/>
      <c r="X58" s="119"/>
      <c r="Y58" s="119"/>
      <c r="Z58" s="119"/>
      <c r="AA58" s="119"/>
      <c r="AB58" s="119"/>
      <c r="AC58" s="119"/>
      <c r="AD58" s="119"/>
      <c r="AE58" s="119"/>
      <c r="AF58" s="119"/>
      <c r="AG58" s="122"/>
      <c r="AH58" s="122"/>
      <c r="AI58" s="122"/>
      <c r="AJ58" s="122"/>
      <c r="AK58" s="122"/>
      <c r="AL58" s="122"/>
      <c r="AM58" s="122"/>
      <c r="AN58" s="122"/>
      <c r="AO58" s="122"/>
      <c r="AP58" s="122"/>
      <c r="AQ58" s="122"/>
      <c r="AR58" s="122"/>
      <c r="AS58" s="122"/>
      <c r="AT58" s="122"/>
      <c r="AU58" s="122"/>
      <c r="AV58" s="122"/>
      <c r="AW58" s="122"/>
      <c r="AX58" s="122"/>
      <c r="AY58" s="122"/>
    </row>
    <row r="59">
      <c r="A59" s="76" t="s">
        <v>507</v>
      </c>
      <c r="B59" s="225" t="s">
        <v>543</v>
      </c>
      <c r="C59" s="81" t="s">
        <v>2388</v>
      </c>
      <c r="D59" s="227" t="s">
        <v>2435</v>
      </c>
      <c r="E59" s="42" t="s">
        <v>1437</v>
      </c>
      <c r="F59" s="226"/>
      <c r="G59" s="226"/>
      <c r="H59" s="226"/>
      <c r="I59" s="119"/>
      <c r="J59" s="119"/>
      <c r="K59" s="119"/>
      <c r="L59" s="119"/>
      <c r="M59" s="119"/>
      <c r="N59" s="119"/>
      <c r="O59" s="226"/>
      <c r="P59" s="226"/>
      <c r="Q59" s="226"/>
      <c r="R59" s="119"/>
      <c r="S59" s="226"/>
      <c r="T59" s="119"/>
      <c r="U59" s="119"/>
      <c r="V59" s="119"/>
      <c r="W59" s="119"/>
      <c r="X59" s="119"/>
      <c r="Y59" s="226"/>
      <c r="Z59" s="119"/>
      <c r="AA59" s="119"/>
      <c r="AB59" s="119"/>
      <c r="AC59" s="119"/>
      <c r="AD59" s="119"/>
      <c r="AE59" s="119"/>
      <c r="AF59" s="119"/>
      <c r="AG59" s="122"/>
      <c r="AH59" s="122"/>
      <c r="AI59" s="122"/>
      <c r="AJ59" s="122"/>
      <c r="AK59" s="122"/>
      <c r="AL59" s="122"/>
      <c r="AM59" s="122"/>
      <c r="AN59" s="122"/>
      <c r="AO59" s="122"/>
      <c r="AP59" s="122"/>
      <c r="AQ59" s="122"/>
      <c r="AR59" s="122"/>
      <c r="AS59" s="122"/>
      <c r="AT59" s="122"/>
      <c r="AU59" s="122"/>
      <c r="AV59" s="122"/>
      <c r="AW59" s="122"/>
      <c r="AX59" s="122"/>
      <c r="AY59" s="122"/>
    </row>
    <row r="60">
      <c r="A60" s="76" t="s">
        <v>507</v>
      </c>
      <c r="B60" s="225" t="s">
        <v>547</v>
      </c>
      <c r="C60" s="81" t="s">
        <v>2389</v>
      </c>
      <c r="D60" s="227" t="s">
        <v>2436</v>
      </c>
      <c r="E60" s="28" t="s">
        <v>1437</v>
      </c>
      <c r="F60" s="226"/>
      <c r="G60" s="226"/>
      <c r="H60" s="226"/>
      <c r="I60" s="119"/>
      <c r="J60" s="119"/>
      <c r="K60" s="119"/>
      <c r="L60" s="119"/>
      <c r="M60" s="119"/>
      <c r="N60" s="119"/>
      <c r="O60" s="226"/>
      <c r="P60" s="226"/>
      <c r="Q60" s="226"/>
      <c r="R60" s="119"/>
      <c r="S60" s="226"/>
      <c r="T60" s="119"/>
      <c r="U60" s="119"/>
      <c r="V60" s="119"/>
      <c r="W60" s="119"/>
      <c r="X60" s="119"/>
      <c r="Y60" s="226"/>
      <c r="Z60" s="119"/>
      <c r="AA60" s="119"/>
      <c r="AB60" s="119"/>
      <c r="AC60" s="119"/>
      <c r="AD60" s="119"/>
      <c r="AE60" s="119"/>
      <c r="AF60" s="119"/>
      <c r="AG60" s="122"/>
      <c r="AH60" s="122"/>
      <c r="AI60" s="122"/>
      <c r="AJ60" s="122"/>
      <c r="AK60" s="122"/>
      <c r="AL60" s="122"/>
      <c r="AM60" s="122"/>
      <c r="AN60" s="122"/>
      <c r="AO60" s="122"/>
      <c r="AP60" s="122"/>
      <c r="AQ60" s="122"/>
      <c r="AR60" s="122"/>
      <c r="AS60" s="122"/>
      <c r="AT60" s="122"/>
      <c r="AU60" s="122"/>
      <c r="AV60" s="122"/>
      <c r="AW60" s="122"/>
      <c r="AX60" s="122"/>
      <c r="AY60" s="122"/>
    </row>
    <row r="61">
      <c r="A61" s="76" t="s">
        <v>507</v>
      </c>
      <c r="B61" s="37" t="s">
        <v>547</v>
      </c>
      <c r="C61" s="81" t="s">
        <v>2394</v>
      </c>
      <c r="D61" s="81" t="s">
        <v>612</v>
      </c>
      <c r="E61" s="28" t="s">
        <v>1437</v>
      </c>
      <c r="F61" s="226"/>
      <c r="G61" s="226"/>
      <c r="H61" s="226"/>
      <c r="I61" s="119"/>
      <c r="J61" s="119"/>
      <c r="K61" s="119"/>
      <c r="L61" s="119"/>
      <c r="M61" s="119"/>
      <c r="N61" s="119"/>
      <c r="O61" s="226"/>
      <c r="P61" s="226"/>
      <c r="Q61" s="226"/>
      <c r="R61" s="119"/>
      <c r="S61" s="226"/>
      <c r="T61" s="119"/>
      <c r="U61" s="119"/>
      <c r="V61" s="119"/>
      <c r="W61" s="119"/>
      <c r="X61" s="119"/>
      <c r="Y61" s="226"/>
      <c r="Z61" s="119"/>
      <c r="AA61" s="119"/>
      <c r="AB61" s="119"/>
      <c r="AC61" s="119"/>
      <c r="AD61" s="119"/>
      <c r="AE61" s="119"/>
      <c r="AF61" s="119"/>
      <c r="AG61" s="122"/>
      <c r="AH61" s="122"/>
      <c r="AI61" s="122"/>
      <c r="AJ61" s="122"/>
      <c r="AK61" s="122"/>
      <c r="AL61" s="122"/>
      <c r="AM61" s="122"/>
      <c r="AN61" s="122"/>
      <c r="AO61" s="122"/>
      <c r="AP61" s="122"/>
      <c r="AQ61" s="122"/>
      <c r="AR61" s="122"/>
      <c r="AS61" s="122"/>
      <c r="AT61" s="122"/>
      <c r="AU61" s="122"/>
      <c r="AV61" s="122"/>
      <c r="AW61" s="122"/>
      <c r="AX61" s="122"/>
      <c r="AY61" s="122"/>
    </row>
    <row r="62">
      <c r="A62" s="76" t="s">
        <v>507</v>
      </c>
      <c r="B62" s="225" t="s">
        <v>554</v>
      </c>
      <c r="C62" s="81" t="s">
        <v>2388</v>
      </c>
      <c r="D62" s="227" t="s">
        <v>2437</v>
      </c>
      <c r="E62" s="42" t="s">
        <v>1437</v>
      </c>
      <c r="F62" s="226"/>
      <c r="G62" s="226"/>
      <c r="H62" s="226"/>
      <c r="I62" s="119"/>
      <c r="J62" s="119"/>
      <c r="K62" s="119"/>
      <c r="L62" s="119"/>
      <c r="M62" s="119"/>
      <c r="N62" s="119"/>
      <c r="O62" s="226"/>
      <c r="P62" s="226"/>
      <c r="Q62" s="226"/>
      <c r="R62" s="119"/>
      <c r="S62" s="226"/>
      <c r="T62" s="119"/>
      <c r="U62" s="119"/>
      <c r="V62" s="119"/>
      <c r="W62" s="119"/>
      <c r="X62" s="119"/>
      <c r="Y62" s="226"/>
      <c r="Z62" s="119"/>
      <c r="AA62" s="226"/>
      <c r="AB62" s="119"/>
      <c r="AC62" s="119"/>
      <c r="AD62" s="119"/>
      <c r="AE62" s="119"/>
      <c r="AF62" s="119"/>
      <c r="AG62" s="122"/>
      <c r="AH62" s="122"/>
      <c r="AI62" s="122"/>
      <c r="AJ62" s="122"/>
      <c r="AK62" s="122"/>
      <c r="AL62" s="122"/>
      <c r="AM62" s="122"/>
      <c r="AN62" s="122"/>
      <c r="AO62" s="122"/>
      <c r="AP62" s="122"/>
      <c r="AQ62" s="122"/>
      <c r="AR62" s="122"/>
      <c r="AS62" s="122"/>
      <c r="AT62" s="122"/>
      <c r="AU62" s="122"/>
      <c r="AV62" s="122"/>
      <c r="AW62" s="122"/>
      <c r="AX62" s="122"/>
      <c r="AY62" s="122"/>
    </row>
    <row r="63">
      <c r="A63" s="76" t="s">
        <v>507</v>
      </c>
      <c r="B63" s="225" t="s">
        <v>697</v>
      </c>
      <c r="C63" s="81" t="s">
        <v>2388</v>
      </c>
      <c r="D63" s="227" t="s">
        <v>2438</v>
      </c>
      <c r="E63" s="28" t="s">
        <v>1437</v>
      </c>
      <c r="F63" s="226"/>
      <c r="G63" s="226"/>
      <c r="H63" s="226"/>
      <c r="I63" s="119"/>
      <c r="J63" s="119"/>
      <c r="K63" s="119"/>
      <c r="L63" s="119"/>
      <c r="M63" s="119"/>
      <c r="N63" s="119"/>
      <c r="O63" s="226"/>
      <c r="P63" s="226"/>
      <c r="Q63" s="226"/>
      <c r="R63" s="119"/>
      <c r="S63" s="226"/>
      <c r="T63" s="119"/>
      <c r="U63" s="119"/>
      <c r="V63" s="119"/>
      <c r="W63" s="119"/>
      <c r="X63" s="119"/>
      <c r="Y63" s="226"/>
      <c r="Z63" s="119"/>
      <c r="AA63" s="226"/>
      <c r="AB63" s="119"/>
      <c r="AC63" s="119"/>
      <c r="AD63" s="119"/>
      <c r="AE63" s="119"/>
      <c r="AF63" s="119"/>
      <c r="AG63" s="122"/>
      <c r="AH63" s="122"/>
      <c r="AI63" s="122"/>
      <c r="AJ63" s="122"/>
      <c r="AK63" s="122"/>
      <c r="AL63" s="122"/>
      <c r="AM63" s="122"/>
      <c r="AN63" s="122"/>
      <c r="AO63" s="122"/>
      <c r="AP63" s="122"/>
      <c r="AQ63" s="122"/>
      <c r="AR63" s="122"/>
      <c r="AS63" s="122"/>
      <c r="AT63" s="122"/>
      <c r="AU63" s="122"/>
      <c r="AV63" s="122"/>
      <c r="AW63" s="122"/>
      <c r="AX63" s="122"/>
      <c r="AY63" s="122"/>
    </row>
    <row r="64">
      <c r="A64" s="76" t="s">
        <v>507</v>
      </c>
      <c r="B64" s="225" t="s">
        <v>916</v>
      </c>
      <c r="C64" s="81" t="s">
        <v>2388</v>
      </c>
      <c r="D64" s="227" t="s">
        <v>2439</v>
      </c>
      <c r="E64" s="42" t="s">
        <v>1437</v>
      </c>
      <c r="F64" s="119"/>
      <c r="G64" s="226"/>
      <c r="H64" s="226"/>
      <c r="I64" s="119"/>
      <c r="J64" s="119"/>
      <c r="K64" s="119"/>
      <c r="L64" s="119"/>
      <c r="M64" s="226"/>
      <c r="N64" s="119"/>
      <c r="O64" s="226"/>
      <c r="P64" s="226"/>
      <c r="Q64" s="226"/>
      <c r="R64" s="119"/>
      <c r="S64" s="226"/>
      <c r="T64" s="119"/>
      <c r="U64" s="119"/>
      <c r="V64" s="119"/>
      <c r="W64" s="119"/>
      <c r="X64" s="119"/>
      <c r="Y64" s="226"/>
      <c r="Z64" s="119"/>
      <c r="AA64" s="226"/>
      <c r="AB64" s="119"/>
      <c r="AC64" s="119"/>
      <c r="AD64" s="119"/>
      <c r="AE64" s="119"/>
      <c r="AF64" s="119"/>
      <c r="AG64" s="122"/>
      <c r="AH64" s="122"/>
      <c r="AI64" s="122"/>
      <c r="AJ64" s="122"/>
      <c r="AK64" s="122"/>
      <c r="AL64" s="122"/>
      <c r="AM64" s="122"/>
      <c r="AN64" s="122"/>
      <c r="AO64" s="122"/>
      <c r="AP64" s="122"/>
      <c r="AQ64" s="122"/>
      <c r="AR64" s="122"/>
      <c r="AS64" s="122"/>
      <c r="AT64" s="122"/>
      <c r="AU64" s="122"/>
      <c r="AV64" s="122"/>
      <c r="AW64" s="122"/>
      <c r="AX64" s="122"/>
      <c r="AY64" s="122"/>
    </row>
    <row r="65">
      <c r="A65" s="76" t="s">
        <v>507</v>
      </c>
      <c r="B65" s="81" t="s">
        <v>570</v>
      </c>
      <c r="C65" s="81" t="s">
        <v>2388</v>
      </c>
      <c r="D65" s="228" t="s">
        <v>2440</v>
      </c>
      <c r="E65" s="28" t="s">
        <v>1437</v>
      </c>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22"/>
      <c r="AH65" s="122"/>
      <c r="AI65" s="122"/>
      <c r="AJ65" s="122"/>
      <c r="AK65" s="122"/>
      <c r="AL65" s="122"/>
      <c r="AM65" s="122"/>
      <c r="AN65" s="122"/>
      <c r="AO65" s="122"/>
      <c r="AP65" s="122"/>
      <c r="AQ65" s="122"/>
      <c r="AR65" s="122"/>
      <c r="AS65" s="122"/>
      <c r="AT65" s="122"/>
      <c r="AU65" s="122"/>
      <c r="AV65" s="122"/>
      <c r="AW65" s="122"/>
      <c r="AX65" s="122"/>
      <c r="AY65" s="122"/>
    </row>
    <row r="66">
      <c r="A66" s="76" t="s">
        <v>507</v>
      </c>
      <c r="B66" s="225" t="s">
        <v>884</v>
      </c>
      <c r="C66" s="81" t="s">
        <v>2388</v>
      </c>
      <c r="D66" s="227" t="s">
        <v>2441</v>
      </c>
      <c r="E66" s="42" t="s">
        <v>1437</v>
      </c>
      <c r="F66" s="226"/>
      <c r="G66" s="226"/>
      <c r="H66" s="226"/>
      <c r="I66" s="226"/>
      <c r="J66" s="119"/>
      <c r="K66" s="226"/>
      <c r="L66" s="119"/>
      <c r="M66" s="226"/>
      <c r="N66" s="119"/>
      <c r="O66" s="226"/>
      <c r="P66" s="226"/>
      <c r="Q66" s="226"/>
      <c r="R66" s="119"/>
      <c r="S66" s="226"/>
      <c r="T66" s="119"/>
      <c r="U66" s="119"/>
      <c r="V66" s="119"/>
      <c r="W66" s="119"/>
      <c r="X66" s="119"/>
      <c r="Y66" s="226"/>
      <c r="Z66" s="119"/>
      <c r="AA66" s="226"/>
      <c r="AB66" s="119"/>
      <c r="AC66" s="119"/>
      <c r="AD66" s="119"/>
      <c r="AE66" s="119"/>
      <c r="AF66" s="119"/>
      <c r="AG66" s="122"/>
      <c r="AH66" s="122"/>
      <c r="AI66" s="122"/>
      <c r="AJ66" s="122"/>
      <c r="AK66" s="122"/>
      <c r="AL66" s="122"/>
      <c r="AM66" s="122"/>
      <c r="AN66" s="122"/>
      <c r="AO66" s="122"/>
      <c r="AP66" s="122"/>
      <c r="AQ66" s="122"/>
      <c r="AR66" s="122"/>
      <c r="AS66" s="122"/>
      <c r="AT66" s="122"/>
      <c r="AU66" s="122"/>
      <c r="AV66" s="122"/>
      <c r="AW66" s="122"/>
      <c r="AX66" s="122"/>
      <c r="AY66" s="122"/>
    </row>
    <row r="67">
      <c r="A67" s="76" t="s">
        <v>261</v>
      </c>
      <c r="B67" s="81" t="s">
        <v>811</v>
      </c>
      <c r="C67" s="81" t="s">
        <v>2389</v>
      </c>
      <c r="D67" s="81" t="s">
        <v>2442</v>
      </c>
      <c r="E67" s="28" t="s">
        <v>1437</v>
      </c>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22"/>
      <c r="AG67" s="122"/>
      <c r="AH67" s="122"/>
      <c r="AI67" s="122"/>
      <c r="AJ67" s="122"/>
      <c r="AK67" s="122"/>
      <c r="AL67" s="122"/>
      <c r="AM67" s="122"/>
      <c r="AN67" s="122"/>
      <c r="AO67" s="122"/>
      <c r="AP67" s="122"/>
      <c r="AQ67" s="122"/>
      <c r="AR67" s="122"/>
      <c r="AS67" s="122"/>
      <c r="AT67" s="122"/>
      <c r="AU67" s="122"/>
      <c r="AV67" s="122"/>
      <c r="AW67" s="122"/>
      <c r="AX67" s="122"/>
      <c r="AY67" s="122"/>
    </row>
    <row r="68">
      <c r="A68" s="76" t="s">
        <v>261</v>
      </c>
      <c r="B68" s="81" t="s">
        <v>838</v>
      </c>
      <c r="C68" s="81" t="s">
        <v>2389</v>
      </c>
      <c r="D68" s="81" t="s">
        <v>2442</v>
      </c>
      <c r="E68" s="42" t="s">
        <v>1437</v>
      </c>
      <c r="F68" s="119"/>
      <c r="G68" s="119"/>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c r="AE68" s="119"/>
      <c r="AF68" s="122"/>
      <c r="AG68" s="122"/>
      <c r="AH68" s="122"/>
      <c r="AI68" s="122"/>
      <c r="AJ68" s="122"/>
      <c r="AK68" s="122"/>
      <c r="AL68" s="122"/>
      <c r="AM68" s="122"/>
      <c r="AN68" s="122"/>
      <c r="AO68" s="122"/>
      <c r="AP68" s="122"/>
      <c r="AQ68" s="122"/>
      <c r="AR68" s="122"/>
      <c r="AS68" s="122"/>
      <c r="AT68" s="122"/>
      <c r="AU68" s="122"/>
      <c r="AV68" s="122"/>
      <c r="AW68" s="122"/>
      <c r="AX68" s="122"/>
      <c r="AY68" s="122"/>
    </row>
    <row r="69">
      <c r="A69" s="76" t="s">
        <v>269</v>
      </c>
      <c r="B69" s="81" t="s">
        <v>2443</v>
      </c>
      <c r="C69" s="81" t="s">
        <v>2388</v>
      </c>
      <c r="D69" s="81" t="s">
        <v>2444</v>
      </c>
      <c r="E69" s="28" t="s">
        <v>1198</v>
      </c>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22"/>
      <c r="AG69" s="122"/>
      <c r="AH69" s="122"/>
      <c r="AI69" s="122"/>
      <c r="AJ69" s="122"/>
      <c r="AK69" s="122"/>
      <c r="AL69" s="122"/>
      <c r="AM69" s="122"/>
      <c r="AN69" s="122"/>
      <c r="AO69" s="122"/>
      <c r="AP69" s="122"/>
      <c r="AQ69" s="122"/>
      <c r="AR69" s="122"/>
      <c r="AS69" s="122"/>
      <c r="AT69" s="122"/>
      <c r="AU69" s="122"/>
      <c r="AV69" s="122"/>
      <c r="AW69" s="122"/>
      <c r="AX69" s="122"/>
      <c r="AY69" s="122"/>
    </row>
    <row r="70">
      <c r="A70" s="76" t="s">
        <v>269</v>
      </c>
      <c r="B70" s="81" t="s">
        <v>2445</v>
      </c>
      <c r="C70" s="81" t="s">
        <v>2388</v>
      </c>
      <c r="D70" s="81" t="s">
        <v>2444</v>
      </c>
      <c r="E70" s="28" t="s">
        <v>1198</v>
      </c>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c r="AE70" s="119"/>
      <c r="AF70" s="122"/>
      <c r="AG70" s="122"/>
      <c r="AH70" s="122"/>
      <c r="AI70" s="122"/>
      <c r="AJ70" s="122"/>
      <c r="AK70" s="122"/>
      <c r="AL70" s="122"/>
      <c r="AM70" s="122"/>
      <c r="AN70" s="122"/>
      <c r="AO70" s="122"/>
      <c r="AP70" s="122"/>
      <c r="AQ70" s="122"/>
      <c r="AR70" s="122"/>
      <c r="AS70" s="122"/>
      <c r="AT70" s="122"/>
      <c r="AU70" s="122"/>
      <c r="AV70" s="122"/>
      <c r="AW70" s="122"/>
      <c r="AX70" s="122"/>
      <c r="AY70" s="122"/>
    </row>
    <row r="71">
      <c r="A71" s="76" t="s">
        <v>269</v>
      </c>
      <c r="B71" s="81" t="s">
        <v>2446</v>
      </c>
      <c r="C71" s="81" t="s">
        <v>2388</v>
      </c>
      <c r="D71" s="81" t="s">
        <v>2444</v>
      </c>
      <c r="E71" s="28" t="s">
        <v>1198</v>
      </c>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22"/>
      <c r="AG71" s="122"/>
      <c r="AH71" s="122"/>
      <c r="AI71" s="122"/>
      <c r="AJ71" s="122"/>
      <c r="AK71" s="122"/>
      <c r="AL71" s="122"/>
      <c r="AM71" s="122"/>
      <c r="AN71" s="122"/>
      <c r="AO71" s="122"/>
      <c r="AP71" s="122"/>
      <c r="AQ71" s="122"/>
      <c r="AR71" s="122"/>
      <c r="AS71" s="122"/>
      <c r="AT71" s="122"/>
      <c r="AU71" s="122"/>
      <c r="AV71" s="122"/>
      <c r="AW71" s="122"/>
      <c r="AX71" s="122"/>
      <c r="AY71" s="122"/>
    </row>
    <row r="72">
      <c r="A72" s="76" t="s">
        <v>269</v>
      </c>
      <c r="B72" s="81" t="s">
        <v>2447</v>
      </c>
      <c r="C72" s="81" t="s">
        <v>2388</v>
      </c>
      <c r="D72" s="81" t="s">
        <v>2444</v>
      </c>
      <c r="E72" s="28" t="s">
        <v>1198</v>
      </c>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c r="AE72" s="119"/>
      <c r="AF72" s="122"/>
      <c r="AG72" s="122"/>
      <c r="AH72" s="122"/>
      <c r="AI72" s="122"/>
      <c r="AJ72" s="122"/>
      <c r="AK72" s="122"/>
      <c r="AL72" s="122"/>
      <c r="AM72" s="122"/>
      <c r="AN72" s="122"/>
      <c r="AO72" s="122"/>
      <c r="AP72" s="122"/>
      <c r="AQ72" s="122"/>
      <c r="AR72" s="122"/>
      <c r="AS72" s="122"/>
      <c r="AT72" s="122"/>
      <c r="AU72" s="122"/>
      <c r="AV72" s="122"/>
      <c r="AW72" s="122"/>
      <c r="AX72" s="122"/>
      <c r="AY72" s="122"/>
    </row>
    <row r="73">
      <c r="A73" s="76" t="s">
        <v>269</v>
      </c>
      <c r="B73" s="81" t="s">
        <v>2448</v>
      </c>
      <c r="C73" s="81" t="s">
        <v>2388</v>
      </c>
      <c r="D73" s="81" t="s">
        <v>2444</v>
      </c>
      <c r="E73" s="28" t="s">
        <v>1198</v>
      </c>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22"/>
      <c r="AG73" s="122"/>
      <c r="AH73" s="122"/>
      <c r="AI73" s="122"/>
      <c r="AJ73" s="122"/>
      <c r="AK73" s="122"/>
      <c r="AL73" s="122"/>
      <c r="AM73" s="122"/>
      <c r="AN73" s="122"/>
      <c r="AO73" s="122"/>
      <c r="AP73" s="122"/>
      <c r="AQ73" s="122"/>
      <c r="AR73" s="122"/>
      <c r="AS73" s="122"/>
      <c r="AT73" s="122"/>
      <c r="AU73" s="122"/>
      <c r="AV73" s="122"/>
      <c r="AW73" s="122"/>
      <c r="AX73" s="122"/>
      <c r="AY73" s="122"/>
    </row>
    <row r="74">
      <c r="A74" s="76" t="s">
        <v>269</v>
      </c>
      <c r="B74" s="81" t="s">
        <v>2449</v>
      </c>
      <c r="C74" s="81" t="s">
        <v>2388</v>
      </c>
      <c r="D74" s="81" t="s">
        <v>2444</v>
      </c>
      <c r="E74" s="28" t="s">
        <v>1198</v>
      </c>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22"/>
      <c r="AG74" s="122"/>
      <c r="AH74" s="122"/>
      <c r="AI74" s="122"/>
      <c r="AJ74" s="122"/>
      <c r="AK74" s="122"/>
      <c r="AL74" s="122"/>
      <c r="AM74" s="122"/>
      <c r="AN74" s="122"/>
      <c r="AO74" s="122"/>
      <c r="AP74" s="122"/>
      <c r="AQ74" s="122"/>
      <c r="AR74" s="122"/>
      <c r="AS74" s="122"/>
      <c r="AT74" s="122"/>
      <c r="AU74" s="122"/>
      <c r="AV74" s="122"/>
      <c r="AW74" s="122"/>
      <c r="AX74" s="122"/>
      <c r="AY74" s="122"/>
    </row>
    <row r="75">
      <c r="A75" s="76" t="s">
        <v>269</v>
      </c>
      <c r="B75" s="81" t="s">
        <v>2450</v>
      </c>
      <c r="C75" s="81" t="s">
        <v>2388</v>
      </c>
      <c r="D75" s="81" t="s">
        <v>2444</v>
      </c>
      <c r="E75" s="28" t="s">
        <v>1198</v>
      </c>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c r="AS75" s="119"/>
      <c r="AT75" s="119"/>
      <c r="AU75" s="119"/>
      <c r="AV75" s="119"/>
      <c r="AW75" s="119"/>
      <c r="AX75" s="119"/>
      <c r="AY75" s="119"/>
    </row>
    <row r="76">
      <c r="A76" s="76" t="s">
        <v>269</v>
      </c>
      <c r="B76" s="81" t="s">
        <v>2451</v>
      </c>
      <c r="C76" s="81" t="s">
        <v>2388</v>
      </c>
      <c r="D76" s="81" t="s">
        <v>2444</v>
      </c>
      <c r="E76" s="28" t="s">
        <v>1198</v>
      </c>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row>
    <row r="77">
      <c r="A77" s="76" t="s">
        <v>269</v>
      </c>
      <c r="B77" s="229" t="s">
        <v>2452</v>
      </c>
      <c r="C77" s="81" t="s">
        <v>2388</v>
      </c>
      <c r="D77" s="81" t="s">
        <v>2444</v>
      </c>
      <c r="E77" s="28" t="s">
        <v>1198</v>
      </c>
      <c r="F77" s="119"/>
      <c r="G77" s="119"/>
      <c r="H77" s="119"/>
      <c r="I77" s="119"/>
      <c r="J77" s="119"/>
      <c r="K77" s="119"/>
      <c r="L77" s="119"/>
      <c r="M77" s="119"/>
      <c r="N77" s="119"/>
      <c r="O77" s="119"/>
      <c r="P77" s="226"/>
      <c r="Q77" s="226"/>
      <c r="R77" s="226"/>
      <c r="S77" s="119"/>
      <c r="T77" s="230"/>
      <c r="U77" s="119"/>
      <c r="V77" s="119"/>
      <c r="W77" s="119"/>
      <c r="X77" s="119"/>
      <c r="Y77" s="119"/>
      <c r="Z77" s="119"/>
      <c r="AA77" s="119"/>
      <c r="AB77" s="119"/>
      <c r="AC77" s="119"/>
      <c r="AD77" s="119"/>
      <c r="AE77" s="119"/>
      <c r="AF77" s="119"/>
      <c r="AG77" s="122"/>
      <c r="AH77" s="122"/>
      <c r="AI77" s="122"/>
      <c r="AJ77" s="122"/>
      <c r="AK77" s="122"/>
      <c r="AL77" s="122"/>
      <c r="AM77" s="122"/>
      <c r="AN77" s="122"/>
      <c r="AO77" s="122"/>
      <c r="AP77" s="122"/>
      <c r="AQ77" s="122"/>
      <c r="AR77" s="122"/>
      <c r="AS77" s="122"/>
      <c r="AT77" s="122"/>
      <c r="AU77" s="122"/>
      <c r="AV77" s="122"/>
      <c r="AW77" s="122"/>
      <c r="AX77" s="122"/>
      <c r="AY77" s="122"/>
    </row>
    <row r="78">
      <c r="A78" s="76" t="s">
        <v>269</v>
      </c>
      <c r="B78" s="229" t="s">
        <v>2453</v>
      </c>
      <c r="C78" s="81" t="s">
        <v>2388</v>
      </c>
      <c r="D78" s="81" t="s">
        <v>2444</v>
      </c>
      <c r="E78" s="28" t="s">
        <v>1198</v>
      </c>
      <c r="F78" s="119"/>
      <c r="G78" s="119"/>
      <c r="H78" s="119"/>
      <c r="I78" s="226"/>
      <c r="J78" s="226"/>
      <c r="K78" s="226"/>
      <c r="L78" s="226"/>
      <c r="M78" s="226"/>
      <c r="N78" s="226"/>
      <c r="O78" s="119"/>
      <c r="P78" s="226"/>
      <c r="Q78" s="119"/>
      <c r="R78" s="226"/>
      <c r="S78" s="226"/>
      <c r="T78" s="230"/>
      <c r="U78" s="119"/>
      <c r="V78" s="119"/>
      <c r="W78" s="119"/>
      <c r="X78" s="119"/>
      <c r="Y78" s="119"/>
      <c r="Z78" s="119"/>
      <c r="AA78" s="119"/>
      <c r="AB78" s="119"/>
      <c r="AC78" s="119"/>
      <c r="AD78" s="119"/>
      <c r="AE78" s="119"/>
      <c r="AF78" s="119"/>
      <c r="AG78" s="122"/>
      <c r="AH78" s="122"/>
      <c r="AI78" s="122"/>
      <c r="AJ78" s="122"/>
      <c r="AK78" s="122"/>
      <c r="AL78" s="122"/>
      <c r="AM78" s="122"/>
      <c r="AN78" s="122"/>
      <c r="AO78" s="122"/>
      <c r="AP78" s="122"/>
      <c r="AQ78" s="122"/>
      <c r="AR78" s="122"/>
      <c r="AS78" s="122"/>
      <c r="AT78" s="122"/>
      <c r="AU78" s="122"/>
      <c r="AV78" s="122"/>
      <c r="AW78" s="122"/>
      <c r="AX78" s="122"/>
      <c r="AY78" s="122"/>
    </row>
    <row r="79">
      <c r="A79" s="76" t="s">
        <v>93</v>
      </c>
      <c r="B79" s="229" t="s">
        <v>2454</v>
      </c>
      <c r="C79" s="81" t="s">
        <v>2388</v>
      </c>
      <c r="D79" s="81" t="s">
        <v>2444</v>
      </c>
      <c r="E79" s="28" t="s">
        <v>1198</v>
      </c>
      <c r="F79" s="119"/>
      <c r="G79" s="119"/>
      <c r="H79" s="119"/>
      <c r="I79" s="119"/>
      <c r="J79" s="119"/>
      <c r="K79" s="119"/>
      <c r="L79" s="119"/>
      <c r="M79" s="119"/>
      <c r="N79" s="119"/>
      <c r="O79" s="119"/>
      <c r="P79" s="226"/>
      <c r="Q79" s="226"/>
      <c r="R79" s="226"/>
      <c r="S79" s="226"/>
      <c r="T79" s="230"/>
      <c r="U79" s="119"/>
      <c r="V79" s="119"/>
      <c r="W79" s="119"/>
      <c r="X79" s="119"/>
      <c r="Y79" s="119"/>
      <c r="Z79" s="119"/>
      <c r="AA79" s="119"/>
      <c r="AB79" s="119"/>
      <c r="AC79" s="119"/>
      <c r="AD79" s="119"/>
      <c r="AE79" s="119"/>
      <c r="AF79" s="119"/>
      <c r="AG79" s="122"/>
      <c r="AH79" s="122"/>
      <c r="AI79" s="122"/>
      <c r="AJ79" s="122"/>
      <c r="AK79" s="122"/>
      <c r="AL79" s="122"/>
      <c r="AM79" s="122"/>
      <c r="AN79" s="122"/>
      <c r="AO79" s="122"/>
      <c r="AP79" s="122"/>
      <c r="AQ79" s="122"/>
      <c r="AR79" s="122"/>
      <c r="AS79" s="122"/>
      <c r="AT79" s="122"/>
      <c r="AU79" s="122"/>
      <c r="AV79" s="122"/>
      <c r="AW79" s="122"/>
      <c r="AX79" s="122"/>
      <c r="AY79" s="122"/>
    </row>
    <row r="80">
      <c r="A80" s="76" t="s">
        <v>93</v>
      </c>
      <c r="B80" s="229" t="s">
        <v>2455</v>
      </c>
      <c r="C80" s="81" t="s">
        <v>2388</v>
      </c>
      <c r="D80" s="81" t="s">
        <v>2444</v>
      </c>
      <c r="E80" s="28" t="s">
        <v>1198</v>
      </c>
      <c r="F80" s="119"/>
      <c r="G80" s="119"/>
      <c r="H80" s="119"/>
      <c r="I80" s="119"/>
      <c r="J80" s="119"/>
      <c r="K80" s="119"/>
      <c r="L80" s="119"/>
      <c r="M80" s="119"/>
      <c r="N80" s="119"/>
      <c r="O80" s="119"/>
      <c r="P80" s="226"/>
      <c r="Q80" s="226"/>
      <c r="R80" s="226"/>
      <c r="S80" s="119"/>
      <c r="T80" s="230"/>
      <c r="U80" s="119"/>
      <c r="V80" s="119"/>
      <c r="W80" s="119"/>
      <c r="X80" s="119"/>
      <c r="Y80" s="119"/>
      <c r="Z80" s="119"/>
      <c r="AA80" s="119"/>
      <c r="AB80" s="119"/>
      <c r="AC80" s="119"/>
      <c r="AD80" s="119"/>
      <c r="AE80" s="119"/>
      <c r="AF80" s="119"/>
      <c r="AG80" s="122"/>
      <c r="AH80" s="122"/>
      <c r="AI80" s="122"/>
      <c r="AJ80" s="122"/>
      <c r="AK80" s="122"/>
      <c r="AL80" s="122"/>
      <c r="AM80" s="122"/>
      <c r="AN80" s="122"/>
      <c r="AO80" s="122"/>
      <c r="AP80" s="122"/>
      <c r="AQ80" s="122"/>
      <c r="AR80" s="122"/>
      <c r="AS80" s="122"/>
      <c r="AT80" s="122"/>
      <c r="AU80" s="122"/>
      <c r="AV80" s="122"/>
      <c r="AW80" s="122"/>
      <c r="AX80" s="122"/>
      <c r="AY80" s="122"/>
    </row>
    <row r="81">
      <c r="A81" s="76" t="s">
        <v>93</v>
      </c>
      <c r="B81" s="229" t="s">
        <v>2456</v>
      </c>
      <c r="C81" s="81" t="s">
        <v>2388</v>
      </c>
      <c r="D81" s="81" t="s">
        <v>2444</v>
      </c>
      <c r="E81" s="28" t="s">
        <v>1198</v>
      </c>
      <c r="F81" s="119"/>
      <c r="G81" s="119"/>
      <c r="H81" s="119"/>
      <c r="I81" s="226"/>
      <c r="J81" s="119"/>
      <c r="K81" s="119"/>
      <c r="L81" s="119"/>
      <c r="M81" s="119"/>
      <c r="N81" s="119"/>
      <c r="O81" s="119"/>
      <c r="P81" s="226"/>
      <c r="Q81" s="226"/>
      <c r="R81" s="226"/>
      <c r="S81" s="119"/>
      <c r="T81" s="230"/>
      <c r="U81" s="119"/>
      <c r="V81" s="119"/>
      <c r="W81" s="119"/>
      <c r="X81" s="119"/>
      <c r="Y81" s="119"/>
      <c r="Z81" s="119"/>
      <c r="AA81" s="119"/>
      <c r="AB81" s="119"/>
      <c r="AC81" s="119"/>
      <c r="AD81" s="119"/>
      <c r="AE81" s="119"/>
      <c r="AF81" s="119"/>
      <c r="AG81" s="122"/>
      <c r="AH81" s="122"/>
      <c r="AI81" s="122"/>
      <c r="AJ81" s="122"/>
      <c r="AK81" s="122"/>
      <c r="AL81" s="122"/>
      <c r="AM81" s="122"/>
      <c r="AN81" s="122"/>
      <c r="AO81" s="122"/>
      <c r="AP81" s="122"/>
      <c r="AQ81" s="122"/>
      <c r="AR81" s="122"/>
      <c r="AS81" s="122"/>
      <c r="AT81" s="122"/>
      <c r="AU81" s="122"/>
      <c r="AV81" s="122"/>
      <c r="AW81" s="122"/>
      <c r="AX81" s="122"/>
      <c r="AY81" s="122"/>
    </row>
    <row r="82">
      <c r="A82" s="76" t="s">
        <v>93</v>
      </c>
      <c r="B82" s="229" t="s">
        <v>2457</v>
      </c>
      <c r="C82" s="81" t="s">
        <v>2388</v>
      </c>
      <c r="D82" s="81" t="s">
        <v>2444</v>
      </c>
      <c r="E82" s="28" t="s">
        <v>1198</v>
      </c>
      <c r="F82" s="119"/>
      <c r="G82" s="119"/>
      <c r="H82" s="119"/>
      <c r="I82" s="119"/>
      <c r="J82" s="119"/>
      <c r="K82" s="119"/>
      <c r="L82" s="119"/>
      <c r="M82" s="119"/>
      <c r="N82" s="119"/>
      <c r="O82" s="119"/>
      <c r="P82" s="226"/>
      <c r="Q82" s="226"/>
      <c r="R82" s="226"/>
      <c r="S82" s="226"/>
      <c r="T82" s="230"/>
      <c r="U82" s="119"/>
      <c r="V82" s="119"/>
      <c r="W82" s="119"/>
      <c r="X82" s="119"/>
      <c r="Y82" s="119"/>
      <c r="Z82" s="119"/>
      <c r="AA82" s="119"/>
      <c r="AB82" s="119"/>
      <c r="AC82" s="119"/>
      <c r="AD82" s="119"/>
      <c r="AE82" s="119"/>
      <c r="AF82" s="119"/>
      <c r="AG82" s="122"/>
      <c r="AH82" s="122"/>
      <c r="AI82" s="122"/>
      <c r="AJ82" s="122"/>
      <c r="AK82" s="122"/>
      <c r="AL82" s="122"/>
      <c r="AM82" s="122"/>
      <c r="AN82" s="122"/>
      <c r="AO82" s="122"/>
      <c r="AP82" s="122"/>
      <c r="AQ82" s="122"/>
      <c r="AR82" s="122"/>
      <c r="AS82" s="122"/>
      <c r="AT82" s="122"/>
      <c r="AU82" s="122"/>
      <c r="AV82" s="122"/>
      <c r="AW82" s="122"/>
      <c r="AX82" s="122"/>
      <c r="AY82" s="122"/>
    </row>
    <row r="83">
      <c r="A83" s="76" t="s">
        <v>93</v>
      </c>
      <c r="B83" s="229" t="s">
        <v>2458</v>
      </c>
      <c r="C83" s="81" t="s">
        <v>2388</v>
      </c>
      <c r="D83" s="81" t="s">
        <v>2444</v>
      </c>
      <c r="E83" s="28" t="s">
        <v>1198</v>
      </c>
      <c r="F83" s="119"/>
      <c r="G83" s="119"/>
      <c r="H83" s="119"/>
      <c r="I83" s="119"/>
      <c r="J83" s="119"/>
      <c r="K83" s="119"/>
      <c r="L83" s="119"/>
      <c r="M83" s="119"/>
      <c r="N83" s="119"/>
      <c r="O83" s="119"/>
      <c r="P83" s="226"/>
      <c r="Q83" s="226"/>
      <c r="R83" s="226"/>
      <c r="S83" s="119"/>
      <c r="T83" s="119"/>
      <c r="U83" s="119"/>
      <c r="V83" s="119"/>
      <c r="W83" s="119"/>
      <c r="X83" s="119"/>
      <c r="Y83" s="119"/>
      <c r="Z83" s="119"/>
      <c r="AA83" s="119"/>
      <c r="AB83" s="119"/>
      <c r="AC83" s="119"/>
      <c r="AD83" s="119"/>
      <c r="AE83" s="119"/>
      <c r="AF83" s="119"/>
      <c r="AG83" s="122"/>
      <c r="AH83" s="122"/>
      <c r="AI83" s="122"/>
      <c r="AJ83" s="122"/>
      <c r="AK83" s="122"/>
      <c r="AL83" s="122"/>
      <c r="AM83" s="122"/>
      <c r="AN83" s="122"/>
      <c r="AO83" s="122"/>
      <c r="AP83" s="122"/>
      <c r="AQ83" s="122"/>
      <c r="AR83" s="122"/>
      <c r="AS83" s="122"/>
      <c r="AT83" s="122"/>
      <c r="AU83" s="122"/>
      <c r="AV83" s="122"/>
      <c r="AW83" s="122"/>
      <c r="AX83" s="122"/>
      <c r="AY83" s="122"/>
    </row>
    <row r="84">
      <c r="A84" s="76" t="s">
        <v>93</v>
      </c>
      <c r="B84" s="81" t="s">
        <v>2459</v>
      </c>
      <c r="C84" s="81" t="s">
        <v>2388</v>
      </c>
      <c r="D84" s="81" t="s">
        <v>2444</v>
      </c>
      <c r="E84" s="28" t="s">
        <v>1198</v>
      </c>
      <c r="F84" s="119"/>
      <c r="G84" s="119"/>
      <c r="H84" s="119"/>
      <c r="I84" s="119"/>
      <c r="J84" s="119"/>
      <c r="K84" s="119"/>
      <c r="L84" s="119"/>
      <c r="M84" s="119"/>
      <c r="N84" s="119"/>
      <c r="O84" s="119"/>
      <c r="P84" s="226"/>
      <c r="Q84" s="226"/>
      <c r="R84" s="226"/>
      <c r="S84" s="119"/>
      <c r="T84" s="119"/>
      <c r="U84" s="119"/>
      <c r="V84" s="119"/>
      <c r="W84" s="119"/>
      <c r="X84" s="119"/>
      <c r="Y84" s="119"/>
      <c r="Z84" s="119"/>
      <c r="AA84" s="119"/>
      <c r="AB84" s="119"/>
      <c r="AC84" s="119"/>
      <c r="AD84" s="119"/>
      <c r="AE84" s="119"/>
      <c r="AF84" s="119"/>
      <c r="AG84" s="122"/>
      <c r="AH84" s="122"/>
      <c r="AI84" s="122"/>
      <c r="AJ84" s="122"/>
      <c r="AK84" s="122"/>
      <c r="AL84" s="122"/>
      <c r="AM84" s="122"/>
      <c r="AN84" s="122"/>
      <c r="AO84" s="122"/>
      <c r="AP84" s="122"/>
      <c r="AQ84" s="122"/>
      <c r="AR84" s="122"/>
      <c r="AS84" s="122"/>
      <c r="AT84" s="122"/>
      <c r="AU84" s="122"/>
      <c r="AV84" s="122"/>
      <c r="AW84" s="122"/>
      <c r="AX84" s="122"/>
      <c r="AY84" s="122"/>
    </row>
    <row r="85">
      <c r="A85" s="76" t="s">
        <v>93</v>
      </c>
      <c r="B85" s="81" t="s">
        <v>2460</v>
      </c>
      <c r="C85" s="81" t="s">
        <v>2388</v>
      </c>
      <c r="D85" s="81" t="s">
        <v>2444</v>
      </c>
      <c r="E85" s="28" t="s">
        <v>1198</v>
      </c>
      <c r="F85" s="119"/>
      <c r="G85" s="119"/>
      <c r="H85" s="119"/>
      <c r="I85" s="119"/>
      <c r="J85" s="119"/>
      <c r="K85" s="119"/>
      <c r="L85" s="119"/>
      <c r="M85" s="119"/>
      <c r="N85" s="119"/>
      <c r="O85" s="119"/>
      <c r="P85" s="226"/>
      <c r="Q85" s="226"/>
      <c r="R85" s="226"/>
      <c r="S85" s="119"/>
      <c r="T85" s="119"/>
      <c r="U85" s="119"/>
      <c r="V85" s="119"/>
      <c r="W85" s="119"/>
      <c r="X85" s="119"/>
      <c r="Y85" s="119"/>
      <c r="Z85" s="119"/>
      <c r="AA85" s="119"/>
      <c r="AB85" s="119"/>
      <c r="AC85" s="119"/>
      <c r="AD85" s="119"/>
      <c r="AE85" s="119"/>
      <c r="AF85" s="119"/>
      <c r="AG85" s="122"/>
      <c r="AH85" s="122"/>
      <c r="AI85" s="122"/>
      <c r="AJ85" s="122"/>
      <c r="AK85" s="122"/>
      <c r="AL85" s="122"/>
      <c r="AM85" s="122"/>
      <c r="AN85" s="122"/>
      <c r="AO85" s="122"/>
      <c r="AP85" s="122"/>
      <c r="AQ85" s="122"/>
      <c r="AR85" s="122"/>
      <c r="AS85" s="122"/>
      <c r="AT85" s="122"/>
      <c r="AU85" s="122"/>
      <c r="AV85" s="122"/>
      <c r="AW85" s="122"/>
      <c r="AX85" s="122"/>
      <c r="AY85" s="122"/>
    </row>
    <row r="86">
      <c r="A86" s="76" t="s">
        <v>93</v>
      </c>
      <c r="B86" s="81" t="s">
        <v>2461</v>
      </c>
      <c r="C86" s="81" t="s">
        <v>2388</v>
      </c>
      <c r="D86" s="81" t="s">
        <v>2444</v>
      </c>
      <c r="E86" s="28" t="s">
        <v>1198</v>
      </c>
      <c r="F86" s="119"/>
      <c r="G86" s="119"/>
      <c r="H86" s="119"/>
      <c r="I86" s="119"/>
      <c r="J86" s="119"/>
      <c r="K86" s="119"/>
      <c r="L86" s="119"/>
      <c r="M86" s="119"/>
      <c r="N86" s="119"/>
      <c r="O86" s="119"/>
      <c r="P86" s="226"/>
      <c r="Q86" s="226"/>
      <c r="R86" s="226"/>
      <c r="S86" s="119"/>
      <c r="T86" s="119"/>
      <c r="U86" s="119"/>
      <c r="V86" s="119"/>
      <c r="W86" s="119"/>
      <c r="X86" s="119"/>
      <c r="Y86" s="119"/>
      <c r="Z86" s="119"/>
      <c r="AA86" s="119"/>
      <c r="AB86" s="119"/>
      <c r="AC86" s="119"/>
      <c r="AD86" s="119"/>
      <c r="AE86" s="119"/>
      <c r="AF86" s="119"/>
      <c r="AG86" s="122"/>
      <c r="AH86" s="122"/>
      <c r="AI86" s="122"/>
      <c r="AJ86" s="122"/>
      <c r="AK86" s="122"/>
      <c r="AL86" s="122"/>
      <c r="AM86" s="122"/>
      <c r="AN86" s="122"/>
      <c r="AO86" s="122"/>
      <c r="AP86" s="122"/>
      <c r="AQ86" s="122"/>
      <c r="AR86" s="122"/>
      <c r="AS86" s="122"/>
      <c r="AT86" s="122"/>
      <c r="AU86" s="122"/>
      <c r="AV86" s="122"/>
      <c r="AW86" s="122"/>
      <c r="AX86" s="122"/>
      <c r="AY86" s="122"/>
    </row>
    <row r="87">
      <c r="A87" s="76" t="s">
        <v>93</v>
      </c>
      <c r="B87" s="81" t="s">
        <v>2462</v>
      </c>
      <c r="C87" s="81" t="s">
        <v>2388</v>
      </c>
      <c r="D87" s="81" t="s">
        <v>2444</v>
      </c>
      <c r="E87" s="28" t="s">
        <v>1198</v>
      </c>
      <c r="F87" s="119"/>
      <c r="G87" s="119"/>
      <c r="H87" s="119"/>
      <c r="I87" s="226"/>
      <c r="J87" s="119"/>
      <c r="K87" s="119"/>
      <c r="L87" s="119"/>
      <c r="M87" s="119"/>
      <c r="N87" s="119"/>
      <c r="O87" s="119"/>
      <c r="P87" s="226"/>
      <c r="Q87" s="226"/>
      <c r="R87" s="226"/>
      <c r="S87" s="119"/>
      <c r="T87" s="119"/>
      <c r="U87" s="119"/>
      <c r="V87" s="119"/>
      <c r="W87" s="119"/>
      <c r="X87" s="119"/>
      <c r="Y87" s="119"/>
      <c r="Z87" s="119"/>
      <c r="AA87" s="119"/>
      <c r="AB87" s="119"/>
      <c r="AC87" s="119"/>
      <c r="AD87" s="119"/>
      <c r="AE87" s="119"/>
      <c r="AF87" s="119"/>
      <c r="AG87" s="122"/>
      <c r="AH87" s="122"/>
      <c r="AI87" s="122"/>
      <c r="AJ87" s="122"/>
      <c r="AK87" s="122"/>
      <c r="AL87" s="122"/>
      <c r="AM87" s="122"/>
      <c r="AN87" s="122"/>
      <c r="AO87" s="122"/>
      <c r="AP87" s="122"/>
      <c r="AQ87" s="122"/>
      <c r="AR87" s="122"/>
      <c r="AS87" s="122"/>
      <c r="AT87" s="122"/>
      <c r="AU87" s="122"/>
      <c r="AV87" s="122"/>
      <c r="AW87" s="122"/>
      <c r="AX87" s="122"/>
      <c r="AY87" s="122"/>
    </row>
    <row r="88">
      <c r="A88" s="76" t="s">
        <v>93</v>
      </c>
      <c r="B88" s="81" t="s">
        <v>2463</v>
      </c>
      <c r="C88" s="81" t="s">
        <v>2388</v>
      </c>
      <c r="D88" s="81" t="s">
        <v>2444</v>
      </c>
      <c r="E88" s="28" t="s">
        <v>1198</v>
      </c>
      <c r="F88" s="119"/>
      <c r="G88" s="119"/>
      <c r="H88" s="119"/>
      <c r="I88" s="226"/>
      <c r="J88" s="119"/>
      <c r="K88" s="119"/>
      <c r="L88" s="119"/>
      <c r="M88" s="119"/>
      <c r="N88" s="119"/>
      <c r="O88" s="119"/>
      <c r="P88" s="226"/>
      <c r="Q88" s="226"/>
      <c r="R88" s="226"/>
      <c r="S88" s="119"/>
      <c r="T88" s="119"/>
      <c r="U88" s="119"/>
      <c r="V88" s="119"/>
      <c r="W88" s="119"/>
      <c r="X88" s="119"/>
      <c r="Y88" s="119"/>
      <c r="Z88" s="119"/>
      <c r="AA88" s="119"/>
      <c r="AB88" s="119"/>
      <c r="AC88" s="119"/>
      <c r="AD88" s="119"/>
      <c r="AE88" s="119"/>
      <c r="AF88" s="119"/>
      <c r="AG88" s="122"/>
      <c r="AH88" s="122"/>
      <c r="AI88" s="122"/>
      <c r="AJ88" s="122"/>
      <c r="AK88" s="122"/>
      <c r="AL88" s="122"/>
      <c r="AM88" s="122"/>
      <c r="AN88" s="122"/>
      <c r="AO88" s="122"/>
      <c r="AP88" s="122"/>
      <c r="AQ88" s="122"/>
      <c r="AR88" s="122"/>
      <c r="AS88" s="122"/>
      <c r="AT88" s="122"/>
      <c r="AU88" s="122"/>
      <c r="AV88" s="122"/>
      <c r="AW88" s="122"/>
      <c r="AX88" s="122"/>
      <c r="AY88" s="122"/>
    </row>
    <row r="89">
      <c r="A89" s="76" t="s">
        <v>347</v>
      </c>
      <c r="B89" s="76" t="s">
        <v>408</v>
      </c>
      <c r="C89" s="81" t="s">
        <v>2388</v>
      </c>
      <c r="D89" s="76" t="s">
        <v>2395</v>
      </c>
      <c r="E89" s="28" t="s">
        <v>1437</v>
      </c>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c r="AY89" s="122"/>
    </row>
    <row r="90">
      <c r="A90" s="76" t="s">
        <v>347</v>
      </c>
      <c r="B90" s="231" t="s">
        <v>345</v>
      </c>
      <c r="C90" s="81" t="s">
        <v>2388</v>
      </c>
      <c r="D90" s="76" t="s">
        <v>2464</v>
      </c>
      <c r="E90" s="28" t="s">
        <v>1437</v>
      </c>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row>
    <row r="91">
      <c r="A91" s="76" t="s">
        <v>347</v>
      </c>
      <c r="B91" s="231" t="s">
        <v>362</v>
      </c>
      <c r="C91" s="81" t="s">
        <v>2389</v>
      </c>
      <c r="D91" s="26" t="s">
        <v>2465</v>
      </c>
      <c r="E91" s="28" t="s">
        <v>1437</v>
      </c>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row>
    <row r="92">
      <c r="A92" s="76" t="s">
        <v>347</v>
      </c>
      <c r="B92" s="231" t="s">
        <v>375</v>
      </c>
      <c r="C92" s="81" t="s">
        <v>2388</v>
      </c>
      <c r="D92" s="76" t="s">
        <v>2464</v>
      </c>
      <c r="E92" s="28" t="s">
        <v>1437</v>
      </c>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row>
    <row r="93">
      <c r="A93" s="76" t="s">
        <v>347</v>
      </c>
      <c r="B93" s="39" t="s">
        <v>636</v>
      </c>
      <c r="C93" s="81" t="s">
        <v>2388</v>
      </c>
      <c r="D93" s="76" t="s">
        <v>2464</v>
      </c>
      <c r="E93" s="28" t="s">
        <v>1437</v>
      </c>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c r="AY93" s="122"/>
    </row>
    <row r="94">
      <c r="A94" s="76" t="s">
        <v>347</v>
      </c>
      <c r="B94" s="39" t="s">
        <v>644</v>
      </c>
      <c r="C94" s="81" t="s">
        <v>2388</v>
      </c>
      <c r="D94" s="88" t="s">
        <v>2466</v>
      </c>
      <c r="E94" s="28" t="s">
        <v>1437</v>
      </c>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c r="AY94" s="122"/>
    </row>
    <row r="95">
      <c r="A95" s="76" t="s">
        <v>347</v>
      </c>
      <c r="B95" s="39" t="s">
        <v>725</v>
      </c>
      <c r="C95" s="76" t="s">
        <v>2388</v>
      </c>
      <c r="D95" s="76" t="s">
        <v>2464</v>
      </c>
      <c r="E95" s="28" t="s">
        <v>1437</v>
      </c>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c r="AY95" s="122"/>
    </row>
    <row r="96">
      <c r="A96" s="76" t="s">
        <v>347</v>
      </c>
      <c r="B96" s="39" t="s">
        <v>749</v>
      </c>
      <c r="C96" s="81" t="s">
        <v>2389</v>
      </c>
      <c r="D96" s="76" t="s">
        <v>2465</v>
      </c>
      <c r="E96" s="28" t="s">
        <v>1437</v>
      </c>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c r="AY96" s="122"/>
    </row>
    <row r="97">
      <c r="A97" s="76" t="s">
        <v>347</v>
      </c>
      <c r="B97" s="39" t="s">
        <v>755</v>
      </c>
      <c r="C97" s="76" t="s">
        <v>2388</v>
      </c>
      <c r="D97" s="76" t="s">
        <v>2467</v>
      </c>
      <c r="E97" s="28" t="s">
        <v>1437</v>
      </c>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c r="AY97" s="122"/>
    </row>
    <row r="98">
      <c r="A98" s="76" t="s">
        <v>347</v>
      </c>
      <c r="B98" s="39" t="s">
        <v>693</v>
      </c>
      <c r="C98" s="76" t="s">
        <v>2388</v>
      </c>
      <c r="D98" s="76" t="s">
        <v>2468</v>
      </c>
      <c r="E98" s="28" t="s">
        <v>1437</v>
      </c>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c r="AY98" s="122"/>
    </row>
    <row r="99">
      <c r="A99" s="76" t="s">
        <v>347</v>
      </c>
      <c r="B99" s="26" t="s">
        <v>788</v>
      </c>
      <c r="C99" s="81" t="s">
        <v>2394</v>
      </c>
      <c r="D99" s="76" t="s">
        <v>2469</v>
      </c>
      <c r="E99" s="28" t="s">
        <v>1198</v>
      </c>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c r="AY99" s="122"/>
    </row>
    <row r="100">
      <c r="A100" s="76" t="s">
        <v>347</v>
      </c>
      <c r="B100" s="26" t="s">
        <v>2470</v>
      </c>
      <c r="C100" s="81" t="s">
        <v>2389</v>
      </c>
      <c r="D100" s="76" t="s">
        <v>2465</v>
      </c>
      <c r="E100" s="28" t="s">
        <v>1198</v>
      </c>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row>
    <row r="101">
      <c r="A101" s="76" t="s">
        <v>261</v>
      </c>
      <c r="B101" s="81" t="s">
        <v>2471</v>
      </c>
      <c r="C101" s="76" t="s">
        <v>2388</v>
      </c>
      <c r="D101" s="81" t="s">
        <v>2472</v>
      </c>
      <c r="E101" s="28" t="s">
        <v>1198</v>
      </c>
      <c r="F101" s="119"/>
      <c r="G101" s="119"/>
      <c r="H101" s="119"/>
      <c r="I101" s="226"/>
      <c r="J101" s="119"/>
      <c r="K101" s="119"/>
      <c r="L101" s="119"/>
      <c r="M101" s="119"/>
      <c r="N101" s="119"/>
      <c r="O101" s="119"/>
      <c r="P101" s="226"/>
      <c r="Q101" s="226"/>
      <c r="R101" s="226"/>
      <c r="S101" s="119"/>
      <c r="T101" s="119"/>
      <c r="U101" s="119"/>
      <c r="V101" s="119"/>
      <c r="W101" s="119"/>
      <c r="X101" s="119"/>
      <c r="Y101" s="119"/>
      <c r="Z101" s="119"/>
      <c r="AA101" s="119"/>
      <c r="AB101" s="119"/>
      <c r="AC101" s="119"/>
      <c r="AD101" s="119"/>
      <c r="AE101" s="119"/>
      <c r="AF101" s="119"/>
      <c r="AG101" s="122"/>
      <c r="AH101" s="122"/>
      <c r="AI101" s="122"/>
      <c r="AJ101" s="122"/>
      <c r="AK101" s="122"/>
      <c r="AL101" s="122"/>
      <c r="AM101" s="122"/>
      <c r="AN101" s="122"/>
      <c r="AO101" s="122"/>
      <c r="AP101" s="122"/>
      <c r="AQ101" s="122"/>
      <c r="AR101" s="122"/>
      <c r="AS101" s="122"/>
      <c r="AT101" s="122"/>
      <c r="AU101" s="122"/>
      <c r="AV101" s="122"/>
      <c r="AW101" s="122"/>
      <c r="AX101" s="122"/>
      <c r="AY101" s="122"/>
    </row>
    <row r="102">
      <c r="A102" s="76" t="s">
        <v>261</v>
      </c>
      <c r="B102" s="81" t="s">
        <v>2473</v>
      </c>
      <c r="C102" s="76" t="s">
        <v>2388</v>
      </c>
      <c r="D102" s="81" t="s">
        <v>2474</v>
      </c>
      <c r="E102" s="28" t="s">
        <v>1198</v>
      </c>
      <c r="F102" s="119"/>
      <c r="G102" s="119"/>
      <c r="H102" s="119"/>
      <c r="I102" s="226"/>
      <c r="J102" s="119"/>
      <c r="K102" s="119"/>
      <c r="L102" s="119"/>
      <c r="M102" s="119"/>
      <c r="N102" s="119"/>
      <c r="O102" s="119"/>
      <c r="P102" s="226"/>
      <c r="Q102" s="226"/>
      <c r="R102" s="226"/>
      <c r="S102" s="119"/>
      <c r="T102" s="119"/>
      <c r="U102" s="119"/>
      <c r="V102" s="119"/>
      <c r="W102" s="119"/>
      <c r="X102" s="119"/>
      <c r="Y102" s="119"/>
      <c r="Z102" s="119"/>
      <c r="AA102" s="119"/>
      <c r="AB102" s="119"/>
      <c r="AC102" s="119"/>
      <c r="AD102" s="119"/>
      <c r="AE102" s="119"/>
      <c r="AF102" s="119"/>
      <c r="AG102" s="122"/>
      <c r="AH102" s="122"/>
      <c r="AI102" s="122"/>
      <c r="AJ102" s="122"/>
      <c r="AK102" s="122"/>
      <c r="AL102" s="122"/>
      <c r="AM102" s="122"/>
      <c r="AN102" s="122"/>
      <c r="AO102" s="122"/>
      <c r="AP102" s="122"/>
      <c r="AQ102" s="122"/>
      <c r="AR102" s="122"/>
      <c r="AS102" s="122"/>
      <c r="AT102" s="122"/>
      <c r="AU102" s="122"/>
      <c r="AV102" s="122"/>
      <c r="AW102" s="122"/>
      <c r="AX102" s="122"/>
      <c r="AY102" s="122"/>
    </row>
    <row r="103">
      <c r="A103" s="76" t="s">
        <v>261</v>
      </c>
      <c r="B103" s="81" t="s">
        <v>2475</v>
      </c>
      <c r="C103" s="76" t="s">
        <v>2388</v>
      </c>
      <c r="D103" s="81" t="s">
        <v>2444</v>
      </c>
      <c r="E103" s="28" t="s">
        <v>1198</v>
      </c>
      <c r="F103" s="119"/>
      <c r="G103" s="119"/>
      <c r="H103" s="119"/>
      <c r="I103" s="226"/>
      <c r="J103" s="119"/>
      <c r="K103" s="119"/>
      <c r="L103" s="119"/>
      <c r="M103" s="119"/>
      <c r="N103" s="119"/>
      <c r="O103" s="119"/>
      <c r="P103" s="226"/>
      <c r="Q103" s="226"/>
      <c r="R103" s="226"/>
      <c r="S103" s="119"/>
      <c r="T103" s="119"/>
      <c r="U103" s="119"/>
      <c r="V103" s="119"/>
      <c r="W103" s="119"/>
      <c r="X103" s="119"/>
      <c r="Y103" s="119"/>
      <c r="Z103" s="119"/>
      <c r="AA103" s="119"/>
      <c r="AB103" s="119"/>
      <c r="AC103" s="119"/>
      <c r="AD103" s="119"/>
      <c r="AE103" s="119"/>
      <c r="AF103" s="119"/>
      <c r="AG103" s="122"/>
      <c r="AH103" s="122"/>
      <c r="AI103" s="122"/>
      <c r="AJ103" s="122"/>
      <c r="AK103" s="122"/>
      <c r="AL103" s="122"/>
      <c r="AM103" s="122"/>
      <c r="AN103" s="122"/>
      <c r="AO103" s="122"/>
      <c r="AP103" s="122"/>
      <c r="AQ103" s="122"/>
      <c r="AR103" s="122"/>
      <c r="AS103" s="122"/>
      <c r="AT103" s="122"/>
      <c r="AU103" s="122"/>
      <c r="AV103" s="122"/>
      <c r="AW103" s="122"/>
      <c r="AX103" s="122"/>
      <c r="AY103" s="122"/>
    </row>
    <row r="104">
      <c r="A104" s="76" t="s">
        <v>261</v>
      </c>
      <c r="B104" s="81" t="s">
        <v>2476</v>
      </c>
      <c r="C104" s="76" t="s">
        <v>2388</v>
      </c>
      <c r="D104" s="81" t="s">
        <v>2477</v>
      </c>
      <c r="E104" s="28" t="s">
        <v>1198</v>
      </c>
      <c r="F104" s="119"/>
      <c r="G104" s="119"/>
      <c r="H104" s="119"/>
      <c r="I104" s="226"/>
      <c r="J104" s="119"/>
      <c r="K104" s="119"/>
      <c r="L104" s="119"/>
      <c r="M104" s="119"/>
      <c r="N104" s="119"/>
      <c r="O104" s="119"/>
      <c r="P104" s="226"/>
      <c r="Q104" s="226"/>
      <c r="R104" s="226"/>
      <c r="S104" s="119"/>
      <c r="T104" s="119"/>
      <c r="U104" s="119"/>
      <c r="V104" s="119"/>
      <c r="W104" s="119"/>
      <c r="X104" s="119"/>
      <c r="Y104" s="119"/>
      <c r="Z104" s="119"/>
      <c r="AA104" s="119"/>
      <c r="AB104" s="119"/>
      <c r="AC104" s="119"/>
      <c r="AD104" s="119"/>
      <c r="AE104" s="119"/>
      <c r="AF104" s="119"/>
      <c r="AG104" s="122"/>
      <c r="AH104" s="122"/>
      <c r="AI104" s="122"/>
      <c r="AJ104" s="122"/>
      <c r="AK104" s="122"/>
      <c r="AL104" s="122"/>
      <c r="AM104" s="122"/>
      <c r="AN104" s="122"/>
      <c r="AO104" s="122"/>
      <c r="AP104" s="122"/>
      <c r="AQ104" s="122"/>
      <c r="AR104" s="122"/>
      <c r="AS104" s="122"/>
      <c r="AT104" s="122"/>
      <c r="AU104" s="122"/>
      <c r="AV104" s="122"/>
      <c r="AW104" s="122"/>
      <c r="AX104" s="122"/>
      <c r="AY104" s="122"/>
    </row>
    <row r="105">
      <c r="A105" s="76" t="s">
        <v>261</v>
      </c>
      <c r="B105" s="81" t="s">
        <v>2478</v>
      </c>
      <c r="C105" s="76" t="s">
        <v>2388</v>
      </c>
      <c r="D105" s="81" t="s">
        <v>2479</v>
      </c>
      <c r="E105" s="28" t="s">
        <v>1198</v>
      </c>
      <c r="F105" s="119"/>
      <c r="G105" s="119"/>
      <c r="H105" s="119"/>
      <c r="I105" s="226"/>
      <c r="J105" s="119"/>
      <c r="K105" s="119"/>
      <c r="L105" s="119"/>
      <c r="M105" s="119"/>
      <c r="N105" s="119"/>
      <c r="O105" s="119"/>
      <c r="P105" s="226"/>
      <c r="Q105" s="226"/>
      <c r="R105" s="226"/>
      <c r="S105" s="119"/>
      <c r="T105" s="119"/>
      <c r="U105" s="119"/>
      <c r="V105" s="119"/>
      <c r="W105" s="119"/>
      <c r="X105" s="119"/>
      <c r="Y105" s="119"/>
      <c r="Z105" s="119"/>
      <c r="AA105" s="119"/>
      <c r="AB105" s="119"/>
      <c r="AC105" s="119"/>
      <c r="AD105" s="119"/>
      <c r="AE105" s="119"/>
      <c r="AF105" s="119"/>
      <c r="AG105" s="122"/>
      <c r="AH105" s="122"/>
      <c r="AI105" s="122"/>
      <c r="AJ105" s="122"/>
      <c r="AK105" s="122"/>
      <c r="AL105" s="122"/>
      <c r="AM105" s="122"/>
      <c r="AN105" s="122"/>
      <c r="AO105" s="122"/>
      <c r="AP105" s="122"/>
      <c r="AQ105" s="122"/>
      <c r="AR105" s="122"/>
      <c r="AS105" s="122"/>
      <c r="AT105" s="122"/>
      <c r="AU105" s="122"/>
      <c r="AV105" s="122"/>
      <c r="AW105" s="122"/>
      <c r="AX105" s="122"/>
      <c r="AY105" s="122"/>
    </row>
    <row r="106">
      <c r="A106" s="76" t="s">
        <v>261</v>
      </c>
      <c r="B106" s="81" t="s">
        <v>2480</v>
      </c>
      <c r="C106" s="76" t="s">
        <v>2388</v>
      </c>
      <c r="D106" s="81" t="s">
        <v>2481</v>
      </c>
      <c r="E106" s="28" t="s">
        <v>1198</v>
      </c>
      <c r="F106" s="119"/>
      <c r="G106" s="119"/>
      <c r="H106" s="119"/>
      <c r="I106" s="226"/>
      <c r="J106" s="119"/>
      <c r="K106" s="119"/>
      <c r="L106" s="119"/>
      <c r="M106" s="119"/>
      <c r="N106" s="119"/>
      <c r="O106" s="119"/>
      <c r="P106" s="226"/>
      <c r="Q106" s="226"/>
      <c r="R106" s="226"/>
      <c r="S106" s="119"/>
      <c r="T106" s="119"/>
      <c r="U106" s="119"/>
      <c r="V106" s="119"/>
      <c r="W106" s="119"/>
      <c r="X106" s="119"/>
      <c r="Y106" s="119"/>
      <c r="Z106" s="119"/>
      <c r="AA106" s="119"/>
      <c r="AB106" s="119"/>
      <c r="AC106" s="119"/>
      <c r="AD106" s="119"/>
      <c r="AE106" s="119"/>
      <c r="AF106" s="119"/>
      <c r="AG106" s="122"/>
      <c r="AH106" s="122"/>
      <c r="AI106" s="122"/>
      <c r="AJ106" s="122"/>
      <c r="AK106" s="122"/>
      <c r="AL106" s="122"/>
      <c r="AM106" s="122"/>
      <c r="AN106" s="122"/>
      <c r="AO106" s="122"/>
      <c r="AP106" s="122"/>
      <c r="AQ106" s="122"/>
      <c r="AR106" s="122"/>
      <c r="AS106" s="122"/>
      <c r="AT106" s="122"/>
      <c r="AU106" s="122"/>
      <c r="AV106" s="122"/>
      <c r="AW106" s="122"/>
      <c r="AX106" s="122"/>
      <c r="AY106" s="122"/>
    </row>
    <row r="107">
      <c r="A107" s="76" t="s">
        <v>261</v>
      </c>
      <c r="B107" s="81" t="s">
        <v>2482</v>
      </c>
      <c r="C107" s="76" t="s">
        <v>2388</v>
      </c>
      <c r="D107" s="81" t="s">
        <v>2483</v>
      </c>
      <c r="E107" s="28" t="s">
        <v>1198</v>
      </c>
      <c r="F107" s="119"/>
      <c r="G107" s="119"/>
      <c r="H107" s="119"/>
      <c r="I107" s="226"/>
      <c r="J107" s="119"/>
      <c r="K107" s="119"/>
      <c r="L107" s="119"/>
      <c r="M107" s="119"/>
      <c r="N107" s="119"/>
      <c r="O107" s="119"/>
      <c r="P107" s="226"/>
      <c r="Q107" s="226"/>
      <c r="R107" s="226"/>
      <c r="S107" s="119"/>
      <c r="T107" s="119"/>
      <c r="U107" s="119"/>
      <c r="V107" s="119"/>
      <c r="W107" s="119"/>
      <c r="X107" s="119"/>
      <c r="Y107" s="119"/>
      <c r="Z107" s="119"/>
      <c r="AA107" s="119"/>
      <c r="AB107" s="119"/>
      <c r="AC107" s="119"/>
      <c r="AD107" s="119"/>
      <c r="AE107" s="119"/>
      <c r="AF107" s="119"/>
      <c r="AG107" s="122"/>
      <c r="AH107" s="122"/>
      <c r="AI107" s="122"/>
      <c r="AJ107" s="122"/>
      <c r="AK107" s="122"/>
      <c r="AL107" s="122"/>
      <c r="AM107" s="122"/>
      <c r="AN107" s="122"/>
      <c r="AO107" s="122"/>
      <c r="AP107" s="122"/>
      <c r="AQ107" s="122"/>
      <c r="AR107" s="122"/>
      <c r="AS107" s="122"/>
      <c r="AT107" s="122"/>
      <c r="AU107" s="122"/>
      <c r="AV107" s="122"/>
      <c r="AW107" s="122"/>
      <c r="AX107" s="122"/>
      <c r="AY107" s="122"/>
    </row>
    <row r="108">
      <c r="A108" s="76" t="s">
        <v>261</v>
      </c>
      <c r="B108" s="81" t="s">
        <v>2484</v>
      </c>
      <c r="C108" s="76" t="s">
        <v>2388</v>
      </c>
      <c r="D108" s="81" t="s">
        <v>2485</v>
      </c>
      <c r="E108" s="28" t="s">
        <v>1198</v>
      </c>
      <c r="F108" s="119"/>
      <c r="G108" s="119"/>
      <c r="H108" s="119"/>
      <c r="I108" s="226"/>
      <c r="J108" s="119"/>
      <c r="K108" s="226"/>
      <c r="L108" s="119"/>
      <c r="M108" s="119"/>
      <c r="N108" s="119"/>
      <c r="O108" s="119"/>
      <c r="P108" s="226"/>
      <c r="Q108" s="119"/>
      <c r="R108" s="226"/>
      <c r="S108" s="119"/>
      <c r="T108" s="119"/>
      <c r="U108" s="119"/>
      <c r="V108" s="119"/>
      <c r="W108" s="119"/>
      <c r="X108" s="119"/>
      <c r="Y108" s="119"/>
      <c r="Z108" s="119"/>
      <c r="AA108" s="119"/>
      <c r="AB108" s="119"/>
      <c r="AC108" s="119"/>
      <c r="AD108" s="119"/>
      <c r="AE108" s="119"/>
      <c r="AF108" s="119"/>
      <c r="AG108" s="122"/>
      <c r="AH108" s="122"/>
      <c r="AI108" s="122"/>
      <c r="AJ108" s="122"/>
      <c r="AK108" s="122"/>
      <c r="AL108" s="122"/>
      <c r="AM108" s="122"/>
      <c r="AN108" s="122"/>
      <c r="AO108" s="122"/>
      <c r="AP108" s="122"/>
      <c r="AQ108" s="122"/>
      <c r="AR108" s="122"/>
      <c r="AS108" s="122"/>
      <c r="AT108" s="122"/>
      <c r="AU108" s="122"/>
      <c r="AV108" s="122"/>
      <c r="AW108" s="122"/>
      <c r="AX108" s="122"/>
      <c r="AY108" s="122"/>
    </row>
    <row r="109">
      <c r="A109" s="76" t="s">
        <v>93</v>
      </c>
      <c r="B109" s="76" t="s">
        <v>2486</v>
      </c>
      <c r="C109" s="76" t="s">
        <v>2388</v>
      </c>
      <c r="D109" s="81" t="s">
        <v>2444</v>
      </c>
      <c r="E109" s="28" t="s">
        <v>1198</v>
      </c>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row>
    <row r="110">
      <c r="A110" s="76" t="s">
        <v>93</v>
      </c>
      <c r="B110" s="76" t="s">
        <v>2487</v>
      </c>
      <c r="C110" s="76" t="s">
        <v>2388</v>
      </c>
      <c r="D110" s="81" t="s">
        <v>2444</v>
      </c>
      <c r="E110" s="28" t="s">
        <v>1198</v>
      </c>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row>
    <row r="111">
      <c r="A111" s="76" t="s">
        <v>93</v>
      </c>
      <c r="B111" s="76" t="s">
        <v>2488</v>
      </c>
      <c r="C111" s="76" t="s">
        <v>2388</v>
      </c>
      <c r="D111" s="81" t="s">
        <v>2444</v>
      </c>
      <c r="E111" s="28" t="s">
        <v>1198</v>
      </c>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c r="AX111" s="122"/>
      <c r="AY111" s="122"/>
    </row>
    <row r="112">
      <c r="A112" s="76" t="s">
        <v>93</v>
      </c>
      <c r="B112" s="76" t="s">
        <v>2489</v>
      </c>
      <c r="C112" s="76" t="s">
        <v>2388</v>
      </c>
      <c r="D112" s="81" t="s">
        <v>2444</v>
      </c>
      <c r="E112" s="28" t="s">
        <v>1198</v>
      </c>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row>
    <row r="113">
      <c r="A113" s="76" t="s">
        <v>93</v>
      </c>
      <c r="B113" s="76" t="s">
        <v>2490</v>
      </c>
      <c r="C113" s="76" t="s">
        <v>2388</v>
      </c>
      <c r="D113" s="81" t="s">
        <v>2444</v>
      </c>
      <c r="E113" s="28" t="s">
        <v>1198</v>
      </c>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row>
    <row r="114">
      <c r="A114" s="76" t="s">
        <v>93</v>
      </c>
      <c r="B114" s="76" t="s">
        <v>2491</v>
      </c>
      <c r="C114" s="76" t="s">
        <v>2388</v>
      </c>
      <c r="D114" s="81" t="s">
        <v>2444</v>
      </c>
      <c r="E114" s="28" t="s">
        <v>1198</v>
      </c>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row>
    <row r="115">
      <c r="A115" s="76" t="s">
        <v>93</v>
      </c>
      <c r="B115" s="76" t="s">
        <v>1390</v>
      </c>
      <c r="C115" s="76" t="s">
        <v>2388</v>
      </c>
      <c r="D115" s="81" t="s">
        <v>2444</v>
      </c>
      <c r="E115" s="28" t="s">
        <v>1198</v>
      </c>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row>
    <row r="116">
      <c r="A116" s="76" t="s">
        <v>93</v>
      </c>
      <c r="B116" s="76" t="s">
        <v>2492</v>
      </c>
      <c r="C116" s="76" t="s">
        <v>2388</v>
      </c>
      <c r="D116" s="81" t="s">
        <v>2444</v>
      </c>
      <c r="E116" s="28" t="s">
        <v>1198</v>
      </c>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row>
    <row r="117">
      <c r="A117" s="76" t="s">
        <v>93</v>
      </c>
      <c r="B117" s="76" t="s">
        <v>2493</v>
      </c>
      <c r="C117" s="76" t="s">
        <v>2388</v>
      </c>
      <c r="D117" s="81" t="s">
        <v>2444</v>
      </c>
      <c r="E117" s="28" t="s">
        <v>1198</v>
      </c>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row>
    <row r="118">
      <c r="A118" s="76" t="s">
        <v>93</v>
      </c>
      <c r="B118" s="76" t="s">
        <v>2494</v>
      </c>
      <c r="C118" s="76" t="s">
        <v>2388</v>
      </c>
      <c r="D118" s="81" t="s">
        <v>2444</v>
      </c>
      <c r="E118" s="28" t="s">
        <v>1198</v>
      </c>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row>
    <row r="119">
      <c r="A119" s="76" t="s">
        <v>93</v>
      </c>
      <c r="B119" s="81" t="s">
        <v>2495</v>
      </c>
      <c r="C119" s="76" t="s">
        <v>2388</v>
      </c>
      <c r="D119" s="81" t="s">
        <v>2444</v>
      </c>
      <c r="E119" s="28" t="s">
        <v>1198</v>
      </c>
      <c r="F119" s="119"/>
      <c r="G119" s="119"/>
      <c r="H119" s="119"/>
      <c r="I119" s="119"/>
      <c r="J119" s="119"/>
      <c r="K119" s="119"/>
      <c r="L119" s="119"/>
      <c r="M119" s="119"/>
      <c r="N119" s="119"/>
      <c r="O119" s="119"/>
      <c r="P119" s="119"/>
      <c r="Q119" s="119"/>
      <c r="R119" s="119"/>
      <c r="S119" s="80"/>
      <c r="T119" s="119"/>
      <c r="U119" s="119"/>
      <c r="V119" s="119"/>
      <c r="W119" s="119"/>
      <c r="X119" s="119"/>
      <c r="Y119" s="119"/>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row>
    <row r="120">
      <c r="A120" s="76" t="s">
        <v>93</v>
      </c>
      <c r="B120" s="81" t="s">
        <v>2496</v>
      </c>
      <c r="C120" s="76" t="s">
        <v>2388</v>
      </c>
      <c r="D120" s="81" t="s">
        <v>2444</v>
      </c>
      <c r="E120" s="28" t="s">
        <v>1198</v>
      </c>
      <c r="F120" s="119"/>
      <c r="G120" s="119"/>
      <c r="H120" s="119"/>
      <c r="I120" s="119"/>
      <c r="J120" s="119"/>
      <c r="K120" s="119"/>
      <c r="L120" s="119"/>
      <c r="M120" s="119"/>
      <c r="N120" s="119"/>
      <c r="O120" s="119"/>
      <c r="P120" s="119"/>
      <c r="Q120" s="119"/>
      <c r="R120" s="119"/>
      <c r="S120" s="80"/>
      <c r="T120" s="119"/>
      <c r="U120" s="119"/>
      <c r="V120" s="119"/>
      <c r="W120" s="119"/>
      <c r="X120" s="119"/>
      <c r="Y120" s="119"/>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c r="AY120" s="122"/>
    </row>
    <row r="121">
      <c r="A121" s="76" t="s">
        <v>93</v>
      </c>
      <c r="B121" s="81" t="s">
        <v>2497</v>
      </c>
      <c r="C121" s="76" t="s">
        <v>2388</v>
      </c>
      <c r="D121" s="81" t="s">
        <v>2444</v>
      </c>
      <c r="E121" s="28" t="s">
        <v>1198</v>
      </c>
      <c r="F121" s="119"/>
      <c r="G121" s="119"/>
      <c r="H121" s="119"/>
      <c r="I121" s="119"/>
      <c r="J121" s="119"/>
      <c r="K121" s="119"/>
      <c r="L121" s="119"/>
      <c r="M121" s="119"/>
      <c r="N121" s="119"/>
      <c r="O121" s="119"/>
      <c r="P121" s="119"/>
      <c r="Q121" s="119"/>
      <c r="R121" s="119"/>
      <c r="S121" s="80"/>
      <c r="T121" s="119"/>
      <c r="U121" s="119"/>
      <c r="V121" s="119"/>
      <c r="W121" s="119"/>
      <c r="X121" s="119"/>
      <c r="Y121" s="119"/>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row>
    <row r="122">
      <c r="A122" s="76" t="s">
        <v>93</v>
      </c>
      <c r="B122" s="81" t="s">
        <v>2498</v>
      </c>
      <c r="C122" s="76" t="s">
        <v>2388</v>
      </c>
      <c r="D122" s="81" t="s">
        <v>2444</v>
      </c>
      <c r="E122" s="28" t="s">
        <v>1198</v>
      </c>
      <c r="F122" s="119"/>
      <c r="G122" s="119"/>
      <c r="H122" s="119"/>
      <c r="I122" s="119"/>
      <c r="J122" s="119"/>
      <c r="K122" s="119"/>
      <c r="L122" s="119"/>
      <c r="M122" s="119"/>
      <c r="N122" s="119"/>
      <c r="O122" s="119"/>
      <c r="P122" s="119"/>
      <c r="Q122" s="119"/>
      <c r="R122" s="119"/>
      <c r="S122" s="80"/>
      <c r="T122" s="119"/>
      <c r="U122" s="119"/>
      <c r="V122" s="119"/>
      <c r="W122" s="119"/>
      <c r="X122" s="119"/>
      <c r="Y122" s="119"/>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row>
    <row r="123">
      <c r="A123" s="76" t="s">
        <v>93</v>
      </c>
      <c r="B123" s="81" t="s">
        <v>2499</v>
      </c>
      <c r="C123" s="76" t="s">
        <v>2388</v>
      </c>
      <c r="D123" s="81" t="s">
        <v>2444</v>
      </c>
      <c r="E123" s="28" t="s">
        <v>1198</v>
      </c>
      <c r="F123" s="119"/>
      <c r="G123" s="119"/>
      <c r="H123" s="119"/>
      <c r="I123" s="119"/>
      <c r="J123" s="119"/>
      <c r="K123" s="119"/>
      <c r="L123" s="119"/>
      <c r="M123" s="119"/>
      <c r="N123" s="119"/>
      <c r="O123" s="119"/>
      <c r="P123" s="119"/>
      <c r="Q123" s="119"/>
      <c r="R123" s="119"/>
      <c r="S123" s="80"/>
      <c r="T123" s="119"/>
      <c r="U123" s="119"/>
      <c r="V123" s="119"/>
      <c r="W123" s="119"/>
      <c r="X123" s="119"/>
      <c r="Y123" s="119"/>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row>
    <row r="124">
      <c r="A124" s="76" t="s">
        <v>93</v>
      </c>
      <c r="B124" s="81" t="s">
        <v>2500</v>
      </c>
      <c r="C124" s="76" t="s">
        <v>2388</v>
      </c>
      <c r="D124" s="81" t="s">
        <v>2444</v>
      </c>
      <c r="E124" s="28" t="s">
        <v>1198</v>
      </c>
      <c r="F124" s="119"/>
      <c r="G124" s="119"/>
      <c r="H124" s="119"/>
      <c r="I124" s="119"/>
      <c r="J124" s="119"/>
      <c r="K124" s="119"/>
      <c r="L124" s="119"/>
      <c r="M124" s="119"/>
      <c r="N124" s="119"/>
      <c r="O124" s="119"/>
      <c r="P124" s="119"/>
      <c r="Q124" s="119"/>
      <c r="R124" s="119"/>
      <c r="S124" s="80"/>
      <c r="T124" s="119"/>
      <c r="U124" s="119"/>
      <c r="V124" s="119"/>
      <c r="W124" s="119"/>
      <c r="X124" s="119"/>
      <c r="Y124" s="119"/>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row>
    <row r="125">
      <c r="A125" s="76" t="s">
        <v>93</v>
      </c>
      <c r="B125" s="81" t="s">
        <v>2501</v>
      </c>
      <c r="C125" s="76" t="s">
        <v>2388</v>
      </c>
      <c r="D125" s="81" t="s">
        <v>2444</v>
      </c>
      <c r="E125" s="28" t="s">
        <v>1198</v>
      </c>
      <c r="F125" s="119"/>
      <c r="G125" s="119"/>
      <c r="H125" s="119"/>
      <c r="I125" s="119"/>
      <c r="J125" s="119"/>
      <c r="K125" s="119"/>
      <c r="L125" s="119"/>
      <c r="M125" s="119"/>
      <c r="N125" s="119"/>
      <c r="O125" s="119"/>
      <c r="P125" s="119"/>
      <c r="Q125" s="119"/>
      <c r="R125" s="119"/>
      <c r="S125" s="80"/>
      <c r="T125" s="119"/>
      <c r="U125" s="119"/>
      <c r="V125" s="119"/>
      <c r="W125" s="119"/>
      <c r="X125" s="119"/>
      <c r="Y125" s="119"/>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c r="AX125" s="122"/>
      <c r="AY125" s="122"/>
    </row>
    <row r="126">
      <c r="A126" s="76" t="s">
        <v>93</v>
      </c>
      <c r="B126" s="81" t="s">
        <v>2502</v>
      </c>
      <c r="C126" s="76" t="s">
        <v>2388</v>
      </c>
      <c r="D126" s="81" t="s">
        <v>2444</v>
      </c>
      <c r="E126" s="28" t="s">
        <v>1198</v>
      </c>
      <c r="F126" s="119"/>
      <c r="G126" s="119"/>
      <c r="H126" s="119"/>
      <c r="I126" s="119"/>
      <c r="J126" s="119"/>
      <c r="K126" s="119"/>
      <c r="L126" s="119"/>
      <c r="M126" s="119"/>
      <c r="N126" s="119"/>
      <c r="O126" s="119"/>
      <c r="P126" s="119"/>
      <c r="Q126" s="119"/>
      <c r="R126" s="119"/>
      <c r="S126" s="80"/>
      <c r="T126" s="119"/>
      <c r="U126" s="119"/>
      <c r="V126" s="119"/>
      <c r="W126" s="119"/>
      <c r="X126" s="119"/>
      <c r="Y126" s="119"/>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c r="AX126" s="122"/>
      <c r="AY126" s="122"/>
    </row>
    <row r="127">
      <c r="A127" s="76" t="s">
        <v>93</v>
      </c>
      <c r="B127" s="81" t="s">
        <v>2503</v>
      </c>
      <c r="C127" s="76" t="s">
        <v>2388</v>
      </c>
      <c r="D127" s="81" t="s">
        <v>2444</v>
      </c>
      <c r="E127" s="28" t="s">
        <v>1198</v>
      </c>
      <c r="F127" s="119"/>
      <c r="G127" s="119"/>
      <c r="H127" s="119"/>
      <c r="I127" s="119"/>
      <c r="J127" s="119"/>
      <c r="K127" s="119"/>
      <c r="L127" s="119"/>
      <c r="M127" s="119"/>
      <c r="N127" s="119"/>
      <c r="O127" s="119"/>
      <c r="P127" s="119"/>
      <c r="Q127" s="119"/>
      <c r="R127" s="119"/>
      <c r="S127" s="80"/>
      <c r="T127" s="119"/>
      <c r="U127" s="119"/>
      <c r="V127" s="119"/>
      <c r="W127" s="119"/>
      <c r="X127" s="119"/>
      <c r="Y127" s="119"/>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c r="AX127" s="122"/>
      <c r="AY127" s="122"/>
    </row>
    <row r="128">
      <c r="A128" s="76" t="s">
        <v>93</v>
      </c>
      <c r="B128" s="81" t="s">
        <v>2504</v>
      </c>
      <c r="C128" s="76" t="s">
        <v>2388</v>
      </c>
      <c r="D128" s="81" t="s">
        <v>2444</v>
      </c>
      <c r="E128" s="28" t="s">
        <v>1198</v>
      </c>
      <c r="F128" s="119"/>
      <c r="G128" s="119"/>
      <c r="H128" s="119"/>
      <c r="I128" s="119"/>
      <c r="J128" s="119"/>
      <c r="K128" s="119"/>
      <c r="L128" s="119"/>
      <c r="M128" s="119"/>
      <c r="N128" s="119"/>
      <c r="O128" s="119"/>
      <c r="P128" s="119"/>
      <c r="Q128" s="119"/>
      <c r="R128" s="119"/>
      <c r="S128" s="80"/>
      <c r="T128" s="119"/>
      <c r="U128" s="119"/>
      <c r="V128" s="119"/>
      <c r="W128" s="119"/>
      <c r="X128" s="119"/>
      <c r="Y128" s="119"/>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row>
    <row r="129">
      <c r="A129" s="76" t="s">
        <v>181</v>
      </c>
      <c r="B129" s="81" t="s">
        <v>2505</v>
      </c>
      <c r="C129" s="76" t="s">
        <v>2388</v>
      </c>
      <c r="D129" s="81" t="s">
        <v>2444</v>
      </c>
      <c r="E129" s="28" t="s">
        <v>1198</v>
      </c>
      <c r="F129" s="119"/>
      <c r="G129" s="119"/>
      <c r="H129" s="119"/>
      <c r="I129" s="119"/>
      <c r="J129" s="119"/>
      <c r="K129" s="119"/>
      <c r="L129" s="119"/>
      <c r="M129" s="119"/>
      <c r="N129" s="119"/>
      <c r="O129" s="119"/>
      <c r="P129" s="119"/>
      <c r="Q129" s="119"/>
      <c r="R129" s="119"/>
      <c r="S129" s="80"/>
      <c r="T129" s="119"/>
      <c r="U129" s="119"/>
      <c r="V129" s="119"/>
      <c r="W129" s="119"/>
      <c r="X129" s="119"/>
      <c r="Y129" s="119"/>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c r="AX129" s="122"/>
      <c r="AY129" s="122"/>
    </row>
    <row r="130">
      <c r="A130" s="76" t="s">
        <v>181</v>
      </c>
      <c r="B130" s="81" t="s">
        <v>2506</v>
      </c>
      <c r="C130" s="76" t="s">
        <v>2388</v>
      </c>
      <c r="D130" s="81" t="s">
        <v>2444</v>
      </c>
      <c r="E130" s="28" t="s">
        <v>1198</v>
      </c>
      <c r="F130" s="119"/>
      <c r="G130" s="119"/>
      <c r="H130" s="119"/>
      <c r="I130" s="119"/>
      <c r="J130" s="119"/>
      <c r="K130" s="119"/>
      <c r="L130" s="119"/>
      <c r="M130" s="119"/>
      <c r="N130" s="119"/>
      <c r="O130" s="119"/>
      <c r="P130" s="119"/>
      <c r="Q130" s="119"/>
      <c r="R130" s="119"/>
      <c r="S130" s="80"/>
      <c r="T130" s="119"/>
      <c r="U130" s="119"/>
      <c r="V130" s="119"/>
      <c r="W130" s="119"/>
      <c r="X130" s="119"/>
      <c r="Y130" s="119"/>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row>
    <row r="131">
      <c r="A131" s="76" t="s">
        <v>181</v>
      </c>
      <c r="B131" s="81" t="s">
        <v>2507</v>
      </c>
      <c r="C131" s="76" t="s">
        <v>2388</v>
      </c>
      <c r="D131" s="81" t="s">
        <v>2444</v>
      </c>
      <c r="E131" s="28" t="s">
        <v>1198</v>
      </c>
      <c r="F131" s="119"/>
      <c r="G131" s="119"/>
      <c r="H131" s="119"/>
      <c r="I131" s="119"/>
      <c r="J131" s="119"/>
      <c r="K131" s="119"/>
      <c r="L131" s="119"/>
      <c r="M131" s="119"/>
      <c r="N131" s="119"/>
      <c r="O131" s="119"/>
      <c r="P131" s="119"/>
      <c r="Q131" s="119"/>
      <c r="R131" s="119"/>
      <c r="S131" s="80"/>
      <c r="T131" s="119"/>
      <c r="U131" s="119"/>
      <c r="V131" s="119"/>
      <c r="W131" s="119"/>
      <c r="X131" s="119"/>
      <c r="Y131" s="119"/>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row>
    <row r="132">
      <c r="A132" s="76" t="s">
        <v>181</v>
      </c>
      <c r="B132" s="81" t="s">
        <v>2508</v>
      </c>
      <c r="C132" s="76" t="s">
        <v>2388</v>
      </c>
      <c r="D132" s="81" t="s">
        <v>2444</v>
      </c>
      <c r="E132" s="28" t="s">
        <v>1198</v>
      </c>
      <c r="F132" s="119"/>
      <c r="G132" s="119"/>
      <c r="H132" s="119"/>
      <c r="I132" s="119"/>
      <c r="J132" s="119"/>
      <c r="K132" s="119"/>
      <c r="L132" s="119"/>
      <c r="M132" s="119"/>
      <c r="N132" s="119"/>
      <c r="O132" s="119"/>
      <c r="P132" s="119"/>
      <c r="Q132" s="119"/>
      <c r="R132" s="119"/>
      <c r="S132" s="80"/>
      <c r="T132" s="119"/>
      <c r="U132" s="119"/>
      <c r="V132" s="119"/>
      <c r="W132" s="119"/>
      <c r="X132" s="119"/>
      <c r="Y132" s="119"/>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row>
    <row r="133">
      <c r="A133" s="76" t="s">
        <v>181</v>
      </c>
      <c r="B133" s="81" t="s">
        <v>2509</v>
      </c>
      <c r="C133" s="76" t="s">
        <v>2388</v>
      </c>
      <c r="D133" s="81" t="s">
        <v>2444</v>
      </c>
      <c r="E133" s="28" t="s">
        <v>1198</v>
      </c>
      <c r="F133" s="119"/>
      <c r="G133" s="119"/>
      <c r="H133" s="119"/>
      <c r="I133" s="119"/>
      <c r="J133" s="119"/>
      <c r="K133" s="119"/>
      <c r="L133" s="119"/>
      <c r="M133" s="119"/>
      <c r="N133" s="119"/>
      <c r="O133" s="119"/>
      <c r="P133" s="119"/>
      <c r="Q133" s="119"/>
      <c r="R133" s="119"/>
      <c r="S133" s="80"/>
      <c r="T133" s="119"/>
      <c r="U133" s="119"/>
      <c r="V133" s="119"/>
      <c r="W133" s="119"/>
      <c r="X133" s="119"/>
      <c r="Y133" s="119"/>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row>
    <row r="134">
      <c r="A134" s="76" t="s">
        <v>181</v>
      </c>
      <c r="B134" s="81" t="s">
        <v>2510</v>
      </c>
      <c r="C134" s="76" t="s">
        <v>2388</v>
      </c>
      <c r="D134" s="81" t="s">
        <v>2444</v>
      </c>
      <c r="E134" s="28" t="s">
        <v>1198</v>
      </c>
      <c r="F134" s="119"/>
      <c r="G134" s="119"/>
      <c r="H134" s="119"/>
      <c r="I134" s="119"/>
      <c r="J134" s="119"/>
      <c r="K134" s="119"/>
      <c r="L134" s="119"/>
      <c r="M134" s="119"/>
      <c r="N134" s="119"/>
      <c r="O134" s="119"/>
      <c r="P134" s="119"/>
      <c r="Q134" s="119"/>
      <c r="R134" s="119"/>
      <c r="S134" s="80"/>
      <c r="T134" s="119"/>
      <c r="U134" s="119"/>
      <c r="V134" s="119"/>
      <c r="W134" s="119"/>
      <c r="X134" s="119"/>
      <c r="Y134" s="119"/>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row>
    <row r="135">
      <c r="A135" s="76" t="s">
        <v>181</v>
      </c>
      <c r="B135" s="81" t="s">
        <v>2511</v>
      </c>
      <c r="C135" s="76" t="s">
        <v>2388</v>
      </c>
      <c r="D135" s="81" t="s">
        <v>2444</v>
      </c>
      <c r="E135" s="28" t="s">
        <v>1198</v>
      </c>
      <c r="F135" s="119"/>
      <c r="G135" s="119"/>
      <c r="H135" s="119"/>
      <c r="I135" s="119"/>
      <c r="J135" s="119"/>
      <c r="K135" s="119"/>
      <c r="L135" s="119"/>
      <c r="M135" s="119"/>
      <c r="N135" s="119"/>
      <c r="O135" s="119"/>
      <c r="P135" s="119"/>
      <c r="Q135" s="119"/>
      <c r="R135" s="119"/>
      <c r="S135" s="80"/>
      <c r="T135" s="119"/>
      <c r="U135" s="119"/>
      <c r="V135" s="119"/>
      <c r="W135" s="119"/>
      <c r="X135" s="119"/>
      <c r="Y135" s="119"/>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c r="AX135" s="122"/>
      <c r="AY135" s="122"/>
    </row>
    <row r="136">
      <c r="A136" s="76" t="s">
        <v>181</v>
      </c>
      <c r="B136" s="81" t="s">
        <v>2512</v>
      </c>
      <c r="C136" s="76" t="s">
        <v>2388</v>
      </c>
      <c r="D136" s="81" t="s">
        <v>2444</v>
      </c>
      <c r="E136" s="28" t="s">
        <v>1198</v>
      </c>
      <c r="F136" s="119"/>
      <c r="G136" s="119"/>
      <c r="H136" s="119"/>
      <c r="I136" s="119"/>
      <c r="J136" s="119"/>
      <c r="K136" s="119"/>
      <c r="L136" s="119"/>
      <c r="M136" s="119"/>
      <c r="N136" s="119"/>
      <c r="O136" s="119"/>
      <c r="P136" s="119"/>
      <c r="Q136" s="119"/>
      <c r="R136" s="119"/>
      <c r="S136" s="80"/>
      <c r="T136" s="119"/>
      <c r="U136" s="119"/>
      <c r="V136" s="119"/>
      <c r="W136" s="119"/>
      <c r="X136" s="119"/>
      <c r="Y136" s="119"/>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c r="AY136" s="122"/>
    </row>
    <row r="137">
      <c r="A137" s="76" t="s">
        <v>181</v>
      </c>
      <c r="B137" s="81" t="s">
        <v>2513</v>
      </c>
      <c r="C137" s="76" t="s">
        <v>2388</v>
      </c>
      <c r="D137" s="81" t="s">
        <v>2444</v>
      </c>
      <c r="E137" s="28" t="s">
        <v>1198</v>
      </c>
      <c r="F137" s="119"/>
      <c r="G137" s="119"/>
      <c r="H137" s="119"/>
      <c r="I137" s="119"/>
      <c r="J137" s="119"/>
      <c r="K137" s="119"/>
      <c r="L137" s="119"/>
      <c r="M137" s="119"/>
      <c r="N137" s="119"/>
      <c r="O137" s="119"/>
      <c r="P137" s="119"/>
      <c r="Q137" s="119"/>
      <c r="R137" s="119"/>
      <c r="S137" s="80"/>
      <c r="T137" s="119"/>
      <c r="U137" s="119"/>
      <c r="V137" s="119"/>
      <c r="W137" s="119"/>
      <c r="X137" s="119"/>
      <c r="Y137" s="119"/>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c r="AX137" s="122"/>
      <c r="AY137" s="122"/>
    </row>
    <row r="138">
      <c r="A138" s="76" t="s">
        <v>181</v>
      </c>
      <c r="B138" s="81" t="s">
        <v>2514</v>
      </c>
      <c r="C138" s="76" t="s">
        <v>2388</v>
      </c>
      <c r="D138" s="81" t="s">
        <v>2444</v>
      </c>
      <c r="E138" s="28" t="s">
        <v>1198</v>
      </c>
      <c r="F138" s="119"/>
      <c r="G138" s="119"/>
      <c r="H138" s="119"/>
      <c r="I138" s="119"/>
      <c r="J138" s="119"/>
      <c r="K138" s="119"/>
      <c r="L138" s="119"/>
      <c r="M138" s="119"/>
      <c r="N138" s="119"/>
      <c r="O138" s="119"/>
      <c r="P138" s="119"/>
      <c r="Q138" s="119"/>
      <c r="R138" s="119"/>
      <c r="S138" s="80"/>
      <c r="T138" s="119"/>
      <c r="U138" s="119"/>
      <c r="V138" s="119"/>
      <c r="W138" s="119"/>
      <c r="X138" s="119"/>
      <c r="Y138" s="119"/>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c r="AX138" s="122"/>
      <c r="AY138" s="122"/>
    </row>
    <row r="139">
      <c r="A139" s="76" t="s">
        <v>181</v>
      </c>
      <c r="B139" s="76" t="s">
        <v>2515</v>
      </c>
      <c r="C139" s="76" t="s">
        <v>2388</v>
      </c>
      <c r="D139" s="81" t="s">
        <v>2444</v>
      </c>
      <c r="E139" s="28" t="s">
        <v>1198</v>
      </c>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c r="AX139" s="122"/>
      <c r="AY139" s="122"/>
    </row>
    <row r="140">
      <c r="A140" s="76" t="s">
        <v>181</v>
      </c>
      <c r="B140" s="76" t="s">
        <v>2516</v>
      </c>
      <c r="C140" s="76" t="s">
        <v>2388</v>
      </c>
      <c r="D140" s="81" t="s">
        <v>2444</v>
      </c>
      <c r="E140" s="28" t="s">
        <v>1198</v>
      </c>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c r="AX140" s="122"/>
      <c r="AY140" s="122"/>
    </row>
    <row r="141">
      <c r="A141" s="76" t="s">
        <v>181</v>
      </c>
      <c r="B141" s="76" t="s">
        <v>2517</v>
      </c>
      <c r="C141" s="76" t="s">
        <v>2388</v>
      </c>
      <c r="D141" s="81" t="s">
        <v>2444</v>
      </c>
      <c r="E141" s="28" t="s">
        <v>1198</v>
      </c>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c r="AX141" s="122"/>
      <c r="AY141" s="122"/>
    </row>
    <row r="142">
      <c r="A142" s="76" t="s">
        <v>181</v>
      </c>
      <c r="B142" s="76" t="s">
        <v>2518</v>
      </c>
      <c r="C142" s="76" t="s">
        <v>2388</v>
      </c>
      <c r="D142" s="81" t="s">
        <v>2444</v>
      </c>
      <c r="E142" s="28" t="s">
        <v>1198</v>
      </c>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c r="AX142" s="122"/>
      <c r="AY142" s="122"/>
    </row>
    <row r="143">
      <c r="A143" s="76" t="s">
        <v>181</v>
      </c>
      <c r="B143" s="76" t="s">
        <v>2519</v>
      </c>
      <c r="C143" s="76" t="s">
        <v>2388</v>
      </c>
      <c r="D143" s="81" t="s">
        <v>2444</v>
      </c>
      <c r="E143" s="28" t="s">
        <v>1198</v>
      </c>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c r="AX143" s="122"/>
      <c r="AY143" s="122"/>
    </row>
    <row r="144">
      <c r="A144" s="76" t="s">
        <v>181</v>
      </c>
      <c r="B144" s="76" t="s">
        <v>2520</v>
      </c>
      <c r="C144" s="76" t="s">
        <v>2388</v>
      </c>
      <c r="D144" s="81" t="s">
        <v>2444</v>
      </c>
      <c r="E144" s="28" t="s">
        <v>1198</v>
      </c>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c r="AX144" s="122"/>
      <c r="AY144" s="122"/>
    </row>
    <row r="145">
      <c r="A145" s="76" t="s">
        <v>181</v>
      </c>
      <c r="B145" s="76" t="s">
        <v>2521</v>
      </c>
      <c r="C145" s="76" t="s">
        <v>2388</v>
      </c>
      <c r="D145" s="81" t="s">
        <v>2444</v>
      </c>
      <c r="E145" s="28" t="s">
        <v>1198</v>
      </c>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c r="AX145" s="122"/>
      <c r="AY145" s="122"/>
    </row>
    <row r="146">
      <c r="A146" s="76" t="s">
        <v>181</v>
      </c>
      <c r="B146" s="76" t="s">
        <v>2522</v>
      </c>
      <c r="C146" s="76" t="s">
        <v>2388</v>
      </c>
      <c r="D146" s="81" t="s">
        <v>2444</v>
      </c>
      <c r="E146" s="28" t="s">
        <v>1198</v>
      </c>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c r="AX146" s="122"/>
      <c r="AY146" s="122"/>
    </row>
    <row r="147">
      <c r="A147" s="76" t="s">
        <v>181</v>
      </c>
      <c r="B147" s="76" t="s">
        <v>2523</v>
      </c>
      <c r="C147" s="76" t="s">
        <v>2388</v>
      </c>
      <c r="D147" s="81" t="s">
        <v>2444</v>
      </c>
      <c r="E147" s="28" t="s">
        <v>1198</v>
      </c>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c r="AX147" s="122"/>
      <c r="AY147" s="122"/>
    </row>
    <row r="148">
      <c r="A148" s="76" t="s">
        <v>181</v>
      </c>
      <c r="B148" s="76" t="s">
        <v>2524</v>
      </c>
      <c r="C148" s="76" t="s">
        <v>2388</v>
      </c>
      <c r="D148" s="81" t="s">
        <v>2444</v>
      </c>
      <c r="E148" s="28" t="s">
        <v>1198</v>
      </c>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row>
    <row r="149">
      <c r="A149" s="76" t="s">
        <v>181</v>
      </c>
      <c r="B149" s="76" t="s">
        <v>2525</v>
      </c>
      <c r="C149" s="76" t="s">
        <v>2388</v>
      </c>
      <c r="D149" s="81" t="s">
        <v>2444</v>
      </c>
      <c r="E149" s="28" t="s">
        <v>1198</v>
      </c>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c r="AX149" s="122"/>
      <c r="AY149" s="122"/>
    </row>
    <row r="150">
      <c r="A150" s="76" t="s">
        <v>181</v>
      </c>
      <c r="B150" s="76" t="s">
        <v>2526</v>
      </c>
      <c r="C150" s="76" t="s">
        <v>2388</v>
      </c>
      <c r="D150" s="81" t="s">
        <v>2444</v>
      </c>
      <c r="E150" s="28" t="s">
        <v>1198</v>
      </c>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c r="AX150" s="122"/>
      <c r="AY150" s="122"/>
    </row>
    <row r="151">
      <c r="A151" s="76" t="s">
        <v>181</v>
      </c>
      <c r="B151" s="76" t="s">
        <v>2527</v>
      </c>
      <c r="C151" s="76" t="s">
        <v>2388</v>
      </c>
      <c r="D151" s="81" t="s">
        <v>2444</v>
      </c>
      <c r="E151" s="28" t="s">
        <v>1198</v>
      </c>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c r="AX151" s="122"/>
      <c r="AY151" s="122"/>
    </row>
    <row r="152">
      <c r="A152" s="76" t="s">
        <v>181</v>
      </c>
      <c r="B152" s="76" t="s">
        <v>2528</v>
      </c>
      <c r="C152" s="76" t="s">
        <v>2388</v>
      </c>
      <c r="D152" s="81" t="s">
        <v>2444</v>
      </c>
      <c r="E152" s="28" t="s">
        <v>1198</v>
      </c>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c r="AX152" s="122"/>
      <c r="AY152" s="122"/>
    </row>
    <row r="153">
      <c r="A153" s="76" t="s">
        <v>181</v>
      </c>
      <c r="B153" s="76" t="s">
        <v>2529</v>
      </c>
      <c r="C153" s="76" t="s">
        <v>2388</v>
      </c>
      <c r="D153" s="81" t="s">
        <v>2444</v>
      </c>
      <c r="E153" s="28" t="s">
        <v>1198</v>
      </c>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row>
    <row r="154">
      <c r="A154" s="76" t="s">
        <v>181</v>
      </c>
      <c r="B154" s="76" t="s">
        <v>2530</v>
      </c>
      <c r="C154" s="76" t="s">
        <v>2388</v>
      </c>
      <c r="D154" s="81" t="s">
        <v>2444</v>
      </c>
      <c r="E154" s="28" t="s">
        <v>1198</v>
      </c>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c r="AX154" s="122"/>
      <c r="AY154" s="122"/>
    </row>
    <row r="155">
      <c r="A155" s="76" t="s">
        <v>181</v>
      </c>
      <c r="B155" s="76" t="s">
        <v>2531</v>
      </c>
      <c r="C155" s="76" t="s">
        <v>2388</v>
      </c>
      <c r="D155" s="81" t="s">
        <v>2444</v>
      </c>
      <c r="E155" s="28" t="s">
        <v>1198</v>
      </c>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c r="AX155" s="122"/>
      <c r="AY155" s="122"/>
    </row>
    <row r="156">
      <c r="A156" s="76" t="s">
        <v>181</v>
      </c>
      <c r="B156" s="76" t="s">
        <v>2532</v>
      </c>
      <c r="C156" s="76" t="s">
        <v>2388</v>
      </c>
      <c r="D156" s="81" t="s">
        <v>2444</v>
      </c>
      <c r="E156" s="28" t="s">
        <v>1198</v>
      </c>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c r="AX156" s="122"/>
      <c r="AY156" s="122"/>
    </row>
    <row r="157">
      <c r="A157" s="76" t="s">
        <v>181</v>
      </c>
      <c r="B157" s="76" t="s">
        <v>2533</v>
      </c>
      <c r="C157" s="76" t="s">
        <v>2388</v>
      </c>
      <c r="D157" s="81" t="s">
        <v>2444</v>
      </c>
      <c r="E157" s="28" t="s">
        <v>1198</v>
      </c>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row>
    <row r="158">
      <c r="A158" s="76" t="s">
        <v>181</v>
      </c>
      <c r="B158" s="76" t="s">
        <v>2534</v>
      </c>
      <c r="C158" s="76" t="s">
        <v>2388</v>
      </c>
      <c r="D158" s="81" t="s">
        <v>2444</v>
      </c>
      <c r="E158" s="28" t="s">
        <v>1198</v>
      </c>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c r="AX158" s="122"/>
      <c r="AY158" s="122"/>
    </row>
    <row r="159">
      <c r="A159" s="76" t="s">
        <v>181</v>
      </c>
      <c r="B159" s="76" t="s">
        <v>2535</v>
      </c>
      <c r="C159" s="76" t="s">
        <v>2388</v>
      </c>
      <c r="D159" s="81" t="s">
        <v>2444</v>
      </c>
      <c r="E159" s="28" t="s">
        <v>1198</v>
      </c>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row>
    <row r="160">
      <c r="A160" s="76" t="s">
        <v>181</v>
      </c>
      <c r="B160" s="76" t="s">
        <v>2536</v>
      </c>
      <c r="C160" s="76" t="s">
        <v>2388</v>
      </c>
      <c r="D160" s="81" t="s">
        <v>2444</v>
      </c>
      <c r="E160" s="28" t="s">
        <v>1198</v>
      </c>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c r="AX160" s="122"/>
      <c r="AY160" s="122"/>
    </row>
    <row r="161">
      <c r="A161" s="76" t="s">
        <v>181</v>
      </c>
      <c r="B161" s="76" t="s">
        <v>2537</v>
      </c>
      <c r="C161" s="76" t="s">
        <v>2388</v>
      </c>
      <c r="D161" s="81" t="s">
        <v>2444</v>
      </c>
      <c r="E161" s="28" t="s">
        <v>1198</v>
      </c>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c r="AX161" s="122"/>
      <c r="AY161" s="122"/>
    </row>
    <row r="162">
      <c r="A162" s="76" t="s">
        <v>181</v>
      </c>
      <c r="B162" s="76" t="s">
        <v>408</v>
      </c>
      <c r="C162" s="76" t="s">
        <v>2394</v>
      </c>
      <c r="D162" s="76" t="s">
        <v>2469</v>
      </c>
      <c r="E162" s="28" t="s">
        <v>1198</v>
      </c>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row>
    <row r="163">
      <c r="A163" s="76" t="s">
        <v>181</v>
      </c>
      <c r="B163" s="76" t="s">
        <v>2538</v>
      </c>
      <c r="C163" s="76" t="s">
        <v>2388</v>
      </c>
      <c r="D163" s="81" t="s">
        <v>2444</v>
      </c>
      <c r="E163" s="28" t="s">
        <v>1198</v>
      </c>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row>
    <row r="164">
      <c r="A164" s="76" t="s">
        <v>181</v>
      </c>
      <c r="B164" s="76" t="s">
        <v>2539</v>
      </c>
      <c r="C164" s="76" t="s">
        <v>2388</v>
      </c>
      <c r="D164" s="81" t="s">
        <v>2444</v>
      </c>
      <c r="E164" s="28" t="s">
        <v>1198</v>
      </c>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row>
    <row r="165">
      <c r="A165" s="76" t="s">
        <v>181</v>
      </c>
      <c r="B165" s="76" t="s">
        <v>2540</v>
      </c>
      <c r="C165" s="76" t="s">
        <v>2388</v>
      </c>
      <c r="D165" s="81" t="s">
        <v>2444</v>
      </c>
      <c r="E165" s="28" t="s">
        <v>1198</v>
      </c>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row>
    <row r="166">
      <c r="A166" s="76" t="s">
        <v>181</v>
      </c>
      <c r="B166" s="76" t="s">
        <v>2541</v>
      </c>
      <c r="C166" s="76" t="s">
        <v>2388</v>
      </c>
      <c r="D166" s="81" t="s">
        <v>2444</v>
      </c>
      <c r="E166" s="28" t="s">
        <v>1198</v>
      </c>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c r="AX166" s="122"/>
      <c r="AY166" s="122"/>
    </row>
    <row r="167">
      <c r="A167" s="76" t="s">
        <v>181</v>
      </c>
      <c r="B167" s="76" t="s">
        <v>2542</v>
      </c>
      <c r="C167" s="76" t="s">
        <v>2388</v>
      </c>
      <c r="D167" s="81" t="s">
        <v>2444</v>
      </c>
      <c r="E167" s="28" t="s">
        <v>1198</v>
      </c>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c r="AX167" s="122"/>
      <c r="AY167" s="122"/>
    </row>
    <row r="168">
      <c r="A168" s="76" t="s">
        <v>181</v>
      </c>
      <c r="B168" s="76" t="s">
        <v>2543</v>
      </c>
      <c r="C168" s="76" t="s">
        <v>2388</v>
      </c>
      <c r="D168" s="81" t="s">
        <v>2444</v>
      </c>
      <c r="E168" s="28" t="s">
        <v>1198</v>
      </c>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c r="AX168" s="122"/>
      <c r="AY168" s="122"/>
    </row>
    <row r="169">
      <c r="A169" s="76" t="s">
        <v>181</v>
      </c>
      <c r="B169" s="76" t="s">
        <v>2544</v>
      </c>
      <c r="C169" s="76" t="s">
        <v>2388</v>
      </c>
      <c r="D169" s="81" t="s">
        <v>2444</v>
      </c>
      <c r="E169" s="28" t="s">
        <v>1198</v>
      </c>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c r="AX169" s="122"/>
      <c r="AY169" s="122"/>
    </row>
    <row r="170">
      <c r="A170" s="76" t="s">
        <v>181</v>
      </c>
      <c r="B170" s="76" t="s">
        <v>2545</v>
      </c>
      <c r="C170" s="76" t="s">
        <v>2388</v>
      </c>
      <c r="D170" s="81" t="s">
        <v>2444</v>
      </c>
      <c r="E170" s="28" t="s">
        <v>1198</v>
      </c>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c r="AX170" s="122"/>
      <c r="AY170" s="122"/>
    </row>
    <row r="171">
      <c r="A171" s="76" t="s">
        <v>181</v>
      </c>
      <c r="B171" s="76" t="s">
        <v>2546</v>
      </c>
      <c r="C171" s="76" t="s">
        <v>2388</v>
      </c>
      <c r="D171" s="81" t="s">
        <v>2444</v>
      </c>
      <c r="E171" s="28" t="s">
        <v>1198</v>
      </c>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c r="AX171" s="122"/>
      <c r="AY171" s="122"/>
    </row>
    <row r="172">
      <c r="A172" s="76" t="s">
        <v>181</v>
      </c>
      <c r="B172" s="76" t="s">
        <v>2547</v>
      </c>
      <c r="C172" s="76" t="s">
        <v>2388</v>
      </c>
      <c r="D172" s="81" t="s">
        <v>2444</v>
      </c>
      <c r="E172" s="28" t="s">
        <v>1198</v>
      </c>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c r="AX172" s="122"/>
      <c r="AY172" s="122"/>
    </row>
    <row r="173">
      <c r="A173" s="76" t="s">
        <v>181</v>
      </c>
      <c r="B173" s="76" t="s">
        <v>2548</v>
      </c>
      <c r="C173" s="76" t="s">
        <v>2388</v>
      </c>
      <c r="D173" s="81" t="s">
        <v>2444</v>
      </c>
      <c r="E173" s="28" t="s">
        <v>1198</v>
      </c>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c r="AX173" s="122"/>
      <c r="AY173" s="122"/>
    </row>
    <row r="174">
      <c r="A174" s="76" t="s">
        <v>181</v>
      </c>
      <c r="B174" s="76" t="s">
        <v>2549</v>
      </c>
      <c r="C174" s="76" t="s">
        <v>2388</v>
      </c>
      <c r="D174" s="81" t="s">
        <v>2444</v>
      </c>
      <c r="E174" s="28" t="s">
        <v>1198</v>
      </c>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row>
    <row r="175">
      <c r="A175" s="76" t="s">
        <v>181</v>
      </c>
      <c r="B175" s="76" t="s">
        <v>2550</v>
      </c>
      <c r="C175" s="76" t="s">
        <v>2388</v>
      </c>
      <c r="D175" s="81" t="s">
        <v>2444</v>
      </c>
      <c r="E175" s="28" t="s">
        <v>1198</v>
      </c>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c r="AY175" s="122"/>
    </row>
    <row r="176">
      <c r="A176" s="87" t="s">
        <v>181</v>
      </c>
      <c r="B176" s="88" t="s">
        <v>206</v>
      </c>
      <c r="C176" s="81" t="s">
        <v>2394</v>
      </c>
      <c r="D176" s="28" t="s">
        <v>2551</v>
      </c>
      <c r="E176" s="28" t="s">
        <v>1437</v>
      </c>
      <c r="F176" s="137"/>
      <c r="G176" s="87"/>
      <c r="H176" s="87"/>
      <c r="I176" s="87"/>
      <c r="J176" s="87"/>
      <c r="K176" s="86"/>
      <c r="L176" s="86"/>
      <c r="M176" s="119"/>
      <c r="N176" s="232"/>
      <c r="O176" s="119"/>
      <c r="P176" s="119"/>
      <c r="Q176" s="122"/>
      <c r="R176" s="28"/>
      <c r="S176" s="122"/>
      <c r="T176" s="122"/>
      <c r="U176" s="122"/>
      <c r="V176" s="122"/>
      <c r="W176" s="122"/>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c r="AX176" s="122"/>
      <c r="AY176" s="122"/>
    </row>
    <row r="177">
      <c r="A177" s="122" t="s">
        <v>261</v>
      </c>
      <c r="B177" s="78" t="s">
        <v>2552</v>
      </c>
      <c r="C177" s="76" t="s">
        <v>2388</v>
      </c>
      <c r="D177" s="122" t="s">
        <v>2553</v>
      </c>
      <c r="E177" s="28" t="s">
        <v>1198</v>
      </c>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c r="AX177" s="122"/>
      <c r="AY177" s="122"/>
    </row>
    <row r="178" ht="15.0" customHeight="1">
      <c r="A178" s="26" t="s">
        <v>261</v>
      </c>
      <c r="B178" s="159" t="s">
        <v>2554</v>
      </c>
      <c r="C178" s="76" t="s">
        <v>2388</v>
      </c>
      <c r="D178" s="72" t="s">
        <v>2555</v>
      </c>
      <c r="E178" s="28" t="s">
        <v>1198</v>
      </c>
      <c r="F178" s="72"/>
      <c r="G178" s="27"/>
      <c r="H178" s="27"/>
      <c r="I178" s="27"/>
      <c r="J178" s="72"/>
      <c r="K178" s="90"/>
      <c r="L178" s="27"/>
      <c r="M178" s="72"/>
      <c r="N178" s="159"/>
      <c r="O178" s="72"/>
      <c r="P178" s="27"/>
      <c r="Q178" s="72"/>
      <c r="R178" s="72"/>
      <c r="S178" s="114"/>
      <c r="T178" s="72"/>
      <c r="U178" s="27"/>
      <c r="V178" s="72"/>
      <c r="W178" s="159"/>
      <c r="X178" s="72"/>
      <c r="Y178" s="27"/>
      <c r="Z178" s="27"/>
      <c r="AA178" s="27"/>
      <c r="AI178" s="122"/>
      <c r="AJ178" s="122"/>
      <c r="AK178" s="122"/>
      <c r="AL178" s="122"/>
      <c r="AM178" s="122"/>
      <c r="AN178" s="122"/>
      <c r="AO178" s="122"/>
      <c r="AP178" s="122"/>
      <c r="AQ178" s="122"/>
      <c r="AR178" s="122"/>
      <c r="AS178" s="122"/>
      <c r="AT178" s="122"/>
      <c r="AU178" s="122"/>
      <c r="AV178" s="122"/>
      <c r="AW178" s="122"/>
      <c r="AX178" s="122"/>
      <c r="AY178" s="122"/>
    </row>
    <row r="179">
      <c r="A179" s="78" t="s">
        <v>261</v>
      </c>
      <c r="B179" s="78" t="s">
        <v>2556</v>
      </c>
      <c r="C179" s="76" t="s">
        <v>2388</v>
      </c>
      <c r="D179" s="76" t="s">
        <v>2557</v>
      </c>
      <c r="E179" s="28" t="s">
        <v>1198</v>
      </c>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c r="AX179" s="122"/>
      <c r="AY179" s="122"/>
    </row>
    <row r="180">
      <c r="A180" s="114" t="s">
        <v>181</v>
      </c>
      <c r="B180" s="159" t="s">
        <v>214</v>
      </c>
      <c r="C180" s="81" t="s">
        <v>2388</v>
      </c>
      <c r="D180" s="233" t="s">
        <v>2558</v>
      </c>
      <c r="E180" s="28" t="s">
        <v>1437</v>
      </c>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c r="AI180" s="122"/>
      <c r="AJ180" s="122"/>
      <c r="AK180" s="122"/>
      <c r="AL180" s="122"/>
      <c r="AM180" s="122"/>
      <c r="AN180" s="122"/>
      <c r="AO180" s="122"/>
      <c r="AP180" s="122"/>
      <c r="AQ180" s="122"/>
      <c r="AR180" s="122"/>
      <c r="AS180" s="122"/>
      <c r="AT180" s="122"/>
      <c r="AU180" s="122"/>
      <c r="AV180" s="122"/>
      <c r="AW180" s="122"/>
      <c r="AX180" s="122"/>
      <c r="AY180" s="122"/>
    </row>
    <row r="181">
      <c r="A181" s="28" t="s">
        <v>93</v>
      </c>
      <c r="B181" s="84" t="s">
        <v>830</v>
      </c>
      <c r="C181" s="81" t="s">
        <v>2394</v>
      </c>
      <c r="D181" s="234" t="s">
        <v>2559</v>
      </c>
      <c r="E181" s="28" t="s">
        <v>1437</v>
      </c>
      <c r="F181" s="42"/>
      <c r="G181" s="28"/>
      <c r="H181" s="28"/>
      <c r="I181" s="28"/>
      <c r="J181" s="28"/>
      <c r="K181" s="42"/>
      <c r="L181" s="42"/>
      <c r="M181" s="87"/>
      <c r="N181" s="89"/>
      <c r="O181" s="87"/>
      <c r="P181" s="87"/>
      <c r="Q181" s="76"/>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c r="AX181" s="122"/>
      <c r="AY181" s="122"/>
    </row>
    <row r="182">
      <c r="A182" s="28" t="s">
        <v>261</v>
      </c>
      <c r="B182" s="78" t="s">
        <v>421</v>
      </c>
      <c r="C182" s="81" t="s">
        <v>2394</v>
      </c>
      <c r="D182" s="235" t="s">
        <v>2559</v>
      </c>
      <c r="E182" s="28" t="s">
        <v>1437</v>
      </c>
      <c r="F182" s="122"/>
      <c r="G182" s="28"/>
      <c r="H182" s="28"/>
      <c r="I182" s="28"/>
      <c r="J182" s="236"/>
      <c r="K182" s="28"/>
      <c r="L182" s="28"/>
      <c r="M182" s="87"/>
      <c r="N182" s="89"/>
      <c r="O182" s="87"/>
      <c r="P182" s="87"/>
      <c r="Q182" s="76"/>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c r="AX182" s="122"/>
      <c r="AY182" s="122"/>
    </row>
    <row r="183" ht="15.0" customHeight="1">
      <c r="A183" s="26" t="s">
        <v>261</v>
      </c>
      <c r="B183" s="159" t="s">
        <v>2560</v>
      </c>
      <c r="C183" s="81" t="s">
        <v>2388</v>
      </c>
      <c r="D183" s="233" t="s">
        <v>2561</v>
      </c>
      <c r="E183" s="28" t="s">
        <v>1198</v>
      </c>
      <c r="F183" s="72" t="s">
        <v>559</v>
      </c>
      <c r="G183" s="27" t="s">
        <v>2562</v>
      </c>
      <c r="H183" s="27"/>
      <c r="I183" s="27" t="s">
        <v>620</v>
      </c>
      <c r="J183" s="72" t="s">
        <v>620</v>
      </c>
      <c r="K183" s="27" t="s">
        <v>2563</v>
      </c>
      <c r="L183" s="27" t="s">
        <v>2564</v>
      </c>
      <c r="M183" s="71" t="s">
        <v>2565</v>
      </c>
      <c r="N183" s="74">
        <v>2025.0</v>
      </c>
      <c r="O183" s="157" t="s">
        <v>989</v>
      </c>
      <c r="P183" s="157" t="s">
        <v>970</v>
      </c>
      <c r="Q183" s="117" t="s">
        <v>961</v>
      </c>
      <c r="R183" s="114"/>
      <c r="S183" s="114"/>
      <c r="T183" s="72"/>
      <c r="U183" s="27"/>
      <c r="V183" s="72"/>
      <c r="W183" s="159"/>
      <c r="X183" s="90"/>
      <c r="Y183" s="27"/>
      <c r="Z183" s="27"/>
      <c r="AA183" s="27"/>
      <c r="AK183" s="122"/>
      <c r="AL183" s="122"/>
      <c r="AM183" s="122"/>
      <c r="AN183" s="122"/>
      <c r="AO183" s="122"/>
      <c r="AP183" s="122"/>
      <c r="AQ183" s="122"/>
      <c r="AR183" s="122"/>
      <c r="AS183" s="122"/>
      <c r="AT183" s="122"/>
      <c r="AU183" s="122"/>
      <c r="AV183" s="122"/>
      <c r="AW183" s="122"/>
      <c r="AX183" s="122"/>
      <c r="AY183" s="122"/>
    </row>
    <row r="184">
      <c r="A184" s="71" t="s">
        <v>181</v>
      </c>
      <c r="B184" s="73" t="s">
        <v>707</v>
      </c>
      <c r="C184" s="81" t="s">
        <v>2394</v>
      </c>
      <c r="D184" s="71" t="s">
        <v>2559</v>
      </c>
      <c r="E184" s="28" t="s">
        <v>1437</v>
      </c>
      <c r="F184" s="70"/>
      <c r="G184" s="71"/>
      <c r="H184" s="71"/>
      <c r="I184" s="72"/>
      <c r="J184" s="237"/>
      <c r="K184" s="72"/>
      <c r="L184" s="72"/>
      <c r="M184" s="71"/>
      <c r="N184" s="74"/>
      <c r="O184" s="71"/>
      <c r="P184" s="71"/>
      <c r="Q184" s="67"/>
      <c r="AK184" s="122"/>
      <c r="AL184" s="122"/>
      <c r="AM184" s="122"/>
      <c r="AN184" s="122"/>
      <c r="AO184" s="122"/>
      <c r="AP184" s="122"/>
      <c r="AQ184" s="122"/>
      <c r="AR184" s="122"/>
      <c r="AS184" s="122"/>
      <c r="AT184" s="122"/>
      <c r="AU184" s="122"/>
      <c r="AV184" s="122"/>
      <c r="AW184" s="122"/>
      <c r="AX184" s="122"/>
      <c r="AY184" s="122"/>
    </row>
    <row r="185">
      <c r="A185" s="72" t="s">
        <v>347</v>
      </c>
      <c r="B185" s="159" t="s">
        <v>752</v>
      </c>
      <c r="C185" s="81" t="s">
        <v>2394</v>
      </c>
      <c r="D185" s="238" t="s">
        <v>2559</v>
      </c>
      <c r="E185" s="28" t="s">
        <v>1437</v>
      </c>
      <c r="F185" s="114"/>
      <c r="I185" s="70"/>
      <c r="J185" s="239"/>
      <c r="L185" s="114"/>
      <c r="M185" s="71"/>
      <c r="N185" s="74"/>
      <c r="O185" s="71"/>
      <c r="P185" s="71"/>
      <c r="Q185" s="67"/>
      <c r="AK185" s="122"/>
      <c r="AL185" s="122"/>
      <c r="AM185" s="122"/>
      <c r="AN185" s="122"/>
      <c r="AO185" s="122"/>
      <c r="AP185" s="122"/>
      <c r="AQ185" s="122"/>
      <c r="AR185" s="122"/>
      <c r="AS185" s="122"/>
      <c r="AT185" s="122"/>
      <c r="AU185" s="122"/>
      <c r="AV185" s="122"/>
      <c r="AW185" s="122"/>
      <c r="AX185" s="122"/>
      <c r="AY185" s="122"/>
    </row>
    <row r="186">
      <c r="A186" s="26" t="s">
        <v>507</v>
      </c>
      <c r="B186" s="159" t="s">
        <v>633</v>
      </c>
      <c r="C186" s="81" t="s">
        <v>2394</v>
      </c>
      <c r="D186" s="240" t="s">
        <v>2559</v>
      </c>
      <c r="E186" s="28" t="s">
        <v>1437</v>
      </c>
      <c r="F186" s="114"/>
      <c r="G186" s="72"/>
      <c r="H186" s="72"/>
      <c r="I186" s="72"/>
      <c r="K186" s="72"/>
      <c r="L186" s="72"/>
      <c r="M186" s="71"/>
      <c r="N186" s="74"/>
      <c r="O186" s="71"/>
      <c r="P186" s="71"/>
      <c r="Q186" s="159"/>
      <c r="R186" s="114"/>
      <c r="S186" s="114"/>
      <c r="T186" s="114"/>
      <c r="U186" s="114"/>
      <c r="V186" s="114"/>
      <c r="W186" s="114"/>
      <c r="X186" s="114"/>
      <c r="Y186" s="114"/>
      <c r="Z186" s="114"/>
      <c r="AA186" s="114"/>
      <c r="AC186" s="114"/>
      <c r="AD186" s="114"/>
      <c r="AE186" s="114"/>
      <c r="AF186" s="114"/>
      <c r="AG186" s="114"/>
      <c r="AH186" s="114"/>
      <c r="AI186" s="114"/>
      <c r="AJ186" s="114"/>
      <c r="AK186" s="122"/>
      <c r="AL186" s="122"/>
      <c r="AM186" s="122"/>
      <c r="AN186" s="122"/>
      <c r="AO186" s="122"/>
      <c r="AP186" s="122"/>
      <c r="AQ186" s="122"/>
      <c r="AR186" s="122"/>
      <c r="AS186" s="122"/>
      <c r="AT186" s="122"/>
      <c r="AU186" s="122"/>
      <c r="AV186" s="122"/>
      <c r="AW186" s="122"/>
      <c r="AX186" s="122"/>
      <c r="AY186" s="122"/>
    </row>
    <row r="187">
      <c r="A187" s="88" t="s">
        <v>431</v>
      </c>
      <c r="B187" s="39" t="s">
        <v>540</v>
      </c>
      <c r="C187" s="81" t="s">
        <v>2394</v>
      </c>
      <c r="D187" s="81" t="s">
        <v>2469</v>
      </c>
      <c r="E187" s="87" t="s">
        <v>1198</v>
      </c>
      <c r="F187" s="87"/>
      <c r="G187" s="87"/>
      <c r="H187" s="87"/>
      <c r="I187" s="86"/>
      <c r="J187" s="86"/>
      <c r="K187" s="119"/>
      <c r="L187" s="232"/>
      <c r="M187" s="119"/>
      <c r="N187" s="119"/>
      <c r="O187" s="28"/>
      <c r="P187" s="28"/>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c r="AX187" s="122"/>
      <c r="AY187" s="122"/>
    </row>
    <row r="188">
      <c r="A188" s="76" t="s">
        <v>261</v>
      </c>
      <c r="B188" s="37" t="s">
        <v>607</v>
      </c>
      <c r="C188" s="81" t="s">
        <v>2388</v>
      </c>
      <c r="D188" s="81" t="s">
        <v>2409</v>
      </c>
      <c r="E188" s="28" t="s">
        <v>961</v>
      </c>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c r="AX188" s="122"/>
      <c r="AY188" s="122"/>
    </row>
    <row r="189">
      <c r="A189" s="76" t="s">
        <v>261</v>
      </c>
      <c r="B189" s="37" t="s">
        <v>611</v>
      </c>
      <c r="C189" s="81" t="s">
        <v>2388</v>
      </c>
      <c r="D189" s="81" t="s">
        <v>2409</v>
      </c>
      <c r="E189" s="28" t="s">
        <v>961</v>
      </c>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c r="AW189" s="122"/>
      <c r="AX189" s="122"/>
      <c r="AY189" s="122"/>
    </row>
    <row r="190" ht="15.75" customHeight="1">
      <c r="A190" s="28" t="s">
        <v>261</v>
      </c>
      <c r="B190" s="80" t="s">
        <v>2566</v>
      </c>
      <c r="C190" s="81" t="s">
        <v>2388</v>
      </c>
      <c r="D190" s="81" t="s">
        <v>2444</v>
      </c>
      <c r="E190" s="28" t="s">
        <v>1198</v>
      </c>
      <c r="F190" s="151"/>
      <c r="G190" s="190"/>
      <c r="H190" s="190"/>
      <c r="I190" s="241"/>
      <c r="J190" s="81"/>
      <c r="K190" s="190"/>
      <c r="L190" s="190"/>
      <c r="M190" s="87"/>
      <c r="N190" s="89"/>
      <c r="O190" s="191"/>
      <c r="P190" s="191"/>
      <c r="Q190" s="81"/>
      <c r="R190" s="151"/>
      <c r="S190" s="192"/>
      <c r="T190" s="119"/>
      <c r="U190" s="42"/>
      <c r="V190" s="76"/>
      <c r="W190" s="86"/>
      <c r="X190" s="80"/>
      <c r="Y190" s="190"/>
      <c r="Z190" s="190"/>
      <c r="AA190" s="190"/>
      <c r="AB190" s="190"/>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c r="AW190" s="122"/>
      <c r="AX190" s="122"/>
      <c r="AY190" s="122"/>
    </row>
    <row r="191">
      <c r="A191" s="76"/>
      <c r="B191" s="76" t="s">
        <v>2567</v>
      </c>
      <c r="C191" s="81" t="s">
        <v>2394</v>
      </c>
      <c r="D191" s="81" t="s">
        <v>2568</v>
      </c>
      <c r="E191" s="28" t="s">
        <v>1198</v>
      </c>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c r="AW191" s="122"/>
      <c r="AX191" s="122"/>
      <c r="AY191" s="122"/>
    </row>
    <row r="192">
      <c r="A192" s="76"/>
      <c r="B192" s="76" t="s">
        <v>2569</v>
      </c>
      <c r="C192" s="81" t="s">
        <v>2394</v>
      </c>
      <c r="D192" s="81" t="s">
        <v>2568</v>
      </c>
      <c r="E192" s="28" t="s">
        <v>1198</v>
      </c>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c r="AW192" s="122"/>
      <c r="AX192" s="122"/>
      <c r="AY192" s="122"/>
    </row>
    <row r="193">
      <c r="A193" s="76"/>
      <c r="B193" s="76" t="s">
        <v>2570</v>
      </c>
      <c r="C193" s="81" t="s">
        <v>2388</v>
      </c>
      <c r="D193" s="81" t="s">
        <v>2444</v>
      </c>
      <c r="E193" s="28" t="s">
        <v>1198</v>
      </c>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c r="AW193" s="122"/>
      <c r="AX193" s="122"/>
      <c r="AY193" s="122"/>
    </row>
    <row r="194">
      <c r="A194" s="76"/>
      <c r="B194" s="76" t="s">
        <v>2571</v>
      </c>
      <c r="C194" s="81" t="s">
        <v>2394</v>
      </c>
      <c r="D194" s="81" t="s">
        <v>2572</v>
      </c>
      <c r="E194" s="28" t="s">
        <v>1198</v>
      </c>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c r="AX194" s="122"/>
      <c r="AY194" s="122"/>
    </row>
    <row r="195">
      <c r="A195" s="76"/>
      <c r="B195" s="76" t="s">
        <v>2573</v>
      </c>
      <c r="C195" s="81" t="s">
        <v>2394</v>
      </c>
      <c r="D195" s="81" t="s">
        <v>2574</v>
      </c>
      <c r="E195" s="28" t="s">
        <v>1198</v>
      </c>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c r="AX195" s="122"/>
      <c r="AY195" s="122"/>
    </row>
    <row r="196">
      <c r="A196" s="76"/>
      <c r="B196" s="76" t="s">
        <v>2575</v>
      </c>
      <c r="C196" s="81" t="s">
        <v>2394</v>
      </c>
      <c r="D196" s="81" t="s">
        <v>2568</v>
      </c>
      <c r="E196" s="28" t="s">
        <v>1198</v>
      </c>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c r="AX196" s="122"/>
      <c r="AY196" s="122"/>
    </row>
    <row r="197">
      <c r="A197" s="76"/>
      <c r="B197" s="76" t="s">
        <v>2576</v>
      </c>
      <c r="C197" s="81" t="s">
        <v>2394</v>
      </c>
      <c r="D197" s="81" t="s">
        <v>2568</v>
      </c>
      <c r="E197" s="28" t="s">
        <v>1198</v>
      </c>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c r="AX197" s="122"/>
      <c r="AY197" s="122"/>
    </row>
    <row r="198">
      <c r="A198" s="76"/>
      <c r="B198" s="76" t="s">
        <v>2577</v>
      </c>
      <c r="C198" s="81" t="s">
        <v>2394</v>
      </c>
      <c r="D198" s="81" t="s">
        <v>2568</v>
      </c>
      <c r="E198" s="28" t="s">
        <v>1198</v>
      </c>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c r="AX198" s="122"/>
      <c r="AY198" s="122"/>
    </row>
    <row r="199">
      <c r="A199" s="76"/>
      <c r="B199" s="76" t="s">
        <v>2578</v>
      </c>
      <c r="C199" s="81" t="s">
        <v>2394</v>
      </c>
      <c r="D199" s="81" t="s">
        <v>2568</v>
      </c>
      <c r="E199" s="28" t="s">
        <v>1198</v>
      </c>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c r="AW199" s="122"/>
      <c r="AX199" s="122"/>
      <c r="AY199" s="122"/>
    </row>
    <row r="200">
      <c r="A200" s="76"/>
      <c r="B200" s="76" t="s">
        <v>2579</v>
      </c>
      <c r="C200" s="81" t="s">
        <v>2394</v>
      </c>
      <c r="D200" s="81" t="s">
        <v>2444</v>
      </c>
      <c r="E200" s="28" t="s">
        <v>1198</v>
      </c>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c r="AW200" s="122"/>
      <c r="AX200" s="122"/>
      <c r="AY200" s="122"/>
    </row>
    <row r="201">
      <c r="A201" s="76"/>
      <c r="B201" s="76" t="s">
        <v>2580</v>
      </c>
      <c r="C201" s="81" t="s">
        <v>2394</v>
      </c>
      <c r="D201" s="81" t="s">
        <v>2568</v>
      </c>
      <c r="E201" s="28" t="s">
        <v>1198</v>
      </c>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c r="AW201" s="122"/>
      <c r="AX201" s="122"/>
      <c r="AY201" s="122"/>
    </row>
    <row r="202">
      <c r="A202" s="76"/>
      <c r="B202" s="76" t="s">
        <v>2581</v>
      </c>
      <c r="C202" s="81" t="s">
        <v>2394</v>
      </c>
      <c r="D202" s="81" t="s">
        <v>2444</v>
      </c>
      <c r="E202" s="28" t="s">
        <v>1198</v>
      </c>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c r="AX202" s="122"/>
      <c r="AY202" s="122"/>
    </row>
    <row r="203">
      <c r="A203" s="76"/>
      <c r="B203" s="76" t="s">
        <v>2582</v>
      </c>
      <c r="C203" s="81" t="s">
        <v>2394</v>
      </c>
      <c r="D203" s="81" t="s">
        <v>2568</v>
      </c>
      <c r="E203" s="28" t="s">
        <v>1198</v>
      </c>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c r="AW203" s="122"/>
      <c r="AX203" s="122"/>
      <c r="AY203" s="122"/>
    </row>
    <row r="204">
      <c r="A204" s="76"/>
      <c r="B204" s="76" t="s">
        <v>2583</v>
      </c>
      <c r="C204" s="81" t="s">
        <v>2394</v>
      </c>
      <c r="D204" s="81" t="s">
        <v>2568</v>
      </c>
      <c r="E204" s="28" t="s">
        <v>1198</v>
      </c>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c r="AB204" s="122"/>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c r="AW204" s="122"/>
      <c r="AX204" s="122"/>
      <c r="AY204" s="122"/>
    </row>
    <row r="205">
      <c r="A205" s="76"/>
      <c r="B205" s="76" t="s">
        <v>2584</v>
      </c>
      <c r="C205" s="81" t="s">
        <v>2394</v>
      </c>
      <c r="D205" s="81" t="s">
        <v>2568</v>
      </c>
      <c r="E205" s="28" t="s">
        <v>1198</v>
      </c>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c r="AX205" s="122"/>
      <c r="AY205" s="122"/>
    </row>
    <row r="206">
      <c r="A206" s="76"/>
      <c r="B206" s="76" t="s">
        <v>2585</v>
      </c>
      <c r="C206" s="81" t="s">
        <v>2394</v>
      </c>
      <c r="D206" s="76" t="s">
        <v>2395</v>
      </c>
      <c r="E206" s="28" t="s">
        <v>1198</v>
      </c>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c r="AX206" s="122"/>
      <c r="AY206" s="122"/>
    </row>
    <row r="207">
      <c r="A207" s="76"/>
      <c r="B207" s="76" t="s">
        <v>2586</v>
      </c>
      <c r="C207" s="81" t="s">
        <v>2394</v>
      </c>
      <c r="D207" s="76" t="s">
        <v>2395</v>
      </c>
      <c r="E207" s="28" t="s">
        <v>1198</v>
      </c>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c r="AW207" s="122"/>
      <c r="AX207" s="122"/>
      <c r="AY207" s="122"/>
    </row>
    <row r="208">
      <c r="A208" s="76"/>
      <c r="B208" s="76" t="s">
        <v>2311</v>
      </c>
      <c r="C208" s="81" t="s">
        <v>2394</v>
      </c>
      <c r="D208" s="76" t="s">
        <v>2395</v>
      </c>
      <c r="E208" s="28" t="s">
        <v>1198</v>
      </c>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c r="AW208" s="122"/>
      <c r="AX208" s="122"/>
      <c r="AY208" s="122"/>
    </row>
    <row r="209">
      <c r="A209" s="76"/>
      <c r="B209" s="76" t="s">
        <v>2587</v>
      </c>
      <c r="C209" s="81" t="s">
        <v>2394</v>
      </c>
      <c r="D209" s="76" t="s">
        <v>2395</v>
      </c>
      <c r="E209" s="28" t="s">
        <v>1198</v>
      </c>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c r="AX209" s="122"/>
      <c r="AY209" s="122"/>
    </row>
    <row r="210">
      <c r="A210" s="76"/>
      <c r="B210" s="76" t="s">
        <v>2588</v>
      </c>
      <c r="C210" s="81" t="s">
        <v>2394</v>
      </c>
      <c r="D210" s="76" t="s">
        <v>2395</v>
      </c>
      <c r="E210" s="28" t="s">
        <v>1198</v>
      </c>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c r="AB210" s="122"/>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c r="AW210" s="122"/>
      <c r="AX210" s="122"/>
      <c r="AY210" s="122"/>
    </row>
    <row r="211">
      <c r="A211" s="76"/>
      <c r="B211" s="76" t="s">
        <v>2332</v>
      </c>
      <c r="C211" s="81" t="s">
        <v>2394</v>
      </c>
      <c r="D211" s="76" t="s">
        <v>2395</v>
      </c>
      <c r="E211" s="28" t="s">
        <v>1198</v>
      </c>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c r="AB211" s="122"/>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c r="AW211" s="122"/>
      <c r="AX211" s="122"/>
      <c r="AY211" s="122"/>
    </row>
    <row r="212">
      <c r="A212" s="76"/>
      <c r="B212" s="76" t="s">
        <v>2589</v>
      </c>
      <c r="C212" s="81" t="s">
        <v>2394</v>
      </c>
      <c r="D212" s="81" t="s">
        <v>2444</v>
      </c>
      <c r="E212" s="28" t="s">
        <v>1198</v>
      </c>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c r="AB212" s="122"/>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c r="AW212" s="122"/>
      <c r="AX212" s="122"/>
      <c r="AY212" s="122"/>
    </row>
    <row r="213">
      <c r="A213" s="76"/>
      <c r="B213" s="76" t="s">
        <v>778</v>
      </c>
      <c r="C213" s="81" t="s">
        <v>2394</v>
      </c>
      <c r="D213" s="76" t="s">
        <v>2469</v>
      </c>
      <c r="E213" s="28" t="s">
        <v>1198</v>
      </c>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c r="AW213" s="122"/>
      <c r="AX213" s="122"/>
      <c r="AY213" s="122"/>
    </row>
    <row r="214">
      <c r="A214" s="76"/>
      <c r="B214" s="76" t="s">
        <v>2590</v>
      </c>
      <c r="C214" s="81" t="s">
        <v>2394</v>
      </c>
      <c r="D214" s="76" t="s">
        <v>2395</v>
      </c>
      <c r="E214" s="28" t="s">
        <v>1198</v>
      </c>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c r="AB214" s="122"/>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c r="AW214" s="122"/>
      <c r="AX214" s="122"/>
      <c r="AY214" s="122"/>
    </row>
    <row r="215">
      <c r="A215" s="26" t="s">
        <v>93</v>
      </c>
      <c r="B215" s="37" t="s">
        <v>173</v>
      </c>
      <c r="C215" s="26" t="s">
        <v>2394</v>
      </c>
      <c r="D215" s="26" t="s">
        <v>2559</v>
      </c>
      <c r="E215" s="26" t="s">
        <v>961</v>
      </c>
      <c r="F215" s="37"/>
      <c r="G215" s="37"/>
      <c r="H215" s="37"/>
      <c r="I215" s="72"/>
      <c r="J215" s="67"/>
      <c r="K215" s="37"/>
      <c r="L215" s="37"/>
      <c r="M215" s="71"/>
      <c r="N215" s="74"/>
      <c r="O215" s="71"/>
      <c r="P215" s="71"/>
      <c r="Q215" s="67"/>
      <c r="U215" s="39"/>
      <c r="V215" s="75"/>
      <c r="X215" s="152"/>
      <c r="AL215" s="122"/>
      <c r="AM215" s="122"/>
      <c r="AN215" s="122"/>
      <c r="AO215" s="122"/>
      <c r="AP215" s="122"/>
      <c r="AQ215" s="122"/>
      <c r="AR215" s="122"/>
      <c r="AS215" s="122"/>
      <c r="AT215" s="122"/>
      <c r="AU215" s="122"/>
      <c r="AV215" s="122"/>
      <c r="AW215" s="122"/>
      <c r="AX215" s="122"/>
      <c r="AY215" s="122"/>
    </row>
    <row r="216">
      <c r="A216" s="78"/>
      <c r="B216" s="78"/>
      <c r="C216" s="78"/>
      <c r="D216" s="78"/>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c r="AB216" s="122"/>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c r="AX216" s="122"/>
      <c r="AY216" s="122"/>
    </row>
    <row r="217">
      <c r="A217" s="78"/>
      <c r="B217" s="78"/>
      <c r="C217" s="78"/>
      <c r="D217" s="78"/>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c r="AB217" s="122"/>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c r="AX217" s="122"/>
      <c r="AY217" s="122"/>
    </row>
    <row r="218">
      <c r="A218" s="78"/>
      <c r="B218" s="78"/>
      <c r="C218" s="78"/>
      <c r="D218" s="78"/>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c r="AX218" s="122"/>
      <c r="AY218" s="122"/>
    </row>
    <row r="219">
      <c r="A219" s="78"/>
      <c r="B219" s="78"/>
      <c r="C219" s="78"/>
      <c r="D219" s="78"/>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c r="AX219" s="122"/>
      <c r="AY219" s="122"/>
    </row>
    <row r="220">
      <c r="A220" s="78"/>
      <c r="B220" s="78"/>
      <c r="C220" s="78"/>
      <c r="D220" s="78"/>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c r="AX220" s="122"/>
      <c r="AY220" s="122"/>
    </row>
    <row r="221">
      <c r="A221" s="78"/>
      <c r="B221" s="78"/>
      <c r="C221" s="78"/>
      <c r="D221" s="78"/>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c r="AX221" s="122"/>
      <c r="AY221" s="122"/>
    </row>
    <row r="222">
      <c r="A222" s="78"/>
      <c r="B222" s="78"/>
      <c r="C222" s="78"/>
      <c r="D222" s="78"/>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c r="AX222" s="122"/>
      <c r="AY222" s="122"/>
    </row>
    <row r="223">
      <c r="A223" s="78"/>
      <c r="B223" s="78"/>
      <c r="C223" s="78"/>
      <c r="D223" s="78"/>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c r="AX223" s="122"/>
      <c r="AY223" s="122"/>
    </row>
    <row r="224">
      <c r="A224" s="78"/>
      <c r="B224" s="78"/>
      <c r="C224" s="78"/>
      <c r="D224" s="78"/>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c r="AX224" s="122"/>
      <c r="AY224" s="122"/>
    </row>
    <row r="225">
      <c r="A225" s="78"/>
      <c r="B225" s="78"/>
      <c r="C225" s="78"/>
      <c r="D225" s="78"/>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c r="AX225" s="122"/>
      <c r="AY225" s="122"/>
    </row>
    <row r="226">
      <c r="A226" s="78"/>
      <c r="B226" s="78"/>
      <c r="C226" s="78"/>
      <c r="D226" s="78"/>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c r="AX226" s="122"/>
      <c r="AY226" s="122"/>
    </row>
    <row r="227">
      <c r="A227" s="78"/>
      <c r="B227" s="78"/>
      <c r="C227" s="78"/>
      <c r="D227" s="78"/>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c r="AX227" s="122"/>
      <c r="AY227" s="122"/>
    </row>
    <row r="228">
      <c r="A228" s="78"/>
      <c r="B228" s="78"/>
      <c r="C228" s="78"/>
      <c r="D228" s="78"/>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c r="AX228" s="122"/>
      <c r="AY228" s="122"/>
    </row>
    <row r="229">
      <c r="A229" s="78"/>
      <c r="B229" s="78"/>
      <c r="C229" s="78"/>
      <c r="D229" s="78"/>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c r="AW229" s="122"/>
      <c r="AX229" s="122"/>
      <c r="AY229" s="122"/>
    </row>
    <row r="230">
      <c r="A230" s="78"/>
      <c r="B230" s="78"/>
      <c r="C230" s="78"/>
      <c r="D230" s="78"/>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c r="AX230" s="122"/>
      <c r="AY230" s="122"/>
    </row>
    <row r="231">
      <c r="A231" s="78"/>
      <c r="B231" s="78"/>
      <c r="C231" s="78"/>
      <c r="D231" s="78"/>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c r="AX231" s="122"/>
      <c r="AY231" s="122"/>
    </row>
    <row r="232">
      <c r="A232" s="78"/>
      <c r="B232" s="78"/>
      <c r="C232" s="78"/>
      <c r="D232" s="78"/>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c r="AW232" s="122"/>
      <c r="AX232" s="122"/>
      <c r="AY232" s="122"/>
    </row>
    <row r="233">
      <c r="A233" s="78"/>
      <c r="B233" s="78"/>
      <c r="C233" s="78"/>
      <c r="D233" s="78"/>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c r="AW233" s="122"/>
      <c r="AX233" s="122"/>
      <c r="AY233" s="122"/>
    </row>
    <row r="234">
      <c r="A234" s="78"/>
      <c r="B234" s="78"/>
      <c r="C234" s="78"/>
      <c r="D234" s="78"/>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c r="AW234" s="122"/>
      <c r="AX234" s="122"/>
      <c r="AY234" s="122"/>
    </row>
    <row r="235">
      <c r="A235" s="78"/>
      <c r="B235" s="78"/>
      <c r="C235" s="78"/>
      <c r="D235" s="78"/>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c r="AW235" s="122"/>
      <c r="AX235" s="122"/>
      <c r="AY235" s="122"/>
    </row>
    <row r="236">
      <c r="A236" s="78"/>
      <c r="B236" s="78"/>
      <c r="C236" s="78"/>
      <c r="D236" s="78"/>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c r="AW236" s="122"/>
      <c r="AX236" s="122"/>
      <c r="AY236" s="122"/>
    </row>
    <row r="237">
      <c r="A237" s="78"/>
      <c r="B237" s="78"/>
      <c r="C237" s="78"/>
      <c r="D237" s="78"/>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row>
    <row r="238">
      <c r="A238" s="78"/>
      <c r="B238" s="78"/>
      <c r="C238" s="78"/>
      <c r="D238" s="78"/>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c r="AW238" s="122"/>
      <c r="AX238" s="122"/>
      <c r="AY238" s="122"/>
    </row>
    <row r="239">
      <c r="A239" s="78"/>
      <c r="B239" s="78"/>
      <c r="C239" s="78"/>
      <c r="D239" s="78"/>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c r="AW239" s="122"/>
      <c r="AX239" s="122"/>
      <c r="AY239" s="122"/>
    </row>
    <row r="240">
      <c r="A240" s="78"/>
      <c r="B240" s="78"/>
      <c r="C240" s="78"/>
      <c r="D240" s="78"/>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c r="AW240" s="122"/>
      <c r="AX240" s="122"/>
      <c r="AY240" s="122"/>
    </row>
    <row r="241">
      <c r="A241" s="78"/>
      <c r="B241" s="78"/>
      <c r="C241" s="78"/>
      <c r="D241" s="78"/>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c r="AW241" s="122"/>
      <c r="AX241" s="122"/>
      <c r="AY241" s="122"/>
    </row>
    <row r="242">
      <c r="A242" s="78"/>
      <c r="B242" s="78"/>
      <c r="C242" s="78"/>
      <c r="D242" s="78"/>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c r="AW242" s="122"/>
      <c r="AX242" s="122"/>
      <c r="AY242" s="122"/>
    </row>
    <row r="243">
      <c r="A243" s="78"/>
      <c r="B243" s="78"/>
      <c r="C243" s="78"/>
      <c r="D243" s="78"/>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c r="AA243" s="122"/>
      <c r="AB243" s="122"/>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c r="AW243" s="122"/>
      <c r="AX243" s="122"/>
      <c r="AY243" s="122"/>
    </row>
    <row r="244">
      <c r="A244" s="78"/>
      <c r="B244" s="78"/>
      <c r="C244" s="78"/>
      <c r="D244" s="78"/>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c r="AW244" s="122"/>
      <c r="AX244" s="122"/>
      <c r="AY244" s="122"/>
    </row>
    <row r="245">
      <c r="A245" s="78"/>
      <c r="B245" s="78"/>
      <c r="C245" s="78"/>
      <c r="D245" s="78"/>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c r="AA245" s="122"/>
      <c r="AB245" s="122"/>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c r="AX245" s="122"/>
      <c r="AY245" s="122"/>
    </row>
    <row r="246">
      <c r="A246" s="78"/>
      <c r="B246" s="78"/>
      <c r="C246" s="78"/>
      <c r="D246" s="78"/>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c r="AX246" s="122"/>
      <c r="AY246" s="122"/>
    </row>
    <row r="247">
      <c r="A247" s="78"/>
      <c r="B247" s="78"/>
      <c r="C247" s="78"/>
      <c r="D247" s="78"/>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c r="AW247" s="122"/>
      <c r="AX247" s="122"/>
      <c r="AY247" s="122"/>
    </row>
    <row r="248">
      <c r="A248" s="78"/>
      <c r="B248" s="78"/>
      <c r="C248" s="78"/>
      <c r="D248" s="78"/>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c r="AW248" s="122"/>
      <c r="AX248" s="122"/>
      <c r="AY248" s="122"/>
    </row>
    <row r="249">
      <c r="A249" s="78"/>
      <c r="B249" s="78"/>
      <c r="C249" s="78"/>
      <c r="D249" s="78"/>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c r="AA249" s="122"/>
      <c r="AB249" s="122"/>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c r="AW249" s="122"/>
      <c r="AX249" s="122"/>
      <c r="AY249" s="122"/>
    </row>
    <row r="250">
      <c r="A250" s="78"/>
      <c r="B250" s="78"/>
      <c r="C250" s="78"/>
      <c r="D250" s="78"/>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c r="AX250" s="122"/>
      <c r="AY250" s="122"/>
    </row>
    <row r="251">
      <c r="A251" s="78"/>
      <c r="B251" s="78"/>
      <c r="C251" s="78"/>
      <c r="D251" s="78"/>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c r="AX251" s="122"/>
      <c r="AY251" s="122"/>
    </row>
    <row r="252">
      <c r="A252" s="78"/>
      <c r="B252" s="78"/>
      <c r="C252" s="78"/>
      <c r="D252" s="78"/>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c r="AA252" s="122"/>
      <c r="AB252" s="122"/>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c r="AX252" s="122"/>
      <c r="AY252" s="122"/>
    </row>
    <row r="253">
      <c r="A253" s="78"/>
      <c r="B253" s="78"/>
      <c r="C253" s="78"/>
      <c r="D253" s="78"/>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c r="AX253" s="122"/>
      <c r="AY253" s="122"/>
    </row>
    <row r="254">
      <c r="A254" s="78"/>
      <c r="B254" s="78"/>
      <c r="C254" s="78"/>
      <c r="D254" s="78"/>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c r="AX254" s="122"/>
      <c r="AY254" s="122"/>
    </row>
    <row r="255">
      <c r="A255" s="78"/>
      <c r="B255" s="78"/>
      <c r="C255" s="78"/>
      <c r="D255" s="78"/>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c r="AX255" s="122"/>
      <c r="AY255" s="122"/>
    </row>
    <row r="256">
      <c r="A256" s="78"/>
      <c r="B256" s="78"/>
      <c r="C256" s="78"/>
      <c r="D256" s="78"/>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c r="AX256" s="122"/>
      <c r="AY256" s="122"/>
    </row>
    <row r="257">
      <c r="A257" s="78"/>
      <c r="B257" s="78"/>
      <c r="C257" s="78"/>
      <c r="D257" s="78"/>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c r="AX257" s="122"/>
      <c r="AY257" s="122"/>
    </row>
    <row r="258">
      <c r="A258" s="78"/>
      <c r="B258" s="78"/>
      <c r="C258" s="78"/>
      <c r="D258" s="78"/>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c r="AX258" s="122"/>
      <c r="AY258" s="122"/>
    </row>
    <row r="259">
      <c r="A259" s="78"/>
      <c r="B259" s="78"/>
      <c r="C259" s="78"/>
      <c r="D259" s="78"/>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c r="AA259" s="122"/>
      <c r="AB259" s="122"/>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c r="AX259" s="122"/>
      <c r="AY259" s="122"/>
    </row>
    <row r="260">
      <c r="A260" s="78"/>
      <c r="B260" s="78"/>
      <c r="C260" s="78"/>
      <c r="D260" s="78"/>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c r="AX260" s="122"/>
      <c r="AY260" s="122"/>
    </row>
    <row r="261">
      <c r="A261" s="78"/>
      <c r="B261" s="78"/>
      <c r="C261" s="78"/>
      <c r="D261" s="78"/>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c r="AX261" s="122"/>
      <c r="AY261" s="122"/>
    </row>
    <row r="262">
      <c r="A262" s="78"/>
      <c r="B262" s="78"/>
      <c r="C262" s="78"/>
      <c r="D262" s="78"/>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c r="AC262" s="122"/>
      <c r="AD262" s="122"/>
      <c r="AE262" s="122"/>
      <c r="AF262" s="122"/>
      <c r="AG262" s="122"/>
      <c r="AH262" s="122"/>
      <c r="AI262" s="122"/>
      <c r="AJ262" s="122"/>
      <c r="AK262" s="122"/>
      <c r="AL262" s="122"/>
      <c r="AM262" s="122"/>
      <c r="AN262" s="122"/>
      <c r="AO262" s="122"/>
      <c r="AP262" s="122"/>
      <c r="AQ262" s="122"/>
      <c r="AR262" s="122"/>
      <c r="AS262" s="122"/>
      <c r="AT262" s="122"/>
      <c r="AU262" s="122"/>
      <c r="AV262" s="122"/>
      <c r="AW262" s="122"/>
      <c r="AX262" s="122"/>
      <c r="AY262" s="122"/>
    </row>
    <row r="263">
      <c r="A263" s="78"/>
      <c r="B263" s="78"/>
      <c r="C263" s="78"/>
      <c r="D263" s="78"/>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c r="AC263" s="122"/>
      <c r="AD263" s="122"/>
      <c r="AE263" s="122"/>
      <c r="AF263" s="122"/>
      <c r="AG263" s="122"/>
      <c r="AH263" s="122"/>
      <c r="AI263" s="122"/>
      <c r="AJ263" s="122"/>
      <c r="AK263" s="122"/>
      <c r="AL263" s="122"/>
      <c r="AM263" s="122"/>
      <c r="AN263" s="122"/>
      <c r="AO263" s="122"/>
      <c r="AP263" s="122"/>
      <c r="AQ263" s="122"/>
      <c r="AR263" s="122"/>
      <c r="AS263" s="122"/>
      <c r="AT263" s="122"/>
      <c r="AU263" s="122"/>
      <c r="AV263" s="122"/>
      <c r="AW263" s="122"/>
      <c r="AX263" s="122"/>
      <c r="AY263" s="122"/>
    </row>
    <row r="264">
      <c r="A264" s="78"/>
      <c r="B264" s="78"/>
      <c r="C264" s="78"/>
      <c r="D264" s="78"/>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c r="AC264" s="122"/>
      <c r="AD264" s="122"/>
      <c r="AE264" s="122"/>
      <c r="AF264" s="122"/>
      <c r="AG264" s="122"/>
      <c r="AH264" s="122"/>
      <c r="AI264" s="122"/>
      <c r="AJ264" s="122"/>
      <c r="AK264" s="122"/>
      <c r="AL264" s="122"/>
      <c r="AM264" s="122"/>
      <c r="AN264" s="122"/>
      <c r="AO264" s="122"/>
      <c r="AP264" s="122"/>
      <c r="AQ264" s="122"/>
      <c r="AR264" s="122"/>
      <c r="AS264" s="122"/>
      <c r="AT264" s="122"/>
      <c r="AU264" s="122"/>
      <c r="AV264" s="122"/>
      <c r="AW264" s="122"/>
      <c r="AX264" s="122"/>
      <c r="AY264" s="122"/>
    </row>
    <row r="265">
      <c r="A265" s="78"/>
      <c r="B265" s="78"/>
      <c r="C265" s="78"/>
      <c r="D265" s="78"/>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c r="AA265" s="122"/>
      <c r="AB265" s="122"/>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c r="AX265" s="122"/>
      <c r="AY265" s="122"/>
    </row>
    <row r="266">
      <c r="A266" s="78"/>
      <c r="B266" s="78"/>
      <c r="C266" s="78"/>
      <c r="D266" s="78"/>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c r="AX266" s="122"/>
      <c r="AY266" s="122"/>
    </row>
    <row r="267">
      <c r="A267" s="78"/>
      <c r="B267" s="78"/>
      <c r="C267" s="78"/>
      <c r="D267" s="78"/>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c r="AX267" s="122"/>
      <c r="AY267" s="122"/>
    </row>
    <row r="268">
      <c r="A268" s="78"/>
      <c r="B268" s="78"/>
      <c r="C268" s="78"/>
      <c r="D268" s="78"/>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c r="AA268" s="122"/>
      <c r="AB268" s="122"/>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c r="AX268" s="122"/>
      <c r="AY268" s="122"/>
    </row>
    <row r="269">
      <c r="A269" s="78"/>
      <c r="B269" s="78"/>
      <c r="C269" s="78"/>
      <c r="D269" s="78"/>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c r="AA269" s="122"/>
      <c r="AB269" s="122"/>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c r="AX269" s="122"/>
      <c r="AY269" s="122"/>
    </row>
    <row r="270">
      <c r="A270" s="78"/>
      <c r="B270" s="78"/>
      <c r="C270" s="78"/>
      <c r="D270" s="78"/>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c r="AX270" s="122"/>
      <c r="AY270" s="122"/>
    </row>
    <row r="271">
      <c r="A271" s="78"/>
      <c r="B271" s="78"/>
      <c r="C271" s="78"/>
      <c r="D271" s="78"/>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c r="AX271" s="122"/>
      <c r="AY271" s="122"/>
    </row>
    <row r="272">
      <c r="A272" s="78"/>
      <c r="B272" s="78"/>
      <c r="C272" s="78"/>
      <c r="D272" s="78"/>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c r="AX272" s="122"/>
      <c r="AY272" s="122"/>
    </row>
    <row r="273">
      <c r="A273" s="78"/>
      <c r="B273" s="78"/>
      <c r="C273" s="78"/>
      <c r="D273" s="78"/>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c r="AY273" s="122"/>
    </row>
    <row r="274">
      <c r="A274" s="78"/>
      <c r="B274" s="78"/>
      <c r="C274" s="78"/>
      <c r="D274" s="78"/>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c r="AX274" s="122"/>
      <c r="AY274" s="122"/>
    </row>
    <row r="275">
      <c r="A275" s="78"/>
      <c r="B275" s="78"/>
      <c r="C275" s="78"/>
      <c r="D275" s="78"/>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c r="AA275" s="122"/>
      <c r="AB275" s="122"/>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c r="AX275" s="122"/>
      <c r="AY275" s="122"/>
    </row>
    <row r="276">
      <c r="A276" s="78"/>
      <c r="B276" s="78"/>
      <c r="C276" s="78"/>
      <c r="D276" s="78"/>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c r="AX276" s="122"/>
      <c r="AY276" s="122"/>
    </row>
    <row r="277">
      <c r="A277" s="78"/>
      <c r="B277" s="78"/>
      <c r="C277" s="78"/>
      <c r="D277" s="78"/>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c r="AA277" s="122"/>
      <c r="AB277" s="122"/>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c r="AX277" s="122"/>
      <c r="AY277" s="122"/>
    </row>
    <row r="278">
      <c r="A278" s="78"/>
      <c r="B278" s="78"/>
      <c r="C278" s="78"/>
      <c r="D278" s="78"/>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c r="AX278" s="122"/>
      <c r="AY278" s="122"/>
    </row>
    <row r="279">
      <c r="A279" s="78"/>
      <c r="B279" s="78"/>
      <c r="C279" s="78"/>
      <c r="D279" s="78"/>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c r="AX279" s="122"/>
      <c r="AY279" s="122"/>
    </row>
    <row r="280">
      <c r="A280" s="78"/>
      <c r="B280" s="78"/>
      <c r="C280" s="78"/>
      <c r="D280" s="78"/>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c r="AX280" s="122"/>
      <c r="AY280" s="122"/>
    </row>
    <row r="281">
      <c r="A281" s="78"/>
      <c r="B281" s="78"/>
      <c r="C281" s="78"/>
      <c r="D281" s="78"/>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c r="AX281" s="122"/>
      <c r="AY281" s="122"/>
    </row>
    <row r="282">
      <c r="A282" s="78"/>
      <c r="B282" s="78"/>
      <c r="C282" s="78"/>
      <c r="D282" s="78"/>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c r="AX282" s="122"/>
      <c r="AY282" s="122"/>
    </row>
    <row r="283">
      <c r="A283" s="78"/>
      <c r="B283" s="78"/>
      <c r="C283" s="78"/>
      <c r="D283" s="78"/>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c r="AX283" s="122"/>
      <c r="AY283" s="122"/>
    </row>
    <row r="284">
      <c r="A284" s="78"/>
      <c r="B284" s="78"/>
      <c r="C284" s="78"/>
      <c r="D284" s="78"/>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c r="AX284" s="122"/>
      <c r="AY284" s="122"/>
    </row>
    <row r="285">
      <c r="A285" s="78"/>
      <c r="B285" s="78"/>
      <c r="C285" s="78"/>
      <c r="D285" s="78"/>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c r="AX285" s="122"/>
      <c r="AY285" s="122"/>
    </row>
    <row r="286">
      <c r="A286" s="78"/>
      <c r="B286" s="78"/>
      <c r="C286" s="78"/>
      <c r="D286" s="78"/>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c r="AA286" s="122"/>
      <c r="AB286" s="122"/>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c r="AX286" s="122"/>
      <c r="AY286" s="122"/>
    </row>
    <row r="287">
      <c r="A287" s="78"/>
      <c r="B287" s="78"/>
      <c r="C287" s="78"/>
      <c r="D287" s="78"/>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c r="AX287" s="122"/>
      <c r="AY287" s="122"/>
    </row>
    <row r="288">
      <c r="A288" s="78"/>
      <c r="B288" s="78"/>
      <c r="C288" s="78"/>
      <c r="D288" s="78"/>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c r="AX288" s="122"/>
      <c r="AY288" s="122"/>
    </row>
    <row r="289">
      <c r="A289" s="78"/>
      <c r="B289" s="78"/>
      <c r="C289" s="78"/>
      <c r="D289" s="78"/>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c r="AX289" s="122"/>
      <c r="AY289" s="122"/>
    </row>
    <row r="290">
      <c r="A290" s="78"/>
      <c r="B290" s="78"/>
      <c r="C290" s="78"/>
      <c r="D290" s="78"/>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c r="AA290" s="122"/>
      <c r="AB290" s="122"/>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c r="AX290" s="122"/>
      <c r="AY290" s="122"/>
    </row>
    <row r="291">
      <c r="A291" s="78"/>
      <c r="B291" s="78"/>
      <c r="C291" s="78"/>
      <c r="D291" s="78"/>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c r="AA291" s="122"/>
      <c r="AB291" s="122"/>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c r="AX291" s="122"/>
      <c r="AY291" s="122"/>
    </row>
    <row r="292">
      <c r="A292" s="78"/>
      <c r="B292" s="78"/>
      <c r="C292" s="78"/>
      <c r="D292" s="78"/>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c r="AA292" s="122"/>
      <c r="AB292" s="122"/>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c r="AX292" s="122"/>
      <c r="AY292" s="122"/>
    </row>
    <row r="293">
      <c r="A293" s="78"/>
      <c r="B293" s="78"/>
      <c r="C293" s="78"/>
      <c r="D293" s="78"/>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c r="AX293" s="122"/>
      <c r="AY293" s="122"/>
    </row>
    <row r="294">
      <c r="A294" s="78"/>
      <c r="B294" s="78"/>
      <c r="C294" s="78"/>
      <c r="D294" s="78"/>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c r="AX294" s="122"/>
      <c r="AY294" s="122"/>
    </row>
    <row r="295">
      <c r="A295" s="78"/>
      <c r="B295" s="78"/>
      <c r="C295" s="78"/>
      <c r="D295" s="78"/>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c r="AX295" s="122"/>
      <c r="AY295" s="122"/>
    </row>
    <row r="296">
      <c r="A296" s="78"/>
      <c r="B296" s="78"/>
      <c r="C296" s="78"/>
      <c r="D296" s="78"/>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c r="AX296" s="122"/>
      <c r="AY296" s="122"/>
    </row>
    <row r="297">
      <c r="A297" s="78"/>
      <c r="B297" s="78"/>
      <c r="C297" s="78"/>
      <c r="D297" s="78"/>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c r="AX297" s="122"/>
      <c r="AY297" s="122"/>
    </row>
    <row r="298">
      <c r="A298" s="78"/>
      <c r="B298" s="78"/>
      <c r="C298" s="78"/>
      <c r="D298" s="78"/>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c r="AA298" s="122"/>
      <c r="AB298" s="122"/>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c r="AX298" s="122"/>
      <c r="AY298" s="122"/>
    </row>
    <row r="299">
      <c r="A299" s="78"/>
      <c r="B299" s="78"/>
      <c r="C299" s="78"/>
      <c r="D299" s="78"/>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c r="AA299" s="122"/>
      <c r="AB299" s="122"/>
      <c r="AC299" s="122"/>
      <c r="AD299" s="122"/>
      <c r="AE299" s="122"/>
      <c r="AF299" s="122"/>
      <c r="AG299" s="122"/>
      <c r="AH299" s="122"/>
      <c r="AI299" s="122"/>
      <c r="AJ299" s="122"/>
      <c r="AK299" s="122"/>
      <c r="AL299" s="122"/>
      <c r="AM299" s="122"/>
      <c r="AN299" s="122"/>
      <c r="AO299" s="122"/>
      <c r="AP299" s="122"/>
      <c r="AQ299" s="122"/>
      <c r="AR299" s="122"/>
      <c r="AS299" s="122"/>
      <c r="AT299" s="122"/>
      <c r="AU299" s="122"/>
      <c r="AV299" s="122"/>
      <c r="AW299" s="122"/>
      <c r="AX299" s="122"/>
      <c r="AY299" s="122"/>
    </row>
    <row r="300">
      <c r="A300" s="78"/>
      <c r="B300" s="78"/>
      <c r="C300" s="78"/>
      <c r="D300" s="78"/>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c r="AA300" s="122"/>
      <c r="AB300" s="122"/>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c r="AX300" s="122"/>
      <c r="AY300" s="122"/>
    </row>
    <row r="301">
      <c r="A301" s="78"/>
      <c r="B301" s="78"/>
      <c r="C301" s="78"/>
      <c r="D301" s="78"/>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c r="AA301" s="122"/>
      <c r="AB301" s="122"/>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c r="AX301" s="122"/>
      <c r="AY301" s="122"/>
    </row>
    <row r="302">
      <c r="A302" s="78"/>
      <c r="B302" s="78"/>
      <c r="C302" s="78"/>
      <c r="D302" s="78"/>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c r="AX302" s="122"/>
      <c r="AY302" s="122"/>
    </row>
    <row r="303">
      <c r="A303" s="78"/>
      <c r="B303" s="78"/>
      <c r="C303" s="78"/>
      <c r="D303" s="78"/>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c r="AX303" s="122"/>
      <c r="AY303" s="122"/>
    </row>
    <row r="304">
      <c r="A304" s="78"/>
      <c r="B304" s="78"/>
      <c r="C304" s="78"/>
      <c r="D304" s="78"/>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c r="AX304" s="122"/>
      <c r="AY304" s="122"/>
    </row>
    <row r="305">
      <c r="A305" s="78"/>
      <c r="B305" s="78"/>
      <c r="C305" s="78"/>
      <c r="D305" s="78"/>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c r="AA305" s="122"/>
      <c r="AB305" s="122"/>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c r="AX305" s="122"/>
      <c r="AY305" s="122"/>
    </row>
    <row r="306">
      <c r="A306" s="78"/>
      <c r="B306" s="78"/>
      <c r="C306" s="78"/>
      <c r="D306" s="78"/>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c r="AA306" s="122"/>
      <c r="AB306" s="122"/>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c r="AX306" s="122"/>
      <c r="AY306" s="122"/>
    </row>
    <row r="307">
      <c r="A307" s="78"/>
      <c r="B307" s="78"/>
      <c r="C307" s="78"/>
      <c r="D307" s="78"/>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c r="AA307" s="122"/>
      <c r="AB307" s="122"/>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c r="AX307" s="122"/>
      <c r="AY307" s="122"/>
    </row>
    <row r="308">
      <c r="A308" s="78"/>
      <c r="B308" s="78"/>
      <c r="C308" s="78"/>
      <c r="D308" s="78"/>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c r="AA308" s="122"/>
      <c r="AB308" s="122"/>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c r="AX308" s="122"/>
      <c r="AY308" s="122"/>
    </row>
    <row r="309">
      <c r="A309" s="78"/>
      <c r="B309" s="78"/>
      <c r="C309" s="78"/>
      <c r="D309" s="78"/>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c r="AA309" s="122"/>
      <c r="AB309" s="122"/>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c r="AX309" s="122"/>
      <c r="AY309" s="122"/>
    </row>
    <row r="310">
      <c r="A310" s="78"/>
      <c r="B310" s="78"/>
      <c r="C310" s="78"/>
      <c r="D310" s="78"/>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c r="AA310" s="122"/>
      <c r="AB310" s="122"/>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c r="AX310" s="122"/>
      <c r="AY310" s="122"/>
    </row>
    <row r="311">
      <c r="A311" s="78"/>
      <c r="B311" s="78"/>
      <c r="C311" s="78"/>
      <c r="D311" s="78"/>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c r="AA311" s="122"/>
      <c r="AB311" s="122"/>
      <c r="AC311" s="122"/>
      <c r="AD311" s="122"/>
      <c r="AE311" s="122"/>
      <c r="AF311" s="122"/>
      <c r="AG311" s="122"/>
      <c r="AH311" s="122"/>
      <c r="AI311" s="122"/>
      <c r="AJ311" s="122"/>
      <c r="AK311" s="122"/>
      <c r="AL311" s="122"/>
      <c r="AM311" s="122"/>
      <c r="AN311" s="122"/>
      <c r="AO311" s="122"/>
      <c r="AP311" s="122"/>
      <c r="AQ311" s="122"/>
      <c r="AR311" s="122"/>
      <c r="AS311" s="122"/>
      <c r="AT311" s="122"/>
      <c r="AU311" s="122"/>
      <c r="AV311" s="122"/>
      <c r="AW311" s="122"/>
      <c r="AX311" s="122"/>
      <c r="AY311" s="122"/>
    </row>
    <row r="312">
      <c r="A312" s="78"/>
      <c r="B312" s="78"/>
      <c r="C312" s="78"/>
      <c r="D312" s="78"/>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c r="AA312" s="122"/>
      <c r="AB312" s="122"/>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c r="AX312" s="122"/>
      <c r="AY312" s="122"/>
    </row>
    <row r="313">
      <c r="A313" s="78"/>
      <c r="B313" s="78"/>
      <c r="C313" s="78"/>
      <c r="D313" s="78"/>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c r="AA313" s="122"/>
      <c r="AB313" s="122"/>
      <c r="AC313" s="122"/>
      <c r="AD313" s="122"/>
      <c r="AE313" s="122"/>
      <c r="AF313" s="122"/>
      <c r="AG313" s="122"/>
      <c r="AH313" s="122"/>
      <c r="AI313" s="122"/>
      <c r="AJ313" s="122"/>
      <c r="AK313" s="122"/>
      <c r="AL313" s="122"/>
      <c r="AM313" s="122"/>
      <c r="AN313" s="122"/>
      <c r="AO313" s="122"/>
      <c r="AP313" s="122"/>
      <c r="AQ313" s="122"/>
      <c r="AR313" s="122"/>
      <c r="AS313" s="122"/>
      <c r="AT313" s="122"/>
      <c r="AU313" s="122"/>
      <c r="AV313" s="122"/>
      <c r="AW313" s="122"/>
      <c r="AX313" s="122"/>
      <c r="AY313" s="122"/>
    </row>
    <row r="314">
      <c r="A314" s="78"/>
      <c r="B314" s="78"/>
      <c r="C314" s="78"/>
      <c r="D314" s="78"/>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c r="AA314" s="122"/>
      <c r="AB314" s="122"/>
      <c r="AC314" s="122"/>
      <c r="AD314" s="122"/>
      <c r="AE314" s="122"/>
      <c r="AF314" s="122"/>
      <c r="AG314" s="122"/>
      <c r="AH314" s="122"/>
      <c r="AI314" s="122"/>
      <c r="AJ314" s="122"/>
      <c r="AK314" s="122"/>
      <c r="AL314" s="122"/>
      <c r="AM314" s="122"/>
      <c r="AN314" s="122"/>
      <c r="AO314" s="122"/>
      <c r="AP314" s="122"/>
      <c r="AQ314" s="122"/>
      <c r="AR314" s="122"/>
      <c r="AS314" s="122"/>
      <c r="AT314" s="122"/>
      <c r="AU314" s="122"/>
      <c r="AV314" s="122"/>
      <c r="AW314" s="122"/>
      <c r="AX314" s="122"/>
      <c r="AY314" s="122"/>
    </row>
    <row r="315">
      <c r="A315" s="78"/>
      <c r="B315" s="78"/>
      <c r="C315" s="78"/>
      <c r="D315" s="78"/>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c r="AX315" s="122"/>
      <c r="AY315" s="122"/>
    </row>
    <row r="316">
      <c r="A316" s="78"/>
      <c r="B316" s="78"/>
      <c r="C316" s="78"/>
      <c r="D316" s="78"/>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c r="AX316" s="122"/>
      <c r="AY316" s="122"/>
    </row>
    <row r="317">
      <c r="A317" s="78"/>
      <c r="B317" s="78"/>
      <c r="C317" s="78"/>
      <c r="D317" s="78"/>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c r="AA317" s="122"/>
      <c r="AB317" s="122"/>
      <c r="AC317" s="122"/>
      <c r="AD317" s="122"/>
      <c r="AE317" s="122"/>
      <c r="AF317" s="122"/>
      <c r="AG317" s="122"/>
      <c r="AH317" s="122"/>
      <c r="AI317" s="122"/>
      <c r="AJ317" s="122"/>
      <c r="AK317" s="122"/>
      <c r="AL317" s="122"/>
      <c r="AM317" s="122"/>
      <c r="AN317" s="122"/>
      <c r="AO317" s="122"/>
      <c r="AP317" s="122"/>
      <c r="AQ317" s="122"/>
      <c r="AR317" s="122"/>
      <c r="AS317" s="122"/>
      <c r="AT317" s="122"/>
      <c r="AU317" s="122"/>
      <c r="AV317" s="122"/>
      <c r="AW317" s="122"/>
      <c r="AX317" s="122"/>
      <c r="AY317" s="122"/>
    </row>
    <row r="318">
      <c r="A318" s="78"/>
      <c r="B318" s="78"/>
      <c r="C318" s="78"/>
      <c r="D318" s="78"/>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c r="AF318" s="122"/>
      <c r="AG318" s="122"/>
      <c r="AH318" s="122"/>
      <c r="AI318" s="122"/>
      <c r="AJ318" s="122"/>
      <c r="AK318" s="122"/>
      <c r="AL318" s="122"/>
      <c r="AM318" s="122"/>
      <c r="AN318" s="122"/>
      <c r="AO318" s="122"/>
      <c r="AP318" s="122"/>
      <c r="AQ318" s="122"/>
      <c r="AR318" s="122"/>
      <c r="AS318" s="122"/>
      <c r="AT318" s="122"/>
      <c r="AU318" s="122"/>
      <c r="AV318" s="122"/>
      <c r="AW318" s="122"/>
      <c r="AX318" s="122"/>
      <c r="AY318" s="122"/>
    </row>
    <row r="319">
      <c r="A319" s="78"/>
      <c r="B319" s="78"/>
      <c r="C319" s="78"/>
      <c r="D319" s="78"/>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c r="AG319" s="122"/>
      <c r="AH319" s="122"/>
      <c r="AI319" s="122"/>
      <c r="AJ319" s="122"/>
      <c r="AK319" s="122"/>
      <c r="AL319" s="122"/>
      <c r="AM319" s="122"/>
      <c r="AN319" s="122"/>
      <c r="AO319" s="122"/>
      <c r="AP319" s="122"/>
      <c r="AQ319" s="122"/>
      <c r="AR319" s="122"/>
      <c r="AS319" s="122"/>
      <c r="AT319" s="122"/>
      <c r="AU319" s="122"/>
      <c r="AV319" s="122"/>
      <c r="AW319" s="122"/>
      <c r="AX319" s="122"/>
      <c r="AY319" s="122"/>
    </row>
    <row r="320">
      <c r="A320" s="78"/>
      <c r="B320" s="78"/>
      <c r="C320" s="78"/>
      <c r="D320" s="78"/>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c r="AC320" s="122"/>
      <c r="AD320" s="122"/>
      <c r="AE320" s="122"/>
      <c r="AF320" s="122"/>
      <c r="AG320" s="122"/>
      <c r="AH320" s="122"/>
      <c r="AI320" s="122"/>
      <c r="AJ320" s="122"/>
      <c r="AK320" s="122"/>
      <c r="AL320" s="122"/>
      <c r="AM320" s="122"/>
      <c r="AN320" s="122"/>
      <c r="AO320" s="122"/>
      <c r="AP320" s="122"/>
      <c r="AQ320" s="122"/>
      <c r="AR320" s="122"/>
      <c r="AS320" s="122"/>
      <c r="AT320" s="122"/>
      <c r="AU320" s="122"/>
      <c r="AV320" s="122"/>
      <c r="AW320" s="122"/>
      <c r="AX320" s="122"/>
      <c r="AY320" s="122"/>
    </row>
    <row r="321">
      <c r="A321" s="78"/>
      <c r="B321" s="78"/>
      <c r="C321" s="78"/>
      <c r="D321" s="78"/>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c r="AA321" s="122"/>
      <c r="AB321" s="122"/>
      <c r="AC321" s="122"/>
      <c r="AD321" s="122"/>
      <c r="AE321" s="122"/>
      <c r="AF321" s="122"/>
      <c r="AG321" s="122"/>
      <c r="AH321" s="122"/>
      <c r="AI321" s="122"/>
      <c r="AJ321" s="122"/>
      <c r="AK321" s="122"/>
      <c r="AL321" s="122"/>
      <c r="AM321" s="122"/>
      <c r="AN321" s="122"/>
      <c r="AO321" s="122"/>
      <c r="AP321" s="122"/>
      <c r="AQ321" s="122"/>
      <c r="AR321" s="122"/>
      <c r="AS321" s="122"/>
      <c r="AT321" s="122"/>
      <c r="AU321" s="122"/>
      <c r="AV321" s="122"/>
      <c r="AW321" s="122"/>
      <c r="AX321" s="122"/>
      <c r="AY321" s="122"/>
    </row>
    <row r="322">
      <c r="A322" s="78"/>
      <c r="B322" s="78"/>
      <c r="C322" s="78"/>
      <c r="D322" s="78"/>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c r="AA322" s="122"/>
      <c r="AB322" s="122"/>
      <c r="AC322" s="122"/>
      <c r="AD322" s="122"/>
      <c r="AE322" s="122"/>
      <c r="AF322" s="122"/>
      <c r="AG322" s="122"/>
      <c r="AH322" s="122"/>
      <c r="AI322" s="122"/>
      <c r="AJ322" s="122"/>
      <c r="AK322" s="122"/>
      <c r="AL322" s="122"/>
      <c r="AM322" s="122"/>
      <c r="AN322" s="122"/>
      <c r="AO322" s="122"/>
      <c r="AP322" s="122"/>
      <c r="AQ322" s="122"/>
      <c r="AR322" s="122"/>
      <c r="AS322" s="122"/>
      <c r="AT322" s="122"/>
      <c r="AU322" s="122"/>
      <c r="AV322" s="122"/>
      <c r="AW322" s="122"/>
      <c r="AX322" s="122"/>
      <c r="AY322" s="122"/>
    </row>
    <row r="323">
      <c r="A323" s="78"/>
      <c r="B323" s="78"/>
      <c r="C323" s="78"/>
      <c r="D323" s="78"/>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c r="AA323" s="122"/>
      <c r="AB323" s="122"/>
      <c r="AC323" s="122"/>
      <c r="AD323" s="122"/>
      <c r="AE323" s="122"/>
      <c r="AF323" s="122"/>
      <c r="AG323" s="122"/>
      <c r="AH323" s="122"/>
      <c r="AI323" s="122"/>
      <c r="AJ323" s="122"/>
      <c r="AK323" s="122"/>
      <c r="AL323" s="122"/>
      <c r="AM323" s="122"/>
      <c r="AN323" s="122"/>
      <c r="AO323" s="122"/>
      <c r="AP323" s="122"/>
      <c r="AQ323" s="122"/>
      <c r="AR323" s="122"/>
      <c r="AS323" s="122"/>
      <c r="AT323" s="122"/>
      <c r="AU323" s="122"/>
      <c r="AV323" s="122"/>
      <c r="AW323" s="122"/>
      <c r="AX323" s="122"/>
      <c r="AY323" s="122"/>
    </row>
    <row r="324">
      <c r="A324" s="78"/>
      <c r="B324" s="78"/>
      <c r="C324" s="78"/>
      <c r="D324" s="78"/>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c r="AA324" s="122"/>
      <c r="AB324" s="122"/>
      <c r="AC324" s="122"/>
      <c r="AD324" s="122"/>
      <c r="AE324" s="122"/>
      <c r="AF324" s="122"/>
      <c r="AG324" s="122"/>
      <c r="AH324" s="122"/>
      <c r="AI324" s="122"/>
      <c r="AJ324" s="122"/>
      <c r="AK324" s="122"/>
      <c r="AL324" s="122"/>
      <c r="AM324" s="122"/>
      <c r="AN324" s="122"/>
      <c r="AO324" s="122"/>
      <c r="AP324" s="122"/>
      <c r="AQ324" s="122"/>
      <c r="AR324" s="122"/>
      <c r="AS324" s="122"/>
      <c r="AT324" s="122"/>
      <c r="AU324" s="122"/>
      <c r="AV324" s="122"/>
      <c r="AW324" s="122"/>
      <c r="AX324" s="122"/>
      <c r="AY324" s="122"/>
    </row>
    <row r="325">
      <c r="A325" s="78"/>
      <c r="B325" s="78"/>
      <c r="C325" s="78"/>
      <c r="D325" s="78"/>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c r="AF325" s="122"/>
      <c r="AG325" s="122"/>
      <c r="AH325" s="122"/>
      <c r="AI325" s="122"/>
      <c r="AJ325" s="122"/>
      <c r="AK325" s="122"/>
      <c r="AL325" s="122"/>
      <c r="AM325" s="122"/>
      <c r="AN325" s="122"/>
      <c r="AO325" s="122"/>
      <c r="AP325" s="122"/>
      <c r="AQ325" s="122"/>
      <c r="AR325" s="122"/>
      <c r="AS325" s="122"/>
      <c r="AT325" s="122"/>
      <c r="AU325" s="122"/>
      <c r="AV325" s="122"/>
      <c r="AW325" s="122"/>
      <c r="AX325" s="122"/>
      <c r="AY325" s="122"/>
    </row>
    <row r="326">
      <c r="A326" s="78"/>
      <c r="B326" s="78"/>
      <c r="C326" s="78"/>
      <c r="D326" s="78"/>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c r="AA326" s="122"/>
      <c r="AB326" s="122"/>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c r="AW326" s="122"/>
      <c r="AX326" s="122"/>
      <c r="AY326" s="122"/>
    </row>
    <row r="327">
      <c r="A327" s="78"/>
      <c r="B327" s="78"/>
      <c r="C327" s="78"/>
      <c r="D327" s="78"/>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c r="AA327" s="122"/>
      <c r="AB327" s="122"/>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c r="AW327" s="122"/>
      <c r="AX327" s="122"/>
      <c r="AY327" s="122"/>
    </row>
    <row r="328">
      <c r="A328" s="78"/>
      <c r="B328" s="78"/>
      <c r="C328" s="78"/>
      <c r="D328" s="78"/>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c r="AA328" s="122"/>
      <c r="AB328" s="122"/>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c r="AW328" s="122"/>
      <c r="AX328" s="122"/>
      <c r="AY328" s="122"/>
    </row>
    <row r="329">
      <c r="A329" s="78"/>
      <c r="B329" s="78"/>
      <c r="C329" s="78"/>
      <c r="D329" s="78"/>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c r="AA329" s="122"/>
      <c r="AB329" s="122"/>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c r="AW329" s="122"/>
      <c r="AX329" s="122"/>
      <c r="AY329" s="122"/>
    </row>
    <row r="330">
      <c r="A330" s="78"/>
      <c r="B330" s="78"/>
      <c r="C330" s="78"/>
      <c r="D330" s="78"/>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c r="AW330" s="122"/>
      <c r="AX330" s="122"/>
      <c r="AY330" s="122"/>
    </row>
    <row r="331">
      <c r="A331" s="78"/>
      <c r="B331" s="78"/>
      <c r="C331" s="78"/>
      <c r="D331" s="78"/>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c r="AA331" s="122"/>
      <c r="AB331" s="122"/>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c r="AW331" s="122"/>
      <c r="AX331" s="122"/>
      <c r="AY331" s="122"/>
    </row>
    <row r="332">
      <c r="A332" s="78"/>
      <c r="B332" s="78"/>
      <c r="C332" s="78"/>
      <c r="D332" s="78"/>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c r="AW332" s="122"/>
      <c r="AX332" s="122"/>
      <c r="AY332" s="122"/>
    </row>
    <row r="333">
      <c r="A333" s="78"/>
      <c r="B333" s="78"/>
      <c r="C333" s="78"/>
      <c r="D333" s="78"/>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c r="AA333" s="122"/>
      <c r="AB333" s="122"/>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c r="AW333" s="122"/>
      <c r="AX333" s="122"/>
      <c r="AY333" s="122"/>
    </row>
    <row r="334">
      <c r="A334" s="78"/>
      <c r="B334" s="78"/>
      <c r="C334" s="78"/>
      <c r="D334" s="78"/>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c r="AW334" s="122"/>
      <c r="AX334" s="122"/>
      <c r="AY334" s="122"/>
    </row>
    <row r="335">
      <c r="A335" s="78"/>
      <c r="B335" s="78"/>
      <c r="C335" s="78"/>
      <c r="D335" s="78"/>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c r="AX335" s="122"/>
      <c r="AY335" s="122"/>
    </row>
    <row r="336">
      <c r="A336" s="78"/>
      <c r="B336" s="78"/>
      <c r="C336" s="78"/>
      <c r="D336" s="78"/>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c r="AW336" s="122"/>
      <c r="AX336" s="122"/>
      <c r="AY336" s="122"/>
    </row>
    <row r="337">
      <c r="A337" s="78"/>
      <c r="B337" s="78"/>
      <c r="C337" s="78"/>
      <c r="D337" s="78"/>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c r="AA337" s="122"/>
      <c r="AB337" s="122"/>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c r="AW337" s="122"/>
      <c r="AX337" s="122"/>
      <c r="AY337" s="122"/>
    </row>
    <row r="338">
      <c r="A338" s="78"/>
      <c r="B338" s="78"/>
      <c r="C338" s="78"/>
      <c r="D338" s="78"/>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c r="AW338" s="122"/>
      <c r="AX338" s="122"/>
      <c r="AY338" s="122"/>
    </row>
    <row r="339">
      <c r="A339" s="78"/>
      <c r="B339" s="78"/>
      <c r="C339" s="78"/>
      <c r="D339" s="78"/>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122"/>
      <c r="AX339" s="122"/>
      <c r="AY339" s="122"/>
    </row>
    <row r="340">
      <c r="A340" s="78"/>
      <c r="B340" s="78"/>
      <c r="C340" s="78"/>
      <c r="D340" s="78"/>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c r="AA340" s="122"/>
      <c r="AB340" s="122"/>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c r="AW340" s="122"/>
      <c r="AX340" s="122"/>
      <c r="AY340" s="122"/>
    </row>
    <row r="341">
      <c r="A341" s="78"/>
      <c r="B341" s="78"/>
      <c r="C341" s="78"/>
      <c r="D341" s="78"/>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c r="AA341" s="122"/>
      <c r="AB341" s="122"/>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c r="AW341" s="122"/>
      <c r="AX341" s="122"/>
      <c r="AY341" s="122"/>
    </row>
    <row r="342">
      <c r="A342" s="78"/>
      <c r="B342" s="78"/>
      <c r="C342" s="78"/>
      <c r="D342" s="78"/>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c r="AA342" s="122"/>
      <c r="AB342" s="122"/>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c r="AW342" s="122"/>
      <c r="AX342" s="122"/>
      <c r="AY342" s="122"/>
    </row>
    <row r="343">
      <c r="A343" s="78"/>
      <c r="B343" s="78"/>
      <c r="C343" s="78"/>
      <c r="D343" s="78"/>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c r="AA343" s="122"/>
      <c r="AB343" s="122"/>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c r="AW343" s="122"/>
      <c r="AX343" s="122"/>
      <c r="AY343" s="122"/>
    </row>
    <row r="344">
      <c r="A344" s="78"/>
      <c r="B344" s="78"/>
      <c r="C344" s="78"/>
      <c r="D344" s="78"/>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c r="AW344" s="122"/>
      <c r="AX344" s="122"/>
      <c r="AY344" s="122"/>
    </row>
    <row r="345">
      <c r="A345" s="78"/>
      <c r="B345" s="78"/>
      <c r="C345" s="78"/>
      <c r="D345" s="78"/>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c r="AW345" s="122"/>
      <c r="AX345" s="122"/>
      <c r="AY345" s="122"/>
    </row>
    <row r="346">
      <c r="A346" s="78"/>
      <c r="B346" s="78"/>
      <c r="C346" s="78"/>
      <c r="D346" s="78"/>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c r="AA346" s="122"/>
      <c r="AB346" s="122"/>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c r="AW346" s="122"/>
      <c r="AX346" s="122"/>
      <c r="AY346" s="122"/>
    </row>
    <row r="347">
      <c r="A347" s="78"/>
      <c r="B347" s="78"/>
      <c r="C347" s="78"/>
      <c r="D347" s="78"/>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c r="AW347" s="122"/>
      <c r="AX347" s="122"/>
      <c r="AY347" s="122"/>
    </row>
    <row r="348">
      <c r="A348" s="78"/>
      <c r="B348" s="78"/>
      <c r="C348" s="78"/>
      <c r="D348" s="78"/>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c r="AA348" s="122"/>
      <c r="AB348" s="122"/>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c r="AW348" s="122"/>
      <c r="AX348" s="122"/>
      <c r="AY348" s="122"/>
    </row>
    <row r="349">
      <c r="A349" s="78"/>
      <c r="B349" s="78"/>
      <c r="C349" s="78"/>
      <c r="D349" s="78"/>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c r="AA349" s="122"/>
      <c r="AB349" s="122"/>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c r="AW349" s="122"/>
      <c r="AX349" s="122"/>
      <c r="AY349" s="122"/>
    </row>
    <row r="350">
      <c r="A350" s="78"/>
      <c r="B350" s="78"/>
      <c r="C350" s="78"/>
      <c r="D350" s="78"/>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c r="AA350" s="122"/>
      <c r="AB350" s="122"/>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c r="AW350" s="122"/>
      <c r="AX350" s="122"/>
      <c r="AY350" s="122"/>
    </row>
    <row r="351">
      <c r="A351" s="78"/>
      <c r="B351" s="78"/>
      <c r="C351" s="78"/>
      <c r="D351" s="78"/>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c r="AW351" s="122"/>
      <c r="AX351" s="122"/>
      <c r="AY351" s="122"/>
    </row>
    <row r="352">
      <c r="A352" s="78"/>
      <c r="B352" s="78"/>
      <c r="C352" s="78"/>
      <c r="D352" s="78"/>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122"/>
      <c r="AX352" s="122"/>
      <c r="AY352" s="122"/>
    </row>
    <row r="353">
      <c r="A353" s="78"/>
      <c r="B353" s="78"/>
      <c r="C353" s="78"/>
      <c r="D353" s="78"/>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c r="AA353" s="122"/>
      <c r="AB353" s="122"/>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c r="AW353" s="122"/>
      <c r="AX353" s="122"/>
      <c r="AY353" s="122"/>
    </row>
    <row r="354">
      <c r="A354" s="78"/>
      <c r="B354" s="78"/>
      <c r="C354" s="78"/>
      <c r="D354" s="78"/>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c r="AW354" s="122"/>
      <c r="AX354" s="122"/>
      <c r="AY354" s="122"/>
    </row>
    <row r="355">
      <c r="A355" s="78"/>
      <c r="B355" s="78"/>
      <c r="C355" s="78"/>
      <c r="D355" s="78"/>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c r="AA355" s="122"/>
      <c r="AB355" s="122"/>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c r="AW355" s="122"/>
      <c r="AX355" s="122"/>
      <c r="AY355" s="122"/>
    </row>
    <row r="356">
      <c r="A356" s="78"/>
      <c r="B356" s="78"/>
      <c r="C356" s="78"/>
      <c r="D356" s="78"/>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c r="AA356" s="122"/>
      <c r="AB356" s="122"/>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c r="AW356" s="122"/>
      <c r="AX356" s="122"/>
      <c r="AY356" s="122"/>
    </row>
    <row r="357">
      <c r="A357" s="78"/>
      <c r="B357" s="78"/>
      <c r="C357" s="78"/>
      <c r="D357" s="78"/>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c r="AA357" s="122"/>
      <c r="AB357" s="122"/>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c r="AW357" s="122"/>
      <c r="AX357" s="122"/>
      <c r="AY357" s="122"/>
    </row>
    <row r="358">
      <c r="A358" s="78"/>
      <c r="B358" s="78"/>
      <c r="C358" s="78"/>
      <c r="D358" s="78"/>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c r="AW358" s="122"/>
      <c r="AX358" s="122"/>
      <c r="AY358" s="122"/>
    </row>
    <row r="359">
      <c r="A359" s="78"/>
      <c r="B359" s="78"/>
      <c r="C359" s="78"/>
      <c r="D359" s="78"/>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c r="AW359" s="122"/>
      <c r="AX359" s="122"/>
      <c r="AY359" s="122"/>
    </row>
    <row r="360">
      <c r="A360" s="78"/>
      <c r="B360" s="78"/>
      <c r="C360" s="78"/>
      <c r="D360" s="78"/>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c r="AA360" s="122"/>
      <c r="AB360" s="122"/>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c r="AW360" s="122"/>
      <c r="AX360" s="122"/>
      <c r="AY360" s="122"/>
    </row>
    <row r="361">
      <c r="A361" s="78"/>
      <c r="B361" s="78"/>
      <c r="C361" s="78"/>
      <c r="D361" s="78"/>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c r="AA361" s="122"/>
      <c r="AB361" s="122"/>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c r="AW361" s="122"/>
      <c r="AX361" s="122"/>
      <c r="AY361" s="122"/>
    </row>
    <row r="362">
      <c r="A362" s="78"/>
      <c r="B362" s="78"/>
      <c r="C362" s="78"/>
      <c r="D362" s="78"/>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c r="AW362" s="122"/>
      <c r="AX362" s="122"/>
      <c r="AY362" s="122"/>
    </row>
    <row r="363">
      <c r="A363" s="78"/>
      <c r="B363" s="78"/>
      <c r="C363" s="78"/>
      <c r="D363" s="78"/>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c r="AA363" s="122"/>
      <c r="AB363" s="122"/>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c r="AW363" s="122"/>
      <c r="AX363" s="122"/>
      <c r="AY363" s="122"/>
    </row>
    <row r="364">
      <c r="A364" s="78"/>
      <c r="B364" s="78"/>
      <c r="C364" s="78"/>
      <c r="D364" s="78"/>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c r="AA364" s="122"/>
      <c r="AB364" s="122"/>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c r="AW364" s="122"/>
      <c r="AX364" s="122"/>
      <c r="AY364" s="122"/>
    </row>
    <row r="365">
      <c r="A365" s="78"/>
      <c r="B365" s="78"/>
      <c r="C365" s="78"/>
      <c r="D365" s="78"/>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c r="AA365" s="122"/>
      <c r="AB365" s="122"/>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c r="AW365" s="122"/>
      <c r="AX365" s="122"/>
      <c r="AY365" s="122"/>
    </row>
    <row r="366">
      <c r="A366" s="78"/>
      <c r="B366" s="78"/>
      <c r="C366" s="78"/>
      <c r="D366" s="78"/>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c r="AA366" s="122"/>
      <c r="AB366" s="122"/>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122"/>
      <c r="AX366" s="122"/>
      <c r="AY366" s="122"/>
    </row>
    <row r="367">
      <c r="A367" s="78"/>
      <c r="B367" s="78"/>
      <c r="C367" s="78"/>
      <c r="D367" s="78"/>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c r="AW367" s="122"/>
      <c r="AX367" s="122"/>
      <c r="AY367" s="122"/>
    </row>
    <row r="368">
      <c r="A368" s="78"/>
      <c r="B368" s="78"/>
      <c r="C368" s="78"/>
      <c r="D368" s="78"/>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c r="AW368" s="122"/>
      <c r="AX368" s="122"/>
      <c r="AY368" s="122"/>
    </row>
    <row r="369">
      <c r="A369" s="78"/>
      <c r="B369" s="78"/>
      <c r="C369" s="78"/>
      <c r="D369" s="78"/>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c r="AW369" s="122"/>
      <c r="AX369" s="122"/>
      <c r="AY369" s="122"/>
    </row>
    <row r="370">
      <c r="A370" s="78"/>
      <c r="B370" s="78"/>
      <c r="C370" s="78"/>
      <c r="D370" s="78"/>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c r="AA370" s="122"/>
      <c r="AB370" s="122"/>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c r="AW370" s="122"/>
      <c r="AX370" s="122"/>
      <c r="AY370" s="122"/>
    </row>
    <row r="371">
      <c r="A371" s="78"/>
      <c r="B371" s="78"/>
      <c r="C371" s="78"/>
      <c r="D371" s="78"/>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c r="AW371" s="122"/>
      <c r="AX371" s="122"/>
      <c r="AY371" s="122"/>
    </row>
    <row r="372">
      <c r="A372" s="78"/>
      <c r="B372" s="78"/>
      <c r="C372" s="78"/>
      <c r="D372" s="78"/>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c r="AA372" s="122"/>
      <c r="AB372" s="122"/>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c r="AW372" s="122"/>
      <c r="AX372" s="122"/>
      <c r="AY372" s="122"/>
    </row>
    <row r="373">
      <c r="A373" s="78"/>
      <c r="B373" s="78"/>
      <c r="C373" s="78"/>
      <c r="D373" s="78"/>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c r="AA373" s="122"/>
      <c r="AB373" s="122"/>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c r="AW373" s="122"/>
      <c r="AX373" s="122"/>
      <c r="AY373" s="122"/>
    </row>
    <row r="374">
      <c r="A374" s="78"/>
      <c r="B374" s="78"/>
      <c r="C374" s="78"/>
      <c r="D374" s="78"/>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c r="AA374" s="122"/>
      <c r="AB374" s="122"/>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c r="AW374" s="122"/>
      <c r="AX374" s="122"/>
      <c r="AY374" s="122"/>
    </row>
    <row r="375">
      <c r="A375" s="78"/>
      <c r="B375" s="78"/>
      <c r="C375" s="78"/>
      <c r="D375" s="78"/>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c r="AA375" s="122"/>
      <c r="AB375" s="122"/>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c r="AW375" s="122"/>
      <c r="AX375" s="122"/>
      <c r="AY375" s="122"/>
    </row>
    <row r="376">
      <c r="A376" s="78"/>
      <c r="B376" s="78"/>
      <c r="C376" s="78"/>
      <c r="D376" s="78"/>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c r="AW376" s="122"/>
      <c r="AX376" s="122"/>
      <c r="AY376" s="122"/>
    </row>
    <row r="377">
      <c r="A377" s="78"/>
      <c r="B377" s="78"/>
      <c r="C377" s="78"/>
      <c r="D377" s="78"/>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c r="AW377" s="122"/>
      <c r="AX377" s="122"/>
      <c r="AY377" s="122"/>
    </row>
    <row r="378">
      <c r="A378" s="78"/>
      <c r="B378" s="78"/>
      <c r="C378" s="78"/>
      <c r="D378" s="78"/>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c r="AW378" s="122"/>
      <c r="AX378" s="122"/>
      <c r="AY378" s="122"/>
    </row>
    <row r="379">
      <c r="A379" s="78"/>
      <c r="B379" s="78"/>
      <c r="C379" s="78"/>
      <c r="D379" s="78"/>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c r="AW379" s="122"/>
      <c r="AX379" s="122"/>
      <c r="AY379" s="122"/>
    </row>
    <row r="380">
      <c r="A380" s="78"/>
      <c r="B380" s="78"/>
      <c r="C380" s="78"/>
      <c r="D380" s="78"/>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c r="AW380" s="122"/>
      <c r="AX380" s="122"/>
      <c r="AY380" s="122"/>
    </row>
    <row r="381">
      <c r="A381" s="78"/>
      <c r="B381" s="78"/>
      <c r="C381" s="78"/>
      <c r="D381" s="78"/>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c r="AW381" s="122"/>
      <c r="AX381" s="122"/>
      <c r="AY381" s="122"/>
    </row>
    <row r="382">
      <c r="A382" s="78"/>
      <c r="B382" s="78"/>
      <c r="C382" s="78"/>
      <c r="D382" s="78"/>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c r="AW382" s="122"/>
      <c r="AX382" s="122"/>
      <c r="AY382" s="122"/>
    </row>
    <row r="383">
      <c r="A383" s="78"/>
      <c r="B383" s="78"/>
      <c r="C383" s="78"/>
      <c r="D383" s="78"/>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c r="AA383" s="122"/>
      <c r="AB383" s="122"/>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c r="AW383" s="122"/>
      <c r="AX383" s="122"/>
      <c r="AY383" s="122"/>
    </row>
    <row r="384">
      <c r="A384" s="78"/>
      <c r="B384" s="78"/>
      <c r="C384" s="78"/>
      <c r="D384" s="78"/>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c r="AW384" s="122"/>
      <c r="AX384" s="122"/>
      <c r="AY384" s="122"/>
    </row>
    <row r="385">
      <c r="A385" s="78"/>
      <c r="B385" s="78"/>
      <c r="C385" s="78"/>
      <c r="D385" s="78"/>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c r="AW385" s="122"/>
      <c r="AX385" s="122"/>
      <c r="AY385" s="122"/>
    </row>
    <row r="386">
      <c r="A386" s="78"/>
      <c r="B386" s="78"/>
      <c r="C386" s="78"/>
      <c r="D386" s="78"/>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c r="AW386" s="122"/>
      <c r="AX386" s="122"/>
      <c r="AY386" s="122"/>
    </row>
    <row r="387">
      <c r="A387" s="78"/>
      <c r="B387" s="78"/>
      <c r="C387" s="78"/>
      <c r="D387" s="78"/>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c r="AW387" s="122"/>
      <c r="AX387" s="122"/>
      <c r="AY387" s="122"/>
    </row>
    <row r="388">
      <c r="A388" s="78"/>
      <c r="B388" s="78"/>
      <c r="C388" s="78"/>
      <c r="D388" s="78"/>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c r="AW388" s="122"/>
      <c r="AX388" s="122"/>
      <c r="AY388" s="122"/>
    </row>
    <row r="389">
      <c r="A389" s="78"/>
      <c r="B389" s="78"/>
      <c r="C389" s="78"/>
      <c r="D389" s="78"/>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c r="AW389" s="122"/>
      <c r="AX389" s="122"/>
      <c r="AY389" s="122"/>
    </row>
    <row r="390">
      <c r="A390" s="78"/>
      <c r="B390" s="78"/>
      <c r="C390" s="78"/>
      <c r="D390" s="78"/>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c r="AA390" s="122"/>
      <c r="AB390" s="122"/>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c r="AW390" s="122"/>
      <c r="AX390" s="122"/>
      <c r="AY390" s="122"/>
    </row>
    <row r="391">
      <c r="A391" s="78"/>
      <c r="B391" s="78"/>
      <c r="C391" s="78"/>
      <c r="D391" s="78"/>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c r="AW391" s="122"/>
      <c r="AX391" s="122"/>
      <c r="AY391" s="122"/>
    </row>
    <row r="392">
      <c r="A392" s="78"/>
      <c r="B392" s="78"/>
      <c r="C392" s="78"/>
      <c r="D392" s="78"/>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c r="AW392" s="122"/>
      <c r="AX392" s="122"/>
      <c r="AY392" s="122"/>
    </row>
    <row r="393">
      <c r="A393" s="78"/>
      <c r="B393" s="78"/>
      <c r="C393" s="78"/>
      <c r="D393" s="78"/>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c r="AA393" s="122"/>
      <c r="AB393" s="122"/>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c r="AW393" s="122"/>
      <c r="AX393" s="122"/>
      <c r="AY393" s="122"/>
    </row>
    <row r="394">
      <c r="A394" s="78"/>
      <c r="B394" s="78"/>
      <c r="C394" s="78"/>
      <c r="D394" s="78"/>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c r="AW394" s="122"/>
      <c r="AX394" s="122"/>
      <c r="AY394" s="122"/>
    </row>
    <row r="395">
      <c r="A395" s="78"/>
      <c r="B395" s="78"/>
      <c r="C395" s="78"/>
      <c r="D395" s="78"/>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c r="AA395" s="122"/>
      <c r="AB395" s="122"/>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c r="AW395" s="122"/>
      <c r="AX395" s="122"/>
      <c r="AY395" s="122"/>
    </row>
    <row r="396">
      <c r="A396" s="78"/>
      <c r="B396" s="78"/>
      <c r="C396" s="78"/>
      <c r="D396" s="78"/>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c r="AA396" s="122"/>
      <c r="AB396" s="122"/>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122"/>
      <c r="AX396" s="122"/>
      <c r="AY396" s="122"/>
    </row>
    <row r="397">
      <c r="A397" s="78"/>
      <c r="B397" s="78"/>
      <c r="C397" s="78"/>
      <c r="D397" s="78"/>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c r="AA397" s="122"/>
      <c r="AB397" s="122"/>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c r="AW397" s="122"/>
      <c r="AX397" s="122"/>
      <c r="AY397" s="122"/>
    </row>
    <row r="398">
      <c r="A398" s="78"/>
      <c r="B398" s="78"/>
      <c r="C398" s="78"/>
      <c r="D398" s="78"/>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c r="AA398" s="122"/>
      <c r="AB398" s="122"/>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c r="AW398" s="122"/>
      <c r="AX398" s="122"/>
      <c r="AY398" s="122"/>
    </row>
    <row r="399">
      <c r="A399" s="78"/>
      <c r="B399" s="78"/>
      <c r="C399" s="78"/>
      <c r="D399" s="78"/>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c r="AW399" s="122"/>
      <c r="AX399" s="122"/>
      <c r="AY399" s="122"/>
    </row>
    <row r="400">
      <c r="A400" s="78"/>
      <c r="B400" s="78"/>
      <c r="C400" s="78"/>
      <c r="D400" s="78"/>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c r="AA400" s="122"/>
      <c r="AB400" s="122"/>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c r="AW400" s="122"/>
      <c r="AX400" s="122"/>
      <c r="AY400" s="122"/>
    </row>
    <row r="401">
      <c r="A401" s="78"/>
      <c r="B401" s="78"/>
      <c r="C401" s="78"/>
      <c r="D401" s="78"/>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c r="AW401" s="122"/>
      <c r="AX401" s="122"/>
      <c r="AY401" s="122"/>
    </row>
    <row r="402">
      <c r="A402" s="78"/>
      <c r="B402" s="78"/>
      <c r="C402" s="78"/>
      <c r="D402" s="78"/>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c r="AW402" s="122"/>
      <c r="AX402" s="122"/>
      <c r="AY402" s="122"/>
    </row>
    <row r="403">
      <c r="A403" s="78"/>
      <c r="B403" s="78"/>
      <c r="C403" s="78"/>
      <c r="D403" s="78"/>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c r="AW403" s="122"/>
      <c r="AX403" s="122"/>
      <c r="AY403" s="122"/>
    </row>
    <row r="404">
      <c r="A404" s="78"/>
      <c r="B404" s="78"/>
      <c r="C404" s="78"/>
      <c r="D404" s="78"/>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c r="AA404" s="122"/>
      <c r="AB404" s="122"/>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c r="AW404" s="122"/>
      <c r="AX404" s="122"/>
      <c r="AY404" s="122"/>
    </row>
    <row r="405">
      <c r="A405" s="78"/>
      <c r="B405" s="78"/>
      <c r="C405" s="78"/>
      <c r="D405" s="78"/>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c r="AA405" s="122"/>
      <c r="AB405" s="122"/>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c r="AW405" s="122"/>
      <c r="AX405" s="122"/>
      <c r="AY405" s="122"/>
    </row>
    <row r="406">
      <c r="A406" s="78"/>
      <c r="B406" s="78"/>
      <c r="C406" s="78"/>
      <c r="D406" s="78"/>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c r="AA406" s="122"/>
      <c r="AB406" s="122"/>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122"/>
      <c r="AX406" s="122"/>
      <c r="AY406" s="122"/>
    </row>
    <row r="407">
      <c r="A407" s="78"/>
      <c r="B407" s="78"/>
      <c r="C407" s="78"/>
      <c r="D407" s="78"/>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c r="AW407" s="122"/>
      <c r="AX407" s="122"/>
      <c r="AY407" s="122"/>
    </row>
    <row r="408">
      <c r="A408" s="78"/>
      <c r="B408" s="78"/>
      <c r="C408" s="78"/>
      <c r="D408" s="78"/>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c r="AA408" s="122"/>
      <c r="AB408" s="122"/>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c r="AW408" s="122"/>
      <c r="AX408" s="122"/>
      <c r="AY408" s="122"/>
    </row>
    <row r="409">
      <c r="A409" s="78"/>
      <c r="B409" s="78"/>
      <c r="C409" s="78"/>
      <c r="D409" s="78"/>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c r="AA409" s="122"/>
      <c r="AB409" s="122"/>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c r="AW409" s="122"/>
      <c r="AX409" s="122"/>
      <c r="AY409" s="122"/>
    </row>
    <row r="410">
      <c r="A410" s="78"/>
      <c r="B410" s="78"/>
      <c r="C410" s="78"/>
      <c r="D410" s="78"/>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c r="AW410" s="122"/>
      <c r="AX410" s="122"/>
      <c r="AY410" s="122"/>
    </row>
    <row r="411">
      <c r="A411" s="78"/>
      <c r="B411" s="78"/>
      <c r="C411" s="78"/>
      <c r="D411" s="78"/>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c r="AW411" s="122"/>
      <c r="AX411" s="122"/>
      <c r="AY411" s="122"/>
    </row>
    <row r="412">
      <c r="A412" s="78"/>
      <c r="B412" s="78"/>
      <c r="C412" s="78"/>
      <c r="D412" s="78"/>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c r="AW412" s="122"/>
      <c r="AX412" s="122"/>
      <c r="AY412" s="122"/>
    </row>
    <row r="413">
      <c r="A413" s="78"/>
      <c r="B413" s="78"/>
      <c r="C413" s="78"/>
      <c r="D413" s="78"/>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c r="AA413" s="122"/>
      <c r="AB413" s="122"/>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c r="AW413" s="122"/>
      <c r="AX413" s="122"/>
      <c r="AY413" s="122"/>
    </row>
    <row r="414">
      <c r="A414" s="78"/>
      <c r="B414" s="78"/>
      <c r="C414" s="78"/>
      <c r="D414" s="78"/>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c r="AW414" s="122"/>
      <c r="AX414" s="122"/>
      <c r="AY414" s="122"/>
    </row>
    <row r="415">
      <c r="A415" s="78"/>
      <c r="B415" s="78"/>
      <c r="C415" s="78"/>
      <c r="D415" s="78"/>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c r="AW415" s="122"/>
      <c r="AX415" s="122"/>
      <c r="AY415" s="122"/>
    </row>
    <row r="416">
      <c r="A416" s="78"/>
      <c r="B416" s="78"/>
      <c r="C416" s="78"/>
      <c r="D416" s="78"/>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c r="AW416" s="122"/>
      <c r="AX416" s="122"/>
      <c r="AY416" s="122"/>
    </row>
    <row r="417">
      <c r="A417" s="78"/>
      <c r="B417" s="78"/>
      <c r="C417" s="78"/>
      <c r="D417" s="78"/>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122"/>
      <c r="AX417" s="122"/>
      <c r="AY417" s="122"/>
    </row>
    <row r="418">
      <c r="A418" s="78"/>
      <c r="B418" s="78"/>
      <c r="C418" s="78"/>
      <c r="D418" s="78"/>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122"/>
      <c r="AX418" s="122"/>
      <c r="AY418" s="122"/>
    </row>
    <row r="419">
      <c r="A419" s="78"/>
      <c r="B419" s="78"/>
      <c r="C419" s="78"/>
      <c r="D419" s="78"/>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c r="AW419" s="122"/>
      <c r="AX419" s="122"/>
      <c r="AY419" s="122"/>
    </row>
    <row r="420">
      <c r="A420" s="78"/>
      <c r="B420" s="78"/>
      <c r="C420" s="78"/>
      <c r="D420" s="78"/>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c r="AW420" s="122"/>
      <c r="AX420" s="122"/>
      <c r="AY420" s="122"/>
    </row>
    <row r="421">
      <c r="A421" s="78"/>
      <c r="B421" s="78"/>
      <c r="C421" s="78"/>
      <c r="D421" s="78"/>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c r="AW421" s="122"/>
      <c r="AX421" s="122"/>
      <c r="AY421" s="122"/>
    </row>
    <row r="422">
      <c r="A422" s="78"/>
      <c r="B422" s="78"/>
      <c r="C422" s="78"/>
      <c r="D422" s="78"/>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c r="AW422" s="122"/>
      <c r="AX422" s="122"/>
      <c r="AY422" s="122"/>
    </row>
    <row r="423">
      <c r="A423" s="78"/>
      <c r="B423" s="78"/>
      <c r="C423" s="78"/>
      <c r="D423" s="78"/>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c r="AA423" s="122"/>
      <c r="AB423" s="122"/>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c r="AW423" s="122"/>
      <c r="AX423" s="122"/>
      <c r="AY423" s="122"/>
    </row>
    <row r="424">
      <c r="A424" s="78"/>
      <c r="B424" s="78"/>
      <c r="C424" s="78"/>
      <c r="D424" s="78"/>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c r="AA424" s="122"/>
      <c r="AB424" s="122"/>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c r="AW424" s="122"/>
      <c r="AX424" s="122"/>
      <c r="AY424" s="122"/>
    </row>
    <row r="425">
      <c r="A425" s="78"/>
      <c r="B425" s="78"/>
      <c r="C425" s="78"/>
      <c r="D425" s="78"/>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c r="AA425" s="122"/>
      <c r="AB425" s="122"/>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c r="AW425" s="122"/>
      <c r="AX425" s="122"/>
      <c r="AY425" s="122"/>
    </row>
    <row r="426">
      <c r="A426" s="78"/>
      <c r="B426" s="78"/>
      <c r="C426" s="78"/>
      <c r="D426" s="78"/>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c r="AW426" s="122"/>
      <c r="AX426" s="122"/>
      <c r="AY426" s="122"/>
    </row>
    <row r="427">
      <c r="A427" s="78"/>
      <c r="B427" s="78"/>
      <c r="C427" s="78"/>
      <c r="D427" s="78"/>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c r="AW427" s="122"/>
      <c r="AX427" s="122"/>
      <c r="AY427" s="122"/>
    </row>
    <row r="428">
      <c r="A428" s="78"/>
      <c r="B428" s="78"/>
      <c r="C428" s="78"/>
      <c r="D428" s="78"/>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c r="AW428" s="122"/>
      <c r="AX428" s="122"/>
      <c r="AY428" s="122"/>
    </row>
    <row r="429">
      <c r="A429" s="78"/>
      <c r="B429" s="78"/>
      <c r="C429" s="78"/>
      <c r="D429" s="78"/>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c r="AA429" s="122"/>
      <c r="AB429" s="122"/>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c r="AW429" s="122"/>
      <c r="AX429" s="122"/>
      <c r="AY429" s="122"/>
    </row>
    <row r="430">
      <c r="A430" s="78"/>
      <c r="B430" s="78"/>
      <c r="C430" s="78"/>
      <c r="D430" s="78"/>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c r="AW430" s="122"/>
      <c r="AX430" s="122"/>
      <c r="AY430" s="122"/>
    </row>
    <row r="431">
      <c r="A431" s="78"/>
      <c r="B431" s="78"/>
      <c r="C431" s="78"/>
      <c r="D431" s="78"/>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c r="AW431" s="122"/>
      <c r="AX431" s="122"/>
      <c r="AY431" s="122"/>
    </row>
    <row r="432">
      <c r="A432" s="78"/>
      <c r="B432" s="78"/>
      <c r="C432" s="78"/>
      <c r="D432" s="78"/>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c r="AW432" s="122"/>
      <c r="AX432" s="122"/>
      <c r="AY432" s="122"/>
    </row>
    <row r="433">
      <c r="A433" s="78"/>
      <c r="B433" s="78"/>
      <c r="C433" s="78"/>
      <c r="D433" s="78"/>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c r="AW433" s="122"/>
      <c r="AX433" s="122"/>
      <c r="AY433" s="122"/>
    </row>
    <row r="434">
      <c r="A434" s="78"/>
      <c r="B434" s="78"/>
      <c r="C434" s="78"/>
      <c r="D434" s="78"/>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122"/>
      <c r="AX434" s="122"/>
      <c r="AY434" s="122"/>
    </row>
    <row r="435">
      <c r="A435" s="78"/>
      <c r="B435" s="78"/>
      <c r="C435" s="78"/>
      <c r="D435" s="78"/>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c r="AW435" s="122"/>
      <c r="AX435" s="122"/>
      <c r="AY435" s="122"/>
    </row>
    <row r="436">
      <c r="A436" s="78"/>
      <c r="B436" s="78"/>
      <c r="C436" s="78"/>
      <c r="D436" s="78"/>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c r="AW436" s="122"/>
      <c r="AX436" s="122"/>
      <c r="AY436" s="122"/>
    </row>
    <row r="437">
      <c r="A437" s="78"/>
      <c r="B437" s="78"/>
      <c r="C437" s="78"/>
      <c r="D437" s="78"/>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122"/>
      <c r="AX437" s="122"/>
      <c r="AY437" s="122"/>
    </row>
    <row r="438">
      <c r="A438" s="78"/>
      <c r="B438" s="78"/>
      <c r="C438" s="78"/>
      <c r="D438" s="78"/>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122"/>
      <c r="AX438" s="122"/>
      <c r="AY438" s="122"/>
    </row>
    <row r="439">
      <c r="A439" s="78"/>
      <c r="B439" s="78"/>
      <c r="C439" s="78"/>
      <c r="D439" s="78"/>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122"/>
      <c r="AX439" s="122"/>
      <c r="AY439" s="122"/>
    </row>
    <row r="440">
      <c r="A440" s="78"/>
      <c r="B440" s="78"/>
      <c r="C440" s="78"/>
      <c r="D440" s="78"/>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c r="AA440" s="122"/>
      <c r="AB440" s="122"/>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c r="AW440" s="122"/>
      <c r="AX440" s="122"/>
      <c r="AY440" s="122"/>
    </row>
    <row r="441">
      <c r="A441" s="78"/>
      <c r="B441" s="78"/>
      <c r="C441" s="78"/>
      <c r="D441" s="78"/>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c r="AA441" s="122"/>
      <c r="AB441" s="122"/>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c r="AW441" s="122"/>
      <c r="AX441" s="122"/>
      <c r="AY441" s="122"/>
    </row>
    <row r="442">
      <c r="A442" s="78"/>
      <c r="B442" s="78"/>
      <c r="C442" s="78"/>
      <c r="D442" s="78"/>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c r="AW442" s="122"/>
      <c r="AX442" s="122"/>
      <c r="AY442" s="122"/>
    </row>
    <row r="443">
      <c r="A443" s="78"/>
      <c r="B443" s="78"/>
      <c r="C443" s="78"/>
      <c r="D443" s="78"/>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c r="AA443" s="122"/>
      <c r="AB443" s="122"/>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c r="AW443" s="122"/>
      <c r="AX443" s="122"/>
      <c r="AY443" s="122"/>
    </row>
    <row r="444">
      <c r="A444" s="78"/>
      <c r="B444" s="78"/>
      <c r="C444" s="78"/>
      <c r="D444" s="78"/>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c r="AA444" s="122"/>
      <c r="AB444" s="122"/>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c r="AW444" s="122"/>
      <c r="AX444" s="122"/>
      <c r="AY444" s="122"/>
    </row>
    <row r="445">
      <c r="A445" s="78"/>
      <c r="B445" s="78"/>
      <c r="C445" s="78"/>
      <c r="D445" s="78"/>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c r="AA445" s="122"/>
      <c r="AB445" s="122"/>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c r="AW445" s="122"/>
      <c r="AX445" s="122"/>
      <c r="AY445" s="122"/>
    </row>
    <row r="446">
      <c r="A446" s="78"/>
      <c r="B446" s="78"/>
      <c r="C446" s="78"/>
      <c r="D446" s="78"/>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c r="AA446" s="122"/>
      <c r="AB446" s="122"/>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c r="AW446" s="122"/>
      <c r="AX446" s="122"/>
      <c r="AY446" s="122"/>
    </row>
    <row r="447">
      <c r="A447" s="78"/>
      <c r="B447" s="78"/>
      <c r="C447" s="78"/>
      <c r="D447" s="78"/>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c r="AA447" s="122"/>
      <c r="AB447" s="122"/>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c r="AW447" s="122"/>
      <c r="AX447" s="122"/>
      <c r="AY447" s="122"/>
    </row>
    <row r="448">
      <c r="A448" s="78"/>
      <c r="B448" s="78"/>
      <c r="C448" s="78"/>
      <c r="D448" s="78"/>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c r="AA448" s="122"/>
      <c r="AB448" s="122"/>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c r="AW448" s="122"/>
      <c r="AX448" s="122"/>
      <c r="AY448" s="122"/>
    </row>
    <row r="449">
      <c r="A449" s="78"/>
      <c r="B449" s="78"/>
      <c r="C449" s="78"/>
      <c r="D449" s="78"/>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c r="AA449" s="122"/>
      <c r="AB449" s="122"/>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c r="AW449" s="122"/>
      <c r="AX449" s="122"/>
      <c r="AY449" s="122"/>
    </row>
    <row r="450">
      <c r="A450" s="78"/>
      <c r="B450" s="78"/>
      <c r="C450" s="78"/>
      <c r="D450" s="78"/>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c r="AW450" s="122"/>
      <c r="AX450" s="122"/>
      <c r="AY450" s="122"/>
    </row>
    <row r="451">
      <c r="A451" s="78"/>
      <c r="B451" s="78"/>
      <c r="C451" s="78"/>
      <c r="D451" s="78"/>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c r="AW451" s="122"/>
      <c r="AX451" s="122"/>
      <c r="AY451" s="122"/>
    </row>
    <row r="452">
      <c r="A452" s="78"/>
      <c r="B452" s="78"/>
      <c r="C452" s="78"/>
      <c r="D452" s="78"/>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c r="AA452" s="122"/>
      <c r="AB452" s="122"/>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c r="AW452" s="122"/>
      <c r="AX452" s="122"/>
      <c r="AY452" s="122"/>
    </row>
    <row r="453">
      <c r="A453" s="78"/>
      <c r="B453" s="78"/>
      <c r="C453" s="78"/>
      <c r="D453" s="78"/>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c r="AA453" s="122"/>
      <c r="AB453" s="122"/>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c r="AW453" s="122"/>
      <c r="AX453" s="122"/>
      <c r="AY453" s="122"/>
    </row>
    <row r="454">
      <c r="A454" s="78"/>
      <c r="B454" s="78"/>
      <c r="C454" s="78"/>
      <c r="D454" s="78"/>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c r="AA454" s="122"/>
      <c r="AB454" s="122"/>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c r="AW454" s="122"/>
      <c r="AX454" s="122"/>
      <c r="AY454" s="122"/>
    </row>
    <row r="455">
      <c r="A455" s="78"/>
      <c r="B455" s="78"/>
      <c r="C455" s="78"/>
      <c r="D455" s="78"/>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c r="AA455" s="122"/>
      <c r="AB455" s="122"/>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c r="AW455" s="122"/>
      <c r="AX455" s="122"/>
      <c r="AY455" s="122"/>
    </row>
    <row r="456">
      <c r="A456" s="78"/>
      <c r="B456" s="78"/>
      <c r="C456" s="78"/>
      <c r="D456" s="78"/>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c r="AA456" s="122"/>
      <c r="AB456" s="122"/>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c r="AW456" s="122"/>
      <c r="AX456" s="122"/>
      <c r="AY456" s="122"/>
    </row>
    <row r="457">
      <c r="A457" s="78"/>
      <c r="B457" s="78"/>
      <c r="C457" s="78"/>
      <c r="D457" s="78"/>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c r="AW457" s="122"/>
      <c r="AX457" s="122"/>
      <c r="AY457" s="122"/>
    </row>
    <row r="458">
      <c r="A458" s="78"/>
      <c r="B458" s="78"/>
      <c r="C458" s="78"/>
      <c r="D458" s="78"/>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c r="AW458" s="122"/>
      <c r="AX458" s="122"/>
      <c r="AY458" s="122"/>
    </row>
    <row r="459">
      <c r="A459" s="78"/>
      <c r="B459" s="78"/>
      <c r="C459" s="78"/>
      <c r="D459" s="78"/>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c r="AA459" s="122"/>
      <c r="AB459" s="122"/>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c r="AW459" s="122"/>
      <c r="AX459" s="122"/>
      <c r="AY459" s="122"/>
    </row>
    <row r="460">
      <c r="A460" s="78"/>
      <c r="B460" s="78"/>
      <c r="C460" s="78"/>
      <c r="D460" s="78"/>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c r="AW460" s="122"/>
      <c r="AX460" s="122"/>
      <c r="AY460" s="122"/>
    </row>
    <row r="461">
      <c r="A461" s="78"/>
      <c r="B461" s="78"/>
      <c r="C461" s="78"/>
      <c r="D461" s="78"/>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c r="AW461" s="122"/>
      <c r="AX461" s="122"/>
      <c r="AY461" s="122"/>
    </row>
    <row r="462">
      <c r="A462" s="78"/>
      <c r="B462" s="78"/>
      <c r="C462" s="78"/>
      <c r="D462" s="78"/>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c r="AW462" s="122"/>
      <c r="AX462" s="122"/>
      <c r="AY462" s="122"/>
    </row>
    <row r="463">
      <c r="A463" s="78"/>
      <c r="B463" s="78"/>
      <c r="C463" s="78"/>
      <c r="D463" s="78"/>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c r="AW463" s="122"/>
      <c r="AX463" s="122"/>
      <c r="AY463" s="122"/>
    </row>
    <row r="464">
      <c r="A464" s="78"/>
      <c r="B464" s="78"/>
      <c r="C464" s="78"/>
      <c r="D464" s="78"/>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c r="AW464" s="122"/>
      <c r="AX464" s="122"/>
      <c r="AY464" s="122"/>
    </row>
    <row r="465">
      <c r="A465" s="78"/>
      <c r="B465" s="78"/>
      <c r="C465" s="78"/>
      <c r="D465" s="78"/>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c r="AW465" s="122"/>
      <c r="AX465" s="122"/>
      <c r="AY465" s="122"/>
    </row>
    <row r="466">
      <c r="A466" s="78"/>
      <c r="B466" s="78"/>
      <c r="C466" s="78"/>
      <c r="D466" s="78"/>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c r="AW466" s="122"/>
      <c r="AX466" s="122"/>
      <c r="AY466" s="122"/>
    </row>
    <row r="467">
      <c r="A467" s="78"/>
      <c r="B467" s="78"/>
      <c r="C467" s="78"/>
      <c r="D467" s="78"/>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c r="AW467" s="122"/>
      <c r="AX467" s="122"/>
      <c r="AY467" s="122"/>
    </row>
    <row r="468">
      <c r="A468" s="78"/>
      <c r="B468" s="78"/>
      <c r="C468" s="78"/>
      <c r="D468" s="78"/>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c r="AA468" s="122"/>
      <c r="AB468" s="122"/>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c r="AW468" s="122"/>
      <c r="AX468" s="122"/>
      <c r="AY468" s="122"/>
    </row>
    <row r="469">
      <c r="A469" s="78"/>
      <c r="B469" s="78"/>
      <c r="C469" s="78"/>
      <c r="D469" s="78"/>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c r="AW469" s="122"/>
      <c r="AX469" s="122"/>
      <c r="AY469" s="122"/>
    </row>
    <row r="470">
      <c r="A470" s="78"/>
      <c r="B470" s="78"/>
      <c r="C470" s="78"/>
      <c r="D470" s="78"/>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c r="AW470" s="122"/>
      <c r="AX470" s="122"/>
      <c r="AY470" s="122"/>
    </row>
    <row r="471">
      <c r="A471" s="78"/>
      <c r="B471" s="78"/>
      <c r="C471" s="78"/>
      <c r="D471" s="78"/>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122"/>
      <c r="AX471" s="122"/>
      <c r="AY471" s="122"/>
    </row>
    <row r="472">
      <c r="A472" s="78"/>
      <c r="B472" s="78"/>
      <c r="C472" s="78"/>
      <c r="D472" s="78"/>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c r="AW472" s="122"/>
      <c r="AX472" s="122"/>
      <c r="AY472" s="122"/>
    </row>
    <row r="473">
      <c r="A473" s="78"/>
      <c r="B473" s="78"/>
      <c r="C473" s="78"/>
      <c r="D473" s="78"/>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c r="AW473" s="122"/>
      <c r="AX473" s="122"/>
      <c r="AY473" s="122"/>
    </row>
    <row r="474">
      <c r="A474" s="78"/>
      <c r="B474" s="78"/>
      <c r="C474" s="78"/>
      <c r="D474" s="78"/>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c r="AW474" s="122"/>
      <c r="AX474" s="122"/>
      <c r="AY474" s="122"/>
    </row>
    <row r="475">
      <c r="A475" s="78"/>
      <c r="B475" s="78"/>
      <c r="C475" s="78"/>
      <c r="D475" s="78"/>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c r="AW475" s="122"/>
      <c r="AX475" s="122"/>
      <c r="AY475" s="122"/>
    </row>
    <row r="476">
      <c r="A476" s="78"/>
      <c r="B476" s="78"/>
      <c r="C476" s="78"/>
      <c r="D476" s="78"/>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c r="AW476" s="122"/>
      <c r="AX476" s="122"/>
      <c r="AY476" s="122"/>
    </row>
    <row r="477">
      <c r="A477" s="78"/>
      <c r="B477" s="78"/>
      <c r="C477" s="78"/>
      <c r="D477" s="78"/>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c r="AW477" s="122"/>
      <c r="AX477" s="122"/>
      <c r="AY477" s="122"/>
    </row>
    <row r="478">
      <c r="A478" s="78"/>
      <c r="B478" s="78"/>
      <c r="C478" s="78"/>
      <c r="D478" s="78"/>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c r="AW478" s="122"/>
      <c r="AX478" s="122"/>
      <c r="AY478" s="122"/>
    </row>
    <row r="479">
      <c r="A479" s="78"/>
      <c r="B479" s="78"/>
      <c r="C479" s="78"/>
      <c r="D479" s="78"/>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c r="AW479" s="122"/>
      <c r="AX479" s="122"/>
      <c r="AY479" s="122"/>
    </row>
    <row r="480">
      <c r="A480" s="78"/>
      <c r="B480" s="78"/>
      <c r="C480" s="78"/>
      <c r="D480" s="78"/>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c r="AW480" s="122"/>
      <c r="AX480" s="122"/>
      <c r="AY480" s="122"/>
    </row>
    <row r="481">
      <c r="A481" s="78"/>
      <c r="B481" s="78"/>
      <c r="C481" s="78"/>
      <c r="D481" s="78"/>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c r="AW481" s="122"/>
      <c r="AX481" s="122"/>
      <c r="AY481" s="122"/>
    </row>
    <row r="482">
      <c r="A482" s="78"/>
      <c r="B482" s="78"/>
      <c r="C482" s="78"/>
      <c r="D482" s="78"/>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c r="AW482" s="122"/>
      <c r="AX482" s="122"/>
      <c r="AY482" s="122"/>
    </row>
    <row r="483">
      <c r="A483" s="78"/>
      <c r="B483" s="78"/>
      <c r="C483" s="78"/>
      <c r="D483" s="78"/>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c r="AW483" s="122"/>
      <c r="AX483" s="122"/>
      <c r="AY483" s="122"/>
    </row>
    <row r="484">
      <c r="A484" s="78"/>
      <c r="B484" s="78"/>
      <c r="C484" s="78"/>
      <c r="D484" s="78"/>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c r="AW484" s="122"/>
      <c r="AX484" s="122"/>
      <c r="AY484" s="122"/>
    </row>
    <row r="485">
      <c r="A485" s="78"/>
      <c r="B485" s="78"/>
      <c r="C485" s="78"/>
      <c r="D485" s="78"/>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c r="AW485" s="122"/>
      <c r="AX485" s="122"/>
      <c r="AY485" s="122"/>
    </row>
    <row r="486">
      <c r="A486" s="78"/>
      <c r="B486" s="78"/>
      <c r="C486" s="78"/>
      <c r="D486" s="78"/>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c r="AW486" s="122"/>
      <c r="AX486" s="122"/>
      <c r="AY486" s="122"/>
    </row>
    <row r="487">
      <c r="A487" s="78"/>
      <c r="B487" s="78"/>
      <c r="C487" s="78"/>
      <c r="D487" s="78"/>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c r="AW487" s="122"/>
      <c r="AX487" s="122"/>
      <c r="AY487" s="122"/>
    </row>
    <row r="488">
      <c r="A488" s="78"/>
      <c r="B488" s="78"/>
      <c r="C488" s="78"/>
      <c r="D488" s="78"/>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c r="AH488" s="122"/>
      <c r="AI488" s="122"/>
      <c r="AJ488" s="122"/>
      <c r="AK488" s="122"/>
      <c r="AL488" s="122"/>
      <c r="AM488" s="122"/>
      <c r="AN488" s="122"/>
      <c r="AO488" s="122"/>
      <c r="AP488" s="122"/>
      <c r="AQ488" s="122"/>
      <c r="AR488" s="122"/>
      <c r="AS488" s="122"/>
      <c r="AT488" s="122"/>
      <c r="AU488" s="122"/>
      <c r="AV488" s="122"/>
      <c r="AW488" s="122"/>
      <c r="AX488" s="122"/>
      <c r="AY488" s="122"/>
    </row>
    <row r="489">
      <c r="A489" s="78"/>
      <c r="B489" s="78"/>
      <c r="C489" s="78"/>
      <c r="D489" s="78"/>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c r="AG489" s="122"/>
      <c r="AH489" s="122"/>
      <c r="AI489" s="122"/>
      <c r="AJ489" s="122"/>
      <c r="AK489" s="122"/>
      <c r="AL489" s="122"/>
      <c r="AM489" s="122"/>
      <c r="AN489" s="122"/>
      <c r="AO489" s="122"/>
      <c r="AP489" s="122"/>
      <c r="AQ489" s="122"/>
      <c r="AR489" s="122"/>
      <c r="AS489" s="122"/>
      <c r="AT489" s="122"/>
      <c r="AU489" s="122"/>
      <c r="AV489" s="122"/>
      <c r="AW489" s="122"/>
      <c r="AX489" s="122"/>
      <c r="AY489" s="122"/>
    </row>
    <row r="490">
      <c r="A490" s="78"/>
      <c r="B490" s="78"/>
      <c r="C490" s="78"/>
      <c r="D490" s="78"/>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c r="AH490" s="122"/>
      <c r="AI490" s="122"/>
      <c r="AJ490" s="122"/>
      <c r="AK490" s="122"/>
      <c r="AL490" s="122"/>
      <c r="AM490" s="122"/>
      <c r="AN490" s="122"/>
      <c r="AO490" s="122"/>
      <c r="AP490" s="122"/>
      <c r="AQ490" s="122"/>
      <c r="AR490" s="122"/>
      <c r="AS490" s="122"/>
      <c r="AT490" s="122"/>
      <c r="AU490" s="122"/>
      <c r="AV490" s="122"/>
      <c r="AW490" s="122"/>
      <c r="AX490" s="122"/>
      <c r="AY490" s="122"/>
    </row>
    <row r="491">
      <c r="A491" s="78"/>
      <c r="B491" s="78"/>
      <c r="C491" s="78"/>
      <c r="D491" s="78"/>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c r="AG491" s="122"/>
      <c r="AH491" s="122"/>
      <c r="AI491" s="122"/>
      <c r="AJ491" s="122"/>
      <c r="AK491" s="122"/>
      <c r="AL491" s="122"/>
      <c r="AM491" s="122"/>
      <c r="AN491" s="122"/>
      <c r="AO491" s="122"/>
      <c r="AP491" s="122"/>
      <c r="AQ491" s="122"/>
      <c r="AR491" s="122"/>
      <c r="AS491" s="122"/>
      <c r="AT491" s="122"/>
      <c r="AU491" s="122"/>
      <c r="AV491" s="122"/>
      <c r="AW491" s="122"/>
      <c r="AX491" s="122"/>
      <c r="AY491" s="122"/>
    </row>
    <row r="492">
      <c r="A492" s="78"/>
      <c r="B492" s="78"/>
      <c r="C492" s="78"/>
      <c r="D492" s="78"/>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122"/>
      <c r="AH492" s="122"/>
      <c r="AI492" s="122"/>
      <c r="AJ492" s="122"/>
      <c r="AK492" s="122"/>
      <c r="AL492" s="122"/>
      <c r="AM492" s="122"/>
      <c r="AN492" s="122"/>
      <c r="AO492" s="122"/>
      <c r="AP492" s="122"/>
      <c r="AQ492" s="122"/>
      <c r="AR492" s="122"/>
      <c r="AS492" s="122"/>
      <c r="AT492" s="122"/>
      <c r="AU492" s="122"/>
      <c r="AV492" s="122"/>
      <c r="AW492" s="122"/>
      <c r="AX492" s="122"/>
      <c r="AY492" s="122"/>
    </row>
    <row r="493">
      <c r="A493" s="78"/>
      <c r="B493" s="78"/>
      <c r="C493" s="78"/>
      <c r="D493" s="78"/>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c r="AF493" s="122"/>
      <c r="AG493" s="122"/>
      <c r="AH493" s="122"/>
      <c r="AI493" s="122"/>
      <c r="AJ493" s="122"/>
      <c r="AK493" s="122"/>
      <c r="AL493" s="122"/>
      <c r="AM493" s="122"/>
      <c r="AN493" s="122"/>
      <c r="AO493" s="122"/>
      <c r="AP493" s="122"/>
      <c r="AQ493" s="122"/>
      <c r="AR493" s="122"/>
      <c r="AS493" s="122"/>
      <c r="AT493" s="122"/>
      <c r="AU493" s="122"/>
      <c r="AV493" s="122"/>
      <c r="AW493" s="122"/>
      <c r="AX493" s="122"/>
      <c r="AY493" s="122"/>
    </row>
    <row r="494">
      <c r="A494" s="78"/>
      <c r="B494" s="78"/>
      <c r="C494" s="78"/>
      <c r="D494" s="78"/>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c r="AG494" s="122"/>
      <c r="AH494" s="122"/>
      <c r="AI494" s="122"/>
      <c r="AJ494" s="122"/>
      <c r="AK494" s="122"/>
      <c r="AL494" s="122"/>
      <c r="AM494" s="122"/>
      <c r="AN494" s="122"/>
      <c r="AO494" s="122"/>
      <c r="AP494" s="122"/>
      <c r="AQ494" s="122"/>
      <c r="AR494" s="122"/>
      <c r="AS494" s="122"/>
      <c r="AT494" s="122"/>
      <c r="AU494" s="122"/>
      <c r="AV494" s="122"/>
      <c r="AW494" s="122"/>
      <c r="AX494" s="122"/>
      <c r="AY494" s="122"/>
    </row>
    <row r="495">
      <c r="A495" s="78"/>
      <c r="B495" s="78"/>
      <c r="C495" s="78"/>
      <c r="D495" s="78"/>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c r="AH495" s="122"/>
      <c r="AI495" s="122"/>
      <c r="AJ495" s="122"/>
      <c r="AK495" s="122"/>
      <c r="AL495" s="122"/>
      <c r="AM495" s="122"/>
      <c r="AN495" s="122"/>
      <c r="AO495" s="122"/>
      <c r="AP495" s="122"/>
      <c r="AQ495" s="122"/>
      <c r="AR495" s="122"/>
      <c r="AS495" s="122"/>
      <c r="AT495" s="122"/>
      <c r="AU495" s="122"/>
      <c r="AV495" s="122"/>
      <c r="AW495" s="122"/>
      <c r="AX495" s="122"/>
      <c r="AY495" s="122"/>
    </row>
    <row r="496">
      <c r="A496" s="78"/>
      <c r="B496" s="78"/>
      <c r="C496" s="78"/>
      <c r="D496" s="78"/>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c r="AG496" s="122"/>
      <c r="AH496" s="122"/>
      <c r="AI496" s="122"/>
      <c r="AJ496" s="122"/>
      <c r="AK496" s="122"/>
      <c r="AL496" s="122"/>
      <c r="AM496" s="122"/>
      <c r="AN496" s="122"/>
      <c r="AO496" s="122"/>
      <c r="AP496" s="122"/>
      <c r="AQ496" s="122"/>
      <c r="AR496" s="122"/>
      <c r="AS496" s="122"/>
      <c r="AT496" s="122"/>
      <c r="AU496" s="122"/>
      <c r="AV496" s="122"/>
      <c r="AW496" s="122"/>
      <c r="AX496" s="122"/>
      <c r="AY496" s="122"/>
    </row>
    <row r="497">
      <c r="A497" s="78"/>
      <c r="B497" s="78"/>
      <c r="C497" s="78"/>
      <c r="D497" s="78"/>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c r="AG497" s="122"/>
      <c r="AH497" s="122"/>
      <c r="AI497" s="122"/>
      <c r="AJ497" s="122"/>
      <c r="AK497" s="122"/>
      <c r="AL497" s="122"/>
      <c r="AM497" s="122"/>
      <c r="AN497" s="122"/>
      <c r="AO497" s="122"/>
      <c r="AP497" s="122"/>
      <c r="AQ497" s="122"/>
      <c r="AR497" s="122"/>
      <c r="AS497" s="122"/>
      <c r="AT497" s="122"/>
      <c r="AU497" s="122"/>
      <c r="AV497" s="122"/>
      <c r="AW497" s="122"/>
      <c r="AX497" s="122"/>
      <c r="AY497" s="122"/>
    </row>
    <row r="498">
      <c r="A498" s="78"/>
      <c r="B498" s="78"/>
      <c r="C498" s="78"/>
      <c r="D498" s="78"/>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c r="AH498" s="122"/>
      <c r="AI498" s="122"/>
      <c r="AJ498" s="122"/>
      <c r="AK498" s="122"/>
      <c r="AL498" s="122"/>
      <c r="AM498" s="122"/>
      <c r="AN498" s="122"/>
      <c r="AO498" s="122"/>
      <c r="AP498" s="122"/>
      <c r="AQ498" s="122"/>
      <c r="AR498" s="122"/>
      <c r="AS498" s="122"/>
      <c r="AT498" s="122"/>
      <c r="AU498" s="122"/>
      <c r="AV498" s="122"/>
      <c r="AW498" s="122"/>
      <c r="AX498" s="122"/>
      <c r="AY498" s="122"/>
    </row>
    <row r="499">
      <c r="A499" s="78"/>
      <c r="B499" s="78"/>
      <c r="C499" s="78"/>
      <c r="D499" s="78"/>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c r="AF499" s="122"/>
      <c r="AG499" s="122"/>
      <c r="AH499" s="122"/>
      <c r="AI499" s="122"/>
      <c r="AJ499" s="122"/>
      <c r="AK499" s="122"/>
      <c r="AL499" s="122"/>
      <c r="AM499" s="122"/>
      <c r="AN499" s="122"/>
      <c r="AO499" s="122"/>
      <c r="AP499" s="122"/>
      <c r="AQ499" s="122"/>
      <c r="AR499" s="122"/>
      <c r="AS499" s="122"/>
      <c r="AT499" s="122"/>
      <c r="AU499" s="122"/>
      <c r="AV499" s="122"/>
      <c r="AW499" s="122"/>
      <c r="AX499" s="122"/>
      <c r="AY499" s="122"/>
    </row>
    <row r="500">
      <c r="A500" s="78"/>
      <c r="B500" s="78"/>
      <c r="C500" s="78"/>
      <c r="D500" s="78"/>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c r="AF500" s="122"/>
      <c r="AG500" s="122"/>
      <c r="AH500" s="122"/>
      <c r="AI500" s="122"/>
      <c r="AJ500" s="122"/>
      <c r="AK500" s="122"/>
      <c r="AL500" s="122"/>
      <c r="AM500" s="122"/>
      <c r="AN500" s="122"/>
      <c r="AO500" s="122"/>
      <c r="AP500" s="122"/>
      <c r="AQ500" s="122"/>
      <c r="AR500" s="122"/>
      <c r="AS500" s="122"/>
      <c r="AT500" s="122"/>
      <c r="AU500" s="122"/>
      <c r="AV500" s="122"/>
      <c r="AW500" s="122"/>
      <c r="AX500" s="122"/>
      <c r="AY500" s="122"/>
    </row>
    <row r="501">
      <c r="A501" s="78"/>
      <c r="B501" s="78"/>
      <c r="C501" s="78"/>
      <c r="D501" s="78"/>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c r="AF501" s="122"/>
      <c r="AG501" s="122"/>
      <c r="AH501" s="122"/>
      <c r="AI501" s="122"/>
      <c r="AJ501" s="122"/>
      <c r="AK501" s="122"/>
      <c r="AL501" s="122"/>
      <c r="AM501" s="122"/>
      <c r="AN501" s="122"/>
      <c r="AO501" s="122"/>
      <c r="AP501" s="122"/>
      <c r="AQ501" s="122"/>
      <c r="AR501" s="122"/>
      <c r="AS501" s="122"/>
      <c r="AT501" s="122"/>
      <c r="AU501" s="122"/>
      <c r="AV501" s="122"/>
      <c r="AW501" s="122"/>
      <c r="AX501" s="122"/>
      <c r="AY501" s="122"/>
    </row>
    <row r="502">
      <c r="A502" s="78"/>
      <c r="B502" s="78"/>
      <c r="C502" s="78"/>
      <c r="D502" s="78"/>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c r="AF502" s="122"/>
      <c r="AG502" s="122"/>
      <c r="AH502" s="122"/>
      <c r="AI502" s="122"/>
      <c r="AJ502" s="122"/>
      <c r="AK502" s="122"/>
      <c r="AL502" s="122"/>
      <c r="AM502" s="122"/>
      <c r="AN502" s="122"/>
      <c r="AO502" s="122"/>
      <c r="AP502" s="122"/>
      <c r="AQ502" s="122"/>
      <c r="AR502" s="122"/>
      <c r="AS502" s="122"/>
      <c r="AT502" s="122"/>
      <c r="AU502" s="122"/>
      <c r="AV502" s="122"/>
      <c r="AW502" s="122"/>
      <c r="AX502" s="122"/>
      <c r="AY502" s="122"/>
    </row>
    <row r="503">
      <c r="A503" s="78"/>
      <c r="B503" s="78"/>
      <c r="C503" s="78"/>
      <c r="D503" s="78"/>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c r="AF503" s="122"/>
      <c r="AG503" s="122"/>
      <c r="AH503" s="122"/>
      <c r="AI503" s="122"/>
      <c r="AJ503" s="122"/>
      <c r="AK503" s="122"/>
      <c r="AL503" s="122"/>
      <c r="AM503" s="122"/>
      <c r="AN503" s="122"/>
      <c r="AO503" s="122"/>
      <c r="AP503" s="122"/>
      <c r="AQ503" s="122"/>
      <c r="AR503" s="122"/>
      <c r="AS503" s="122"/>
      <c r="AT503" s="122"/>
      <c r="AU503" s="122"/>
      <c r="AV503" s="122"/>
      <c r="AW503" s="122"/>
      <c r="AX503" s="122"/>
      <c r="AY503" s="122"/>
    </row>
    <row r="504">
      <c r="A504" s="78"/>
      <c r="B504" s="78"/>
      <c r="C504" s="78"/>
      <c r="D504" s="78"/>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c r="AG504" s="122"/>
      <c r="AH504" s="122"/>
      <c r="AI504" s="122"/>
      <c r="AJ504" s="122"/>
      <c r="AK504" s="122"/>
      <c r="AL504" s="122"/>
      <c r="AM504" s="122"/>
      <c r="AN504" s="122"/>
      <c r="AO504" s="122"/>
      <c r="AP504" s="122"/>
      <c r="AQ504" s="122"/>
      <c r="AR504" s="122"/>
      <c r="AS504" s="122"/>
      <c r="AT504" s="122"/>
      <c r="AU504" s="122"/>
      <c r="AV504" s="122"/>
      <c r="AW504" s="122"/>
      <c r="AX504" s="122"/>
      <c r="AY504" s="122"/>
    </row>
    <row r="505">
      <c r="A505" s="78"/>
      <c r="B505" s="78"/>
      <c r="C505" s="78"/>
      <c r="D505" s="78"/>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c r="AF505" s="122"/>
      <c r="AG505" s="122"/>
      <c r="AH505" s="122"/>
      <c r="AI505" s="122"/>
      <c r="AJ505" s="122"/>
      <c r="AK505" s="122"/>
      <c r="AL505" s="122"/>
      <c r="AM505" s="122"/>
      <c r="AN505" s="122"/>
      <c r="AO505" s="122"/>
      <c r="AP505" s="122"/>
      <c r="AQ505" s="122"/>
      <c r="AR505" s="122"/>
      <c r="AS505" s="122"/>
      <c r="AT505" s="122"/>
      <c r="AU505" s="122"/>
      <c r="AV505" s="122"/>
      <c r="AW505" s="122"/>
      <c r="AX505" s="122"/>
      <c r="AY505" s="122"/>
    </row>
    <row r="506">
      <c r="A506" s="78"/>
      <c r="B506" s="78"/>
      <c r="C506" s="78"/>
      <c r="D506" s="78"/>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c r="AG506" s="122"/>
      <c r="AH506" s="122"/>
      <c r="AI506" s="122"/>
      <c r="AJ506" s="122"/>
      <c r="AK506" s="122"/>
      <c r="AL506" s="122"/>
      <c r="AM506" s="122"/>
      <c r="AN506" s="122"/>
      <c r="AO506" s="122"/>
      <c r="AP506" s="122"/>
      <c r="AQ506" s="122"/>
      <c r="AR506" s="122"/>
      <c r="AS506" s="122"/>
      <c r="AT506" s="122"/>
      <c r="AU506" s="122"/>
      <c r="AV506" s="122"/>
      <c r="AW506" s="122"/>
      <c r="AX506" s="122"/>
      <c r="AY506" s="122"/>
    </row>
    <row r="507">
      <c r="A507" s="78"/>
      <c r="B507" s="78"/>
      <c r="C507" s="78"/>
      <c r="D507" s="78"/>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c r="AF507" s="122"/>
      <c r="AG507" s="122"/>
      <c r="AH507" s="122"/>
      <c r="AI507" s="122"/>
      <c r="AJ507" s="122"/>
      <c r="AK507" s="122"/>
      <c r="AL507" s="122"/>
      <c r="AM507" s="122"/>
      <c r="AN507" s="122"/>
      <c r="AO507" s="122"/>
      <c r="AP507" s="122"/>
      <c r="AQ507" s="122"/>
      <c r="AR507" s="122"/>
      <c r="AS507" s="122"/>
      <c r="AT507" s="122"/>
      <c r="AU507" s="122"/>
      <c r="AV507" s="122"/>
      <c r="AW507" s="122"/>
      <c r="AX507" s="122"/>
      <c r="AY507" s="122"/>
    </row>
    <row r="508">
      <c r="A508" s="78"/>
      <c r="B508" s="78"/>
      <c r="C508" s="78"/>
      <c r="D508" s="78"/>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c r="AF508" s="122"/>
      <c r="AG508" s="122"/>
      <c r="AH508" s="122"/>
      <c r="AI508" s="122"/>
      <c r="AJ508" s="122"/>
      <c r="AK508" s="122"/>
      <c r="AL508" s="122"/>
      <c r="AM508" s="122"/>
      <c r="AN508" s="122"/>
      <c r="AO508" s="122"/>
      <c r="AP508" s="122"/>
      <c r="AQ508" s="122"/>
      <c r="AR508" s="122"/>
      <c r="AS508" s="122"/>
      <c r="AT508" s="122"/>
      <c r="AU508" s="122"/>
      <c r="AV508" s="122"/>
      <c r="AW508" s="122"/>
      <c r="AX508" s="122"/>
      <c r="AY508" s="122"/>
    </row>
    <row r="509">
      <c r="A509" s="78"/>
      <c r="B509" s="78"/>
      <c r="C509" s="78"/>
      <c r="D509" s="78"/>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c r="AF509" s="122"/>
      <c r="AG509" s="122"/>
      <c r="AH509" s="122"/>
      <c r="AI509" s="122"/>
      <c r="AJ509" s="122"/>
      <c r="AK509" s="122"/>
      <c r="AL509" s="122"/>
      <c r="AM509" s="122"/>
      <c r="AN509" s="122"/>
      <c r="AO509" s="122"/>
      <c r="AP509" s="122"/>
      <c r="AQ509" s="122"/>
      <c r="AR509" s="122"/>
      <c r="AS509" s="122"/>
      <c r="AT509" s="122"/>
      <c r="AU509" s="122"/>
      <c r="AV509" s="122"/>
      <c r="AW509" s="122"/>
      <c r="AX509" s="122"/>
      <c r="AY509" s="122"/>
    </row>
    <row r="510">
      <c r="A510" s="78"/>
      <c r="B510" s="78"/>
      <c r="C510" s="78"/>
      <c r="D510" s="78"/>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c r="AF510" s="122"/>
      <c r="AG510" s="122"/>
      <c r="AH510" s="122"/>
      <c r="AI510" s="122"/>
      <c r="AJ510" s="122"/>
      <c r="AK510" s="122"/>
      <c r="AL510" s="122"/>
      <c r="AM510" s="122"/>
      <c r="AN510" s="122"/>
      <c r="AO510" s="122"/>
      <c r="AP510" s="122"/>
      <c r="AQ510" s="122"/>
      <c r="AR510" s="122"/>
      <c r="AS510" s="122"/>
      <c r="AT510" s="122"/>
      <c r="AU510" s="122"/>
      <c r="AV510" s="122"/>
      <c r="AW510" s="122"/>
      <c r="AX510" s="122"/>
      <c r="AY510" s="122"/>
    </row>
    <row r="511">
      <c r="A511" s="78"/>
      <c r="B511" s="78"/>
      <c r="C511" s="78"/>
      <c r="D511" s="78"/>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c r="AA511" s="122"/>
      <c r="AB511" s="122"/>
      <c r="AC511" s="122"/>
      <c r="AD511" s="122"/>
      <c r="AE511" s="122"/>
      <c r="AF511" s="122"/>
      <c r="AG511" s="122"/>
      <c r="AH511" s="122"/>
      <c r="AI511" s="122"/>
      <c r="AJ511" s="122"/>
      <c r="AK511" s="122"/>
      <c r="AL511" s="122"/>
      <c r="AM511" s="122"/>
      <c r="AN511" s="122"/>
      <c r="AO511" s="122"/>
      <c r="AP511" s="122"/>
      <c r="AQ511" s="122"/>
      <c r="AR511" s="122"/>
      <c r="AS511" s="122"/>
      <c r="AT511" s="122"/>
      <c r="AU511" s="122"/>
      <c r="AV511" s="122"/>
      <c r="AW511" s="122"/>
      <c r="AX511" s="122"/>
      <c r="AY511" s="122"/>
    </row>
    <row r="512">
      <c r="A512" s="78"/>
      <c r="B512" s="78"/>
      <c r="C512" s="78"/>
      <c r="D512" s="78"/>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c r="AG512" s="122"/>
      <c r="AH512" s="122"/>
      <c r="AI512" s="122"/>
      <c r="AJ512" s="122"/>
      <c r="AK512" s="122"/>
      <c r="AL512" s="122"/>
      <c r="AM512" s="122"/>
      <c r="AN512" s="122"/>
      <c r="AO512" s="122"/>
      <c r="AP512" s="122"/>
      <c r="AQ512" s="122"/>
      <c r="AR512" s="122"/>
      <c r="AS512" s="122"/>
      <c r="AT512" s="122"/>
      <c r="AU512" s="122"/>
      <c r="AV512" s="122"/>
      <c r="AW512" s="122"/>
      <c r="AX512" s="122"/>
      <c r="AY512" s="122"/>
    </row>
    <row r="513">
      <c r="A513" s="78"/>
      <c r="B513" s="78"/>
      <c r="C513" s="78"/>
      <c r="D513" s="78"/>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c r="AG513" s="122"/>
      <c r="AH513" s="122"/>
      <c r="AI513" s="122"/>
      <c r="AJ513" s="122"/>
      <c r="AK513" s="122"/>
      <c r="AL513" s="122"/>
      <c r="AM513" s="122"/>
      <c r="AN513" s="122"/>
      <c r="AO513" s="122"/>
      <c r="AP513" s="122"/>
      <c r="AQ513" s="122"/>
      <c r="AR513" s="122"/>
      <c r="AS513" s="122"/>
      <c r="AT513" s="122"/>
      <c r="AU513" s="122"/>
      <c r="AV513" s="122"/>
      <c r="AW513" s="122"/>
      <c r="AX513" s="122"/>
      <c r="AY513" s="122"/>
    </row>
    <row r="514">
      <c r="A514" s="78"/>
      <c r="B514" s="78"/>
      <c r="C514" s="78"/>
      <c r="D514" s="78"/>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c r="AH514" s="122"/>
      <c r="AI514" s="122"/>
      <c r="AJ514" s="122"/>
      <c r="AK514" s="122"/>
      <c r="AL514" s="122"/>
      <c r="AM514" s="122"/>
      <c r="AN514" s="122"/>
      <c r="AO514" s="122"/>
      <c r="AP514" s="122"/>
      <c r="AQ514" s="122"/>
      <c r="AR514" s="122"/>
      <c r="AS514" s="122"/>
      <c r="AT514" s="122"/>
      <c r="AU514" s="122"/>
      <c r="AV514" s="122"/>
      <c r="AW514" s="122"/>
      <c r="AX514" s="122"/>
      <c r="AY514" s="122"/>
    </row>
    <row r="515">
      <c r="A515" s="78"/>
      <c r="B515" s="78"/>
      <c r="C515" s="78"/>
      <c r="D515" s="78"/>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c r="AF515" s="122"/>
      <c r="AG515" s="122"/>
      <c r="AH515" s="122"/>
      <c r="AI515" s="122"/>
      <c r="AJ515" s="122"/>
      <c r="AK515" s="122"/>
      <c r="AL515" s="122"/>
      <c r="AM515" s="122"/>
      <c r="AN515" s="122"/>
      <c r="AO515" s="122"/>
      <c r="AP515" s="122"/>
      <c r="AQ515" s="122"/>
      <c r="AR515" s="122"/>
      <c r="AS515" s="122"/>
      <c r="AT515" s="122"/>
      <c r="AU515" s="122"/>
      <c r="AV515" s="122"/>
      <c r="AW515" s="122"/>
      <c r="AX515" s="122"/>
      <c r="AY515" s="122"/>
    </row>
    <row r="516">
      <c r="A516" s="78"/>
      <c r="B516" s="78"/>
      <c r="C516" s="78"/>
      <c r="D516" s="78"/>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c r="AF516" s="122"/>
      <c r="AG516" s="122"/>
      <c r="AH516" s="122"/>
      <c r="AI516" s="122"/>
      <c r="AJ516" s="122"/>
      <c r="AK516" s="122"/>
      <c r="AL516" s="122"/>
      <c r="AM516" s="122"/>
      <c r="AN516" s="122"/>
      <c r="AO516" s="122"/>
      <c r="AP516" s="122"/>
      <c r="AQ516" s="122"/>
      <c r="AR516" s="122"/>
      <c r="AS516" s="122"/>
      <c r="AT516" s="122"/>
      <c r="AU516" s="122"/>
      <c r="AV516" s="122"/>
      <c r="AW516" s="122"/>
      <c r="AX516" s="122"/>
      <c r="AY516" s="122"/>
    </row>
    <row r="517">
      <c r="A517" s="78"/>
      <c r="B517" s="78"/>
      <c r="C517" s="78"/>
      <c r="D517" s="78"/>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c r="AA517" s="122"/>
      <c r="AB517" s="122"/>
      <c r="AC517" s="122"/>
      <c r="AD517" s="122"/>
      <c r="AE517" s="122"/>
      <c r="AF517" s="122"/>
      <c r="AG517" s="122"/>
      <c r="AH517" s="122"/>
      <c r="AI517" s="122"/>
      <c r="AJ517" s="122"/>
      <c r="AK517" s="122"/>
      <c r="AL517" s="122"/>
      <c r="AM517" s="122"/>
      <c r="AN517" s="122"/>
      <c r="AO517" s="122"/>
      <c r="AP517" s="122"/>
      <c r="AQ517" s="122"/>
      <c r="AR517" s="122"/>
      <c r="AS517" s="122"/>
      <c r="AT517" s="122"/>
      <c r="AU517" s="122"/>
      <c r="AV517" s="122"/>
      <c r="AW517" s="122"/>
      <c r="AX517" s="122"/>
      <c r="AY517" s="122"/>
    </row>
    <row r="518">
      <c r="A518" s="78"/>
      <c r="B518" s="78"/>
      <c r="C518" s="78"/>
      <c r="D518" s="78"/>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c r="AF518" s="122"/>
      <c r="AG518" s="122"/>
      <c r="AH518" s="122"/>
      <c r="AI518" s="122"/>
      <c r="AJ518" s="122"/>
      <c r="AK518" s="122"/>
      <c r="AL518" s="122"/>
      <c r="AM518" s="122"/>
      <c r="AN518" s="122"/>
      <c r="AO518" s="122"/>
      <c r="AP518" s="122"/>
      <c r="AQ518" s="122"/>
      <c r="AR518" s="122"/>
      <c r="AS518" s="122"/>
      <c r="AT518" s="122"/>
      <c r="AU518" s="122"/>
      <c r="AV518" s="122"/>
      <c r="AW518" s="122"/>
      <c r="AX518" s="122"/>
      <c r="AY518" s="122"/>
    </row>
    <row r="519">
      <c r="A519" s="78"/>
      <c r="B519" s="78"/>
      <c r="C519" s="78"/>
      <c r="D519" s="78"/>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c r="AF519" s="122"/>
      <c r="AG519" s="122"/>
      <c r="AH519" s="122"/>
      <c r="AI519" s="122"/>
      <c r="AJ519" s="122"/>
      <c r="AK519" s="122"/>
      <c r="AL519" s="122"/>
      <c r="AM519" s="122"/>
      <c r="AN519" s="122"/>
      <c r="AO519" s="122"/>
      <c r="AP519" s="122"/>
      <c r="AQ519" s="122"/>
      <c r="AR519" s="122"/>
      <c r="AS519" s="122"/>
      <c r="AT519" s="122"/>
      <c r="AU519" s="122"/>
      <c r="AV519" s="122"/>
      <c r="AW519" s="122"/>
      <c r="AX519" s="122"/>
      <c r="AY519" s="122"/>
    </row>
    <row r="520">
      <c r="A520" s="78"/>
      <c r="B520" s="78"/>
      <c r="C520" s="78"/>
      <c r="D520" s="78"/>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c r="AF520" s="122"/>
      <c r="AG520" s="122"/>
      <c r="AH520" s="122"/>
      <c r="AI520" s="122"/>
      <c r="AJ520" s="122"/>
      <c r="AK520" s="122"/>
      <c r="AL520" s="122"/>
      <c r="AM520" s="122"/>
      <c r="AN520" s="122"/>
      <c r="AO520" s="122"/>
      <c r="AP520" s="122"/>
      <c r="AQ520" s="122"/>
      <c r="AR520" s="122"/>
      <c r="AS520" s="122"/>
      <c r="AT520" s="122"/>
      <c r="AU520" s="122"/>
      <c r="AV520" s="122"/>
      <c r="AW520" s="122"/>
      <c r="AX520" s="122"/>
      <c r="AY520" s="122"/>
    </row>
    <row r="521">
      <c r="A521" s="78"/>
      <c r="B521" s="78"/>
      <c r="C521" s="78"/>
      <c r="D521" s="78"/>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c r="AF521" s="122"/>
      <c r="AG521" s="122"/>
      <c r="AH521" s="122"/>
      <c r="AI521" s="122"/>
      <c r="AJ521" s="122"/>
      <c r="AK521" s="122"/>
      <c r="AL521" s="122"/>
      <c r="AM521" s="122"/>
      <c r="AN521" s="122"/>
      <c r="AO521" s="122"/>
      <c r="AP521" s="122"/>
      <c r="AQ521" s="122"/>
      <c r="AR521" s="122"/>
      <c r="AS521" s="122"/>
      <c r="AT521" s="122"/>
      <c r="AU521" s="122"/>
      <c r="AV521" s="122"/>
      <c r="AW521" s="122"/>
      <c r="AX521" s="122"/>
      <c r="AY521" s="122"/>
    </row>
    <row r="522">
      <c r="A522" s="78"/>
      <c r="B522" s="78"/>
      <c r="C522" s="78"/>
      <c r="D522" s="78"/>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c r="AG522" s="122"/>
      <c r="AH522" s="122"/>
      <c r="AI522" s="122"/>
      <c r="AJ522" s="122"/>
      <c r="AK522" s="122"/>
      <c r="AL522" s="122"/>
      <c r="AM522" s="122"/>
      <c r="AN522" s="122"/>
      <c r="AO522" s="122"/>
      <c r="AP522" s="122"/>
      <c r="AQ522" s="122"/>
      <c r="AR522" s="122"/>
      <c r="AS522" s="122"/>
      <c r="AT522" s="122"/>
      <c r="AU522" s="122"/>
      <c r="AV522" s="122"/>
      <c r="AW522" s="122"/>
      <c r="AX522" s="122"/>
      <c r="AY522" s="122"/>
    </row>
    <row r="523">
      <c r="A523" s="78"/>
      <c r="B523" s="78"/>
      <c r="C523" s="78"/>
      <c r="D523" s="78"/>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c r="AF523" s="122"/>
      <c r="AG523" s="122"/>
      <c r="AH523" s="122"/>
      <c r="AI523" s="122"/>
      <c r="AJ523" s="122"/>
      <c r="AK523" s="122"/>
      <c r="AL523" s="122"/>
      <c r="AM523" s="122"/>
      <c r="AN523" s="122"/>
      <c r="AO523" s="122"/>
      <c r="AP523" s="122"/>
      <c r="AQ523" s="122"/>
      <c r="AR523" s="122"/>
      <c r="AS523" s="122"/>
      <c r="AT523" s="122"/>
      <c r="AU523" s="122"/>
      <c r="AV523" s="122"/>
      <c r="AW523" s="122"/>
      <c r="AX523" s="122"/>
      <c r="AY523" s="122"/>
    </row>
    <row r="524">
      <c r="A524" s="78"/>
      <c r="B524" s="78"/>
      <c r="C524" s="78"/>
      <c r="D524" s="78"/>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c r="AG524" s="122"/>
      <c r="AH524" s="122"/>
      <c r="AI524" s="122"/>
      <c r="AJ524" s="122"/>
      <c r="AK524" s="122"/>
      <c r="AL524" s="122"/>
      <c r="AM524" s="122"/>
      <c r="AN524" s="122"/>
      <c r="AO524" s="122"/>
      <c r="AP524" s="122"/>
      <c r="AQ524" s="122"/>
      <c r="AR524" s="122"/>
      <c r="AS524" s="122"/>
      <c r="AT524" s="122"/>
      <c r="AU524" s="122"/>
      <c r="AV524" s="122"/>
      <c r="AW524" s="122"/>
      <c r="AX524" s="122"/>
      <c r="AY524" s="122"/>
    </row>
    <row r="525">
      <c r="A525" s="78"/>
      <c r="B525" s="78"/>
      <c r="C525" s="78"/>
      <c r="D525" s="78"/>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c r="AA525" s="122"/>
      <c r="AB525" s="122"/>
      <c r="AC525" s="122"/>
      <c r="AD525" s="122"/>
      <c r="AE525" s="122"/>
      <c r="AF525" s="122"/>
      <c r="AG525" s="122"/>
      <c r="AH525" s="122"/>
      <c r="AI525" s="122"/>
      <c r="AJ525" s="122"/>
      <c r="AK525" s="122"/>
      <c r="AL525" s="122"/>
      <c r="AM525" s="122"/>
      <c r="AN525" s="122"/>
      <c r="AO525" s="122"/>
      <c r="AP525" s="122"/>
      <c r="AQ525" s="122"/>
      <c r="AR525" s="122"/>
      <c r="AS525" s="122"/>
      <c r="AT525" s="122"/>
      <c r="AU525" s="122"/>
      <c r="AV525" s="122"/>
      <c r="AW525" s="122"/>
      <c r="AX525" s="122"/>
      <c r="AY525" s="122"/>
    </row>
    <row r="526">
      <c r="A526" s="78"/>
      <c r="B526" s="78"/>
      <c r="C526" s="78"/>
      <c r="D526" s="78"/>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c r="AA526" s="122"/>
      <c r="AB526" s="122"/>
      <c r="AC526" s="122"/>
      <c r="AD526" s="122"/>
      <c r="AE526" s="122"/>
      <c r="AF526" s="122"/>
      <c r="AG526" s="122"/>
      <c r="AH526" s="122"/>
      <c r="AI526" s="122"/>
      <c r="AJ526" s="122"/>
      <c r="AK526" s="122"/>
      <c r="AL526" s="122"/>
      <c r="AM526" s="122"/>
      <c r="AN526" s="122"/>
      <c r="AO526" s="122"/>
      <c r="AP526" s="122"/>
      <c r="AQ526" s="122"/>
      <c r="AR526" s="122"/>
      <c r="AS526" s="122"/>
      <c r="AT526" s="122"/>
      <c r="AU526" s="122"/>
      <c r="AV526" s="122"/>
      <c r="AW526" s="122"/>
      <c r="AX526" s="122"/>
      <c r="AY526" s="122"/>
    </row>
    <row r="527">
      <c r="A527" s="78"/>
      <c r="B527" s="78"/>
      <c r="C527" s="78"/>
      <c r="D527" s="78"/>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c r="AA527" s="122"/>
      <c r="AB527" s="122"/>
      <c r="AC527" s="122"/>
      <c r="AD527" s="122"/>
      <c r="AE527" s="122"/>
      <c r="AF527" s="122"/>
      <c r="AG527" s="122"/>
      <c r="AH527" s="122"/>
      <c r="AI527" s="122"/>
      <c r="AJ527" s="122"/>
      <c r="AK527" s="122"/>
      <c r="AL527" s="122"/>
      <c r="AM527" s="122"/>
      <c r="AN527" s="122"/>
      <c r="AO527" s="122"/>
      <c r="AP527" s="122"/>
      <c r="AQ527" s="122"/>
      <c r="AR527" s="122"/>
      <c r="AS527" s="122"/>
      <c r="AT527" s="122"/>
      <c r="AU527" s="122"/>
      <c r="AV527" s="122"/>
      <c r="AW527" s="122"/>
      <c r="AX527" s="122"/>
      <c r="AY527" s="122"/>
    </row>
    <row r="528">
      <c r="A528" s="78"/>
      <c r="B528" s="78"/>
      <c r="C528" s="78"/>
      <c r="D528" s="78"/>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c r="AF528" s="122"/>
      <c r="AG528" s="122"/>
      <c r="AH528" s="122"/>
      <c r="AI528" s="122"/>
      <c r="AJ528" s="122"/>
      <c r="AK528" s="122"/>
      <c r="AL528" s="122"/>
      <c r="AM528" s="122"/>
      <c r="AN528" s="122"/>
      <c r="AO528" s="122"/>
      <c r="AP528" s="122"/>
      <c r="AQ528" s="122"/>
      <c r="AR528" s="122"/>
      <c r="AS528" s="122"/>
      <c r="AT528" s="122"/>
      <c r="AU528" s="122"/>
      <c r="AV528" s="122"/>
      <c r="AW528" s="122"/>
      <c r="AX528" s="122"/>
      <c r="AY528" s="122"/>
    </row>
    <row r="529">
      <c r="A529" s="78"/>
      <c r="B529" s="78"/>
      <c r="C529" s="78"/>
      <c r="D529" s="78"/>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c r="AG529" s="122"/>
      <c r="AH529" s="122"/>
      <c r="AI529" s="122"/>
      <c r="AJ529" s="122"/>
      <c r="AK529" s="122"/>
      <c r="AL529" s="122"/>
      <c r="AM529" s="122"/>
      <c r="AN529" s="122"/>
      <c r="AO529" s="122"/>
      <c r="AP529" s="122"/>
      <c r="AQ529" s="122"/>
      <c r="AR529" s="122"/>
      <c r="AS529" s="122"/>
      <c r="AT529" s="122"/>
      <c r="AU529" s="122"/>
      <c r="AV529" s="122"/>
      <c r="AW529" s="122"/>
      <c r="AX529" s="122"/>
      <c r="AY529" s="122"/>
    </row>
    <row r="530">
      <c r="A530" s="78"/>
      <c r="B530" s="78"/>
      <c r="C530" s="78"/>
      <c r="D530" s="78"/>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c r="AA530" s="122"/>
      <c r="AB530" s="122"/>
      <c r="AC530" s="122"/>
      <c r="AD530" s="122"/>
      <c r="AE530" s="122"/>
      <c r="AF530" s="122"/>
      <c r="AG530" s="122"/>
      <c r="AH530" s="122"/>
      <c r="AI530" s="122"/>
      <c r="AJ530" s="122"/>
      <c r="AK530" s="122"/>
      <c r="AL530" s="122"/>
      <c r="AM530" s="122"/>
      <c r="AN530" s="122"/>
      <c r="AO530" s="122"/>
      <c r="AP530" s="122"/>
      <c r="AQ530" s="122"/>
      <c r="AR530" s="122"/>
      <c r="AS530" s="122"/>
      <c r="AT530" s="122"/>
      <c r="AU530" s="122"/>
      <c r="AV530" s="122"/>
      <c r="AW530" s="122"/>
      <c r="AX530" s="122"/>
      <c r="AY530" s="122"/>
    </row>
    <row r="531">
      <c r="A531" s="78"/>
      <c r="B531" s="78"/>
      <c r="C531" s="78"/>
      <c r="D531" s="78"/>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c r="AA531" s="122"/>
      <c r="AB531" s="122"/>
      <c r="AC531" s="122"/>
      <c r="AD531" s="122"/>
      <c r="AE531" s="122"/>
      <c r="AF531" s="122"/>
      <c r="AG531" s="122"/>
      <c r="AH531" s="122"/>
      <c r="AI531" s="122"/>
      <c r="AJ531" s="122"/>
      <c r="AK531" s="122"/>
      <c r="AL531" s="122"/>
      <c r="AM531" s="122"/>
      <c r="AN531" s="122"/>
      <c r="AO531" s="122"/>
      <c r="AP531" s="122"/>
      <c r="AQ531" s="122"/>
      <c r="AR531" s="122"/>
      <c r="AS531" s="122"/>
      <c r="AT531" s="122"/>
      <c r="AU531" s="122"/>
      <c r="AV531" s="122"/>
      <c r="AW531" s="122"/>
      <c r="AX531" s="122"/>
      <c r="AY531" s="122"/>
    </row>
    <row r="532">
      <c r="A532" s="78"/>
      <c r="B532" s="78"/>
      <c r="C532" s="78"/>
      <c r="D532" s="78"/>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c r="AA532" s="122"/>
      <c r="AB532" s="122"/>
      <c r="AC532" s="122"/>
      <c r="AD532" s="122"/>
      <c r="AE532" s="122"/>
      <c r="AF532" s="122"/>
      <c r="AG532" s="122"/>
      <c r="AH532" s="122"/>
      <c r="AI532" s="122"/>
      <c r="AJ532" s="122"/>
      <c r="AK532" s="122"/>
      <c r="AL532" s="122"/>
      <c r="AM532" s="122"/>
      <c r="AN532" s="122"/>
      <c r="AO532" s="122"/>
      <c r="AP532" s="122"/>
      <c r="AQ532" s="122"/>
      <c r="AR532" s="122"/>
      <c r="AS532" s="122"/>
      <c r="AT532" s="122"/>
      <c r="AU532" s="122"/>
      <c r="AV532" s="122"/>
      <c r="AW532" s="122"/>
      <c r="AX532" s="122"/>
      <c r="AY532" s="122"/>
    </row>
    <row r="533">
      <c r="A533" s="78"/>
      <c r="B533" s="78"/>
      <c r="C533" s="78"/>
      <c r="D533" s="78"/>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c r="AA533" s="122"/>
      <c r="AB533" s="122"/>
      <c r="AC533" s="122"/>
      <c r="AD533" s="122"/>
      <c r="AE533" s="122"/>
      <c r="AF533" s="122"/>
      <c r="AG533" s="122"/>
      <c r="AH533" s="122"/>
      <c r="AI533" s="122"/>
      <c r="AJ533" s="122"/>
      <c r="AK533" s="122"/>
      <c r="AL533" s="122"/>
      <c r="AM533" s="122"/>
      <c r="AN533" s="122"/>
      <c r="AO533" s="122"/>
      <c r="AP533" s="122"/>
      <c r="AQ533" s="122"/>
      <c r="AR533" s="122"/>
      <c r="AS533" s="122"/>
      <c r="AT533" s="122"/>
      <c r="AU533" s="122"/>
      <c r="AV533" s="122"/>
      <c r="AW533" s="122"/>
      <c r="AX533" s="122"/>
      <c r="AY533" s="122"/>
    </row>
    <row r="534">
      <c r="A534" s="78"/>
      <c r="B534" s="78"/>
      <c r="C534" s="78"/>
      <c r="D534" s="78"/>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c r="AA534" s="122"/>
      <c r="AB534" s="122"/>
      <c r="AC534" s="122"/>
      <c r="AD534" s="122"/>
      <c r="AE534" s="122"/>
      <c r="AF534" s="122"/>
      <c r="AG534" s="122"/>
      <c r="AH534" s="122"/>
      <c r="AI534" s="122"/>
      <c r="AJ534" s="122"/>
      <c r="AK534" s="122"/>
      <c r="AL534" s="122"/>
      <c r="AM534" s="122"/>
      <c r="AN534" s="122"/>
      <c r="AO534" s="122"/>
      <c r="AP534" s="122"/>
      <c r="AQ534" s="122"/>
      <c r="AR534" s="122"/>
      <c r="AS534" s="122"/>
      <c r="AT534" s="122"/>
      <c r="AU534" s="122"/>
      <c r="AV534" s="122"/>
      <c r="AW534" s="122"/>
      <c r="AX534" s="122"/>
      <c r="AY534" s="122"/>
    </row>
    <row r="535">
      <c r="A535" s="78"/>
      <c r="B535" s="78"/>
      <c r="C535" s="78"/>
      <c r="D535" s="78"/>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c r="AA535" s="122"/>
      <c r="AB535" s="122"/>
      <c r="AC535" s="122"/>
      <c r="AD535" s="122"/>
      <c r="AE535" s="122"/>
      <c r="AF535" s="122"/>
      <c r="AG535" s="122"/>
      <c r="AH535" s="122"/>
      <c r="AI535" s="122"/>
      <c r="AJ535" s="122"/>
      <c r="AK535" s="122"/>
      <c r="AL535" s="122"/>
      <c r="AM535" s="122"/>
      <c r="AN535" s="122"/>
      <c r="AO535" s="122"/>
      <c r="AP535" s="122"/>
      <c r="AQ535" s="122"/>
      <c r="AR535" s="122"/>
      <c r="AS535" s="122"/>
      <c r="AT535" s="122"/>
      <c r="AU535" s="122"/>
      <c r="AV535" s="122"/>
      <c r="AW535" s="122"/>
      <c r="AX535" s="122"/>
      <c r="AY535" s="122"/>
    </row>
    <row r="536">
      <c r="A536" s="78"/>
      <c r="B536" s="78"/>
      <c r="C536" s="78"/>
      <c r="D536" s="78"/>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c r="AA536" s="122"/>
      <c r="AB536" s="122"/>
      <c r="AC536" s="122"/>
      <c r="AD536" s="122"/>
      <c r="AE536" s="122"/>
      <c r="AF536" s="122"/>
      <c r="AG536" s="122"/>
      <c r="AH536" s="122"/>
      <c r="AI536" s="122"/>
      <c r="AJ536" s="122"/>
      <c r="AK536" s="122"/>
      <c r="AL536" s="122"/>
      <c r="AM536" s="122"/>
      <c r="AN536" s="122"/>
      <c r="AO536" s="122"/>
      <c r="AP536" s="122"/>
      <c r="AQ536" s="122"/>
      <c r="AR536" s="122"/>
      <c r="AS536" s="122"/>
      <c r="AT536" s="122"/>
      <c r="AU536" s="122"/>
      <c r="AV536" s="122"/>
      <c r="AW536" s="122"/>
      <c r="AX536" s="122"/>
      <c r="AY536" s="122"/>
    </row>
    <row r="537">
      <c r="A537" s="78"/>
      <c r="B537" s="78"/>
      <c r="C537" s="78"/>
      <c r="D537" s="78"/>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c r="AF537" s="122"/>
      <c r="AG537" s="122"/>
      <c r="AH537" s="122"/>
      <c r="AI537" s="122"/>
      <c r="AJ537" s="122"/>
      <c r="AK537" s="122"/>
      <c r="AL537" s="122"/>
      <c r="AM537" s="122"/>
      <c r="AN537" s="122"/>
      <c r="AO537" s="122"/>
      <c r="AP537" s="122"/>
      <c r="AQ537" s="122"/>
      <c r="AR537" s="122"/>
      <c r="AS537" s="122"/>
      <c r="AT537" s="122"/>
      <c r="AU537" s="122"/>
      <c r="AV537" s="122"/>
      <c r="AW537" s="122"/>
      <c r="AX537" s="122"/>
      <c r="AY537" s="122"/>
    </row>
    <row r="538">
      <c r="A538" s="78"/>
      <c r="B538" s="78"/>
      <c r="C538" s="78"/>
      <c r="D538" s="78"/>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c r="AA538" s="122"/>
      <c r="AB538" s="122"/>
      <c r="AC538" s="122"/>
      <c r="AD538" s="122"/>
      <c r="AE538" s="122"/>
      <c r="AF538" s="122"/>
      <c r="AG538" s="122"/>
      <c r="AH538" s="122"/>
      <c r="AI538" s="122"/>
      <c r="AJ538" s="122"/>
      <c r="AK538" s="122"/>
      <c r="AL538" s="122"/>
      <c r="AM538" s="122"/>
      <c r="AN538" s="122"/>
      <c r="AO538" s="122"/>
      <c r="AP538" s="122"/>
      <c r="AQ538" s="122"/>
      <c r="AR538" s="122"/>
      <c r="AS538" s="122"/>
      <c r="AT538" s="122"/>
      <c r="AU538" s="122"/>
      <c r="AV538" s="122"/>
      <c r="AW538" s="122"/>
      <c r="AX538" s="122"/>
      <c r="AY538" s="122"/>
    </row>
    <row r="539">
      <c r="A539" s="78"/>
      <c r="B539" s="78"/>
      <c r="C539" s="78"/>
      <c r="D539" s="78"/>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c r="AA539" s="122"/>
      <c r="AB539" s="122"/>
      <c r="AC539" s="122"/>
      <c r="AD539" s="122"/>
      <c r="AE539" s="122"/>
      <c r="AF539" s="122"/>
      <c r="AG539" s="122"/>
      <c r="AH539" s="122"/>
      <c r="AI539" s="122"/>
      <c r="AJ539" s="122"/>
      <c r="AK539" s="122"/>
      <c r="AL539" s="122"/>
      <c r="AM539" s="122"/>
      <c r="AN539" s="122"/>
      <c r="AO539" s="122"/>
      <c r="AP539" s="122"/>
      <c r="AQ539" s="122"/>
      <c r="AR539" s="122"/>
      <c r="AS539" s="122"/>
      <c r="AT539" s="122"/>
      <c r="AU539" s="122"/>
      <c r="AV539" s="122"/>
      <c r="AW539" s="122"/>
      <c r="AX539" s="122"/>
      <c r="AY539" s="122"/>
    </row>
    <row r="540">
      <c r="A540" s="78"/>
      <c r="B540" s="78"/>
      <c r="C540" s="78"/>
      <c r="D540" s="78"/>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c r="AF540" s="122"/>
      <c r="AG540" s="122"/>
      <c r="AH540" s="122"/>
      <c r="AI540" s="122"/>
      <c r="AJ540" s="122"/>
      <c r="AK540" s="122"/>
      <c r="AL540" s="122"/>
      <c r="AM540" s="122"/>
      <c r="AN540" s="122"/>
      <c r="AO540" s="122"/>
      <c r="AP540" s="122"/>
      <c r="AQ540" s="122"/>
      <c r="AR540" s="122"/>
      <c r="AS540" s="122"/>
      <c r="AT540" s="122"/>
      <c r="AU540" s="122"/>
      <c r="AV540" s="122"/>
      <c r="AW540" s="122"/>
      <c r="AX540" s="122"/>
      <c r="AY540" s="122"/>
    </row>
    <row r="541">
      <c r="A541" s="78"/>
      <c r="B541" s="78"/>
      <c r="C541" s="78"/>
      <c r="D541" s="78"/>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c r="AA541" s="122"/>
      <c r="AB541" s="122"/>
      <c r="AC541" s="122"/>
      <c r="AD541" s="122"/>
      <c r="AE541" s="122"/>
      <c r="AF541" s="122"/>
      <c r="AG541" s="122"/>
      <c r="AH541" s="122"/>
      <c r="AI541" s="122"/>
      <c r="AJ541" s="122"/>
      <c r="AK541" s="122"/>
      <c r="AL541" s="122"/>
      <c r="AM541" s="122"/>
      <c r="AN541" s="122"/>
      <c r="AO541" s="122"/>
      <c r="AP541" s="122"/>
      <c r="AQ541" s="122"/>
      <c r="AR541" s="122"/>
      <c r="AS541" s="122"/>
      <c r="AT541" s="122"/>
      <c r="AU541" s="122"/>
      <c r="AV541" s="122"/>
      <c r="AW541" s="122"/>
      <c r="AX541" s="122"/>
      <c r="AY541" s="122"/>
    </row>
    <row r="542">
      <c r="A542" s="78"/>
      <c r="B542" s="78"/>
      <c r="C542" s="78"/>
      <c r="D542" s="78"/>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c r="AA542" s="122"/>
      <c r="AB542" s="122"/>
      <c r="AC542" s="122"/>
      <c r="AD542" s="122"/>
      <c r="AE542" s="122"/>
      <c r="AF542" s="122"/>
      <c r="AG542" s="122"/>
      <c r="AH542" s="122"/>
      <c r="AI542" s="122"/>
      <c r="AJ542" s="122"/>
      <c r="AK542" s="122"/>
      <c r="AL542" s="122"/>
      <c r="AM542" s="122"/>
      <c r="AN542" s="122"/>
      <c r="AO542" s="122"/>
      <c r="AP542" s="122"/>
      <c r="AQ542" s="122"/>
      <c r="AR542" s="122"/>
      <c r="AS542" s="122"/>
      <c r="AT542" s="122"/>
      <c r="AU542" s="122"/>
      <c r="AV542" s="122"/>
      <c r="AW542" s="122"/>
      <c r="AX542" s="122"/>
      <c r="AY542" s="122"/>
    </row>
    <row r="543">
      <c r="A543" s="78"/>
      <c r="B543" s="78"/>
      <c r="C543" s="78"/>
      <c r="D543" s="78"/>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c r="AA543" s="122"/>
      <c r="AB543" s="122"/>
      <c r="AC543" s="122"/>
      <c r="AD543" s="122"/>
      <c r="AE543" s="122"/>
      <c r="AF543" s="122"/>
      <c r="AG543" s="122"/>
      <c r="AH543" s="122"/>
      <c r="AI543" s="122"/>
      <c r="AJ543" s="122"/>
      <c r="AK543" s="122"/>
      <c r="AL543" s="122"/>
      <c r="AM543" s="122"/>
      <c r="AN543" s="122"/>
      <c r="AO543" s="122"/>
      <c r="AP543" s="122"/>
      <c r="AQ543" s="122"/>
      <c r="AR543" s="122"/>
      <c r="AS543" s="122"/>
      <c r="AT543" s="122"/>
      <c r="AU543" s="122"/>
      <c r="AV543" s="122"/>
      <c r="AW543" s="122"/>
      <c r="AX543" s="122"/>
      <c r="AY543" s="122"/>
    </row>
    <row r="544">
      <c r="A544" s="78"/>
      <c r="B544" s="78"/>
      <c r="C544" s="78"/>
      <c r="D544" s="78"/>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c r="AA544" s="122"/>
      <c r="AB544" s="122"/>
      <c r="AC544" s="122"/>
      <c r="AD544" s="122"/>
      <c r="AE544" s="122"/>
      <c r="AF544" s="122"/>
      <c r="AG544" s="122"/>
      <c r="AH544" s="122"/>
      <c r="AI544" s="122"/>
      <c r="AJ544" s="122"/>
      <c r="AK544" s="122"/>
      <c r="AL544" s="122"/>
      <c r="AM544" s="122"/>
      <c r="AN544" s="122"/>
      <c r="AO544" s="122"/>
      <c r="AP544" s="122"/>
      <c r="AQ544" s="122"/>
      <c r="AR544" s="122"/>
      <c r="AS544" s="122"/>
      <c r="AT544" s="122"/>
      <c r="AU544" s="122"/>
      <c r="AV544" s="122"/>
      <c r="AW544" s="122"/>
      <c r="AX544" s="122"/>
      <c r="AY544" s="122"/>
    </row>
    <row r="545">
      <c r="A545" s="78"/>
      <c r="B545" s="78"/>
      <c r="C545" s="78"/>
      <c r="D545" s="78"/>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c r="AF545" s="122"/>
      <c r="AG545" s="122"/>
      <c r="AH545" s="122"/>
      <c r="AI545" s="122"/>
      <c r="AJ545" s="122"/>
      <c r="AK545" s="122"/>
      <c r="AL545" s="122"/>
      <c r="AM545" s="122"/>
      <c r="AN545" s="122"/>
      <c r="AO545" s="122"/>
      <c r="AP545" s="122"/>
      <c r="AQ545" s="122"/>
      <c r="AR545" s="122"/>
      <c r="AS545" s="122"/>
      <c r="AT545" s="122"/>
      <c r="AU545" s="122"/>
      <c r="AV545" s="122"/>
      <c r="AW545" s="122"/>
      <c r="AX545" s="122"/>
      <c r="AY545" s="122"/>
    </row>
    <row r="546">
      <c r="A546" s="78"/>
      <c r="B546" s="78"/>
      <c r="C546" s="78"/>
      <c r="D546" s="78"/>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c r="AF546" s="122"/>
      <c r="AG546" s="122"/>
      <c r="AH546" s="122"/>
      <c r="AI546" s="122"/>
      <c r="AJ546" s="122"/>
      <c r="AK546" s="122"/>
      <c r="AL546" s="122"/>
      <c r="AM546" s="122"/>
      <c r="AN546" s="122"/>
      <c r="AO546" s="122"/>
      <c r="AP546" s="122"/>
      <c r="AQ546" s="122"/>
      <c r="AR546" s="122"/>
      <c r="AS546" s="122"/>
      <c r="AT546" s="122"/>
      <c r="AU546" s="122"/>
      <c r="AV546" s="122"/>
      <c r="AW546" s="122"/>
      <c r="AX546" s="122"/>
      <c r="AY546" s="122"/>
    </row>
    <row r="547">
      <c r="A547" s="78"/>
      <c r="B547" s="78"/>
      <c r="C547" s="78"/>
      <c r="D547" s="78"/>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c r="AA547" s="122"/>
      <c r="AB547" s="122"/>
      <c r="AC547" s="122"/>
      <c r="AD547" s="122"/>
      <c r="AE547" s="122"/>
      <c r="AF547" s="122"/>
      <c r="AG547" s="122"/>
      <c r="AH547" s="122"/>
      <c r="AI547" s="122"/>
      <c r="AJ547" s="122"/>
      <c r="AK547" s="122"/>
      <c r="AL547" s="122"/>
      <c r="AM547" s="122"/>
      <c r="AN547" s="122"/>
      <c r="AO547" s="122"/>
      <c r="AP547" s="122"/>
      <c r="AQ547" s="122"/>
      <c r="AR547" s="122"/>
      <c r="AS547" s="122"/>
      <c r="AT547" s="122"/>
      <c r="AU547" s="122"/>
      <c r="AV547" s="122"/>
      <c r="AW547" s="122"/>
      <c r="AX547" s="122"/>
      <c r="AY547" s="122"/>
    </row>
    <row r="548">
      <c r="A548" s="78"/>
      <c r="B548" s="78"/>
      <c r="C548" s="78"/>
      <c r="D548" s="78"/>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c r="AA548" s="122"/>
      <c r="AB548" s="122"/>
      <c r="AC548" s="122"/>
      <c r="AD548" s="122"/>
      <c r="AE548" s="122"/>
      <c r="AF548" s="122"/>
      <c r="AG548" s="122"/>
      <c r="AH548" s="122"/>
      <c r="AI548" s="122"/>
      <c r="AJ548" s="122"/>
      <c r="AK548" s="122"/>
      <c r="AL548" s="122"/>
      <c r="AM548" s="122"/>
      <c r="AN548" s="122"/>
      <c r="AO548" s="122"/>
      <c r="AP548" s="122"/>
      <c r="AQ548" s="122"/>
      <c r="AR548" s="122"/>
      <c r="AS548" s="122"/>
      <c r="AT548" s="122"/>
      <c r="AU548" s="122"/>
      <c r="AV548" s="122"/>
      <c r="AW548" s="122"/>
      <c r="AX548" s="122"/>
      <c r="AY548" s="122"/>
    </row>
    <row r="549">
      <c r="A549" s="78"/>
      <c r="B549" s="78"/>
      <c r="C549" s="78"/>
      <c r="D549" s="78"/>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c r="AA549" s="122"/>
      <c r="AB549" s="122"/>
      <c r="AC549" s="122"/>
      <c r="AD549" s="122"/>
      <c r="AE549" s="122"/>
      <c r="AF549" s="122"/>
      <c r="AG549" s="122"/>
      <c r="AH549" s="122"/>
      <c r="AI549" s="122"/>
      <c r="AJ549" s="122"/>
      <c r="AK549" s="122"/>
      <c r="AL549" s="122"/>
      <c r="AM549" s="122"/>
      <c r="AN549" s="122"/>
      <c r="AO549" s="122"/>
      <c r="AP549" s="122"/>
      <c r="AQ549" s="122"/>
      <c r="AR549" s="122"/>
      <c r="AS549" s="122"/>
      <c r="AT549" s="122"/>
      <c r="AU549" s="122"/>
      <c r="AV549" s="122"/>
      <c r="AW549" s="122"/>
      <c r="AX549" s="122"/>
      <c r="AY549" s="122"/>
    </row>
    <row r="550">
      <c r="A550" s="78"/>
      <c r="B550" s="78"/>
      <c r="C550" s="78"/>
      <c r="D550" s="78"/>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c r="AA550" s="122"/>
      <c r="AB550" s="122"/>
      <c r="AC550" s="122"/>
      <c r="AD550" s="122"/>
      <c r="AE550" s="122"/>
      <c r="AF550" s="122"/>
      <c r="AG550" s="122"/>
      <c r="AH550" s="122"/>
      <c r="AI550" s="122"/>
      <c r="AJ550" s="122"/>
      <c r="AK550" s="122"/>
      <c r="AL550" s="122"/>
      <c r="AM550" s="122"/>
      <c r="AN550" s="122"/>
      <c r="AO550" s="122"/>
      <c r="AP550" s="122"/>
      <c r="AQ550" s="122"/>
      <c r="AR550" s="122"/>
      <c r="AS550" s="122"/>
      <c r="AT550" s="122"/>
      <c r="AU550" s="122"/>
      <c r="AV550" s="122"/>
      <c r="AW550" s="122"/>
      <c r="AX550" s="122"/>
      <c r="AY550" s="122"/>
    </row>
    <row r="551">
      <c r="A551" s="78"/>
      <c r="B551" s="78"/>
      <c r="C551" s="78"/>
      <c r="D551" s="78"/>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c r="AF551" s="122"/>
      <c r="AG551" s="122"/>
      <c r="AH551" s="122"/>
      <c r="AI551" s="122"/>
      <c r="AJ551" s="122"/>
      <c r="AK551" s="122"/>
      <c r="AL551" s="122"/>
      <c r="AM551" s="122"/>
      <c r="AN551" s="122"/>
      <c r="AO551" s="122"/>
      <c r="AP551" s="122"/>
      <c r="AQ551" s="122"/>
      <c r="AR551" s="122"/>
      <c r="AS551" s="122"/>
      <c r="AT551" s="122"/>
      <c r="AU551" s="122"/>
      <c r="AV551" s="122"/>
      <c r="AW551" s="122"/>
      <c r="AX551" s="122"/>
      <c r="AY551" s="122"/>
    </row>
    <row r="552">
      <c r="A552" s="78"/>
      <c r="B552" s="78"/>
      <c r="C552" s="78"/>
      <c r="D552" s="78"/>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c r="AA552" s="122"/>
      <c r="AB552" s="122"/>
      <c r="AC552" s="122"/>
      <c r="AD552" s="122"/>
      <c r="AE552" s="122"/>
      <c r="AF552" s="122"/>
      <c r="AG552" s="122"/>
      <c r="AH552" s="122"/>
      <c r="AI552" s="122"/>
      <c r="AJ552" s="122"/>
      <c r="AK552" s="122"/>
      <c r="AL552" s="122"/>
      <c r="AM552" s="122"/>
      <c r="AN552" s="122"/>
      <c r="AO552" s="122"/>
      <c r="AP552" s="122"/>
      <c r="AQ552" s="122"/>
      <c r="AR552" s="122"/>
      <c r="AS552" s="122"/>
      <c r="AT552" s="122"/>
      <c r="AU552" s="122"/>
      <c r="AV552" s="122"/>
      <c r="AW552" s="122"/>
      <c r="AX552" s="122"/>
      <c r="AY552" s="122"/>
    </row>
    <row r="553">
      <c r="A553" s="78"/>
      <c r="B553" s="78"/>
      <c r="C553" s="78"/>
      <c r="D553" s="78"/>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c r="AA553" s="122"/>
      <c r="AB553" s="122"/>
      <c r="AC553" s="122"/>
      <c r="AD553" s="122"/>
      <c r="AE553" s="122"/>
      <c r="AF553" s="122"/>
      <c r="AG553" s="122"/>
      <c r="AH553" s="122"/>
      <c r="AI553" s="122"/>
      <c r="AJ553" s="122"/>
      <c r="AK553" s="122"/>
      <c r="AL553" s="122"/>
      <c r="AM553" s="122"/>
      <c r="AN553" s="122"/>
      <c r="AO553" s="122"/>
      <c r="AP553" s="122"/>
      <c r="AQ553" s="122"/>
      <c r="AR553" s="122"/>
      <c r="AS553" s="122"/>
      <c r="AT553" s="122"/>
      <c r="AU553" s="122"/>
      <c r="AV553" s="122"/>
      <c r="AW553" s="122"/>
      <c r="AX553" s="122"/>
      <c r="AY553" s="122"/>
    </row>
    <row r="554">
      <c r="A554" s="78"/>
      <c r="B554" s="78"/>
      <c r="C554" s="78"/>
      <c r="D554" s="78"/>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c r="AF554" s="122"/>
      <c r="AG554" s="122"/>
      <c r="AH554" s="122"/>
      <c r="AI554" s="122"/>
      <c r="AJ554" s="122"/>
      <c r="AK554" s="122"/>
      <c r="AL554" s="122"/>
      <c r="AM554" s="122"/>
      <c r="AN554" s="122"/>
      <c r="AO554" s="122"/>
      <c r="AP554" s="122"/>
      <c r="AQ554" s="122"/>
      <c r="AR554" s="122"/>
      <c r="AS554" s="122"/>
      <c r="AT554" s="122"/>
      <c r="AU554" s="122"/>
      <c r="AV554" s="122"/>
      <c r="AW554" s="122"/>
      <c r="AX554" s="122"/>
      <c r="AY554" s="122"/>
    </row>
    <row r="555">
      <c r="A555" s="78"/>
      <c r="B555" s="78"/>
      <c r="C555" s="78"/>
      <c r="D555" s="78"/>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c r="AA555" s="122"/>
      <c r="AB555" s="122"/>
      <c r="AC555" s="122"/>
      <c r="AD555" s="122"/>
      <c r="AE555" s="122"/>
      <c r="AF555" s="122"/>
      <c r="AG555" s="122"/>
      <c r="AH555" s="122"/>
      <c r="AI555" s="122"/>
      <c r="AJ555" s="122"/>
      <c r="AK555" s="122"/>
      <c r="AL555" s="122"/>
      <c r="AM555" s="122"/>
      <c r="AN555" s="122"/>
      <c r="AO555" s="122"/>
      <c r="AP555" s="122"/>
      <c r="AQ555" s="122"/>
      <c r="AR555" s="122"/>
      <c r="AS555" s="122"/>
      <c r="AT555" s="122"/>
      <c r="AU555" s="122"/>
      <c r="AV555" s="122"/>
      <c r="AW555" s="122"/>
      <c r="AX555" s="122"/>
      <c r="AY555" s="122"/>
    </row>
    <row r="556">
      <c r="A556" s="78"/>
      <c r="B556" s="78"/>
      <c r="C556" s="78"/>
      <c r="D556" s="78"/>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c r="AA556" s="122"/>
      <c r="AB556" s="122"/>
      <c r="AC556" s="122"/>
      <c r="AD556" s="122"/>
      <c r="AE556" s="122"/>
      <c r="AF556" s="122"/>
      <c r="AG556" s="122"/>
      <c r="AH556" s="122"/>
      <c r="AI556" s="122"/>
      <c r="AJ556" s="122"/>
      <c r="AK556" s="122"/>
      <c r="AL556" s="122"/>
      <c r="AM556" s="122"/>
      <c r="AN556" s="122"/>
      <c r="AO556" s="122"/>
      <c r="AP556" s="122"/>
      <c r="AQ556" s="122"/>
      <c r="AR556" s="122"/>
      <c r="AS556" s="122"/>
      <c r="AT556" s="122"/>
      <c r="AU556" s="122"/>
      <c r="AV556" s="122"/>
      <c r="AW556" s="122"/>
      <c r="AX556" s="122"/>
      <c r="AY556" s="122"/>
    </row>
    <row r="557">
      <c r="A557" s="78"/>
      <c r="B557" s="78"/>
      <c r="C557" s="78"/>
      <c r="D557" s="78"/>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c r="AF557" s="122"/>
      <c r="AG557" s="122"/>
      <c r="AH557" s="122"/>
      <c r="AI557" s="122"/>
      <c r="AJ557" s="122"/>
      <c r="AK557" s="122"/>
      <c r="AL557" s="122"/>
      <c r="AM557" s="122"/>
      <c r="AN557" s="122"/>
      <c r="AO557" s="122"/>
      <c r="AP557" s="122"/>
      <c r="AQ557" s="122"/>
      <c r="AR557" s="122"/>
      <c r="AS557" s="122"/>
      <c r="AT557" s="122"/>
      <c r="AU557" s="122"/>
      <c r="AV557" s="122"/>
      <c r="AW557" s="122"/>
      <c r="AX557" s="122"/>
      <c r="AY557" s="122"/>
    </row>
    <row r="558">
      <c r="A558" s="78"/>
      <c r="B558" s="78"/>
      <c r="C558" s="78"/>
      <c r="D558" s="78"/>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c r="AA558" s="122"/>
      <c r="AB558" s="122"/>
      <c r="AC558" s="122"/>
      <c r="AD558" s="122"/>
      <c r="AE558" s="122"/>
      <c r="AF558" s="122"/>
      <c r="AG558" s="122"/>
      <c r="AH558" s="122"/>
      <c r="AI558" s="122"/>
      <c r="AJ558" s="122"/>
      <c r="AK558" s="122"/>
      <c r="AL558" s="122"/>
      <c r="AM558" s="122"/>
      <c r="AN558" s="122"/>
      <c r="AO558" s="122"/>
      <c r="AP558" s="122"/>
      <c r="AQ558" s="122"/>
      <c r="AR558" s="122"/>
      <c r="AS558" s="122"/>
      <c r="AT558" s="122"/>
      <c r="AU558" s="122"/>
      <c r="AV558" s="122"/>
      <c r="AW558" s="122"/>
      <c r="AX558" s="122"/>
      <c r="AY558" s="122"/>
    </row>
    <row r="559">
      <c r="A559" s="78"/>
      <c r="B559" s="78"/>
      <c r="C559" s="78"/>
      <c r="D559" s="78"/>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c r="AA559" s="122"/>
      <c r="AB559" s="122"/>
      <c r="AC559" s="122"/>
      <c r="AD559" s="122"/>
      <c r="AE559" s="122"/>
      <c r="AF559" s="122"/>
      <c r="AG559" s="122"/>
      <c r="AH559" s="122"/>
      <c r="AI559" s="122"/>
      <c r="AJ559" s="122"/>
      <c r="AK559" s="122"/>
      <c r="AL559" s="122"/>
      <c r="AM559" s="122"/>
      <c r="AN559" s="122"/>
      <c r="AO559" s="122"/>
      <c r="AP559" s="122"/>
      <c r="AQ559" s="122"/>
      <c r="AR559" s="122"/>
      <c r="AS559" s="122"/>
      <c r="AT559" s="122"/>
      <c r="AU559" s="122"/>
      <c r="AV559" s="122"/>
      <c r="AW559" s="122"/>
      <c r="AX559" s="122"/>
      <c r="AY559" s="122"/>
    </row>
    <row r="560">
      <c r="A560" s="78"/>
      <c r="B560" s="78"/>
      <c r="C560" s="78"/>
      <c r="D560" s="78"/>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c r="AA560" s="122"/>
      <c r="AB560" s="122"/>
      <c r="AC560" s="122"/>
      <c r="AD560" s="122"/>
      <c r="AE560" s="122"/>
      <c r="AF560" s="122"/>
      <c r="AG560" s="122"/>
      <c r="AH560" s="122"/>
      <c r="AI560" s="122"/>
      <c r="AJ560" s="122"/>
      <c r="AK560" s="122"/>
      <c r="AL560" s="122"/>
      <c r="AM560" s="122"/>
      <c r="AN560" s="122"/>
      <c r="AO560" s="122"/>
      <c r="AP560" s="122"/>
      <c r="AQ560" s="122"/>
      <c r="AR560" s="122"/>
      <c r="AS560" s="122"/>
      <c r="AT560" s="122"/>
      <c r="AU560" s="122"/>
      <c r="AV560" s="122"/>
      <c r="AW560" s="122"/>
      <c r="AX560" s="122"/>
      <c r="AY560" s="122"/>
    </row>
    <row r="561">
      <c r="A561" s="78"/>
      <c r="B561" s="78"/>
      <c r="C561" s="78"/>
      <c r="D561" s="78"/>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c r="AF561" s="122"/>
      <c r="AG561" s="122"/>
      <c r="AH561" s="122"/>
      <c r="AI561" s="122"/>
      <c r="AJ561" s="122"/>
      <c r="AK561" s="122"/>
      <c r="AL561" s="122"/>
      <c r="AM561" s="122"/>
      <c r="AN561" s="122"/>
      <c r="AO561" s="122"/>
      <c r="AP561" s="122"/>
      <c r="AQ561" s="122"/>
      <c r="AR561" s="122"/>
      <c r="AS561" s="122"/>
      <c r="AT561" s="122"/>
      <c r="AU561" s="122"/>
      <c r="AV561" s="122"/>
      <c r="AW561" s="122"/>
      <c r="AX561" s="122"/>
      <c r="AY561" s="122"/>
    </row>
    <row r="562">
      <c r="A562" s="78"/>
      <c r="B562" s="78"/>
      <c r="C562" s="78"/>
      <c r="D562" s="78"/>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c r="AF562" s="122"/>
      <c r="AG562" s="122"/>
      <c r="AH562" s="122"/>
      <c r="AI562" s="122"/>
      <c r="AJ562" s="122"/>
      <c r="AK562" s="122"/>
      <c r="AL562" s="122"/>
      <c r="AM562" s="122"/>
      <c r="AN562" s="122"/>
      <c r="AO562" s="122"/>
      <c r="AP562" s="122"/>
      <c r="AQ562" s="122"/>
      <c r="AR562" s="122"/>
      <c r="AS562" s="122"/>
      <c r="AT562" s="122"/>
      <c r="AU562" s="122"/>
      <c r="AV562" s="122"/>
      <c r="AW562" s="122"/>
      <c r="AX562" s="122"/>
      <c r="AY562" s="122"/>
    </row>
    <row r="563">
      <c r="A563" s="78"/>
      <c r="B563" s="78"/>
      <c r="C563" s="78"/>
      <c r="D563" s="78"/>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c r="AF563" s="122"/>
      <c r="AG563" s="122"/>
      <c r="AH563" s="122"/>
      <c r="AI563" s="122"/>
      <c r="AJ563" s="122"/>
      <c r="AK563" s="122"/>
      <c r="AL563" s="122"/>
      <c r="AM563" s="122"/>
      <c r="AN563" s="122"/>
      <c r="AO563" s="122"/>
      <c r="AP563" s="122"/>
      <c r="AQ563" s="122"/>
      <c r="AR563" s="122"/>
      <c r="AS563" s="122"/>
      <c r="AT563" s="122"/>
      <c r="AU563" s="122"/>
      <c r="AV563" s="122"/>
      <c r="AW563" s="122"/>
      <c r="AX563" s="122"/>
      <c r="AY563" s="122"/>
    </row>
    <row r="564">
      <c r="A564" s="78"/>
      <c r="B564" s="78"/>
      <c r="C564" s="78"/>
      <c r="D564" s="78"/>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c r="AA564" s="122"/>
      <c r="AB564" s="122"/>
      <c r="AC564" s="122"/>
      <c r="AD564" s="122"/>
      <c r="AE564" s="122"/>
      <c r="AF564" s="122"/>
      <c r="AG564" s="122"/>
      <c r="AH564" s="122"/>
      <c r="AI564" s="122"/>
      <c r="AJ564" s="122"/>
      <c r="AK564" s="122"/>
      <c r="AL564" s="122"/>
      <c r="AM564" s="122"/>
      <c r="AN564" s="122"/>
      <c r="AO564" s="122"/>
      <c r="AP564" s="122"/>
      <c r="AQ564" s="122"/>
      <c r="AR564" s="122"/>
      <c r="AS564" s="122"/>
      <c r="AT564" s="122"/>
      <c r="AU564" s="122"/>
      <c r="AV564" s="122"/>
      <c r="AW564" s="122"/>
      <c r="AX564" s="122"/>
      <c r="AY564" s="122"/>
    </row>
    <row r="565">
      <c r="A565" s="78"/>
      <c r="B565" s="78"/>
      <c r="C565" s="78"/>
      <c r="D565" s="78"/>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c r="AA565" s="122"/>
      <c r="AB565" s="122"/>
      <c r="AC565" s="122"/>
      <c r="AD565" s="122"/>
      <c r="AE565" s="122"/>
      <c r="AF565" s="122"/>
      <c r="AG565" s="122"/>
      <c r="AH565" s="122"/>
      <c r="AI565" s="122"/>
      <c r="AJ565" s="122"/>
      <c r="AK565" s="122"/>
      <c r="AL565" s="122"/>
      <c r="AM565" s="122"/>
      <c r="AN565" s="122"/>
      <c r="AO565" s="122"/>
      <c r="AP565" s="122"/>
      <c r="AQ565" s="122"/>
      <c r="AR565" s="122"/>
      <c r="AS565" s="122"/>
      <c r="AT565" s="122"/>
      <c r="AU565" s="122"/>
      <c r="AV565" s="122"/>
      <c r="AW565" s="122"/>
      <c r="AX565" s="122"/>
      <c r="AY565" s="122"/>
    </row>
    <row r="566">
      <c r="A566" s="78"/>
      <c r="B566" s="78"/>
      <c r="C566" s="78"/>
      <c r="D566" s="78"/>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c r="AA566" s="122"/>
      <c r="AB566" s="122"/>
      <c r="AC566" s="122"/>
      <c r="AD566" s="122"/>
      <c r="AE566" s="122"/>
      <c r="AF566" s="122"/>
      <c r="AG566" s="122"/>
      <c r="AH566" s="122"/>
      <c r="AI566" s="122"/>
      <c r="AJ566" s="122"/>
      <c r="AK566" s="122"/>
      <c r="AL566" s="122"/>
      <c r="AM566" s="122"/>
      <c r="AN566" s="122"/>
      <c r="AO566" s="122"/>
      <c r="AP566" s="122"/>
      <c r="AQ566" s="122"/>
      <c r="AR566" s="122"/>
      <c r="AS566" s="122"/>
      <c r="AT566" s="122"/>
      <c r="AU566" s="122"/>
      <c r="AV566" s="122"/>
      <c r="AW566" s="122"/>
      <c r="AX566" s="122"/>
      <c r="AY566" s="122"/>
    </row>
    <row r="567">
      <c r="A567" s="78"/>
      <c r="B567" s="78"/>
      <c r="C567" s="78"/>
      <c r="D567" s="78"/>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c r="AA567" s="122"/>
      <c r="AB567" s="122"/>
      <c r="AC567" s="122"/>
      <c r="AD567" s="122"/>
      <c r="AE567" s="122"/>
      <c r="AF567" s="122"/>
      <c r="AG567" s="122"/>
      <c r="AH567" s="122"/>
      <c r="AI567" s="122"/>
      <c r="AJ567" s="122"/>
      <c r="AK567" s="122"/>
      <c r="AL567" s="122"/>
      <c r="AM567" s="122"/>
      <c r="AN567" s="122"/>
      <c r="AO567" s="122"/>
      <c r="AP567" s="122"/>
      <c r="AQ567" s="122"/>
      <c r="AR567" s="122"/>
      <c r="AS567" s="122"/>
      <c r="AT567" s="122"/>
      <c r="AU567" s="122"/>
      <c r="AV567" s="122"/>
      <c r="AW567" s="122"/>
      <c r="AX567" s="122"/>
      <c r="AY567" s="122"/>
    </row>
    <row r="568">
      <c r="A568" s="78"/>
      <c r="B568" s="78"/>
      <c r="C568" s="78"/>
      <c r="D568" s="78"/>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c r="AA568" s="122"/>
      <c r="AB568" s="122"/>
      <c r="AC568" s="122"/>
      <c r="AD568" s="122"/>
      <c r="AE568" s="122"/>
      <c r="AF568" s="122"/>
      <c r="AG568" s="122"/>
      <c r="AH568" s="122"/>
      <c r="AI568" s="122"/>
      <c r="AJ568" s="122"/>
      <c r="AK568" s="122"/>
      <c r="AL568" s="122"/>
      <c r="AM568" s="122"/>
      <c r="AN568" s="122"/>
      <c r="AO568" s="122"/>
      <c r="AP568" s="122"/>
      <c r="AQ568" s="122"/>
      <c r="AR568" s="122"/>
      <c r="AS568" s="122"/>
      <c r="AT568" s="122"/>
      <c r="AU568" s="122"/>
      <c r="AV568" s="122"/>
      <c r="AW568" s="122"/>
      <c r="AX568" s="122"/>
      <c r="AY568" s="122"/>
    </row>
    <row r="569">
      <c r="A569" s="78"/>
      <c r="B569" s="78"/>
      <c r="C569" s="78"/>
      <c r="D569" s="78"/>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c r="AF569" s="122"/>
      <c r="AG569" s="122"/>
      <c r="AH569" s="122"/>
      <c r="AI569" s="122"/>
      <c r="AJ569" s="122"/>
      <c r="AK569" s="122"/>
      <c r="AL569" s="122"/>
      <c r="AM569" s="122"/>
      <c r="AN569" s="122"/>
      <c r="AO569" s="122"/>
      <c r="AP569" s="122"/>
      <c r="AQ569" s="122"/>
      <c r="AR569" s="122"/>
      <c r="AS569" s="122"/>
      <c r="AT569" s="122"/>
      <c r="AU569" s="122"/>
      <c r="AV569" s="122"/>
      <c r="AW569" s="122"/>
      <c r="AX569" s="122"/>
      <c r="AY569" s="122"/>
    </row>
    <row r="570">
      <c r="A570" s="78"/>
      <c r="B570" s="78"/>
      <c r="C570" s="78"/>
      <c r="D570" s="78"/>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c r="AA570" s="122"/>
      <c r="AB570" s="122"/>
      <c r="AC570" s="122"/>
      <c r="AD570" s="122"/>
      <c r="AE570" s="122"/>
      <c r="AF570" s="122"/>
      <c r="AG570" s="122"/>
      <c r="AH570" s="122"/>
      <c r="AI570" s="122"/>
      <c r="AJ570" s="122"/>
      <c r="AK570" s="122"/>
      <c r="AL570" s="122"/>
      <c r="AM570" s="122"/>
      <c r="AN570" s="122"/>
      <c r="AO570" s="122"/>
      <c r="AP570" s="122"/>
      <c r="AQ570" s="122"/>
      <c r="AR570" s="122"/>
      <c r="AS570" s="122"/>
      <c r="AT570" s="122"/>
      <c r="AU570" s="122"/>
      <c r="AV570" s="122"/>
      <c r="AW570" s="122"/>
      <c r="AX570" s="122"/>
      <c r="AY570" s="122"/>
    </row>
    <row r="571">
      <c r="A571" s="78"/>
      <c r="B571" s="78"/>
      <c r="C571" s="78"/>
      <c r="D571" s="78"/>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c r="AG571" s="122"/>
      <c r="AH571" s="122"/>
      <c r="AI571" s="122"/>
      <c r="AJ571" s="122"/>
      <c r="AK571" s="122"/>
      <c r="AL571" s="122"/>
      <c r="AM571" s="122"/>
      <c r="AN571" s="122"/>
      <c r="AO571" s="122"/>
      <c r="AP571" s="122"/>
      <c r="AQ571" s="122"/>
      <c r="AR571" s="122"/>
      <c r="AS571" s="122"/>
      <c r="AT571" s="122"/>
      <c r="AU571" s="122"/>
      <c r="AV571" s="122"/>
      <c r="AW571" s="122"/>
      <c r="AX571" s="122"/>
      <c r="AY571" s="122"/>
    </row>
    <row r="572">
      <c r="A572" s="78"/>
      <c r="B572" s="78"/>
      <c r="C572" s="78"/>
      <c r="D572" s="78"/>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c r="AA572" s="122"/>
      <c r="AB572" s="122"/>
      <c r="AC572" s="122"/>
      <c r="AD572" s="122"/>
      <c r="AE572" s="122"/>
      <c r="AF572" s="122"/>
      <c r="AG572" s="122"/>
      <c r="AH572" s="122"/>
      <c r="AI572" s="122"/>
      <c r="AJ572" s="122"/>
      <c r="AK572" s="122"/>
      <c r="AL572" s="122"/>
      <c r="AM572" s="122"/>
      <c r="AN572" s="122"/>
      <c r="AO572" s="122"/>
      <c r="AP572" s="122"/>
      <c r="AQ572" s="122"/>
      <c r="AR572" s="122"/>
      <c r="AS572" s="122"/>
      <c r="AT572" s="122"/>
      <c r="AU572" s="122"/>
      <c r="AV572" s="122"/>
      <c r="AW572" s="122"/>
      <c r="AX572" s="122"/>
      <c r="AY572" s="122"/>
    </row>
    <row r="573">
      <c r="A573" s="78"/>
      <c r="B573" s="78"/>
      <c r="C573" s="78"/>
      <c r="D573" s="78"/>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c r="AA573" s="122"/>
      <c r="AB573" s="122"/>
      <c r="AC573" s="122"/>
      <c r="AD573" s="122"/>
      <c r="AE573" s="122"/>
      <c r="AF573" s="122"/>
      <c r="AG573" s="122"/>
      <c r="AH573" s="122"/>
      <c r="AI573" s="122"/>
      <c r="AJ573" s="122"/>
      <c r="AK573" s="122"/>
      <c r="AL573" s="122"/>
      <c r="AM573" s="122"/>
      <c r="AN573" s="122"/>
      <c r="AO573" s="122"/>
      <c r="AP573" s="122"/>
      <c r="AQ573" s="122"/>
      <c r="AR573" s="122"/>
      <c r="AS573" s="122"/>
      <c r="AT573" s="122"/>
      <c r="AU573" s="122"/>
      <c r="AV573" s="122"/>
      <c r="AW573" s="122"/>
      <c r="AX573" s="122"/>
      <c r="AY573" s="122"/>
    </row>
    <row r="574">
      <c r="A574" s="78"/>
      <c r="B574" s="78"/>
      <c r="C574" s="78"/>
      <c r="D574" s="78"/>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c r="AA574" s="122"/>
      <c r="AB574" s="122"/>
      <c r="AC574" s="122"/>
      <c r="AD574" s="122"/>
      <c r="AE574" s="122"/>
      <c r="AF574" s="122"/>
      <c r="AG574" s="122"/>
      <c r="AH574" s="122"/>
      <c r="AI574" s="122"/>
      <c r="AJ574" s="122"/>
      <c r="AK574" s="122"/>
      <c r="AL574" s="122"/>
      <c r="AM574" s="122"/>
      <c r="AN574" s="122"/>
      <c r="AO574" s="122"/>
      <c r="AP574" s="122"/>
      <c r="AQ574" s="122"/>
      <c r="AR574" s="122"/>
      <c r="AS574" s="122"/>
      <c r="AT574" s="122"/>
      <c r="AU574" s="122"/>
      <c r="AV574" s="122"/>
      <c r="AW574" s="122"/>
      <c r="AX574" s="122"/>
      <c r="AY574" s="122"/>
    </row>
    <row r="575">
      <c r="A575" s="78"/>
      <c r="B575" s="78"/>
      <c r="C575" s="78"/>
      <c r="D575" s="78"/>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c r="AA575" s="122"/>
      <c r="AB575" s="122"/>
      <c r="AC575" s="122"/>
      <c r="AD575" s="122"/>
      <c r="AE575" s="122"/>
      <c r="AF575" s="122"/>
      <c r="AG575" s="122"/>
      <c r="AH575" s="122"/>
      <c r="AI575" s="122"/>
      <c r="AJ575" s="122"/>
      <c r="AK575" s="122"/>
      <c r="AL575" s="122"/>
      <c r="AM575" s="122"/>
      <c r="AN575" s="122"/>
      <c r="AO575" s="122"/>
      <c r="AP575" s="122"/>
      <c r="AQ575" s="122"/>
      <c r="AR575" s="122"/>
      <c r="AS575" s="122"/>
      <c r="AT575" s="122"/>
      <c r="AU575" s="122"/>
      <c r="AV575" s="122"/>
      <c r="AW575" s="122"/>
      <c r="AX575" s="122"/>
      <c r="AY575" s="122"/>
    </row>
    <row r="576">
      <c r="A576" s="78"/>
      <c r="B576" s="78"/>
      <c r="C576" s="78"/>
      <c r="D576" s="78"/>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c r="AF576" s="122"/>
      <c r="AG576" s="122"/>
      <c r="AH576" s="122"/>
      <c r="AI576" s="122"/>
      <c r="AJ576" s="122"/>
      <c r="AK576" s="122"/>
      <c r="AL576" s="122"/>
      <c r="AM576" s="122"/>
      <c r="AN576" s="122"/>
      <c r="AO576" s="122"/>
      <c r="AP576" s="122"/>
      <c r="AQ576" s="122"/>
      <c r="AR576" s="122"/>
      <c r="AS576" s="122"/>
      <c r="AT576" s="122"/>
      <c r="AU576" s="122"/>
      <c r="AV576" s="122"/>
      <c r="AW576" s="122"/>
      <c r="AX576" s="122"/>
      <c r="AY576" s="122"/>
    </row>
    <row r="577">
      <c r="A577" s="78"/>
      <c r="B577" s="78"/>
      <c r="C577" s="78"/>
      <c r="D577" s="78"/>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c r="AA577" s="122"/>
      <c r="AB577" s="122"/>
      <c r="AC577" s="122"/>
      <c r="AD577" s="122"/>
      <c r="AE577" s="122"/>
      <c r="AF577" s="122"/>
      <c r="AG577" s="122"/>
      <c r="AH577" s="122"/>
      <c r="AI577" s="122"/>
      <c r="AJ577" s="122"/>
      <c r="AK577" s="122"/>
      <c r="AL577" s="122"/>
      <c r="AM577" s="122"/>
      <c r="AN577" s="122"/>
      <c r="AO577" s="122"/>
      <c r="AP577" s="122"/>
      <c r="AQ577" s="122"/>
      <c r="AR577" s="122"/>
      <c r="AS577" s="122"/>
      <c r="AT577" s="122"/>
      <c r="AU577" s="122"/>
      <c r="AV577" s="122"/>
      <c r="AW577" s="122"/>
      <c r="AX577" s="122"/>
      <c r="AY577" s="122"/>
    </row>
    <row r="578">
      <c r="A578" s="78"/>
      <c r="B578" s="78"/>
      <c r="C578" s="78"/>
      <c r="D578" s="78"/>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c r="AA578" s="122"/>
      <c r="AB578" s="122"/>
      <c r="AC578" s="122"/>
      <c r="AD578" s="122"/>
      <c r="AE578" s="122"/>
      <c r="AF578" s="122"/>
      <c r="AG578" s="122"/>
      <c r="AH578" s="122"/>
      <c r="AI578" s="122"/>
      <c r="AJ578" s="122"/>
      <c r="AK578" s="122"/>
      <c r="AL578" s="122"/>
      <c r="AM578" s="122"/>
      <c r="AN578" s="122"/>
      <c r="AO578" s="122"/>
      <c r="AP578" s="122"/>
      <c r="AQ578" s="122"/>
      <c r="AR578" s="122"/>
      <c r="AS578" s="122"/>
      <c r="AT578" s="122"/>
      <c r="AU578" s="122"/>
      <c r="AV578" s="122"/>
      <c r="AW578" s="122"/>
      <c r="AX578" s="122"/>
      <c r="AY578" s="122"/>
    </row>
    <row r="579">
      <c r="A579" s="78"/>
      <c r="B579" s="78"/>
      <c r="C579" s="78"/>
      <c r="D579" s="78"/>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c r="AA579" s="122"/>
      <c r="AB579" s="122"/>
      <c r="AC579" s="122"/>
      <c r="AD579" s="122"/>
      <c r="AE579" s="122"/>
      <c r="AF579" s="122"/>
      <c r="AG579" s="122"/>
      <c r="AH579" s="122"/>
      <c r="AI579" s="122"/>
      <c r="AJ579" s="122"/>
      <c r="AK579" s="122"/>
      <c r="AL579" s="122"/>
      <c r="AM579" s="122"/>
      <c r="AN579" s="122"/>
      <c r="AO579" s="122"/>
      <c r="AP579" s="122"/>
      <c r="AQ579" s="122"/>
      <c r="AR579" s="122"/>
      <c r="AS579" s="122"/>
      <c r="AT579" s="122"/>
      <c r="AU579" s="122"/>
      <c r="AV579" s="122"/>
      <c r="AW579" s="122"/>
      <c r="AX579" s="122"/>
      <c r="AY579" s="122"/>
    </row>
    <row r="580">
      <c r="A580" s="78"/>
      <c r="B580" s="78"/>
      <c r="C580" s="78"/>
      <c r="D580" s="78"/>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c r="AF580" s="122"/>
      <c r="AG580" s="122"/>
      <c r="AH580" s="122"/>
      <c r="AI580" s="122"/>
      <c r="AJ580" s="122"/>
      <c r="AK580" s="122"/>
      <c r="AL580" s="122"/>
      <c r="AM580" s="122"/>
      <c r="AN580" s="122"/>
      <c r="AO580" s="122"/>
      <c r="AP580" s="122"/>
      <c r="AQ580" s="122"/>
      <c r="AR580" s="122"/>
      <c r="AS580" s="122"/>
      <c r="AT580" s="122"/>
      <c r="AU580" s="122"/>
      <c r="AV580" s="122"/>
      <c r="AW580" s="122"/>
      <c r="AX580" s="122"/>
      <c r="AY580" s="122"/>
    </row>
    <row r="581">
      <c r="A581" s="78"/>
      <c r="B581" s="78"/>
      <c r="C581" s="78"/>
      <c r="D581" s="78"/>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c r="AA581" s="122"/>
      <c r="AB581" s="122"/>
      <c r="AC581" s="122"/>
      <c r="AD581" s="122"/>
      <c r="AE581" s="122"/>
      <c r="AF581" s="122"/>
      <c r="AG581" s="122"/>
      <c r="AH581" s="122"/>
      <c r="AI581" s="122"/>
      <c r="AJ581" s="122"/>
      <c r="AK581" s="122"/>
      <c r="AL581" s="122"/>
      <c r="AM581" s="122"/>
      <c r="AN581" s="122"/>
      <c r="AO581" s="122"/>
      <c r="AP581" s="122"/>
      <c r="AQ581" s="122"/>
      <c r="AR581" s="122"/>
      <c r="AS581" s="122"/>
      <c r="AT581" s="122"/>
      <c r="AU581" s="122"/>
      <c r="AV581" s="122"/>
      <c r="AW581" s="122"/>
      <c r="AX581" s="122"/>
      <c r="AY581" s="122"/>
    </row>
    <row r="582">
      <c r="A582" s="78"/>
      <c r="B582" s="78"/>
      <c r="C582" s="78"/>
      <c r="D582" s="78"/>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c r="AF582" s="122"/>
      <c r="AG582" s="122"/>
      <c r="AH582" s="122"/>
      <c r="AI582" s="122"/>
      <c r="AJ582" s="122"/>
      <c r="AK582" s="122"/>
      <c r="AL582" s="122"/>
      <c r="AM582" s="122"/>
      <c r="AN582" s="122"/>
      <c r="AO582" s="122"/>
      <c r="AP582" s="122"/>
      <c r="AQ582" s="122"/>
      <c r="AR582" s="122"/>
      <c r="AS582" s="122"/>
      <c r="AT582" s="122"/>
      <c r="AU582" s="122"/>
      <c r="AV582" s="122"/>
      <c r="AW582" s="122"/>
      <c r="AX582" s="122"/>
      <c r="AY582" s="122"/>
    </row>
    <row r="583">
      <c r="A583" s="78"/>
      <c r="B583" s="78"/>
      <c r="C583" s="78"/>
      <c r="D583" s="78"/>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c r="AA583" s="122"/>
      <c r="AB583" s="122"/>
      <c r="AC583" s="122"/>
      <c r="AD583" s="122"/>
      <c r="AE583" s="122"/>
      <c r="AF583" s="122"/>
      <c r="AG583" s="122"/>
      <c r="AH583" s="122"/>
      <c r="AI583" s="122"/>
      <c r="AJ583" s="122"/>
      <c r="AK583" s="122"/>
      <c r="AL583" s="122"/>
      <c r="AM583" s="122"/>
      <c r="AN583" s="122"/>
      <c r="AO583" s="122"/>
      <c r="AP583" s="122"/>
      <c r="AQ583" s="122"/>
      <c r="AR583" s="122"/>
      <c r="AS583" s="122"/>
      <c r="AT583" s="122"/>
      <c r="AU583" s="122"/>
      <c r="AV583" s="122"/>
      <c r="AW583" s="122"/>
      <c r="AX583" s="122"/>
      <c r="AY583" s="122"/>
    </row>
    <row r="584">
      <c r="A584" s="78"/>
      <c r="B584" s="78"/>
      <c r="C584" s="78"/>
      <c r="D584" s="78"/>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c r="AA584" s="122"/>
      <c r="AB584" s="122"/>
      <c r="AC584" s="122"/>
      <c r="AD584" s="122"/>
      <c r="AE584" s="122"/>
      <c r="AF584" s="122"/>
      <c r="AG584" s="122"/>
      <c r="AH584" s="122"/>
      <c r="AI584" s="122"/>
      <c r="AJ584" s="122"/>
      <c r="AK584" s="122"/>
      <c r="AL584" s="122"/>
      <c r="AM584" s="122"/>
      <c r="AN584" s="122"/>
      <c r="AO584" s="122"/>
      <c r="AP584" s="122"/>
      <c r="AQ584" s="122"/>
      <c r="AR584" s="122"/>
      <c r="AS584" s="122"/>
      <c r="AT584" s="122"/>
      <c r="AU584" s="122"/>
      <c r="AV584" s="122"/>
      <c r="AW584" s="122"/>
      <c r="AX584" s="122"/>
      <c r="AY584" s="122"/>
    </row>
    <row r="585">
      <c r="A585" s="78"/>
      <c r="B585" s="78"/>
      <c r="C585" s="78"/>
      <c r="D585" s="78"/>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c r="AA585" s="122"/>
      <c r="AB585" s="122"/>
      <c r="AC585" s="122"/>
      <c r="AD585" s="122"/>
      <c r="AE585" s="122"/>
      <c r="AF585" s="122"/>
      <c r="AG585" s="122"/>
      <c r="AH585" s="122"/>
      <c r="AI585" s="122"/>
      <c r="AJ585" s="122"/>
      <c r="AK585" s="122"/>
      <c r="AL585" s="122"/>
      <c r="AM585" s="122"/>
      <c r="AN585" s="122"/>
      <c r="AO585" s="122"/>
      <c r="AP585" s="122"/>
      <c r="AQ585" s="122"/>
      <c r="AR585" s="122"/>
      <c r="AS585" s="122"/>
      <c r="AT585" s="122"/>
      <c r="AU585" s="122"/>
      <c r="AV585" s="122"/>
      <c r="AW585" s="122"/>
      <c r="AX585" s="122"/>
      <c r="AY585" s="122"/>
    </row>
    <row r="586">
      <c r="A586" s="78"/>
      <c r="B586" s="78"/>
      <c r="C586" s="78"/>
      <c r="D586" s="78"/>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c r="AA586" s="122"/>
      <c r="AB586" s="122"/>
      <c r="AC586" s="122"/>
      <c r="AD586" s="122"/>
      <c r="AE586" s="122"/>
      <c r="AF586" s="122"/>
      <c r="AG586" s="122"/>
      <c r="AH586" s="122"/>
      <c r="AI586" s="122"/>
      <c r="AJ586" s="122"/>
      <c r="AK586" s="122"/>
      <c r="AL586" s="122"/>
      <c r="AM586" s="122"/>
      <c r="AN586" s="122"/>
      <c r="AO586" s="122"/>
      <c r="AP586" s="122"/>
      <c r="AQ586" s="122"/>
      <c r="AR586" s="122"/>
      <c r="AS586" s="122"/>
      <c r="AT586" s="122"/>
      <c r="AU586" s="122"/>
      <c r="AV586" s="122"/>
      <c r="AW586" s="122"/>
      <c r="AX586" s="122"/>
      <c r="AY586" s="122"/>
    </row>
    <row r="587">
      <c r="A587" s="78"/>
      <c r="B587" s="78"/>
      <c r="C587" s="78"/>
      <c r="D587" s="78"/>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c r="AF587" s="122"/>
      <c r="AG587" s="122"/>
      <c r="AH587" s="122"/>
      <c r="AI587" s="122"/>
      <c r="AJ587" s="122"/>
      <c r="AK587" s="122"/>
      <c r="AL587" s="122"/>
      <c r="AM587" s="122"/>
      <c r="AN587" s="122"/>
      <c r="AO587" s="122"/>
      <c r="AP587" s="122"/>
      <c r="AQ587" s="122"/>
      <c r="AR587" s="122"/>
      <c r="AS587" s="122"/>
      <c r="AT587" s="122"/>
      <c r="AU587" s="122"/>
      <c r="AV587" s="122"/>
      <c r="AW587" s="122"/>
      <c r="AX587" s="122"/>
      <c r="AY587" s="122"/>
    </row>
    <row r="588">
      <c r="A588" s="78"/>
      <c r="B588" s="78"/>
      <c r="C588" s="78"/>
      <c r="D588" s="78"/>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c r="AF588" s="122"/>
      <c r="AG588" s="122"/>
      <c r="AH588" s="122"/>
      <c r="AI588" s="122"/>
      <c r="AJ588" s="122"/>
      <c r="AK588" s="122"/>
      <c r="AL588" s="122"/>
      <c r="AM588" s="122"/>
      <c r="AN588" s="122"/>
      <c r="AO588" s="122"/>
      <c r="AP588" s="122"/>
      <c r="AQ588" s="122"/>
      <c r="AR588" s="122"/>
      <c r="AS588" s="122"/>
      <c r="AT588" s="122"/>
      <c r="AU588" s="122"/>
      <c r="AV588" s="122"/>
      <c r="AW588" s="122"/>
      <c r="AX588" s="122"/>
      <c r="AY588" s="122"/>
    </row>
    <row r="589">
      <c r="A589" s="78"/>
      <c r="B589" s="78"/>
      <c r="C589" s="78"/>
      <c r="D589" s="78"/>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c r="AA589" s="122"/>
      <c r="AB589" s="122"/>
      <c r="AC589" s="122"/>
      <c r="AD589" s="122"/>
      <c r="AE589" s="122"/>
      <c r="AF589" s="122"/>
      <c r="AG589" s="122"/>
      <c r="AH589" s="122"/>
      <c r="AI589" s="122"/>
      <c r="AJ589" s="122"/>
      <c r="AK589" s="122"/>
      <c r="AL589" s="122"/>
      <c r="AM589" s="122"/>
      <c r="AN589" s="122"/>
      <c r="AO589" s="122"/>
      <c r="AP589" s="122"/>
      <c r="AQ589" s="122"/>
      <c r="AR589" s="122"/>
      <c r="AS589" s="122"/>
      <c r="AT589" s="122"/>
      <c r="AU589" s="122"/>
      <c r="AV589" s="122"/>
      <c r="AW589" s="122"/>
      <c r="AX589" s="122"/>
      <c r="AY589" s="122"/>
    </row>
    <row r="590">
      <c r="A590" s="78"/>
      <c r="B590" s="78"/>
      <c r="C590" s="78"/>
      <c r="D590" s="78"/>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c r="AA590" s="122"/>
      <c r="AB590" s="122"/>
      <c r="AC590" s="122"/>
      <c r="AD590" s="122"/>
      <c r="AE590" s="122"/>
      <c r="AF590" s="122"/>
      <c r="AG590" s="122"/>
      <c r="AH590" s="122"/>
      <c r="AI590" s="122"/>
      <c r="AJ590" s="122"/>
      <c r="AK590" s="122"/>
      <c r="AL590" s="122"/>
      <c r="AM590" s="122"/>
      <c r="AN590" s="122"/>
      <c r="AO590" s="122"/>
      <c r="AP590" s="122"/>
      <c r="AQ590" s="122"/>
      <c r="AR590" s="122"/>
      <c r="AS590" s="122"/>
      <c r="AT590" s="122"/>
      <c r="AU590" s="122"/>
      <c r="AV590" s="122"/>
      <c r="AW590" s="122"/>
      <c r="AX590" s="122"/>
      <c r="AY590" s="122"/>
    </row>
    <row r="591">
      <c r="A591" s="78"/>
      <c r="B591" s="78"/>
      <c r="C591" s="78"/>
      <c r="D591" s="78"/>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c r="AA591" s="122"/>
      <c r="AB591" s="122"/>
      <c r="AC591" s="122"/>
      <c r="AD591" s="122"/>
      <c r="AE591" s="122"/>
      <c r="AF591" s="122"/>
      <c r="AG591" s="122"/>
      <c r="AH591" s="122"/>
      <c r="AI591" s="122"/>
      <c r="AJ591" s="122"/>
      <c r="AK591" s="122"/>
      <c r="AL591" s="122"/>
      <c r="AM591" s="122"/>
      <c r="AN591" s="122"/>
      <c r="AO591" s="122"/>
      <c r="AP591" s="122"/>
      <c r="AQ591" s="122"/>
      <c r="AR591" s="122"/>
      <c r="AS591" s="122"/>
      <c r="AT591" s="122"/>
      <c r="AU591" s="122"/>
      <c r="AV591" s="122"/>
      <c r="AW591" s="122"/>
      <c r="AX591" s="122"/>
      <c r="AY591" s="122"/>
    </row>
    <row r="592">
      <c r="A592" s="78"/>
      <c r="B592" s="78"/>
      <c r="C592" s="78"/>
      <c r="D592" s="78"/>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c r="AF592" s="122"/>
      <c r="AG592" s="122"/>
      <c r="AH592" s="122"/>
      <c r="AI592" s="122"/>
      <c r="AJ592" s="122"/>
      <c r="AK592" s="122"/>
      <c r="AL592" s="122"/>
      <c r="AM592" s="122"/>
      <c r="AN592" s="122"/>
      <c r="AO592" s="122"/>
      <c r="AP592" s="122"/>
      <c r="AQ592" s="122"/>
      <c r="AR592" s="122"/>
      <c r="AS592" s="122"/>
      <c r="AT592" s="122"/>
      <c r="AU592" s="122"/>
      <c r="AV592" s="122"/>
      <c r="AW592" s="122"/>
      <c r="AX592" s="122"/>
      <c r="AY592" s="122"/>
    </row>
    <row r="593">
      <c r="A593" s="78"/>
      <c r="B593" s="78"/>
      <c r="C593" s="78"/>
      <c r="D593" s="78"/>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c r="AA593" s="122"/>
      <c r="AB593" s="122"/>
      <c r="AC593" s="122"/>
      <c r="AD593" s="122"/>
      <c r="AE593" s="122"/>
      <c r="AF593" s="122"/>
      <c r="AG593" s="122"/>
      <c r="AH593" s="122"/>
      <c r="AI593" s="122"/>
      <c r="AJ593" s="122"/>
      <c r="AK593" s="122"/>
      <c r="AL593" s="122"/>
      <c r="AM593" s="122"/>
      <c r="AN593" s="122"/>
      <c r="AO593" s="122"/>
      <c r="AP593" s="122"/>
      <c r="AQ593" s="122"/>
      <c r="AR593" s="122"/>
      <c r="AS593" s="122"/>
      <c r="AT593" s="122"/>
      <c r="AU593" s="122"/>
      <c r="AV593" s="122"/>
      <c r="AW593" s="122"/>
      <c r="AX593" s="122"/>
      <c r="AY593" s="122"/>
    </row>
    <row r="594">
      <c r="A594" s="78"/>
      <c r="B594" s="78"/>
      <c r="C594" s="78"/>
      <c r="D594" s="78"/>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c r="AA594" s="122"/>
      <c r="AB594" s="122"/>
      <c r="AC594" s="122"/>
      <c r="AD594" s="122"/>
      <c r="AE594" s="122"/>
      <c r="AF594" s="122"/>
      <c r="AG594" s="122"/>
      <c r="AH594" s="122"/>
      <c r="AI594" s="122"/>
      <c r="AJ594" s="122"/>
      <c r="AK594" s="122"/>
      <c r="AL594" s="122"/>
      <c r="AM594" s="122"/>
      <c r="AN594" s="122"/>
      <c r="AO594" s="122"/>
      <c r="AP594" s="122"/>
      <c r="AQ594" s="122"/>
      <c r="AR594" s="122"/>
      <c r="AS594" s="122"/>
      <c r="AT594" s="122"/>
      <c r="AU594" s="122"/>
      <c r="AV594" s="122"/>
      <c r="AW594" s="122"/>
      <c r="AX594" s="122"/>
      <c r="AY594" s="122"/>
    </row>
    <row r="595">
      <c r="A595" s="78"/>
      <c r="B595" s="78"/>
      <c r="C595" s="78"/>
      <c r="D595" s="78"/>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c r="AA595" s="122"/>
      <c r="AB595" s="122"/>
      <c r="AC595" s="122"/>
      <c r="AD595" s="122"/>
      <c r="AE595" s="122"/>
      <c r="AF595" s="122"/>
      <c r="AG595" s="122"/>
      <c r="AH595" s="122"/>
      <c r="AI595" s="122"/>
      <c r="AJ595" s="122"/>
      <c r="AK595" s="122"/>
      <c r="AL595" s="122"/>
      <c r="AM595" s="122"/>
      <c r="AN595" s="122"/>
      <c r="AO595" s="122"/>
      <c r="AP595" s="122"/>
      <c r="AQ595" s="122"/>
      <c r="AR595" s="122"/>
      <c r="AS595" s="122"/>
      <c r="AT595" s="122"/>
      <c r="AU595" s="122"/>
      <c r="AV595" s="122"/>
      <c r="AW595" s="122"/>
      <c r="AX595" s="122"/>
      <c r="AY595" s="122"/>
    </row>
    <row r="596">
      <c r="A596" s="78"/>
      <c r="B596" s="78"/>
      <c r="C596" s="78"/>
      <c r="D596" s="78"/>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c r="AF596" s="122"/>
      <c r="AG596" s="122"/>
      <c r="AH596" s="122"/>
      <c r="AI596" s="122"/>
      <c r="AJ596" s="122"/>
      <c r="AK596" s="122"/>
      <c r="AL596" s="122"/>
      <c r="AM596" s="122"/>
      <c r="AN596" s="122"/>
      <c r="AO596" s="122"/>
      <c r="AP596" s="122"/>
      <c r="AQ596" s="122"/>
      <c r="AR596" s="122"/>
      <c r="AS596" s="122"/>
      <c r="AT596" s="122"/>
      <c r="AU596" s="122"/>
      <c r="AV596" s="122"/>
      <c r="AW596" s="122"/>
      <c r="AX596" s="122"/>
      <c r="AY596" s="122"/>
    </row>
    <row r="597">
      <c r="A597" s="78"/>
      <c r="B597" s="78"/>
      <c r="C597" s="78"/>
      <c r="D597" s="78"/>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c r="AA597" s="122"/>
      <c r="AB597" s="122"/>
      <c r="AC597" s="122"/>
      <c r="AD597" s="122"/>
      <c r="AE597" s="122"/>
      <c r="AF597" s="122"/>
      <c r="AG597" s="122"/>
      <c r="AH597" s="122"/>
      <c r="AI597" s="122"/>
      <c r="AJ597" s="122"/>
      <c r="AK597" s="122"/>
      <c r="AL597" s="122"/>
      <c r="AM597" s="122"/>
      <c r="AN597" s="122"/>
      <c r="AO597" s="122"/>
      <c r="AP597" s="122"/>
      <c r="AQ597" s="122"/>
      <c r="AR597" s="122"/>
      <c r="AS597" s="122"/>
      <c r="AT597" s="122"/>
      <c r="AU597" s="122"/>
      <c r="AV597" s="122"/>
      <c r="AW597" s="122"/>
      <c r="AX597" s="122"/>
      <c r="AY597" s="122"/>
    </row>
    <row r="598">
      <c r="A598" s="78"/>
      <c r="B598" s="78"/>
      <c r="C598" s="78"/>
      <c r="D598" s="78"/>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c r="AA598" s="122"/>
      <c r="AB598" s="122"/>
      <c r="AC598" s="122"/>
      <c r="AD598" s="122"/>
      <c r="AE598" s="122"/>
      <c r="AF598" s="122"/>
      <c r="AG598" s="122"/>
      <c r="AH598" s="122"/>
      <c r="AI598" s="122"/>
      <c r="AJ598" s="122"/>
      <c r="AK598" s="122"/>
      <c r="AL598" s="122"/>
      <c r="AM598" s="122"/>
      <c r="AN598" s="122"/>
      <c r="AO598" s="122"/>
      <c r="AP598" s="122"/>
      <c r="AQ598" s="122"/>
      <c r="AR598" s="122"/>
      <c r="AS598" s="122"/>
      <c r="AT598" s="122"/>
      <c r="AU598" s="122"/>
      <c r="AV598" s="122"/>
      <c r="AW598" s="122"/>
      <c r="AX598" s="122"/>
      <c r="AY598" s="122"/>
    </row>
    <row r="599">
      <c r="A599" s="78"/>
      <c r="B599" s="78"/>
      <c r="C599" s="78"/>
      <c r="D599" s="78"/>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c r="AA599" s="122"/>
      <c r="AB599" s="122"/>
      <c r="AC599" s="122"/>
      <c r="AD599" s="122"/>
      <c r="AE599" s="122"/>
      <c r="AF599" s="122"/>
      <c r="AG599" s="122"/>
      <c r="AH599" s="122"/>
      <c r="AI599" s="122"/>
      <c r="AJ599" s="122"/>
      <c r="AK599" s="122"/>
      <c r="AL599" s="122"/>
      <c r="AM599" s="122"/>
      <c r="AN599" s="122"/>
      <c r="AO599" s="122"/>
      <c r="AP599" s="122"/>
      <c r="AQ599" s="122"/>
      <c r="AR599" s="122"/>
      <c r="AS599" s="122"/>
      <c r="AT599" s="122"/>
      <c r="AU599" s="122"/>
      <c r="AV599" s="122"/>
      <c r="AW599" s="122"/>
      <c r="AX599" s="122"/>
      <c r="AY599" s="122"/>
    </row>
    <row r="600">
      <c r="A600" s="78"/>
      <c r="B600" s="78"/>
      <c r="C600" s="78"/>
      <c r="D600" s="78"/>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c r="AA600" s="122"/>
      <c r="AB600" s="122"/>
      <c r="AC600" s="122"/>
      <c r="AD600" s="122"/>
      <c r="AE600" s="122"/>
      <c r="AF600" s="122"/>
      <c r="AG600" s="122"/>
      <c r="AH600" s="122"/>
      <c r="AI600" s="122"/>
      <c r="AJ600" s="122"/>
      <c r="AK600" s="122"/>
      <c r="AL600" s="122"/>
      <c r="AM600" s="122"/>
      <c r="AN600" s="122"/>
      <c r="AO600" s="122"/>
      <c r="AP600" s="122"/>
      <c r="AQ600" s="122"/>
      <c r="AR600" s="122"/>
      <c r="AS600" s="122"/>
      <c r="AT600" s="122"/>
      <c r="AU600" s="122"/>
      <c r="AV600" s="122"/>
      <c r="AW600" s="122"/>
      <c r="AX600" s="122"/>
      <c r="AY600" s="122"/>
    </row>
    <row r="601">
      <c r="A601" s="78"/>
      <c r="B601" s="78"/>
      <c r="C601" s="78"/>
      <c r="D601" s="78"/>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c r="AA601" s="122"/>
      <c r="AB601" s="122"/>
      <c r="AC601" s="122"/>
      <c r="AD601" s="122"/>
      <c r="AE601" s="122"/>
      <c r="AF601" s="122"/>
      <c r="AG601" s="122"/>
      <c r="AH601" s="122"/>
      <c r="AI601" s="122"/>
      <c r="AJ601" s="122"/>
      <c r="AK601" s="122"/>
      <c r="AL601" s="122"/>
      <c r="AM601" s="122"/>
      <c r="AN601" s="122"/>
      <c r="AO601" s="122"/>
      <c r="AP601" s="122"/>
      <c r="AQ601" s="122"/>
      <c r="AR601" s="122"/>
      <c r="AS601" s="122"/>
      <c r="AT601" s="122"/>
      <c r="AU601" s="122"/>
      <c r="AV601" s="122"/>
      <c r="AW601" s="122"/>
      <c r="AX601" s="122"/>
      <c r="AY601" s="122"/>
    </row>
    <row r="602">
      <c r="A602" s="78"/>
      <c r="B602" s="78"/>
      <c r="C602" s="78"/>
      <c r="D602" s="78"/>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c r="AA602" s="122"/>
      <c r="AB602" s="122"/>
      <c r="AC602" s="122"/>
      <c r="AD602" s="122"/>
      <c r="AE602" s="122"/>
      <c r="AF602" s="122"/>
      <c r="AG602" s="122"/>
      <c r="AH602" s="122"/>
      <c r="AI602" s="122"/>
      <c r="AJ602" s="122"/>
      <c r="AK602" s="122"/>
      <c r="AL602" s="122"/>
      <c r="AM602" s="122"/>
      <c r="AN602" s="122"/>
      <c r="AO602" s="122"/>
      <c r="AP602" s="122"/>
      <c r="AQ602" s="122"/>
      <c r="AR602" s="122"/>
      <c r="AS602" s="122"/>
      <c r="AT602" s="122"/>
      <c r="AU602" s="122"/>
      <c r="AV602" s="122"/>
      <c r="AW602" s="122"/>
      <c r="AX602" s="122"/>
      <c r="AY602" s="122"/>
    </row>
    <row r="603">
      <c r="A603" s="78"/>
      <c r="B603" s="78"/>
      <c r="C603" s="78"/>
      <c r="D603" s="78"/>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c r="AA603" s="122"/>
      <c r="AB603" s="122"/>
      <c r="AC603" s="122"/>
      <c r="AD603" s="122"/>
      <c r="AE603" s="122"/>
      <c r="AF603" s="122"/>
      <c r="AG603" s="122"/>
      <c r="AH603" s="122"/>
      <c r="AI603" s="122"/>
      <c r="AJ603" s="122"/>
      <c r="AK603" s="122"/>
      <c r="AL603" s="122"/>
      <c r="AM603" s="122"/>
      <c r="AN603" s="122"/>
      <c r="AO603" s="122"/>
      <c r="AP603" s="122"/>
      <c r="AQ603" s="122"/>
      <c r="AR603" s="122"/>
      <c r="AS603" s="122"/>
      <c r="AT603" s="122"/>
      <c r="AU603" s="122"/>
      <c r="AV603" s="122"/>
      <c r="AW603" s="122"/>
      <c r="AX603" s="122"/>
      <c r="AY603" s="122"/>
    </row>
    <row r="604">
      <c r="A604" s="78"/>
      <c r="B604" s="78"/>
      <c r="C604" s="78"/>
      <c r="D604" s="78"/>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c r="AA604" s="122"/>
      <c r="AB604" s="122"/>
      <c r="AC604" s="122"/>
      <c r="AD604" s="122"/>
      <c r="AE604" s="122"/>
      <c r="AF604" s="122"/>
      <c r="AG604" s="122"/>
      <c r="AH604" s="122"/>
      <c r="AI604" s="122"/>
      <c r="AJ604" s="122"/>
      <c r="AK604" s="122"/>
      <c r="AL604" s="122"/>
      <c r="AM604" s="122"/>
      <c r="AN604" s="122"/>
      <c r="AO604" s="122"/>
      <c r="AP604" s="122"/>
      <c r="AQ604" s="122"/>
      <c r="AR604" s="122"/>
      <c r="AS604" s="122"/>
      <c r="AT604" s="122"/>
      <c r="AU604" s="122"/>
      <c r="AV604" s="122"/>
      <c r="AW604" s="122"/>
      <c r="AX604" s="122"/>
      <c r="AY604" s="122"/>
    </row>
    <row r="605">
      <c r="A605" s="78"/>
      <c r="B605" s="78"/>
      <c r="C605" s="78"/>
      <c r="D605" s="78"/>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c r="AA605" s="122"/>
      <c r="AB605" s="122"/>
      <c r="AC605" s="122"/>
      <c r="AD605" s="122"/>
      <c r="AE605" s="122"/>
      <c r="AF605" s="122"/>
      <c r="AG605" s="122"/>
      <c r="AH605" s="122"/>
      <c r="AI605" s="122"/>
      <c r="AJ605" s="122"/>
      <c r="AK605" s="122"/>
      <c r="AL605" s="122"/>
      <c r="AM605" s="122"/>
      <c r="AN605" s="122"/>
      <c r="AO605" s="122"/>
      <c r="AP605" s="122"/>
      <c r="AQ605" s="122"/>
      <c r="AR605" s="122"/>
      <c r="AS605" s="122"/>
      <c r="AT605" s="122"/>
      <c r="AU605" s="122"/>
      <c r="AV605" s="122"/>
      <c r="AW605" s="122"/>
      <c r="AX605" s="122"/>
      <c r="AY605" s="122"/>
    </row>
    <row r="606">
      <c r="A606" s="78"/>
      <c r="B606" s="78"/>
      <c r="C606" s="78"/>
      <c r="D606" s="78"/>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c r="AA606" s="122"/>
      <c r="AB606" s="122"/>
      <c r="AC606" s="122"/>
      <c r="AD606" s="122"/>
      <c r="AE606" s="122"/>
      <c r="AF606" s="122"/>
      <c r="AG606" s="122"/>
      <c r="AH606" s="122"/>
      <c r="AI606" s="122"/>
      <c r="AJ606" s="122"/>
      <c r="AK606" s="122"/>
      <c r="AL606" s="122"/>
      <c r="AM606" s="122"/>
      <c r="AN606" s="122"/>
      <c r="AO606" s="122"/>
      <c r="AP606" s="122"/>
      <c r="AQ606" s="122"/>
      <c r="AR606" s="122"/>
      <c r="AS606" s="122"/>
      <c r="AT606" s="122"/>
      <c r="AU606" s="122"/>
      <c r="AV606" s="122"/>
      <c r="AW606" s="122"/>
      <c r="AX606" s="122"/>
      <c r="AY606" s="122"/>
    </row>
    <row r="607">
      <c r="A607" s="78"/>
      <c r="B607" s="78"/>
      <c r="C607" s="78"/>
      <c r="D607" s="78"/>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c r="AA607" s="122"/>
      <c r="AB607" s="122"/>
      <c r="AC607" s="122"/>
      <c r="AD607" s="122"/>
      <c r="AE607" s="122"/>
      <c r="AF607" s="122"/>
      <c r="AG607" s="122"/>
      <c r="AH607" s="122"/>
      <c r="AI607" s="122"/>
      <c r="AJ607" s="122"/>
      <c r="AK607" s="122"/>
      <c r="AL607" s="122"/>
      <c r="AM607" s="122"/>
      <c r="AN607" s="122"/>
      <c r="AO607" s="122"/>
      <c r="AP607" s="122"/>
      <c r="AQ607" s="122"/>
      <c r="AR607" s="122"/>
      <c r="AS607" s="122"/>
      <c r="AT607" s="122"/>
      <c r="AU607" s="122"/>
      <c r="AV607" s="122"/>
      <c r="AW607" s="122"/>
      <c r="AX607" s="122"/>
      <c r="AY607" s="122"/>
    </row>
    <row r="608">
      <c r="A608" s="78"/>
      <c r="B608" s="78"/>
      <c r="C608" s="78"/>
      <c r="D608" s="78"/>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c r="AA608" s="122"/>
      <c r="AB608" s="122"/>
      <c r="AC608" s="122"/>
      <c r="AD608" s="122"/>
      <c r="AE608" s="122"/>
      <c r="AF608" s="122"/>
      <c r="AG608" s="122"/>
      <c r="AH608" s="122"/>
      <c r="AI608" s="122"/>
      <c r="AJ608" s="122"/>
      <c r="AK608" s="122"/>
      <c r="AL608" s="122"/>
      <c r="AM608" s="122"/>
      <c r="AN608" s="122"/>
      <c r="AO608" s="122"/>
      <c r="AP608" s="122"/>
      <c r="AQ608" s="122"/>
      <c r="AR608" s="122"/>
      <c r="AS608" s="122"/>
      <c r="AT608" s="122"/>
      <c r="AU608" s="122"/>
      <c r="AV608" s="122"/>
      <c r="AW608" s="122"/>
      <c r="AX608" s="122"/>
      <c r="AY608" s="122"/>
    </row>
    <row r="609">
      <c r="A609" s="78"/>
      <c r="B609" s="78"/>
      <c r="C609" s="78"/>
      <c r="D609" s="78"/>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c r="AA609" s="122"/>
      <c r="AB609" s="122"/>
      <c r="AC609" s="122"/>
      <c r="AD609" s="122"/>
      <c r="AE609" s="122"/>
      <c r="AF609" s="122"/>
      <c r="AG609" s="122"/>
      <c r="AH609" s="122"/>
      <c r="AI609" s="122"/>
      <c r="AJ609" s="122"/>
      <c r="AK609" s="122"/>
      <c r="AL609" s="122"/>
      <c r="AM609" s="122"/>
      <c r="AN609" s="122"/>
      <c r="AO609" s="122"/>
      <c r="AP609" s="122"/>
      <c r="AQ609" s="122"/>
      <c r="AR609" s="122"/>
      <c r="AS609" s="122"/>
      <c r="AT609" s="122"/>
      <c r="AU609" s="122"/>
      <c r="AV609" s="122"/>
      <c r="AW609" s="122"/>
      <c r="AX609" s="122"/>
      <c r="AY609" s="122"/>
    </row>
    <row r="610">
      <c r="A610" s="78"/>
      <c r="B610" s="78"/>
      <c r="C610" s="78"/>
      <c r="D610" s="78"/>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c r="AG610" s="122"/>
      <c r="AH610" s="122"/>
      <c r="AI610" s="122"/>
      <c r="AJ610" s="122"/>
      <c r="AK610" s="122"/>
      <c r="AL610" s="122"/>
      <c r="AM610" s="122"/>
      <c r="AN610" s="122"/>
      <c r="AO610" s="122"/>
      <c r="AP610" s="122"/>
      <c r="AQ610" s="122"/>
      <c r="AR610" s="122"/>
      <c r="AS610" s="122"/>
      <c r="AT610" s="122"/>
      <c r="AU610" s="122"/>
      <c r="AV610" s="122"/>
      <c r="AW610" s="122"/>
      <c r="AX610" s="122"/>
      <c r="AY610" s="122"/>
    </row>
    <row r="611">
      <c r="A611" s="78"/>
      <c r="B611" s="78"/>
      <c r="C611" s="78"/>
      <c r="D611" s="78"/>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c r="AA611" s="122"/>
      <c r="AB611" s="122"/>
      <c r="AC611" s="122"/>
      <c r="AD611" s="122"/>
      <c r="AE611" s="122"/>
      <c r="AF611" s="122"/>
      <c r="AG611" s="122"/>
      <c r="AH611" s="122"/>
      <c r="AI611" s="122"/>
      <c r="AJ611" s="122"/>
      <c r="AK611" s="122"/>
      <c r="AL611" s="122"/>
      <c r="AM611" s="122"/>
      <c r="AN611" s="122"/>
      <c r="AO611" s="122"/>
      <c r="AP611" s="122"/>
      <c r="AQ611" s="122"/>
      <c r="AR611" s="122"/>
      <c r="AS611" s="122"/>
      <c r="AT611" s="122"/>
      <c r="AU611" s="122"/>
      <c r="AV611" s="122"/>
      <c r="AW611" s="122"/>
      <c r="AX611" s="122"/>
      <c r="AY611" s="122"/>
    </row>
    <row r="612">
      <c r="A612" s="78"/>
      <c r="B612" s="78"/>
      <c r="C612" s="78"/>
      <c r="D612" s="78"/>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c r="AA612" s="122"/>
      <c r="AB612" s="122"/>
      <c r="AC612" s="122"/>
      <c r="AD612" s="122"/>
      <c r="AE612" s="122"/>
      <c r="AF612" s="122"/>
      <c r="AG612" s="122"/>
      <c r="AH612" s="122"/>
      <c r="AI612" s="122"/>
      <c r="AJ612" s="122"/>
      <c r="AK612" s="122"/>
      <c r="AL612" s="122"/>
      <c r="AM612" s="122"/>
      <c r="AN612" s="122"/>
      <c r="AO612" s="122"/>
      <c r="AP612" s="122"/>
      <c r="AQ612" s="122"/>
      <c r="AR612" s="122"/>
      <c r="AS612" s="122"/>
      <c r="AT612" s="122"/>
      <c r="AU612" s="122"/>
      <c r="AV612" s="122"/>
      <c r="AW612" s="122"/>
      <c r="AX612" s="122"/>
      <c r="AY612" s="122"/>
    </row>
    <row r="613">
      <c r="A613" s="78"/>
      <c r="B613" s="78"/>
      <c r="C613" s="78"/>
      <c r="D613" s="78"/>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c r="AA613" s="122"/>
      <c r="AB613" s="122"/>
      <c r="AC613" s="122"/>
      <c r="AD613" s="122"/>
      <c r="AE613" s="122"/>
      <c r="AF613" s="122"/>
      <c r="AG613" s="122"/>
      <c r="AH613" s="122"/>
      <c r="AI613" s="122"/>
      <c r="AJ613" s="122"/>
      <c r="AK613" s="122"/>
      <c r="AL613" s="122"/>
      <c r="AM613" s="122"/>
      <c r="AN613" s="122"/>
      <c r="AO613" s="122"/>
      <c r="AP613" s="122"/>
      <c r="AQ613" s="122"/>
      <c r="AR613" s="122"/>
      <c r="AS613" s="122"/>
      <c r="AT613" s="122"/>
      <c r="AU613" s="122"/>
      <c r="AV613" s="122"/>
      <c r="AW613" s="122"/>
      <c r="AX613" s="122"/>
      <c r="AY613" s="122"/>
    </row>
    <row r="614">
      <c r="A614" s="78"/>
      <c r="B614" s="78"/>
      <c r="C614" s="78"/>
      <c r="D614" s="78"/>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c r="AA614" s="122"/>
      <c r="AB614" s="122"/>
      <c r="AC614" s="122"/>
      <c r="AD614" s="122"/>
      <c r="AE614" s="122"/>
      <c r="AF614" s="122"/>
      <c r="AG614" s="122"/>
      <c r="AH614" s="122"/>
      <c r="AI614" s="122"/>
      <c r="AJ614" s="122"/>
      <c r="AK614" s="122"/>
      <c r="AL614" s="122"/>
      <c r="AM614" s="122"/>
      <c r="AN614" s="122"/>
      <c r="AO614" s="122"/>
      <c r="AP614" s="122"/>
      <c r="AQ614" s="122"/>
      <c r="AR614" s="122"/>
      <c r="AS614" s="122"/>
      <c r="AT614" s="122"/>
      <c r="AU614" s="122"/>
      <c r="AV614" s="122"/>
      <c r="AW614" s="122"/>
      <c r="AX614" s="122"/>
      <c r="AY614" s="122"/>
    </row>
    <row r="615">
      <c r="A615" s="78"/>
      <c r="B615" s="78"/>
      <c r="C615" s="78"/>
      <c r="D615" s="78"/>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c r="AA615" s="122"/>
      <c r="AB615" s="122"/>
      <c r="AC615" s="122"/>
      <c r="AD615" s="122"/>
      <c r="AE615" s="122"/>
      <c r="AF615" s="122"/>
      <c r="AG615" s="122"/>
      <c r="AH615" s="122"/>
      <c r="AI615" s="122"/>
      <c r="AJ615" s="122"/>
      <c r="AK615" s="122"/>
      <c r="AL615" s="122"/>
      <c r="AM615" s="122"/>
      <c r="AN615" s="122"/>
      <c r="AO615" s="122"/>
      <c r="AP615" s="122"/>
      <c r="AQ615" s="122"/>
      <c r="AR615" s="122"/>
      <c r="AS615" s="122"/>
      <c r="AT615" s="122"/>
      <c r="AU615" s="122"/>
      <c r="AV615" s="122"/>
      <c r="AW615" s="122"/>
      <c r="AX615" s="122"/>
      <c r="AY615" s="122"/>
    </row>
    <row r="616">
      <c r="A616" s="78"/>
      <c r="B616" s="78"/>
      <c r="C616" s="78"/>
      <c r="D616" s="78"/>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c r="AA616" s="122"/>
      <c r="AB616" s="122"/>
      <c r="AC616" s="122"/>
      <c r="AD616" s="122"/>
      <c r="AE616" s="122"/>
      <c r="AF616" s="122"/>
      <c r="AG616" s="122"/>
      <c r="AH616" s="122"/>
      <c r="AI616" s="122"/>
      <c r="AJ616" s="122"/>
      <c r="AK616" s="122"/>
      <c r="AL616" s="122"/>
      <c r="AM616" s="122"/>
      <c r="AN616" s="122"/>
      <c r="AO616" s="122"/>
      <c r="AP616" s="122"/>
      <c r="AQ616" s="122"/>
      <c r="AR616" s="122"/>
      <c r="AS616" s="122"/>
      <c r="AT616" s="122"/>
      <c r="AU616" s="122"/>
      <c r="AV616" s="122"/>
      <c r="AW616" s="122"/>
      <c r="AX616" s="122"/>
      <c r="AY616" s="122"/>
    </row>
    <row r="617">
      <c r="A617" s="78"/>
      <c r="B617" s="78"/>
      <c r="C617" s="78"/>
      <c r="D617" s="78"/>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c r="AF617" s="122"/>
      <c r="AG617" s="122"/>
      <c r="AH617" s="122"/>
      <c r="AI617" s="122"/>
      <c r="AJ617" s="122"/>
      <c r="AK617" s="122"/>
      <c r="AL617" s="122"/>
      <c r="AM617" s="122"/>
      <c r="AN617" s="122"/>
      <c r="AO617" s="122"/>
      <c r="AP617" s="122"/>
      <c r="AQ617" s="122"/>
      <c r="AR617" s="122"/>
      <c r="AS617" s="122"/>
      <c r="AT617" s="122"/>
      <c r="AU617" s="122"/>
      <c r="AV617" s="122"/>
      <c r="AW617" s="122"/>
      <c r="AX617" s="122"/>
      <c r="AY617" s="122"/>
    </row>
    <row r="618">
      <c r="A618" s="78"/>
      <c r="B618" s="78"/>
      <c r="C618" s="78"/>
      <c r="D618" s="78"/>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c r="AG618" s="122"/>
      <c r="AH618" s="122"/>
      <c r="AI618" s="122"/>
      <c r="AJ618" s="122"/>
      <c r="AK618" s="122"/>
      <c r="AL618" s="122"/>
      <c r="AM618" s="122"/>
      <c r="AN618" s="122"/>
      <c r="AO618" s="122"/>
      <c r="AP618" s="122"/>
      <c r="AQ618" s="122"/>
      <c r="AR618" s="122"/>
      <c r="AS618" s="122"/>
      <c r="AT618" s="122"/>
      <c r="AU618" s="122"/>
      <c r="AV618" s="122"/>
      <c r="AW618" s="122"/>
      <c r="AX618" s="122"/>
      <c r="AY618" s="122"/>
    </row>
    <row r="619">
      <c r="A619" s="78"/>
      <c r="B619" s="78"/>
      <c r="C619" s="78"/>
      <c r="D619" s="78"/>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c r="AA619" s="122"/>
      <c r="AB619" s="122"/>
      <c r="AC619" s="122"/>
      <c r="AD619" s="122"/>
      <c r="AE619" s="122"/>
      <c r="AF619" s="122"/>
      <c r="AG619" s="122"/>
      <c r="AH619" s="122"/>
      <c r="AI619" s="122"/>
      <c r="AJ619" s="122"/>
      <c r="AK619" s="122"/>
      <c r="AL619" s="122"/>
      <c r="AM619" s="122"/>
      <c r="AN619" s="122"/>
      <c r="AO619" s="122"/>
      <c r="AP619" s="122"/>
      <c r="AQ619" s="122"/>
      <c r="AR619" s="122"/>
      <c r="AS619" s="122"/>
      <c r="AT619" s="122"/>
      <c r="AU619" s="122"/>
      <c r="AV619" s="122"/>
      <c r="AW619" s="122"/>
      <c r="AX619" s="122"/>
      <c r="AY619" s="122"/>
    </row>
    <row r="620">
      <c r="A620" s="78"/>
      <c r="B620" s="78"/>
      <c r="C620" s="78"/>
      <c r="D620" s="78"/>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c r="AA620" s="122"/>
      <c r="AB620" s="122"/>
      <c r="AC620" s="122"/>
      <c r="AD620" s="122"/>
      <c r="AE620" s="122"/>
      <c r="AF620" s="122"/>
      <c r="AG620" s="122"/>
      <c r="AH620" s="122"/>
      <c r="AI620" s="122"/>
      <c r="AJ620" s="122"/>
      <c r="AK620" s="122"/>
      <c r="AL620" s="122"/>
      <c r="AM620" s="122"/>
      <c r="AN620" s="122"/>
      <c r="AO620" s="122"/>
      <c r="AP620" s="122"/>
      <c r="AQ620" s="122"/>
      <c r="AR620" s="122"/>
      <c r="AS620" s="122"/>
      <c r="AT620" s="122"/>
      <c r="AU620" s="122"/>
      <c r="AV620" s="122"/>
      <c r="AW620" s="122"/>
      <c r="AX620" s="122"/>
      <c r="AY620" s="122"/>
    </row>
    <row r="621">
      <c r="A621" s="78"/>
      <c r="B621" s="78"/>
      <c r="C621" s="78"/>
      <c r="D621" s="78"/>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c r="AF621" s="122"/>
      <c r="AG621" s="122"/>
      <c r="AH621" s="122"/>
      <c r="AI621" s="122"/>
      <c r="AJ621" s="122"/>
      <c r="AK621" s="122"/>
      <c r="AL621" s="122"/>
      <c r="AM621" s="122"/>
      <c r="AN621" s="122"/>
      <c r="AO621" s="122"/>
      <c r="AP621" s="122"/>
      <c r="AQ621" s="122"/>
      <c r="AR621" s="122"/>
      <c r="AS621" s="122"/>
      <c r="AT621" s="122"/>
      <c r="AU621" s="122"/>
      <c r="AV621" s="122"/>
      <c r="AW621" s="122"/>
      <c r="AX621" s="122"/>
      <c r="AY621" s="122"/>
    </row>
    <row r="622">
      <c r="A622" s="78"/>
      <c r="B622" s="78"/>
      <c r="C622" s="78"/>
      <c r="D622" s="78"/>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c r="AA622" s="122"/>
      <c r="AB622" s="122"/>
      <c r="AC622" s="122"/>
      <c r="AD622" s="122"/>
      <c r="AE622" s="122"/>
      <c r="AF622" s="122"/>
      <c r="AG622" s="122"/>
      <c r="AH622" s="122"/>
      <c r="AI622" s="122"/>
      <c r="AJ622" s="122"/>
      <c r="AK622" s="122"/>
      <c r="AL622" s="122"/>
      <c r="AM622" s="122"/>
      <c r="AN622" s="122"/>
      <c r="AO622" s="122"/>
      <c r="AP622" s="122"/>
      <c r="AQ622" s="122"/>
      <c r="AR622" s="122"/>
      <c r="AS622" s="122"/>
      <c r="AT622" s="122"/>
      <c r="AU622" s="122"/>
      <c r="AV622" s="122"/>
      <c r="AW622" s="122"/>
      <c r="AX622" s="122"/>
      <c r="AY622" s="122"/>
    </row>
    <row r="623">
      <c r="A623" s="78"/>
      <c r="B623" s="78"/>
      <c r="C623" s="78"/>
      <c r="D623" s="78"/>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c r="AA623" s="122"/>
      <c r="AB623" s="122"/>
      <c r="AC623" s="122"/>
      <c r="AD623" s="122"/>
      <c r="AE623" s="122"/>
      <c r="AF623" s="122"/>
      <c r="AG623" s="122"/>
      <c r="AH623" s="122"/>
      <c r="AI623" s="122"/>
      <c r="AJ623" s="122"/>
      <c r="AK623" s="122"/>
      <c r="AL623" s="122"/>
      <c r="AM623" s="122"/>
      <c r="AN623" s="122"/>
      <c r="AO623" s="122"/>
      <c r="AP623" s="122"/>
      <c r="AQ623" s="122"/>
      <c r="AR623" s="122"/>
      <c r="AS623" s="122"/>
      <c r="AT623" s="122"/>
      <c r="AU623" s="122"/>
      <c r="AV623" s="122"/>
      <c r="AW623" s="122"/>
      <c r="AX623" s="122"/>
      <c r="AY623" s="122"/>
    </row>
    <row r="624">
      <c r="A624" s="78"/>
      <c r="B624" s="78"/>
      <c r="C624" s="78"/>
      <c r="D624" s="78"/>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c r="AA624" s="122"/>
      <c r="AB624" s="122"/>
      <c r="AC624" s="122"/>
      <c r="AD624" s="122"/>
      <c r="AE624" s="122"/>
      <c r="AF624" s="122"/>
      <c r="AG624" s="122"/>
      <c r="AH624" s="122"/>
      <c r="AI624" s="122"/>
      <c r="AJ624" s="122"/>
      <c r="AK624" s="122"/>
      <c r="AL624" s="122"/>
      <c r="AM624" s="122"/>
      <c r="AN624" s="122"/>
      <c r="AO624" s="122"/>
      <c r="AP624" s="122"/>
      <c r="AQ624" s="122"/>
      <c r="AR624" s="122"/>
      <c r="AS624" s="122"/>
      <c r="AT624" s="122"/>
      <c r="AU624" s="122"/>
      <c r="AV624" s="122"/>
      <c r="AW624" s="122"/>
      <c r="AX624" s="122"/>
      <c r="AY624" s="122"/>
    </row>
    <row r="625">
      <c r="A625" s="78"/>
      <c r="B625" s="78"/>
      <c r="C625" s="78"/>
      <c r="D625" s="78"/>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c r="AA625" s="122"/>
      <c r="AB625" s="122"/>
      <c r="AC625" s="122"/>
      <c r="AD625" s="122"/>
      <c r="AE625" s="122"/>
      <c r="AF625" s="122"/>
      <c r="AG625" s="122"/>
      <c r="AH625" s="122"/>
      <c r="AI625" s="122"/>
      <c r="AJ625" s="122"/>
      <c r="AK625" s="122"/>
      <c r="AL625" s="122"/>
      <c r="AM625" s="122"/>
      <c r="AN625" s="122"/>
      <c r="AO625" s="122"/>
      <c r="AP625" s="122"/>
      <c r="AQ625" s="122"/>
      <c r="AR625" s="122"/>
      <c r="AS625" s="122"/>
      <c r="AT625" s="122"/>
      <c r="AU625" s="122"/>
      <c r="AV625" s="122"/>
      <c r="AW625" s="122"/>
      <c r="AX625" s="122"/>
      <c r="AY625" s="122"/>
    </row>
    <row r="626">
      <c r="A626" s="78"/>
      <c r="B626" s="78"/>
      <c r="C626" s="78"/>
      <c r="D626" s="78"/>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c r="AA626" s="122"/>
      <c r="AB626" s="122"/>
      <c r="AC626" s="122"/>
      <c r="AD626" s="122"/>
      <c r="AE626" s="122"/>
      <c r="AF626" s="122"/>
      <c r="AG626" s="122"/>
      <c r="AH626" s="122"/>
      <c r="AI626" s="122"/>
      <c r="AJ626" s="122"/>
      <c r="AK626" s="122"/>
      <c r="AL626" s="122"/>
      <c r="AM626" s="122"/>
      <c r="AN626" s="122"/>
      <c r="AO626" s="122"/>
      <c r="AP626" s="122"/>
      <c r="AQ626" s="122"/>
      <c r="AR626" s="122"/>
      <c r="AS626" s="122"/>
      <c r="AT626" s="122"/>
      <c r="AU626" s="122"/>
      <c r="AV626" s="122"/>
      <c r="AW626" s="122"/>
      <c r="AX626" s="122"/>
      <c r="AY626" s="122"/>
    </row>
    <row r="627">
      <c r="A627" s="78"/>
      <c r="B627" s="78"/>
      <c r="C627" s="78"/>
      <c r="D627" s="78"/>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c r="AF627" s="122"/>
      <c r="AG627" s="122"/>
      <c r="AH627" s="122"/>
      <c r="AI627" s="122"/>
      <c r="AJ627" s="122"/>
      <c r="AK627" s="122"/>
      <c r="AL627" s="122"/>
      <c r="AM627" s="122"/>
      <c r="AN627" s="122"/>
      <c r="AO627" s="122"/>
      <c r="AP627" s="122"/>
      <c r="AQ627" s="122"/>
      <c r="AR627" s="122"/>
      <c r="AS627" s="122"/>
      <c r="AT627" s="122"/>
      <c r="AU627" s="122"/>
      <c r="AV627" s="122"/>
      <c r="AW627" s="122"/>
      <c r="AX627" s="122"/>
      <c r="AY627" s="122"/>
    </row>
    <row r="628">
      <c r="A628" s="78"/>
      <c r="B628" s="78"/>
      <c r="C628" s="78"/>
      <c r="D628" s="78"/>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c r="AA628" s="122"/>
      <c r="AB628" s="122"/>
      <c r="AC628" s="122"/>
      <c r="AD628" s="122"/>
      <c r="AE628" s="122"/>
      <c r="AF628" s="122"/>
      <c r="AG628" s="122"/>
      <c r="AH628" s="122"/>
      <c r="AI628" s="122"/>
      <c r="AJ628" s="122"/>
      <c r="AK628" s="122"/>
      <c r="AL628" s="122"/>
      <c r="AM628" s="122"/>
      <c r="AN628" s="122"/>
      <c r="AO628" s="122"/>
      <c r="AP628" s="122"/>
      <c r="AQ628" s="122"/>
      <c r="AR628" s="122"/>
      <c r="AS628" s="122"/>
      <c r="AT628" s="122"/>
      <c r="AU628" s="122"/>
      <c r="AV628" s="122"/>
      <c r="AW628" s="122"/>
      <c r="AX628" s="122"/>
      <c r="AY628" s="122"/>
    </row>
    <row r="629">
      <c r="A629" s="78"/>
      <c r="B629" s="78"/>
      <c r="C629" s="78"/>
      <c r="D629" s="78"/>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c r="AA629" s="122"/>
      <c r="AB629" s="122"/>
      <c r="AC629" s="122"/>
      <c r="AD629" s="122"/>
      <c r="AE629" s="122"/>
      <c r="AF629" s="122"/>
      <c r="AG629" s="122"/>
      <c r="AH629" s="122"/>
      <c r="AI629" s="122"/>
      <c r="AJ629" s="122"/>
      <c r="AK629" s="122"/>
      <c r="AL629" s="122"/>
      <c r="AM629" s="122"/>
      <c r="AN629" s="122"/>
      <c r="AO629" s="122"/>
      <c r="AP629" s="122"/>
      <c r="AQ629" s="122"/>
      <c r="AR629" s="122"/>
      <c r="AS629" s="122"/>
      <c r="AT629" s="122"/>
      <c r="AU629" s="122"/>
      <c r="AV629" s="122"/>
      <c r="AW629" s="122"/>
      <c r="AX629" s="122"/>
      <c r="AY629" s="122"/>
    </row>
    <row r="630">
      <c r="A630" s="78"/>
      <c r="B630" s="78"/>
      <c r="C630" s="78"/>
      <c r="D630" s="78"/>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c r="AA630" s="122"/>
      <c r="AB630" s="122"/>
      <c r="AC630" s="122"/>
      <c r="AD630" s="122"/>
      <c r="AE630" s="122"/>
      <c r="AF630" s="122"/>
      <c r="AG630" s="122"/>
      <c r="AH630" s="122"/>
      <c r="AI630" s="122"/>
      <c r="AJ630" s="122"/>
      <c r="AK630" s="122"/>
      <c r="AL630" s="122"/>
      <c r="AM630" s="122"/>
      <c r="AN630" s="122"/>
      <c r="AO630" s="122"/>
      <c r="AP630" s="122"/>
      <c r="AQ630" s="122"/>
      <c r="AR630" s="122"/>
      <c r="AS630" s="122"/>
      <c r="AT630" s="122"/>
      <c r="AU630" s="122"/>
      <c r="AV630" s="122"/>
      <c r="AW630" s="122"/>
      <c r="AX630" s="122"/>
      <c r="AY630" s="122"/>
    </row>
    <row r="631">
      <c r="A631" s="78"/>
      <c r="B631" s="78"/>
      <c r="C631" s="78"/>
      <c r="D631" s="78"/>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c r="AA631" s="122"/>
      <c r="AB631" s="122"/>
      <c r="AC631" s="122"/>
      <c r="AD631" s="122"/>
      <c r="AE631" s="122"/>
      <c r="AF631" s="122"/>
      <c r="AG631" s="122"/>
      <c r="AH631" s="122"/>
      <c r="AI631" s="122"/>
      <c r="AJ631" s="122"/>
      <c r="AK631" s="122"/>
      <c r="AL631" s="122"/>
      <c r="AM631" s="122"/>
      <c r="AN631" s="122"/>
      <c r="AO631" s="122"/>
      <c r="AP631" s="122"/>
      <c r="AQ631" s="122"/>
      <c r="AR631" s="122"/>
      <c r="AS631" s="122"/>
      <c r="AT631" s="122"/>
      <c r="AU631" s="122"/>
      <c r="AV631" s="122"/>
      <c r="AW631" s="122"/>
      <c r="AX631" s="122"/>
      <c r="AY631" s="122"/>
    </row>
    <row r="632">
      <c r="A632" s="78"/>
      <c r="B632" s="78"/>
      <c r="C632" s="78"/>
      <c r="D632" s="78"/>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c r="AA632" s="122"/>
      <c r="AB632" s="122"/>
      <c r="AC632" s="122"/>
      <c r="AD632" s="122"/>
      <c r="AE632" s="122"/>
      <c r="AF632" s="122"/>
      <c r="AG632" s="122"/>
      <c r="AH632" s="122"/>
      <c r="AI632" s="122"/>
      <c r="AJ632" s="122"/>
      <c r="AK632" s="122"/>
      <c r="AL632" s="122"/>
      <c r="AM632" s="122"/>
      <c r="AN632" s="122"/>
      <c r="AO632" s="122"/>
      <c r="AP632" s="122"/>
      <c r="AQ632" s="122"/>
      <c r="AR632" s="122"/>
      <c r="AS632" s="122"/>
      <c r="AT632" s="122"/>
      <c r="AU632" s="122"/>
      <c r="AV632" s="122"/>
      <c r="AW632" s="122"/>
      <c r="AX632" s="122"/>
      <c r="AY632" s="122"/>
    </row>
    <row r="633">
      <c r="A633" s="78"/>
      <c r="B633" s="78"/>
      <c r="C633" s="78"/>
      <c r="D633" s="78"/>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c r="AA633" s="122"/>
      <c r="AB633" s="122"/>
      <c r="AC633" s="122"/>
      <c r="AD633" s="122"/>
      <c r="AE633" s="122"/>
      <c r="AF633" s="122"/>
      <c r="AG633" s="122"/>
      <c r="AH633" s="122"/>
      <c r="AI633" s="122"/>
      <c r="AJ633" s="122"/>
      <c r="AK633" s="122"/>
      <c r="AL633" s="122"/>
      <c r="AM633" s="122"/>
      <c r="AN633" s="122"/>
      <c r="AO633" s="122"/>
      <c r="AP633" s="122"/>
      <c r="AQ633" s="122"/>
      <c r="AR633" s="122"/>
      <c r="AS633" s="122"/>
      <c r="AT633" s="122"/>
      <c r="AU633" s="122"/>
      <c r="AV633" s="122"/>
      <c r="AW633" s="122"/>
      <c r="AX633" s="122"/>
      <c r="AY633" s="122"/>
    </row>
    <row r="634">
      <c r="A634" s="78"/>
      <c r="B634" s="78"/>
      <c r="C634" s="78"/>
      <c r="D634" s="78"/>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c r="AA634" s="122"/>
      <c r="AB634" s="122"/>
      <c r="AC634" s="122"/>
      <c r="AD634" s="122"/>
      <c r="AE634" s="122"/>
      <c r="AF634" s="122"/>
      <c r="AG634" s="122"/>
      <c r="AH634" s="122"/>
      <c r="AI634" s="122"/>
      <c r="AJ634" s="122"/>
      <c r="AK634" s="122"/>
      <c r="AL634" s="122"/>
      <c r="AM634" s="122"/>
      <c r="AN634" s="122"/>
      <c r="AO634" s="122"/>
      <c r="AP634" s="122"/>
      <c r="AQ634" s="122"/>
      <c r="AR634" s="122"/>
      <c r="AS634" s="122"/>
      <c r="AT634" s="122"/>
      <c r="AU634" s="122"/>
      <c r="AV634" s="122"/>
      <c r="AW634" s="122"/>
      <c r="AX634" s="122"/>
      <c r="AY634" s="122"/>
    </row>
    <row r="635">
      <c r="A635" s="78"/>
      <c r="B635" s="78"/>
      <c r="C635" s="78"/>
      <c r="D635" s="78"/>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c r="AA635" s="122"/>
      <c r="AB635" s="122"/>
      <c r="AC635" s="122"/>
      <c r="AD635" s="122"/>
      <c r="AE635" s="122"/>
      <c r="AF635" s="122"/>
      <c r="AG635" s="122"/>
      <c r="AH635" s="122"/>
      <c r="AI635" s="122"/>
      <c r="AJ635" s="122"/>
      <c r="AK635" s="122"/>
      <c r="AL635" s="122"/>
      <c r="AM635" s="122"/>
      <c r="AN635" s="122"/>
      <c r="AO635" s="122"/>
      <c r="AP635" s="122"/>
      <c r="AQ635" s="122"/>
      <c r="AR635" s="122"/>
      <c r="AS635" s="122"/>
      <c r="AT635" s="122"/>
      <c r="AU635" s="122"/>
      <c r="AV635" s="122"/>
      <c r="AW635" s="122"/>
      <c r="AX635" s="122"/>
      <c r="AY635" s="122"/>
    </row>
    <row r="636">
      <c r="A636" s="78"/>
      <c r="B636" s="78"/>
      <c r="C636" s="78"/>
      <c r="D636" s="78"/>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c r="AA636" s="122"/>
      <c r="AB636" s="122"/>
      <c r="AC636" s="122"/>
      <c r="AD636" s="122"/>
      <c r="AE636" s="122"/>
      <c r="AF636" s="122"/>
      <c r="AG636" s="122"/>
      <c r="AH636" s="122"/>
      <c r="AI636" s="122"/>
      <c r="AJ636" s="122"/>
      <c r="AK636" s="122"/>
      <c r="AL636" s="122"/>
      <c r="AM636" s="122"/>
      <c r="AN636" s="122"/>
      <c r="AO636" s="122"/>
      <c r="AP636" s="122"/>
      <c r="AQ636" s="122"/>
      <c r="AR636" s="122"/>
      <c r="AS636" s="122"/>
      <c r="AT636" s="122"/>
      <c r="AU636" s="122"/>
      <c r="AV636" s="122"/>
      <c r="AW636" s="122"/>
      <c r="AX636" s="122"/>
      <c r="AY636" s="122"/>
    </row>
    <row r="637">
      <c r="A637" s="78"/>
      <c r="B637" s="78"/>
      <c r="C637" s="78"/>
      <c r="D637" s="78"/>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c r="AA637" s="122"/>
      <c r="AB637" s="122"/>
      <c r="AC637" s="122"/>
      <c r="AD637" s="122"/>
      <c r="AE637" s="122"/>
      <c r="AF637" s="122"/>
      <c r="AG637" s="122"/>
      <c r="AH637" s="122"/>
      <c r="AI637" s="122"/>
      <c r="AJ637" s="122"/>
      <c r="AK637" s="122"/>
      <c r="AL637" s="122"/>
      <c r="AM637" s="122"/>
      <c r="AN637" s="122"/>
      <c r="AO637" s="122"/>
      <c r="AP637" s="122"/>
      <c r="AQ637" s="122"/>
      <c r="AR637" s="122"/>
      <c r="AS637" s="122"/>
      <c r="AT637" s="122"/>
      <c r="AU637" s="122"/>
      <c r="AV637" s="122"/>
      <c r="AW637" s="122"/>
      <c r="AX637" s="122"/>
      <c r="AY637" s="122"/>
    </row>
    <row r="638">
      <c r="A638" s="78"/>
      <c r="B638" s="78"/>
      <c r="C638" s="78"/>
      <c r="D638" s="78"/>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c r="AA638" s="122"/>
      <c r="AB638" s="122"/>
      <c r="AC638" s="122"/>
      <c r="AD638" s="122"/>
      <c r="AE638" s="122"/>
      <c r="AF638" s="122"/>
      <c r="AG638" s="122"/>
      <c r="AH638" s="122"/>
      <c r="AI638" s="122"/>
      <c r="AJ638" s="122"/>
      <c r="AK638" s="122"/>
      <c r="AL638" s="122"/>
      <c r="AM638" s="122"/>
      <c r="AN638" s="122"/>
      <c r="AO638" s="122"/>
      <c r="AP638" s="122"/>
      <c r="AQ638" s="122"/>
      <c r="AR638" s="122"/>
      <c r="AS638" s="122"/>
      <c r="AT638" s="122"/>
      <c r="AU638" s="122"/>
      <c r="AV638" s="122"/>
      <c r="AW638" s="122"/>
      <c r="AX638" s="122"/>
      <c r="AY638" s="122"/>
    </row>
    <row r="639">
      <c r="A639" s="78"/>
      <c r="B639" s="78"/>
      <c r="C639" s="78"/>
      <c r="D639" s="78"/>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c r="AA639" s="122"/>
      <c r="AB639" s="122"/>
      <c r="AC639" s="122"/>
      <c r="AD639" s="122"/>
      <c r="AE639" s="122"/>
      <c r="AF639" s="122"/>
      <c r="AG639" s="122"/>
      <c r="AH639" s="122"/>
      <c r="AI639" s="122"/>
      <c r="AJ639" s="122"/>
      <c r="AK639" s="122"/>
      <c r="AL639" s="122"/>
      <c r="AM639" s="122"/>
      <c r="AN639" s="122"/>
      <c r="AO639" s="122"/>
      <c r="AP639" s="122"/>
      <c r="AQ639" s="122"/>
      <c r="AR639" s="122"/>
      <c r="AS639" s="122"/>
      <c r="AT639" s="122"/>
      <c r="AU639" s="122"/>
      <c r="AV639" s="122"/>
      <c r="AW639" s="122"/>
      <c r="AX639" s="122"/>
      <c r="AY639" s="122"/>
    </row>
    <row r="640">
      <c r="A640" s="78"/>
      <c r="B640" s="78"/>
      <c r="C640" s="78"/>
      <c r="D640" s="78"/>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c r="AC640" s="122"/>
      <c r="AD640" s="122"/>
      <c r="AE640" s="122"/>
      <c r="AF640" s="122"/>
      <c r="AG640" s="122"/>
      <c r="AH640" s="122"/>
      <c r="AI640" s="122"/>
      <c r="AJ640" s="122"/>
      <c r="AK640" s="122"/>
      <c r="AL640" s="122"/>
      <c r="AM640" s="122"/>
      <c r="AN640" s="122"/>
      <c r="AO640" s="122"/>
      <c r="AP640" s="122"/>
      <c r="AQ640" s="122"/>
      <c r="AR640" s="122"/>
      <c r="AS640" s="122"/>
      <c r="AT640" s="122"/>
      <c r="AU640" s="122"/>
      <c r="AV640" s="122"/>
      <c r="AW640" s="122"/>
      <c r="AX640" s="122"/>
      <c r="AY640" s="122"/>
    </row>
    <row r="641">
      <c r="A641" s="78"/>
      <c r="B641" s="78"/>
      <c r="C641" s="78"/>
      <c r="D641" s="78"/>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c r="AA641" s="122"/>
      <c r="AB641" s="122"/>
      <c r="AC641" s="122"/>
      <c r="AD641" s="122"/>
      <c r="AE641" s="122"/>
      <c r="AF641" s="122"/>
      <c r="AG641" s="122"/>
      <c r="AH641" s="122"/>
      <c r="AI641" s="122"/>
      <c r="AJ641" s="122"/>
      <c r="AK641" s="122"/>
      <c r="AL641" s="122"/>
      <c r="AM641" s="122"/>
      <c r="AN641" s="122"/>
      <c r="AO641" s="122"/>
      <c r="AP641" s="122"/>
      <c r="AQ641" s="122"/>
      <c r="AR641" s="122"/>
      <c r="AS641" s="122"/>
      <c r="AT641" s="122"/>
      <c r="AU641" s="122"/>
      <c r="AV641" s="122"/>
      <c r="AW641" s="122"/>
      <c r="AX641" s="122"/>
      <c r="AY641" s="122"/>
    </row>
    <row r="642">
      <c r="A642" s="78"/>
      <c r="B642" s="78"/>
      <c r="C642" s="78"/>
      <c r="D642" s="78"/>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c r="AF642" s="122"/>
      <c r="AG642" s="122"/>
      <c r="AH642" s="122"/>
      <c r="AI642" s="122"/>
      <c r="AJ642" s="122"/>
      <c r="AK642" s="122"/>
      <c r="AL642" s="122"/>
      <c r="AM642" s="122"/>
      <c r="AN642" s="122"/>
      <c r="AO642" s="122"/>
      <c r="AP642" s="122"/>
      <c r="AQ642" s="122"/>
      <c r="AR642" s="122"/>
      <c r="AS642" s="122"/>
      <c r="AT642" s="122"/>
      <c r="AU642" s="122"/>
      <c r="AV642" s="122"/>
      <c r="AW642" s="122"/>
      <c r="AX642" s="122"/>
      <c r="AY642" s="122"/>
    </row>
    <row r="643">
      <c r="A643" s="78"/>
      <c r="B643" s="78"/>
      <c r="C643" s="78"/>
      <c r="D643" s="78"/>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c r="AA643" s="122"/>
      <c r="AB643" s="122"/>
      <c r="AC643" s="122"/>
      <c r="AD643" s="122"/>
      <c r="AE643" s="122"/>
      <c r="AF643" s="122"/>
      <c r="AG643" s="122"/>
      <c r="AH643" s="122"/>
      <c r="AI643" s="122"/>
      <c r="AJ643" s="122"/>
      <c r="AK643" s="122"/>
      <c r="AL643" s="122"/>
      <c r="AM643" s="122"/>
      <c r="AN643" s="122"/>
      <c r="AO643" s="122"/>
      <c r="AP643" s="122"/>
      <c r="AQ643" s="122"/>
      <c r="AR643" s="122"/>
      <c r="AS643" s="122"/>
      <c r="AT643" s="122"/>
      <c r="AU643" s="122"/>
      <c r="AV643" s="122"/>
      <c r="AW643" s="122"/>
      <c r="AX643" s="122"/>
      <c r="AY643" s="122"/>
    </row>
    <row r="644">
      <c r="A644" s="78"/>
      <c r="B644" s="78"/>
      <c r="C644" s="78"/>
      <c r="D644" s="78"/>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c r="AC644" s="122"/>
      <c r="AD644" s="122"/>
      <c r="AE644" s="122"/>
      <c r="AF644" s="122"/>
      <c r="AG644" s="122"/>
      <c r="AH644" s="122"/>
      <c r="AI644" s="122"/>
      <c r="AJ644" s="122"/>
      <c r="AK644" s="122"/>
      <c r="AL644" s="122"/>
      <c r="AM644" s="122"/>
      <c r="AN644" s="122"/>
      <c r="AO644" s="122"/>
      <c r="AP644" s="122"/>
      <c r="AQ644" s="122"/>
      <c r="AR644" s="122"/>
      <c r="AS644" s="122"/>
      <c r="AT644" s="122"/>
      <c r="AU644" s="122"/>
      <c r="AV644" s="122"/>
      <c r="AW644" s="122"/>
      <c r="AX644" s="122"/>
      <c r="AY644" s="122"/>
    </row>
    <row r="645">
      <c r="A645" s="78"/>
      <c r="B645" s="78"/>
      <c r="C645" s="78"/>
      <c r="D645" s="78"/>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c r="AA645" s="122"/>
      <c r="AB645" s="122"/>
      <c r="AC645" s="122"/>
      <c r="AD645" s="122"/>
      <c r="AE645" s="122"/>
      <c r="AF645" s="122"/>
      <c r="AG645" s="122"/>
      <c r="AH645" s="122"/>
      <c r="AI645" s="122"/>
      <c r="AJ645" s="122"/>
      <c r="AK645" s="122"/>
      <c r="AL645" s="122"/>
      <c r="AM645" s="122"/>
      <c r="AN645" s="122"/>
      <c r="AO645" s="122"/>
      <c r="AP645" s="122"/>
      <c r="AQ645" s="122"/>
      <c r="AR645" s="122"/>
      <c r="AS645" s="122"/>
      <c r="AT645" s="122"/>
      <c r="AU645" s="122"/>
      <c r="AV645" s="122"/>
      <c r="AW645" s="122"/>
      <c r="AX645" s="122"/>
      <c r="AY645" s="122"/>
    </row>
    <row r="646">
      <c r="A646" s="78"/>
      <c r="B646" s="78"/>
      <c r="C646" s="78"/>
      <c r="D646" s="78"/>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c r="AA646" s="122"/>
      <c r="AB646" s="122"/>
      <c r="AC646" s="122"/>
      <c r="AD646" s="122"/>
      <c r="AE646" s="122"/>
      <c r="AF646" s="122"/>
      <c r="AG646" s="122"/>
      <c r="AH646" s="122"/>
      <c r="AI646" s="122"/>
      <c r="AJ646" s="122"/>
      <c r="AK646" s="122"/>
      <c r="AL646" s="122"/>
      <c r="AM646" s="122"/>
      <c r="AN646" s="122"/>
      <c r="AO646" s="122"/>
      <c r="AP646" s="122"/>
      <c r="AQ646" s="122"/>
      <c r="AR646" s="122"/>
      <c r="AS646" s="122"/>
      <c r="AT646" s="122"/>
      <c r="AU646" s="122"/>
      <c r="AV646" s="122"/>
      <c r="AW646" s="122"/>
      <c r="AX646" s="122"/>
      <c r="AY646" s="122"/>
    </row>
    <row r="647">
      <c r="A647" s="78"/>
      <c r="B647" s="78"/>
      <c r="C647" s="78"/>
      <c r="D647" s="78"/>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c r="AA647" s="122"/>
      <c r="AB647" s="122"/>
      <c r="AC647" s="122"/>
      <c r="AD647" s="122"/>
      <c r="AE647" s="122"/>
      <c r="AF647" s="122"/>
      <c r="AG647" s="122"/>
      <c r="AH647" s="122"/>
      <c r="AI647" s="122"/>
      <c r="AJ647" s="122"/>
      <c r="AK647" s="122"/>
      <c r="AL647" s="122"/>
      <c r="AM647" s="122"/>
      <c r="AN647" s="122"/>
      <c r="AO647" s="122"/>
      <c r="AP647" s="122"/>
      <c r="AQ647" s="122"/>
      <c r="AR647" s="122"/>
      <c r="AS647" s="122"/>
      <c r="AT647" s="122"/>
      <c r="AU647" s="122"/>
      <c r="AV647" s="122"/>
      <c r="AW647" s="122"/>
      <c r="AX647" s="122"/>
      <c r="AY647" s="122"/>
    </row>
    <row r="648">
      <c r="A648" s="78"/>
      <c r="B648" s="78"/>
      <c r="C648" s="78"/>
      <c r="D648" s="78"/>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c r="AA648" s="122"/>
      <c r="AB648" s="122"/>
      <c r="AC648" s="122"/>
      <c r="AD648" s="122"/>
      <c r="AE648" s="122"/>
      <c r="AF648" s="122"/>
      <c r="AG648" s="122"/>
      <c r="AH648" s="122"/>
      <c r="AI648" s="122"/>
      <c r="AJ648" s="122"/>
      <c r="AK648" s="122"/>
      <c r="AL648" s="122"/>
      <c r="AM648" s="122"/>
      <c r="AN648" s="122"/>
      <c r="AO648" s="122"/>
      <c r="AP648" s="122"/>
      <c r="AQ648" s="122"/>
      <c r="AR648" s="122"/>
      <c r="AS648" s="122"/>
      <c r="AT648" s="122"/>
      <c r="AU648" s="122"/>
      <c r="AV648" s="122"/>
      <c r="AW648" s="122"/>
      <c r="AX648" s="122"/>
      <c r="AY648" s="122"/>
    </row>
    <row r="649">
      <c r="A649" s="78"/>
      <c r="B649" s="78"/>
      <c r="C649" s="78"/>
      <c r="D649" s="78"/>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c r="AA649" s="122"/>
      <c r="AB649" s="122"/>
      <c r="AC649" s="122"/>
      <c r="AD649" s="122"/>
      <c r="AE649" s="122"/>
      <c r="AF649" s="122"/>
      <c r="AG649" s="122"/>
      <c r="AH649" s="122"/>
      <c r="AI649" s="122"/>
      <c r="AJ649" s="122"/>
      <c r="AK649" s="122"/>
      <c r="AL649" s="122"/>
      <c r="AM649" s="122"/>
      <c r="AN649" s="122"/>
      <c r="AO649" s="122"/>
      <c r="AP649" s="122"/>
      <c r="AQ649" s="122"/>
      <c r="AR649" s="122"/>
      <c r="AS649" s="122"/>
      <c r="AT649" s="122"/>
      <c r="AU649" s="122"/>
      <c r="AV649" s="122"/>
      <c r="AW649" s="122"/>
      <c r="AX649" s="122"/>
      <c r="AY649" s="122"/>
    </row>
    <row r="650">
      <c r="A650" s="78"/>
      <c r="B650" s="78"/>
      <c r="C650" s="78"/>
      <c r="D650" s="78"/>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c r="AF650" s="122"/>
      <c r="AG650" s="122"/>
      <c r="AH650" s="122"/>
      <c r="AI650" s="122"/>
      <c r="AJ650" s="122"/>
      <c r="AK650" s="122"/>
      <c r="AL650" s="122"/>
      <c r="AM650" s="122"/>
      <c r="AN650" s="122"/>
      <c r="AO650" s="122"/>
      <c r="AP650" s="122"/>
      <c r="AQ650" s="122"/>
      <c r="AR650" s="122"/>
      <c r="AS650" s="122"/>
      <c r="AT650" s="122"/>
      <c r="AU650" s="122"/>
      <c r="AV650" s="122"/>
      <c r="AW650" s="122"/>
      <c r="AX650" s="122"/>
      <c r="AY650" s="122"/>
    </row>
    <row r="651">
      <c r="A651" s="78"/>
      <c r="B651" s="78"/>
      <c r="C651" s="78"/>
      <c r="D651" s="78"/>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c r="AA651" s="122"/>
      <c r="AB651" s="122"/>
      <c r="AC651" s="122"/>
      <c r="AD651" s="122"/>
      <c r="AE651" s="122"/>
      <c r="AF651" s="122"/>
      <c r="AG651" s="122"/>
      <c r="AH651" s="122"/>
      <c r="AI651" s="122"/>
      <c r="AJ651" s="122"/>
      <c r="AK651" s="122"/>
      <c r="AL651" s="122"/>
      <c r="AM651" s="122"/>
      <c r="AN651" s="122"/>
      <c r="AO651" s="122"/>
      <c r="AP651" s="122"/>
      <c r="AQ651" s="122"/>
      <c r="AR651" s="122"/>
      <c r="AS651" s="122"/>
      <c r="AT651" s="122"/>
      <c r="AU651" s="122"/>
      <c r="AV651" s="122"/>
      <c r="AW651" s="122"/>
      <c r="AX651" s="122"/>
      <c r="AY651" s="122"/>
    </row>
    <row r="652">
      <c r="A652" s="78"/>
      <c r="B652" s="78"/>
      <c r="C652" s="78"/>
      <c r="D652" s="78"/>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c r="AA652" s="122"/>
      <c r="AB652" s="122"/>
      <c r="AC652" s="122"/>
      <c r="AD652" s="122"/>
      <c r="AE652" s="122"/>
      <c r="AF652" s="122"/>
      <c r="AG652" s="122"/>
      <c r="AH652" s="122"/>
      <c r="AI652" s="122"/>
      <c r="AJ652" s="122"/>
      <c r="AK652" s="122"/>
      <c r="AL652" s="122"/>
      <c r="AM652" s="122"/>
      <c r="AN652" s="122"/>
      <c r="AO652" s="122"/>
      <c r="AP652" s="122"/>
      <c r="AQ652" s="122"/>
      <c r="AR652" s="122"/>
      <c r="AS652" s="122"/>
      <c r="AT652" s="122"/>
      <c r="AU652" s="122"/>
      <c r="AV652" s="122"/>
      <c r="AW652" s="122"/>
      <c r="AX652" s="122"/>
      <c r="AY652" s="122"/>
    </row>
    <row r="653">
      <c r="A653" s="78"/>
      <c r="B653" s="78"/>
      <c r="C653" s="78"/>
      <c r="D653" s="78"/>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c r="AA653" s="122"/>
      <c r="AB653" s="122"/>
      <c r="AC653" s="122"/>
      <c r="AD653" s="122"/>
      <c r="AE653" s="122"/>
      <c r="AF653" s="122"/>
      <c r="AG653" s="122"/>
      <c r="AH653" s="122"/>
      <c r="AI653" s="122"/>
      <c r="AJ653" s="122"/>
      <c r="AK653" s="122"/>
      <c r="AL653" s="122"/>
      <c r="AM653" s="122"/>
      <c r="AN653" s="122"/>
      <c r="AO653" s="122"/>
      <c r="AP653" s="122"/>
      <c r="AQ653" s="122"/>
      <c r="AR653" s="122"/>
      <c r="AS653" s="122"/>
      <c r="AT653" s="122"/>
      <c r="AU653" s="122"/>
      <c r="AV653" s="122"/>
      <c r="AW653" s="122"/>
      <c r="AX653" s="122"/>
      <c r="AY653" s="122"/>
    </row>
    <row r="654">
      <c r="A654" s="78"/>
      <c r="B654" s="78"/>
      <c r="C654" s="78"/>
      <c r="D654" s="78"/>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c r="AA654" s="122"/>
      <c r="AB654" s="122"/>
      <c r="AC654" s="122"/>
      <c r="AD654" s="122"/>
      <c r="AE654" s="122"/>
      <c r="AF654" s="122"/>
      <c r="AG654" s="122"/>
      <c r="AH654" s="122"/>
      <c r="AI654" s="122"/>
      <c r="AJ654" s="122"/>
      <c r="AK654" s="122"/>
      <c r="AL654" s="122"/>
      <c r="AM654" s="122"/>
      <c r="AN654" s="122"/>
      <c r="AO654" s="122"/>
      <c r="AP654" s="122"/>
      <c r="AQ654" s="122"/>
      <c r="AR654" s="122"/>
      <c r="AS654" s="122"/>
      <c r="AT654" s="122"/>
      <c r="AU654" s="122"/>
      <c r="AV654" s="122"/>
      <c r="AW654" s="122"/>
      <c r="AX654" s="122"/>
      <c r="AY654" s="122"/>
    </row>
    <row r="655">
      <c r="A655" s="78"/>
      <c r="B655" s="78"/>
      <c r="C655" s="78"/>
      <c r="D655" s="78"/>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c r="AA655" s="122"/>
      <c r="AB655" s="122"/>
      <c r="AC655" s="122"/>
      <c r="AD655" s="122"/>
      <c r="AE655" s="122"/>
      <c r="AF655" s="122"/>
      <c r="AG655" s="122"/>
      <c r="AH655" s="122"/>
      <c r="AI655" s="122"/>
      <c r="AJ655" s="122"/>
      <c r="AK655" s="122"/>
      <c r="AL655" s="122"/>
      <c r="AM655" s="122"/>
      <c r="AN655" s="122"/>
      <c r="AO655" s="122"/>
      <c r="AP655" s="122"/>
      <c r="AQ655" s="122"/>
      <c r="AR655" s="122"/>
      <c r="AS655" s="122"/>
      <c r="AT655" s="122"/>
      <c r="AU655" s="122"/>
      <c r="AV655" s="122"/>
      <c r="AW655" s="122"/>
      <c r="AX655" s="122"/>
      <c r="AY655" s="122"/>
    </row>
    <row r="656">
      <c r="A656" s="78"/>
      <c r="B656" s="78"/>
      <c r="C656" s="78"/>
      <c r="D656" s="78"/>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c r="AC656" s="122"/>
      <c r="AD656" s="122"/>
      <c r="AE656" s="122"/>
      <c r="AF656" s="122"/>
      <c r="AG656" s="122"/>
      <c r="AH656" s="122"/>
      <c r="AI656" s="122"/>
      <c r="AJ656" s="122"/>
      <c r="AK656" s="122"/>
      <c r="AL656" s="122"/>
      <c r="AM656" s="122"/>
      <c r="AN656" s="122"/>
      <c r="AO656" s="122"/>
      <c r="AP656" s="122"/>
      <c r="AQ656" s="122"/>
      <c r="AR656" s="122"/>
      <c r="AS656" s="122"/>
      <c r="AT656" s="122"/>
      <c r="AU656" s="122"/>
      <c r="AV656" s="122"/>
      <c r="AW656" s="122"/>
      <c r="AX656" s="122"/>
      <c r="AY656" s="122"/>
    </row>
    <row r="657">
      <c r="A657" s="78"/>
      <c r="B657" s="78"/>
      <c r="C657" s="78"/>
      <c r="D657" s="78"/>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c r="AA657" s="122"/>
      <c r="AB657" s="122"/>
      <c r="AC657" s="122"/>
      <c r="AD657" s="122"/>
      <c r="AE657" s="122"/>
      <c r="AF657" s="122"/>
      <c r="AG657" s="122"/>
      <c r="AH657" s="122"/>
      <c r="AI657" s="122"/>
      <c r="AJ657" s="122"/>
      <c r="AK657" s="122"/>
      <c r="AL657" s="122"/>
      <c r="AM657" s="122"/>
      <c r="AN657" s="122"/>
      <c r="AO657" s="122"/>
      <c r="AP657" s="122"/>
      <c r="AQ657" s="122"/>
      <c r="AR657" s="122"/>
      <c r="AS657" s="122"/>
      <c r="AT657" s="122"/>
      <c r="AU657" s="122"/>
      <c r="AV657" s="122"/>
      <c r="AW657" s="122"/>
      <c r="AX657" s="122"/>
      <c r="AY657" s="122"/>
    </row>
    <row r="658">
      <c r="A658" s="78"/>
      <c r="B658" s="78"/>
      <c r="C658" s="78"/>
      <c r="D658" s="78"/>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c r="AA658" s="122"/>
      <c r="AB658" s="122"/>
      <c r="AC658" s="122"/>
      <c r="AD658" s="122"/>
      <c r="AE658" s="122"/>
      <c r="AF658" s="122"/>
      <c r="AG658" s="122"/>
      <c r="AH658" s="122"/>
      <c r="AI658" s="122"/>
      <c r="AJ658" s="122"/>
      <c r="AK658" s="122"/>
      <c r="AL658" s="122"/>
      <c r="AM658" s="122"/>
      <c r="AN658" s="122"/>
      <c r="AO658" s="122"/>
      <c r="AP658" s="122"/>
      <c r="AQ658" s="122"/>
      <c r="AR658" s="122"/>
      <c r="AS658" s="122"/>
      <c r="AT658" s="122"/>
      <c r="AU658" s="122"/>
      <c r="AV658" s="122"/>
      <c r="AW658" s="122"/>
      <c r="AX658" s="122"/>
      <c r="AY658" s="122"/>
    </row>
    <row r="659">
      <c r="A659" s="78"/>
      <c r="B659" s="78"/>
      <c r="C659" s="78"/>
      <c r="D659" s="78"/>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c r="AC659" s="122"/>
      <c r="AD659" s="122"/>
      <c r="AE659" s="122"/>
      <c r="AF659" s="122"/>
      <c r="AG659" s="122"/>
      <c r="AH659" s="122"/>
      <c r="AI659" s="122"/>
      <c r="AJ659" s="122"/>
      <c r="AK659" s="122"/>
      <c r="AL659" s="122"/>
      <c r="AM659" s="122"/>
      <c r="AN659" s="122"/>
      <c r="AO659" s="122"/>
      <c r="AP659" s="122"/>
      <c r="AQ659" s="122"/>
      <c r="AR659" s="122"/>
      <c r="AS659" s="122"/>
      <c r="AT659" s="122"/>
      <c r="AU659" s="122"/>
      <c r="AV659" s="122"/>
      <c r="AW659" s="122"/>
      <c r="AX659" s="122"/>
      <c r="AY659" s="122"/>
    </row>
    <row r="660">
      <c r="A660" s="78"/>
      <c r="B660" s="78"/>
      <c r="C660" s="78"/>
      <c r="D660" s="78"/>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c r="AA660" s="122"/>
      <c r="AB660" s="122"/>
      <c r="AC660" s="122"/>
      <c r="AD660" s="122"/>
      <c r="AE660" s="122"/>
      <c r="AF660" s="122"/>
      <c r="AG660" s="122"/>
      <c r="AH660" s="122"/>
      <c r="AI660" s="122"/>
      <c r="AJ660" s="122"/>
      <c r="AK660" s="122"/>
      <c r="AL660" s="122"/>
      <c r="AM660" s="122"/>
      <c r="AN660" s="122"/>
      <c r="AO660" s="122"/>
      <c r="AP660" s="122"/>
      <c r="AQ660" s="122"/>
      <c r="AR660" s="122"/>
      <c r="AS660" s="122"/>
      <c r="AT660" s="122"/>
      <c r="AU660" s="122"/>
      <c r="AV660" s="122"/>
      <c r="AW660" s="122"/>
      <c r="AX660" s="122"/>
      <c r="AY660" s="122"/>
    </row>
    <row r="661">
      <c r="A661" s="78"/>
      <c r="B661" s="78"/>
      <c r="C661" s="78"/>
      <c r="D661" s="78"/>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c r="AA661" s="122"/>
      <c r="AB661" s="122"/>
      <c r="AC661" s="122"/>
      <c r="AD661" s="122"/>
      <c r="AE661" s="122"/>
      <c r="AF661" s="122"/>
      <c r="AG661" s="122"/>
      <c r="AH661" s="122"/>
      <c r="AI661" s="122"/>
      <c r="AJ661" s="122"/>
      <c r="AK661" s="122"/>
      <c r="AL661" s="122"/>
      <c r="AM661" s="122"/>
      <c r="AN661" s="122"/>
      <c r="AO661" s="122"/>
      <c r="AP661" s="122"/>
      <c r="AQ661" s="122"/>
      <c r="AR661" s="122"/>
      <c r="AS661" s="122"/>
      <c r="AT661" s="122"/>
      <c r="AU661" s="122"/>
      <c r="AV661" s="122"/>
      <c r="AW661" s="122"/>
      <c r="AX661" s="122"/>
      <c r="AY661" s="122"/>
    </row>
    <row r="662">
      <c r="A662" s="78"/>
      <c r="B662" s="78"/>
      <c r="C662" s="78"/>
      <c r="D662" s="78"/>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c r="AA662" s="122"/>
      <c r="AB662" s="122"/>
      <c r="AC662" s="122"/>
      <c r="AD662" s="122"/>
      <c r="AE662" s="122"/>
      <c r="AF662" s="122"/>
      <c r="AG662" s="122"/>
      <c r="AH662" s="122"/>
      <c r="AI662" s="122"/>
      <c r="AJ662" s="122"/>
      <c r="AK662" s="122"/>
      <c r="AL662" s="122"/>
      <c r="AM662" s="122"/>
      <c r="AN662" s="122"/>
      <c r="AO662" s="122"/>
      <c r="AP662" s="122"/>
      <c r="AQ662" s="122"/>
      <c r="AR662" s="122"/>
      <c r="AS662" s="122"/>
      <c r="AT662" s="122"/>
      <c r="AU662" s="122"/>
      <c r="AV662" s="122"/>
      <c r="AW662" s="122"/>
      <c r="AX662" s="122"/>
      <c r="AY662" s="122"/>
    </row>
    <row r="663">
      <c r="A663" s="78"/>
      <c r="B663" s="78"/>
      <c r="C663" s="78"/>
      <c r="D663" s="78"/>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c r="AC663" s="122"/>
      <c r="AD663" s="122"/>
      <c r="AE663" s="122"/>
      <c r="AF663" s="122"/>
      <c r="AG663" s="122"/>
      <c r="AH663" s="122"/>
      <c r="AI663" s="122"/>
      <c r="AJ663" s="122"/>
      <c r="AK663" s="122"/>
      <c r="AL663" s="122"/>
      <c r="AM663" s="122"/>
      <c r="AN663" s="122"/>
      <c r="AO663" s="122"/>
      <c r="AP663" s="122"/>
      <c r="AQ663" s="122"/>
      <c r="AR663" s="122"/>
      <c r="AS663" s="122"/>
      <c r="AT663" s="122"/>
      <c r="AU663" s="122"/>
      <c r="AV663" s="122"/>
      <c r="AW663" s="122"/>
      <c r="AX663" s="122"/>
      <c r="AY663" s="122"/>
    </row>
    <row r="664">
      <c r="A664" s="78"/>
      <c r="B664" s="78"/>
      <c r="C664" s="78"/>
      <c r="D664" s="78"/>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c r="AA664" s="122"/>
      <c r="AB664" s="122"/>
      <c r="AC664" s="122"/>
      <c r="AD664" s="122"/>
      <c r="AE664" s="122"/>
      <c r="AF664" s="122"/>
      <c r="AG664" s="122"/>
      <c r="AH664" s="122"/>
      <c r="AI664" s="122"/>
      <c r="AJ664" s="122"/>
      <c r="AK664" s="122"/>
      <c r="AL664" s="122"/>
      <c r="AM664" s="122"/>
      <c r="AN664" s="122"/>
      <c r="AO664" s="122"/>
      <c r="AP664" s="122"/>
      <c r="AQ664" s="122"/>
      <c r="AR664" s="122"/>
      <c r="AS664" s="122"/>
      <c r="AT664" s="122"/>
      <c r="AU664" s="122"/>
      <c r="AV664" s="122"/>
      <c r="AW664" s="122"/>
      <c r="AX664" s="122"/>
      <c r="AY664" s="122"/>
    </row>
    <row r="665">
      <c r="A665" s="78"/>
      <c r="B665" s="78"/>
      <c r="C665" s="78"/>
      <c r="D665" s="78"/>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c r="AA665" s="122"/>
      <c r="AB665" s="122"/>
      <c r="AC665" s="122"/>
      <c r="AD665" s="122"/>
      <c r="AE665" s="122"/>
      <c r="AF665" s="122"/>
      <c r="AG665" s="122"/>
      <c r="AH665" s="122"/>
      <c r="AI665" s="122"/>
      <c r="AJ665" s="122"/>
      <c r="AK665" s="122"/>
      <c r="AL665" s="122"/>
      <c r="AM665" s="122"/>
      <c r="AN665" s="122"/>
      <c r="AO665" s="122"/>
      <c r="AP665" s="122"/>
      <c r="AQ665" s="122"/>
      <c r="AR665" s="122"/>
      <c r="AS665" s="122"/>
      <c r="AT665" s="122"/>
      <c r="AU665" s="122"/>
      <c r="AV665" s="122"/>
      <c r="AW665" s="122"/>
      <c r="AX665" s="122"/>
      <c r="AY665" s="122"/>
    </row>
    <row r="666">
      <c r="A666" s="78"/>
      <c r="B666" s="78"/>
      <c r="C666" s="78"/>
      <c r="D666" s="78"/>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c r="AA666" s="122"/>
      <c r="AB666" s="122"/>
      <c r="AC666" s="122"/>
      <c r="AD666" s="122"/>
      <c r="AE666" s="122"/>
      <c r="AF666" s="122"/>
      <c r="AG666" s="122"/>
      <c r="AH666" s="122"/>
      <c r="AI666" s="122"/>
      <c r="AJ666" s="122"/>
      <c r="AK666" s="122"/>
      <c r="AL666" s="122"/>
      <c r="AM666" s="122"/>
      <c r="AN666" s="122"/>
      <c r="AO666" s="122"/>
      <c r="AP666" s="122"/>
      <c r="AQ666" s="122"/>
      <c r="AR666" s="122"/>
      <c r="AS666" s="122"/>
      <c r="AT666" s="122"/>
      <c r="AU666" s="122"/>
      <c r="AV666" s="122"/>
      <c r="AW666" s="122"/>
      <c r="AX666" s="122"/>
      <c r="AY666" s="122"/>
    </row>
    <row r="667">
      <c r="A667" s="78"/>
      <c r="B667" s="78"/>
      <c r="C667" s="78"/>
      <c r="D667" s="78"/>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c r="AA667" s="122"/>
      <c r="AB667" s="122"/>
      <c r="AC667" s="122"/>
      <c r="AD667" s="122"/>
      <c r="AE667" s="122"/>
      <c r="AF667" s="122"/>
      <c r="AG667" s="122"/>
      <c r="AH667" s="122"/>
      <c r="AI667" s="122"/>
      <c r="AJ667" s="122"/>
      <c r="AK667" s="122"/>
      <c r="AL667" s="122"/>
      <c r="AM667" s="122"/>
      <c r="AN667" s="122"/>
      <c r="AO667" s="122"/>
      <c r="AP667" s="122"/>
      <c r="AQ667" s="122"/>
      <c r="AR667" s="122"/>
      <c r="AS667" s="122"/>
      <c r="AT667" s="122"/>
      <c r="AU667" s="122"/>
      <c r="AV667" s="122"/>
      <c r="AW667" s="122"/>
      <c r="AX667" s="122"/>
      <c r="AY667" s="122"/>
    </row>
    <row r="668">
      <c r="A668" s="78"/>
      <c r="B668" s="78"/>
      <c r="C668" s="78"/>
      <c r="D668" s="78"/>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c r="AA668" s="122"/>
      <c r="AB668" s="122"/>
      <c r="AC668" s="122"/>
      <c r="AD668" s="122"/>
      <c r="AE668" s="122"/>
      <c r="AF668" s="122"/>
      <c r="AG668" s="122"/>
      <c r="AH668" s="122"/>
      <c r="AI668" s="122"/>
      <c r="AJ668" s="122"/>
      <c r="AK668" s="122"/>
      <c r="AL668" s="122"/>
      <c r="AM668" s="122"/>
      <c r="AN668" s="122"/>
      <c r="AO668" s="122"/>
      <c r="AP668" s="122"/>
      <c r="AQ668" s="122"/>
      <c r="AR668" s="122"/>
      <c r="AS668" s="122"/>
      <c r="AT668" s="122"/>
      <c r="AU668" s="122"/>
      <c r="AV668" s="122"/>
      <c r="AW668" s="122"/>
      <c r="AX668" s="122"/>
      <c r="AY668" s="122"/>
    </row>
    <row r="669">
      <c r="A669" s="78"/>
      <c r="B669" s="78"/>
      <c r="C669" s="78"/>
      <c r="D669" s="78"/>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c r="AA669" s="122"/>
      <c r="AB669" s="122"/>
      <c r="AC669" s="122"/>
      <c r="AD669" s="122"/>
      <c r="AE669" s="122"/>
      <c r="AF669" s="122"/>
      <c r="AG669" s="122"/>
      <c r="AH669" s="122"/>
      <c r="AI669" s="122"/>
      <c r="AJ669" s="122"/>
      <c r="AK669" s="122"/>
      <c r="AL669" s="122"/>
      <c r="AM669" s="122"/>
      <c r="AN669" s="122"/>
      <c r="AO669" s="122"/>
      <c r="AP669" s="122"/>
      <c r="AQ669" s="122"/>
      <c r="AR669" s="122"/>
      <c r="AS669" s="122"/>
      <c r="AT669" s="122"/>
      <c r="AU669" s="122"/>
      <c r="AV669" s="122"/>
      <c r="AW669" s="122"/>
      <c r="AX669" s="122"/>
      <c r="AY669" s="122"/>
    </row>
    <row r="670">
      <c r="A670" s="78"/>
      <c r="B670" s="78"/>
      <c r="C670" s="78"/>
      <c r="D670" s="78"/>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c r="AC670" s="122"/>
      <c r="AD670" s="122"/>
      <c r="AE670" s="122"/>
      <c r="AF670" s="122"/>
      <c r="AG670" s="122"/>
      <c r="AH670" s="122"/>
      <c r="AI670" s="122"/>
      <c r="AJ670" s="122"/>
      <c r="AK670" s="122"/>
      <c r="AL670" s="122"/>
      <c r="AM670" s="122"/>
      <c r="AN670" s="122"/>
      <c r="AO670" s="122"/>
      <c r="AP670" s="122"/>
      <c r="AQ670" s="122"/>
      <c r="AR670" s="122"/>
      <c r="AS670" s="122"/>
      <c r="AT670" s="122"/>
      <c r="AU670" s="122"/>
      <c r="AV670" s="122"/>
      <c r="AW670" s="122"/>
      <c r="AX670" s="122"/>
      <c r="AY670" s="122"/>
    </row>
    <row r="671">
      <c r="A671" s="78"/>
      <c r="B671" s="78"/>
      <c r="C671" s="78"/>
      <c r="D671" s="78"/>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c r="AA671" s="122"/>
      <c r="AB671" s="122"/>
      <c r="AC671" s="122"/>
      <c r="AD671" s="122"/>
      <c r="AE671" s="122"/>
      <c r="AF671" s="122"/>
      <c r="AG671" s="122"/>
      <c r="AH671" s="122"/>
      <c r="AI671" s="122"/>
      <c r="AJ671" s="122"/>
      <c r="AK671" s="122"/>
      <c r="AL671" s="122"/>
      <c r="AM671" s="122"/>
      <c r="AN671" s="122"/>
      <c r="AO671" s="122"/>
      <c r="AP671" s="122"/>
      <c r="AQ671" s="122"/>
      <c r="AR671" s="122"/>
      <c r="AS671" s="122"/>
      <c r="AT671" s="122"/>
      <c r="AU671" s="122"/>
      <c r="AV671" s="122"/>
      <c r="AW671" s="122"/>
      <c r="AX671" s="122"/>
      <c r="AY671" s="122"/>
    </row>
    <row r="672">
      <c r="A672" s="78"/>
      <c r="B672" s="78"/>
      <c r="C672" s="78"/>
      <c r="D672" s="78"/>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c r="AA672" s="122"/>
      <c r="AB672" s="122"/>
      <c r="AC672" s="122"/>
      <c r="AD672" s="122"/>
      <c r="AE672" s="122"/>
      <c r="AF672" s="122"/>
      <c r="AG672" s="122"/>
      <c r="AH672" s="122"/>
      <c r="AI672" s="122"/>
      <c r="AJ672" s="122"/>
      <c r="AK672" s="122"/>
      <c r="AL672" s="122"/>
      <c r="AM672" s="122"/>
      <c r="AN672" s="122"/>
      <c r="AO672" s="122"/>
      <c r="AP672" s="122"/>
      <c r="AQ672" s="122"/>
      <c r="AR672" s="122"/>
      <c r="AS672" s="122"/>
      <c r="AT672" s="122"/>
      <c r="AU672" s="122"/>
      <c r="AV672" s="122"/>
      <c r="AW672" s="122"/>
      <c r="AX672" s="122"/>
      <c r="AY672" s="122"/>
    </row>
    <row r="673">
      <c r="A673" s="78"/>
      <c r="B673" s="78"/>
      <c r="C673" s="78"/>
      <c r="D673" s="78"/>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c r="AA673" s="122"/>
      <c r="AB673" s="122"/>
      <c r="AC673" s="122"/>
      <c r="AD673" s="122"/>
      <c r="AE673" s="122"/>
      <c r="AF673" s="122"/>
      <c r="AG673" s="122"/>
      <c r="AH673" s="122"/>
      <c r="AI673" s="122"/>
      <c r="AJ673" s="122"/>
      <c r="AK673" s="122"/>
      <c r="AL673" s="122"/>
      <c r="AM673" s="122"/>
      <c r="AN673" s="122"/>
      <c r="AO673" s="122"/>
      <c r="AP673" s="122"/>
      <c r="AQ673" s="122"/>
      <c r="AR673" s="122"/>
      <c r="AS673" s="122"/>
      <c r="AT673" s="122"/>
      <c r="AU673" s="122"/>
      <c r="AV673" s="122"/>
      <c r="AW673" s="122"/>
      <c r="AX673" s="122"/>
      <c r="AY673" s="122"/>
    </row>
    <row r="674">
      <c r="A674" s="78"/>
      <c r="B674" s="78"/>
      <c r="C674" s="78"/>
      <c r="D674" s="78"/>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c r="AA674" s="122"/>
      <c r="AB674" s="122"/>
      <c r="AC674" s="122"/>
      <c r="AD674" s="122"/>
      <c r="AE674" s="122"/>
      <c r="AF674" s="122"/>
      <c r="AG674" s="122"/>
      <c r="AH674" s="122"/>
      <c r="AI674" s="122"/>
      <c r="AJ674" s="122"/>
      <c r="AK674" s="122"/>
      <c r="AL674" s="122"/>
      <c r="AM674" s="122"/>
      <c r="AN674" s="122"/>
      <c r="AO674" s="122"/>
      <c r="AP674" s="122"/>
      <c r="AQ674" s="122"/>
      <c r="AR674" s="122"/>
      <c r="AS674" s="122"/>
      <c r="AT674" s="122"/>
      <c r="AU674" s="122"/>
      <c r="AV674" s="122"/>
      <c r="AW674" s="122"/>
      <c r="AX674" s="122"/>
      <c r="AY674" s="122"/>
    </row>
    <row r="675">
      <c r="A675" s="78"/>
      <c r="B675" s="78"/>
      <c r="C675" s="78"/>
      <c r="D675" s="78"/>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c r="AC675" s="122"/>
      <c r="AD675" s="122"/>
      <c r="AE675" s="122"/>
      <c r="AF675" s="122"/>
      <c r="AG675" s="122"/>
      <c r="AH675" s="122"/>
      <c r="AI675" s="122"/>
      <c r="AJ675" s="122"/>
      <c r="AK675" s="122"/>
      <c r="AL675" s="122"/>
      <c r="AM675" s="122"/>
      <c r="AN675" s="122"/>
      <c r="AO675" s="122"/>
      <c r="AP675" s="122"/>
      <c r="AQ675" s="122"/>
      <c r="AR675" s="122"/>
      <c r="AS675" s="122"/>
      <c r="AT675" s="122"/>
      <c r="AU675" s="122"/>
      <c r="AV675" s="122"/>
      <c r="AW675" s="122"/>
      <c r="AX675" s="122"/>
      <c r="AY675" s="122"/>
    </row>
    <row r="676">
      <c r="A676" s="78"/>
      <c r="B676" s="78"/>
      <c r="C676" s="78"/>
      <c r="D676" s="78"/>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c r="AA676" s="122"/>
      <c r="AB676" s="122"/>
      <c r="AC676" s="122"/>
      <c r="AD676" s="122"/>
      <c r="AE676" s="122"/>
      <c r="AF676" s="122"/>
      <c r="AG676" s="122"/>
      <c r="AH676" s="122"/>
      <c r="AI676" s="122"/>
      <c r="AJ676" s="122"/>
      <c r="AK676" s="122"/>
      <c r="AL676" s="122"/>
      <c r="AM676" s="122"/>
      <c r="AN676" s="122"/>
      <c r="AO676" s="122"/>
      <c r="AP676" s="122"/>
      <c r="AQ676" s="122"/>
      <c r="AR676" s="122"/>
      <c r="AS676" s="122"/>
      <c r="AT676" s="122"/>
      <c r="AU676" s="122"/>
      <c r="AV676" s="122"/>
      <c r="AW676" s="122"/>
      <c r="AX676" s="122"/>
      <c r="AY676" s="122"/>
    </row>
    <row r="677">
      <c r="A677" s="78"/>
      <c r="B677" s="78"/>
      <c r="C677" s="78"/>
      <c r="D677" s="78"/>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c r="AA677" s="122"/>
      <c r="AB677" s="122"/>
      <c r="AC677" s="122"/>
      <c r="AD677" s="122"/>
      <c r="AE677" s="122"/>
      <c r="AF677" s="122"/>
      <c r="AG677" s="122"/>
      <c r="AH677" s="122"/>
      <c r="AI677" s="122"/>
      <c r="AJ677" s="122"/>
      <c r="AK677" s="122"/>
      <c r="AL677" s="122"/>
      <c r="AM677" s="122"/>
      <c r="AN677" s="122"/>
      <c r="AO677" s="122"/>
      <c r="AP677" s="122"/>
      <c r="AQ677" s="122"/>
      <c r="AR677" s="122"/>
      <c r="AS677" s="122"/>
      <c r="AT677" s="122"/>
      <c r="AU677" s="122"/>
      <c r="AV677" s="122"/>
      <c r="AW677" s="122"/>
      <c r="AX677" s="122"/>
      <c r="AY677" s="122"/>
    </row>
    <row r="678">
      <c r="A678" s="78"/>
      <c r="B678" s="78"/>
      <c r="C678" s="78"/>
      <c r="D678" s="78"/>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c r="AA678" s="122"/>
      <c r="AB678" s="122"/>
      <c r="AC678" s="122"/>
      <c r="AD678" s="122"/>
      <c r="AE678" s="122"/>
      <c r="AF678" s="122"/>
      <c r="AG678" s="122"/>
      <c r="AH678" s="122"/>
      <c r="AI678" s="122"/>
      <c r="AJ678" s="122"/>
      <c r="AK678" s="122"/>
      <c r="AL678" s="122"/>
      <c r="AM678" s="122"/>
      <c r="AN678" s="122"/>
      <c r="AO678" s="122"/>
      <c r="AP678" s="122"/>
      <c r="AQ678" s="122"/>
      <c r="AR678" s="122"/>
      <c r="AS678" s="122"/>
      <c r="AT678" s="122"/>
      <c r="AU678" s="122"/>
      <c r="AV678" s="122"/>
      <c r="AW678" s="122"/>
      <c r="AX678" s="122"/>
      <c r="AY678" s="122"/>
    </row>
    <row r="679">
      <c r="A679" s="78"/>
      <c r="B679" s="78"/>
      <c r="C679" s="78"/>
      <c r="D679" s="78"/>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c r="AF679" s="122"/>
      <c r="AG679" s="122"/>
      <c r="AH679" s="122"/>
      <c r="AI679" s="122"/>
      <c r="AJ679" s="122"/>
      <c r="AK679" s="122"/>
      <c r="AL679" s="122"/>
      <c r="AM679" s="122"/>
      <c r="AN679" s="122"/>
      <c r="AO679" s="122"/>
      <c r="AP679" s="122"/>
      <c r="AQ679" s="122"/>
      <c r="AR679" s="122"/>
      <c r="AS679" s="122"/>
      <c r="AT679" s="122"/>
      <c r="AU679" s="122"/>
      <c r="AV679" s="122"/>
      <c r="AW679" s="122"/>
      <c r="AX679" s="122"/>
      <c r="AY679" s="122"/>
    </row>
    <row r="680">
      <c r="A680" s="78"/>
      <c r="B680" s="78"/>
      <c r="C680" s="78"/>
      <c r="D680" s="78"/>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c r="AA680" s="122"/>
      <c r="AB680" s="122"/>
      <c r="AC680" s="122"/>
      <c r="AD680" s="122"/>
      <c r="AE680" s="122"/>
      <c r="AF680" s="122"/>
      <c r="AG680" s="122"/>
      <c r="AH680" s="122"/>
      <c r="AI680" s="122"/>
      <c r="AJ680" s="122"/>
      <c r="AK680" s="122"/>
      <c r="AL680" s="122"/>
      <c r="AM680" s="122"/>
      <c r="AN680" s="122"/>
      <c r="AO680" s="122"/>
      <c r="AP680" s="122"/>
      <c r="AQ680" s="122"/>
      <c r="AR680" s="122"/>
      <c r="AS680" s="122"/>
      <c r="AT680" s="122"/>
      <c r="AU680" s="122"/>
      <c r="AV680" s="122"/>
      <c r="AW680" s="122"/>
      <c r="AX680" s="122"/>
      <c r="AY680" s="122"/>
    </row>
    <row r="681">
      <c r="A681" s="78"/>
      <c r="B681" s="78"/>
      <c r="C681" s="78"/>
      <c r="D681" s="78"/>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c r="AA681" s="122"/>
      <c r="AB681" s="122"/>
      <c r="AC681" s="122"/>
      <c r="AD681" s="122"/>
      <c r="AE681" s="122"/>
      <c r="AF681" s="122"/>
      <c r="AG681" s="122"/>
      <c r="AH681" s="122"/>
      <c r="AI681" s="122"/>
      <c r="AJ681" s="122"/>
      <c r="AK681" s="122"/>
      <c r="AL681" s="122"/>
      <c r="AM681" s="122"/>
      <c r="AN681" s="122"/>
      <c r="AO681" s="122"/>
      <c r="AP681" s="122"/>
      <c r="AQ681" s="122"/>
      <c r="AR681" s="122"/>
      <c r="AS681" s="122"/>
      <c r="AT681" s="122"/>
      <c r="AU681" s="122"/>
      <c r="AV681" s="122"/>
      <c r="AW681" s="122"/>
      <c r="AX681" s="122"/>
      <c r="AY681" s="122"/>
    </row>
    <row r="682">
      <c r="A682" s="78"/>
      <c r="B682" s="78"/>
      <c r="C682" s="78"/>
      <c r="D682" s="78"/>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c r="AA682" s="122"/>
      <c r="AB682" s="122"/>
      <c r="AC682" s="122"/>
      <c r="AD682" s="122"/>
      <c r="AE682" s="122"/>
      <c r="AF682" s="122"/>
      <c r="AG682" s="122"/>
      <c r="AH682" s="122"/>
      <c r="AI682" s="122"/>
      <c r="AJ682" s="122"/>
      <c r="AK682" s="122"/>
      <c r="AL682" s="122"/>
      <c r="AM682" s="122"/>
      <c r="AN682" s="122"/>
      <c r="AO682" s="122"/>
      <c r="AP682" s="122"/>
      <c r="AQ682" s="122"/>
      <c r="AR682" s="122"/>
      <c r="AS682" s="122"/>
      <c r="AT682" s="122"/>
      <c r="AU682" s="122"/>
      <c r="AV682" s="122"/>
      <c r="AW682" s="122"/>
      <c r="AX682" s="122"/>
      <c r="AY682" s="122"/>
    </row>
    <row r="683">
      <c r="A683" s="78"/>
      <c r="B683" s="78"/>
      <c r="C683" s="78"/>
      <c r="D683" s="78"/>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c r="AA683" s="122"/>
      <c r="AB683" s="122"/>
      <c r="AC683" s="122"/>
      <c r="AD683" s="122"/>
      <c r="AE683" s="122"/>
      <c r="AF683" s="122"/>
      <c r="AG683" s="122"/>
      <c r="AH683" s="122"/>
      <c r="AI683" s="122"/>
      <c r="AJ683" s="122"/>
      <c r="AK683" s="122"/>
      <c r="AL683" s="122"/>
      <c r="AM683" s="122"/>
      <c r="AN683" s="122"/>
      <c r="AO683" s="122"/>
      <c r="AP683" s="122"/>
      <c r="AQ683" s="122"/>
      <c r="AR683" s="122"/>
      <c r="AS683" s="122"/>
      <c r="AT683" s="122"/>
      <c r="AU683" s="122"/>
      <c r="AV683" s="122"/>
      <c r="AW683" s="122"/>
      <c r="AX683" s="122"/>
      <c r="AY683" s="122"/>
    </row>
    <row r="684">
      <c r="A684" s="78"/>
      <c r="B684" s="78"/>
      <c r="C684" s="78"/>
      <c r="D684" s="78"/>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c r="AA684" s="122"/>
      <c r="AB684" s="122"/>
      <c r="AC684" s="122"/>
      <c r="AD684" s="122"/>
      <c r="AE684" s="122"/>
      <c r="AF684" s="122"/>
      <c r="AG684" s="122"/>
      <c r="AH684" s="122"/>
      <c r="AI684" s="122"/>
      <c r="AJ684" s="122"/>
      <c r="AK684" s="122"/>
      <c r="AL684" s="122"/>
      <c r="AM684" s="122"/>
      <c r="AN684" s="122"/>
      <c r="AO684" s="122"/>
      <c r="AP684" s="122"/>
      <c r="AQ684" s="122"/>
      <c r="AR684" s="122"/>
      <c r="AS684" s="122"/>
      <c r="AT684" s="122"/>
      <c r="AU684" s="122"/>
      <c r="AV684" s="122"/>
      <c r="AW684" s="122"/>
      <c r="AX684" s="122"/>
      <c r="AY684" s="122"/>
    </row>
    <row r="685">
      <c r="A685" s="78"/>
      <c r="B685" s="78"/>
      <c r="C685" s="78"/>
      <c r="D685" s="78"/>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c r="AA685" s="122"/>
      <c r="AB685" s="122"/>
      <c r="AC685" s="122"/>
      <c r="AD685" s="122"/>
      <c r="AE685" s="122"/>
      <c r="AF685" s="122"/>
      <c r="AG685" s="122"/>
      <c r="AH685" s="122"/>
      <c r="AI685" s="122"/>
      <c r="AJ685" s="122"/>
      <c r="AK685" s="122"/>
      <c r="AL685" s="122"/>
      <c r="AM685" s="122"/>
      <c r="AN685" s="122"/>
      <c r="AO685" s="122"/>
      <c r="AP685" s="122"/>
      <c r="AQ685" s="122"/>
      <c r="AR685" s="122"/>
      <c r="AS685" s="122"/>
      <c r="AT685" s="122"/>
      <c r="AU685" s="122"/>
      <c r="AV685" s="122"/>
      <c r="AW685" s="122"/>
      <c r="AX685" s="122"/>
      <c r="AY685" s="122"/>
    </row>
    <row r="686">
      <c r="A686" s="78"/>
      <c r="B686" s="78"/>
      <c r="C686" s="78"/>
      <c r="D686" s="78"/>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c r="AA686" s="122"/>
      <c r="AB686" s="122"/>
      <c r="AC686" s="122"/>
      <c r="AD686" s="122"/>
      <c r="AE686" s="122"/>
      <c r="AF686" s="122"/>
      <c r="AG686" s="122"/>
      <c r="AH686" s="122"/>
      <c r="AI686" s="122"/>
      <c r="AJ686" s="122"/>
      <c r="AK686" s="122"/>
      <c r="AL686" s="122"/>
      <c r="AM686" s="122"/>
      <c r="AN686" s="122"/>
      <c r="AO686" s="122"/>
      <c r="AP686" s="122"/>
      <c r="AQ686" s="122"/>
      <c r="AR686" s="122"/>
      <c r="AS686" s="122"/>
      <c r="AT686" s="122"/>
      <c r="AU686" s="122"/>
      <c r="AV686" s="122"/>
      <c r="AW686" s="122"/>
      <c r="AX686" s="122"/>
      <c r="AY686" s="122"/>
    </row>
    <row r="687">
      <c r="A687" s="78"/>
      <c r="B687" s="78"/>
      <c r="C687" s="78"/>
      <c r="D687" s="78"/>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c r="AA687" s="122"/>
      <c r="AB687" s="122"/>
      <c r="AC687" s="122"/>
      <c r="AD687" s="122"/>
      <c r="AE687" s="122"/>
      <c r="AF687" s="122"/>
      <c r="AG687" s="122"/>
      <c r="AH687" s="122"/>
      <c r="AI687" s="122"/>
      <c r="AJ687" s="122"/>
      <c r="AK687" s="122"/>
      <c r="AL687" s="122"/>
      <c r="AM687" s="122"/>
      <c r="AN687" s="122"/>
      <c r="AO687" s="122"/>
      <c r="AP687" s="122"/>
      <c r="AQ687" s="122"/>
      <c r="AR687" s="122"/>
      <c r="AS687" s="122"/>
      <c r="AT687" s="122"/>
      <c r="AU687" s="122"/>
      <c r="AV687" s="122"/>
      <c r="AW687" s="122"/>
      <c r="AX687" s="122"/>
      <c r="AY687" s="122"/>
    </row>
    <row r="688">
      <c r="A688" s="78"/>
      <c r="B688" s="78"/>
      <c r="C688" s="78"/>
      <c r="D688" s="78"/>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c r="AA688" s="122"/>
      <c r="AB688" s="122"/>
      <c r="AC688" s="122"/>
      <c r="AD688" s="122"/>
      <c r="AE688" s="122"/>
      <c r="AF688" s="122"/>
      <c r="AG688" s="122"/>
      <c r="AH688" s="122"/>
      <c r="AI688" s="122"/>
      <c r="AJ688" s="122"/>
      <c r="AK688" s="122"/>
      <c r="AL688" s="122"/>
      <c r="AM688" s="122"/>
      <c r="AN688" s="122"/>
      <c r="AO688" s="122"/>
      <c r="AP688" s="122"/>
      <c r="AQ688" s="122"/>
      <c r="AR688" s="122"/>
      <c r="AS688" s="122"/>
      <c r="AT688" s="122"/>
      <c r="AU688" s="122"/>
      <c r="AV688" s="122"/>
      <c r="AW688" s="122"/>
      <c r="AX688" s="122"/>
      <c r="AY688" s="122"/>
    </row>
    <row r="689">
      <c r="A689" s="78"/>
      <c r="B689" s="78"/>
      <c r="C689" s="78"/>
      <c r="D689" s="78"/>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c r="AA689" s="122"/>
      <c r="AB689" s="122"/>
      <c r="AC689" s="122"/>
      <c r="AD689" s="122"/>
      <c r="AE689" s="122"/>
      <c r="AF689" s="122"/>
      <c r="AG689" s="122"/>
      <c r="AH689" s="122"/>
      <c r="AI689" s="122"/>
      <c r="AJ689" s="122"/>
      <c r="AK689" s="122"/>
      <c r="AL689" s="122"/>
      <c r="AM689" s="122"/>
      <c r="AN689" s="122"/>
      <c r="AO689" s="122"/>
      <c r="AP689" s="122"/>
      <c r="AQ689" s="122"/>
      <c r="AR689" s="122"/>
      <c r="AS689" s="122"/>
      <c r="AT689" s="122"/>
      <c r="AU689" s="122"/>
      <c r="AV689" s="122"/>
      <c r="AW689" s="122"/>
      <c r="AX689" s="122"/>
      <c r="AY689" s="122"/>
    </row>
    <row r="690">
      <c r="A690" s="78"/>
      <c r="B690" s="78"/>
      <c r="C690" s="78"/>
      <c r="D690" s="78"/>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c r="AC690" s="122"/>
      <c r="AD690" s="122"/>
      <c r="AE690" s="122"/>
      <c r="AF690" s="122"/>
      <c r="AG690" s="122"/>
      <c r="AH690" s="122"/>
      <c r="AI690" s="122"/>
      <c r="AJ690" s="122"/>
      <c r="AK690" s="122"/>
      <c r="AL690" s="122"/>
      <c r="AM690" s="122"/>
      <c r="AN690" s="122"/>
      <c r="AO690" s="122"/>
      <c r="AP690" s="122"/>
      <c r="AQ690" s="122"/>
      <c r="AR690" s="122"/>
      <c r="AS690" s="122"/>
      <c r="AT690" s="122"/>
      <c r="AU690" s="122"/>
      <c r="AV690" s="122"/>
      <c r="AW690" s="122"/>
      <c r="AX690" s="122"/>
      <c r="AY690" s="122"/>
    </row>
    <row r="691">
      <c r="A691" s="78"/>
      <c r="B691" s="78"/>
      <c r="C691" s="78"/>
      <c r="D691" s="78"/>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c r="AA691" s="122"/>
      <c r="AB691" s="122"/>
      <c r="AC691" s="122"/>
      <c r="AD691" s="122"/>
      <c r="AE691" s="122"/>
      <c r="AF691" s="122"/>
      <c r="AG691" s="122"/>
      <c r="AH691" s="122"/>
      <c r="AI691" s="122"/>
      <c r="AJ691" s="122"/>
      <c r="AK691" s="122"/>
      <c r="AL691" s="122"/>
      <c r="AM691" s="122"/>
      <c r="AN691" s="122"/>
      <c r="AO691" s="122"/>
      <c r="AP691" s="122"/>
      <c r="AQ691" s="122"/>
      <c r="AR691" s="122"/>
      <c r="AS691" s="122"/>
      <c r="AT691" s="122"/>
      <c r="AU691" s="122"/>
      <c r="AV691" s="122"/>
      <c r="AW691" s="122"/>
      <c r="AX691" s="122"/>
      <c r="AY691" s="122"/>
    </row>
    <row r="692">
      <c r="A692" s="78"/>
      <c r="B692" s="78"/>
      <c r="C692" s="78"/>
      <c r="D692" s="78"/>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c r="AA692" s="122"/>
      <c r="AB692" s="122"/>
      <c r="AC692" s="122"/>
      <c r="AD692" s="122"/>
      <c r="AE692" s="122"/>
      <c r="AF692" s="122"/>
      <c r="AG692" s="122"/>
      <c r="AH692" s="122"/>
      <c r="AI692" s="122"/>
      <c r="AJ692" s="122"/>
      <c r="AK692" s="122"/>
      <c r="AL692" s="122"/>
      <c r="AM692" s="122"/>
      <c r="AN692" s="122"/>
      <c r="AO692" s="122"/>
      <c r="AP692" s="122"/>
      <c r="AQ692" s="122"/>
      <c r="AR692" s="122"/>
      <c r="AS692" s="122"/>
      <c r="AT692" s="122"/>
      <c r="AU692" s="122"/>
      <c r="AV692" s="122"/>
      <c r="AW692" s="122"/>
      <c r="AX692" s="122"/>
      <c r="AY692" s="122"/>
    </row>
    <row r="693">
      <c r="A693" s="78"/>
      <c r="B693" s="78"/>
      <c r="C693" s="78"/>
      <c r="D693" s="78"/>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c r="AA693" s="122"/>
      <c r="AB693" s="122"/>
      <c r="AC693" s="122"/>
      <c r="AD693" s="122"/>
      <c r="AE693" s="122"/>
      <c r="AF693" s="122"/>
      <c r="AG693" s="122"/>
      <c r="AH693" s="122"/>
      <c r="AI693" s="122"/>
      <c r="AJ693" s="122"/>
      <c r="AK693" s="122"/>
      <c r="AL693" s="122"/>
      <c r="AM693" s="122"/>
      <c r="AN693" s="122"/>
      <c r="AO693" s="122"/>
      <c r="AP693" s="122"/>
      <c r="AQ693" s="122"/>
      <c r="AR693" s="122"/>
      <c r="AS693" s="122"/>
      <c r="AT693" s="122"/>
      <c r="AU693" s="122"/>
      <c r="AV693" s="122"/>
      <c r="AW693" s="122"/>
      <c r="AX693" s="122"/>
      <c r="AY693" s="122"/>
    </row>
    <row r="694">
      <c r="A694" s="78"/>
      <c r="B694" s="78"/>
      <c r="C694" s="78"/>
      <c r="D694" s="78"/>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c r="AA694" s="122"/>
      <c r="AB694" s="122"/>
      <c r="AC694" s="122"/>
      <c r="AD694" s="122"/>
      <c r="AE694" s="122"/>
      <c r="AF694" s="122"/>
      <c r="AG694" s="122"/>
      <c r="AH694" s="122"/>
      <c r="AI694" s="122"/>
      <c r="AJ694" s="122"/>
      <c r="AK694" s="122"/>
      <c r="AL694" s="122"/>
      <c r="AM694" s="122"/>
      <c r="AN694" s="122"/>
      <c r="AO694" s="122"/>
      <c r="AP694" s="122"/>
      <c r="AQ694" s="122"/>
      <c r="AR694" s="122"/>
      <c r="AS694" s="122"/>
      <c r="AT694" s="122"/>
      <c r="AU694" s="122"/>
      <c r="AV694" s="122"/>
      <c r="AW694" s="122"/>
      <c r="AX694" s="122"/>
      <c r="AY694" s="122"/>
    </row>
    <row r="695">
      <c r="A695" s="78"/>
      <c r="B695" s="78"/>
      <c r="C695" s="78"/>
      <c r="D695" s="78"/>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c r="AA695" s="122"/>
      <c r="AB695" s="122"/>
      <c r="AC695" s="122"/>
      <c r="AD695" s="122"/>
      <c r="AE695" s="122"/>
      <c r="AF695" s="122"/>
      <c r="AG695" s="122"/>
      <c r="AH695" s="122"/>
      <c r="AI695" s="122"/>
      <c r="AJ695" s="122"/>
      <c r="AK695" s="122"/>
      <c r="AL695" s="122"/>
      <c r="AM695" s="122"/>
      <c r="AN695" s="122"/>
      <c r="AO695" s="122"/>
      <c r="AP695" s="122"/>
      <c r="AQ695" s="122"/>
      <c r="AR695" s="122"/>
      <c r="AS695" s="122"/>
      <c r="AT695" s="122"/>
      <c r="AU695" s="122"/>
      <c r="AV695" s="122"/>
      <c r="AW695" s="122"/>
      <c r="AX695" s="122"/>
      <c r="AY695" s="122"/>
    </row>
    <row r="696">
      <c r="A696" s="78"/>
      <c r="B696" s="78"/>
      <c r="C696" s="78"/>
      <c r="D696" s="78"/>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c r="AA696" s="122"/>
      <c r="AB696" s="122"/>
      <c r="AC696" s="122"/>
      <c r="AD696" s="122"/>
      <c r="AE696" s="122"/>
      <c r="AF696" s="122"/>
      <c r="AG696" s="122"/>
      <c r="AH696" s="122"/>
      <c r="AI696" s="122"/>
      <c r="AJ696" s="122"/>
      <c r="AK696" s="122"/>
      <c r="AL696" s="122"/>
      <c r="AM696" s="122"/>
      <c r="AN696" s="122"/>
      <c r="AO696" s="122"/>
      <c r="AP696" s="122"/>
      <c r="AQ696" s="122"/>
      <c r="AR696" s="122"/>
      <c r="AS696" s="122"/>
      <c r="AT696" s="122"/>
      <c r="AU696" s="122"/>
      <c r="AV696" s="122"/>
      <c r="AW696" s="122"/>
      <c r="AX696" s="122"/>
      <c r="AY696" s="122"/>
    </row>
    <row r="697">
      <c r="A697" s="78"/>
      <c r="B697" s="78"/>
      <c r="C697" s="78"/>
      <c r="D697" s="78"/>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c r="AA697" s="122"/>
      <c r="AB697" s="122"/>
      <c r="AC697" s="122"/>
      <c r="AD697" s="122"/>
      <c r="AE697" s="122"/>
      <c r="AF697" s="122"/>
      <c r="AG697" s="122"/>
      <c r="AH697" s="122"/>
      <c r="AI697" s="122"/>
      <c r="AJ697" s="122"/>
      <c r="AK697" s="122"/>
      <c r="AL697" s="122"/>
      <c r="AM697" s="122"/>
      <c r="AN697" s="122"/>
      <c r="AO697" s="122"/>
      <c r="AP697" s="122"/>
      <c r="AQ697" s="122"/>
      <c r="AR697" s="122"/>
      <c r="AS697" s="122"/>
      <c r="AT697" s="122"/>
      <c r="AU697" s="122"/>
      <c r="AV697" s="122"/>
      <c r="AW697" s="122"/>
      <c r="AX697" s="122"/>
      <c r="AY697" s="122"/>
    </row>
    <row r="698">
      <c r="A698" s="78"/>
      <c r="B698" s="78"/>
      <c r="C698" s="78"/>
      <c r="D698" s="78"/>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c r="AA698" s="122"/>
      <c r="AB698" s="122"/>
      <c r="AC698" s="122"/>
      <c r="AD698" s="122"/>
      <c r="AE698" s="122"/>
      <c r="AF698" s="122"/>
      <c r="AG698" s="122"/>
      <c r="AH698" s="122"/>
      <c r="AI698" s="122"/>
      <c r="AJ698" s="122"/>
      <c r="AK698" s="122"/>
      <c r="AL698" s="122"/>
      <c r="AM698" s="122"/>
      <c r="AN698" s="122"/>
      <c r="AO698" s="122"/>
      <c r="AP698" s="122"/>
      <c r="AQ698" s="122"/>
      <c r="AR698" s="122"/>
      <c r="AS698" s="122"/>
      <c r="AT698" s="122"/>
      <c r="AU698" s="122"/>
      <c r="AV698" s="122"/>
      <c r="AW698" s="122"/>
      <c r="AX698" s="122"/>
      <c r="AY698" s="122"/>
    </row>
    <row r="699">
      <c r="A699" s="78"/>
      <c r="B699" s="78"/>
      <c r="C699" s="78"/>
      <c r="D699" s="78"/>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c r="AA699" s="122"/>
      <c r="AB699" s="122"/>
      <c r="AC699" s="122"/>
      <c r="AD699" s="122"/>
      <c r="AE699" s="122"/>
      <c r="AF699" s="122"/>
      <c r="AG699" s="122"/>
      <c r="AH699" s="122"/>
      <c r="AI699" s="122"/>
      <c r="AJ699" s="122"/>
      <c r="AK699" s="122"/>
      <c r="AL699" s="122"/>
      <c r="AM699" s="122"/>
      <c r="AN699" s="122"/>
      <c r="AO699" s="122"/>
      <c r="AP699" s="122"/>
      <c r="AQ699" s="122"/>
      <c r="AR699" s="122"/>
      <c r="AS699" s="122"/>
      <c r="AT699" s="122"/>
      <c r="AU699" s="122"/>
      <c r="AV699" s="122"/>
      <c r="AW699" s="122"/>
      <c r="AX699" s="122"/>
      <c r="AY699" s="122"/>
    </row>
    <row r="700">
      <c r="A700" s="78"/>
      <c r="B700" s="78"/>
      <c r="C700" s="78"/>
      <c r="D700" s="78"/>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c r="AA700" s="122"/>
      <c r="AB700" s="122"/>
      <c r="AC700" s="122"/>
      <c r="AD700" s="122"/>
      <c r="AE700" s="122"/>
      <c r="AF700" s="122"/>
      <c r="AG700" s="122"/>
      <c r="AH700" s="122"/>
      <c r="AI700" s="122"/>
      <c r="AJ700" s="122"/>
      <c r="AK700" s="122"/>
      <c r="AL700" s="122"/>
      <c r="AM700" s="122"/>
      <c r="AN700" s="122"/>
      <c r="AO700" s="122"/>
      <c r="AP700" s="122"/>
      <c r="AQ700" s="122"/>
      <c r="AR700" s="122"/>
      <c r="AS700" s="122"/>
      <c r="AT700" s="122"/>
      <c r="AU700" s="122"/>
      <c r="AV700" s="122"/>
      <c r="AW700" s="122"/>
      <c r="AX700" s="122"/>
      <c r="AY700" s="122"/>
    </row>
    <row r="701">
      <c r="A701" s="78"/>
      <c r="B701" s="78"/>
      <c r="C701" s="78"/>
      <c r="D701" s="78"/>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c r="AA701" s="122"/>
      <c r="AB701" s="122"/>
      <c r="AC701" s="122"/>
      <c r="AD701" s="122"/>
      <c r="AE701" s="122"/>
      <c r="AF701" s="122"/>
      <c r="AG701" s="122"/>
      <c r="AH701" s="122"/>
      <c r="AI701" s="122"/>
      <c r="AJ701" s="122"/>
      <c r="AK701" s="122"/>
      <c r="AL701" s="122"/>
      <c r="AM701" s="122"/>
      <c r="AN701" s="122"/>
      <c r="AO701" s="122"/>
      <c r="AP701" s="122"/>
      <c r="AQ701" s="122"/>
      <c r="AR701" s="122"/>
      <c r="AS701" s="122"/>
      <c r="AT701" s="122"/>
      <c r="AU701" s="122"/>
      <c r="AV701" s="122"/>
      <c r="AW701" s="122"/>
      <c r="AX701" s="122"/>
      <c r="AY701" s="122"/>
    </row>
    <row r="702">
      <c r="A702" s="78"/>
      <c r="B702" s="78"/>
      <c r="C702" s="78"/>
      <c r="D702" s="78"/>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c r="AA702" s="122"/>
      <c r="AB702" s="122"/>
      <c r="AC702" s="122"/>
      <c r="AD702" s="122"/>
      <c r="AE702" s="122"/>
      <c r="AF702" s="122"/>
      <c r="AG702" s="122"/>
      <c r="AH702" s="122"/>
      <c r="AI702" s="122"/>
      <c r="AJ702" s="122"/>
      <c r="AK702" s="122"/>
      <c r="AL702" s="122"/>
      <c r="AM702" s="122"/>
      <c r="AN702" s="122"/>
      <c r="AO702" s="122"/>
      <c r="AP702" s="122"/>
      <c r="AQ702" s="122"/>
      <c r="AR702" s="122"/>
      <c r="AS702" s="122"/>
      <c r="AT702" s="122"/>
      <c r="AU702" s="122"/>
      <c r="AV702" s="122"/>
      <c r="AW702" s="122"/>
      <c r="AX702" s="122"/>
      <c r="AY702" s="122"/>
    </row>
    <row r="703">
      <c r="A703" s="78"/>
      <c r="B703" s="78"/>
      <c r="C703" s="78"/>
      <c r="D703" s="78"/>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c r="AA703" s="122"/>
      <c r="AB703" s="122"/>
      <c r="AC703" s="122"/>
      <c r="AD703" s="122"/>
      <c r="AE703" s="122"/>
      <c r="AF703" s="122"/>
      <c r="AG703" s="122"/>
      <c r="AH703" s="122"/>
      <c r="AI703" s="122"/>
      <c r="AJ703" s="122"/>
      <c r="AK703" s="122"/>
      <c r="AL703" s="122"/>
      <c r="AM703" s="122"/>
      <c r="AN703" s="122"/>
      <c r="AO703" s="122"/>
      <c r="AP703" s="122"/>
      <c r="AQ703" s="122"/>
      <c r="AR703" s="122"/>
      <c r="AS703" s="122"/>
      <c r="AT703" s="122"/>
      <c r="AU703" s="122"/>
      <c r="AV703" s="122"/>
      <c r="AW703" s="122"/>
      <c r="AX703" s="122"/>
      <c r="AY703" s="122"/>
    </row>
    <row r="704">
      <c r="A704" s="78"/>
      <c r="B704" s="78"/>
      <c r="C704" s="78"/>
      <c r="D704" s="78"/>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c r="AA704" s="122"/>
      <c r="AB704" s="122"/>
      <c r="AC704" s="122"/>
      <c r="AD704" s="122"/>
      <c r="AE704" s="122"/>
      <c r="AF704" s="122"/>
      <c r="AG704" s="122"/>
      <c r="AH704" s="122"/>
      <c r="AI704" s="122"/>
      <c r="AJ704" s="122"/>
      <c r="AK704" s="122"/>
      <c r="AL704" s="122"/>
      <c r="AM704" s="122"/>
      <c r="AN704" s="122"/>
      <c r="AO704" s="122"/>
      <c r="AP704" s="122"/>
      <c r="AQ704" s="122"/>
      <c r="AR704" s="122"/>
      <c r="AS704" s="122"/>
      <c r="AT704" s="122"/>
      <c r="AU704" s="122"/>
      <c r="AV704" s="122"/>
      <c r="AW704" s="122"/>
      <c r="AX704" s="122"/>
      <c r="AY704" s="122"/>
    </row>
    <row r="705">
      <c r="A705" s="78"/>
      <c r="B705" s="78"/>
      <c r="C705" s="78"/>
      <c r="D705" s="78"/>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c r="AA705" s="122"/>
      <c r="AB705" s="122"/>
      <c r="AC705" s="122"/>
      <c r="AD705" s="122"/>
      <c r="AE705" s="122"/>
      <c r="AF705" s="122"/>
      <c r="AG705" s="122"/>
      <c r="AH705" s="122"/>
      <c r="AI705" s="122"/>
      <c r="AJ705" s="122"/>
      <c r="AK705" s="122"/>
      <c r="AL705" s="122"/>
      <c r="AM705" s="122"/>
      <c r="AN705" s="122"/>
      <c r="AO705" s="122"/>
      <c r="AP705" s="122"/>
      <c r="AQ705" s="122"/>
      <c r="AR705" s="122"/>
      <c r="AS705" s="122"/>
      <c r="AT705" s="122"/>
      <c r="AU705" s="122"/>
      <c r="AV705" s="122"/>
      <c r="AW705" s="122"/>
      <c r="AX705" s="122"/>
      <c r="AY705" s="122"/>
    </row>
    <row r="706">
      <c r="A706" s="78"/>
      <c r="B706" s="78"/>
      <c r="C706" s="78"/>
      <c r="D706" s="78"/>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c r="AA706" s="122"/>
      <c r="AB706" s="122"/>
      <c r="AC706" s="122"/>
      <c r="AD706" s="122"/>
      <c r="AE706" s="122"/>
      <c r="AF706" s="122"/>
      <c r="AG706" s="122"/>
      <c r="AH706" s="122"/>
      <c r="AI706" s="122"/>
      <c r="AJ706" s="122"/>
      <c r="AK706" s="122"/>
      <c r="AL706" s="122"/>
      <c r="AM706" s="122"/>
      <c r="AN706" s="122"/>
      <c r="AO706" s="122"/>
      <c r="AP706" s="122"/>
      <c r="AQ706" s="122"/>
      <c r="AR706" s="122"/>
      <c r="AS706" s="122"/>
      <c r="AT706" s="122"/>
      <c r="AU706" s="122"/>
      <c r="AV706" s="122"/>
      <c r="AW706" s="122"/>
      <c r="AX706" s="122"/>
      <c r="AY706" s="122"/>
    </row>
    <row r="707">
      <c r="A707" s="78"/>
      <c r="B707" s="78"/>
      <c r="C707" s="78"/>
      <c r="D707" s="78"/>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c r="AA707" s="122"/>
      <c r="AB707" s="122"/>
      <c r="AC707" s="122"/>
      <c r="AD707" s="122"/>
      <c r="AE707" s="122"/>
      <c r="AF707" s="122"/>
      <c r="AG707" s="122"/>
      <c r="AH707" s="122"/>
      <c r="AI707" s="122"/>
      <c r="AJ707" s="122"/>
      <c r="AK707" s="122"/>
      <c r="AL707" s="122"/>
      <c r="AM707" s="122"/>
      <c r="AN707" s="122"/>
      <c r="AO707" s="122"/>
      <c r="AP707" s="122"/>
      <c r="AQ707" s="122"/>
      <c r="AR707" s="122"/>
      <c r="AS707" s="122"/>
      <c r="AT707" s="122"/>
      <c r="AU707" s="122"/>
      <c r="AV707" s="122"/>
      <c r="AW707" s="122"/>
      <c r="AX707" s="122"/>
      <c r="AY707" s="122"/>
    </row>
    <row r="708">
      <c r="A708" s="78"/>
      <c r="B708" s="78"/>
      <c r="C708" s="78"/>
      <c r="D708" s="78"/>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c r="AA708" s="122"/>
      <c r="AB708" s="122"/>
      <c r="AC708" s="122"/>
      <c r="AD708" s="122"/>
      <c r="AE708" s="122"/>
      <c r="AF708" s="122"/>
      <c r="AG708" s="122"/>
      <c r="AH708" s="122"/>
      <c r="AI708" s="122"/>
      <c r="AJ708" s="122"/>
      <c r="AK708" s="122"/>
      <c r="AL708" s="122"/>
      <c r="AM708" s="122"/>
      <c r="AN708" s="122"/>
      <c r="AO708" s="122"/>
      <c r="AP708" s="122"/>
      <c r="AQ708" s="122"/>
      <c r="AR708" s="122"/>
      <c r="AS708" s="122"/>
      <c r="AT708" s="122"/>
      <c r="AU708" s="122"/>
      <c r="AV708" s="122"/>
      <c r="AW708" s="122"/>
      <c r="AX708" s="122"/>
      <c r="AY708" s="122"/>
    </row>
    <row r="709">
      <c r="A709" s="78"/>
      <c r="B709" s="78"/>
      <c r="C709" s="78"/>
      <c r="D709" s="78"/>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c r="AA709" s="122"/>
      <c r="AB709" s="122"/>
      <c r="AC709" s="122"/>
      <c r="AD709" s="122"/>
      <c r="AE709" s="122"/>
      <c r="AF709" s="122"/>
      <c r="AG709" s="122"/>
      <c r="AH709" s="122"/>
      <c r="AI709" s="122"/>
      <c r="AJ709" s="122"/>
      <c r="AK709" s="122"/>
      <c r="AL709" s="122"/>
      <c r="AM709" s="122"/>
      <c r="AN709" s="122"/>
      <c r="AO709" s="122"/>
      <c r="AP709" s="122"/>
      <c r="AQ709" s="122"/>
      <c r="AR709" s="122"/>
      <c r="AS709" s="122"/>
      <c r="AT709" s="122"/>
      <c r="AU709" s="122"/>
      <c r="AV709" s="122"/>
      <c r="AW709" s="122"/>
      <c r="AX709" s="122"/>
      <c r="AY709" s="122"/>
    </row>
    <row r="710">
      <c r="A710" s="78"/>
      <c r="B710" s="78"/>
      <c r="C710" s="78"/>
      <c r="D710" s="78"/>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c r="AA710" s="122"/>
      <c r="AB710" s="122"/>
      <c r="AC710" s="122"/>
      <c r="AD710" s="122"/>
      <c r="AE710" s="122"/>
      <c r="AF710" s="122"/>
      <c r="AG710" s="122"/>
      <c r="AH710" s="122"/>
      <c r="AI710" s="122"/>
      <c r="AJ710" s="122"/>
      <c r="AK710" s="122"/>
      <c r="AL710" s="122"/>
      <c r="AM710" s="122"/>
      <c r="AN710" s="122"/>
      <c r="AO710" s="122"/>
      <c r="AP710" s="122"/>
      <c r="AQ710" s="122"/>
      <c r="AR710" s="122"/>
      <c r="AS710" s="122"/>
      <c r="AT710" s="122"/>
      <c r="AU710" s="122"/>
      <c r="AV710" s="122"/>
      <c r="AW710" s="122"/>
      <c r="AX710" s="122"/>
      <c r="AY710" s="122"/>
    </row>
    <row r="711">
      <c r="A711" s="78"/>
      <c r="B711" s="78"/>
      <c r="C711" s="78"/>
      <c r="D711" s="78"/>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c r="AA711" s="122"/>
      <c r="AB711" s="122"/>
      <c r="AC711" s="122"/>
      <c r="AD711" s="122"/>
      <c r="AE711" s="122"/>
      <c r="AF711" s="122"/>
      <c r="AG711" s="122"/>
      <c r="AH711" s="122"/>
      <c r="AI711" s="122"/>
      <c r="AJ711" s="122"/>
      <c r="AK711" s="122"/>
      <c r="AL711" s="122"/>
      <c r="AM711" s="122"/>
      <c r="AN711" s="122"/>
      <c r="AO711" s="122"/>
      <c r="AP711" s="122"/>
      <c r="AQ711" s="122"/>
      <c r="AR711" s="122"/>
      <c r="AS711" s="122"/>
      <c r="AT711" s="122"/>
      <c r="AU711" s="122"/>
      <c r="AV711" s="122"/>
      <c r="AW711" s="122"/>
      <c r="AX711" s="122"/>
      <c r="AY711" s="122"/>
    </row>
    <row r="712">
      <c r="A712" s="78"/>
      <c r="B712" s="78"/>
      <c r="C712" s="78"/>
      <c r="D712" s="78"/>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c r="AA712" s="122"/>
      <c r="AB712" s="122"/>
      <c r="AC712" s="122"/>
      <c r="AD712" s="122"/>
      <c r="AE712" s="122"/>
      <c r="AF712" s="122"/>
      <c r="AG712" s="122"/>
      <c r="AH712" s="122"/>
      <c r="AI712" s="122"/>
      <c r="AJ712" s="122"/>
      <c r="AK712" s="122"/>
      <c r="AL712" s="122"/>
      <c r="AM712" s="122"/>
      <c r="AN712" s="122"/>
      <c r="AO712" s="122"/>
      <c r="AP712" s="122"/>
      <c r="AQ712" s="122"/>
      <c r="AR712" s="122"/>
      <c r="AS712" s="122"/>
      <c r="AT712" s="122"/>
      <c r="AU712" s="122"/>
      <c r="AV712" s="122"/>
      <c r="AW712" s="122"/>
      <c r="AX712" s="122"/>
      <c r="AY712" s="122"/>
    </row>
    <row r="713">
      <c r="A713" s="78"/>
      <c r="B713" s="78"/>
      <c r="C713" s="78"/>
      <c r="D713" s="78"/>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c r="AA713" s="122"/>
      <c r="AB713" s="122"/>
      <c r="AC713" s="122"/>
      <c r="AD713" s="122"/>
      <c r="AE713" s="122"/>
      <c r="AF713" s="122"/>
      <c r="AG713" s="122"/>
      <c r="AH713" s="122"/>
      <c r="AI713" s="122"/>
      <c r="AJ713" s="122"/>
      <c r="AK713" s="122"/>
      <c r="AL713" s="122"/>
      <c r="AM713" s="122"/>
      <c r="AN713" s="122"/>
      <c r="AO713" s="122"/>
      <c r="AP713" s="122"/>
      <c r="AQ713" s="122"/>
      <c r="AR713" s="122"/>
      <c r="AS713" s="122"/>
      <c r="AT713" s="122"/>
      <c r="AU713" s="122"/>
      <c r="AV713" s="122"/>
      <c r="AW713" s="122"/>
      <c r="AX713" s="122"/>
      <c r="AY713" s="122"/>
    </row>
    <row r="714">
      <c r="A714" s="78"/>
      <c r="B714" s="78"/>
      <c r="C714" s="78"/>
      <c r="D714" s="78"/>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c r="AC714" s="122"/>
      <c r="AD714" s="122"/>
      <c r="AE714" s="122"/>
      <c r="AF714" s="122"/>
      <c r="AG714" s="122"/>
      <c r="AH714" s="122"/>
      <c r="AI714" s="122"/>
      <c r="AJ714" s="122"/>
      <c r="AK714" s="122"/>
      <c r="AL714" s="122"/>
      <c r="AM714" s="122"/>
      <c r="AN714" s="122"/>
      <c r="AO714" s="122"/>
      <c r="AP714" s="122"/>
      <c r="AQ714" s="122"/>
      <c r="AR714" s="122"/>
      <c r="AS714" s="122"/>
      <c r="AT714" s="122"/>
      <c r="AU714" s="122"/>
      <c r="AV714" s="122"/>
      <c r="AW714" s="122"/>
      <c r="AX714" s="122"/>
      <c r="AY714" s="122"/>
    </row>
    <row r="715">
      <c r="A715" s="78"/>
      <c r="B715" s="78"/>
      <c r="C715" s="78"/>
      <c r="D715" s="78"/>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c r="AA715" s="122"/>
      <c r="AB715" s="122"/>
      <c r="AC715" s="122"/>
      <c r="AD715" s="122"/>
      <c r="AE715" s="122"/>
      <c r="AF715" s="122"/>
      <c r="AG715" s="122"/>
      <c r="AH715" s="122"/>
      <c r="AI715" s="122"/>
      <c r="AJ715" s="122"/>
      <c r="AK715" s="122"/>
      <c r="AL715" s="122"/>
      <c r="AM715" s="122"/>
      <c r="AN715" s="122"/>
      <c r="AO715" s="122"/>
      <c r="AP715" s="122"/>
      <c r="AQ715" s="122"/>
      <c r="AR715" s="122"/>
      <c r="AS715" s="122"/>
      <c r="AT715" s="122"/>
      <c r="AU715" s="122"/>
      <c r="AV715" s="122"/>
      <c r="AW715" s="122"/>
      <c r="AX715" s="122"/>
      <c r="AY715" s="122"/>
    </row>
    <row r="716">
      <c r="A716" s="78"/>
      <c r="B716" s="78"/>
      <c r="C716" s="78"/>
      <c r="D716" s="78"/>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c r="AA716" s="122"/>
      <c r="AB716" s="122"/>
      <c r="AC716" s="122"/>
      <c r="AD716" s="122"/>
      <c r="AE716" s="122"/>
      <c r="AF716" s="122"/>
      <c r="AG716" s="122"/>
      <c r="AH716" s="122"/>
      <c r="AI716" s="122"/>
      <c r="AJ716" s="122"/>
      <c r="AK716" s="122"/>
      <c r="AL716" s="122"/>
      <c r="AM716" s="122"/>
      <c r="AN716" s="122"/>
      <c r="AO716" s="122"/>
      <c r="AP716" s="122"/>
      <c r="AQ716" s="122"/>
      <c r="AR716" s="122"/>
      <c r="AS716" s="122"/>
      <c r="AT716" s="122"/>
      <c r="AU716" s="122"/>
      <c r="AV716" s="122"/>
      <c r="AW716" s="122"/>
      <c r="AX716" s="122"/>
      <c r="AY716" s="122"/>
    </row>
    <row r="717">
      <c r="A717" s="78"/>
      <c r="B717" s="78"/>
      <c r="C717" s="78"/>
      <c r="D717" s="78"/>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c r="AA717" s="122"/>
      <c r="AB717" s="122"/>
      <c r="AC717" s="122"/>
      <c r="AD717" s="122"/>
      <c r="AE717" s="122"/>
      <c r="AF717" s="122"/>
      <c r="AG717" s="122"/>
      <c r="AH717" s="122"/>
      <c r="AI717" s="122"/>
      <c r="AJ717" s="122"/>
      <c r="AK717" s="122"/>
      <c r="AL717" s="122"/>
      <c r="AM717" s="122"/>
      <c r="AN717" s="122"/>
      <c r="AO717" s="122"/>
      <c r="AP717" s="122"/>
      <c r="AQ717" s="122"/>
      <c r="AR717" s="122"/>
      <c r="AS717" s="122"/>
      <c r="AT717" s="122"/>
      <c r="AU717" s="122"/>
      <c r="AV717" s="122"/>
      <c r="AW717" s="122"/>
      <c r="AX717" s="122"/>
      <c r="AY717" s="122"/>
    </row>
    <row r="718">
      <c r="A718" s="78"/>
      <c r="B718" s="78"/>
      <c r="C718" s="78"/>
      <c r="D718" s="78"/>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c r="AA718" s="122"/>
      <c r="AB718" s="122"/>
      <c r="AC718" s="122"/>
      <c r="AD718" s="122"/>
      <c r="AE718" s="122"/>
      <c r="AF718" s="122"/>
      <c r="AG718" s="122"/>
      <c r="AH718" s="122"/>
      <c r="AI718" s="122"/>
      <c r="AJ718" s="122"/>
      <c r="AK718" s="122"/>
      <c r="AL718" s="122"/>
      <c r="AM718" s="122"/>
      <c r="AN718" s="122"/>
      <c r="AO718" s="122"/>
      <c r="AP718" s="122"/>
      <c r="AQ718" s="122"/>
      <c r="AR718" s="122"/>
      <c r="AS718" s="122"/>
      <c r="AT718" s="122"/>
      <c r="AU718" s="122"/>
      <c r="AV718" s="122"/>
      <c r="AW718" s="122"/>
      <c r="AX718" s="122"/>
      <c r="AY718" s="122"/>
    </row>
    <row r="719">
      <c r="A719" s="78"/>
      <c r="B719" s="78"/>
      <c r="C719" s="78"/>
      <c r="D719" s="78"/>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c r="AA719" s="122"/>
      <c r="AB719" s="122"/>
      <c r="AC719" s="122"/>
      <c r="AD719" s="122"/>
      <c r="AE719" s="122"/>
      <c r="AF719" s="122"/>
      <c r="AG719" s="122"/>
      <c r="AH719" s="122"/>
      <c r="AI719" s="122"/>
      <c r="AJ719" s="122"/>
      <c r="AK719" s="122"/>
      <c r="AL719" s="122"/>
      <c r="AM719" s="122"/>
      <c r="AN719" s="122"/>
      <c r="AO719" s="122"/>
      <c r="AP719" s="122"/>
      <c r="AQ719" s="122"/>
      <c r="AR719" s="122"/>
      <c r="AS719" s="122"/>
      <c r="AT719" s="122"/>
      <c r="AU719" s="122"/>
      <c r="AV719" s="122"/>
      <c r="AW719" s="122"/>
      <c r="AX719" s="122"/>
      <c r="AY719" s="122"/>
    </row>
    <row r="720">
      <c r="A720" s="78"/>
      <c r="B720" s="78"/>
      <c r="C720" s="78"/>
      <c r="D720" s="78"/>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c r="AA720" s="122"/>
      <c r="AB720" s="122"/>
      <c r="AC720" s="122"/>
      <c r="AD720" s="122"/>
      <c r="AE720" s="122"/>
      <c r="AF720" s="122"/>
      <c r="AG720" s="122"/>
      <c r="AH720" s="122"/>
      <c r="AI720" s="122"/>
      <c r="AJ720" s="122"/>
      <c r="AK720" s="122"/>
      <c r="AL720" s="122"/>
      <c r="AM720" s="122"/>
      <c r="AN720" s="122"/>
      <c r="AO720" s="122"/>
      <c r="AP720" s="122"/>
      <c r="AQ720" s="122"/>
      <c r="AR720" s="122"/>
      <c r="AS720" s="122"/>
      <c r="AT720" s="122"/>
      <c r="AU720" s="122"/>
      <c r="AV720" s="122"/>
      <c r="AW720" s="122"/>
      <c r="AX720" s="122"/>
      <c r="AY720" s="122"/>
    </row>
    <row r="721">
      <c r="A721" s="78"/>
      <c r="B721" s="78"/>
      <c r="C721" s="78"/>
      <c r="D721" s="78"/>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c r="AC721" s="122"/>
      <c r="AD721" s="122"/>
      <c r="AE721" s="122"/>
      <c r="AF721" s="122"/>
      <c r="AG721" s="122"/>
      <c r="AH721" s="122"/>
      <c r="AI721" s="122"/>
      <c r="AJ721" s="122"/>
      <c r="AK721" s="122"/>
      <c r="AL721" s="122"/>
      <c r="AM721" s="122"/>
      <c r="AN721" s="122"/>
      <c r="AO721" s="122"/>
      <c r="AP721" s="122"/>
      <c r="AQ721" s="122"/>
      <c r="AR721" s="122"/>
      <c r="AS721" s="122"/>
      <c r="AT721" s="122"/>
      <c r="AU721" s="122"/>
      <c r="AV721" s="122"/>
      <c r="AW721" s="122"/>
      <c r="AX721" s="122"/>
      <c r="AY721" s="122"/>
    </row>
    <row r="722">
      <c r="A722" s="78"/>
      <c r="B722" s="78"/>
      <c r="C722" s="78"/>
      <c r="D722" s="78"/>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c r="AA722" s="122"/>
      <c r="AB722" s="122"/>
      <c r="AC722" s="122"/>
      <c r="AD722" s="122"/>
      <c r="AE722" s="122"/>
      <c r="AF722" s="122"/>
      <c r="AG722" s="122"/>
      <c r="AH722" s="122"/>
      <c r="AI722" s="122"/>
      <c r="AJ722" s="122"/>
      <c r="AK722" s="122"/>
      <c r="AL722" s="122"/>
      <c r="AM722" s="122"/>
      <c r="AN722" s="122"/>
      <c r="AO722" s="122"/>
      <c r="AP722" s="122"/>
      <c r="AQ722" s="122"/>
      <c r="AR722" s="122"/>
      <c r="AS722" s="122"/>
      <c r="AT722" s="122"/>
      <c r="AU722" s="122"/>
      <c r="AV722" s="122"/>
      <c r="AW722" s="122"/>
      <c r="AX722" s="122"/>
      <c r="AY722" s="122"/>
    </row>
    <row r="723">
      <c r="A723" s="78"/>
      <c r="B723" s="78"/>
      <c r="C723" s="78"/>
      <c r="D723" s="78"/>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c r="AA723" s="122"/>
      <c r="AB723" s="122"/>
      <c r="AC723" s="122"/>
      <c r="AD723" s="122"/>
      <c r="AE723" s="122"/>
      <c r="AF723" s="122"/>
      <c r="AG723" s="122"/>
      <c r="AH723" s="122"/>
      <c r="AI723" s="122"/>
      <c r="AJ723" s="122"/>
      <c r="AK723" s="122"/>
      <c r="AL723" s="122"/>
      <c r="AM723" s="122"/>
      <c r="AN723" s="122"/>
      <c r="AO723" s="122"/>
      <c r="AP723" s="122"/>
      <c r="AQ723" s="122"/>
      <c r="AR723" s="122"/>
      <c r="AS723" s="122"/>
      <c r="AT723" s="122"/>
      <c r="AU723" s="122"/>
      <c r="AV723" s="122"/>
      <c r="AW723" s="122"/>
      <c r="AX723" s="122"/>
      <c r="AY723" s="122"/>
    </row>
    <row r="724">
      <c r="A724" s="78"/>
      <c r="B724" s="78"/>
      <c r="C724" s="78"/>
      <c r="D724" s="78"/>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c r="AA724" s="122"/>
      <c r="AB724" s="122"/>
      <c r="AC724" s="122"/>
      <c r="AD724" s="122"/>
      <c r="AE724" s="122"/>
      <c r="AF724" s="122"/>
      <c r="AG724" s="122"/>
      <c r="AH724" s="122"/>
      <c r="AI724" s="122"/>
      <c r="AJ724" s="122"/>
      <c r="AK724" s="122"/>
      <c r="AL724" s="122"/>
      <c r="AM724" s="122"/>
      <c r="AN724" s="122"/>
      <c r="AO724" s="122"/>
      <c r="AP724" s="122"/>
      <c r="AQ724" s="122"/>
      <c r="AR724" s="122"/>
      <c r="AS724" s="122"/>
      <c r="AT724" s="122"/>
      <c r="AU724" s="122"/>
      <c r="AV724" s="122"/>
      <c r="AW724" s="122"/>
      <c r="AX724" s="122"/>
      <c r="AY724" s="122"/>
    </row>
    <row r="725">
      <c r="A725" s="78"/>
      <c r="B725" s="78"/>
      <c r="C725" s="78"/>
      <c r="D725" s="78"/>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c r="AA725" s="122"/>
      <c r="AB725" s="122"/>
      <c r="AC725" s="122"/>
      <c r="AD725" s="122"/>
      <c r="AE725" s="122"/>
      <c r="AF725" s="122"/>
      <c r="AG725" s="122"/>
      <c r="AH725" s="122"/>
      <c r="AI725" s="122"/>
      <c r="AJ725" s="122"/>
      <c r="AK725" s="122"/>
      <c r="AL725" s="122"/>
      <c r="AM725" s="122"/>
      <c r="AN725" s="122"/>
      <c r="AO725" s="122"/>
      <c r="AP725" s="122"/>
      <c r="AQ725" s="122"/>
      <c r="AR725" s="122"/>
      <c r="AS725" s="122"/>
      <c r="AT725" s="122"/>
      <c r="AU725" s="122"/>
      <c r="AV725" s="122"/>
      <c r="AW725" s="122"/>
      <c r="AX725" s="122"/>
      <c r="AY725" s="122"/>
    </row>
    <row r="726">
      <c r="A726" s="78"/>
      <c r="B726" s="78"/>
      <c r="C726" s="78"/>
      <c r="D726" s="78"/>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c r="AA726" s="122"/>
      <c r="AB726" s="122"/>
      <c r="AC726" s="122"/>
      <c r="AD726" s="122"/>
      <c r="AE726" s="122"/>
      <c r="AF726" s="122"/>
      <c r="AG726" s="122"/>
      <c r="AH726" s="122"/>
      <c r="AI726" s="122"/>
      <c r="AJ726" s="122"/>
      <c r="AK726" s="122"/>
      <c r="AL726" s="122"/>
      <c r="AM726" s="122"/>
      <c r="AN726" s="122"/>
      <c r="AO726" s="122"/>
      <c r="AP726" s="122"/>
      <c r="AQ726" s="122"/>
      <c r="AR726" s="122"/>
      <c r="AS726" s="122"/>
      <c r="AT726" s="122"/>
      <c r="AU726" s="122"/>
      <c r="AV726" s="122"/>
      <c r="AW726" s="122"/>
      <c r="AX726" s="122"/>
      <c r="AY726" s="122"/>
    </row>
    <row r="727">
      <c r="A727" s="78"/>
      <c r="B727" s="78"/>
      <c r="C727" s="78"/>
      <c r="D727" s="78"/>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c r="AC727" s="122"/>
      <c r="AD727" s="122"/>
      <c r="AE727" s="122"/>
      <c r="AF727" s="122"/>
      <c r="AG727" s="122"/>
      <c r="AH727" s="122"/>
      <c r="AI727" s="122"/>
      <c r="AJ727" s="122"/>
      <c r="AK727" s="122"/>
      <c r="AL727" s="122"/>
      <c r="AM727" s="122"/>
      <c r="AN727" s="122"/>
      <c r="AO727" s="122"/>
      <c r="AP727" s="122"/>
      <c r="AQ727" s="122"/>
      <c r="AR727" s="122"/>
      <c r="AS727" s="122"/>
      <c r="AT727" s="122"/>
      <c r="AU727" s="122"/>
      <c r="AV727" s="122"/>
      <c r="AW727" s="122"/>
      <c r="AX727" s="122"/>
      <c r="AY727" s="122"/>
    </row>
    <row r="728">
      <c r="A728" s="78"/>
      <c r="B728" s="78"/>
      <c r="C728" s="78"/>
      <c r="D728" s="78"/>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c r="AA728" s="122"/>
      <c r="AB728" s="122"/>
      <c r="AC728" s="122"/>
      <c r="AD728" s="122"/>
      <c r="AE728" s="122"/>
      <c r="AF728" s="122"/>
      <c r="AG728" s="122"/>
      <c r="AH728" s="122"/>
      <c r="AI728" s="122"/>
      <c r="AJ728" s="122"/>
      <c r="AK728" s="122"/>
      <c r="AL728" s="122"/>
      <c r="AM728" s="122"/>
      <c r="AN728" s="122"/>
      <c r="AO728" s="122"/>
      <c r="AP728" s="122"/>
      <c r="AQ728" s="122"/>
      <c r="AR728" s="122"/>
      <c r="AS728" s="122"/>
      <c r="AT728" s="122"/>
      <c r="AU728" s="122"/>
      <c r="AV728" s="122"/>
      <c r="AW728" s="122"/>
      <c r="AX728" s="122"/>
      <c r="AY728" s="122"/>
    </row>
    <row r="729">
      <c r="A729" s="78"/>
      <c r="B729" s="78"/>
      <c r="C729" s="78"/>
      <c r="D729" s="78"/>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c r="AA729" s="122"/>
      <c r="AB729" s="122"/>
      <c r="AC729" s="122"/>
      <c r="AD729" s="122"/>
      <c r="AE729" s="122"/>
      <c r="AF729" s="122"/>
      <c r="AG729" s="122"/>
      <c r="AH729" s="122"/>
      <c r="AI729" s="122"/>
      <c r="AJ729" s="122"/>
      <c r="AK729" s="122"/>
      <c r="AL729" s="122"/>
      <c r="AM729" s="122"/>
      <c r="AN729" s="122"/>
      <c r="AO729" s="122"/>
      <c r="AP729" s="122"/>
      <c r="AQ729" s="122"/>
      <c r="AR729" s="122"/>
      <c r="AS729" s="122"/>
      <c r="AT729" s="122"/>
      <c r="AU729" s="122"/>
      <c r="AV729" s="122"/>
      <c r="AW729" s="122"/>
      <c r="AX729" s="122"/>
      <c r="AY729" s="122"/>
    </row>
    <row r="730">
      <c r="A730" s="78"/>
      <c r="B730" s="78"/>
      <c r="C730" s="78"/>
      <c r="D730" s="78"/>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c r="AC730" s="122"/>
      <c r="AD730" s="122"/>
      <c r="AE730" s="122"/>
      <c r="AF730" s="122"/>
      <c r="AG730" s="122"/>
      <c r="AH730" s="122"/>
      <c r="AI730" s="122"/>
      <c r="AJ730" s="122"/>
      <c r="AK730" s="122"/>
      <c r="AL730" s="122"/>
      <c r="AM730" s="122"/>
      <c r="AN730" s="122"/>
      <c r="AO730" s="122"/>
      <c r="AP730" s="122"/>
      <c r="AQ730" s="122"/>
      <c r="AR730" s="122"/>
      <c r="AS730" s="122"/>
      <c r="AT730" s="122"/>
      <c r="AU730" s="122"/>
      <c r="AV730" s="122"/>
      <c r="AW730" s="122"/>
      <c r="AX730" s="122"/>
      <c r="AY730" s="122"/>
    </row>
    <row r="731">
      <c r="A731" s="78"/>
      <c r="B731" s="78"/>
      <c r="C731" s="78"/>
      <c r="D731" s="78"/>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c r="AA731" s="122"/>
      <c r="AB731" s="122"/>
      <c r="AC731" s="122"/>
      <c r="AD731" s="122"/>
      <c r="AE731" s="122"/>
      <c r="AF731" s="122"/>
      <c r="AG731" s="122"/>
      <c r="AH731" s="122"/>
      <c r="AI731" s="122"/>
      <c r="AJ731" s="122"/>
      <c r="AK731" s="122"/>
      <c r="AL731" s="122"/>
      <c r="AM731" s="122"/>
      <c r="AN731" s="122"/>
      <c r="AO731" s="122"/>
      <c r="AP731" s="122"/>
      <c r="AQ731" s="122"/>
      <c r="AR731" s="122"/>
      <c r="AS731" s="122"/>
      <c r="AT731" s="122"/>
      <c r="AU731" s="122"/>
      <c r="AV731" s="122"/>
      <c r="AW731" s="122"/>
      <c r="AX731" s="122"/>
      <c r="AY731" s="122"/>
    </row>
    <row r="732">
      <c r="A732" s="78"/>
      <c r="B732" s="78"/>
      <c r="C732" s="78"/>
      <c r="D732" s="78"/>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c r="AA732" s="122"/>
      <c r="AB732" s="122"/>
      <c r="AC732" s="122"/>
      <c r="AD732" s="122"/>
      <c r="AE732" s="122"/>
      <c r="AF732" s="122"/>
      <c r="AG732" s="122"/>
      <c r="AH732" s="122"/>
      <c r="AI732" s="122"/>
      <c r="AJ732" s="122"/>
      <c r="AK732" s="122"/>
      <c r="AL732" s="122"/>
      <c r="AM732" s="122"/>
      <c r="AN732" s="122"/>
      <c r="AO732" s="122"/>
      <c r="AP732" s="122"/>
      <c r="AQ732" s="122"/>
      <c r="AR732" s="122"/>
      <c r="AS732" s="122"/>
      <c r="AT732" s="122"/>
      <c r="AU732" s="122"/>
      <c r="AV732" s="122"/>
      <c r="AW732" s="122"/>
      <c r="AX732" s="122"/>
      <c r="AY732" s="122"/>
    </row>
    <row r="733">
      <c r="A733" s="78"/>
      <c r="B733" s="78"/>
      <c r="C733" s="78"/>
      <c r="D733" s="78"/>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c r="AA733" s="122"/>
      <c r="AB733" s="122"/>
      <c r="AC733" s="122"/>
      <c r="AD733" s="122"/>
      <c r="AE733" s="122"/>
      <c r="AF733" s="122"/>
      <c r="AG733" s="122"/>
      <c r="AH733" s="122"/>
      <c r="AI733" s="122"/>
      <c r="AJ733" s="122"/>
      <c r="AK733" s="122"/>
      <c r="AL733" s="122"/>
      <c r="AM733" s="122"/>
      <c r="AN733" s="122"/>
      <c r="AO733" s="122"/>
      <c r="AP733" s="122"/>
      <c r="AQ733" s="122"/>
      <c r="AR733" s="122"/>
      <c r="AS733" s="122"/>
      <c r="AT733" s="122"/>
      <c r="AU733" s="122"/>
      <c r="AV733" s="122"/>
      <c r="AW733" s="122"/>
      <c r="AX733" s="122"/>
      <c r="AY733" s="122"/>
    </row>
    <row r="734">
      <c r="A734" s="78"/>
      <c r="B734" s="78"/>
      <c r="C734" s="78"/>
      <c r="D734" s="78"/>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c r="AA734" s="122"/>
      <c r="AB734" s="122"/>
      <c r="AC734" s="122"/>
      <c r="AD734" s="122"/>
      <c r="AE734" s="122"/>
      <c r="AF734" s="122"/>
      <c r="AG734" s="122"/>
      <c r="AH734" s="122"/>
      <c r="AI734" s="122"/>
      <c r="AJ734" s="122"/>
      <c r="AK734" s="122"/>
      <c r="AL734" s="122"/>
      <c r="AM734" s="122"/>
      <c r="AN734" s="122"/>
      <c r="AO734" s="122"/>
      <c r="AP734" s="122"/>
      <c r="AQ734" s="122"/>
      <c r="AR734" s="122"/>
      <c r="AS734" s="122"/>
      <c r="AT734" s="122"/>
      <c r="AU734" s="122"/>
      <c r="AV734" s="122"/>
      <c r="AW734" s="122"/>
      <c r="AX734" s="122"/>
      <c r="AY734" s="122"/>
    </row>
    <row r="735">
      <c r="A735" s="78"/>
      <c r="B735" s="78"/>
      <c r="C735" s="78"/>
      <c r="D735" s="78"/>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c r="AC735" s="122"/>
      <c r="AD735" s="122"/>
      <c r="AE735" s="122"/>
      <c r="AF735" s="122"/>
      <c r="AG735" s="122"/>
      <c r="AH735" s="122"/>
      <c r="AI735" s="122"/>
      <c r="AJ735" s="122"/>
      <c r="AK735" s="122"/>
      <c r="AL735" s="122"/>
      <c r="AM735" s="122"/>
      <c r="AN735" s="122"/>
      <c r="AO735" s="122"/>
      <c r="AP735" s="122"/>
      <c r="AQ735" s="122"/>
      <c r="AR735" s="122"/>
      <c r="AS735" s="122"/>
      <c r="AT735" s="122"/>
      <c r="AU735" s="122"/>
      <c r="AV735" s="122"/>
      <c r="AW735" s="122"/>
      <c r="AX735" s="122"/>
      <c r="AY735" s="122"/>
    </row>
    <row r="736">
      <c r="A736" s="78"/>
      <c r="B736" s="78"/>
      <c r="C736" s="78"/>
      <c r="D736" s="78"/>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c r="AA736" s="122"/>
      <c r="AB736" s="122"/>
      <c r="AC736" s="122"/>
      <c r="AD736" s="122"/>
      <c r="AE736" s="122"/>
      <c r="AF736" s="122"/>
      <c r="AG736" s="122"/>
      <c r="AH736" s="122"/>
      <c r="AI736" s="122"/>
      <c r="AJ736" s="122"/>
      <c r="AK736" s="122"/>
      <c r="AL736" s="122"/>
      <c r="AM736" s="122"/>
      <c r="AN736" s="122"/>
      <c r="AO736" s="122"/>
      <c r="AP736" s="122"/>
      <c r="AQ736" s="122"/>
      <c r="AR736" s="122"/>
      <c r="AS736" s="122"/>
      <c r="AT736" s="122"/>
      <c r="AU736" s="122"/>
      <c r="AV736" s="122"/>
      <c r="AW736" s="122"/>
      <c r="AX736" s="122"/>
      <c r="AY736" s="122"/>
    </row>
    <row r="737">
      <c r="A737" s="78"/>
      <c r="B737" s="78"/>
      <c r="C737" s="78"/>
      <c r="D737" s="78"/>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c r="AA737" s="122"/>
      <c r="AB737" s="122"/>
      <c r="AC737" s="122"/>
      <c r="AD737" s="122"/>
      <c r="AE737" s="122"/>
      <c r="AF737" s="122"/>
      <c r="AG737" s="122"/>
      <c r="AH737" s="122"/>
      <c r="AI737" s="122"/>
      <c r="AJ737" s="122"/>
      <c r="AK737" s="122"/>
      <c r="AL737" s="122"/>
      <c r="AM737" s="122"/>
      <c r="AN737" s="122"/>
      <c r="AO737" s="122"/>
      <c r="AP737" s="122"/>
      <c r="AQ737" s="122"/>
      <c r="AR737" s="122"/>
      <c r="AS737" s="122"/>
      <c r="AT737" s="122"/>
      <c r="AU737" s="122"/>
      <c r="AV737" s="122"/>
      <c r="AW737" s="122"/>
      <c r="AX737" s="122"/>
      <c r="AY737" s="122"/>
    </row>
    <row r="738">
      <c r="A738" s="78"/>
      <c r="B738" s="78"/>
      <c r="C738" s="78"/>
      <c r="D738" s="78"/>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c r="AA738" s="122"/>
      <c r="AB738" s="122"/>
      <c r="AC738" s="122"/>
      <c r="AD738" s="122"/>
      <c r="AE738" s="122"/>
      <c r="AF738" s="122"/>
      <c r="AG738" s="122"/>
      <c r="AH738" s="122"/>
      <c r="AI738" s="122"/>
      <c r="AJ738" s="122"/>
      <c r="AK738" s="122"/>
      <c r="AL738" s="122"/>
      <c r="AM738" s="122"/>
      <c r="AN738" s="122"/>
      <c r="AO738" s="122"/>
      <c r="AP738" s="122"/>
      <c r="AQ738" s="122"/>
      <c r="AR738" s="122"/>
      <c r="AS738" s="122"/>
      <c r="AT738" s="122"/>
      <c r="AU738" s="122"/>
      <c r="AV738" s="122"/>
      <c r="AW738" s="122"/>
      <c r="AX738" s="122"/>
      <c r="AY738" s="122"/>
    </row>
    <row r="739">
      <c r="A739" s="78"/>
      <c r="B739" s="78"/>
      <c r="C739" s="78"/>
      <c r="D739" s="78"/>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c r="AA739" s="122"/>
      <c r="AB739" s="122"/>
      <c r="AC739" s="122"/>
      <c r="AD739" s="122"/>
      <c r="AE739" s="122"/>
      <c r="AF739" s="122"/>
      <c r="AG739" s="122"/>
      <c r="AH739" s="122"/>
      <c r="AI739" s="122"/>
      <c r="AJ739" s="122"/>
      <c r="AK739" s="122"/>
      <c r="AL739" s="122"/>
      <c r="AM739" s="122"/>
      <c r="AN739" s="122"/>
      <c r="AO739" s="122"/>
      <c r="AP739" s="122"/>
      <c r="AQ739" s="122"/>
      <c r="AR739" s="122"/>
      <c r="AS739" s="122"/>
      <c r="AT739" s="122"/>
      <c r="AU739" s="122"/>
      <c r="AV739" s="122"/>
      <c r="AW739" s="122"/>
      <c r="AX739" s="122"/>
      <c r="AY739" s="122"/>
    </row>
    <row r="740">
      <c r="A740" s="78"/>
      <c r="B740" s="78"/>
      <c r="C740" s="78"/>
      <c r="D740" s="78"/>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c r="AA740" s="122"/>
      <c r="AB740" s="122"/>
      <c r="AC740" s="122"/>
      <c r="AD740" s="122"/>
      <c r="AE740" s="122"/>
      <c r="AF740" s="122"/>
      <c r="AG740" s="122"/>
      <c r="AH740" s="122"/>
      <c r="AI740" s="122"/>
      <c r="AJ740" s="122"/>
      <c r="AK740" s="122"/>
      <c r="AL740" s="122"/>
      <c r="AM740" s="122"/>
      <c r="AN740" s="122"/>
      <c r="AO740" s="122"/>
      <c r="AP740" s="122"/>
      <c r="AQ740" s="122"/>
      <c r="AR740" s="122"/>
      <c r="AS740" s="122"/>
      <c r="AT740" s="122"/>
      <c r="AU740" s="122"/>
      <c r="AV740" s="122"/>
      <c r="AW740" s="122"/>
      <c r="AX740" s="122"/>
      <c r="AY740" s="122"/>
    </row>
    <row r="741">
      <c r="A741" s="78"/>
      <c r="B741" s="78"/>
      <c r="C741" s="78"/>
      <c r="D741" s="78"/>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c r="AA741" s="122"/>
      <c r="AB741" s="122"/>
      <c r="AC741" s="122"/>
      <c r="AD741" s="122"/>
      <c r="AE741" s="122"/>
      <c r="AF741" s="122"/>
      <c r="AG741" s="122"/>
      <c r="AH741" s="122"/>
      <c r="AI741" s="122"/>
      <c r="AJ741" s="122"/>
      <c r="AK741" s="122"/>
      <c r="AL741" s="122"/>
      <c r="AM741" s="122"/>
      <c r="AN741" s="122"/>
      <c r="AO741" s="122"/>
      <c r="AP741" s="122"/>
      <c r="AQ741" s="122"/>
      <c r="AR741" s="122"/>
      <c r="AS741" s="122"/>
      <c r="AT741" s="122"/>
      <c r="AU741" s="122"/>
      <c r="AV741" s="122"/>
      <c r="AW741" s="122"/>
      <c r="AX741" s="122"/>
      <c r="AY741" s="122"/>
    </row>
    <row r="742">
      <c r="A742" s="78"/>
      <c r="B742" s="78"/>
      <c r="C742" s="78"/>
      <c r="D742" s="78"/>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c r="AA742" s="122"/>
      <c r="AB742" s="122"/>
      <c r="AC742" s="122"/>
      <c r="AD742" s="122"/>
      <c r="AE742" s="122"/>
      <c r="AF742" s="122"/>
      <c r="AG742" s="122"/>
      <c r="AH742" s="122"/>
      <c r="AI742" s="122"/>
      <c r="AJ742" s="122"/>
      <c r="AK742" s="122"/>
      <c r="AL742" s="122"/>
      <c r="AM742" s="122"/>
      <c r="AN742" s="122"/>
      <c r="AO742" s="122"/>
      <c r="AP742" s="122"/>
      <c r="AQ742" s="122"/>
      <c r="AR742" s="122"/>
      <c r="AS742" s="122"/>
      <c r="AT742" s="122"/>
      <c r="AU742" s="122"/>
      <c r="AV742" s="122"/>
      <c r="AW742" s="122"/>
      <c r="AX742" s="122"/>
      <c r="AY742" s="122"/>
    </row>
    <row r="743">
      <c r="A743" s="78"/>
      <c r="B743" s="78"/>
      <c r="C743" s="78"/>
      <c r="D743" s="78"/>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c r="AC743" s="122"/>
      <c r="AD743" s="122"/>
      <c r="AE743" s="122"/>
      <c r="AF743" s="122"/>
      <c r="AG743" s="122"/>
      <c r="AH743" s="122"/>
      <c r="AI743" s="122"/>
      <c r="AJ743" s="122"/>
      <c r="AK743" s="122"/>
      <c r="AL743" s="122"/>
      <c r="AM743" s="122"/>
      <c r="AN743" s="122"/>
      <c r="AO743" s="122"/>
      <c r="AP743" s="122"/>
      <c r="AQ743" s="122"/>
      <c r="AR743" s="122"/>
      <c r="AS743" s="122"/>
      <c r="AT743" s="122"/>
      <c r="AU743" s="122"/>
      <c r="AV743" s="122"/>
      <c r="AW743" s="122"/>
      <c r="AX743" s="122"/>
      <c r="AY743" s="122"/>
    </row>
    <row r="744">
      <c r="A744" s="78"/>
      <c r="B744" s="78"/>
      <c r="C744" s="78"/>
      <c r="D744" s="78"/>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c r="AA744" s="122"/>
      <c r="AB744" s="122"/>
      <c r="AC744" s="122"/>
      <c r="AD744" s="122"/>
      <c r="AE744" s="122"/>
      <c r="AF744" s="122"/>
      <c r="AG744" s="122"/>
      <c r="AH744" s="122"/>
      <c r="AI744" s="122"/>
      <c r="AJ744" s="122"/>
      <c r="AK744" s="122"/>
      <c r="AL744" s="122"/>
      <c r="AM744" s="122"/>
      <c r="AN744" s="122"/>
      <c r="AO744" s="122"/>
      <c r="AP744" s="122"/>
      <c r="AQ744" s="122"/>
      <c r="AR744" s="122"/>
      <c r="AS744" s="122"/>
      <c r="AT744" s="122"/>
      <c r="AU744" s="122"/>
      <c r="AV744" s="122"/>
      <c r="AW744" s="122"/>
      <c r="AX744" s="122"/>
      <c r="AY744" s="122"/>
    </row>
    <row r="745">
      <c r="A745" s="78"/>
      <c r="B745" s="78"/>
      <c r="C745" s="78"/>
      <c r="D745" s="78"/>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c r="AA745" s="122"/>
      <c r="AB745" s="122"/>
      <c r="AC745" s="122"/>
      <c r="AD745" s="122"/>
      <c r="AE745" s="122"/>
      <c r="AF745" s="122"/>
      <c r="AG745" s="122"/>
      <c r="AH745" s="122"/>
      <c r="AI745" s="122"/>
      <c r="AJ745" s="122"/>
      <c r="AK745" s="122"/>
      <c r="AL745" s="122"/>
      <c r="AM745" s="122"/>
      <c r="AN745" s="122"/>
      <c r="AO745" s="122"/>
      <c r="AP745" s="122"/>
      <c r="AQ745" s="122"/>
      <c r="AR745" s="122"/>
      <c r="AS745" s="122"/>
      <c r="AT745" s="122"/>
      <c r="AU745" s="122"/>
      <c r="AV745" s="122"/>
      <c r="AW745" s="122"/>
      <c r="AX745" s="122"/>
      <c r="AY745" s="122"/>
    </row>
    <row r="746">
      <c r="A746" s="78"/>
      <c r="B746" s="78"/>
      <c r="C746" s="78"/>
      <c r="D746" s="78"/>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c r="AA746" s="122"/>
      <c r="AB746" s="122"/>
      <c r="AC746" s="122"/>
      <c r="AD746" s="122"/>
      <c r="AE746" s="122"/>
      <c r="AF746" s="122"/>
      <c r="AG746" s="122"/>
      <c r="AH746" s="122"/>
      <c r="AI746" s="122"/>
      <c r="AJ746" s="122"/>
      <c r="AK746" s="122"/>
      <c r="AL746" s="122"/>
      <c r="AM746" s="122"/>
      <c r="AN746" s="122"/>
      <c r="AO746" s="122"/>
      <c r="AP746" s="122"/>
      <c r="AQ746" s="122"/>
      <c r="AR746" s="122"/>
      <c r="AS746" s="122"/>
      <c r="AT746" s="122"/>
      <c r="AU746" s="122"/>
      <c r="AV746" s="122"/>
      <c r="AW746" s="122"/>
      <c r="AX746" s="122"/>
      <c r="AY746" s="122"/>
    </row>
    <row r="747">
      <c r="A747" s="78"/>
      <c r="B747" s="78"/>
      <c r="C747" s="78"/>
      <c r="D747" s="78"/>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c r="AA747" s="122"/>
      <c r="AB747" s="122"/>
      <c r="AC747" s="122"/>
      <c r="AD747" s="122"/>
      <c r="AE747" s="122"/>
      <c r="AF747" s="122"/>
      <c r="AG747" s="122"/>
      <c r="AH747" s="122"/>
      <c r="AI747" s="122"/>
      <c r="AJ747" s="122"/>
      <c r="AK747" s="122"/>
      <c r="AL747" s="122"/>
      <c r="AM747" s="122"/>
      <c r="AN747" s="122"/>
      <c r="AO747" s="122"/>
      <c r="AP747" s="122"/>
      <c r="AQ747" s="122"/>
      <c r="AR747" s="122"/>
      <c r="AS747" s="122"/>
      <c r="AT747" s="122"/>
      <c r="AU747" s="122"/>
      <c r="AV747" s="122"/>
      <c r="AW747" s="122"/>
      <c r="AX747" s="122"/>
      <c r="AY747" s="122"/>
    </row>
    <row r="748">
      <c r="A748" s="78"/>
      <c r="B748" s="78"/>
      <c r="C748" s="78"/>
      <c r="D748" s="78"/>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c r="AC748" s="122"/>
      <c r="AD748" s="122"/>
      <c r="AE748" s="122"/>
      <c r="AF748" s="122"/>
      <c r="AG748" s="122"/>
      <c r="AH748" s="122"/>
      <c r="AI748" s="122"/>
      <c r="AJ748" s="122"/>
      <c r="AK748" s="122"/>
      <c r="AL748" s="122"/>
      <c r="AM748" s="122"/>
      <c r="AN748" s="122"/>
      <c r="AO748" s="122"/>
      <c r="AP748" s="122"/>
      <c r="AQ748" s="122"/>
      <c r="AR748" s="122"/>
      <c r="AS748" s="122"/>
      <c r="AT748" s="122"/>
      <c r="AU748" s="122"/>
      <c r="AV748" s="122"/>
      <c r="AW748" s="122"/>
      <c r="AX748" s="122"/>
      <c r="AY748" s="122"/>
    </row>
    <row r="749">
      <c r="A749" s="78"/>
      <c r="B749" s="78"/>
      <c r="C749" s="78"/>
      <c r="D749" s="78"/>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c r="AA749" s="122"/>
      <c r="AB749" s="122"/>
      <c r="AC749" s="122"/>
      <c r="AD749" s="122"/>
      <c r="AE749" s="122"/>
      <c r="AF749" s="122"/>
      <c r="AG749" s="122"/>
      <c r="AH749" s="122"/>
      <c r="AI749" s="122"/>
      <c r="AJ749" s="122"/>
      <c r="AK749" s="122"/>
      <c r="AL749" s="122"/>
      <c r="AM749" s="122"/>
      <c r="AN749" s="122"/>
      <c r="AO749" s="122"/>
      <c r="AP749" s="122"/>
      <c r="AQ749" s="122"/>
      <c r="AR749" s="122"/>
      <c r="AS749" s="122"/>
      <c r="AT749" s="122"/>
      <c r="AU749" s="122"/>
      <c r="AV749" s="122"/>
      <c r="AW749" s="122"/>
      <c r="AX749" s="122"/>
      <c r="AY749" s="122"/>
    </row>
    <row r="750">
      <c r="A750" s="78"/>
      <c r="B750" s="78"/>
      <c r="C750" s="78"/>
      <c r="D750" s="78"/>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c r="AA750" s="122"/>
      <c r="AB750" s="122"/>
      <c r="AC750" s="122"/>
      <c r="AD750" s="122"/>
      <c r="AE750" s="122"/>
      <c r="AF750" s="122"/>
      <c r="AG750" s="122"/>
      <c r="AH750" s="122"/>
      <c r="AI750" s="122"/>
      <c r="AJ750" s="122"/>
      <c r="AK750" s="122"/>
      <c r="AL750" s="122"/>
      <c r="AM750" s="122"/>
      <c r="AN750" s="122"/>
      <c r="AO750" s="122"/>
      <c r="AP750" s="122"/>
      <c r="AQ750" s="122"/>
      <c r="AR750" s="122"/>
      <c r="AS750" s="122"/>
      <c r="AT750" s="122"/>
      <c r="AU750" s="122"/>
      <c r="AV750" s="122"/>
      <c r="AW750" s="122"/>
      <c r="AX750" s="122"/>
      <c r="AY750" s="122"/>
    </row>
    <row r="751">
      <c r="A751" s="78"/>
      <c r="B751" s="78"/>
      <c r="C751" s="78"/>
      <c r="D751" s="78"/>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c r="AA751" s="122"/>
      <c r="AB751" s="122"/>
      <c r="AC751" s="122"/>
      <c r="AD751" s="122"/>
      <c r="AE751" s="122"/>
      <c r="AF751" s="122"/>
      <c r="AG751" s="122"/>
      <c r="AH751" s="122"/>
      <c r="AI751" s="122"/>
      <c r="AJ751" s="122"/>
      <c r="AK751" s="122"/>
      <c r="AL751" s="122"/>
      <c r="AM751" s="122"/>
      <c r="AN751" s="122"/>
      <c r="AO751" s="122"/>
      <c r="AP751" s="122"/>
      <c r="AQ751" s="122"/>
      <c r="AR751" s="122"/>
      <c r="AS751" s="122"/>
      <c r="AT751" s="122"/>
      <c r="AU751" s="122"/>
      <c r="AV751" s="122"/>
      <c r="AW751" s="122"/>
      <c r="AX751" s="122"/>
      <c r="AY751" s="122"/>
    </row>
    <row r="752">
      <c r="A752" s="78"/>
      <c r="B752" s="78"/>
      <c r="C752" s="78"/>
      <c r="D752" s="78"/>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c r="AA752" s="122"/>
      <c r="AB752" s="122"/>
      <c r="AC752" s="122"/>
      <c r="AD752" s="122"/>
      <c r="AE752" s="122"/>
      <c r="AF752" s="122"/>
      <c r="AG752" s="122"/>
      <c r="AH752" s="122"/>
      <c r="AI752" s="122"/>
      <c r="AJ752" s="122"/>
      <c r="AK752" s="122"/>
      <c r="AL752" s="122"/>
      <c r="AM752" s="122"/>
      <c r="AN752" s="122"/>
      <c r="AO752" s="122"/>
      <c r="AP752" s="122"/>
      <c r="AQ752" s="122"/>
      <c r="AR752" s="122"/>
      <c r="AS752" s="122"/>
      <c r="AT752" s="122"/>
      <c r="AU752" s="122"/>
      <c r="AV752" s="122"/>
      <c r="AW752" s="122"/>
      <c r="AX752" s="122"/>
      <c r="AY752" s="122"/>
    </row>
    <row r="753">
      <c r="A753" s="78"/>
      <c r="B753" s="78"/>
      <c r="C753" s="78"/>
      <c r="D753" s="78"/>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c r="AC753" s="122"/>
      <c r="AD753" s="122"/>
      <c r="AE753" s="122"/>
      <c r="AF753" s="122"/>
      <c r="AG753" s="122"/>
      <c r="AH753" s="122"/>
      <c r="AI753" s="122"/>
      <c r="AJ753" s="122"/>
      <c r="AK753" s="122"/>
      <c r="AL753" s="122"/>
      <c r="AM753" s="122"/>
      <c r="AN753" s="122"/>
      <c r="AO753" s="122"/>
      <c r="AP753" s="122"/>
      <c r="AQ753" s="122"/>
      <c r="AR753" s="122"/>
      <c r="AS753" s="122"/>
      <c r="AT753" s="122"/>
      <c r="AU753" s="122"/>
      <c r="AV753" s="122"/>
      <c r="AW753" s="122"/>
      <c r="AX753" s="122"/>
      <c r="AY753" s="122"/>
    </row>
    <row r="754">
      <c r="A754" s="78"/>
      <c r="B754" s="78"/>
      <c r="C754" s="78"/>
      <c r="D754" s="78"/>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c r="AA754" s="122"/>
      <c r="AB754" s="122"/>
      <c r="AC754" s="122"/>
      <c r="AD754" s="122"/>
      <c r="AE754" s="122"/>
      <c r="AF754" s="122"/>
      <c r="AG754" s="122"/>
      <c r="AH754" s="122"/>
      <c r="AI754" s="122"/>
      <c r="AJ754" s="122"/>
      <c r="AK754" s="122"/>
      <c r="AL754" s="122"/>
      <c r="AM754" s="122"/>
      <c r="AN754" s="122"/>
      <c r="AO754" s="122"/>
      <c r="AP754" s="122"/>
      <c r="AQ754" s="122"/>
      <c r="AR754" s="122"/>
      <c r="AS754" s="122"/>
      <c r="AT754" s="122"/>
      <c r="AU754" s="122"/>
      <c r="AV754" s="122"/>
      <c r="AW754" s="122"/>
      <c r="AX754" s="122"/>
      <c r="AY754" s="122"/>
    </row>
    <row r="755">
      <c r="A755" s="78"/>
      <c r="B755" s="78"/>
      <c r="C755" s="78"/>
      <c r="D755" s="78"/>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c r="AA755" s="122"/>
      <c r="AB755" s="122"/>
      <c r="AC755" s="122"/>
      <c r="AD755" s="122"/>
      <c r="AE755" s="122"/>
      <c r="AF755" s="122"/>
      <c r="AG755" s="122"/>
      <c r="AH755" s="122"/>
      <c r="AI755" s="122"/>
      <c r="AJ755" s="122"/>
      <c r="AK755" s="122"/>
      <c r="AL755" s="122"/>
      <c r="AM755" s="122"/>
      <c r="AN755" s="122"/>
      <c r="AO755" s="122"/>
      <c r="AP755" s="122"/>
      <c r="AQ755" s="122"/>
      <c r="AR755" s="122"/>
      <c r="AS755" s="122"/>
      <c r="AT755" s="122"/>
      <c r="AU755" s="122"/>
      <c r="AV755" s="122"/>
      <c r="AW755" s="122"/>
      <c r="AX755" s="122"/>
      <c r="AY755" s="122"/>
    </row>
    <row r="756">
      <c r="A756" s="78"/>
      <c r="B756" s="78"/>
      <c r="C756" s="78"/>
      <c r="D756" s="78"/>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c r="AA756" s="122"/>
      <c r="AB756" s="122"/>
      <c r="AC756" s="122"/>
      <c r="AD756" s="122"/>
      <c r="AE756" s="122"/>
      <c r="AF756" s="122"/>
      <c r="AG756" s="122"/>
      <c r="AH756" s="122"/>
      <c r="AI756" s="122"/>
      <c r="AJ756" s="122"/>
      <c r="AK756" s="122"/>
      <c r="AL756" s="122"/>
      <c r="AM756" s="122"/>
      <c r="AN756" s="122"/>
      <c r="AO756" s="122"/>
      <c r="AP756" s="122"/>
      <c r="AQ756" s="122"/>
      <c r="AR756" s="122"/>
      <c r="AS756" s="122"/>
      <c r="AT756" s="122"/>
      <c r="AU756" s="122"/>
      <c r="AV756" s="122"/>
      <c r="AW756" s="122"/>
      <c r="AX756" s="122"/>
      <c r="AY756" s="122"/>
    </row>
    <row r="757">
      <c r="A757" s="78"/>
      <c r="B757" s="78"/>
      <c r="C757" s="78"/>
      <c r="D757" s="78"/>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c r="AA757" s="122"/>
      <c r="AB757" s="122"/>
      <c r="AC757" s="122"/>
      <c r="AD757" s="122"/>
      <c r="AE757" s="122"/>
      <c r="AF757" s="122"/>
      <c r="AG757" s="122"/>
      <c r="AH757" s="122"/>
      <c r="AI757" s="122"/>
      <c r="AJ757" s="122"/>
      <c r="AK757" s="122"/>
      <c r="AL757" s="122"/>
      <c r="AM757" s="122"/>
      <c r="AN757" s="122"/>
      <c r="AO757" s="122"/>
      <c r="AP757" s="122"/>
      <c r="AQ757" s="122"/>
      <c r="AR757" s="122"/>
      <c r="AS757" s="122"/>
      <c r="AT757" s="122"/>
      <c r="AU757" s="122"/>
      <c r="AV757" s="122"/>
      <c r="AW757" s="122"/>
      <c r="AX757" s="122"/>
      <c r="AY757" s="122"/>
    </row>
    <row r="758">
      <c r="A758" s="78"/>
      <c r="B758" s="78"/>
      <c r="C758" s="78"/>
      <c r="D758" s="78"/>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c r="AC758" s="122"/>
      <c r="AD758" s="122"/>
      <c r="AE758" s="122"/>
      <c r="AF758" s="122"/>
      <c r="AG758" s="122"/>
      <c r="AH758" s="122"/>
      <c r="AI758" s="122"/>
      <c r="AJ758" s="122"/>
      <c r="AK758" s="122"/>
      <c r="AL758" s="122"/>
      <c r="AM758" s="122"/>
      <c r="AN758" s="122"/>
      <c r="AO758" s="122"/>
      <c r="AP758" s="122"/>
      <c r="AQ758" s="122"/>
      <c r="AR758" s="122"/>
      <c r="AS758" s="122"/>
      <c r="AT758" s="122"/>
      <c r="AU758" s="122"/>
      <c r="AV758" s="122"/>
      <c r="AW758" s="122"/>
      <c r="AX758" s="122"/>
      <c r="AY758" s="122"/>
    </row>
    <row r="759">
      <c r="A759" s="78"/>
      <c r="B759" s="78"/>
      <c r="C759" s="78"/>
      <c r="D759" s="78"/>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c r="AA759" s="122"/>
      <c r="AB759" s="122"/>
      <c r="AC759" s="122"/>
      <c r="AD759" s="122"/>
      <c r="AE759" s="122"/>
      <c r="AF759" s="122"/>
      <c r="AG759" s="122"/>
      <c r="AH759" s="122"/>
      <c r="AI759" s="122"/>
      <c r="AJ759" s="122"/>
      <c r="AK759" s="122"/>
      <c r="AL759" s="122"/>
      <c r="AM759" s="122"/>
      <c r="AN759" s="122"/>
      <c r="AO759" s="122"/>
      <c r="AP759" s="122"/>
      <c r="AQ759" s="122"/>
      <c r="AR759" s="122"/>
      <c r="AS759" s="122"/>
      <c r="AT759" s="122"/>
      <c r="AU759" s="122"/>
      <c r="AV759" s="122"/>
      <c r="AW759" s="122"/>
      <c r="AX759" s="122"/>
      <c r="AY759" s="122"/>
    </row>
    <row r="760">
      <c r="A760" s="78"/>
      <c r="B760" s="78"/>
      <c r="C760" s="78"/>
      <c r="D760" s="78"/>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c r="AA760" s="122"/>
      <c r="AB760" s="122"/>
      <c r="AC760" s="122"/>
      <c r="AD760" s="122"/>
      <c r="AE760" s="122"/>
      <c r="AF760" s="122"/>
      <c r="AG760" s="122"/>
      <c r="AH760" s="122"/>
      <c r="AI760" s="122"/>
      <c r="AJ760" s="122"/>
      <c r="AK760" s="122"/>
      <c r="AL760" s="122"/>
      <c r="AM760" s="122"/>
      <c r="AN760" s="122"/>
      <c r="AO760" s="122"/>
      <c r="AP760" s="122"/>
      <c r="AQ760" s="122"/>
      <c r="AR760" s="122"/>
      <c r="AS760" s="122"/>
      <c r="AT760" s="122"/>
      <c r="AU760" s="122"/>
      <c r="AV760" s="122"/>
      <c r="AW760" s="122"/>
      <c r="AX760" s="122"/>
      <c r="AY760" s="122"/>
    </row>
    <row r="761">
      <c r="A761" s="78"/>
      <c r="B761" s="78"/>
      <c r="C761" s="78"/>
      <c r="D761" s="78"/>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c r="AA761" s="122"/>
      <c r="AB761" s="122"/>
      <c r="AC761" s="122"/>
      <c r="AD761" s="122"/>
      <c r="AE761" s="122"/>
      <c r="AF761" s="122"/>
      <c r="AG761" s="122"/>
      <c r="AH761" s="122"/>
      <c r="AI761" s="122"/>
      <c r="AJ761" s="122"/>
      <c r="AK761" s="122"/>
      <c r="AL761" s="122"/>
      <c r="AM761" s="122"/>
      <c r="AN761" s="122"/>
      <c r="AO761" s="122"/>
      <c r="AP761" s="122"/>
      <c r="AQ761" s="122"/>
      <c r="AR761" s="122"/>
      <c r="AS761" s="122"/>
      <c r="AT761" s="122"/>
      <c r="AU761" s="122"/>
      <c r="AV761" s="122"/>
      <c r="AW761" s="122"/>
      <c r="AX761" s="122"/>
      <c r="AY761" s="122"/>
    </row>
    <row r="762">
      <c r="A762" s="78"/>
      <c r="B762" s="78"/>
      <c r="C762" s="78"/>
      <c r="D762" s="78"/>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c r="AA762" s="122"/>
      <c r="AB762" s="122"/>
      <c r="AC762" s="122"/>
      <c r="AD762" s="122"/>
      <c r="AE762" s="122"/>
      <c r="AF762" s="122"/>
      <c r="AG762" s="122"/>
      <c r="AH762" s="122"/>
      <c r="AI762" s="122"/>
      <c r="AJ762" s="122"/>
      <c r="AK762" s="122"/>
      <c r="AL762" s="122"/>
      <c r="AM762" s="122"/>
      <c r="AN762" s="122"/>
      <c r="AO762" s="122"/>
      <c r="AP762" s="122"/>
      <c r="AQ762" s="122"/>
      <c r="AR762" s="122"/>
      <c r="AS762" s="122"/>
      <c r="AT762" s="122"/>
      <c r="AU762" s="122"/>
      <c r="AV762" s="122"/>
      <c r="AW762" s="122"/>
      <c r="AX762" s="122"/>
      <c r="AY762" s="122"/>
    </row>
    <row r="763">
      <c r="A763" s="78"/>
      <c r="B763" s="78"/>
      <c r="C763" s="78"/>
      <c r="D763" s="78"/>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c r="AA763" s="122"/>
      <c r="AB763" s="122"/>
      <c r="AC763" s="122"/>
      <c r="AD763" s="122"/>
      <c r="AE763" s="122"/>
      <c r="AF763" s="122"/>
      <c r="AG763" s="122"/>
      <c r="AH763" s="122"/>
      <c r="AI763" s="122"/>
      <c r="AJ763" s="122"/>
      <c r="AK763" s="122"/>
      <c r="AL763" s="122"/>
      <c r="AM763" s="122"/>
      <c r="AN763" s="122"/>
      <c r="AO763" s="122"/>
      <c r="AP763" s="122"/>
      <c r="AQ763" s="122"/>
      <c r="AR763" s="122"/>
      <c r="AS763" s="122"/>
      <c r="AT763" s="122"/>
      <c r="AU763" s="122"/>
      <c r="AV763" s="122"/>
      <c r="AW763" s="122"/>
      <c r="AX763" s="122"/>
      <c r="AY763" s="122"/>
    </row>
    <row r="764">
      <c r="A764" s="78"/>
      <c r="B764" s="78"/>
      <c r="C764" s="78"/>
      <c r="D764" s="78"/>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c r="AA764" s="122"/>
      <c r="AB764" s="122"/>
      <c r="AC764" s="122"/>
      <c r="AD764" s="122"/>
      <c r="AE764" s="122"/>
      <c r="AF764" s="122"/>
      <c r="AG764" s="122"/>
      <c r="AH764" s="122"/>
      <c r="AI764" s="122"/>
      <c r="AJ764" s="122"/>
      <c r="AK764" s="122"/>
      <c r="AL764" s="122"/>
      <c r="AM764" s="122"/>
      <c r="AN764" s="122"/>
      <c r="AO764" s="122"/>
      <c r="AP764" s="122"/>
      <c r="AQ764" s="122"/>
      <c r="AR764" s="122"/>
      <c r="AS764" s="122"/>
      <c r="AT764" s="122"/>
      <c r="AU764" s="122"/>
      <c r="AV764" s="122"/>
      <c r="AW764" s="122"/>
      <c r="AX764" s="122"/>
      <c r="AY764" s="122"/>
    </row>
    <row r="765">
      <c r="A765" s="78"/>
      <c r="B765" s="78"/>
      <c r="C765" s="78"/>
      <c r="D765" s="78"/>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c r="AA765" s="122"/>
      <c r="AB765" s="122"/>
      <c r="AC765" s="122"/>
      <c r="AD765" s="122"/>
      <c r="AE765" s="122"/>
      <c r="AF765" s="122"/>
      <c r="AG765" s="122"/>
      <c r="AH765" s="122"/>
      <c r="AI765" s="122"/>
      <c r="AJ765" s="122"/>
      <c r="AK765" s="122"/>
      <c r="AL765" s="122"/>
      <c r="AM765" s="122"/>
      <c r="AN765" s="122"/>
      <c r="AO765" s="122"/>
      <c r="AP765" s="122"/>
      <c r="AQ765" s="122"/>
      <c r="AR765" s="122"/>
      <c r="AS765" s="122"/>
      <c r="AT765" s="122"/>
      <c r="AU765" s="122"/>
      <c r="AV765" s="122"/>
      <c r="AW765" s="122"/>
      <c r="AX765" s="122"/>
      <c r="AY765" s="122"/>
    </row>
    <row r="766">
      <c r="A766" s="78"/>
      <c r="B766" s="78"/>
      <c r="C766" s="78"/>
      <c r="D766" s="78"/>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c r="AC766" s="122"/>
      <c r="AD766" s="122"/>
      <c r="AE766" s="122"/>
      <c r="AF766" s="122"/>
      <c r="AG766" s="122"/>
      <c r="AH766" s="122"/>
      <c r="AI766" s="122"/>
      <c r="AJ766" s="122"/>
      <c r="AK766" s="122"/>
      <c r="AL766" s="122"/>
      <c r="AM766" s="122"/>
      <c r="AN766" s="122"/>
      <c r="AO766" s="122"/>
      <c r="AP766" s="122"/>
      <c r="AQ766" s="122"/>
      <c r="AR766" s="122"/>
      <c r="AS766" s="122"/>
      <c r="AT766" s="122"/>
      <c r="AU766" s="122"/>
      <c r="AV766" s="122"/>
      <c r="AW766" s="122"/>
      <c r="AX766" s="122"/>
      <c r="AY766" s="122"/>
    </row>
    <row r="767">
      <c r="A767" s="78"/>
      <c r="B767" s="78"/>
      <c r="C767" s="78"/>
      <c r="D767" s="78"/>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c r="AA767" s="122"/>
      <c r="AB767" s="122"/>
      <c r="AC767" s="122"/>
      <c r="AD767" s="122"/>
      <c r="AE767" s="122"/>
      <c r="AF767" s="122"/>
      <c r="AG767" s="122"/>
      <c r="AH767" s="122"/>
      <c r="AI767" s="122"/>
      <c r="AJ767" s="122"/>
      <c r="AK767" s="122"/>
      <c r="AL767" s="122"/>
      <c r="AM767" s="122"/>
      <c r="AN767" s="122"/>
      <c r="AO767" s="122"/>
      <c r="AP767" s="122"/>
      <c r="AQ767" s="122"/>
      <c r="AR767" s="122"/>
      <c r="AS767" s="122"/>
      <c r="AT767" s="122"/>
      <c r="AU767" s="122"/>
      <c r="AV767" s="122"/>
      <c r="AW767" s="122"/>
      <c r="AX767" s="122"/>
      <c r="AY767" s="122"/>
    </row>
    <row r="768">
      <c r="A768" s="78"/>
      <c r="B768" s="78"/>
      <c r="C768" s="78"/>
      <c r="D768" s="78"/>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c r="AC768" s="122"/>
      <c r="AD768" s="122"/>
      <c r="AE768" s="122"/>
      <c r="AF768" s="122"/>
      <c r="AG768" s="122"/>
      <c r="AH768" s="122"/>
      <c r="AI768" s="122"/>
      <c r="AJ768" s="122"/>
      <c r="AK768" s="122"/>
      <c r="AL768" s="122"/>
      <c r="AM768" s="122"/>
      <c r="AN768" s="122"/>
      <c r="AO768" s="122"/>
      <c r="AP768" s="122"/>
      <c r="AQ768" s="122"/>
      <c r="AR768" s="122"/>
      <c r="AS768" s="122"/>
      <c r="AT768" s="122"/>
      <c r="AU768" s="122"/>
      <c r="AV768" s="122"/>
      <c r="AW768" s="122"/>
      <c r="AX768" s="122"/>
      <c r="AY768" s="122"/>
    </row>
    <row r="769">
      <c r="A769" s="78"/>
      <c r="B769" s="78"/>
      <c r="C769" s="78"/>
      <c r="D769" s="78"/>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c r="AA769" s="122"/>
      <c r="AB769" s="122"/>
      <c r="AC769" s="122"/>
      <c r="AD769" s="122"/>
      <c r="AE769" s="122"/>
      <c r="AF769" s="122"/>
      <c r="AG769" s="122"/>
      <c r="AH769" s="122"/>
      <c r="AI769" s="122"/>
      <c r="AJ769" s="122"/>
      <c r="AK769" s="122"/>
      <c r="AL769" s="122"/>
      <c r="AM769" s="122"/>
      <c r="AN769" s="122"/>
      <c r="AO769" s="122"/>
      <c r="AP769" s="122"/>
      <c r="AQ769" s="122"/>
      <c r="AR769" s="122"/>
      <c r="AS769" s="122"/>
      <c r="AT769" s="122"/>
      <c r="AU769" s="122"/>
      <c r="AV769" s="122"/>
      <c r="AW769" s="122"/>
      <c r="AX769" s="122"/>
      <c r="AY769" s="122"/>
    </row>
    <row r="770">
      <c r="A770" s="78"/>
      <c r="B770" s="78"/>
      <c r="C770" s="78"/>
      <c r="D770" s="78"/>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c r="AA770" s="122"/>
      <c r="AB770" s="122"/>
      <c r="AC770" s="122"/>
      <c r="AD770" s="122"/>
      <c r="AE770" s="122"/>
      <c r="AF770" s="122"/>
      <c r="AG770" s="122"/>
      <c r="AH770" s="122"/>
      <c r="AI770" s="122"/>
      <c r="AJ770" s="122"/>
      <c r="AK770" s="122"/>
      <c r="AL770" s="122"/>
      <c r="AM770" s="122"/>
      <c r="AN770" s="122"/>
      <c r="AO770" s="122"/>
      <c r="AP770" s="122"/>
      <c r="AQ770" s="122"/>
      <c r="AR770" s="122"/>
      <c r="AS770" s="122"/>
      <c r="AT770" s="122"/>
      <c r="AU770" s="122"/>
      <c r="AV770" s="122"/>
      <c r="AW770" s="122"/>
      <c r="AX770" s="122"/>
      <c r="AY770" s="122"/>
    </row>
    <row r="771">
      <c r="A771" s="78"/>
      <c r="B771" s="78"/>
      <c r="C771" s="78"/>
      <c r="D771" s="78"/>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c r="AC771" s="122"/>
      <c r="AD771" s="122"/>
      <c r="AE771" s="122"/>
      <c r="AF771" s="122"/>
      <c r="AG771" s="122"/>
      <c r="AH771" s="122"/>
      <c r="AI771" s="122"/>
      <c r="AJ771" s="122"/>
      <c r="AK771" s="122"/>
      <c r="AL771" s="122"/>
      <c r="AM771" s="122"/>
      <c r="AN771" s="122"/>
      <c r="AO771" s="122"/>
      <c r="AP771" s="122"/>
      <c r="AQ771" s="122"/>
      <c r="AR771" s="122"/>
      <c r="AS771" s="122"/>
      <c r="AT771" s="122"/>
      <c r="AU771" s="122"/>
      <c r="AV771" s="122"/>
      <c r="AW771" s="122"/>
      <c r="AX771" s="122"/>
      <c r="AY771" s="122"/>
    </row>
    <row r="772">
      <c r="A772" s="78"/>
      <c r="B772" s="78"/>
      <c r="C772" s="78"/>
      <c r="D772" s="78"/>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c r="AA772" s="122"/>
      <c r="AB772" s="122"/>
      <c r="AC772" s="122"/>
      <c r="AD772" s="122"/>
      <c r="AE772" s="122"/>
      <c r="AF772" s="122"/>
      <c r="AG772" s="122"/>
      <c r="AH772" s="122"/>
      <c r="AI772" s="122"/>
      <c r="AJ772" s="122"/>
      <c r="AK772" s="122"/>
      <c r="AL772" s="122"/>
      <c r="AM772" s="122"/>
      <c r="AN772" s="122"/>
      <c r="AO772" s="122"/>
      <c r="AP772" s="122"/>
      <c r="AQ772" s="122"/>
      <c r="AR772" s="122"/>
      <c r="AS772" s="122"/>
      <c r="AT772" s="122"/>
      <c r="AU772" s="122"/>
      <c r="AV772" s="122"/>
      <c r="AW772" s="122"/>
      <c r="AX772" s="122"/>
      <c r="AY772" s="122"/>
    </row>
    <row r="773">
      <c r="A773" s="78"/>
      <c r="B773" s="78"/>
      <c r="C773" s="78"/>
      <c r="D773" s="78"/>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c r="AA773" s="122"/>
      <c r="AB773" s="122"/>
      <c r="AC773" s="122"/>
      <c r="AD773" s="122"/>
      <c r="AE773" s="122"/>
      <c r="AF773" s="122"/>
      <c r="AG773" s="122"/>
      <c r="AH773" s="122"/>
      <c r="AI773" s="122"/>
      <c r="AJ773" s="122"/>
      <c r="AK773" s="122"/>
      <c r="AL773" s="122"/>
      <c r="AM773" s="122"/>
      <c r="AN773" s="122"/>
      <c r="AO773" s="122"/>
      <c r="AP773" s="122"/>
      <c r="AQ773" s="122"/>
      <c r="AR773" s="122"/>
      <c r="AS773" s="122"/>
      <c r="AT773" s="122"/>
      <c r="AU773" s="122"/>
      <c r="AV773" s="122"/>
      <c r="AW773" s="122"/>
      <c r="AX773" s="122"/>
      <c r="AY773" s="122"/>
    </row>
    <row r="774">
      <c r="A774" s="78"/>
      <c r="B774" s="78"/>
      <c r="C774" s="78"/>
      <c r="D774" s="78"/>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c r="AC774" s="122"/>
      <c r="AD774" s="122"/>
      <c r="AE774" s="122"/>
      <c r="AF774" s="122"/>
      <c r="AG774" s="122"/>
      <c r="AH774" s="122"/>
      <c r="AI774" s="122"/>
      <c r="AJ774" s="122"/>
      <c r="AK774" s="122"/>
      <c r="AL774" s="122"/>
      <c r="AM774" s="122"/>
      <c r="AN774" s="122"/>
      <c r="AO774" s="122"/>
      <c r="AP774" s="122"/>
      <c r="AQ774" s="122"/>
      <c r="AR774" s="122"/>
      <c r="AS774" s="122"/>
      <c r="AT774" s="122"/>
      <c r="AU774" s="122"/>
      <c r="AV774" s="122"/>
      <c r="AW774" s="122"/>
      <c r="AX774" s="122"/>
      <c r="AY774" s="122"/>
    </row>
    <row r="775">
      <c r="A775" s="78"/>
      <c r="B775" s="78"/>
      <c r="C775" s="78"/>
      <c r="D775" s="78"/>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c r="AA775" s="122"/>
      <c r="AB775" s="122"/>
      <c r="AC775" s="122"/>
      <c r="AD775" s="122"/>
      <c r="AE775" s="122"/>
      <c r="AF775" s="122"/>
      <c r="AG775" s="122"/>
      <c r="AH775" s="122"/>
      <c r="AI775" s="122"/>
      <c r="AJ775" s="122"/>
      <c r="AK775" s="122"/>
      <c r="AL775" s="122"/>
      <c r="AM775" s="122"/>
      <c r="AN775" s="122"/>
      <c r="AO775" s="122"/>
      <c r="AP775" s="122"/>
      <c r="AQ775" s="122"/>
      <c r="AR775" s="122"/>
      <c r="AS775" s="122"/>
      <c r="AT775" s="122"/>
      <c r="AU775" s="122"/>
      <c r="AV775" s="122"/>
      <c r="AW775" s="122"/>
      <c r="AX775" s="122"/>
      <c r="AY775" s="122"/>
    </row>
    <row r="776">
      <c r="A776" s="78"/>
      <c r="B776" s="78"/>
      <c r="C776" s="78"/>
      <c r="D776" s="78"/>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c r="AA776" s="122"/>
      <c r="AB776" s="122"/>
      <c r="AC776" s="122"/>
      <c r="AD776" s="122"/>
      <c r="AE776" s="122"/>
      <c r="AF776" s="122"/>
      <c r="AG776" s="122"/>
      <c r="AH776" s="122"/>
      <c r="AI776" s="122"/>
      <c r="AJ776" s="122"/>
      <c r="AK776" s="122"/>
      <c r="AL776" s="122"/>
      <c r="AM776" s="122"/>
      <c r="AN776" s="122"/>
      <c r="AO776" s="122"/>
      <c r="AP776" s="122"/>
      <c r="AQ776" s="122"/>
      <c r="AR776" s="122"/>
      <c r="AS776" s="122"/>
      <c r="AT776" s="122"/>
      <c r="AU776" s="122"/>
      <c r="AV776" s="122"/>
      <c r="AW776" s="122"/>
      <c r="AX776" s="122"/>
      <c r="AY776" s="122"/>
    </row>
    <row r="777">
      <c r="A777" s="78"/>
      <c r="B777" s="78"/>
      <c r="C777" s="78"/>
      <c r="D777" s="78"/>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c r="AA777" s="122"/>
      <c r="AB777" s="122"/>
      <c r="AC777" s="122"/>
      <c r="AD777" s="122"/>
      <c r="AE777" s="122"/>
      <c r="AF777" s="122"/>
      <c r="AG777" s="122"/>
      <c r="AH777" s="122"/>
      <c r="AI777" s="122"/>
      <c r="AJ777" s="122"/>
      <c r="AK777" s="122"/>
      <c r="AL777" s="122"/>
      <c r="AM777" s="122"/>
      <c r="AN777" s="122"/>
      <c r="AO777" s="122"/>
      <c r="AP777" s="122"/>
      <c r="AQ777" s="122"/>
      <c r="AR777" s="122"/>
      <c r="AS777" s="122"/>
      <c r="AT777" s="122"/>
      <c r="AU777" s="122"/>
      <c r="AV777" s="122"/>
      <c r="AW777" s="122"/>
      <c r="AX777" s="122"/>
      <c r="AY777" s="122"/>
    </row>
    <row r="778">
      <c r="A778" s="78"/>
      <c r="B778" s="78"/>
      <c r="C778" s="78"/>
      <c r="D778" s="78"/>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c r="AA778" s="122"/>
      <c r="AB778" s="122"/>
      <c r="AC778" s="122"/>
      <c r="AD778" s="122"/>
      <c r="AE778" s="122"/>
      <c r="AF778" s="122"/>
      <c r="AG778" s="122"/>
      <c r="AH778" s="122"/>
      <c r="AI778" s="122"/>
      <c r="AJ778" s="122"/>
      <c r="AK778" s="122"/>
      <c r="AL778" s="122"/>
      <c r="AM778" s="122"/>
      <c r="AN778" s="122"/>
      <c r="AO778" s="122"/>
      <c r="AP778" s="122"/>
      <c r="AQ778" s="122"/>
      <c r="AR778" s="122"/>
      <c r="AS778" s="122"/>
      <c r="AT778" s="122"/>
      <c r="AU778" s="122"/>
      <c r="AV778" s="122"/>
      <c r="AW778" s="122"/>
      <c r="AX778" s="122"/>
      <c r="AY778" s="122"/>
    </row>
    <row r="779">
      <c r="A779" s="78"/>
      <c r="B779" s="78"/>
      <c r="C779" s="78"/>
      <c r="D779" s="78"/>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c r="AA779" s="122"/>
      <c r="AB779" s="122"/>
      <c r="AC779" s="122"/>
      <c r="AD779" s="122"/>
      <c r="AE779" s="122"/>
      <c r="AF779" s="122"/>
      <c r="AG779" s="122"/>
      <c r="AH779" s="122"/>
      <c r="AI779" s="122"/>
      <c r="AJ779" s="122"/>
      <c r="AK779" s="122"/>
      <c r="AL779" s="122"/>
      <c r="AM779" s="122"/>
      <c r="AN779" s="122"/>
      <c r="AO779" s="122"/>
      <c r="AP779" s="122"/>
      <c r="AQ779" s="122"/>
      <c r="AR779" s="122"/>
      <c r="AS779" s="122"/>
      <c r="AT779" s="122"/>
      <c r="AU779" s="122"/>
      <c r="AV779" s="122"/>
      <c r="AW779" s="122"/>
      <c r="AX779" s="122"/>
      <c r="AY779" s="122"/>
    </row>
    <row r="780">
      <c r="A780" s="78"/>
      <c r="B780" s="78"/>
      <c r="C780" s="78"/>
      <c r="D780" s="78"/>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c r="AA780" s="122"/>
      <c r="AB780" s="122"/>
      <c r="AC780" s="122"/>
      <c r="AD780" s="122"/>
      <c r="AE780" s="122"/>
      <c r="AF780" s="122"/>
      <c r="AG780" s="122"/>
      <c r="AH780" s="122"/>
      <c r="AI780" s="122"/>
      <c r="AJ780" s="122"/>
      <c r="AK780" s="122"/>
      <c r="AL780" s="122"/>
      <c r="AM780" s="122"/>
      <c r="AN780" s="122"/>
      <c r="AO780" s="122"/>
      <c r="AP780" s="122"/>
      <c r="AQ780" s="122"/>
      <c r="AR780" s="122"/>
      <c r="AS780" s="122"/>
      <c r="AT780" s="122"/>
      <c r="AU780" s="122"/>
      <c r="AV780" s="122"/>
      <c r="AW780" s="122"/>
      <c r="AX780" s="122"/>
      <c r="AY780" s="122"/>
    </row>
    <row r="781">
      <c r="A781" s="78"/>
      <c r="B781" s="78"/>
      <c r="C781" s="78"/>
      <c r="D781" s="78"/>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c r="AA781" s="122"/>
      <c r="AB781" s="122"/>
      <c r="AC781" s="122"/>
      <c r="AD781" s="122"/>
      <c r="AE781" s="122"/>
      <c r="AF781" s="122"/>
      <c r="AG781" s="122"/>
      <c r="AH781" s="122"/>
      <c r="AI781" s="122"/>
      <c r="AJ781" s="122"/>
      <c r="AK781" s="122"/>
      <c r="AL781" s="122"/>
      <c r="AM781" s="122"/>
      <c r="AN781" s="122"/>
      <c r="AO781" s="122"/>
      <c r="AP781" s="122"/>
      <c r="AQ781" s="122"/>
      <c r="AR781" s="122"/>
      <c r="AS781" s="122"/>
      <c r="AT781" s="122"/>
      <c r="AU781" s="122"/>
      <c r="AV781" s="122"/>
      <c r="AW781" s="122"/>
      <c r="AX781" s="122"/>
      <c r="AY781" s="122"/>
    </row>
    <row r="782">
      <c r="A782" s="78"/>
      <c r="B782" s="78"/>
      <c r="C782" s="78"/>
      <c r="D782" s="78"/>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c r="AA782" s="122"/>
      <c r="AB782" s="122"/>
      <c r="AC782" s="122"/>
      <c r="AD782" s="122"/>
      <c r="AE782" s="122"/>
      <c r="AF782" s="122"/>
      <c r="AG782" s="122"/>
      <c r="AH782" s="122"/>
      <c r="AI782" s="122"/>
      <c r="AJ782" s="122"/>
      <c r="AK782" s="122"/>
      <c r="AL782" s="122"/>
      <c r="AM782" s="122"/>
      <c r="AN782" s="122"/>
      <c r="AO782" s="122"/>
      <c r="AP782" s="122"/>
      <c r="AQ782" s="122"/>
      <c r="AR782" s="122"/>
      <c r="AS782" s="122"/>
      <c r="AT782" s="122"/>
      <c r="AU782" s="122"/>
      <c r="AV782" s="122"/>
      <c r="AW782" s="122"/>
      <c r="AX782" s="122"/>
      <c r="AY782" s="122"/>
    </row>
    <row r="783">
      <c r="A783" s="78"/>
      <c r="B783" s="78"/>
      <c r="C783" s="78"/>
      <c r="D783" s="78"/>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c r="AA783" s="122"/>
      <c r="AB783" s="122"/>
      <c r="AC783" s="122"/>
      <c r="AD783" s="122"/>
      <c r="AE783" s="122"/>
      <c r="AF783" s="122"/>
      <c r="AG783" s="122"/>
      <c r="AH783" s="122"/>
      <c r="AI783" s="122"/>
      <c r="AJ783" s="122"/>
      <c r="AK783" s="122"/>
      <c r="AL783" s="122"/>
      <c r="AM783" s="122"/>
      <c r="AN783" s="122"/>
      <c r="AO783" s="122"/>
      <c r="AP783" s="122"/>
      <c r="AQ783" s="122"/>
      <c r="AR783" s="122"/>
      <c r="AS783" s="122"/>
      <c r="AT783" s="122"/>
      <c r="AU783" s="122"/>
      <c r="AV783" s="122"/>
      <c r="AW783" s="122"/>
      <c r="AX783" s="122"/>
      <c r="AY783" s="122"/>
    </row>
    <row r="784">
      <c r="A784" s="78"/>
      <c r="B784" s="78"/>
      <c r="C784" s="78"/>
      <c r="D784" s="78"/>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c r="AA784" s="122"/>
      <c r="AB784" s="122"/>
      <c r="AC784" s="122"/>
      <c r="AD784" s="122"/>
      <c r="AE784" s="122"/>
      <c r="AF784" s="122"/>
      <c r="AG784" s="122"/>
      <c r="AH784" s="122"/>
      <c r="AI784" s="122"/>
      <c r="AJ784" s="122"/>
      <c r="AK784" s="122"/>
      <c r="AL784" s="122"/>
      <c r="AM784" s="122"/>
      <c r="AN784" s="122"/>
      <c r="AO784" s="122"/>
      <c r="AP784" s="122"/>
      <c r="AQ784" s="122"/>
      <c r="AR784" s="122"/>
      <c r="AS784" s="122"/>
      <c r="AT784" s="122"/>
      <c r="AU784" s="122"/>
      <c r="AV784" s="122"/>
      <c r="AW784" s="122"/>
      <c r="AX784" s="122"/>
      <c r="AY784" s="122"/>
    </row>
    <row r="785">
      <c r="A785" s="78"/>
      <c r="B785" s="78"/>
      <c r="C785" s="78"/>
      <c r="D785" s="78"/>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c r="AA785" s="122"/>
      <c r="AB785" s="122"/>
      <c r="AC785" s="122"/>
      <c r="AD785" s="122"/>
      <c r="AE785" s="122"/>
      <c r="AF785" s="122"/>
      <c r="AG785" s="122"/>
      <c r="AH785" s="122"/>
      <c r="AI785" s="122"/>
      <c r="AJ785" s="122"/>
      <c r="AK785" s="122"/>
      <c r="AL785" s="122"/>
      <c r="AM785" s="122"/>
      <c r="AN785" s="122"/>
      <c r="AO785" s="122"/>
      <c r="AP785" s="122"/>
      <c r="AQ785" s="122"/>
      <c r="AR785" s="122"/>
      <c r="AS785" s="122"/>
      <c r="AT785" s="122"/>
      <c r="AU785" s="122"/>
      <c r="AV785" s="122"/>
      <c r="AW785" s="122"/>
      <c r="AX785" s="122"/>
      <c r="AY785" s="122"/>
    </row>
    <row r="786">
      <c r="A786" s="78"/>
      <c r="B786" s="78"/>
      <c r="C786" s="78"/>
      <c r="D786" s="78"/>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c r="AA786" s="122"/>
      <c r="AB786" s="122"/>
      <c r="AC786" s="122"/>
      <c r="AD786" s="122"/>
      <c r="AE786" s="122"/>
      <c r="AF786" s="122"/>
      <c r="AG786" s="122"/>
      <c r="AH786" s="122"/>
      <c r="AI786" s="122"/>
      <c r="AJ786" s="122"/>
      <c r="AK786" s="122"/>
      <c r="AL786" s="122"/>
      <c r="AM786" s="122"/>
      <c r="AN786" s="122"/>
      <c r="AO786" s="122"/>
      <c r="AP786" s="122"/>
      <c r="AQ786" s="122"/>
      <c r="AR786" s="122"/>
      <c r="AS786" s="122"/>
      <c r="AT786" s="122"/>
      <c r="AU786" s="122"/>
      <c r="AV786" s="122"/>
      <c r="AW786" s="122"/>
      <c r="AX786" s="122"/>
      <c r="AY786" s="122"/>
    </row>
    <row r="787">
      <c r="A787" s="78"/>
      <c r="B787" s="78"/>
      <c r="C787" s="78"/>
      <c r="D787" s="78"/>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c r="AA787" s="122"/>
      <c r="AB787" s="122"/>
      <c r="AC787" s="122"/>
      <c r="AD787" s="122"/>
      <c r="AE787" s="122"/>
      <c r="AF787" s="122"/>
      <c r="AG787" s="122"/>
      <c r="AH787" s="122"/>
      <c r="AI787" s="122"/>
      <c r="AJ787" s="122"/>
      <c r="AK787" s="122"/>
      <c r="AL787" s="122"/>
      <c r="AM787" s="122"/>
      <c r="AN787" s="122"/>
      <c r="AO787" s="122"/>
      <c r="AP787" s="122"/>
      <c r="AQ787" s="122"/>
      <c r="AR787" s="122"/>
      <c r="AS787" s="122"/>
      <c r="AT787" s="122"/>
      <c r="AU787" s="122"/>
      <c r="AV787" s="122"/>
      <c r="AW787" s="122"/>
      <c r="AX787" s="122"/>
      <c r="AY787" s="122"/>
    </row>
    <row r="788">
      <c r="A788" s="78"/>
      <c r="B788" s="78"/>
      <c r="C788" s="78"/>
      <c r="D788" s="78"/>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c r="AC788" s="122"/>
      <c r="AD788" s="122"/>
      <c r="AE788" s="122"/>
      <c r="AF788" s="122"/>
      <c r="AG788" s="122"/>
      <c r="AH788" s="122"/>
      <c r="AI788" s="122"/>
      <c r="AJ788" s="122"/>
      <c r="AK788" s="122"/>
      <c r="AL788" s="122"/>
      <c r="AM788" s="122"/>
      <c r="AN788" s="122"/>
      <c r="AO788" s="122"/>
      <c r="AP788" s="122"/>
      <c r="AQ788" s="122"/>
      <c r="AR788" s="122"/>
      <c r="AS788" s="122"/>
      <c r="AT788" s="122"/>
      <c r="AU788" s="122"/>
      <c r="AV788" s="122"/>
      <c r="AW788" s="122"/>
      <c r="AX788" s="122"/>
      <c r="AY788" s="122"/>
    </row>
    <row r="789">
      <c r="A789" s="78"/>
      <c r="B789" s="78"/>
      <c r="C789" s="78"/>
      <c r="D789" s="78"/>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c r="AA789" s="122"/>
      <c r="AB789" s="122"/>
      <c r="AC789" s="122"/>
      <c r="AD789" s="122"/>
      <c r="AE789" s="122"/>
      <c r="AF789" s="122"/>
      <c r="AG789" s="122"/>
      <c r="AH789" s="122"/>
      <c r="AI789" s="122"/>
      <c r="AJ789" s="122"/>
      <c r="AK789" s="122"/>
      <c r="AL789" s="122"/>
      <c r="AM789" s="122"/>
      <c r="AN789" s="122"/>
      <c r="AO789" s="122"/>
      <c r="AP789" s="122"/>
      <c r="AQ789" s="122"/>
      <c r="AR789" s="122"/>
      <c r="AS789" s="122"/>
      <c r="AT789" s="122"/>
      <c r="AU789" s="122"/>
      <c r="AV789" s="122"/>
      <c r="AW789" s="122"/>
      <c r="AX789" s="122"/>
      <c r="AY789" s="122"/>
    </row>
    <row r="790">
      <c r="A790" s="78"/>
      <c r="B790" s="78"/>
      <c r="C790" s="78"/>
      <c r="D790" s="78"/>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c r="AA790" s="122"/>
      <c r="AB790" s="122"/>
      <c r="AC790" s="122"/>
      <c r="AD790" s="122"/>
      <c r="AE790" s="122"/>
      <c r="AF790" s="122"/>
      <c r="AG790" s="122"/>
      <c r="AH790" s="122"/>
      <c r="AI790" s="122"/>
      <c r="AJ790" s="122"/>
      <c r="AK790" s="122"/>
      <c r="AL790" s="122"/>
      <c r="AM790" s="122"/>
      <c r="AN790" s="122"/>
      <c r="AO790" s="122"/>
      <c r="AP790" s="122"/>
      <c r="AQ790" s="122"/>
      <c r="AR790" s="122"/>
      <c r="AS790" s="122"/>
      <c r="AT790" s="122"/>
      <c r="AU790" s="122"/>
      <c r="AV790" s="122"/>
      <c r="AW790" s="122"/>
      <c r="AX790" s="122"/>
      <c r="AY790" s="122"/>
    </row>
    <row r="791">
      <c r="A791" s="78"/>
      <c r="B791" s="78"/>
      <c r="C791" s="78"/>
      <c r="D791" s="78"/>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c r="AA791" s="122"/>
      <c r="AB791" s="122"/>
      <c r="AC791" s="122"/>
      <c r="AD791" s="122"/>
      <c r="AE791" s="122"/>
      <c r="AF791" s="122"/>
      <c r="AG791" s="122"/>
      <c r="AH791" s="122"/>
      <c r="AI791" s="122"/>
      <c r="AJ791" s="122"/>
      <c r="AK791" s="122"/>
      <c r="AL791" s="122"/>
      <c r="AM791" s="122"/>
      <c r="AN791" s="122"/>
      <c r="AO791" s="122"/>
      <c r="AP791" s="122"/>
      <c r="AQ791" s="122"/>
      <c r="AR791" s="122"/>
      <c r="AS791" s="122"/>
      <c r="AT791" s="122"/>
      <c r="AU791" s="122"/>
      <c r="AV791" s="122"/>
      <c r="AW791" s="122"/>
      <c r="AX791" s="122"/>
      <c r="AY791" s="122"/>
    </row>
    <row r="792">
      <c r="A792" s="78"/>
      <c r="B792" s="78"/>
      <c r="C792" s="78"/>
      <c r="D792" s="78"/>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c r="AA792" s="122"/>
      <c r="AB792" s="122"/>
      <c r="AC792" s="122"/>
      <c r="AD792" s="122"/>
      <c r="AE792" s="122"/>
      <c r="AF792" s="122"/>
      <c r="AG792" s="122"/>
      <c r="AH792" s="122"/>
      <c r="AI792" s="122"/>
      <c r="AJ792" s="122"/>
      <c r="AK792" s="122"/>
      <c r="AL792" s="122"/>
      <c r="AM792" s="122"/>
      <c r="AN792" s="122"/>
      <c r="AO792" s="122"/>
      <c r="AP792" s="122"/>
      <c r="AQ792" s="122"/>
      <c r="AR792" s="122"/>
      <c r="AS792" s="122"/>
      <c r="AT792" s="122"/>
      <c r="AU792" s="122"/>
      <c r="AV792" s="122"/>
      <c r="AW792" s="122"/>
      <c r="AX792" s="122"/>
      <c r="AY792" s="122"/>
    </row>
    <row r="793">
      <c r="A793" s="78"/>
      <c r="B793" s="78"/>
      <c r="C793" s="78"/>
      <c r="D793" s="78"/>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c r="AA793" s="122"/>
      <c r="AB793" s="122"/>
      <c r="AC793" s="122"/>
      <c r="AD793" s="122"/>
      <c r="AE793" s="122"/>
      <c r="AF793" s="122"/>
      <c r="AG793" s="122"/>
      <c r="AH793" s="122"/>
      <c r="AI793" s="122"/>
      <c r="AJ793" s="122"/>
      <c r="AK793" s="122"/>
      <c r="AL793" s="122"/>
      <c r="AM793" s="122"/>
      <c r="AN793" s="122"/>
      <c r="AO793" s="122"/>
      <c r="AP793" s="122"/>
      <c r="AQ793" s="122"/>
      <c r="AR793" s="122"/>
      <c r="AS793" s="122"/>
      <c r="AT793" s="122"/>
      <c r="AU793" s="122"/>
      <c r="AV793" s="122"/>
      <c r="AW793" s="122"/>
      <c r="AX793" s="122"/>
      <c r="AY793" s="122"/>
    </row>
    <row r="794">
      <c r="A794" s="78"/>
      <c r="B794" s="78"/>
      <c r="C794" s="78"/>
      <c r="D794" s="78"/>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c r="AA794" s="122"/>
      <c r="AB794" s="122"/>
      <c r="AC794" s="122"/>
      <c r="AD794" s="122"/>
      <c r="AE794" s="122"/>
      <c r="AF794" s="122"/>
      <c r="AG794" s="122"/>
      <c r="AH794" s="122"/>
      <c r="AI794" s="122"/>
      <c r="AJ794" s="122"/>
      <c r="AK794" s="122"/>
      <c r="AL794" s="122"/>
      <c r="AM794" s="122"/>
      <c r="AN794" s="122"/>
      <c r="AO794" s="122"/>
      <c r="AP794" s="122"/>
      <c r="AQ794" s="122"/>
      <c r="AR794" s="122"/>
      <c r="AS794" s="122"/>
      <c r="AT794" s="122"/>
      <c r="AU794" s="122"/>
      <c r="AV794" s="122"/>
      <c r="AW794" s="122"/>
      <c r="AX794" s="122"/>
      <c r="AY794" s="122"/>
    </row>
    <row r="795">
      <c r="A795" s="78"/>
      <c r="B795" s="78"/>
      <c r="C795" s="78"/>
      <c r="D795" s="78"/>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c r="AA795" s="122"/>
      <c r="AB795" s="122"/>
      <c r="AC795" s="122"/>
      <c r="AD795" s="122"/>
      <c r="AE795" s="122"/>
      <c r="AF795" s="122"/>
      <c r="AG795" s="122"/>
      <c r="AH795" s="122"/>
      <c r="AI795" s="122"/>
      <c r="AJ795" s="122"/>
      <c r="AK795" s="122"/>
      <c r="AL795" s="122"/>
      <c r="AM795" s="122"/>
      <c r="AN795" s="122"/>
      <c r="AO795" s="122"/>
      <c r="AP795" s="122"/>
      <c r="AQ795" s="122"/>
      <c r="AR795" s="122"/>
      <c r="AS795" s="122"/>
      <c r="AT795" s="122"/>
      <c r="AU795" s="122"/>
      <c r="AV795" s="122"/>
      <c r="AW795" s="122"/>
      <c r="AX795" s="122"/>
      <c r="AY795" s="122"/>
    </row>
    <row r="796">
      <c r="A796" s="78"/>
      <c r="B796" s="78"/>
      <c r="C796" s="78"/>
      <c r="D796" s="78"/>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c r="AA796" s="122"/>
      <c r="AB796" s="122"/>
      <c r="AC796" s="122"/>
      <c r="AD796" s="122"/>
      <c r="AE796" s="122"/>
      <c r="AF796" s="122"/>
      <c r="AG796" s="122"/>
      <c r="AH796" s="122"/>
      <c r="AI796" s="122"/>
      <c r="AJ796" s="122"/>
      <c r="AK796" s="122"/>
      <c r="AL796" s="122"/>
      <c r="AM796" s="122"/>
      <c r="AN796" s="122"/>
      <c r="AO796" s="122"/>
      <c r="AP796" s="122"/>
      <c r="AQ796" s="122"/>
      <c r="AR796" s="122"/>
      <c r="AS796" s="122"/>
      <c r="AT796" s="122"/>
      <c r="AU796" s="122"/>
      <c r="AV796" s="122"/>
      <c r="AW796" s="122"/>
      <c r="AX796" s="122"/>
      <c r="AY796" s="122"/>
    </row>
    <row r="797">
      <c r="A797" s="78"/>
      <c r="B797" s="78"/>
      <c r="C797" s="78"/>
      <c r="D797" s="78"/>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c r="AA797" s="122"/>
      <c r="AB797" s="122"/>
      <c r="AC797" s="122"/>
      <c r="AD797" s="122"/>
      <c r="AE797" s="122"/>
      <c r="AF797" s="122"/>
      <c r="AG797" s="122"/>
      <c r="AH797" s="122"/>
      <c r="AI797" s="122"/>
      <c r="AJ797" s="122"/>
      <c r="AK797" s="122"/>
      <c r="AL797" s="122"/>
      <c r="AM797" s="122"/>
      <c r="AN797" s="122"/>
      <c r="AO797" s="122"/>
      <c r="AP797" s="122"/>
      <c r="AQ797" s="122"/>
      <c r="AR797" s="122"/>
      <c r="AS797" s="122"/>
      <c r="AT797" s="122"/>
      <c r="AU797" s="122"/>
      <c r="AV797" s="122"/>
      <c r="AW797" s="122"/>
      <c r="AX797" s="122"/>
      <c r="AY797" s="122"/>
    </row>
    <row r="798">
      <c r="A798" s="78"/>
      <c r="B798" s="78"/>
      <c r="C798" s="78"/>
      <c r="D798" s="78"/>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c r="AA798" s="122"/>
      <c r="AB798" s="122"/>
      <c r="AC798" s="122"/>
      <c r="AD798" s="122"/>
      <c r="AE798" s="122"/>
      <c r="AF798" s="122"/>
      <c r="AG798" s="122"/>
      <c r="AH798" s="122"/>
      <c r="AI798" s="122"/>
      <c r="AJ798" s="122"/>
      <c r="AK798" s="122"/>
      <c r="AL798" s="122"/>
      <c r="AM798" s="122"/>
      <c r="AN798" s="122"/>
      <c r="AO798" s="122"/>
      <c r="AP798" s="122"/>
      <c r="AQ798" s="122"/>
      <c r="AR798" s="122"/>
      <c r="AS798" s="122"/>
      <c r="AT798" s="122"/>
      <c r="AU798" s="122"/>
      <c r="AV798" s="122"/>
      <c r="AW798" s="122"/>
      <c r="AX798" s="122"/>
      <c r="AY798" s="122"/>
    </row>
    <row r="799">
      <c r="A799" s="78"/>
      <c r="B799" s="78"/>
      <c r="C799" s="78"/>
      <c r="D799" s="78"/>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c r="AA799" s="122"/>
      <c r="AB799" s="122"/>
      <c r="AC799" s="122"/>
      <c r="AD799" s="122"/>
      <c r="AE799" s="122"/>
      <c r="AF799" s="122"/>
      <c r="AG799" s="122"/>
      <c r="AH799" s="122"/>
      <c r="AI799" s="122"/>
      <c r="AJ799" s="122"/>
      <c r="AK799" s="122"/>
      <c r="AL799" s="122"/>
      <c r="AM799" s="122"/>
      <c r="AN799" s="122"/>
      <c r="AO799" s="122"/>
      <c r="AP799" s="122"/>
      <c r="AQ799" s="122"/>
      <c r="AR799" s="122"/>
      <c r="AS799" s="122"/>
      <c r="AT799" s="122"/>
      <c r="AU799" s="122"/>
      <c r="AV799" s="122"/>
      <c r="AW799" s="122"/>
      <c r="AX799" s="122"/>
      <c r="AY799" s="122"/>
    </row>
    <row r="800">
      <c r="A800" s="78"/>
      <c r="B800" s="78"/>
      <c r="C800" s="78"/>
      <c r="D800" s="78"/>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c r="AA800" s="122"/>
      <c r="AB800" s="122"/>
      <c r="AC800" s="122"/>
      <c r="AD800" s="122"/>
      <c r="AE800" s="122"/>
      <c r="AF800" s="122"/>
      <c r="AG800" s="122"/>
      <c r="AH800" s="122"/>
      <c r="AI800" s="122"/>
      <c r="AJ800" s="122"/>
      <c r="AK800" s="122"/>
      <c r="AL800" s="122"/>
      <c r="AM800" s="122"/>
      <c r="AN800" s="122"/>
      <c r="AO800" s="122"/>
      <c r="AP800" s="122"/>
      <c r="AQ800" s="122"/>
      <c r="AR800" s="122"/>
      <c r="AS800" s="122"/>
      <c r="AT800" s="122"/>
      <c r="AU800" s="122"/>
      <c r="AV800" s="122"/>
      <c r="AW800" s="122"/>
      <c r="AX800" s="122"/>
      <c r="AY800" s="122"/>
    </row>
    <row r="801">
      <c r="A801" s="78"/>
      <c r="B801" s="78"/>
      <c r="C801" s="78"/>
      <c r="D801" s="78"/>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c r="AA801" s="122"/>
      <c r="AB801" s="122"/>
      <c r="AC801" s="122"/>
      <c r="AD801" s="122"/>
      <c r="AE801" s="122"/>
      <c r="AF801" s="122"/>
      <c r="AG801" s="122"/>
      <c r="AH801" s="122"/>
      <c r="AI801" s="122"/>
      <c r="AJ801" s="122"/>
      <c r="AK801" s="122"/>
      <c r="AL801" s="122"/>
      <c r="AM801" s="122"/>
      <c r="AN801" s="122"/>
      <c r="AO801" s="122"/>
      <c r="AP801" s="122"/>
      <c r="AQ801" s="122"/>
      <c r="AR801" s="122"/>
      <c r="AS801" s="122"/>
      <c r="AT801" s="122"/>
      <c r="AU801" s="122"/>
      <c r="AV801" s="122"/>
      <c r="AW801" s="122"/>
      <c r="AX801" s="122"/>
      <c r="AY801" s="122"/>
    </row>
    <row r="802">
      <c r="A802" s="78"/>
      <c r="B802" s="78"/>
      <c r="C802" s="78"/>
      <c r="D802" s="78"/>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c r="AA802" s="122"/>
      <c r="AB802" s="122"/>
      <c r="AC802" s="122"/>
      <c r="AD802" s="122"/>
      <c r="AE802" s="122"/>
      <c r="AF802" s="122"/>
      <c r="AG802" s="122"/>
      <c r="AH802" s="122"/>
      <c r="AI802" s="122"/>
      <c r="AJ802" s="122"/>
      <c r="AK802" s="122"/>
      <c r="AL802" s="122"/>
      <c r="AM802" s="122"/>
      <c r="AN802" s="122"/>
      <c r="AO802" s="122"/>
      <c r="AP802" s="122"/>
      <c r="AQ802" s="122"/>
      <c r="AR802" s="122"/>
      <c r="AS802" s="122"/>
      <c r="AT802" s="122"/>
      <c r="AU802" s="122"/>
      <c r="AV802" s="122"/>
      <c r="AW802" s="122"/>
      <c r="AX802" s="122"/>
      <c r="AY802" s="122"/>
    </row>
    <row r="803">
      <c r="A803" s="78"/>
      <c r="B803" s="78"/>
      <c r="C803" s="78"/>
      <c r="D803" s="78"/>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c r="AA803" s="122"/>
      <c r="AB803" s="122"/>
      <c r="AC803" s="122"/>
      <c r="AD803" s="122"/>
      <c r="AE803" s="122"/>
      <c r="AF803" s="122"/>
      <c r="AG803" s="122"/>
      <c r="AH803" s="122"/>
      <c r="AI803" s="122"/>
      <c r="AJ803" s="122"/>
      <c r="AK803" s="122"/>
      <c r="AL803" s="122"/>
      <c r="AM803" s="122"/>
      <c r="AN803" s="122"/>
      <c r="AO803" s="122"/>
      <c r="AP803" s="122"/>
      <c r="AQ803" s="122"/>
      <c r="AR803" s="122"/>
      <c r="AS803" s="122"/>
      <c r="AT803" s="122"/>
      <c r="AU803" s="122"/>
      <c r="AV803" s="122"/>
      <c r="AW803" s="122"/>
      <c r="AX803" s="122"/>
      <c r="AY803" s="122"/>
    </row>
    <row r="804">
      <c r="A804" s="78"/>
      <c r="B804" s="78"/>
      <c r="C804" s="78"/>
      <c r="D804" s="78"/>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c r="AA804" s="122"/>
      <c r="AB804" s="122"/>
      <c r="AC804" s="122"/>
      <c r="AD804" s="122"/>
      <c r="AE804" s="122"/>
      <c r="AF804" s="122"/>
      <c r="AG804" s="122"/>
      <c r="AH804" s="122"/>
      <c r="AI804" s="122"/>
      <c r="AJ804" s="122"/>
      <c r="AK804" s="122"/>
      <c r="AL804" s="122"/>
      <c r="AM804" s="122"/>
      <c r="AN804" s="122"/>
      <c r="AO804" s="122"/>
      <c r="AP804" s="122"/>
      <c r="AQ804" s="122"/>
      <c r="AR804" s="122"/>
      <c r="AS804" s="122"/>
      <c r="AT804" s="122"/>
      <c r="AU804" s="122"/>
      <c r="AV804" s="122"/>
      <c r="AW804" s="122"/>
      <c r="AX804" s="122"/>
      <c r="AY804" s="122"/>
    </row>
    <row r="805">
      <c r="A805" s="78"/>
      <c r="B805" s="78"/>
      <c r="C805" s="78"/>
      <c r="D805" s="78"/>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c r="AA805" s="122"/>
      <c r="AB805" s="122"/>
      <c r="AC805" s="122"/>
      <c r="AD805" s="122"/>
      <c r="AE805" s="122"/>
      <c r="AF805" s="122"/>
      <c r="AG805" s="122"/>
      <c r="AH805" s="122"/>
      <c r="AI805" s="122"/>
      <c r="AJ805" s="122"/>
      <c r="AK805" s="122"/>
      <c r="AL805" s="122"/>
      <c r="AM805" s="122"/>
      <c r="AN805" s="122"/>
      <c r="AO805" s="122"/>
      <c r="AP805" s="122"/>
      <c r="AQ805" s="122"/>
      <c r="AR805" s="122"/>
      <c r="AS805" s="122"/>
      <c r="AT805" s="122"/>
      <c r="AU805" s="122"/>
      <c r="AV805" s="122"/>
      <c r="AW805" s="122"/>
      <c r="AX805" s="122"/>
      <c r="AY805" s="122"/>
    </row>
    <row r="806">
      <c r="A806" s="78"/>
      <c r="B806" s="78"/>
      <c r="C806" s="78"/>
      <c r="D806" s="78"/>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c r="AA806" s="122"/>
      <c r="AB806" s="122"/>
      <c r="AC806" s="122"/>
      <c r="AD806" s="122"/>
      <c r="AE806" s="122"/>
      <c r="AF806" s="122"/>
      <c r="AG806" s="122"/>
      <c r="AH806" s="122"/>
      <c r="AI806" s="122"/>
      <c r="AJ806" s="122"/>
      <c r="AK806" s="122"/>
      <c r="AL806" s="122"/>
      <c r="AM806" s="122"/>
      <c r="AN806" s="122"/>
      <c r="AO806" s="122"/>
      <c r="AP806" s="122"/>
      <c r="AQ806" s="122"/>
      <c r="AR806" s="122"/>
      <c r="AS806" s="122"/>
      <c r="AT806" s="122"/>
      <c r="AU806" s="122"/>
      <c r="AV806" s="122"/>
      <c r="AW806" s="122"/>
      <c r="AX806" s="122"/>
      <c r="AY806" s="122"/>
    </row>
    <row r="807">
      <c r="A807" s="78"/>
      <c r="B807" s="78"/>
      <c r="C807" s="78"/>
      <c r="D807" s="78"/>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c r="AA807" s="122"/>
      <c r="AB807" s="122"/>
      <c r="AC807" s="122"/>
      <c r="AD807" s="122"/>
      <c r="AE807" s="122"/>
      <c r="AF807" s="122"/>
      <c r="AG807" s="122"/>
      <c r="AH807" s="122"/>
      <c r="AI807" s="122"/>
      <c r="AJ807" s="122"/>
      <c r="AK807" s="122"/>
      <c r="AL807" s="122"/>
      <c r="AM807" s="122"/>
      <c r="AN807" s="122"/>
      <c r="AO807" s="122"/>
      <c r="AP807" s="122"/>
      <c r="AQ807" s="122"/>
      <c r="AR807" s="122"/>
      <c r="AS807" s="122"/>
      <c r="AT807" s="122"/>
      <c r="AU807" s="122"/>
      <c r="AV807" s="122"/>
      <c r="AW807" s="122"/>
      <c r="AX807" s="122"/>
      <c r="AY807" s="122"/>
    </row>
    <row r="808">
      <c r="A808" s="78"/>
      <c r="B808" s="78"/>
      <c r="C808" s="78"/>
      <c r="D808" s="78"/>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c r="AA808" s="122"/>
      <c r="AB808" s="122"/>
      <c r="AC808" s="122"/>
      <c r="AD808" s="122"/>
      <c r="AE808" s="122"/>
      <c r="AF808" s="122"/>
      <c r="AG808" s="122"/>
      <c r="AH808" s="122"/>
      <c r="AI808" s="122"/>
      <c r="AJ808" s="122"/>
      <c r="AK808" s="122"/>
      <c r="AL808" s="122"/>
      <c r="AM808" s="122"/>
      <c r="AN808" s="122"/>
      <c r="AO808" s="122"/>
      <c r="AP808" s="122"/>
      <c r="AQ808" s="122"/>
      <c r="AR808" s="122"/>
      <c r="AS808" s="122"/>
      <c r="AT808" s="122"/>
      <c r="AU808" s="122"/>
      <c r="AV808" s="122"/>
      <c r="AW808" s="122"/>
      <c r="AX808" s="122"/>
      <c r="AY808" s="122"/>
    </row>
    <row r="809">
      <c r="A809" s="78"/>
      <c r="B809" s="78"/>
      <c r="C809" s="78"/>
      <c r="D809" s="78"/>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c r="AA809" s="122"/>
      <c r="AB809" s="122"/>
      <c r="AC809" s="122"/>
      <c r="AD809" s="122"/>
      <c r="AE809" s="122"/>
      <c r="AF809" s="122"/>
      <c r="AG809" s="122"/>
      <c r="AH809" s="122"/>
      <c r="AI809" s="122"/>
      <c r="AJ809" s="122"/>
      <c r="AK809" s="122"/>
      <c r="AL809" s="122"/>
      <c r="AM809" s="122"/>
      <c r="AN809" s="122"/>
      <c r="AO809" s="122"/>
      <c r="AP809" s="122"/>
      <c r="AQ809" s="122"/>
      <c r="AR809" s="122"/>
      <c r="AS809" s="122"/>
      <c r="AT809" s="122"/>
      <c r="AU809" s="122"/>
      <c r="AV809" s="122"/>
      <c r="AW809" s="122"/>
      <c r="AX809" s="122"/>
      <c r="AY809" s="122"/>
    </row>
    <row r="810">
      <c r="A810" s="78"/>
      <c r="B810" s="78"/>
      <c r="C810" s="78"/>
      <c r="D810" s="78"/>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c r="AA810" s="122"/>
      <c r="AB810" s="122"/>
      <c r="AC810" s="122"/>
      <c r="AD810" s="122"/>
      <c r="AE810" s="122"/>
      <c r="AF810" s="122"/>
      <c r="AG810" s="122"/>
      <c r="AH810" s="122"/>
      <c r="AI810" s="122"/>
      <c r="AJ810" s="122"/>
      <c r="AK810" s="122"/>
      <c r="AL810" s="122"/>
      <c r="AM810" s="122"/>
      <c r="AN810" s="122"/>
      <c r="AO810" s="122"/>
      <c r="AP810" s="122"/>
      <c r="AQ810" s="122"/>
      <c r="AR810" s="122"/>
      <c r="AS810" s="122"/>
      <c r="AT810" s="122"/>
      <c r="AU810" s="122"/>
      <c r="AV810" s="122"/>
      <c r="AW810" s="122"/>
      <c r="AX810" s="122"/>
      <c r="AY810" s="122"/>
    </row>
    <row r="811">
      <c r="A811" s="78"/>
      <c r="B811" s="78"/>
      <c r="C811" s="78"/>
      <c r="D811" s="78"/>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c r="AA811" s="122"/>
      <c r="AB811" s="122"/>
      <c r="AC811" s="122"/>
      <c r="AD811" s="122"/>
      <c r="AE811" s="122"/>
      <c r="AF811" s="122"/>
      <c r="AG811" s="122"/>
      <c r="AH811" s="122"/>
      <c r="AI811" s="122"/>
      <c r="AJ811" s="122"/>
      <c r="AK811" s="122"/>
      <c r="AL811" s="122"/>
      <c r="AM811" s="122"/>
      <c r="AN811" s="122"/>
      <c r="AO811" s="122"/>
      <c r="AP811" s="122"/>
      <c r="AQ811" s="122"/>
      <c r="AR811" s="122"/>
      <c r="AS811" s="122"/>
      <c r="AT811" s="122"/>
      <c r="AU811" s="122"/>
      <c r="AV811" s="122"/>
      <c r="AW811" s="122"/>
      <c r="AX811" s="122"/>
      <c r="AY811" s="122"/>
    </row>
    <row r="812">
      <c r="A812" s="78"/>
      <c r="B812" s="78"/>
      <c r="C812" s="78"/>
      <c r="D812" s="78"/>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c r="AA812" s="122"/>
      <c r="AB812" s="122"/>
      <c r="AC812" s="122"/>
      <c r="AD812" s="122"/>
      <c r="AE812" s="122"/>
      <c r="AF812" s="122"/>
      <c r="AG812" s="122"/>
      <c r="AH812" s="122"/>
      <c r="AI812" s="122"/>
      <c r="AJ812" s="122"/>
      <c r="AK812" s="122"/>
      <c r="AL812" s="122"/>
      <c r="AM812" s="122"/>
      <c r="AN812" s="122"/>
      <c r="AO812" s="122"/>
      <c r="AP812" s="122"/>
      <c r="AQ812" s="122"/>
      <c r="AR812" s="122"/>
      <c r="AS812" s="122"/>
      <c r="AT812" s="122"/>
      <c r="AU812" s="122"/>
      <c r="AV812" s="122"/>
      <c r="AW812" s="122"/>
      <c r="AX812" s="122"/>
      <c r="AY812" s="122"/>
    </row>
    <row r="813">
      <c r="A813" s="78"/>
      <c r="B813" s="78"/>
      <c r="C813" s="78"/>
      <c r="D813" s="78"/>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c r="AA813" s="122"/>
      <c r="AB813" s="122"/>
      <c r="AC813" s="122"/>
      <c r="AD813" s="122"/>
      <c r="AE813" s="122"/>
      <c r="AF813" s="122"/>
      <c r="AG813" s="122"/>
      <c r="AH813" s="122"/>
      <c r="AI813" s="122"/>
      <c r="AJ813" s="122"/>
      <c r="AK813" s="122"/>
      <c r="AL813" s="122"/>
      <c r="AM813" s="122"/>
      <c r="AN813" s="122"/>
      <c r="AO813" s="122"/>
      <c r="AP813" s="122"/>
      <c r="AQ813" s="122"/>
      <c r="AR813" s="122"/>
      <c r="AS813" s="122"/>
      <c r="AT813" s="122"/>
      <c r="AU813" s="122"/>
      <c r="AV813" s="122"/>
      <c r="AW813" s="122"/>
      <c r="AX813" s="122"/>
      <c r="AY813" s="122"/>
    </row>
    <row r="814">
      <c r="A814" s="78"/>
      <c r="B814" s="78"/>
      <c r="C814" s="78"/>
      <c r="D814" s="78"/>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c r="AA814" s="122"/>
      <c r="AB814" s="122"/>
      <c r="AC814" s="122"/>
      <c r="AD814" s="122"/>
      <c r="AE814" s="122"/>
      <c r="AF814" s="122"/>
      <c r="AG814" s="122"/>
      <c r="AH814" s="122"/>
      <c r="AI814" s="122"/>
      <c r="AJ814" s="122"/>
      <c r="AK814" s="122"/>
      <c r="AL814" s="122"/>
      <c r="AM814" s="122"/>
      <c r="AN814" s="122"/>
      <c r="AO814" s="122"/>
      <c r="AP814" s="122"/>
      <c r="AQ814" s="122"/>
      <c r="AR814" s="122"/>
      <c r="AS814" s="122"/>
      <c r="AT814" s="122"/>
      <c r="AU814" s="122"/>
      <c r="AV814" s="122"/>
      <c r="AW814" s="122"/>
      <c r="AX814" s="122"/>
      <c r="AY814" s="122"/>
    </row>
    <row r="815">
      <c r="A815" s="78"/>
      <c r="B815" s="78"/>
      <c r="C815" s="78"/>
      <c r="D815" s="78"/>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c r="AA815" s="122"/>
      <c r="AB815" s="122"/>
      <c r="AC815" s="122"/>
      <c r="AD815" s="122"/>
      <c r="AE815" s="122"/>
      <c r="AF815" s="122"/>
      <c r="AG815" s="122"/>
      <c r="AH815" s="122"/>
      <c r="AI815" s="122"/>
      <c r="AJ815" s="122"/>
      <c r="AK815" s="122"/>
      <c r="AL815" s="122"/>
      <c r="AM815" s="122"/>
      <c r="AN815" s="122"/>
      <c r="AO815" s="122"/>
      <c r="AP815" s="122"/>
      <c r="AQ815" s="122"/>
      <c r="AR815" s="122"/>
      <c r="AS815" s="122"/>
      <c r="AT815" s="122"/>
      <c r="AU815" s="122"/>
      <c r="AV815" s="122"/>
      <c r="AW815" s="122"/>
      <c r="AX815" s="122"/>
      <c r="AY815" s="122"/>
    </row>
    <row r="816">
      <c r="A816" s="78"/>
      <c r="B816" s="78"/>
      <c r="C816" s="78"/>
      <c r="D816" s="78"/>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c r="AA816" s="122"/>
      <c r="AB816" s="122"/>
      <c r="AC816" s="122"/>
      <c r="AD816" s="122"/>
      <c r="AE816" s="122"/>
      <c r="AF816" s="122"/>
      <c r="AG816" s="122"/>
      <c r="AH816" s="122"/>
      <c r="AI816" s="122"/>
      <c r="AJ816" s="122"/>
      <c r="AK816" s="122"/>
      <c r="AL816" s="122"/>
      <c r="AM816" s="122"/>
      <c r="AN816" s="122"/>
      <c r="AO816" s="122"/>
      <c r="AP816" s="122"/>
      <c r="AQ816" s="122"/>
      <c r="AR816" s="122"/>
      <c r="AS816" s="122"/>
      <c r="AT816" s="122"/>
      <c r="AU816" s="122"/>
      <c r="AV816" s="122"/>
      <c r="AW816" s="122"/>
      <c r="AX816" s="122"/>
      <c r="AY816" s="122"/>
    </row>
    <row r="817">
      <c r="A817" s="78"/>
      <c r="B817" s="78"/>
      <c r="C817" s="78"/>
      <c r="D817" s="78"/>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c r="AA817" s="122"/>
      <c r="AB817" s="122"/>
      <c r="AC817" s="122"/>
      <c r="AD817" s="122"/>
      <c r="AE817" s="122"/>
      <c r="AF817" s="122"/>
      <c r="AG817" s="122"/>
      <c r="AH817" s="122"/>
      <c r="AI817" s="122"/>
      <c r="AJ817" s="122"/>
      <c r="AK817" s="122"/>
      <c r="AL817" s="122"/>
      <c r="AM817" s="122"/>
      <c r="AN817" s="122"/>
      <c r="AO817" s="122"/>
      <c r="AP817" s="122"/>
      <c r="AQ817" s="122"/>
      <c r="AR817" s="122"/>
      <c r="AS817" s="122"/>
      <c r="AT817" s="122"/>
      <c r="AU817" s="122"/>
      <c r="AV817" s="122"/>
      <c r="AW817" s="122"/>
      <c r="AX817" s="122"/>
      <c r="AY817" s="122"/>
    </row>
    <row r="818">
      <c r="A818" s="78"/>
      <c r="B818" s="78"/>
      <c r="C818" s="78"/>
      <c r="D818" s="78"/>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c r="AA818" s="122"/>
      <c r="AB818" s="122"/>
      <c r="AC818" s="122"/>
      <c r="AD818" s="122"/>
      <c r="AE818" s="122"/>
      <c r="AF818" s="122"/>
      <c r="AG818" s="122"/>
      <c r="AH818" s="122"/>
      <c r="AI818" s="122"/>
      <c r="AJ818" s="122"/>
      <c r="AK818" s="122"/>
      <c r="AL818" s="122"/>
      <c r="AM818" s="122"/>
      <c r="AN818" s="122"/>
      <c r="AO818" s="122"/>
      <c r="AP818" s="122"/>
      <c r="AQ818" s="122"/>
      <c r="AR818" s="122"/>
      <c r="AS818" s="122"/>
      <c r="AT818" s="122"/>
      <c r="AU818" s="122"/>
      <c r="AV818" s="122"/>
      <c r="AW818" s="122"/>
      <c r="AX818" s="122"/>
      <c r="AY818" s="122"/>
    </row>
    <row r="819">
      <c r="A819" s="78"/>
      <c r="B819" s="78"/>
      <c r="C819" s="78"/>
      <c r="D819" s="78"/>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c r="AA819" s="122"/>
      <c r="AB819" s="122"/>
      <c r="AC819" s="122"/>
      <c r="AD819" s="122"/>
      <c r="AE819" s="122"/>
      <c r="AF819" s="122"/>
      <c r="AG819" s="122"/>
      <c r="AH819" s="122"/>
      <c r="AI819" s="122"/>
      <c r="AJ819" s="122"/>
      <c r="AK819" s="122"/>
      <c r="AL819" s="122"/>
      <c r="AM819" s="122"/>
      <c r="AN819" s="122"/>
      <c r="AO819" s="122"/>
      <c r="AP819" s="122"/>
      <c r="AQ819" s="122"/>
      <c r="AR819" s="122"/>
      <c r="AS819" s="122"/>
      <c r="AT819" s="122"/>
      <c r="AU819" s="122"/>
      <c r="AV819" s="122"/>
      <c r="AW819" s="122"/>
      <c r="AX819" s="122"/>
      <c r="AY819" s="122"/>
    </row>
    <row r="820">
      <c r="A820" s="78"/>
      <c r="B820" s="78"/>
      <c r="C820" s="78"/>
      <c r="D820" s="78"/>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c r="AA820" s="122"/>
      <c r="AB820" s="122"/>
      <c r="AC820" s="122"/>
      <c r="AD820" s="122"/>
      <c r="AE820" s="122"/>
      <c r="AF820" s="122"/>
      <c r="AG820" s="122"/>
      <c r="AH820" s="122"/>
      <c r="AI820" s="122"/>
      <c r="AJ820" s="122"/>
      <c r="AK820" s="122"/>
      <c r="AL820" s="122"/>
      <c r="AM820" s="122"/>
      <c r="AN820" s="122"/>
      <c r="AO820" s="122"/>
      <c r="AP820" s="122"/>
      <c r="AQ820" s="122"/>
      <c r="AR820" s="122"/>
      <c r="AS820" s="122"/>
      <c r="AT820" s="122"/>
      <c r="AU820" s="122"/>
      <c r="AV820" s="122"/>
      <c r="AW820" s="122"/>
      <c r="AX820" s="122"/>
      <c r="AY820" s="122"/>
    </row>
    <row r="821">
      <c r="A821" s="78"/>
      <c r="B821" s="78"/>
      <c r="C821" s="78"/>
      <c r="D821" s="78"/>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c r="AA821" s="122"/>
      <c r="AB821" s="122"/>
      <c r="AC821" s="122"/>
      <c r="AD821" s="122"/>
      <c r="AE821" s="122"/>
      <c r="AF821" s="122"/>
      <c r="AG821" s="122"/>
      <c r="AH821" s="122"/>
      <c r="AI821" s="122"/>
      <c r="AJ821" s="122"/>
      <c r="AK821" s="122"/>
      <c r="AL821" s="122"/>
      <c r="AM821" s="122"/>
      <c r="AN821" s="122"/>
      <c r="AO821" s="122"/>
      <c r="AP821" s="122"/>
      <c r="AQ821" s="122"/>
      <c r="AR821" s="122"/>
      <c r="AS821" s="122"/>
      <c r="AT821" s="122"/>
      <c r="AU821" s="122"/>
      <c r="AV821" s="122"/>
      <c r="AW821" s="122"/>
      <c r="AX821" s="122"/>
      <c r="AY821" s="122"/>
    </row>
    <row r="822">
      <c r="A822" s="78"/>
      <c r="B822" s="78"/>
      <c r="C822" s="78"/>
      <c r="D822" s="78"/>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c r="AA822" s="122"/>
      <c r="AB822" s="122"/>
      <c r="AC822" s="122"/>
      <c r="AD822" s="122"/>
      <c r="AE822" s="122"/>
      <c r="AF822" s="122"/>
      <c r="AG822" s="122"/>
      <c r="AH822" s="122"/>
      <c r="AI822" s="122"/>
      <c r="AJ822" s="122"/>
      <c r="AK822" s="122"/>
      <c r="AL822" s="122"/>
      <c r="AM822" s="122"/>
      <c r="AN822" s="122"/>
      <c r="AO822" s="122"/>
      <c r="AP822" s="122"/>
      <c r="AQ822" s="122"/>
      <c r="AR822" s="122"/>
      <c r="AS822" s="122"/>
      <c r="AT822" s="122"/>
      <c r="AU822" s="122"/>
      <c r="AV822" s="122"/>
      <c r="AW822" s="122"/>
      <c r="AX822" s="122"/>
      <c r="AY822" s="122"/>
    </row>
    <row r="823">
      <c r="A823" s="78"/>
      <c r="B823" s="78"/>
      <c r="C823" s="78"/>
      <c r="D823" s="78"/>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c r="AA823" s="122"/>
      <c r="AB823" s="122"/>
      <c r="AC823" s="122"/>
      <c r="AD823" s="122"/>
      <c r="AE823" s="122"/>
      <c r="AF823" s="122"/>
      <c r="AG823" s="122"/>
      <c r="AH823" s="122"/>
      <c r="AI823" s="122"/>
      <c r="AJ823" s="122"/>
      <c r="AK823" s="122"/>
      <c r="AL823" s="122"/>
      <c r="AM823" s="122"/>
      <c r="AN823" s="122"/>
      <c r="AO823" s="122"/>
      <c r="AP823" s="122"/>
      <c r="AQ823" s="122"/>
      <c r="AR823" s="122"/>
      <c r="AS823" s="122"/>
      <c r="AT823" s="122"/>
      <c r="AU823" s="122"/>
      <c r="AV823" s="122"/>
      <c r="AW823" s="122"/>
      <c r="AX823" s="122"/>
      <c r="AY823" s="122"/>
    </row>
    <row r="824">
      <c r="A824" s="78"/>
      <c r="B824" s="78"/>
      <c r="C824" s="78"/>
      <c r="D824" s="78"/>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c r="AA824" s="122"/>
      <c r="AB824" s="122"/>
      <c r="AC824" s="122"/>
      <c r="AD824" s="122"/>
      <c r="AE824" s="122"/>
      <c r="AF824" s="122"/>
      <c r="AG824" s="122"/>
      <c r="AH824" s="122"/>
      <c r="AI824" s="122"/>
      <c r="AJ824" s="122"/>
      <c r="AK824" s="122"/>
      <c r="AL824" s="122"/>
      <c r="AM824" s="122"/>
      <c r="AN824" s="122"/>
      <c r="AO824" s="122"/>
      <c r="AP824" s="122"/>
      <c r="AQ824" s="122"/>
      <c r="AR824" s="122"/>
      <c r="AS824" s="122"/>
      <c r="AT824" s="122"/>
      <c r="AU824" s="122"/>
      <c r="AV824" s="122"/>
      <c r="AW824" s="122"/>
      <c r="AX824" s="122"/>
      <c r="AY824" s="122"/>
    </row>
    <row r="825">
      <c r="A825" s="78"/>
      <c r="B825" s="78"/>
      <c r="C825" s="78"/>
      <c r="D825" s="78"/>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c r="AA825" s="122"/>
      <c r="AB825" s="122"/>
      <c r="AC825" s="122"/>
      <c r="AD825" s="122"/>
      <c r="AE825" s="122"/>
      <c r="AF825" s="122"/>
      <c r="AG825" s="122"/>
      <c r="AH825" s="122"/>
      <c r="AI825" s="122"/>
      <c r="AJ825" s="122"/>
      <c r="AK825" s="122"/>
      <c r="AL825" s="122"/>
      <c r="AM825" s="122"/>
      <c r="AN825" s="122"/>
      <c r="AO825" s="122"/>
      <c r="AP825" s="122"/>
      <c r="AQ825" s="122"/>
      <c r="AR825" s="122"/>
      <c r="AS825" s="122"/>
      <c r="AT825" s="122"/>
      <c r="AU825" s="122"/>
      <c r="AV825" s="122"/>
      <c r="AW825" s="122"/>
      <c r="AX825" s="122"/>
      <c r="AY825" s="122"/>
    </row>
    <row r="826">
      <c r="A826" s="78"/>
      <c r="B826" s="78"/>
      <c r="C826" s="78"/>
      <c r="D826" s="78"/>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c r="AA826" s="122"/>
      <c r="AB826" s="122"/>
      <c r="AC826" s="122"/>
      <c r="AD826" s="122"/>
      <c r="AE826" s="122"/>
      <c r="AF826" s="122"/>
      <c r="AG826" s="122"/>
      <c r="AH826" s="122"/>
      <c r="AI826" s="122"/>
      <c r="AJ826" s="122"/>
      <c r="AK826" s="122"/>
      <c r="AL826" s="122"/>
      <c r="AM826" s="122"/>
      <c r="AN826" s="122"/>
      <c r="AO826" s="122"/>
      <c r="AP826" s="122"/>
      <c r="AQ826" s="122"/>
      <c r="AR826" s="122"/>
      <c r="AS826" s="122"/>
      <c r="AT826" s="122"/>
      <c r="AU826" s="122"/>
      <c r="AV826" s="122"/>
      <c r="AW826" s="122"/>
      <c r="AX826" s="122"/>
      <c r="AY826" s="122"/>
    </row>
    <row r="827">
      <c r="A827" s="78"/>
      <c r="B827" s="78"/>
      <c r="C827" s="78"/>
      <c r="D827" s="78"/>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c r="AA827" s="122"/>
      <c r="AB827" s="122"/>
      <c r="AC827" s="122"/>
      <c r="AD827" s="122"/>
      <c r="AE827" s="122"/>
      <c r="AF827" s="122"/>
      <c r="AG827" s="122"/>
      <c r="AH827" s="122"/>
      <c r="AI827" s="122"/>
      <c r="AJ827" s="122"/>
      <c r="AK827" s="122"/>
      <c r="AL827" s="122"/>
      <c r="AM827" s="122"/>
      <c r="AN827" s="122"/>
      <c r="AO827" s="122"/>
      <c r="AP827" s="122"/>
      <c r="AQ827" s="122"/>
      <c r="AR827" s="122"/>
      <c r="AS827" s="122"/>
      <c r="AT827" s="122"/>
      <c r="AU827" s="122"/>
      <c r="AV827" s="122"/>
      <c r="AW827" s="122"/>
      <c r="AX827" s="122"/>
      <c r="AY827" s="122"/>
    </row>
    <row r="828">
      <c r="A828" s="78"/>
      <c r="B828" s="78"/>
      <c r="C828" s="78"/>
      <c r="D828" s="78"/>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c r="AA828" s="122"/>
      <c r="AB828" s="122"/>
      <c r="AC828" s="122"/>
      <c r="AD828" s="122"/>
      <c r="AE828" s="122"/>
      <c r="AF828" s="122"/>
      <c r="AG828" s="122"/>
      <c r="AH828" s="122"/>
      <c r="AI828" s="122"/>
      <c r="AJ828" s="122"/>
      <c r="AK828" s="122"/>
      <c r="AL828" s="122"/>
      <c r="AM828" s="122"/>
      <c r="AN828" s="122"/>
      <c r="AO828" s="122"/>
      <c r="AP828" s="122"/>
      <c r="AQ828" s="122"/>
      <c r="AR828" s="122"/>
      <c r="AS828" s="122"/>
      <c r="AT828" s="122"/>
      <c r="AU828" s="122"/>
      <c r="AV828" s="122"/>
      <c r="AW828" s="122"/>
      <c r="AX828" s="122"/>
      <c r="AY828" s="122"/>
    </row>
    <row r="829">
      <c r="A829" s="78"/>
      <c r="B829" s="78"/>
      <c r="C829" s="78"/>
      <c r="D829" s="78"/>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c r="AA829" s="122"/>
      <c r="AB829" s="122"/>
      <c r="AC829" s="122"/>
      <c r="AD829" s="122"/>
      <c r="AE829" s="122"/>
      <c r="AF829" s="122"/>
      <c r="AG829" s="122"/>
      <c r="AH829" s="122"/>
      <c r="AI829" s="122"/>
      <c r="AJ829" s="122"/>
      <c r="AK829" s="122"/>
      <c r="AL829" s="122"/>
      <c r="AM829" s="122"/>
      <c r="AN829" s="122"/>
      <c r="AO829" s="122"/>
      <c r="AP829" s="122"/>
      <c r="AQ829" s="122"/>
      <c r="AR829" s="122"/>
      <c r="AS829" s="122"/>
      <c r="AT829" s="122"/>
      <c r="AU829" s="122"/>
      <c r="AV829" s="122"/>
      <c r="AW829" s="122"/>
      <c r="AX829" s="122"/>
      <c r="AY829" s="122"/>
    </row>
    <row r="830">
      <c r="A830" s="78"/>
      <c r="B830" s="78"/>
      <c r="C830" s="78"/>
      <c r="D830" s="78"/>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c r="AA830" s="122"/>
      <c r="AB830" s="122"/>
      <c r="AC830" s="122"/>
      <c r="AD830" s="122"/>
      <c r="AE830" s="122"/>
      <c r="AF830" s="122"/>
      <c r="AG830" s="122"/>
      <c r="AH830" s="122"/>
      <c r="AI830" s="122"/>
      <c r="AJ830" s="122"/>
      <c r="AK830" s="122"/>
      <c r="AL830" s="122"/>
      <c r="AM830" s="122"/>
      <c r="AN830" s="122"/>
      <c r="AO830" s="122"/>
      <c r="AP830" s="122"/>
      <c r="AQ830" s="122"/>
      <c r="AR830" s="122"/>
      <c r="AS830" s="122"/>
      <c r="AT830" s="122"/>
      <c r="AU830" s="122"/>
      <c r="AV830" s="122"/>
      <c r="AW830" s="122"/>
      <c r="AX830" s="122"/>
      <c r="AY830" s="122"/>
    </row>
    <row r="831">
      <c r="A831" s="78"/>
      <c r="B831" s="78"/>
      <c r="C831" s="78"/>
      <c r="D831" s="78"/>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c r="AA831" s="122"/>
      <c r="AB831" s="122"/>
      <c r="AC831" s="122"/>
      <c r="AD831" s="122"/>
      <c r="AE831" s="122"/>
      <c r="AF831" s="122"/>
      <c r="AG831" s="122"/>
      <c r="AH831" s="122"/>
      <c r="AI831" s="122"/>
      <c r="AJ831" s="122"/>
      <c r="AK831" s="122"/>
      <c r="AL831" s="122"/>
      <c r="AM831" s="122"/>
      <c r="AN831" s="122"/>
      <c r="AO831" s="122"/>
      <c r="AP831" s="122"/>
      <c r="AQ831" s="122"/>
      <c r="AR831" s="122"/>
      <c r="AS831" s="122"/>
      <c r="AT831" s="122"/>
      <c r="AU831" s="122"/>
      <c r="AV831" s="122"/>
      <c r="AW831" s="122"/>
      <c r="AX831" s="122"/>
      <c r="AY831" s="122"/>
    </row>
    <row r="832">
      <c r="A832" s="78"/>
      <c r="B832" s="78"/>
      <c r="C832" s="78"/>
      <c r="D832" s="78"/>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c r="AA832" s="122"/>
      <c r="AB832" s="122"/>
      <c r="AC832" s="122"/>
      <c r="AD832" s="122"/>
      <c r="AE832" s="122"/>
      <c r="AF832" s="122"/>
      <c r="AG832" s="122"/>
      <c r="AH832" s="122"/>
      <c r="AI832" s="122"/>
      <c r="AJ832" s="122"/>
      <c r="AK832" s="122"/>
      <c r="AL832" s="122"/>
      <c r="AM832" s="122"/>
      <c r="AN832" s="122"/>
      <c r="AO832" s="122"/>
      <c r="AP832" s="122"/>
      <c r="AQ832" s="122"/>
      <c r="AR832" s="122"/>
      <c r="AS832" s="122"/>
      <c r="AT832" s="122"/>
      <c r="AU832" s="122"/>
      <c r="AV832" s="122"/>
      <c r="AW832" s="122"/>
      <c r="AX832" s="122"/>
      <c r="AY832" s="122"/>
    </row>
    <row r="833">
      <c r="A833" s="78"/>
      <c r="B833" s="78"/>
      <c r="C833" s="78"/>
      <c r="D833" s="78"/>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c r="AA833" s="122"/>
      <c r="AB833" s="122"/>
      <c r="AC833" s="122"/>
      <c r="AD833" s="122"/>
      <c r="AE833" s="122"/>
      <c r="AF833" s="122"/>
      <c r="AG833" s="122"/>
      <c r="AH833" s="122"/>
      <c r="AI833" s="122"/>
      <c r="AJ833" s="122"/>
      <c r="AK833" s="122"/>
      <c r="AL833" s="122"/>
      <c r="AM833" s="122"/>
      <c r="AN833" s="122"/>
      <c r="AO833" s="122"/>
      <c r="AP833" s="122"/>
      <c r="AQ833" s="122"/>
      <c r="AR833" s="122"/>
      <c r="AS833" s="122"/>
      <c r="AT833" s="122"/>
      <c r="AU833" s="122"/>
      <c r="AV833" s="122"/>
      <c r="AW833" s="122"/>
      <c r="AX833" s="122"/>
      <c r="AY833" s="122"/>
    </row>
    <row r="834">
      <c r="A834" s="78"/>
      <c r="B834" s="78"/>
      <c r="C834" s="78"/>
      <c r="D834" s="78"/>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c r="AA834" s="122"/>
      <c r="AB834" s="122"/>
      <c r="AC834" s="122"/>
      <c r="AD834" s="122"/>
      <c r="AE834" s="122"/>
      <c r="AF834" s="122"/>
      <c r="AG834" s="122"/>
      <c r="AH834" s="122"/>
      <c r="AI834" s="122"/>
      <c r="AJ834" s="122"/>
      <c r="AK834" s="122"/>
      <c r="AL834" s="122"/>
      <c r="AM834" s="122"/>
      <c r="AN834" s="122"/>
      <c r="AO834" s="122"/>
      <c r="AP834" s="122"/>
      <c r="AQ834" s="122"/>
      <c r="AR834" s="122"/>
      <c r="AS834" s="122"/>
      <c r="AT834" s="122"/>
      <c r="AU834" s="122"/>
      <c r="AV834" s="122"/>
      <c r="AW834" s="122"/>
      <c r="AX834" s="122"/>
      <c r="AY834" s="122"/>
    </row>
    <row r="835">
      <c r="A835" s="78"/>
      <c r="B835" s="78"/>
      <c r="C835" s="78"/>
      <c r="D835" s="78"/>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c r="AA835" s="122"/>
      <c r="AB835" s="122"/>
      <c r="AC835" s="122"/>
      <c r="AD835" s="122"/>
      <c r="AE835" s="122"/>
      <c r="AF835" s="122"/>
      <c r="AG835" s="122"/>
      <c r="AH835" s="122"/>
      <c r="AI835" s="122"/>
      <c r="AJ835" s="122"/>
      <c r="AK835" s="122"/>
      <c r="AL835" s="122"/>
      <c r="AM835" s="122"/>
      <c r="AN835" s="122"/>
      <c r="AO835" s="122"/>
      <c r="AP835" s="122"/>
      <c r="AQ835" s="122"/>
      <c r="AR835" s="122"/>
      <c r="AS835" s="122"/>
      <c r="AT835" s="122"/>
      <c r="AU835" s="122"/>
      <c r="AV835" s="122"/>
      <c r="AW835" s="122"/>
      <c r="AX835" s="122"/>
      <c r="AY835" s="122"/>
    </row>
    <row r="836">
      <c r="A836" s="78"/>
      <c r="B836" s="78"/>
      <c r="C836" s="78"/>
      <c r="D836" s="78"/>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c r="AA836" s="122"/>
      <c r="AB836" s="122"/>
      <c r="AC836" s="122"/>
      <c r="AD836" s="122"/>
      <c r="AE836" s="122"/>
      <c r="AF836" s="122"/>
      <c r="AG836" s="122"/>
      <c r="AH836" s="122"/>
      <c r="AI836" s="122"/>
      <c r="AJ836" s="122"/>
      <c r="AK836" s="122"/>
      <c r="AL836" s="122"/>
      <c r="AM836" s="122"/>
      <c r="AN836" s="122"/>
      <c r="AO836" s="122"/>
      <c r="AP836" s="122"/>
      <c r="AQ836" s="122"/>
      <c r="AR836" s="122"/>
      <c r="AS836" s="122"/>
      <c r="AT836" s="122"/>
      <c r="AU836" s="122"/>
      <c r="AV836" s="122"/>
      <c r="AW836" s="122"/>
      <c r="AX836" s="122"/>
      <c r="AY836" s="122"/>
    </row>
    <row r="837">
      <c r="A837" s="78"/>
      <c r="B837" s="78"/>
      <c r="C837" s="78"/>
      <c r="D837" s="78"/>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c r="AA837" s="122"/>
      <c r="AB837" s="122"/>
      <c r="AC837" s="122"/>
      <c r="AD837" s="122"/>
      <c r="AE837" s="122"/>
      <c r="AF837" s="122"/>
      <c r="AG837" s="122"/>
      <c r="AH837" s="122"/>
      <c r="AI837" s="122"/>
      <c r="AJ837" s="122"/>
      <c r="AK837" s="122"/>
      <c r="AL837" s="122"/>
      <c r="AM837" s="122"/>
      <c r="AN837" s="122"/>
      <c r="AO837" s="122"/>
      <c r="AP837" s="122"/>
      <c r="AQ837" s="122"/>
      <c r="AR837" s="122"/>
      <c r="AS837" s="122"/>
      <c r="AT837" s="122"/>
      <c r="AU837" s="122"/>
      <c r="AV837" s="122"/>
      <c r="AW837" s="122"/>
      <c r="AX837" s="122"/>
      <c r="AY837" s="122"/>
    </row>
    <row r="838">
      <c r="A838" s="78"/>
      <c r="B838" s="78"/>
      <c r="C838" s="78"/>
      <c r="D838" s="78"/>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c r="AA838" s="122"/>
      <c r="AB838" s="122"/>
      <c r="AC838" s="122"/>
      <c r="AD838" s="122"/>
      <c r="AE838" s="122"/>
      <c r="AF838" s="122"/>
      <c r="AG838" s="122"/>
      <c r="AH838" s="122"/>
      <c r="AI838" s="122"/>
      <c r="AJ838" s="122"/>
      <c r="AK838" s="122"/>
      <c r="AL838" s="122"/>
      <c r="AM838" s="122"/>
      <c r="AN838" s="122"/>
      <c r="AO838" s="122"/>
      <c r="AP838" s="122"/>
      <c r="AQ838" s="122"/>
      <c r="AR838" s="122"/>
      <c r="AS838" s="122"/>
      <c r="AT838" s="122"/>
      <c r="AU838" s="122"/>
      <c r="AV838" s="122"/>
      <c r="AW838" s="122"/>
      <c r="AX838" s="122"/>
      <c r="AY838" s="122"/>
    </row>
    <row r="839">
      <c r="A839" s="78"/>
      <c r="B839" s="78"/>
      <c r="C839" s="78"/>
      <c r="D839" s="78"/>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c r="AA839" s="122"/>
      <c r="AB839" s="122"/>
      <c r="AC839" s="122"/>
      <c r="AD839" s="122"/>
      <c r="AE839" s="122"/>
      <c r="AF839" s="122"/>
      <c r="AG839" s="122"/>
      <c r="AH839" s="122"/>
      <c r="AI839" s="122"/>
      <c r="AJ839" s="122"/>
      <c r="AK839" s="122"/>
      <c r="AL839" s="122"/>
      <c r="AM839" s="122"/>
      <c r="AN839" s="122"/>
      <c r="AO839" s="122"/>
      <c r="AP839" s="122"/>
      <c r="AQ839" s="122"/>
      <c r="AR839" s="122"/>
      <c r="AS839" s="122"/>
      <c r="AT839" s="122"/>
      <c r="AU839" s="122"/>
      <c r="AV839" s="122"/>
      <c r="AW839" s="122"/>
      <c r="AX839" s="122"/>
      <c r="AY839" s="122"/>
    </row>
    <row r="840">
      <c r="A840" s="78"/>
      <c r="B840" s="78"/>
      <c r="C840" s="78"/>
      <c r="D840" s="78"/>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c r="AA840" s="122"/>
      <c r="AB840" s="122"/>
      <c r="AC840" s="122"/>
      <c r="AD840" s="122"/>
      <c r="AE840" s="122"/>
      <c r="AF840" s="122"/>
      <c r="AG840" s="122"/>
      <c r="AH840" s="122"/>
      <c r="AI840" s="122"/>
      <c r="AJ840" s="122"/>
      <c r="AK840" s="122"/>
      <c r="AL840" s="122"/>
      <c r="AM840" s="122"/>
      <c r="AN840" s="122"/>
      <c r="AO840" s="122"/>
      <c r="AP840" s="122"/>
      <c r="AQ840" s="122"/>
      <c r="AR840" s="122"/>
      <c r="AS840" s="122"/>
      <c r="AT840" s="122"/>
      <c r="AU840" s="122"/>
      <c r="AV840" s="122"/>
      <c r="AW840" s="122"/>
      <c r="AX840" s="122"/>
      <c r="AY840" s="122"/>
    </row>
    <row r="841">
      <c r="A841" s="78"/>
      <c r="B841" s="78"/>
      <c r="C841" s="78"/>
      <c r="D841" s="78"/>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c r="AA841" s="122"/>
      <c r="AB841" s="122"/>
      <c r="AC841" s="122"/>
      <c r="AD841" s="122"/>
      <c r="AE841" s="122"/>
      <c r="AF841" s="122"/>
      <c r="AG841" s="122"/>
      <c r="AH841" s="122"/>
      <c r="AI841" s="122"/>
      <c r="AJ841" s="122"/>
      <c r="AK841" s="122"/>
      <c r="AL841" s="122"/>
      <c r="AM841" s="122"/>
      <c r="AN841" s="122"/>
      <c r="AO841" s="122"/>
      <c r="AP841" s="122"/>
      <c r="AQ841" s="122"/>
      <c r="AR841" s="122"/>
      <c r="AS841" s="122"/>
      <c r="AT841" s="122"/>
      <c r="AU841" s="122"/>
      <c r="AV841" s="122"/>
      <c r="AW841" s="122"/>
      <c r="AX841" s="122"/>
      <c r="AY841" s="122"/>
    </row>
    <row r="842">
      <c r="A842" s="78"/>
      <c r="B842" s="78"/>
      <c r="C842" s="78"/>
      <c r="D842" s="78"/>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c r="AA842" s="122"/>
      <c r="AB842" s="122"/>
      <c r="AC842" s="122"/>
      <c r="AD842" s="122"/>
      <c r="AE842" s="122"/>
      <c r="AF842" s="122"/>
      <c r="AG842" s="122"/>
      <c r="AH842" s="122"/>
      <c r="AI842" s="122"/>
      <c r="AJ842" s="122"/>
      <c r="AK842" s="122"/>
      <c r="AL842" s="122"/>
      <c r="AM842" s="122"/>
      <c r="AN842" s="122"/>
      <c r="AO842" s="122"/>
      <c r="AP842" s="122"/>
      <c r="AQ842" s="122"/>
      <c r="AR842" s="122"/>
      <c r="AS842" s="122"/>
      <c r="AT842" s="122"/>
      <c r="AU842" s="122"/>
      <c r="AV842" s="122"/>
      <c r="AW842" s="122"/>
      <c r="AX842" s="122"/>
      <c r="AY842" s="122"/>
    </row>
    <row r="843">
      <c r="A843" s="78"/>
      <c r="B843" s="78"/>
      <c r="C843" s="78"/>
      <c r="D843" s="78"/>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c r="AA843" s="122"/>
      <c r="AB843" s="122"/>
      <c r="AC843" s="122"/>
      <c r="AD843" s="122"/>
      <c r="AE843" s="122"/>
      <c r="AF843" s="122"/>
      <c r="AG843" s="122"/>
      <c r="AH843" s="122"/>
      <c r="AI843" s="122"/>
      <c r="AJ843" s="122"/>
      <c r="AK843" s="122"/>
      <c r="AL843" s="122"/>
      <c r="AM843" s="122"/>
      <c r="AN843" s="122"/>
      <c r="AO843" s="122"/>
      <c r="AP843" s="122"/>
      <c r="AQ843" s="122"/>
      <c r="AR843" s="122"/>
      <c r="AS843" s="122"/>
      <c r="AT843" s="122"/>
      <c r="AU843" s="122"/>
      <c r="AV843" s="122"/>
      <c r="AW843" s="122"/>
      <c r="AX843" s="122"/>
      <c r="AY843" s="122"/>
    </row>
    <row r="844">
      <c r="A844" s="78"/>
      <c r="B844" s="78"/>
      <c r="C844" s="78"/>
      <c r="D844" s="78"/>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c r="AA844" s="122"/>
      <c r="AB844" s="122"/>
      <c r="AC844" s="122"/>
      <c r="AD844" s="122"/>
      <c r="AE844" s="122"/>
      <c r="AF844" s="122"/>
      <c r="AG844" s="122"/>
      <c r="AH844" s="122"/>
      <c r="AI844" s="122"/>
      <c r="AJ844" s="122"/>
      <c r="AK844" s="122"/>
      <c r="AL844" s="122"/>
      <c r="AM844" s="122"/>
      <c r="AN844" s="122"/>
      <c r="AO844" s="122"/>
      <c r="AP844" s="122"/>
      <c r="AQ844" s="122"/>
      <c r="AR844" s="122"/>
      <c r="AS844" s="122"/>
      <c r="AT844" s="122"/>
      <c r="AU844" s="122"/>
      <c r="AV844" s="122"/>
      <c r="AW844" s="122"/>
      <c r="AX844" s="122"/>
      <c r="AY844" s="122"/>
    </row>
    <row r="845">
      <c r="A845" s="78"/>
      <c r="B845" s="78"/>
      <c r="C845" s="78"/>
      <c r="D845" s="78"/>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c r="AA845" s="122"/>
      <c r="AB845" s="122"/>
      <c r="AC845" s="122"/>
      <c r="AD845" s="122"/>
      <c r="AE845" s="122"/>
      <c r="AF845" s="122"/>
      <c r="AG845" s="122"/>
      <c r="AH845" s="122"/>
      <c r="AI845" s="122"/>
      <c r="AJ845" s="122"/>
      <c r="AK845" s="122"/>
      <c r="AL845" s="122"/>
      <c r="AM845" s="122"/>
      <c r="AN845" s="122"/>
      <c r="AO845" s="122"/>
      <c r="AP845" s="122"/>
      <c r="AQ845" s="122"/>
      <c r="AR845" s="122"/>
      <c r="AS845" s="122"/>
      <c r="AT845" s="122"/>
      <c r="AU845" s="122"/>
      <c r="AV845" s="122"/>
      <c r="AW845" s="122"/>
      <c r="AX845" s="122"/>
      <c r="AY845" s="122"/>
    </row>
    <row r="846">
      <c r="A846" s="78"/>
      <c r="B846" s="78"/>
      <c r="C846" s="78"/>
      <c r="D846" s="78"/>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c r="AA846" s="122"/>
      <c r="AB846" s="122"/>
      <c r="AC846" s="122"/>
      <c r="AD846" s="122"/>
      <c r="AE846" s="122"/>
      <c r="AF846" s="122"/>
      <c r="AG846" s="122"/>
      <c r="AH846" s="122"/>
      <c r="AI846" s="122"/>
      <c r="AJ846" s="122"/>
      <c r="AK846" s="122"/>
      <c r="AL846" s="122"/>
      <c r="AM846" s="122"/>
      <c r="AN846" s="122"/>
      <c r="AO846" s="122"/>
      <c r="AP846" s="122"/>
      <c r="AQ846" s="122"/>
      <c r="AR846" s="122"/>
      <c r="AS846" s="122"/>
      <c r="AT846" s="122"/>
      <c r="AU846" s="122"/>
      <c r="AV846" s="122"/>
      <c r="AW846" s="122"/>
      <c r="AX846" s="122"/>
      <c r="AY846" s="122"/>
    </row>
    <row r="847">
      <c r="A847" s="78"/>
      <c r="B847" s="78"/>
      <c r="C847" s="78"/>
      <c r="D847" s="78"/>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c r="AA847" s="122"/>
      <c r="AB847" s="122"/>
      <c r="AC847" s="122"/>
      <c r="AD847" s="122"/>
      <c r="AE847" s="122"/>
      <c r="AF847" s="122"/>
      <c r="AG847" s="122"/>
      <c r="AH847" s="122"/>
      <c r="AI847" s="122"/>
      <c r="AJ847" s="122"/>
      <c r="AK847" s="122"/>
      <c r="AL847" s="122"/>
      <c r="AM847" s="122"/>
      <c r="AN847" s="122"/>
      <c r="AO847" s="122"/>
      <c r="AP847" s="122"/>
      <c r="AQ847" s="122"/>
      <c r="AR847" s="122"/>
      <c r="AS847" s="122"/>
      <c r="AT847" s="122"/>
      <c r="AU847" s="122"/>
      <c r="AV847" s="122"/>
      <c r="AW847" s="122"/>
      <c r="AX847" s="122"/>
      <c r="AY847" s="122"/>
    </row>
    <row r="848">
      <c r="A848" s="78"/>
      <c r="B848" s="78"/>
      <c r="C848" s="78"/>
      <c r="D848" s="78"/>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c r="AA848" s="122"/>
      <c r="AB848" s="122"/>
      <c r="AC848" s="122"/>
      <c r="AD848" s="122"/>
      <c r="AE848" s="122"/>
      <c r="AF848" s="122"/>
      <c r="AG848" s="122"/>
      <c r="AH848" s="122"/>
      <c r="AI848" s="122"/>
      <c r="AJ848" s="122"/>
      <c r="AK848" s="122"/>
      <c r="AL848" s="122"/>
      <c r="AM848" s="122"/>
      <c r="AN848" s="122"/>
      <c r="AO848" s="122"/>
      <c r="AP848" s="122"/>
      <c r="AQ848" s="122"/>
      <c r="AR848" s="122"/>
      <c r="AS848" s="122"/>
      <c r="AT848" s="122"/>
      <c r="AU848" s="122"/>
      <c r="AV848" s="122"/>
      <c r="AW848" s="122"/>
      <c r="AX848" s="122"/>
      <c r="AY848" s="122"/>
    </row>
    <row r="849">
      <c r="A849" s="78"/>
      <c r="B849" s="78"/>
      <c r="C849" s="78"/>
      <c r="D849" s="78"/>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c r="AA849" s="122"/>
      <c r="AB849" s="122"/>
      <c r="AC849" s="122"/>
      <c r="AD849" s="122"/>
      <c r="AE849" s="122"/>
      <c r="AF849" s="122"/>
      <c r="AG849" s="122"/>
      <c r="AH849" s="122"/>
      <c r="AI849" s="122"/>
      <c r="AJ849" s="122"/>
      <c r="AK849" s="122"/>
      <c r="AL849" s="122"/>
      <c r="AM849" s="122"/>
      <c r="AN849" s="122"/>
      <c r="AO849" s="122"/>
      <c r="AP849" s="122"/>
      <c r="AQ849" s="122"/>
      <c r="AR849" s="122"/>
      <c r="AS849" s="122"/>
      <c r="AT849" s="122"/>
      <c r="AU849" s="122"/>
      <c r="AV849" s="122"/>
      <c r="AW849" s="122"/>
      <c r="AX849" s="122"/>
      <c r="AY849" s="122"/>
    </row>
    <row r="850">
      <c r="A850" s="78"/>
      <c r="B850" s="78"/>
      <c r="C850" s="78"/>
      <c r="D850" s="78"/>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c r="AA850" s="122"/>
      <c r="AB850" s="122"/>
      <c r="AC850" s="122"/>
      <c r="AD850" s="122"/>
      <c r="AE850" s="122"/>
      <c r="AF850" s="122"/>
      <c r="AG850" s="122"/>
      <c r="AH850" s="122"/>
      <c r="AI850" s="122"/>
      <c r="AJ850" s="122"/>
      <c r="AK850" s="122"/>
      <c r="AL850" s="122"/>
      <c r="AM850" s="122"/>
      <c r="AN850" s="122"/>
      <c r="AO850" s="122"/>
      <c r="AP850" s="122"/>
      <c r="AQ850" s="122"/>
      <c r="AR850" s="122"/>
      <c r="AS850" s="122"/>
      <c r="AT850" s="122"/>
      <c r="AU850" s="122"/>
      <c r="AV850" s="122"/>
      <c r="AW850" s="122"/>
      <c r="AX850" s="122"/>
      <c r="AY850" s="122"/>
    </row>
    <row r="851">
      <c r="A851" s="78"/>
      <c r="B851" s="78"/>
      <c r="C851" s="78"/>
      <c r="D851" s="78"/>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c r="AA851" s="122"/>
      <c r="AB851" s="122"/>
      <c r="AC851" s="122"/>
      <c r="AD851" s="122"/>
      <c r="AE851" s="122"/>
      <c r="AF851" s="122"/>
      <c r="AG851" s="122"/>
      <c r="AH851" s="122"/>
      <c r="AI851" s="122"/>
      <c r="AJ851" s="122"/>
      <c r="AK851" s="122"/>
      <c r="AL851" s="122"/>
      <c r="AM851" s="122"/>
      <c r="AN851" s="122"/>
      <c r="AO851" s="122"/>
      <c r="AP851" s="122"/>
      <c r="AQ851" s="122"/>
      <c r="AR851" s="122"/>
      <c r="AS851" s="122"/>
      <c r="AT851" s="122"/>
      <c r="AU851" s="122"/>
      <c r="AV851" s="122"/>
      <c r="AW851" s="122"/>
      <c r="AX851" s="122"/>
      <c r="AY851" s="122"/>
    </row>
    <row r="852">
      <c r="A852" s="78"/>
      <c r="B852" s="78"/>
      <c r="C852" s="78"/>
      <c r="D852" s="78"/>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c r="AA852" s="122"/>
      <c r="AB852" s="122"/>
      <c r="AC852" s="122"/>
      <c r="AD852" s="122"/>
      <c r="AE852" s="122"/>
      <c r="AF852" s="122"/>
      <c r="AG852" s="122"/>
      <c r="AH852" s="122"/>
      <c r="AI852" s="122"/>
      <c r="AJ852" s="122"/>
      <c r="AK852" s="122"/>
      <c r="AL852" s="122"/>
      <c r="AM852" s="122"/>
      <c r="AN852" s="122"/>
      <c r="AO852" s="122"/>
      <c r="AP852" s="122"/>
      <c r="AQ852" s="122"/>
      <c r="AR852" s="122"/>
      <c r="AS852" s="122"/>
      <c r="AT852" s="122"/>
      <c r="AU852" s="122"/>
      <c r="AV852" s="122"/>
      <c r="AW852" s="122"/>
      <c r="AX852" s="122"/>
      <c r="AY852" s="122"/>
    </row>
    <row r="853">
      <c r="A853" s="78"/>
      <c r="B853" s="78"/>
      <c r="C853" s="78"/>
      <c r="D853" s="78"/>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c r="AA853" s="122"/>
      <c r="AB853" s="122"/>
      <c r="AC853" s="122"/>
      <c r="AD853" s="122"/>
      <c r="AE853" s="122"/>
      <c r="AF853" s="122"/>
      <c r="AG853" s="122"/>
      <c r="AH853" s="122"/>
      <c r="AI853" s="122"/>
      <c r="AJ853" s="122"/>
      <c r="AK853" s="122"/>
      <c r="AL853" s="122"/>
      <c r="AM853" s="122"/>
      <c r="AN853" s="122"/>
      <c r="AO853" s="122"/>
      <c r="AP853" s="122"/>
      <c r="AQ853" s="122"/>
      <c r="AR853" s="122"/>
      <c r="AS853" s="122"/>
      <c r="AT853" s="122"/>
      <c r="AU853" s="122"/>
      <c r="AV853" s="122"/>
      <c r="AW853" s="122"/>
      <c r="AX853" s="122"/>
      <c r="AY853" s="122"/>
    </row>
    <row r="854">
      <c r="A854" s="78"/>
      <c r="B854" s="78"/>
      <c r="C854" s="78"/>
      <c r="D854" s="78"/>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c r="AA854" s="122"/>
      <c r="AB854" s="122"/>
      <c r="AC854" s="122"/>
      <c r="AD854" s="122"/>
      <c r="AE854" s="122"/>
      <c r="AF854" s="122"/>
      <c r="AG854" s="122"/>
      <c r="AH854" s="122"/>
      <c r="AI854" s="122"/>
      <c r="AJ854" s="122"/>
      <c r="AK854" s="122"/>
      <c r="AL854" s="122"/>
      <c r="AM854" s="122"/>
      <c r="AN854" s="122"/>
      <c r="AO854" s="122"/>
      <c r="AP854" s="122"/>
      <c r="AQ854" s="122"/>
      <c r="AR854" s="122"/>
      <c r="AS854" s="122"/>
      <c r="AT854" s="122"/>
      <c r="AU854" s="122"/>
      <c r="AV854" s="122"/>
      <c r="AW854" s="122"/>
      <c r="AX854" s="122"/>
      <c r="AY854" s="122"/>
    </row>
    <row r="855">
      <c r="A855" s="78"/>
      <c r="B855" s="78"/>
      <c r="C855" s="78"/>
      <c r="D855" s="78"/>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c r="AA855" s="122"/>
      <c r="AB855" s="122"/>
      <c r="AC855" s="122"/>
      <c r="AD855" s="122"/>
      <c r="AE855" s="122"/>
      <c r="AF855" s="122"/>
      <c r="AG855" s="122"/>
      <c r="AH855" s="122"/>
      <c r="AI855" s="122"/>
      <c r="AJ855" s="122"/>
      <c r="AK855" s="122"/>
      <c r="AL855" s="122"/>
      <c r="AM855" s="122"/>
      <c r="AN855" s="122"/>
      <c r="AO855" s="122"/>
      <c r="AP855" s="122"/>
      <c r="AQ855" s="122"/>
      <c r="AR855" s="122"/>
      <c r="AS855" s="122"/>
      <c r="AT855" s="122"/>
      <c r="AU855" s="122"/>
      <c r="AV855" s="122"/>
      <c r="AW855" s="122"/>
      <c r="AX855" s="122"/>
      <c r="AY855" s="122"/>
    </row>
    <row r="856">
      <c r="A856" s="78"/>
      <c r="B856" s="78"/>
      <c r="C856" s="78"/>
      <c r="D856" s="78"/>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c r="AA856" s="122"/>
      <c r="AB856" s="122"/>
      <c r="AC856" s="122"/>
      <c r="AD856" s="122"/>
      <c r="AE856" s="122"/>
      <c r="AF856" s="122"/>
      <c r="AG856" s="122"/>
      <c r="AH856" s="122"/>
      <c r="AI856" s="122"/>
      <c r="AJ856" s="122"/>
      <c r="AK856" s="122"/>
      <c r="AL856" s="122"/>
      <c r="AM856" s="122"/>
      <c r="AN856" s="122"/>
      <c r="AO856" s="122"/>
      <c r="AP856" s="122"/>
      <c r="AQ856" s="122"/>
      <c r="AR856" s="122"/>
      <c r="AS856" s="122"/>
      <c r="AT856" s="122"/>
      <c r="AU856" s="122"/>
      <c r="AV856" s="122"/>
      <c r="AW856" s="122"/>
      <c r="AX856" s="122"/>
      <c r="AY856" s="122"/>
    </row>
    <row r="857">
      <c r="A857" s="78"/>
      <c r="B857" s="78"/>
      <c r="C857" s="78"/>
      <c r="D857" s="78"/>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c r="AA857" s="122"/>
      <c r="AB857" s="122"/>
      <c r="AC857" s="122"/>
      <c r="AD857" s="122"/>
      <c r="AE857" s="122"/>
      <c r="AF857" s="122"/>
      <c r="AG857" s="122"/>
      <c r="AH857" s="122"/>
      <c r="AI857" s="122"/>
      <c r="AJ857" s="122"/>
      <c r="AK857" s="122"/>
      <c r="AL857" s="122"/>
      <c r="AM857" s="122"/>
      <c r="AN857" s="122"/>
      <c r="AO857" s="122"/>
      <c r="AP857" s="122"/>
      <c r="AQ857" s="122"/>
      <c r="AR857" s="122"/>
      <c r="AS857" s="122"/>
      <c r="AT857" s="122"/>
      <c r="AU857" s="122"/>
      <c r="AV857" s="122"/>
      <c r="AW857" s="122"/>
      <c r="AX857" s="122"/>
      <c r="AY857" s="122"/>
    </row>
    <row r="858">
      <c r="A858" s="78"/>
      <c r="B858" s="78"/>
      <c r="C858" s="78"/>
      <c r="D858" s="78"/>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c r="AA858" s="122"/>
      <c r="AB858" s="122"/>
      <c r="AC858" s="122"/>
      <c r="AD858" s="122"/>
      <c r="AE858" s="122"/>
      <c r="AF858" s="122"/>
      <c r="AG858" s="122"/>
      <c r="AH858" s="122"/>
      <c r="AI858" s="122"/>
      <c r="AJ858" s="122"/>
      <c r="AK858" s="122"/>
      <c r="AL858" s="122"/>
      <c r="AM858" s="122"/>
      <c r="AN858" s="122"/>
      <c r="AO858" s="122"/>
      <c r="AP858" s="122"/>
      <c r="AQ858" s="122"/>
      <c r="AR858" s="122"/>
      <c r="AS858" s="122"/>
      <c r="AT858" s="122"/>
      <c r="AU858" s="122"/>
      <c r="AV858" s="122"/>
      <c r="AW858" s="122"/>
      <c r="AX858" s="122"/>
      <c r="AY858" s="122"/>
    </row>
    <row r="859">
      <c r="A859" s="78"/>
      <c r="B859" s="78"/>
      <c r="C859" s="78"/>
      <c r="D859" s="78"/>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c r="AA859" s="122"/>
      <c r="AB859" s="122"/>
      <c r="AC859" s="122"/>
      <c r="AD859" s="122"/>
      <c r="AE859" s="122"/>
      <c r="AF859" s="122"/>
      <c r="AG859" s="122"/>
      <c r="AH859" s="122"/>
      <c r="AI859" s="122"/>
      <c r="AJ859" s="122"/>
      <c r="AK859" s="122"/>
      <c r="AL859" s="122"/>
      <c r="AM859" s="122"/>
      <c r="AN859" s="122"/>
      <c r="AO859" s="122"/>
      <c r="AP859" s="122"/>
      <c r="AQ859" s="122"/>
      <c r="AR859" s="122"/>
      <c r="AS859" s="122"/>
      <c r="AT859" s="122"/>
      <c r="AU859" s="122"/>
      <c r="AV859" s="122"/>
      <c r="AW859" s="122"/>
      <c r="AX859" s="122"/>
      <c r="AY859" s="122"/>
    </row>
    <row r="860">
      <c r="A860" s="78"/>
      <c r="B860" s="78"/>
      <c r="C860" s="78"/>
      <c r="D860" s="78"/>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c r="AA860" s="122"/>
      <c r="AB860" s="122"/>
      <c r="AC860" s="122"/>
      <c r="AD860" s="122"/>
      <c r="AE860" s="122"/>
      <c r="AF860" s="122"/>
      <c r="AG860" s="122"/>
      <c r="AH860" s="122"/>
      <c r="AI860" s="122"/>
      <c r="AJ860" s="122"/>
      <c r="AK860" s="122"/>
      <c r="AL860" s="122"/>
      <c r="AM860" s="122"/>
      <c r="AN860" s="122"/>
      <c r="AO860" s="122"/>
      <c r="AP860" s="122"/>
      <c r="AQ860" s="122"/>
      <c r="AR860" s="122"/>
      <c r="AS860" s="122"/>
      <c r="AT860" s="122"/>
      <c r="AU860" s="122"/>
      <c r="AV860" s="122"/>
      <c r="AW860" s="122"/>
      <c r="AX860" s="122"/>
      <c r="AY860" s="122"/>
    </row>
    <row r="861">
      <c r="A861" s="78"/>
      <c r="B861" s="78"/>
      <c r="C861" s="78"/>
      <c r="D861" s="78"/>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c r="AA861" s="122"/>
      <c r="AB861" s="122"/>
      <c r="AC861" s="122"/>
      <c r="AD861" s="122"/>
      <c r="AE861" s="122"/>
      <c r="AF861" s="122"/>
      <c r="AG861" s="122"/>
      <c r="AH861" s="122"/>
      <c r="AI861" s="122"/>
      <c r="AJ861" s="122"/>
      <c r="AK861" s="122"/>
      <c r="AL861" s="122"/>
      <c r="AM861" s="122"/>
      <c r="AN861" s="122"/>
      <c r="AO861" s="122"/>
      <c r="AP861" s="122"/>
      <c r="AQ861" s="122"/>
      <c r="AR861" s="122"/>
      <c r="AS861" s="122"/>
      <c r="AT861" s="122"/>
      <c r="AU861" s="122"/>
      <c r="AV861" s="122"/>
      <c r="AW861" s="122"/>
      <c r="AX861" s="122"/>
      <c r="AY861" s="122"/>
    </row>
    <row r="862">
      <c r="A862" s="78"/>
      <c r="B862" s="78"/>
      <c r="C862" s="78"/>
      <c r="D862" s="78"/>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c r="AA862" s="122"/>
      <c r="AB862" s="122"/>
      <c r="AC862" s="122"/>
      <c r="AD862" s="122"/>
      <c r="AE862" s="122"/>
      <c r="AF862" s="122"/>
      <c r="AG862" s="122"/>
      <c r="AH862" s="122"/>
      <c r="AI862" s="122"/>
      <c r="AJ862" s="122"/>
      <c r="AK862" s="122"/>
      <c r="AL862" s="122"/>
      <c r="AM862" s="122"/>
      <c r="AN862" s="122"/>
      <c r="AO862" s="122"/>
      <c r="AP862" s="122"/>
      <c r="AQ862" s="122"/>
      <c r="AR862" s="122"/>
      <c r="AS862" s="122"/>
      <c r="AT862" s="122"/>
      <c r="AU862" s="122"/>
      <c r="AV862" s="122"/>
      <c r="AW862" s="122"/>
      <c r="AX862" s="122"/>
      <c r="AY862" s="122"/>
    </row>
    <row r="863">
      <c r="A863" s="78"/>
      <c r="B863" s="78"/>
      <c r="C863" s="78"/>
      <c r="D863" s="78"/>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c r="AA863" s="122"/>
      <c r="AB863" s="122"/>
      <c r="AC863" s="122"/>
      <c r="AD863" s="122"/>
      <c r="AE863" s="122"/>
      <c r="AF863" s="122"/>
      <c r="AG863" s="122"/>
      <c r="AH863" s="122"/>
      <c r="AI863" s="122"/>
      <c r="AJ863" s="122"/>
      <c r="AK863" s="122"/>
      <c r="AL863" s="122"/>
      <c r="AM863" s="122"/>
      <c r="AN863" s="122"/>
      <c r="AO863" s="122"/>
      <c r="AP863" s="122"/>
      <c r="AQ863" s="122"/>
      <c r="AR863" s="122"/>
      <c r="AS863" s="122"/>
      <c r="AT863" s="122"/>
      <c r="AU863" s="122"/>
      <c r="AV863" s="122"/>
      <c r="AW863" s="122"/>
      <c r="AX863" s="122"/>
      <c r="AY863" s="122"/>
    </row>
    <row r="864">
      <c r="A864" s="78"/>
      <c r="B864" s="78"/>
      <c r="C864" s="78"/>
      <c r="D864" s="78"/>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c r="AA864" s="122"/>
      <c r="AB864" s="122"/>
      <c r="AC864" s="122"/>
      <c r="AD864" s="122"/>
      <c r="AE864" s="122"/>
      <c r="AF864" s="122"/>
      <c r="AG864" s="122"/>
      <c r="AH864" s="122"/>
      <c r="AI864" s="122"/>
      <c r="AJ864" s="122"/>
      <c r="AK864" s="122"/>
      <c r="AL864" s="122"/>
      <c r="AM864" s="122"/>
      <c r="AN864" s="122"/>
      <c r="AO864" s="122"/>
      <c r="AP864" s="122"/>
      <c r="AQ864" s="122"/>
      <c r="AR864" s="122"/>
      <c r="AS864" s="122"/>
      <c r="AT864" s="122"/>
      <c r="AU864" s="122"/>
      <c r="AV864" s="122"/>
      <c r="AW864" s="122"/>
      <c r="AX864" s="122"/>
      <c r="AY864" s="122"/>
    </row>
    <row r="865">
      <c r="A865" s="78"/>
      <c r="B865" s="78"/>
      <c r="C865" s="78"/>
      <c r="D865" s="78"/>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c r="AA865" s="122"/>
      <c r="AB865" s="122"/>
      <c r="AC865" s="122"/>
      <c r="AD865" s="122"/>
      <c r="AE865" s="122"/>
      <c r="AF865" s="122"/>
      <c r="AG865" s="122"/>
      <c r="AH865" s="122"/>
      <c r="AI865" s="122"/>
      <c r="AJ865" s="122"/>
      <c r="AK865" s="122"/>
      <c r="AL865" s="122"/>
      <c r="AM865" s="122"/>
      <c r="AN865" s="122"/>
      <c r="AO865" s="122"/>
      <c r="AP865" s="122"/>
      <c r="AQ865" s="122"/>
      <c r="AR865" s="122"/>
      <c r="AS865" s="122"/>
      <c r="AT865" s="122"/>
      <c r="AU865" s="122"/>
      <c r="AV865" s="122"/>
      <c r="AW865" s="122"/>
      <c r="AX865" s="122"/>
      <c r="AY865" s="122"/>
    </row>
    <row r="866">
      <c r="A866" s="78"/>
      <c r="B866" s="78"/>
      <c r="C866" s="78"/>
      <c r="D866" s="78"/>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c r="AA866" s="122"/>
      <c r="AB866" s="122"/>
      <c r="AC866" s="122"/>
      <c r="AD866" s="122"/>
      <c r="AE866" s="122"/>
      <c r="AF866" s="122"/>
      <c r="AG866" s="122"/>
      <c r="AH866" s="122"/>
      <c r="AI866" s="122"/>
      <c r="AJ866" s="122"/>
      <c r="AK866" s="122"/>
      <c r="AL866" s="122"/>
      <c r="AM866" s="122"/>
      <c r="AN866" s="122"/>
      <c r="AO866" s="122"/>
      <c r="AP866" s="122"/>
      <c r="AQ866" s="122"/>
      <c r="AR866" s="122"/>
      <c r="AS866" s="122"/>
      <c r="AT866" s="122"/>
      <c r="AU866" s="122"/>
      <c r="AV866" s="122"/>
      <c r="AW866" s="122"/>
      <c r="AX866" s="122"/>
      <c r="AY866" s="122"/>
    </row>
    <row r="867">
      <c r="A867" s="78"/>
      <c r="B867" s="78"/>
      <c r="C867" s="78"/>
      <c r="D867" s="78"/>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c r="AA867" s="122"/>
      <c r="AB867" s="122"/>
      <c r="AC867" s="122"/>
      <c r="AD867" s="122"/>
      <c r="AE867" s="122"/>
      <c r="AF867" s="122"/>
      <c r="AG867" s="122"/>
      <c r="AH867" s="122"/>
      <c r="AI867" s="122"/>
      <c r="AJ867" s="122"/>
      <c r="AK867" s="122"/>
      <c r="AL867" s="122"/>
      <c r="AM867" s="122"/>
      <c r="AN867" s="122"/>
      <c r="AO867" s="122"/>
      <c r="AP867" s="122"/>
      <c r="AQ867" s="122"/>
      <c r="AR867" s="122"/>
      <c r="AS867" s="122"/>
      <c r="AT867" s="122"/>
      <c r="AU867" s="122"/>
      <c r="AV867" s="122"/>
      <c r="AW867" s="122"/>
      <c r="AX867" s="122"/>
      <c r="AY867" s="122"/>
    </row>
    <row r="868">
      <c r="A868" s="78"/>
      <c r="B868" s="78"/>
      <c r="C868" s="78"/>
      <c r="D868" s="78"/>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c r="AA868" s="122"/>
      <c r="AB868" s="122"/>
      <c r="AC868" s="122"/>
      <c r="AD868" s="122"/>
      <c r="AE868" s="122"/>
      <c r="AF868" s="122"/>
      <c r="AG868" s="122"/>
      <c r="AH868" s="122"/>
      <c r="AI868" s="122"/>
      <c r="AJ868" s="122"/>
      <c r="AK868" s="122"/>
      <c r="AL868" s="122"/>
      <c r="AM868" s="122"/>
      <c r="AN868" s="122"/>
      <c r="AO868" s="122"/>
      <c r="AP868" s="122"/>
      <c r="AQ868" s="122"/>
      <c r="AR868" s="122"/>
      <c r="AS868" s="122"/>
      <c r="AT868" s="122"/>
      <c r="AU868" s="122"/>
      <c r="AV868" s="122"/>
      <c r="AW868" s="122"/>
      <c r="AX868" s="122"/>
      <c r="AY868" s="122"/>
    </row>
    <row r="869">
      <c r="A869" s="78"/>
      <c r="B869" s="78"/>
      <c r="C869" s="78"/>
      <c r="D869" s="78"/>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c r="AA869" s="122"/>
      <c r="AB869" s="122"/>
      <c r="AC869" s="122"/>
      <c r="AD869" s="122"/>
      <c r="AE869" s="122"/>
      <c r="AF869" s="122"/>
      <c r="AG869" s="122"/>
      <c r="AH869" s="122"/>
      <c r="AI869" s="122"/>
      <c r="AJ869" s="122"/>
      <c r="AK869" s="122"/>
      <c r="AL869" s="122"/>
      <c r="AM869" s="122"/>
      <c r="AN869" s="122"/>
      <c r="AO869" s="122"/>
      <c r="AP869" s="122"/>
      <c r="AQ869" s="122"/>
      <c r="AR869" s="122"/>
      <c r="AS869" s="122"/>
      <c r="AT869" s="122"/>
      <c r="AU869" s="122"/>
      <c r="AV869" s="122"/>
      <c r="AW869" s="122"/>
      <c r="AX869" s="122"/>
      <c r="AY869" s="122"/>
    </row>
    <row r="870">
      <c r="A870" s="78"/>
      <c r="B870" s="78"/>
      <c r="C870" s="78"/>
      <c r="D870" s="78"/>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c r="AA870" s="122"/>
      <c r="AB870" s="122"/>
      <c r="AC870" s="122"/>
      <c r="AD870" s="122"/>
      <c r="AE870" s="122"/>
      <c r="AF870" s="122"/>
      <c r="AG870" s="122"/>
      <c r="AH870" s="122"/>
      <c r="AI870" s="122"/>
      <c r="AJ870" s="122"/>
      <c r="AK870" s="122"/>
      <c r="AL870" s="122"/>
      <c r="AM870" s="122"/>
      <c r="AN870" s="122"/>
      <c r="AO870" s="122"/>
      <c r="AP870" s="122"/>
      <c r="AQ870" s="122"/>
      <c r="AR870" s="122"/>
      <c r="AS870" s="122"/>
      <c r="AT870" s="122"/>
      <c r="AU870" s="122"/>
      <c r="AV870" s="122"/>
      <c r="AW870" s="122"/>
      <c r="AX870" s="122"/>
      <c r="AY870" s="122"/>
    </row>
    <row r="871">
      <c r="A871" s="78"/>
      <c r="B871" s="78"/>
      <c r="C871" s="78"/>
      <c r="D871" s="78"/>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c r="AA871" s="122"/>
      <c r="AB871" s="122"/>
      <c r="AC871" s="122"/>
      <c r="AD871" s="122"/>
      <c r="AE871" s="122"/>
      <c r="AF871" s="122"/>
      <c r="AG871" s="122"/>
      <c r="AH871" s="122"/>
      <c r="AI871" s="122"/>
      <c r="AJ871" s="122"/>
      <c r="AK871" s="122"/>
      <c r="AL871" s="122"/>
      <c r="AM871" s="122"/>
      <c r="AN871" s="122"/>
      <c r="AO871" s="122"/>
      <c r="AP871" s="122"/>
      <c r="AQ871" s="122"/>
      <c r="AR871" s="122"/>
      <c r="AS871" s="122"/>
      <c r="AT871" s="122"/>
      <c r="AU871" s="122"/>
      <c r="AV871" s="122"/>
      <c r="AW871" s="122"/>
      <c r="AX871" s="122"/>
      <c r="AY871" s="122"/>
    </row>
    <row r="872">
      <c r="A872" s="78"/>
      <c r="B872" s="78"/>
      <c r="C872" s="78"/>
      <c r="D872" s="78"/>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c r="AA872" s="122"/>
      <c r="AB872" s="122"/>
      <c r="AC872" s="122"/>
      <c r="AD872" s="122"/>
      <c r="AE872" s="122"/>
      <c r="AF872" s="122"/>
      <c r="AG872" s="122"/>
      <c r="AH872" s="122"/>
      <c r="AI872" s="122"/>
      <c r="AJ872" s="122"/>
      <c r="AK872" s="122"/>
      <c r="AL872" s="122"/>
      <c r="AM872" s="122"/>
      <c r="AN872" s="122"/>
      <c r="AO872" s="122"/>
      <c r="AP872" s="122"/>
      <c r="AQ872" s="122"/>
      <c r="AR872" s="122"/>
      <c r="AS872" s="122"/>
      <c r="AT872" s="122"/>
      <c r="AU872" s="122"/>
      <c r="AV872" s="122"/>
      <c r="AW872" s="122"/>
      <c r="AX872" s="122"/>
      <c r="AY872" s="122"/>
    </row>
    <row r="873">
      <c r="A873" s="78"/>
      <c r="B873" s="78"/>
      <c r="C873" s="78"/>
      <c r="D873" s="78"/>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c r="AA873" s="122"/>
      <c r="AB873" s="122"/>
      <c r="AC873" s="122"/>
      <c r="AD873" s="122"/>
      <c r="AE873" s="122"/>
      <c r="AF873" s="122"/>
      <c r="AG873" s="122"/>
      <c r="AH873" s="122"/>
      <c r="AI873" s="122"/>
      <c r="AJ873" s="122"/>
      <c r="AK873" s="122"/>
      <c r="AL873" s="122"/>
      <c r="AM873" s="122"/>
      <c r="AN873" s="122"/>
      <c r="AO873" s="122"/>
      <c r="AP873" s="122"/>
      <c r="AQ873" s="122"/>
      <c r="AR873" s="122"/>
      <c r="AS873" s="122"/>
      <c r="AT873" s="122"/>
      <c r="AU873" s="122"/>
      <c r="AV873" s="122"/>
      <c r="AW873" s="122"/>
      <c r="AX873" s="122"/>
      <c r="AY873" s="122"/>
    </row>
    <row r="874">
      <c r="A874" s="78"/>
      <c r="B874" s="78"/>
      <c r="C874" s="78"/>
      <c r="D874" s="78"/>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c r="AA874" s="122"/>
      <c r="AB874" s="122"/>
      <c r="AC874" s="122"/>
      <c r="AD874" s="122"/>
      <c r="AE874" s="122"/>
      <c r="AF874" s="122"/>
      <c r="AG874" s="122"/>
      <c r="AH874" s="122"/>
      <c r="AI874" s="122"/>
      <c r="AJ874" s="122"/>
      <c r="AK874" s="122"/>
      <c r="AL874" s="122"/>
      <c r="AM874" s="122"/>
      <c r="AN874" s="122"/>
      <c r="AO874" s="122"/>
      <c r="AP874" s="122"/>
      <c r="AQ874" s="122"/>
      <c r="AR874" s="122"/>
      <c r="AS874" s="122"/>
      <c r="AT874" s="122"/>
      <c r="AU874" s="122"/>
      <c r="AV874" s="122"/>
      <c r="AW874" s="122"/>
      <c r="AX874" s="122"/>
      <c r="AY874" s="122"/>
    </row>
    <row r="875">
      <c r="A875" s="78"/>
      <c r="B875" s="78"/>
      <c r="C875" s="78"/>
      <c r="D875" s="78"/>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c r="AA875" s="122"/>
      <c r="AB875" s="122"/>
      <c r="AC875" s="122"/>
      <c r="AD875" s="122"/>
      <c r="AE875" s="122"/>
      <c r="AF875" s="122"/>
      <c r="AG875" s="122"/>
      <c r="AH875" s="122"/>
      <c r="AI875" s="122"/>
      <c r="AJ875" s="122"/>
      <c r="AK875" s="122"/>
      <c r="AL875" s="122"/>
      <c r="AM875" s="122"/>
      <c r="AN875" s="122"/>
      <c r="AO875" s="122"/>
      <c r="AP875" s="122"/>
      <c r="AQ875" s="122"/>
      <c r="AR875" s="122"/>
      <c r="AS875" s="122"/>
      <c r="AT875" s="122"/>
      <c r="AU875" s="122"/>
      <c r="AV875" s="122"/>
      <c r="AW875" s="122"/>
      <c r="AX875" s="122"/>
      <c r="AY875" s="122"/>
    </row>
    <row r="876">
      <c r="A876" s="78"/>
      <c r="B876" s="78"/>
      <c r="C876" s="78"/>
      <c r="D876" s="78"/>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c r="AA876" s="122"/>
      <c r="AB876" s="122"/>
      <c r="AC876" s="122"/>
      <c r="AD876" s="122"/>
      <c r="AE876" s="122"/>
      <c r="AF876" s="122"/>
      <c r="AG876" s="122"/>
      <c r="AH876" s="122"/>
      <c r="AI876" s="122"/>
      <c r="AJ876" s="122"/>
      <c r="AK876" s="122"/>
      <c r="AL876" s="122"/>
      <c r="AM876" s="122"/>
      <c r="AN876" s="122"/>
      <c r="AO876" s="122"/>
      <c r="AP876" s="122"/>
      <c r="AQ876" s="122"/>
      <c r="AR876" s="122"/>
      <c r="AS876" s="122"/>
      <c r="AT876" s="122"/>
      <c r="AU876" s="122"/>
      <c r="AV876" s="122"/>
      <c r="AW876" s="122"/>
      <c r="AX876" s="122"/>
      <c r="AY876" s="122"/>
    </row>
    <row r="877">
      <c r="A877" s="78"/>
      <c r="B877" s="78"/>
      <c r="C877" s="78"/>
      <c r="D877" s="78"/>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c r="AA877" s="122"/>
      <c r="AB877" s="122"/>
      <c r="AC877" s="122"/>
      <c r="AD877" s="122"/>
      <c r="AE877" s="122"/>
      <c r="AF877" s="122"/>
      <c r="AG877" s="122"/>
      <c r="AH877" s="122"/>
      <c r="AI877" s="122"/>
      <c r="AJ877" s="122"/>
      <c r="AK877" s="122"/>
      <c r="AL877" s="122"/>
      <c r="AM877" s="122"/>
      <c r="AN877" s="122"/>
      <c r="AO877" s="122"/>
      <c r="AP877" s="122"/>
      <c r="AQ877" s="122"/>
      <c r="AR877" s="122"/>
      <c r="AS877" s="122"/>
      <c r="AT877" s="122"/>
      <c r="AU877" s="122"/>
      <c r="AV877" s="122"/>
      <c r="AW877" s="122"/>
      <c r="AX877" s="122"/>
      <c r="AY877" s="122"/>
    </row>
    <row r="878">
      <c r="A878" s="78"/>
      <c r="B878" s="78"/>
      <c r="C878" s="78"/>
      <c r="D878" s="78"/>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c r="AA878" s="122"/>
      <c r="AB878" s="122"/>
      <c r="AC878" s="122"/>
      <c r="AD878" s="122"/>
      <c r="AE878" s="122"/>
      <c r="AF878" s="122"/>
      <c r="AG878" s="122"/>
      <c r="AH878" s="122"/>
      <c r="AI878" s="122"/>
      <c r="AJ878" s="122"/>
      <c r="AK878" s="122"/>
      <c r="AL878" s="122"/>
      <c r="AM878" s="122"/>
      <c r="AN878" s="122"/>
      <c r="AO878" s="122"/>
      <c r="AP878" s="122"/>
      <c r="AQ878" s="122"/>
      <c r="AR878" s="122"/>
      <c r="AS878" s="122"/>
      <c r="AT878" s="122"/>
      <c r="AU878" s="122"/>
      <c r="AV878" s="122"/>
      <c r="AW878" s="122"/>
      <c r="AX878" s="122"/>
      <c r="AY878" s="122"/>
    </row>
    <row r="879">
      <c r="A879" s="78"/>
      <c r="B879" s="78"/>
      <c r="C879" s="78"/>
      <c r="D879" s="78"/>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c r="AA879" s="122"/>
      <c r="AB879" s="122"/>
      <c r="AC879" s="122"/>
      <c r="AD879" s="122"/>
      <c r="AE879" s="122"/>
      <c r="AF879" s="122"/>
      <c r="AG879" s="122"/>
      <c r="AH879" s="122"/>
      <c r="AI879" s="122"/>
      <c r="AJ879" s="122"/>
      <c r="AK879" s="122"/>
      <c r="AL879" s="122"/>
      <c r="AM879" s="122"/>
      <c r="AN879" s="122"/>
      <c r="AO879" s="122"/>
      <c r="AP879" s="122"/>
      <c r="AQ879" s="122"/>
      <c r="AR879" s="122"/>
      <c r="AS879" s="122"/>
      <c r="AT879" s="122"/>
      <c r="AU879" s="122"/>
      <c r="AV879" s="122"/>
      <c r="AW879" s="122"/>
      <c r="AX879" s="122"/>
      <c r="AY879" s="122"/>
    </row>
    <row r="880">
      <c r="A880" s="78"/>
      <c r="B880" s="78"/>
      <c r="C880" s="78"/>
      <c r="D880" s="78"/>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c r="AA880" s="122"/>
      <c r="AB880" s="122"/>
      <c r="AC880" s="122"/>
      <c r="AD880" s="122"/>
      <c r="AE880" s="122"/>
      <c r="AF880" s="122"/>
      <c r="AG880" s="122"/>
      <c r="AH880" s="122"/>
      <c r="AI880" s="122"/>
      <c r="AJ880" s="122"/>
      <c r="AK880" s="122"/>
      <c r="AL880" s="122"/>
      <c r="AM880" s="122"/>
      <c r="AN880" s="122"/>
      <c r="AO880" s="122"/>
      <c r="AP880" s="122"/>
      <c r="AQ880" s="122"/>
      <c r="AR880" s="122"/>
      <c r="AS880" s="122"/>
      <c r="AT880" s="122"/>
      <c r="AU880" s="122"/>
      <c r="AV880" s="122"/>
      <c r="AW880" s="122"/>
      <c r="AX880" s="122"/>
      <c r="AY880" s="122"/>
    </row>
    <row r="881">
      <c r="A881" s="78"/>
      <c r="B881" s="78"/>
      <c r="C881" s="78"/>
      <c r="D881" s="78"/>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c r="AA881" s="122"/>
      <c r="AB881" s="122"/>
      <c r="AC881" s="122"/>
      <c r="AD881" s="122"/>
      <c r="AE881" s="122"/>
      <c r="AF881" s="122"/>
      <c r="AG881" s="122"/>
      <c r="AH881" s="122"/>
      <c r="AI881" s="122"/>
      <c r="AJ881" s="122"/>
      <c r="AK881" s="122"/>
      <c r="AL881" s="122"/>
      <c r="AM881" s="122"/>
      <c r="AN881" s="122"/>
      <c r="AO881" s="122"/>
      <c r="AP881" s="122"/>
      <c r="AQ881" s="122"/>
      <c r="AR881" s="122"/>
      <c r="AS881" s="122"/>
      <c r="AT881" s="122"/>
      <c r="AU881" s="122"/>
      <c r="AV881" s="122"/>
      <c r="AW881" s="122"/>
      <c r="AX881" s="122"/>
      <c r="AY881" s="122"/>
    </row>
    <row r="882">
      <c r="A882" s="78"/>
      <c r="B882" s="78"/>
      <c r="C882" s="78"/>
      <c r="D882" s="78"/>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c r="AA882" s="122"/>
      <c r="AB882" s="122"/>
      <c r="AC882" s="122"/>
      <c r="AD882" s="122"/>
      <c r="AE882" s="122"/>
      <c r="AF882" s="122"/>
      <c r="AG882" s="122"/>
      <c r="AH882" s="122"/>
      <c r="AI882" s="122"/>
      <c r="AJ882" s="122"/>
      <c r="AK882" s="122"/>
      <c r="AL882" s="122"/>
      <c r="AM882" s="122"/>
      <c r="AN882" s="122"/>
      <c r="AO882" s="122"/>
      <c r="AP882" s="122"/>
      <c r="AQ882" s="122"/>
      <c r="AR882" s="122"/>
      <c r="AS882" s="122"/>
      <c r="AT882" s="122"/>
      <c r="AU882" s="122"/>
      <c r="AV882" s="122"/>
      <c r="AW882" s="122"/>
      <c r="AX882" s="122"/>
      <c r="AY882" s="122"/>
    </row>
    <row r="883">
      <c r="A883" s="78"/>
      <c r="B883" s="78"/>
      <c r="C883" s="78"/>
      <c r="D883" s="78"/>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c r="AA883" s="122"/>
      <c r="AB883" s="122"/>
      <c r="AC883" s="122"/>
      <c r="AD883" s="122"/>
      <c r="AE883" s="122"/>
      <c r="AF883" s="122"/>
      <c r="AG883" s="122"/>
      <c r="AH883" s="122"/>
      <c r="AI883" s="122"/>
      <c r="AJ883" s="122"/>
      <c r="AK883" s="122"/>
      <c r="AL883" s="122"/>
      <c r="AM883" s="122"/>
      <c r="AN883" s="122"/>
      <c r="AO883" s="122"/>
      <c r="AP883" s="122"/>
      <c r="AQ883" s="122"/>
      <c r="AR883" s="122"/>
      <c r="AS883" s="122"/>
      <c r="AT883" s="122"/>
      <c r="AU883" s="122"/>
      <c r="AV883" s="122"/>
      <c r="AW883" s="122"/>
      <c r="AX883" s="122"/>
      <c r="AY883" s="122"/>
    </row>
    <row r="884">
      <c r="A884" s="78"/>
      <c r="B884" s="78"/>
      <c r="C884" s="78"/>
      <c r="D884" s="78"/>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c r="AA884" s="122"/>
      <c r="AB884" s="122"/>
      <c r="AC884" s="122"/>
      <c r="AD884" s="122"/>
      <c r="AE884" s="122"/>
      <c r="AF884" s="122"/>
      <c r="AG884" s="122"/>
      <c r="AH884" s="122"/>
      <c r="AI884" s="122"/>
      <c r="AJ884" s="122"/>
      <c r="AK884" s="122"/>
      <c r="AL884" s="122"/>
      <c r="AM884" s="122"/>
      <c r="AN884" s="122"/>
      <c r="AO884" s="122"/>
      <c r="AP884" s="122"/>
      <c r="AQ884" s="122"/>
      <c r="AR884" s="122"/>
      <c r="AS884" s="122"/>
      <c r="AT884" s="122"/>
      <c r="AU884" s="122"/>
      <c r="AV884" s="122"/>
      <c r="AW884" s="122"/>
      <c r="AX884" s="122"/>
      <c r="AY884" s="122"/>
    </row>
    <row r="885">
      <c r="A885" s="78"/>
      <c r="B885" s="78"/>
      <c r="C885" s="78"/>
      <c r="D885" s="78"/>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c r="AA885" s="122"/>
      <c r="AB885" s="122"/>
      <c r="AC885" s="122"/>
      <c r="AD885" s="122"/>
      <c r="AE885" s="122"/>
      <c r="AF885" s="122"/>
      <c r="AG885" s="122"/>
      <c r="AH885" s="122"/>
      <c r="AI885" s="122"/>
      <c r="AJ885" s="122"/>
      <c r="AK885" s="122"/>
      <c r="AL885" s="122"/>
      <c r="AM885" s="122"/>
      <c r="AN885" s="122"/>
      <c r="AO885" s="122"/>
      <c r="AP885" s="122"/>
      <c r="AQ885" s="122"/>
      <c r="AR885" s="122"/>
      <c r="AS885" s="122"/>
      <c r="AT885" s="122"/>
      <c r="AU885" s="122"/>
      <c r="AV885" s="122"/>
      <c r="AW885" s="122"/>
      <c r="AX885" s="122"/>
      <c r="AY885" s="122"/>
    </row>
    <row r="886">
      <c r="A886" s="78"/>
      <c r="B886" s="78"/>
      <c r="C886" s="78"/>
      <c r="D886" s="78"/>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c r="AA886" s="122"/>
      <c r="AB886" s="122"/>
      <c r="AC886" s="122"/>
      <c r="AD886" s="122"/>
      <c r="AE886" s="122"/>
      <c r="AF886" s="122"/>
      <c r="AG886" s="122"/>
      <c r="AH886" s="122"/>
      <c r="AI886" s="122"/>
      <c r="AJ886" s="122"/>
      <c r="AK886" s="122"/>
      <c r="AL886" s="122"/>
      <c r="AM886" s="122"/>
      <c r="AN886" s="122"/>
      <c r="AO886" s="122"/>
      <c r="AP886" s="122"/>
      <c r="AQ886" s="122"/>
      <c r="AR886" s="122"/>
      <c r="AS886" s="122"/>
      <c r="AT886" s="122"/>
      <c r="AU886" s="122"/>
      <c r="AV886" s="122"/>
      <c r="AW886" s="122"/>
      <c r="AX886" s="122"/>
      <c r="AY886" s="122"/>
    </row>
    <row r="887">
      <c r="A887" s="78"/>
      <c r="B887" s="78"/>
      <c r="C887" s="78"/>
      <c r="D887" s="78"/>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c r="AA887" s="122"/>
      <c r="AB887" s="122"/>
      <c r="AC887" s="122"/>
      <c r="AD887" s="122"/>
      <c r="AE887" s="122"/>
      <c r="AF887" s="122"/>
      <c r="AG887" s="122"/>
      <c r="AH887" s="122"/>
      <c r="AI887" s="122"/>
      <c r="AJ887" s="122"/>
      <c r="AK887" s="122"/>
      <c r="AL887" s="122"/>
      <c r="AM887" s="122"/>
      <c r="AN887" s="122"/>
      <c r="AO887" s="122"/>
      <c r="AP887" s="122"/>
      <c r="AQ887" s="122"/>
      <c r="AR887" s="122"/>
      <c r="AS887" s="122"/>
      <c r="AT887" s="122"/>
      <c r="AU887" s="122"/>
      <c r="AV887" s="122"/>
      <c r="AW887" s="122"/>
      <c r="AX887" s="122"/>
      <c r="AY887" s="122"/>
    </row>
    <row r="888">
      <c r="A888" s="78"/>
      <c r="B888" s="78"/>
      <c r="C888" s="78"/>
      <c r="D888" s="78"/>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c r="AA888" s="122"/>
      <c r="AB888" s="122"/>
      <c r="AC888" s="122"/>
      <c r="AD888" s="122"/>
      <c r="AE888" s="122"/>
      <c r="AF888" s="122"/>
      <c r="AG888" s="122"/>
      <c r="AH888" s="122"/>
      <c r="AI888" s="122"/>
      <c r="AJ888" s="122"/>
      <c r="AK888" s="122"/>
      <c r="AL888" s="122"/>
      <c r="AM888" s="122"/>
      <c r="AN888" s="122"/>
      <c r="AO888" s="122"/>
      <c r="AP888" s="122"/>
      <c r="AQ888" s="122"/>
      <c r="AR888" s="122"/>
      <c r="AS888" s="122"/>
      <c r="AT888" s="122"/>
      <c r="AU888" s="122"/>
      <c r="AV888" s="122"/>
      <c r="AW888" s="122"/>
      <c r="AX888" s="122"/>
      <c r="AY888" s="122"/>
    </row>
    <row r="889">
      <c r="A889" s="78"/>
      <c r="B889" s="78"/>
      <c r="C889" s="78"/>
      <c r="D889" s="78"/>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c r="AA889" s="122"/>
      <c r="AB889" s="122"/>
      <c r="AC889" s="122"/>
      <c r="AD889" s="122"/>
      <c r="AE889" s="122"/>
      <c r="AF889" s="122"/>
      <c r="AG889" s="122"/>
      <c r="AH889" s="122"/>
      <c r="AI889" s="122"/>
      <c r="AJ889" s="122"/>
      <c r="AK889" s="122"/>
      <c r="AL889" s="122"/>
      <c r="AM889" s="122"/>
      <c r="AN889" s="122"/>
      <c r="AO889" s="122"/>
      <c r="AP889" s="122"/>
      <c r="AQ889" s="122"/>
      <c r="AR889" s="122"/>
      <c r="AS889" s="122"/>
      <c r="AT889" s="122"/>
      <c r="AU889" s="122"/>
      <c r="AV889" s="122"/>
      <c r="AW889" s="122"/>
      <c r="AX889" s="122"/>
      <c r="AY889" s="122"/>
    </row>
    <row r="890">
      <c r="A890" s="78"/>
      <c r="B890" s="78"/>
      <c r="C890" s="78"/>
      <c r="D890" s="78"/>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c r="AA890" s="122"/>
      <c r="AB890" s="122"/>
      <c r="AC890" s="122"/>
      <c r="AD890" s="122"/>
      <c r="AE890" s="122"/>
      <c r="AF890" s="122"/>
      <c r="AG890" s="122"/>
      <c r="AH890" s="122"/>
      <c r="AI890" s="122"/>
      <c r="AJ890" s="122"/>
      <c r="AK890" s="122"/>
      <c r="AL890" s="122"/>
      <c r="AM890" s="122"/>
      <c r="AN890" s="122"/>
      <c r="AO890" s="122"/>
      <c r="AP890" s="122"/>
      <c r="AQ890" s="122"/>
      <c r="AR890" s="122"/>
      <c r="AS890" s="122"/>
      <c r="AT890" s="122"/>
      <c r="AU890" s="122"/>
      <c r="AV890" s="122"/>
      <c r="AW890" s="122"/>
      <c r="AX890" s="122"/>
      <c r="AY890" s="122"/>
    </row>
    <row r="891">
      <c r="A891" s="78"/>
      <c r="B891" s="78"/>
      <c r="C891" s="78"/>
      <c r="D891" s="78"/>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c r="AA891" s="122"/>
      <c r="AB891" s="122"/>
      <c r="AC891" s="122"/>
      <c r="AD891" s="122"/>
      <c r="AE891" s="122"/>
      <c r="AF891" s="122"/>
      <c r="AG891" s="122"/>
      <c r="AH891" s="122"/>
      <c r="AI891" s="122"/>
      <c r="AJ891" s="122"/>
      <c r="AK891" s="122"/>
      <c r="AL891" s="122"/>
      <c r="AM891" s="122"/>
      <c r="AN891" s="122"/>
      <c r="AO891" s="122"/>
      <c r="AP891" s="122"/>
      <c r="AQ891" s="122"/>
      <c r="AR891" s="122"/>
      <c r="AS891" s="122"/>
      <c r="AT891" s="122"/>
      <c r="AU891" s="122"/>
      <c r="AV891" s="122"/>
      <c r="AW891" s="122"/>
      <c r="AX891" s="122"/>
      <c r="AY891" s="122"/>
    </row>
    <row r="892">
      <c r="A892" s="78"/>
      <c r="B892" s="78"/>
      <c r="C892" s="78"/>
      <c r="D892" s="78"/>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c r="AA892" s="122"/>
      <c r="AB892" s="122"/>
      <c r="AC892" s="122"/>
      <c r="AD892" s="122"/>
      <c r="AE892" s="122"/>
      <c r="AF892" s="122"/>
      <c r="AG892" s="122"/>
      <c r="AH892" s="122"/>
      <c r="AI892" s="122"/>
      <c r="AJ892" s="122"/>
      <c r="AK892" s="122"/>
      <c r="AL892" s="122"/>
      <c r="AM892" s="122"/>
      <c r="AN892" s="122"/>
      <c r="AO892" s="122"/>
      <c r="AP892" s="122"/>
      <c r="AQ892" s="122"/>
      <c r="AR892" s="122"/>
      <c r="AS892" s="122"/>
      <c r="AT892" s="122"/>
      <c r="AU892" s="122"/>
      <c r="AV892" s="122"/>
      <c r="AW892" s="122"/>
      <c r="AX892" s="122"/>
      <c r="AY892" s="122"/>
    </row>
    <row r="893">
      <c r="A893" s="78"/>
      <c r="B893" s="78"/>
      <c r="C893" s="78"/>
      <c r="D893" s="78"/>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c r="AA893" s="122"/>
      <c r="AB893" s="122"/>
      <c r="AC893" s="122"/>
      <c r="AD893" s="122"/>
      <c r="AE893" s="122"/>
      <c r="AF893" s="122"/>
      <c r="AG893" s="122"/>
      <c r="AH893" s="122"/>
      <c r="AI893" s="122"/>
      <c r="AJ893" s="122"/>
      <c r="AK893" s="122"/>
      <c r="AL893" s="122"/>
      <c r="AM893" s="122"/>
      <c r="AN893" s="122"/>
      <c r="AO893" s="122"/>
      <c r="AP893" s="122"/>
      <c r="AQ893" s="122"/>
      <c r="AR893" s="122"/>
      <c r="AS893" s="122"/>
      <c r="AT893" s="122"/>
      <c r="AU893" s="122"/>
      <c r="AV893" s="122"/>
      <c r="AW893" s="122"/>
      <c r="AX893" s="122"/>
      <c r="AY893" s="122"/>
    </row>
    <row r="894">
      <c r="A894" s="78"/>
      <c r="B894" s="78"/>
      <c r="C894" s="78"/>
      <c r="D894" s="78"/>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c r="AA894" s="122"/>
      <c r="AB894" s="122"/>
      <c r="AC894" s="122"/>
      <c r="AD894" s="122"/>
      <c r="AE894" s="122"/>
      <c r="AF894" s="122"/>
      <c r="AG894" s="122"/>
      <c r="AH894" s="122"/>
      <c r="AI894" s="122"/>
      <c r="AJ894" s="122"/>
      <c r="AK894" s="122"/>
      <c r="AL894" s="122"/>
      <c r="AM894" s="122"/>
      <c r="AN894" s="122"/>
      <c r="AO894" s="122"/>
      <c r="AP894" s="122"/>
      <c r="AQ894" s="122"/>
      <c r="AR894" s="122"/>
      <c r="AS894" s="122"/>
      <c r="AT894" s="122"/>
      <c r="AU894" s="122"/>
      <c r="AV894" s="122"/>
      <c r="AW894" s="122"/>
      <c r="AX894" s="122"/>
      <c r="AY894" s="122"/>
    </row>
    <row r="895">
      <c r="A895" s="78"/>
      <c r="B895" s="78"/>
      <c r="C895" s="78"/>
      <c r="D895" s="78"/>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c r="AA895" s="122"/>
      <c r="AB895" s="122"/>
      <c r="AC895" s="122"/>
      <c r="AD895" s="122"/>
      <c r="AE895" s="122"/>
      <c r="AF895" s="122"/>
      <c r="AG895" s="122"/>
      <c r="AH895" s="122"/>
      <c r="AI895" s="122"/>
      <c r="AJ895" s="122"/>
      <c r="AK895" s="122"/>
      <c r="AL895" s="122"/>
      <c r="AM895" s="122"/>
      <c r="AN895" s="122"/>
      <c r="AO895" s="122"/>
      <c r="AP895" s="122"/>
      <c r="AQ895" s="122"/>
      <c r="AR895" s="122"/>
      <c r="AS895" s="122"/>
      <c r="AT895" s="122"/>
      <c r="AU895" s="122"/>
      <c r="AV895" s="122"/>
      <c r="AW895" s="122"/>
      <c r="AX895" s="122"/>
      <c r="AY895" s="122"/>
    </row>
    <row r="896">
      <c r="A896" s="78"/>
      <c r="B896" s="78"/>
      <c r="C896" s="78"/>
      <c r="D896" s="78"/>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c r="AA896" s="122"/>
      <c r="AB896" s="122"/>
      <c r="AC896" s="122"/>
      <c r="AD896" s="122"/>
      <c r="AE896" s="122"/>
      <c r="AF896" s="122"/>
      <c r="AG896" s="122"/>
      <c r="AH896" s="122"/>
      <c r="AI896" s="122"/>
      <c r="AJ896" s="122"/>
      <c r="AK896" s="122"/>
      <c r="AL896" s="122"/>
      <c r="AM896" s="122"/>
      <c r="AN896" s="122"/>
      <c r="AO896" s="122"/>
      <c r="AP896" s="122"/>
      <c r="AQ896" s="122"/>
      <c r="AR896" s="122"/>
      <c r="AS896" s="122"/>
      <c r="AT896" s="122"/>
      <c r="AU896" s="122"/>
      <c r="AV896" s="122"/>
      <c r="AW896" s="122"/>
      <c r="AX896" s="122"/>
      <c r="AY896" s="122"/>
    </row>
    <row r="897">
      <c r="A897" s="78"/>
      <c r="B897" s="78"/>
      <c r="C897" s="78"/>
      <c r="D897" s="78"/>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c r="AA897" s="122"/>
      <c r="AB897" s="122"/>
      <c r="AC897" s="122"/>
      <c r="AD897" s="122"/>
      <c r="AE897" s="122"/>
      <c r="AF897" s="122"/>
      <c r="AG897" s="122"/>
      <c r="AH897" s="122"/>
      <c r="AI897" s="122"/>
      <c r="AJ897" s="122"/>
      <c r="AK897" s="122"/>
      <c r="AL897" s="122"/>
      <c r="AM897" s="122"/>
      <c r="AN897" s="122"/>
      <c r="AO897" s="122"/>
      <c r="AP897" s="122"/>
      <c r="AQ897" s="122"/>
      <c r="AR897" s="122"/>
      <c r="AS897" s="122"/>
      <c r="AT897" s="122"/>
      <c r="AU897" s="122"/>
      <c r="AV897" s="122"/>
      <c r="AW897" s="122"/>
      <c r="AX897" s="122"/>
      <c r="AY897" s="122"/>
    </row>
    <row r="898">
      <c r="A898" s="78"/>
      <c r="B898" s="78"/>
      <c r="C898" s="78"/>
      <c r="D898" s="78"/>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c r="AA898" s="122"/>
      <c r="AB898" s="122"/>
      <c r="AC898" s="122"/>
      <c r="AD898" s="122"/>
      <c r="AE898" s="122"/>
      <c r="AF898" s="122"/>
      <c r="AG898" s="122"/>
      <c r="AH898" s="122"/>
      <c r="AI898" s="122"/>
      <c r="AJ898" s="122"/>
      <c r="AK898" s="122"/>
      <c r="AL898" s="122"/>
      <c r="AM898" s="122"/>
      <c r="AN898" s="122"/>
      <c r="AO898" s="122"/>
      <c r="AP898" s="122"/>
      <c r="AQ898" s="122"/>
      <c r="AR898" s="122"/>
      <c r="AS898" s="122"/>
      <c r="AT898" s="122"/>
      <c r="AU898" s="122"/>
      <c r="AV898" s="122"/>
      <c r="AW898" s="122"/>
      <c r="AX898" s="122"/>
      <c r="AY898" s="122"/>
    </row>
    <row r="899">
      <c r="A899" s="78"/>
      <c r="B899" s="78"/>
      <c r="C899" s="78"/>
      <c r="D899" s="78"/>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c r="AA899" s="122"/>
      <c r="AB899" s="122"/>
      <c r="AC899" s="122"/>
      <c r="AD899" s="122"/>
      <c r="AE899" s="122"/>
      <c r="AF899" s="122"/>
      <c r="AG899" s="122"/>
      <c r="AH899" s="122"/>
      <c r="AI899" s="122"/>
      <c r="AJ899" s="122"/>
      <c r="AK899" s="122"/>
      <c r="AL899" s="122"/>
      <c r="AM899" s="122"/>
      <c r="AN899" s="122"/>
      <c r="AO899" s="122"/>
      <c r="AP899" s="122"/>
      <c r="AQ899" s="122"/>
      <c r="AR899" s="122"/>
      <c r="AS899" s="122"/>
      <c r="AT899" s="122"/>
      <c r="AU899" s="122"/>
      <c r="AV899" s="122"/>
      <c r="AW899" s="122"/>
      <c r="AX899" s="122"/>
      <c r="AY899" s="122"/>
    </row>
    <row r="900">
      <c r="A900" s="78"/>
      <c r="B900" s="78"/>
      <c r="C900" s="78"/>
      <c r="D900" s="78"/>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c r="AA900" s="122"/>
      <c r="AB900" s="122"/>
      <c r="AC900" s="122"/>
      <c r="AD900" s="122"/>
      <c r="AE900" s="122"/>
      <c r="AF900" s="122"/>
      <c r="AG900" s="122"/>
      <c r="AH900" s="122"/>
      <c r="AI900" s="122"/>
      <c r="AJ900" s="122"/>
      <c r="AK900" s="122"/>
      <c r="AL900" s="122"/>
      <c r="AM900" s="122"/>
      <c r="AN900" s="122"/>
      <c r="AO900" s="122"/>
      <c r="AP900" s="122"/>
      <c r="AQ900" s="122"/>
      <c r="AR900" s="122"/>
      <c r="AS900" s="122"/>
      <c r="AT900" s="122"/>
      <c r="AU900" s="122"/>
      <c r="AV900" s="122"/>
      <c r="AW900" s="122"/>
      <c r="AX900" s="122"/>
      <c r="AY900" s="122"/>
    </row>
    <row r="901">
      <c r="A901" s="78"/>
      <c r="B901" s="78"/>
      <c r="C901" s="78"/>
      <c r="D901" s="78"/>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c r="AA901" s="122"/>
      <c r="AB901" s="122"/>
      <c r="AC901" s="122"/>
      <c r="AD901" s="122"/>
      <c r="AE901" s="122"/>
      <c r="AF901" s="122"/>
      <c r="AG901" s="122"/>
      <c r="AH901" s="122"/>
      <c r="AI901" s="122"/>
      <c r="AJ901" s="122"/>
      <c r="AK901" s="122"/>
      <c r="AL901" s="122"/>
      <c r="AM901" s="122"/>
      <c r="AN901" s="122"/>
      <c r="AO901" s="122"/>
      <c r="AP901" s="122"/>
      <c r="AQ901" s="122"/>
      <c r="AR901" s="122"/>
      <c r="AS901" s="122"/>
      <c r="AT901" s="122"/>
      <c r="AU901" s="122"/>
      <c r="AV901" s="122"/>
      <c r="AW901" s="122"/>
      <c r="AX901" s="122"/>
      <c r="AY901" s="122"/>
    </row>
    <row r="902">
      <c r="A902" s="78"/>
      <c r="B902" s="78"/>
      <c r="C902" s="78"/>
      <c r="D902" s="78"/>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c r="AA902" s="122"/>
      <c r="AB902" s="122"/>
      <c r="AC902" s="122"/>
      <c r="AD902" s="122"/>
      <c r="AE902" s="122"/>
      <c r="AF902" s="122"/>
      <c r="AG902" s="122"/>
      <c r="AH902" s="122"/>
      <c r="AI902" s="122"/>
      <c r="AJ902" s="122"/>
      <c r="AK902" s="122"/>
      <c r="AL902" s="122"/>
      <c r="AM902" s="122"/>
      <c r="AN902" s="122"/>
      <c r="AO902" s="122"/>
      <c r="AP902" s="122"/>
      <c r="AQ902" s="122"/>
      <c r="AR902" s="122"/>
      <c r="AS902" s="122"/>
      <c r="AT902" s="122"/>
      <c r="AU902" s="122"/>
      <c r="AV902" s="122"/>
      <c r="AW902" s="122"/>
      <c r="AX902" s="122"/>
      <c r="AY902" s="122"/>
    </row>
    <row r="903">
      <c r="A903" s="78"/>
      <c r="B903" s="78"/>
      <c r="C903" s="78"/>
      <c r="D903" s="78"/>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c r="AA903" s="122"/>
      <c r="AB903" s="122"/>
      <c r="AC903" s="122"/>
      <c r="AD903" s="122"/>
      <c r="AE903" s="122"/>
      <c r="AF903" s="122"/>
      <c r="AG903" s="122"/>
      <c r="AH903" s="122"/>
      <c r="AI903" s="122"/>
      <c r="AJ903" s="122"/>
      <c r="AK903" s="122"/>
      <c r="AL903" s="122"/>
      <c r="AM903" s="122"/>
      <c r="AN903" s="122"/>
      <c r="AO903" s="122"/>
      <c r="AP903" s="122"/>
      <c r="AQ903" s="122"/>
      <c r="AR903" s="122"/>
      <c r="AS903" s="122"/>
      <c r="AT903" s="122"/>
      <c r="AU903" s="122"/>
      <c r="AV903" s="122"/>
      <c r="AW903" s="122"/>
      <c r="AX903" s="122"/>
      <c r="AY903" s="122"/>
    </row>
    <row r="904">
      <c r="A904" s="78"/>
      <c r="B904" s="78"/>
      <c r="C904" s="78"/>
      <c r="D904" s="78"/>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c r="AA904" s="122"/>
      <c r="AB904" s="122"/>
      <c r="AC904" s="122"/>
      <c r="AD904" s="122"/>
      <c r="AE904" s="122"/>
      <c r="AF904" s="122"/>
      <c r="AG904" s="122"/>
      <c r="AH904" s="122"/>
      <c r="AI904" s="122"/>
      <c r="AJ904" s="122"/>
      <c r="AK904" s="122"/>
      <c r="AL904" s="122"/>
      <c r="AM904" s="122"/>
      <c r="AN904" s="122"/>
      <c r="AO904" s="122"/>
      <c r="AP904" s="122"/>
      <c r="AQ904" s="122"/>
      <c r="AR904" s="122"/>
      <c r="AS904" s="122"/>
      <c r="AT904" s="122"/>
      <c r="AU904" s="122"/>
      <c r="AV904" s="122"/>
      <c r="AW904" s="122"/>
      <c r="AX904" s="122"/>
      <c r="AY904" s="122"/>
    </row>
    <row r="905">
      <c r="A905" s="78"/>
      <c r="B905" s="78"/>
      <c r="C905" s="78"/>
      <c r="D905" s="78"/>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c r="AA905" s="122"/>
      <c r="AB905" s="122"/>
      <c r="AC905" s="122"/>
      <c r="AD905" s="122"/>
      <c r="AE905" s="122"/>
      <c r="AF905" s="122"/>
      <c r="AG905" s="122"/>
      <c r="AH905" s="122"/>
      <c r="AI905" s="122"/>
      <c r="AJ905" s="122"/>
      <c r="AK905" s="122"/>
      <c r="AL905" s="122"/>
      <c r="AM905" s="122"/>
      <c r="AN905" s="122"/>
      <c r="AO905" s="122"/>
      <c r="AP905" s="122"/>
      <c r="AQ905" s="122"/>
      <c r="AR905" s="122"/>
      <c r="AS905" s="122"/>
      <c r="AT905" s="122"/>
      <c r="AU905" s="122"/>
      <c r="AV905" s="122"/>
      <c r="AW905" s="122"/>
      <c r="AX905" s="122"/>
      <c r="AY905" s="122"/>
    </row>
    <row r="906">
      <c r="A906" s="78"/>
      <c r="B906" s="78"/>
      <c r="C906" s="78"/>
      <c r="D906" s="78"/>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c r="AA906" s="122"/>
      <c r="AB906" s="122"/>
      <c r="AC906" s="122"/>
      <c r="AD906" s="122"/>
      <c r="AE906" s="122"/>
      <c r="AF906" s="122"/>
      <c r="AG906" s="122"/>
      <c r="AH906" s="122"/>
      <c r="AI906" s="122"/>
      <c r="AJ906" s="122"/>
      <c r="AK906" s="122"/>
      <c r="AL906" s="122"/>
      <c r="AM906" s="122"/>
      <c r="AN906" s="122"/>
      <c r="AO906" s="122"/>
      <c r="AP906" s="122"/>
      <c r="AQ906" s="122"/>
      <c r="AR906" s="122"/>
      <c r="AS906" s="122"/>
      <c r="AT906" s="122"/>
      <c r="AU906" s="122"/>
      <c r="AV906" s="122"/>
      <c r="AW906" s="122"/>
      <c r="AX906" s="122"/>
      <c r="AY906" s="122"/>
    </row>
    <row r="907">
      <c r="A907" s="78"/>
      <c r="B907" s="78"/>
      <c r="C907" s="78"/>
      <c r="D907" s="78"/>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c r="AA907" s="122"/>
      <c r="AB907" s="122"/>
      <c r="AC907" s="122"/>
      <c r="AD907" s="122"/>
      <c r="AE907" s="122"/>
      <c r="AF907" s="122"/>
      <c r="AG907" s="122"/>
      <c r="AH907" s="122"/>
      <c r="AI907" s="122"/>
      <c r="AJ907" s="122"/>
      <c r="AK907" s="122"/>
      <c r="AL907" s="122"/>
      <c r="AM907" s="122"/>
      <c r="AN907" s="122"/>
      <c r="AO907" s="122"/>
      <c r="AP907" s="122"/>
      <c r="AQ907" s="122"/>
      <c r="AR907" s="122"/>
      <c r="AS907" s="122"/>
      <c r="AT907" s="122"/>
      <c r="AU907" s="122"/>
      <c r="AV907" s="122"/>
      <c r="AW907" s="122"/>
      <c r="AX907" s="122"/>
      <c r="AY907" s="122"/>
    </row>
    <row r="908">
      <c r="A908" s="78"/>
      <c r="B908" s="78"/>
      <c r="C908" s="78"/>
      <c r="D908" s="78"/>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c r="AA908" s="122"/>
      <c r="AB908" s="122"/>
      <c r="AC908" s="122"/>
      <c r="AD908" s="122"/>
      <c r="AE908" s="122"/>
      <c r="AF908" s="122"/>
      <c r="AG908" s="122"/>
      <c r="AH908" s="122"/>
      <c r="AI908" s="122"/>
      <c r="AJ908" s="122"/>
      <c r="AK908" s="122"/>
      <c r="AL908" s="122"/>
      <c r="AM908" s="122"/>
      <c r="AN908" s="122"/>
      <c r="AO908" s="122"/>
      <c r="AP908" s="122"/>
      <c r="AQ908" s="122"/>
      <c r="AR908" s="122"/>
      <c r="AS908" s="122"/>
      <c r="AT908" s="122"/>
      <c r="AU908" s="122"/>
      <c r="AV908" s="122"/>
      <c r="AW908" s="122"/>
      <c r="AX908" s="122"/>
      <c r="AY908" s="122"/>
    </row>
    <row r="909">
      <c r="A909" s="78"/>
      <c r="B909" s="78"/>
      <c r="C909" s="78"/>
      <c r="D909" s="78"/>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c r="AA909" s="122"/>
      <c r="AB909" s="122"/>
      <c r="AC909" s="122"/>
      <c r="AD909" s="122"/>
      <c r="AE909" s="122"/>
      <c r="AF909" s="122"/>
      <c r="AG909" s="122"/>
      <c r="AH909" s="122"/>
      <c r="AI909" s="122"/>
      <c r="AJ909" s="122"/>
      <c r="AK909" s="122"/>
      <c r="AL909" s="122"/>
      <c r="AM909" s="122"/>
      <c r="AN909" s="122"/>
      <c r="AO909" s="122"/>
      <c r="AP909" s="122"/>
      <c r="AQ909" s="122"/>
      <c r="AR909" s="122"/>
      <c r="AS909" s="122"/>
      <c r="AT909" s="122"/>
      <c r="AU909" s="122"/>
      <c r="AV909" s="122"/>
      <c r="AW909" s="122"/>
      <c r="AX909" s="122"/>
      <c r="AY909" s="122"/>
    </row>
    <row r="910">
      <c r="A910" s="78"/>
      <c r="B910" s="78"/>
      <c r="C910" s="78"/>
      <c r="D910" s="78"/>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c r="AA910" s="122"/>
      <c r="AB910" s="122"/>
      <c r="AC910" s="122"/>
      <c r="AD910" s="122"/>
      <c r="AE910" s="122"/>
      <c r="AF910" s="122"/>
      <c r="AG910" s="122"/>
      <c r="AH910" s="122"/>
      <c r="AI910" s="122"/>
      <c r="AJ910" s="122"/>
      <c r="AK910" s="122"/>
      <c r="AL910" s="122"/>
      <c r="AM910" s="122"/>
      <c r="AN910" s="122"/>
      <c r="AO910" s="122"/>
      <c r="AP910" s="122"/>
      <c r="AQ910" s="122"/>
      <c r="AR910" s="122"/>
      <c r="AS910" s="122"/>
      <c r="AT910" s="122"/>
      <c r="AU910" s="122"/>
      <c r="AV910" s="122"/>
      <c r="AW910" s="122"/>
      <c r="AX910" s="122"/>
      <c r="AY910" s="122"/>
    </row>
    <row r="911">
      <c r="A911" s="78"/>
      <c r="B911" s="78"/>
      <c r="C911" s="78"/>
      <c r="D911" s="78"/>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c r="AA911" s="122"/>
      <c r="AB911" s="122"/>
      <c r="AC911" s="122"/>
      <c r="AD911" s="122"/>
      <c r="AE911" s="122"/>
      <c r="AF911" s="122"/>
      <c r="AG911" s="122"/>
      <c r="AH911" s="122"/>
      <c r="AI911" s="122"/>
      <c r="AJ911" s="122"/>
      <c r="AK911" s="122"/>
      <c r="AL911" s="122"/>
      <c r="AM911" s="122"/>
      <c r="AN911" s="122"/>
      <c r="AO911" s="122"/>
      <c r="AP911" s="122"/>
      <c r="AQ911" s="122"/>
      <c r="AR911" s="122"/>
      <c r="AS911" s="122"/>
      <c r="AT911" s="122"/>
      <c r="AU911" s="122"/>
      <c r="AV911" s="122"/>
      <c r="AW911" s="122"/>
      <c r="AX911" s="122"/>
      <c r="AY911" s="122"/>
    </row>
    <row r="912">
      <c r="A912" s="78"/>
      <c r="B912" s="78"/>
      <c r="C912" s="78"/>
      <c r="D912" s="78"/>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c r="AA912" s="122"/>
      <c r="AB912" s="122"/>
      <c r="AC912" s="122"/>
      <c r="AD912" s="122"/>
      <c r="AE912" s="122"/>
      <c r="AF912" s="122"/>
      <c r="AG912" s="122"/>
      <c r="AH912" s="122"/>
      <c r="AI912" s="122"/>
      <c r="AJ912" s="122"/>
      <c r="AK912" s="122"/>
      <c r="AL912" s="122"/>
      <c r="AM912" s="122"/>
      <c r="AN912" s="122"/>
      <c r="AO912" s="122"/>
      <c r="AP912" s="122"/>
      <c r="AQ912" s="122"/>
      <c r="AR912" s="122"/>
      <c r="AS912" s="122"/>
      <c r="AT912" s="122"/>
      <c r="AU912" s="122"/>
      <c r="AV912" s="122"/>
      <c r="AW912" s="122"/>
      <c r="AX912" s="122"/>
      <c r="AY912" s="122"/>
    </row>
    <row r="913">
      <c r="A913" s="78"/>
      <c r="B913" s="78"/>
      <c r="C913" s="78"/>
      <c r="D913" s="78"/>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c r="AA913" s="122"/>
      <c r="AB913" s="122"/>
      <c r="AC913" s="122"/>
      <c r="AD913" s="122"/>
      <c r="AE913" s="122"/>
      <c r="AF913" s="122"/>
      <c r="AG913" s="122"/>
      <c r="AH913" s="122"/>
      <c r="AI913" s="122"/>
      <c r="AJ913" s="122"/>
      <c r="AK913" s="122"/>
      <c r="AL913" s="122"/>
      <c r="AM913" s="122"/>
      <c r="AN913" s="122"/>
      <c r="AO913" s="122"/>
      <c r="AP913" s="122"/>
      <c r="AQ913" s="122"/>
      <c r="AR913" s="122"/>
      <c r="AS913" s="122"/>
      <c r="AT913" s="122"/>
      <c r="AU913" s="122"/>
      <c r="AV913" s="122"/>
      <c r="AW913" s="122"/>
      <c r="AX913" s="122"/>
      <c r="AY913" s="122"/>
    </row>
    <row r="914">
      <c r="A914" s="78"/>
      <c r="B914" s="78"/>
      <c r="C914" s="78"/>
      <c r="D914" s="78"/>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c r="AA914" s="122"/>
      <c r="AB914" s="122"/>
      <c r="AC914" s="122"/>
      <c r="AD914" s="122"/>
      <c r="AE914" s="122"/>
      <c r="AF914" s="122"/>
      <c r="AG914" s="122"/>
      <c r="AH914" s="122"/>
      <c r="AI914" s="122"/>
      <c r="AJ914" s="122"/>
      <c r="AK914" s="122"/>
      <c r="AL914" s="122"/>
      <c r="AM914" s="122"/>
      <c r="AN914" s="122"/>
      <c r="AO914" s="122"/>
      <c r="AP914" s="122"/>
      <c r="AQ914" s="122"/>
      <c r="AR914" s="122"/>
      <c r="AS914" s="122"/>
      <c r="AT914" s="122"/>
      <c r="AU914" s="122"/>
      <c r="AV914" s="122"/>
      <c r="AW914" s="122"/>
      <c r="AX914" s="122"/>
      <c r="AY914" s="122"/>
    </row>
    <row r="915">
      <c r="A915" s="78"/>
      <c r="B915" s="78"/>
      <c r="C915" s="78"/>
      <c r="D915" s="78"/>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c r="AA915" s="122"/>
      <c r="AB915" s="122"/>
      <c r="AC915" s="122"/>
      <c r="AD915" s="122"/>
      <c r="AE915" s="122"/>
      <c r="AF915" s="122"/>
      <c r="AG915" s="122"/>
      <c r="AH915" s="122"/>
      <c r="AI915" s="122"/>
      <c r="AJ915" s="122"/>
      <c r="AK915" s="122"/>
      <c r="AL915" s="122"/>
      <c r="AM915" s="122"/>
      <c r="AN915" s="122"/>
      <c r="AO915" s="122"/>
      <c r="AP915" s="122"/>
      <c r="AQ915" s="122"/>
      <c r="AR915" s="122"/>
      <c r="AS915" s="122"/>
      <c r="AT915" s="122"/>
      <c r="AU915" s="122"/>
      <c r="AV915" s="122"/>
      <c r="AW915" s="122"/>
      <c r="AX915" s="122"/>
      <c r="AY915" s="122"/>
    </row>
    <row r="916">
      <c r="A916" s="78"/>
      <c r="B916" s="78"/>
      <c r="C916" s="78"/>
      <c r="D916" s="78"/>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c r="AA916" s="122"/>
      <c r="AB916" s="122"/>
      <c r="AC916" s="122"/>
      <c r="AD916" s="122"/>
      <c r="AE916" s="122"/>
      <c r="AF916" s="122"/>
      <c r="AG916" s="122"/>
      <c r="AH916" s="122"/>
      <c r="AI916" s="122"/>
      <c r="AJ916" s="122"/>
      <c r="AK916" s="122"/>
      <c r="AL916" s="122"/>
      <c r="AM916" s="122"/>
      <c r="AN916" s="122"/>
      <c r="AO916" s="122"/>
      <c r="AP916" s="122"/>
      <c r="AQ916" s="122"/>
      <c r="AR916" s="122"/>
      <c r="AS916" s="122"/>
      <c r="AT916" s="122"/>
      <c r="AU916" s="122"/>
      <c r="AV916" s="122"/>
      <c r="AW916" s="122"/>
      <c r="AX916" s="122"/>
      <c r="AY916" s="122"/>
    </row>
    <row r="917">
      <c r="A917" s="78"/>
      <c r="B917" s="78"/>
      <c r="C917" s="78"/>
      <c r="D917" s="78"/>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c r="AA917" s="122"/>
      <c r="AB917" s="122"/>
      <c r="AC917" s="122"/>
      <c r="AD917" s="122"/>
      <c r="AE917" s="122"/>
      <c r="AF917" s="122"/>
      <c r="AG917" s="122"/>
      <c r="AH917" s="122"/>
      <c r="AI917" s="122"/>
      <c r="AJ917" s="122"/>
      <c r="AK917" s="122"/>
      <c r="AL917" s="122"/>
      <c r="AM917" s="122"/>
      <c r="AN917" s="122"/>
      <c r="AO917" s="122"/>
      <c r="AP917" s="122"/>
      <c r="AQ917" s="122"/>
      <c r="AR917" s="122"/>
      <c r="AS917" s="122"/>
      <c r="AT917" s="122"/>
      <c r="AU917" s="122"/>
      <c r="AV917" s="122"/>
      <c r="AW917" s="122"/>
      <c r="AX917" s="122"/>
      <c r="AY917" s="122"/>
    </row>
    <row r="918">
      <c r="A918" s="78"/>
      <c r="B918" s="78"/>
      <c r="C918" s="78"/>
      <c r="D918" s="78"/>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c r="AA918" s="122"/>
      <c r="AB918" s="122"/>
      <c r="AC918" s="122"/>
      <c r="AD918" s="122"/>
      <c r="AE918" s="122"/>
      <c r="AF918" s="122"/>
      <c r="AG918" s="122"/>
      <c r="AH918" s="122"/>
      <c r="AI918" s="122"/>
      <c r="AJ918" s="122"/>
      <c r="AK918" s="122"/>
      <c r="AL918" s="122"/>
      <c r="AM918" s="122"/>
      <c r="AN918" s="122"/>
      <c r="AO918" s="122"/>
      <c r="AP918" s="122"/>
      <c r="AQ918" s="122"/>
      <c r="AR918" s="122"/>
      <c r="AS918" s="122"/>
      <c r="AT918" s="122"/>
      <c r="AU918" s="122"/>
      <c r="AV918" s="122"/>
      <c r="AW918" s="122"/>
      <c r="AX918" s="122"/>
      <c r="AY918" s="122"/>
    </row>
    <row r="919">
      <c r="A919" s="78"/>
      <c r="B919" s="78"/>
      <c r="C919" s="78"/>
      <c r="D919" s="78"/>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c r="AA919" s="122"/>
      <c r="AB919" s="122"/>
      <c r="AC919" s="122"/>
      <c r="AD919" s="122"/>
      <c r="AE919" s="122"/>
      <c r="AF919" s="122"/>
      <c r="AG919" s="122"/>
      <c r="AH919" s="122"/>
      <c r="AI919" s="122"/>
      <c r="AJ919" s="122"/>
      <c r="AK919" s="122"/>
      <c r="AL919" s="122"/>
      <c r="AM919" s="122"/>
      <c r="AN919" s="122"/>
      <c r="AO919" s="122"/>
      <c r="AP919" s="122"/>
      <c r="AQ919" s="122"/>
      <c r="AR919" s="122"/>
      <c r="AS919" s="122"/>
      <c r="AT919" s="122"/>
      <c r="AU919" s="122"/>
      <c r="AV919" s="122"/>
      <c r="AW919" s="122"/>
      <c r="AX919" s="122"/>
      <c r="AY919" s="122"/>
    </row>
    <row r="920">
      <c r="A920" s="78"/>
      <c r="B920" s="78"/>
      <c r="C920" s="78"/>
      <c r="D920" s="78"/>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c r="AA920" s="122"/>
      <c r="AB920" s="122"/>
      <c r="AC920" s="122"/>
      <c r="AD920" s="122"/>
      <c r="AE920" s="122"/>
      <c r="AF920" s="122"/>
      <c r="AG920" s="122"/>
      <c r="AH920" s="122"/>
      <c r="AI920" s="122"/>
      <c r="AJ920" s="122"/>
      <c r="AK920" s="122"/>
      <c r="AL920" s="122"/>
      <c r="AM920" s="122"/>
      <c r="AN920" s="122"/>
      <c r="AO920" s="122"/>
      <c r="AP920" s="122"/>
      <c r="AQ920" s="122"/>
      <c r="AR920" s="122"/>
      <c r="AS920" s="122"/>
      <c r="AT920" s="122"/>
      <c r="AU920" s="122"/>
      <c r="AV920" s="122"/>
      <c r="AW920" s="122"/>
      <c r="AX920" s="122"/>
      <c r="AY920" s="122"/>
    </row>
    <row r="921">
      <c r="A921" s="78"/>
      <c r="B921" s="78"/>
      <c r="C921" s="78"/>
      <c r="D921" s="78"/>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c r="AA921" s="122"/>
      <c r="AB921" s="122"/>
      <c r="AC921" s="122"/>
      <c r="AD921" s="122"/>
      <c r="AE921" s="122"/>
      <c r="AF921" s="122"/>
      <c r="AG921" s="122"/>
      <c r="AH921" s="122"/>
      <c r="AI921" s="122"/>
      <c r="AJ921" s="122"/>
      <c r="AK921" s="122"/>
      <c r="AL921" s="122"/>
      <c r="AM921" s="122"/>
      <c r="AN921" s="122"/>
      <c r="AO921" s="122"/>
      <c r="AP921" s="122"/>
      <c r="AQ921" s="122"/>
      <c r="AR921" s="122"/>
      <c r="AS921" s="122"/>
      <c r="AT921" s="122"/>
      <c r="AU921" s="122"/>
      <c r="AV921" s="122"/>
      <c r="AW921" s="122"/>
      <c r="AX921" s="122"/>
      <c r="AY921" s="122"/>
    </row>
    <row r="922">
      <c r="A922" s="78"/>
      <c r="B922" s="78"/>
      <c r="C922" s="78"/>
      <c r="D922" s="78"/>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c r="AA922" s="122"/>
      <c r="AB922" s="122"/>
      <c r="AC922" s="122"/>
      <c r="AD922" s="122"/>
      <c r="AE922" s="122"/>
      <c r="AF922" s="122"/>
      <c r="AG922" s="122"/>
      <c r="AH922" s="122"/>
      <c r="AI922" s="122"/>
      <c r="AJ922" s="122"/>
      <c r="AK922" s="122"/>
      <c r="AL922" s="122"/>
      <c r="AM922" s="122"/>
      <c r="AN922" s="122"/>
      <c r="AO922" s="122"/>
      <c r="AP922" s="122"/>
      <c r="AQ922" s="122"/>
      <c r="AR922" s="122"/>
      <c r="AS922" s="122"/>
      <c r="AT922" s="122"/>
      <c r="AU922" s="122"/>
      <c r="AV922" s="122"/>
      <c r="AW922" s="122"/>
      <c r="AX922" s="122"/>
      <c r="AY922" s="122"/>
    </row>
    <row r="923">
      <c r="A923" s="78"/>
      <c r="B923" s="78"/>
      <c r="C923" s="78"/>
      <c r="D923" s="78"/>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c r="AA923" s="122"/>
      <c r="AB923" s="122"/>
      <c r="AC923" s="122"/>
      <c r="AD923" s="122"/>
      <c r="AE923" s="122"/>
      <c r="AF923" s="122"/>
      <c r="AG923" s="122"/>
      <c r="AH923" s="122"/>
      <c r="AI923" s="122"/>
      <c r="AJ923" s="122"/>
      <c r="AK923" s="122"/>
      <c r="AL923" s="122"/>
      <c r="AM923" s="122"/>
      <c r="AN923" s="122"/>
      <c r="AO923" s="122"/>
      <c r="AP923" s="122"/>
      <c r="AQ923" s="122"/>
      <c r="AR923" s="122"/>
      <c r="AS923" s="122"/>
      <c r="AT923" s="122"/>
      <c r="AU923" s="122"/>
      <c r="AV923" s="122"/>
      <c r="AW923" s="122"/>
      <c r="AX923" s="122"/>
      <c r="AY923" s="122"/>
    </row>
    <row r="924">
      <c r="A924" s="78"/>
      <c r="B924" s="78"/>
      <c r="C924" s="78"/>
      <c r="D924" s="78"/>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c r="AA924" s="122"/>
      <c r="AB924" s="122"/>
      <c r="AC924" s="122"/>
      <c r="AD924" s="122"/>
      <c r="AE924" s="122"/>
      <c r="AF924" s="122"/>
      <c r="AG924" s="122"/>
      <c r="AH924" s="122"/>
      <c r="AI924" s="122"/>
      <c r="AJ924" s="122"/>
      <c r="AK924" s="122"/>
      <c r="AL924" s="122"/>
      <c r="AM924" s="122"/>
      <c r="AN924" s="122"/>
      <c r="AO924" s="122"/>
      <c r="AP924" s="122"/>
      <c r="AQ924" s="122"/>
      <c r="AR924" s="122"/>
      <c r="AS924" s="122"/>
      <c r="AT924" s="122"/>
      <c r="AU924" s="122"/>
      <c r="AV924" s="122"/>
      <c r="AW924" s="122"/>
      <c r="AX924" s="122"/>
      <c r="AY924" s="122"/>
    </row>
    <row r="925">
      <c r="A925" s="78"/>
      <c r="B925" s="78"/>
      <c r="C925" s="78"/>
      <c r="D925" s="78"/>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c r="AA925" s="122"/>
      <c r="AB925" s="122"/>
      <c r="AC925" s="122"/>
      <c r="AD925" s="122"/>
      <c r="AE925" s="122"/>
      <c r="AF925" s="122"/>
      <c r="AG925" s="122"/>
      <c r="AH925" s="122"/>
      <c r="AI925" s="122"/>
      <c r="AJ925" s="122"/>
      <c r="AK925" s="122"/>
      <c r="AL925" s="122"/>
      <c r="AM925" s="122"/>
      <c r="AN925" s="122"/>
      <c r="AO925" s="122"/>
      <c r="AP925" s="122"/>
      <c r="AQ925" s="122"/>
      <c r="AR925" s="122"/>
      <c r="AS925" s="122"/>
      <c r="AT925" s="122"/>
      <c r="AU925" s="122"/>
      <c r="AV925" s="122"/>
      <c r="AW925" s="122"/>
      <c r="AX925" s="122"/>
      <c r="AY925" s="122"/>
    </row>
    <row r="926">
      <c r="A926" s="78"/>
      <c r="B926" s="78"/>
      <c r="C926" s="78"/>
      <c r="D926" s="78"/>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c r="AA926" s="122"/>
      <c r="AB926" s="122"/>
      <c r="AC926" s="122"/>
      <c r="AD926" s="122"/>
      <c r="AE926" s="122"/>
      <c r="AF926" s="122"/>
      <c r="AG926" s="122"/>
      <c r="AH926" s="122"/>
      <c r="AI926" s="122"/>
      <c r="AJ926" s="122"/>
      <c r="AK926" s="122"/>
      <c r="AL926" s="122"/>
      <c r="AM926" s="122"/>
      <c r="AN926" s="122"/>
      <c r="AO926" s="122"/>
      <c r="AP926" s="122"/>
      <c r="AQ926" s="122"/>
      <c r="AR926" s="122"/>
      <c r="AS926" s="122"/>
      <c r="AT926" s="122"/>
      <c r="AU926" s="122"/>
      <c r="AV926" s="122"/>
      <c r="AW926" s="122"/>
      <c r="AX926" s="122"/>
      <c r="AY926" s="122"/>
    </row>
    <row r="927">
      <c r="A927" s="78"/>
      <c r="B927" s="78"/>
      <c r="C927" s="78"/>
      <c r="D927" s="78"/>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c r="AA927" s="122"/>
      <c r="AB927" s="122"/>
      <c r="AC927" s="122"/>
      <c r="AD927" s="122"/>
      <c r="AE927" s="122"/>
      <c r="AF927" s="122"/>
      <c r="AG927" s="122"/>
      <c r="AH927" s="122"/>
      <c r="AI927" s="122"/>
      <c r="AJ927" s="122"/>
      <c r="AK927" s="122"/>
      <c r="AL927" s="122"/>
      <c r="AM927" s="122"/>
      <c r="AN927" s="122"/>
      <c r="AO927" s="122"/>
      <c r="AP927" s="122"/>
      <c r="AQ927" s="122"/>
      <c r="AR927" s="122"/>
      <c r="AS927" s="122"/>
      <c r="AT927" s="122"/>
      <c r="AU927" s="122"/>
      <c r="AV927" s="122"/>
      <c r="AW927" s="122"/>
      <c r="AX927" s="122"/>
      <c r="AY927" s="122"/>
    </row>
    <row r="928">
      <c r="A928" s="78"/>
      <c r="B928" s="78"/>
      <c r="C928" s="78"/>
      <c r="D928" s="78"/>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c r="AA928" s="122"/>
      <c r="AB928" s="122"/>
      <c r="AC928" s="122"/>
      <c r="AD928" s="122"/>
      <c r="AE928" s="122"/>
      <c r="AF928" s="122"/>
      <c r="AG928" s="122"/>
      <c r="AH928" s="122"/>
      <c r="AI928" s="122"/>
      <c r="AJ928" s="122"/>
      <c r="AK928" s="122"/>
      <c r="AL928" s="122"/>
      <c r="AM928" s="122"/>
      <c r="AN928" s="122"/>
      <c r="AO928" s="122"/>
      <c r="AP928" s="122"/>
      <c r="AQ928" s="122"/>
      <c r="AR928" s="122"/>
      <c r="AS928" s="122"/>
      <c r="AT928" s="122"/>
      <c r="AU928" s="122"/>
      <c r="AV928" s="122"/>
      <c r="AW928" s="122"/>
      <c r="AX928" s="122"/>
      <c r="AY928" s="122"/>
    </row>
    <row r="929">
      <c r="A929" s="78"/>
      <c r="B929" s="78"/>
      <c r="C929" s="78"/>
      <c r="D929" s="78"/>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c r="AA929" s="122"/>
      <c r="AB929" s="122"/>
      <c r="AC929" s="122"/>
      <c r="AD929" s="122"/>
      <c r="AE929" s="122"/>
      <c r="AF929" s="122"/>
      <c r="AG929" s="122"/>
      <c r="AH929" s="122"/>
      <c r="AI929" s="122"/>
      <c r="AJ929" s="122"/>
      <c r="AK929" s="122"/>
      <c r="AL929" s="122"/>
      <c r="AM929" s="122"/>
      <c r="AN929" s="122"/>
      <c r="AO929" s="122"/>
      <c r="AP929" s="122"/>
      <c r="AQ929" s="122"/>
      <c r="AR929" s="122"/>
      <c r="AS929" s="122"/>
      <c r="AT929" s="122"/>
      <c r="AU929" s="122"/>
      <c r="AV929" s="122"/>
      <c r="AW929" s="122"/>
      <c r="AX929" s="122"/>
      <c r="AY929" s="122"/>
    </row>
    <row r="930">
      <c r="A930" s="78"/>
      <c r="B930" s="78"/>
      <c r="C930" s="78"/>
      <c r="D930" s="78"/>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c r="AA930" s="122"/>
      <c r="AB930" s="122"/>
      <c r="AC930" s="122"/>
      <c r="AD930" s="122"/>
      <c r="AE930" s="122"/>
      <c r="AF930" s="122"/>
      <c r="AG930" s="122"/>
      <c r="AH930" s="122"/>
      <c r="AI930" s="122"/>
      <c r="AJ930" s="122"/>
      <c r="AK930" s="122"/>
      <c r="AL930" s="122"/>
      <c r="AM930" s="122"/>
      <c r="AN930" s="122"/>
      <c r="AO930" s="122"/>
      <c r="AP930" s="122"/>
      <c r="AQ930" s="122"/>
      <c r="AR930" s="122"/>
      <c r="AS930" s="122"/>
      <c r="AT930" s="122"/>
      <c r="AU930" s="122"/>
      <c r="AV930" s="122"/>
      <c r="AW930" s="122"/>
      <c r="AX930" s="122"/>
      <c r="AY930" s="122"/>
    </row>
    <row r="931">
      <c r="A931" s="78"/>
      <c r="B931" s="78"/>
      <c r="C931" s="78"/>
      <c r="D931" s="78"/>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c r="AA931" s="122"/>
      <c r="AB931" s="122"/>
      <c r="AC931" s="122"/>
      <c r="AD931" s="122"/>
      <c r="AE931" s="122"/>
      <c r="AF931" s="122"/>
      <c r="AG931" s="122"/>
      <c r="AH931" s="122"/>
      <c r="AI931" s="122"/>
      <c r="AJ931" s="122"/>
      <c r="AK931" s="122"/>
      <c r="AL931" s="122"/>
      <c r="AM931" s="122"/>
      <c r="AN931" s="122"/>
      <c r="AO931" s="122"/>
      <c r="AP931" s="122"/>
      <c r="AQ931" s="122"/>
      <c r="AR931" s="122"/>
      <c r="AS931" s="122"/>
      <c r="AT931" s="122"/>
      <c r="AU931" s="122"/>
      <c r="AV931" s="122"/>
      <c r="AW931" s="122"/>
      <c r="AX931" s="122"/>
      <c r="AY931" s="122"/>
    </row>
    <row r="932">
      <c r="A932" s="78"/>
      <c r="B932" s="78"/>
      <c r="C932" s="78"/>
      <c r="D932" s="78"/>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c r="AA932" s="122"/>
      <c r="AB932" s="122"/>
      <c r="AC932" s="122"/>
      <c r="AD932" s="122"/>
      <c r="AE932" s="122"/>
      <c r="AF932" s="122"/>
      <c r="AG932" s="122"/>
      <c r="AH932" s="122"/>
      <c r="AI932" s="122"/>
      <c r="AJ932" s="122"/>
      <c r="AK932" s="122"/>
      <c r="AL932" s="122"/>
      <c r="AM932" s="122"/>
      <c r="AN932" s="122"/>
      <c r="AO932" s="122"/>
      <c r="AP932" s="122"/>
      <c r="AQ932" s="122"/>
      <c r="AR932" s="122"/>
      <c r="AS932" s="122"/>
      <c r="AT932" s="122"/>
      <c r="AU932" s="122"/>
      <c r="AV932" s="122"/>
      <c r="AW932" s="122"/>
      <c r="AX932" s="122"/>
      <c r="AY932" s="122"/>
    </row>
    <row r="933">
      <c r="A933" s="78"/>
      <c r="B933" s="78"/>
      <c r="C933" s="78"/>
      <c r="D933" s="78"/>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c r="AA933" s="122"/>
      <c r="AB933" s="122"/>
      <c r="AC933" s="122"/>
      <c r="AD933" s="122"/>
      <c r="AE933" s="122"/>
      <c r="AF933" s="122"/>
      <c r="AG933" s="122"/>
      <c r="AH933" s="122"/>
      <c r="AI933" s="122"/>
      <c r="AJ933" s="122"/>
      <c r="AK933" s="122"/>
      <c r="AL933" s="122"/>
      <c r="AM933" s="122"/>
      <c r="AN933" s="122"/>
      <c r="AO933" s="122"/>
      <c r="AP933" s="122"/>
      <c r="AQ933" s="122"/>
      <c r="AR933" s="122"/>
      <c r="AS933" s="122"/>
      <c r="AT933" s="122"/>
      <c r="AU933" s="122"/>
      <c r="AV933" s="122"/>
      <c r="AW933" s="122"/>
      <c r="AX933" s="122"/>
      <c r="AY933" s="122"/>
    </row>
    <row r="934">
      <c r="A934" s="78"/>
      <c r="B934" s="78"/>
      <c r="C934" s="78"/>
      <c r="D934" s="78"/>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c r="AA934" s="122"/>
      <c r="AB934" s="122"/>
      <c r="AC934" s="122"/>
      <c r="AD934" s="122"/>
      <c r="AE934" s="122"/>
      <c r="AF934" s="122"/>
      <c r="AG934" s="122"/>
      <c r="AH934" s="122"/>
      <c r="AI934" s="122"/>
      <c r="AJ934" s="122"/>
      <c r="AK934" s="122"/>
      <c r="AL934" s="122"/>
      <c r="AM934" s="122"/>
      <c r="AN934" s="122"/>
      <c r="AO934" s="122"/>
      <c r="AP934" s="122"/>
      <c r="AQ934" s="122"/>
      <c r="AR934" s="122"/>
      <c r="AS934" s="122"/>
      <c r="AT934" s="122"/>
      <c r="AU934" s="122"/>
      <c r="AV934" s="122"/>
      <c r="AW934" s="122"/>
      <c r="AX934" s="122"/>
      <c r="AY934" s="122"/>
    </row>
    <row r="935">
      <c r="A935" s="78"/>
      <c r="B935" s="78"/>
      <c r="C935" s="78"/>
      <c r="D935" s="78"/>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c r="AA935" s="122"/>
      <c r="AB935" s="122"/>
      <c r="AC935" s="122"/>
      <c r="AD935" s="122"/>
      <c r="AE935" s="122"/>
      <c r="AF935" s="122"/>
      <c r="AG935" s="122"/>
      <c r="AH935" s="122"/>
      <c r="AI935" s="122"/>
      <c r="AJ935" s="122"/>
      <c r="AK935" s="122"/>
      <c r="AL935" s="122"/>
      <c r="AM935" s="122"/>
      <c r="AN935" s="122"/>
      <c r="AO935" s="122"/>
      <c r="AP935" s="122"/>
      <c r="AQ935" s="122"/>
      <c r="AR935" s="122"/>
      <c r="AS935" s="122"/>
      <c r="AT935" s="122"/>
      <c r="AU935" s="122"/>
      <c r="AV935" s="122"/>
      <c r="AW935" s="122"/>
      <c r="AX935" s="122"/>
      <c r="AY935" s="122"/>
    </row>
    <row r="936">
      <c r="A936" s="78"/>
      <c r="B936" s="78"/>
      <c r="C936" s="78"/>
      <c r="D936" s="78"/>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c r="AA936" s="122"/>
      <c r="AB936" s="122"/>
      <c r="AC936" s="122"/>
      <c r="AD936" s="122"/>
      <c r="AE936" s="122"/>
      <c r="AF936" s="122"/>
      <c r="AG936" s="122"/>
      <c r="AH936" s="122"/>
      <c r="AI936" s="122"/>
      <c r="AJ936" s="122"/>
      <c r="AK936" s="122"/>
      <c r="AL936" s="122"/>
      <c r="AM936" s="122"/>
      <c r="AN936" s="122"/>
      <c r="AO936" s="122"/>
      <c r="AP936" s="122"/>
      <c r="AQ936" s="122"/>
      <c r="AR936" s="122"/>
      <c r="AS936" s="122"/>
      <c r="AT936" s="122"/>
      <c r="AU936" s="122"/>
      <c r="AV936" s="122"/>
      <c r="AW936" s="122"/>
      <c r="AX936" s="122"/>
      <c r="AY936" s="122"/>
    </row>
    <row r="937">
      <c r="A937" s="78"/>
      <c r="B937" s="78"/>
      <c r="C937" s="78"/>
      <c r="D937" s="78"/>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c r="AA937" s="122"/>
      <c r="AB937" s="122"/>
      <c r="AC937" s="122"/>
      <c r="AD937" s="122"/>
      <c r="AE937" s="122"/>
      <c r="AF937" s="122"/>
      <c r="AG937" s="122"/>
      <c r="AH937" s="122"/>
      <c r="AI937" s="122"/>
      <c r="AJ937" s="122"/>
      <c r="AK937" s="122"/>
      <c r="AL937" s="122"/>
      <c r="AM937" s="122"/>
      <c r="AN937" s="122"/>
      <c r="AO937" s="122"/>
      <c r="AP937" s="122"/>
      <c r="AQ937" s="122"/>
      <c r="AR937" s="122"/>
      <c r="AS937" s="122"/>
      <c r="AT937" s="122"/>
      <c r="AU937" s="122"/>
      <c r="AV937" s="122"/>
      <c r="AW937" s="122"/>
      <c r="AX937" s="122"/>
      <c r="AY937" s="122"/>
    </row>
    <row r="938">
      <c r="A938" s="78"/>
      <c r="B938" s="78"/>
      <c r="C938" s="78"/>
      <c r="D938" s="78"/>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c r="AA938" s="122"/>
      <c r="AB938" s="122"/>
      <c r="AC938" s="122"/>
      <c r="AD938" s="122"/>
      <c r="AE938" s="122"/>
      <c r="AF938" s="122"/>
      <c r="AG938" s="122"/>
      <c r="AH938" s="122"/>
      <c r="AI938" s="122"/>
      <c r="AJ938" s="122"/>
      <c r="AK938" s="122"/>
      <c r="AL938" s="122"/>
      <c r="AM938" s="122"/>
      <c r="AN938" s="122"/>
      <c r="AO938" s="122"/>
      <c r="AP938" s="122"/>
      <c r="AQ938" s="122"/>
      <c r="AR938" s="122"/>
      <c r="AS938" s="122"/>
      <c r="AT938" s="122"/>
      <c r="AU938" s="122"/>
      <c r="AV938" s="122"/>
      <c r="AW938" s="122"/>
      <c r="AX938" s="122"/>
      <c r="AY938" s="122"/>
    </row>
    <row r="939">
      <c r="A939" s="78"/>
      <c r="B939" s="78"/>
      <c r="C939" s="78"/>
      <c r="D939" s="78"/>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c r="AA939" s="122"/>
      <c r="AB939" s="122"/>
      <c r="AC939" s="122"/>
      <c r="AD939" s="122"/>
      <c r="AE939" s="122"/>
      <c r="AF939" s="122"/>
      <c r="AG939" s="122"/>
      <c r="AH939" s="122"/>
      <c r="AI939" s="122"/>
      <c r="AJ939" s="122"/>
      <c r="AK939" s="122"/>
      <c r="AL939" s="122"/>
      <c r="AM939" s="122"/>
      <c r="AN939" s="122"/>
      <c r="AO939" s="122"/>
      <c r="AP939" s="122"/>
      <c r="AQ939" s="122"/>
      <c r="AR939" s="122"/>
      <c r="AS939" s="122"/>
      <c r="AT939" s="122"/>
      <c r="AU939" s="122"/>
      <c r="AV939" s="122"/>
      <c r="AW939" s="122"/>
      <c r="AX939" s="122"/>
      <c r="AY939" s="122"/>
    </row>
    <row r="940">
      <c r="A940" s="78"/>
      <c r="B940" s="78"/>
      <c r="C940" s="78"/>
      <c r="D940" s="78"/>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c r="AA940" s="122"/>
      <c r="AB940" s="122"/>
      <c r="AC940" s="122"/>
      <c r="AD940" s="122"/>
      <c r="AE940" s="122"/>
      <c r="AF940" s="122"/>
      <c r="AG940" s="122"/>
      <c r="AH940" s="122"/>
      <c r="AI940" s="122"/>
      <c r="AJ940" s="122"/>
      <c r="AK940" s="122"/>
      <c r="AL940" s="122"/>
      <c r="AM940" s="122"/>
      <c r="AN940" s="122"/>
      <c r="AO940" s="122"/>
      <c r="AP940" s="122"/>
      <c r="AQ940" s="122"/>
      <c r="AR940" s="122"/>
      <c r="AS940" s="122"/>
      <c r="AT940" s="122"/>
      <c r="AU940" s="122"/>
      <c r="AV940" s="122"/>
      <c r="AW940" s="122"/>
      <c r="AX940" s="122"/>
      <c r="AY940" s="122"/>
    </row>
    <row r="941">
      <c r="A941" s="78"/>
      <c r="B941" s="78"/>
      <c r="C941" s="78"/>
      <c r="D941" s="78"/>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c r="AA941" s="122"/>
      <c r="AB941" s="122"/>
      <c r="AC941" s="122"/>
      <c r="AD941" s="122"/>
      <c r="AE941" s="122"/>
      <c r="AF941" s="122"/>
      <c r="AG941" s="122"/>
      <c r="AH941" s="122"/>
      <c r="AI941" s="122"/>
      <c r="AJ941" s="122"/>
      <c r="AK941" s="122"/>
      <c r="AL941" s="122"/>
      <c r="AM941" s="122"/>
      <c r="AN941" s="122"/>
      <c r="AO941" s="122"/>
      <c r="AP941" s="122"/>
      <c r="AQ941" s="122"/>
      <c r="AR941" s="122"/>
      <c r="AS941" s="122"/>
      <c r="AT941" s="122"/>
      <c r="AU941" s="122"/>
      <c r="AV941" s="122"/>
      <c r="AW941" s="122"/>
      <c r="AX941" s="122"/>
      <c r="AY941" s="122"/>
    </row>
    <row r="942">
      <c r="A942" s="78"/>
      <c r="B942" s="78"/>
      <c r="C942" s="78"/>
      <c r="D942" s="78"/>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c r="AA942" s="122"/>
      <c r="AB942" s="122"/>
      <c r="AC942" s="122"/>
      <c r="AD942" s="122"/>
      <c r="AE942" s="122"/>
      <c r="AF942" s="122"/>
      <c r="AG942" s="122"/>
      <c r="AH942" s="122"/>
      <c r="AI942" s="122"/>
      <c r="AJ942" s="122"/>
      <c r="AK942" s="122"/>
      <c r="AL942" s="122"/>
      <c r="AM942" s="122"/>
      <c r="AN942" s="122"/>
      <c r="AO942" s="122"/>
      <c r="AP942" s="122"/>
      <c r="AQ942" s="122"/>
      <c r="AR942" s="122"/>
      <c r="AS942" s="122"/>
      <c r="AT942" s="122"/>
      <c r="AU942" s="122"/>
      <c r="AV942" s="122"/>
      <c r="AW942" s="122"/>
      <c r="AX942" s="122"/>
      <c r="AY942" s="122"/>
    </row>
    <row r="943">
      <c r="A943" s="78"/>
      <c r="B943" s="78"/>
      <c r="C943" s="78"/>
      <c r="D943" s="78"/>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c r="AA943" s="122"/>
      <c r="AB943" s="122"/>
      <c r="AC943" s="122"/>
      <c r="AD943" s="122"/>
      <c r="AE943" s="122"/>
      <c r="AF943" s="122"/>
      <c r="AG943" s="122"/>
      <c r="AH943" s="122"/>
      <c r="AI943" s="122"/>
      <c r="AJ943" s="122"/>
      <c r="AK943" s="122"/>
      <c r="AL943" s="122"/>
      <c r="AM943" s="122"/>
      <c r="AN943" s="122"/>
      <c r="AO943" s="122"/>
      <c r="AP943" s="122"/>
      <c r="AQ943" s="122"/>
      <c r="AR943" s="122"/>
      <c r="AS943" s="122"/>
      <c r="AT943" s="122"/>
      <c r="AU943" s="122"/>
      <c r="AV943" s="122"/>
      <c r="AW943" s="122"/>
      <c r="AX943" s="122"/>
      <c r="AY943" s="122"/>
    </row>
    <row r="944">
      <c r="A944" s="78"/>
      <c r="B944" s="78"/>
      <c r="C944" s="78"/>
      <c r="D944" s="78"/>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c r="AA944" s="122"/>
      <c r="AB944" s="122"/>
      <c r="AC944" s="122"/>
      <c r="AD944" s="122"/>
      <c r="AE944" s="122"/>
      <c r="AF944" s="122"/>
      <c r="AG944" s="122"/>
      <c r="AH944" s="122"/>
      <c r="AI944" s="122"/>
      <c r="AJ944" s="122"/>
      <c r="AK944" s="122"/>
      <c r="AL944" s="122"/>
      <c r="AM944" s="122"/>
      <c r="AN944" s="122"/>
      <c r="AO944" s="122"/>
      <c r="AP944" s="122"/>
      <c r="AQ944" s="122"/>
      <c r="AR944" s="122"/>
      <c r="AS944" s="122"/>
      <c r="AT944" s="122"/>
      <c r="AU944" s="122"/>
      <c r="AV944" s="122"/>
      <c r="AW944" s="122"/>
      <c r="AX944" s="122"/>
      <c r="AY944" s="122"/>
    </row>
    <row r="945">
      <c r="A945" s="78"/>
      <c r="B945" s="78"/>
      <c r="C945" s="78"/>
      <c r="D945" s="78"/>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c r="AA945" s="122"/>
      <c r="AB945" s="122"/>
      <c r="AC945" s="122"/>
      <c r="AD945" s="122"/>
      <c r="AE945" s="122"/>
      <c r="AF945" s="122"/>
      <c r="AG945" s="122"/>
      <c r="AH945" s="122"/>
      <c r="AI945" s="122"/>
      <c r="AJ945" s="122"/>
      <c r="AK945" s="122"/>
      <c r="AL945" s="122"/>
      <c r="AM945" s="122"/>
      <c r="AN945" s="122"/>
      <c r="AO945" s="122"/>
      <c r="AP945" s="122"/>
      <c r="AQ945" s="122"/>
      <c r="AR945" s="122"/>
      <c r="AS945" s="122"/>
      <c r="AT945" s="122"/>
      <c r="AU945" s="122"/>
      <c r="AV945" s="122"/>
      <c r="AW945" s="122"/>
      <c r="AX945" s="122"/>
      <c r="AY945" s="122"/>
    </row>
    <row r="946">
      <c r="A946" s="78"/>
      <c r="B946" s="78"/>
      <c r="C946" s="78"/>
      <c r="D946" s="78"/>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c r="AA946" s="122"/>
      <c r="AB946" s="122"/>
      <c r="AC946" s="122"/>
      <c r="AD946" s="122"/>
      <c r="AE946" s="122"/>
      <c r="AF946" s="122"/>
      <c r="AG946" s="122"/>
      <c r="AH946" s="122"/>
      <c r="AI946" s="122"/>
      <c r="AJ946" s="122"/>
      <c r="AK946" s="122"/>
      <c r="AL946" s="122"/>
      <c r="AM946" s="122"/>
      <c r="AN946" s="122"/>
      <c r="AO946" s="122"/>
      <c r="AP946" s="122"/>
      <c r="AQ946" s="122"/>
      <c r="AR946" s="122"/>
      <c r="AS946" s="122"/>
      <c r="AT946" s="122"/>
      <c r="AU946" s="122"/>
      <c r="AV946" s="122"/>
      <c r="AW946" s="122"/>
      <c r="AX946" s="122"/>
      <c r="AY946" s="122"/>
    </row>
    <row r="947">
      <c r="A947" s="78"/>
      <c r="B947" s="78"/>
      <c r="C947" s="78"/>
      <c r="D947" s="78"/>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c r="AA947" s="122"/>
      <c r="AB947" s="122"/>
      <c r="AC947" s="122"/>
      <c r="AD947" s="122"/>
      <c r="AE947" s="122"/>
      <c r="AF947" s="122"/>
      <c r="AG947" s="122"/>
      <c r="AH947" s="122"/>
      <c r="AI947" s="122"/>
      <c r="AJ947" s="122"/>
      <c r="AK947" s="122"/>
      <c r="AL947" s="122"/>
      <c r="AM947" s="122"/>
      <c r="AN947" s="122"/>
      <c r="AO947" s="122"/>
      <c r="AP947" s="122"/>
      <c r="AQ947" s="122"/>
      <c r="AR947" s="122"/>
      <c r="AS947" s="122"/>
      <c r="AT947" s="122"/>
      <c r="AU947" s="122"/>
      <c r="AV947" s="122"/>
      <c r="AW947" s="122"/>
      <c r="AX947" s="122"/>
      <c r="AY947" s="122"/>
    </row>
    <row r="948">
      <c r="A948" s="78"/>
      <c r="B948" s="78"/>
      <c r="C948" s="78"/>
      <c r="D948" s="78"/>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c r="AA948" s="122"/>
      <c r="AB948" s="122"/>
      <c r="AC948" s="122"/>
      <c r="AD948" s="122"/>
      <c r="AE948" s="122"/>
      <c r="AF948" s="122"/>
      <c r="AG948" s="122"/>
      <c r="AH948" s="122"/>
      <c r="AI948" s="122"/>
      <c r="AJ948" s="122"/>
      <c r="AK948" s="122"/>
      <c r="AL948" s="122"/>
      <c r="AM948" s="122"/>
      <c r="AN948" s="122"/>
      <c r="AO948" s="122"/>
      <c r="AP948" s="122"/>
      <c r="AQ948" s="122"/>
      <c r="AR948" s="122"/>
      <c r="AS948" s="122"/>
      <c r="AT948" s="122"/>
      <c r="AU948" s="122"/>
      <c r="AV948" s="122"/>
      <c r="AW948" s="122"/>
      <c r="AX948" s="122"/>
      <c r="AY948" s="122"/>
    </row>
    <row r="949">
      <c r="A949" s="78"/>
      <c r="B949" s="78"/>
      <c r="C949" s="78"/>
      <c r="D949" s="78"/>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c r="AA949" s="122"/>
      <c r="AB949" s="122"/>
      <c r="AC949" s="122"/>
      <c r="AD949" s="122"/>
      <c r="AE949" s="122"/>
      <c r="AF949" s="122"/>
      <c r="AG949" s="122"/>
      <c r="AH949" s="122"/>
      <c r="AI949" s="122"/>
      <c r="AJ949" s="122"/>
      <c r="AK949" s="122"/>
      <c r="AL949" s="122"/>
      <c r="AM949" s="122"/>
      <c r="AN949" s="122"/>
      <c r="AO949" s="122"/>
      <c r="AP949" s="122"/>
      <c r="AQ949" s="122"/>
      <c r="AR949" s="122"/>
      <c r="AS949" s="122"/>
      <c r="AT949" s="122"/>
      <c r="AU949" s="122"/>
      <c r="AV949" s="122"/>
      <c r="AW949" s="122"/>
      <c r="AX949" s="122"/>
      <c r="AY949" s="122"/>
    </row>
    <row r="950">
      <c r="A950" s="78"/>
      <c r="B950" s="78"/>
      <c r="C950" s="78"/>
      <c r="D950" s="78"/>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c r="AA950" s="122"/>
      <c r="AB950" s="122"/>
      <c r="AC950" s="122"/>
      <c r="AD950" s="122"/>
      <c r="AE950" s="122"/>
      <c r="AF950" s="122"/>
      <c r="AG950" s="122"/>
      <c r="AH950" s="122"/>
      <c r="AI950" s="122"/>
      <c r="AJ950" s="122"/>
      <c r="AK950" s="122"/>
      <c r="AL950" s="122"/>
      <c r="AM950" s="122"/>
      <c r="AN950" s="122"/>
      <c r="AO950" s="122"/>
      <c r="AP950" s="122"/>
      <c r="AQ950" s="122"/>
      <c r="AR950" s="122"/>
      <c r="AS950" s="122"/>
      <c r="AT950" s="122"/>
      <c r="AU950" s="122"/>
      <c r="AV950" s="122"/>
      <c r="AW950" s="122"/>
      <c r="AX950" s="122"/>
      <c r="AY950" s="122"/>
    </row>
    <row r="951">
      <c r="A951" s="78"/>
      <c r="B951" s="78"/>
      <c r="C951" s="78"/>
      <c r="D951" s="78"/>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c r="AA951" s="122"/>
      <c r="AB951" s="122"/>
      <c r="AC951" s="122"/>
      <c r="AD951" s="122"/>
      <c r="AE951" s="122"/>
      <c r="AF951" s="122"/>
      <c r="AG951" s="122"/>
      <c r="AH951" s="122"/>
      <c r="AI951" s="122"/>
      <c r="AJ951" s="122"/>
      <c r="AK951" s="122"/>
      <c r="AL951" s="122"/>
      <c r="AM951" s="122"/>
      <c r="AN951" s="122"/>
      <c r="AO951" s="122"/>
      <c r="AP951" s="122"/>
      <c r="AQ951" s="122"/>
      <c r="AR951" s="122"/>
      <c r="AS951" s="122"/>
      <c r="AT951" s="122"/>
      <c r="AU951" s="122"/>
      <c r="AV951" s="122"/>
      <c r="AW951" s="122"/>
      <c r="AX951" s="122"/>
      <c r="AY951" s="122"/>
    </row>
    <row r="952">
      <c r="A952" s="78"/>
      <c r="B952" s="78"/>
      <c r="C952" s="78"/>
      <c r="D952" s="78"/>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c r="AA952" s="122"/>
      <c r="AB952" s="122"/>
      <c r="AC952" s="122"/>
      <c r="AD952" s="122"/>
      <c r="AE952" s="122"/>
      <c r="AF952" s="122"/>
      <c r="AG952" s="122"/>
      <c r="AH952" s="122"/>
      <c r="AI952" s="122"/>
      <c r="AJ952" s="122"/>
      <c r="AK952" s="122"/>
      <c r="AL952" s="122"/>
      <c r="AM952" s="122"/>
      <c r="AN952" s="122"/>
      <c r="AO952" s="122"/>
      <c r="AP952" s="122"/>
      <c r="AQ952" s="122"/>
      <c r="AR952" s="122"/>
      <c r="AS952" s="122"/>
      <c r="AT952" s="122"/>
      <c r="AU952" s="122"/>
      <c r="AV952" s="122"/>
      <c r="AW952" s="122"/>
      <c r="AX952" s="122"/>
      <c r="AY952" s="122"/>
    </row>
    <row r="953">
      <c r="A953" s="78"/>
      <c r="B953" s="78"/>
      <c r="C953" s="78"/>
      <c r="D953" s="78"/>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c r="AA953" s="122"/>
      <c r="AB953" s="122"/>
      <c r="AC953" s="122"/>
      <c r="AD953" s="122"/>
      <c r="AE953" s="122"/>
      <c r="AF953" s="122"/>
      <c r="AG953" s="122"/>
      <c r="AH953" s="122"/>
      <c r="AI953" s="122"/>
      <c r="AJ953" s="122"/>
      <c r="AK953" s="122"/>
      <c r="AL953" s="122"/>
      <c r="AM953" s="122"/>
      <c r="AN953" s="122"/>
      <c r="AO953" s="122"/>
      <c r="AP953" s="122"/>
      <c r="AQ953" s="122"/>
      <c r="AR953" s="122"/>
      <c r="AS953" s="122"/>
      <c r="AT953" s="122"/>
      <c r="AU953" s="122"/>
      <c r="AV953" s="122"/>
      <c r="AW953" s="122"/>
      <c r="AX953" s="122"/>
      <c r="AY953" s="122"/>
    </row>
    <row r="954">
      <c r="A954" s="78"/>
      <c r="B954" s="78"/>
      <c r="C954" s="78"/>
      <c r="D954" s="78"/>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c r="AA954" s="122"/>
      <c r="AB954" s="122"/>
      <c r="AC954" s="122"/>
      <c r="AD954" s="122"/>
      <c r="AE954" s="122"/>
      <c r="AF954" s="122"/>
      <c r="AG954" s="122"/>
      <c r="AH954" s="122"/>
      <c r="AI954" s="122"/>
      <c r="AJ954" s="122"/>
      <c r="AK954" s="122"/>
      <c r="AL954" s="122"/>
      <c r="AM954" s="122"/>
      <c r="AN954" s="122"/>
      <c r="AO954" s="122"/>
      <c r="AP954" s="122"/>
      <c r="AQ954" s="122"/>
      <c r="AR954" s="122"/>
      <c r="AS954" s="122"/>
      <c r="AT954" s="122"/>
      <c r="AU954" s="122"/>
      <c r="AV954" s="122"/>
      <c r="AW954" s="122"/>
      <c r="AX954" s="122"/>
      <c r="AY954" s="122"/>
    </row>
    <row r="955">
      <c r="A955" s="78"/>
      <c r="B955" s="78"/>
      <c r="C955" s="78"/>
      <c r="D955" s="78"/>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c r="AA955" s="122"/>
      <c r="AB955" s="122"/>
      <c r="AC955" s="122"/>
      <c r="AD955" s="122"/>
      <c r="AE955" s="122"/>
      <c r="AF955" s="122"/>
      <c r="AG955" s="122"/>
      <c r="AH955" s="122"/>
      <c r="AI955" s="122"/>
      <c r="AJ955" s="122"/>
      <c r="AK955" s="122"/>
      <c r="AL955" s="122"/>
      <c r="AM955" s="122"/>
      <c r="AN955" s="122"/>
      <c r="AO955" s="122"/>
      <c r="AP955" s="122"/>
      <c r="AQ955" s="122"/>
      <c r="AR955" s="122"/>
      <c r="AS955" s="122"/>
      <c r="AT955" s="122"/>
      <c r="AU955" s="122"/>
      <c r="AV955" s="122"/>
      <c r="AW955" s="122"/>
      <c r="AX955" s="122"/>
      <c r="AY955" s="122"/>
    </row>
    <row r="956">
      <c r="A956" s="78"/>
      <c r="B956" s="78"/>
      <c r="C956" s="78"/>
      <c r="D956" s="78"/>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c r="AA956" s="122"/>
      <c r="AB956" s="122"/>
      <c r="AC956" s="122"/>
      <c r="AD956" s="122"/>
      <c r="AE956" s="122"/>
      <c r="AF956" s="122"/>
      <c r="AG956" s="122"/>
      <c r="AH956" s="122"/>
      <c r="AI956" s="122"/>
      <c r="AJ956" s="122"/>
      <c r="AK956" s="122"/>
      <c r="AL956" s="122"/>
      <c r="AM956" s="122"/>
      <c r="AN956" s="122"/>
      <c r="AO956" s="122"/>
      <c r="AP956" s="122"/>
      <c r="AQ956" s="122"/>
      <c r="AR956" s="122"/>
      <c r="AS956" s="122"/>
      <c r="AT956" s="122"/>
      <c r="AU956" s="122"/>
      <c r="AV956" s="122"/>
      <c r="AW956" s="122"/>
      <c r="AX956" s="122"/>
      <c r="AY956" s="122"/>
    </row>
    <row r="957">
      <c r="A957" s="78"/>
      <c r="B957" s="78"/>
      <c r="C957" s="78"/>
      <c r="D957" s="78"/>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c r="AA957" s="122"/>
      <c r="AB957" s="122"/>
      <c r="AC957" s="122"/>
      <c r="AD957" s="122"/>
      <c r="AE957" s="122"/>
      <c r="AF957" s="122"/>
      <c r="AG957" s="122"/>
      <c r="AH957" s="122"/>
      <c r="AI957" s="122"/>
      <c r="AJ957" s="122"/>
      <c r="AK957" s="122"/>
      <c r="AL957" s="122"/>
      <c r="AM957" s="122"/>
      <c r="AN957" s="122"/>
      <c r="AO957" s="122"/>
      <c r="AP957" s="122"/>
      <c r="AQ957" s="122"/>
      <c r="AR957" s="122"/>
      <c r="AS957" s="122"/>
      <c r="AT957" s="122"/>
      <c r="AU957" s="122"/>
      <c r="AV957" s="122"/>
      <c r="AW957" s="122"/>
      <c r="AX957" s="122"/>
      <c r="AY957" s="122"/>
    </row>
    <row r="958">
      <c r="A958" s="78"/>
      <c r="B958" s="78"/>
      <c r="C958" s="78"/>
      <c r="D958" s="78"/>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c r="AA958" s="122"/>
      <c r="AB958" s="122"/>
      <c r="AC958" s="122"/>
      <c r="AD958" s="122"/>
      <c r="AE958" s="122"/>
      <c r="AF958" s="122"/>
      <c r="AG958" s="122"/>
      <c r="AH958" s="122"/>
      <c r="AI958" s="122"/>
      <c r="AJ958" s="122"/>
      <c r="AK958" s="122"/>
      <c r="AL958" s="122"/>
      <c r="AM958" s="122"/>
      <c r="AN958" s="122"/>
      <c r="AO958" s="122"/>
      <c r="AP958" s="122"/>
      <c r="AQ958" s="122"/>
      <c r="AR958" s="122"/>
      <c r="AS958" s="122"/>
      <c r="AT958" s="122"/>
      <c r="AU958" s="122"/>
      <c r="AV958" s="122"/>
      <c r="AW958" s="122"/>
      <c r="AX958" s="122"/>
      <c r="AY958" s="122"/>
    </row>
    <row r="959">
      <c r="A959" s="78"/>
      <c r="B959" s="78"/>
      <c r="C959" s="78"/>
      <c r="D959" s="78"/>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c r="AA959" s="122"/>
      <c r="AB959" s="122"/>
      <c r="AC959" s="122"/>
      <c r="AD959" s="122"/>
      <c r="AE959" s="122"/>
      <c r="AF959" s="122"/>
      <c r="AG959" s="122"/>
      <c r="AH959" s="122"/>
      <c r="AI959" s="122"/>
      <c r="AJ959" s="122"/>
      <c r="AK959" s="122"/>
      <c r="AL959" s="122"/>
      <c r="AM959" s="122"/>
      <c r="AN959" s="122"/>
      <c r="AO959" s="122"/>
      <c r="AP959" s="122"/>
      <c r="AQ959" s="122"/>
      <c r="AR959" s="122"/>
      <c r="AS959" s="122"/>
      <c r="AT959" s="122"/>
      <c r="AU959" s="122"/>
      <c r="AV959" s="122"/>
      <c r="AW959" s="122"/>
      <c r="AX959" s="122"/>
      <c r="AY959" s="122"/>
    </row>
    <row r="960">
      <c r="A960" s="78"/>
      <c r="B960" s="78"/>
      <c r="C960" s="78"/>
      <c r="D960" s="78"/>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c r="AA960" s="122"/>
      <c r="AB960" s="122"/>
      <c r="AC960" s="122"/>
      <c r="AD960" s="122"/>
      <c r="AE960" s="122"/>
      <c r="AF960" s="122"/>
      <c r="AG960" s="122"/>
      <c r="AH960" s="122"/>
      <c r="AI960" s="122"/>
      <c r="AJ960" s="122"/>
      <c r="AK960" s="122"/>
      <c r="AL960" s="122"/>
      <c r="AM960" s="122"/>
      <c r="AN960" s="122"/>
      <c r="AO960" s="122"/>
      <c r="AP960" s="122"/>
      <c r="AQ960" s="122"/>
      <c r="AR960" s="122"/>
      <c r="AS960" s="122"/>
      <c r="AT960" s="122"/>
      <c r="AU960" s="122"/>
      <c r="AV960" s="122"/>
      <c r="AW960" s="122"/>
      <c r="AX960" s="122"/>
      <c r="AY960" s="122"/>
    </row>
    <row r="961">
      <c r="A961" s="78"/>
      <c r="B961" s="78"/>
      <c r="C961" s="78"/>
      <c r="D961" s="78"/>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c r="AA961" s="122"/>
      <c r="AB961" s="122"/>
      <c r="AC961" s="122"/>
      <c r="AD961" s="122"/>
      <c r="AE961" s="122"/>
      <c r="AF961" s="122"/>
      <c r="AG961" s="122"/>
      <c r="AH961" s="122"/>
      <c r="AI961" s="122"/>
      <c r="AJ961" s="122"/>
      <c r="AK961" s="122"/>
      <c r="AL961" s="122"/>
      <c r="AM961" s="122"/>
      <c r="AN961" s="122"/>
      <c r="AO961" s="122"/>
      <c r="AP961" s="122"/>
      <c r="AQ961" s="122"/>
      <c r="AR961" s="122"/>
      <c r="AS961" s="122"/>
      <c r="AT961" s="122"/>
      <c r="AU961" s="122"/>
      <c r="AV961" s="122"/>
      <c r="AW961" s="122"/>
      <c r="AX961" s="122"/>
      <c r="AY961" s="122"/>
    </row>
    <row r="962">
      <c r="A962" s="78"/>
      <c r="B962" s="78"/>
      <c r="C962" s="78"/>
      <c r="D962" s="78"/>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c r="AA962" s="122"/>
      <c r="AB962" s="122"/>
      <c r="AC962" s="122"/>
      <c r="AD962" s="122"/>
      <c r="AE962" s="122"/>
      <c r="AF962" s="122"/>
      <c r="AG962" s="122"/>
      <c r="AH962" s="122"/>
      <c r="AI962" s="122"/>
      <c r="AJ962" s="122"/>
      <c r="AK962" s="122"/>
      <c r="AL962" s="122"/>
      <c r="AM962" s="122"/>
      <c r="AN962" s="122"/>
      <c r="AO962" s="122"/>
      <c r="AP962" s="122"/>
      <c r="AQ962" s="122"/>
      <c r="AR962" s="122"/>
      <c r="AS962" s="122"/>
      <c r="AT962" s="122"/>
      <c r="AU962" s="122"/>
      <c r="AV962" s="122"/>
      <c r="AW962" s="122"/>
      <c r="AX962" s="122"/>
      <c r="AY962" s="122"/>
    </row>
    <row r="963">
      <c r="A963" s="78"/>
      <c r="B963" s="78"/>
      <c r="C963" s="78"/>
      <c r="D963" s="78"/>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c r="AA963" s="122"/>
      <c r="AB963" s="122"/>
      <c r="AC963" s="122"/>
      <c r="AD963" s="122"/>
      <c r="AE963" s="122"/>
      <c r="AF963" s="122"/>
      <c r="AG963" s="122"/>
      <c r="AH963" s="122"/>
      <c r="AI963" s="122"/>
      <c r="AJ963" s="122"/>
      <c r="AK963" s="122"/>
      <c r="AL963" s="122"/>
      <c r="AM963" s="122"/>
      <c r="AN963" s="122"/>
      <c r="AO963" s="122"/>
      <c r="AP963" s="122"/>
      <c r="AQ963" s="122"/>
      <c r="AR963" s="122"/>
      <c r="AS963" s="122"/>
      <c r="AT963" s="122"/>
      <c r="AU963" s="122"/>
      <c r="AV963" s="122"/>
      <c r="AW963" s="122"/>
      <c r="AX963" s="122"/>
      <c r="AY963" s="122"/>
    </row>
    <row r="964">
      <c r="A964" s="78"/>
      <c r="B964" s="78"/>
      <c r="C964" s="78"/>
      <c r="D964" s="78"/>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c r="AA964" s="122"/>
      <c r="AB964" s="122"/>
      <c r="AC964" s="122"/>
      <c r="AD964" s="122"/>
      <c r="AE964" s="122"/>
      <c r="AF964" s="122"/>
      <c r="AG964" s="122"/>
      <c r="AH964" s="122"/>
      <c r="AI964" s="122"/>
      <c r="AJ964" s="122"/>
      <c r="AK964" s="122"/>
      <c r="AL964" s="122"/>
      <c r="AM964" s="122"/>
      <c r="AN964" s="122"/>
      <c r="AO964" s="122"/>
      <c r="AP964" s="122"/>
      <c r="AQ964" s="122"/>
      <c r="AR964" s="122"/>
      <c r="AS964" s="122"/>
      <c r="AT964" s="122"/>
      <c r="AU964" s="122"/>
      <c r="AV964" s="122"/>
      <c r="AW964" s="122"/>
      <c r="AX964" s="122"/>
      <c r="AY964" s="122"/>
    </row>
    <row r="965">
      <c r="A965" s="78"/>
      <c r="B965" s="78"/>
      <c r="C965" s="78"/>
      <c r="D965" s="78"/>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c r="AA965" s="122"/>
      <c r="AB965" s="122"/>
      <c r="AC965" s="122"/>
      <c r="AD965" s="122"/>
      <c r="AE965" s="122"/>
      <c r="AF965" s="122"/>
      <c r="AG965" s="122"/>
      <c r="AH965" s="122"/>
      <c r="AI965" s="122"/>
      <c r="AJ965" s="122"/>
      <c r="AK965" s="122"/>
      <c r="AL965" s="122"/>
      <c r="AM965" s="122"/>
      <c r="AN965" s="122"/>
      <c r="AO965" s="122"/>
      <c r="AP965" s="122"/>
      <c r="AQ965" s="122"/>
      <c r="AR965" s="122"/>
      <c r="AS965" s="122"/>
      <c r="AT965" s="122"/>
      <c r="AU965" s="122"/>
      <c r="AV965" s="122"/>
      <c r="AW965" s="122"/>
      <c r="AX965" s="122"/>
      <c r="AY965" s="122"/>
    </row>
    <row r="966">
      <c r="A966" s="78"/>
      <c r="B966" s="78"/>
      <c r="C966" s="78"/>
      <c r="D966" s="78"/>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c r="AA966" s="122"/>
      <c r="AB966" s="122"/>
      <c r="AC966" s="122"/>
      <c r="AD966" s="122"/>
      <c r="AE966" s="122"/>
      <c r="AF966" s="122"/>
      <c r="AG966" s="122"/>
      <c r="AH966" s="122"/>
      <c r="AI966" s="122"/>
      <c r="AJ966" s="122"/>
      <c r="AK966" s="122"/>
      <c r="AL966" s="122"/>
      <c r="AM966" s="122"/>
      <c r="AN966" s="122"/>
      <c r="AO966" s="122"/>
      <c r="AP966" s="122"/>
      <c r="AQ966" s="122"/>
      <c r="AR966" s="122"/>
      <c r="AS966" s="122"/>
      <c r="AT966" s="122"/>
      <c r="AU966" s="122"/>
      <c r="AV966" s="122"/>
      <c r="AW966" s="122"/>
      <c r="AX966" s="122"/>
      <c r="AY966" s="122"/>
    </row>
    <row r="967">
      <c r="A967" s="78"/>
      <c r="B967" s="78"/>
      <c r="C967" s="78"/>
      <c r="D967" s="78"/>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c r="AA967" s="122"/>
      <c r="AB967" s="122"/>
      <c r="AC967" s="122"/>
      <c r="AD967" s="122"/>
      <c r="AE967" s="122"/>
      <c r="AF967" s="122"/>
      <c r="AG967" s="122"/>
      <c r="AH967" s="122"/>
      <c r="AI967" s="122"/>
      <c r="AJ967" s="122"/>
      <c r="AK967" s="122"/>
      <c r="AL967" s="122"/>
      <c r="AM967" s="122"/>
      <c r="AN967" s="122"/>
      <c r="AO967" s="122"/>
      <c r="AP967" s="122"/>
      <c r="AQ967" s="122"/>
      <c r="AR967" s="122"/>
      <c r="AS967" s="122"/>
      <c r="AT967" s="122"/>
      <c r="AU967" s="122"/>
      <c r="AV967" s="122"/>
      <c r="AW967" s="122"/>
      <c r="AX967" s="122"/>
      <c r="AY967" s="122"/>
    </row>
    <row r="968">
      <c r="A968" s="78"/>
      <c r="B968" s="78"/>
      <c r="C968" s="78"/>
      <c r="D968" s="78"/>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c r="AA968" s="122"/>
      <c r="AB968" s="122"/>
      <c r="AC968" s="122"/>
      <c r="AD968" s="122"/>
      <c r="AE968" s="122"/>
      <c r="AF968" s="122"/>
      <c r="AG968" s="122"/>
      <c r="AH968" s="122"/>
      <c r="AI968" s="122"/>
      <c r="AJ968" s="122"/>
      <c r="AK968" s="122"/>
      <c r="AL968" s="122"/>
      <c r="AM968" s="122"/>
      <c r="AN968" s="122"/>
      <c r="AO968" s="122"/>
      <c r="AP968" s="122"/>
      <c r="AQ968" s="122"/>
      <c r="AR968" s="122"/>
      <c r="AS968" s="122"/>
      <c r="AT968" s="122"/>
      <c r="AU968" s="122"/>
      <c r="AV968" s="122"/>
      <c r="AW968" s="122"/>
      <c r="AX968" s="122"/>
      <c r="AY968" s="122"/>
    </row>
    <row r="969">
      <c r="A969" s="78"/>
      <c r="B969" s="78"/>
      <c r="C969" s="78"/>
      <c r="D969" s="78"/>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c r="AA969" s="122"/>
      <c r="AB969" s="122"/>
      <c r="AC969" s="122"/>
      <c r="AD969" s="122"/>
      <c r="AE969" s="122"/>
      <c r="AF969" s="122"/>
      <c r="AG969" s="122"/>
      <c r="AH969" s="122"/>
      <c r="AI969" s="122"/>
      <c r="AJ969" s="122"/>
      <c r="AK969" s="122"/>
      <c r="AL969" s="122"/>
      <c r="AM969" s="122"/>
      <c r="AN969" s="122"/>
      <c r="AO969" s="122"/>
      <c r="AP969" s="122"/>
      <c r="AQ969" s="122"/>
      <c r="AR969" s="122"/>
      <c r="AS969" s="122"/>
      <c r="AT969" s="122"/>
      <c r="AU969" s="122"/>
      <c r="AV969" s="122"/>
      <c r="AW969" s="122"/>
      <c r="AX969" s="122"/>
      <c r="AY969" s="122"/>
    </row>
    <row r="970">
      <c r="A970" s="78"/>
      <c r="B970" s="78"/>
      <c r="C970" s="78"/>
      <c r="D970" s="78"/>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c r="AA970" s="122"/>
      <c r="AB970" s="122"/>
      <c r="AC970" s="122"/>
      <c r="AD970" s="122"/>
      <c r="AE970" s="122"/>
      <c r="AF970" s="122"/>
      <c r="AG970" s="122"/>
      <c r="AH970" s="122"/>
      <c r="AI970" s="122"/>
      <c r="AJ970" s="122"/>
      <c r="AK970" s="122"/>
      <c r="AL970" s="122"/>
      <c r="AM970" s="122"/>
      <c r="AN970" s="122"/>
      <c r="AO970" s="122"/>
      <c r="AP970" s="122"/>
      <c r="AQ970" s="122"/>
      <c r="AR970" s="122"/>
      <c r="AS970" s="122"/>
      <c r="AT970" s="122"/>
      <c r="AU970" s="122"/>
      <c r="AV970" s="122"/>
      <c r="AW970" s="122"/>
      <c r="AX970" s="122"/>
      <c r="AY970" s="122"/>
    </row>
    <row r="971">
      <c r="A971" s="78"/>
      <c r="B971" s="78"/>
      <c r="C971" s="78"/>
      <c r="D971" s="78"/>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c r="AA971" s="122"/>
      <c r="AB971" s="122"/>
      <c r="AC971" s="122"/>
      <c r="AD971" s="122"/>
      <c r="AE971" s="122"/>
      <c r="AF971" s="122"/>
      <c r="AG971" s="122"/>
      <c r="AH971" s="122"/>
      <c r="AI971" s="122"/>
      <c r="AJ971" s="122"/>
      <c r="AK971" s="122"/>
      <c r="AL971" s="122"/>
      <c r="AM971" s="122"/>
      <c r="AN971" s="122"/>
      <c r="AO971" s="122"/>
      <c r="AP971" s="122"/>
      <c r="AQ971" s="122"/>
      <c r="AR971" s="122"/>
      <c r="AS971" s="122"/>
      <c r="AT971" s="122"/>
      <c r="AU971" s="122"/>
      <c r="AV971" s="122"/>
      <c r="AW971" s="122"/>
      <c r="AX971" s="122"/>
      <c r="AY971" s="122"/>
    </row>
    <row r="972">
      <c r="A972" s="78"/>
      <c r="B972" s="78"/>
      <c r="C972" s="78"/>
      <c r="D972" s="78"/>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c r="AA972" s="122"/>
      <c r="AB972" s="122"/>
      <c r="AC972" s="122"/>
      <c r="AD972" s="122"/>
      <c r="AE972" s="122"/>
      <c r="AF972" s="122"/>
      <c r="AG972" s="122"/>
      <c r="AH972" s="122"/>
      <c r="AI972" s="122"/>
      <c r="AJ972" s="122"/>
      <c r="AK972" s="122"/>
      <c r="AL972" s="122"/>
      <c r="AM972" s="122"/>
      <c r="AN972" s="122"/>
      <c r="AO972" s="122"/>
      <c r="AP972" s="122"/>
      <c r="AQ972" s="122"/>
      <c r="AR972" s="122"/>
      <c r="AS972" s="122"/>
      <c r="AT972" s="122"/>
      <c r="AU972" s="122"/>
      <c r="AV972" s="122"/>
      <c r="AW972" s="122"/>
      <c r="AX972" s="122"/>
      <c r="AY972" s="122"/>
    </row>
    <row r="973">
      <c r="A973" s="78"/>
      <c r="B973" s="78"/>
      <c r="C973" s="78"/>
      <c r="D973" s="78"/>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c r="AA973" s="122"/>
      <c r="AB973" s="122"/>
      <c r="AC973" s="122"/>
      <c r="AD973" s="122"/>
      <c r="AE973" s="122"/>
      <c r="AF973" s="122"/>
      <c r="AG973" s="122"/>
      <c r="AH973" s="122"/>
      <c r="AI973" s="122"/>
      <c r="AJ973" s="122"/>
      <c r="AK973" s="122"/>
      <c r="AL973" s="122"/>
      <c r="AM973" s="122"/>
      <c r="AN973" s="122"/>
      <c r="AO973" s="122"/>
      <c r="AP973" s="122"/>
      <c r="AQ973" s="122"/>
      <c r="AR973" s="122"/>
      <c r="AS973" s="122"/>
      <c r="AT973" s="122"/>
      <c r="AU973" s="122"/>
      <c r="AV973" s="122"/>
      <c r="AW973" s="122"/>
      <c r="AX973" s="122"/>
      <c r="AY973" s="122"/>
    </row>
    <row r="974">
      <c r="A974" s="78"/>
      <c r="B974" s="78"/>
      <c r="C974" s="78"/>
      <c r="D974" s="78"/>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c r="AA974" s="122"/>
      <c r="AB974" s="122"/>
      <c r="AC974" s="122"/>
      <c r="AD974" s="122"/>
      <c r="AE974" s="122"/>
      <c r="AF974" s="122"/>
      <c r="AG974" s="122"/>
      <c r="AH974" s="122"/>
      <c r="AI974" s="122"/>
      <c r="AJ974" s="122"/>
      <c r="AK974" s="122"/>
      <c r="AL974" s="122"/>
      <c r="AM974" s="122"/>
      <c r="AN974" s="122"/>
      <c r="AO974" s="122"/>
      <c r="AP974" s="122"/>
      <c r="AQ974" s="122"/>
      <c r="AR974" s="122"/>
      <c r="AS974" s="122"/>
      <c r="AT974" s="122"/>
      <c r="AU974" s="122"/>
      <c r="AV974" s="122"/>
      <c r="AW974" s="122"/>
      <c r="AX974" s="122"/>
      <c r="AY974" s="122"/>
    </row>
    <row r="975">
      <c r="A975" s="78"/>
      <c r="B975" s="78"/>
      <c r="C975" s="78"/>
      <c r="D975" s="78"/>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c r="AA975" s="122"/>
      <c r="AB975" s="122"/>
      <c r="AC975" s="122"/>
      <c r="AD975" s="122"/>
      <c r="AE975" s="122"/>
      <c r="AF975" s="122"/>
      <c r="AG975" s="122"/>
      <c r="AH975" s="122"/>
      <c r="AI975" s="122"/>
      <c r="AJ975" s="122"/>
      <c r="AK975" s="122"/>
      <c r="AL975" s="122"/>
      <c r="AM975" s="122"/>
      <c r="AN975" s="122"/>
      <c r="AO975" s="122"/>
      <c r="AP975" s="122"/>
      <c r="AQ975" s="122"/>
      <c r="AR975" s="122"/>
      <c r="AS975" s="122"/>
      <c r="AT975" s="122"/>
      <c r="AU975" s="122"/>
      <c r="AV975" s="122"/>
      <c r="AW975" s="122"/>
      <c r="AX975" s="122"/>
      <c r="AY975" s="122"/>
    </row>
    <row r="976">
      <c r="A976" s="78"/>
      <c r="B976" s="78"/>
      <c r="C976" s="78"/>
      <c r="D976" s="78"/>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c r="AA976" s="122"/>
      <c r="AB976" s="122"/>
      <c r="AC976" s="122"/>
      <c r="AD976" s="122"/>
      <c r="AE976" s="122"/>
      <c r="AF976" s="122"/>
      <c r="AG976" s="122"/>
      <c r="AH976" s="122"/>
      <c r="AI976" s="122"/>
      <c r="AJ976" s="122"/>
      <c r="AK976" s="122"/>
      <c r="AL976" s="122"/>
      <c r="AM976" s="122"/>
      <c r="AN976" s="122"/>
      <c r="AO976" s="122"/>
      <c r="AP976" s="122"/>
      <c r="AQ976" s="122"/>
      <c r="AR976" s="122"/>
      <c r="AS976" s="122"/>
      <c r="AT976" s="122"/>
      <c r="AU976" s="122"/>
      <c r="AV976" s="122"/>
      <c r="AW976" s="122"/>
      <c r="AX976" s="122"/>
      <c r="AY976" s="122"/>
    </row>
    <row r="977">
      <c r="A977" s="78"/>
      <c r="B977" s="78"/>
      <c r="C977" s="78"/>
      <c r="D977" s="78"/>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c r="AA977" s="122"/>
      <c r="AB977" s="122"/>
      <c r="AC977" s="122"/>
      <c r="AD977" s="122"/>
      <c r="AE977" s="122"/>
      <c r="AF977" s="122"/>
      <c r="AG977" s="122"/>
      <c r="AH977" s="122"/>
      <c r="AI977" s="122"/>
      <c r="AJ977" s="122"/>
      <c r="AK977" s="122"/>
      <c r="AL977" s="122"/>
      <c r="AM977" s="122"/>
      <c r="AN977" s="122"/>
      <c r="AO977" s="122"/>
      <c r="AP977" s="122"/>
      <c r="AQ977" s="122"/>
      <c r="AR977" s="122"/>
      <c r="AS977" s="122"/>
      <c r="AT977" s="122"/>
      <c r="AU977" s="122"/>
      <c r="AV977" s="122"/>
      <c r="AW977" s="122"/>
      <c r="AX977" s="122"/>
      <c r="AY977" s="122"/>
    </row>
    <row r="978">
      <c r="A978" s="78"/>
      <c r="B978" s="78"/>
      <c r="C978" s="78"/>
      <c r="D978" s="78"/>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c r="AA978" s="122"/>
      <c r="AB978" s="122"/>
      <c r="AC978" s="122"/>
      <c r="AD978" s="122"/>
      <c r="AE978" s="122"/>
      <c r="AF978" s="122"/>
      <c r="AG978" s="122"/>
      <c r="AH978" s="122"/>
      <c r="AI978" s="122"/>
      <c r="AJ978" s="122"/>
      <c r="AK978" s="122"/>
      <c r="AL978" s="122"/>
      <c r="AM978" s="122"/>
      <c r="AN978" s="122"/>
      <c r="AO978" s="122"/>
      <c r="AP978" s="122"/>
      <c r="AQ978" s="122"/>
      <c r="AR978" s="122"/>
      <c r="AS978" s="122"/>
      <c r="AT978" s="122"/>
      <c r="AU978" s="122"/>
      <c r="AV978" s="122"/>
      <c r="AW978" s="122"/>
      <c r="AX978" s="122"/>
      <c r="AY978" s="122"/>
    </row>
    <row r="979">
      <c r="A979" s="78"/>
      <c r="B979" s="78"/>
      <c r="C979" s="78"/>
      <c r="D979" s="78"/>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c r="AA979" s="122"/>
      <c r="AB979" s="122"/>
      <c r="AC979" s="122"/>
      <c r="AD979" s="122"/>
      <c r="AE979" s="122"/>
      <c r="AF979" s="122"/>
      <c r="AG979" s="122"/>
      <c r="AH979" s="122"/>
      <c r="AI979" s="122"/>
      <c r="AJ979" s="122"/>
      <c r="AK979" s="122"/>
      <c r="AL979" s="122"/>
      <c r="AM979" s="122"/>
      <c r="AN979" s="122"/>
      <c r="AO979" s="122"/>
      <c r="AP979" s="122"/>
      <c r="AQ979" s="122"/>
      <c r="AR979" s="122"/>
      <c r="AS979" s="122"/>
      <c r="AT979" s="122"/>
      <c r="AU979" s="122"/>
      <c r="AV979" s="122"/>
      <c r="AW979" s="122"/>
      <c r="AX979" s="122"/>
      <c r="AY979" s="122"/>
    </row>
    <row r="980">
      <c r="A980" s="78"/>
      <c r="B980" s="78"/>
      <c r="C980" s="78"/>
      <c r="D980" s="78"/>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c r="AA980" s="122"/>
      <c r="AB980" s="122"/>
      <c r="AC980" s="122"/>
      <c r="AD980" s="122"/>
      <c r="AE980" s="122"/>
      <c r="AF980" s="122"/>
      <c r="AG980" s="122"/>
      <c r="AH980" s="122"/>
      <c r="AI980" s="122"/>
      <c r="AJ980" s="122"/>
      <c r="AK980" s="122"/>
      <c r="AL980" s="122"/>
      <c r="AM980" s="122"/>
      <c r="AN980" s="122"/>
      <c r="AO980" s="122"/>
      <c r="AP980" s="122"/>
      <c r="AQ980" s="122"/>
      <c r="AR980" s="122"/>
      <c r="AS980" s="122"/>
      <c r="AT980" s="122"/>
      <c r="AU980" s="122"/>
      <c r="AV980" s="122"/>
      <c r="AW980" s="122"/>
      <c r="AX980" s="122"/>
      <c r="AY980" s="122"/>
    </row>
    <row r="981">
      <c r="A981" s="78"/>
      <c r="B981" s="78"/>
      <c r="C981" s="78"/>
      <c r="D981" s="78"/>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c r="AA981" s="122"/>
      <c r="AB981" s="122"/>
      <c r="AC981" s="122"/>
      <c r="AD981" s="122"/>
      <c r="AE981" s="122"/>
      <c r="AF981" s="122"/>
      <c r="AG981" s="122"/>
      <c r="AH981" s="122"/>
      <c r="AI981" s="122"/>
      <c r="AJ981" s="122"/>
      <c r="AK981" s="122"/>
      <c r="AL981" s="122"/>
      <c r="AM981" s="122"/>
      <c r="AN981" s="122"/>
      <c r="AO981" s="122"/>
      <c r="AP981" s="122"/>
      <c r="AQ981" s="122"/>
      <c r="AR981" s="122"/>
      <c r="AS981" s="122"/>
      <c r="AT981" s="122"/>
      <c r="AU981" s="122"/>
      <c r="AV981" s="122"/>
      <c r="AW981" s="122"/>
      <c r="AX981" s="122"/>
      <c r="AY981" s="122"/>
    </row>
    <row r="982">
      <c r="A982" s="78"/>
      <c r="B982" s="78"/>
      <c r="C982" s="78"/>
      <c r="D982" s="78"/>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c r="AA982" s="122"/>
      <c r="AB982" s="122"/>
      <c r="AC982" s="122"/>
      <c r="AD982" s="122"/>
      <c r="AE982" s="122"/>
      <c r="AF982" s="122"/>
      <c r="AG982" s="122"/>
      <c r="AH982" s="122"/>
      <c r="AI982" s="122"/>
      <c r="AJ982" s="122"/>
      <c r="AK982" s="122"/>
      <c r="AL982" s="122"/>
      <c r="AM982" s="122"/>
      <c r="AN982" s="122"/>
      <c r="AO982" s="122"/>
      <c r="AP982" s="122"/>
      <c r="AQ982" s="122"/>
      <c r="AR982" s="122"/>
      <c r="AS982" s="122"/>
      <c r="AT982" s="122"/>
      <c r="AU982" s="122"/>
      <c r="AV982" s="122"/>
      <c r="AW982" s="122"/>
      <c r="AX982" s="122"/>
      <c r="AY982" s="122"/>
    </row>
    <row r="983">
      <c r="A983" s="78"/>
      <c r="B983" s="78"/>
      <c r="C983" s="78"/>
      <c r="D983" s="78"/>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c r="AA983" s="122"/>
      <c r="AB983" s="122"/>
      <c r="AC983" s="122"/>
      <c r="AD983" s="122"/>
      <c r="AE983" s="122"/>
      <c r="AF983" s="122"/>
      <c r="AG983" s="122"/>
      <c r="AH983" s="122"/>
      <c r="AI983" s="122"/>
      <c r="AJ983" s="122"/>
      <c r="AK983" s="122"/>
      <c r="AL983" s="122"/>
      <c r="AM983" s="122"/>
      <c r="AN983" s="122"/>
      <c r="AO983" s="122"/>
      <c r="AP983" s="122"/>
      <c r="AQ983" s="122"/>
      <c r="AR983" s="122"/>
      <c r="AS983" s="122"/>
      <c r="AT983" s="122"/>
      <c r="AU983" s="122"/>
      <c r="AV983" s="122"/>
      <c r="AW983" s="122"/>
      <c r="AX983" s="122"/>
      <c r="AY983" s="122"/>
    </row>
    <row r="984">
      <c r="A984" s="78"/>
      <c r="B984" s="78"/>
      <c r="C984" s="78"/>
      <c r="D984" s="78"/>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c r="AA984" s="122"/>
      <c r="AB984" s="122"/>
      <c r="AC984" s="122"/>
      <c r="AD984" s="122"/>
      <c r="AE984" s="122"/>
      <c r="AF984" s="122"/>
      <c r="AG984" s="122"/>
      <c r="AH984" s="122"/>
      <c r="AI984" s="122"/>
      <c r="AJ984" s="122"/>
      <c r="AK984" s="122"/>
      <c r="AL984" s="122"/>
      <c r="AM984" s="122"/>
      <c r="AN984" s="122"/>
      <c r="AO984" s="122"/>
      <c r="AP984" s="122"/>
      <c r="AQ984" s="122"/>
      <c r="AR984" s="122"/>
      <c r="AS984" s="122"/>
      <c r="AT984" s="122"/>
      <c r="AU984" s="122"/>
      <c r="AV984" s="122"/>
      <c r="AW984" s="122"/>
      <c r="AX984" s="122"/>
      <c r="AY984" s="122"/>
    </row>
    <row r="985">
      <c r="A985" s="78"/>
      <c r="B985" s="78"/>
      <c r="C985" s="78"/>
      <c r="D985" s="78"/>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c r="AA985" s="122"/>
      <c r="AB985" s="122"/>
      <c r="AC985" s="122"/>
      <c r="AD985" s="122"/>
      <c r="AE985" s="122"/>
      <c r="AF985" s="122"/>
      <c r="AG985" s="122"/>
      <c r="AH985" s="122"/>
      <c r="AI985" s="122"/>
      <c r="AJ985" s="122"/>
      <c r="AK985" s="122"/>
      <c r="AL985" s="122"/>
      <c r="AM985" s="122"/>
      <c r="AN985" s="122"/>
      <c r="AO985" s="122"/>
      <c r="AP985" s="122"/>
      <c r="AQ985" s="122"/>
      <c r="AR985" s="122"/>
      <c r="AS985" s="122"/>
      <c r="AT985" s="122"/>
      <c r="AU985" s="122"/>
      <c r="AV985" s="122"/>
      <c r="AW985" s="122"/>
      <c r="AX985" s="122"/>
      <c r="AY985" s="122"/>
    </row>
    <row r="986">
      <c r="A986" s="78"/>
      <c r="B986" s="78"/>
      <c r="C986" s="78"/>
      <c r="D986" s="78"/>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c r="AA986" s="122"/>
      <c r="AB986" s="122"/>
      <c r="AC986" s="122"/>
      <c r="AD986" s="122"/>
      <c r="AE986" s="122"/>
      <c r="AF986" s="122"/>
      <c r="AG986" s="122"/>
      <c r="AH986" s="122"/>
      <c r="AI986" s="122"/>
      <c r="AJ986" s="122"/>
      <c r="AK986" s="122"/>
      <c r="AL986" s="122"/>
      <c r="AM986" s="122"/>
      <c r="AN986" s="122"/>
      <c r="AO986" s="122"/>
      <c r="AP986" s="122"/>
      <c r="AQ986" s="122"/>
      <c r="AR986" s="122"/>
      <c r="AS986" s="122"/>
      <c r="AT986" s="122"/>
      <c r="AU986" s="122"/>
      <c r="AV986" s="122"/>
      <c r="AW986" s="122"/>
      <c r="AX986" s="122"/>
      <c r="AY986" s="122"/>
    </row>
    <row r="987">
      <c r="A987" s="78"/>
      <c r="B987" s="78"/>
      <c r="C987" s="78"/>
      <c r="D987" s="78"/>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c r="AA987" s="122"/>
      <c r="AB987" s="122"/>
      <c r="AC987" s="122"/>
      <c r="AD987" s="122"/>
      <c r="AE987" s="122"/>
      <c r="AF987" s="122"/>
      <c r="AG987" s="122"/>
      <c r="AH987" s="122"/>
      <c r="AI987" s="122"/>
      <c r="AJ987" s="122"/>
      <c r="AK987" s="122"/>
      <c r="AL987" s="122"/>
      <c r="AM987" s="122"/>
      <c r="AN987" s="122"/>
      <c r="AO987" s="122"/>
      <c r="AP987" s="122"/>
      <c r="AQ987" s="122"/>
      <c r="AR987" s="122"/>
      <c r="AS987" s="122"/>
      <c r="AT987" s="122"/>
      <c r="AU987" s="122"/>
      <c r="AV987" s="122"/>
      <c r="AW987" s="122"/>
      <c r="AX987" s="122"/>
      <c r="AY987" s="122"/>
    </row>
    <row r="988">
      <c r="A988" s="78"/>
      <c r="B988" s="78"/>
      <c r="C988" s="78"/>
      <c r="D988" s="78"/>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c r="AA988" s="122"/>
      <c r="AB988" s="122"/>
      <c r="AC988" s="122"/>
      <c r="AD988" s="122"/>
      <c r="AE988" s="122"/>
      <c r="AF988" s="122"/>
      <c r="AG988" s="122"/>
      <c r="AH988" s="122"/>
      <c r="AI988" s="122"/>
      <c r="AJ988" s="122"/>
      <c r="AK988" s="122"/>
      <c r="AL988" s="122"/>
      <c r="AM988" s="122"/>
      <c r="AN988" s="122"/>
      <c r="AO988" s="122"/>
      <c r="AP988" s="122"/>
      <c r="AQ988" s="122"/>
      <c r="AR988" s="122"/>
      <c r="AS988" s="122"/>
      <c r="AT988" s="122"/>
      <c r="AU988" s="122"/>
      <c r="AV988" s="122"/>
      <c r="AW988" s="122"/>
      <c r="AX988" s="122"/>
      <c r="AY988" s="122"/>
    </row>
    <row r="989">
      <c r="A989" s="78"/>
      <c r="B989" s="78"/>
      <c r="C989" s="78"/>
      <c r="D989" s="78"/>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c r="AA989" s="122"/>
      <c r="AB989" s="122"/>
      <c r="AC989" s="122"/>
      <c r="AD989" s="122"/>
      <c r="AE989" s="122"/>
      <c r="AF989" s="122"/>
      <c r="AG989" s="122"/>
      <c r="AH989" s="122"/>
      <c r="AI989" s="122"/>
      <c r="AJ989" s="122"/>
      <c r="AK989" s="122"/>
      <c r="AL989" s="122"/>
      <c r="AM989" s="122"/>
      <c r="AN989" s="122"/>
      <c r="AO989" s="122"/>
      <c r="AP989" s="122"/>
      <c r="AQ989" s="122"/>
      <c r="AR989" s="122"/>
      <c r="AS989" s="122"/>
      <c r="AT989" s="122"/>
      <c r="AU989" s="122"/>
      <c r="AV989" s="122"/>
      <c r="AW989" s="122"/>
      <c r="AX989" s="122"/>
      <c r="AY989" s="122"/>
    </row>
    <row r="990">
      <c r="A990" s="78"/>
      <c r="B990" s="78"/>
      <c r="C990" s="78"/>
      <c r="D990" s="78"/>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c r="AA990" s="122"/>
      <c r="AB990" s="122"/>
      <c r="AC990" s="122"/>
      <c r="AD990" s="122"/>
      <c r="AE990" s="122"/>
      <c r="AF990" s="122"/>
      <c r="AG990" s="122"/>
      <c r="AH990" s="122"/>
      <c r="AI990" s="122"/>
      <c r="AJ990" s="122"/>
      <c r="AK990" s="122"/>
      <c r="AL990" s="122"/>
      <c r="AM990" s="122"/>
      <c r="AN990" s="122"/>
      <c r="AO990" s="122"/>
      <c r="AP990" s="122"/>
      <c r="AQ990" s="122"/>
      <c r="AR990" s="122"/>
      <c r="AS990" s="122"/>
      <c r="AT990" s="122"/>
      <c r="AU990" s="122"/>
      <c r="AV990" s="122"/>
      <c r="AW990" s="122"/>
      <c r="AX990" s="122"/>
      <c r="AY990" s="122"/>
    </row>
    <row r="991">
      <c r="A991" s="78"/>
      <c r="B991" s="78"/>
      <c r="C991" s="78"/>
      <c r="D991" s="78"/>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c r="AA991" s="122"/>
      <c r="AB991" s="122"/>
      <c r="AC991" s="122"/>
      <c r="AD991" s="122"/>
      <c r="AE991" s="122"/>
      <c r="AF991" s="122"/>
      <c r="AG991" s="122"/>
      <c r="AH991" s="122"/>
      <c r="AI991" s="122"/>
      <c r="AJ991" s="122"/>
      <c r="AK991" s="122"/>
      <c r="AL991" s="122"/>
      <c r="AM991" s="122"/>
      <c r="AN991" s="122"/>
      <c r="AO991" s="122"/>
      <c r="AP991" s="122"/>
      <c r="AQ991" s="122"/>
      <c r="AR991" s="122"/>
      <c r="AS991" s="122"/>
      <c r="AT991" s="122"/>
      <c r="AU991" s="122"/>
      <c r="AV991" s="122"/>
      <c r="AW991" s="122"/>
      <c r="AX991" s="122"/>
      <c r="AY991" s="122"/>
    </row>
    <row r="992">
      <c r="A992" s="78"/>
      <c r="B992" s="78"/>
      <c r="C992" s="78"/>
      <c r="D992" s="78"/>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c r="AA992" s="122"/>
      <c r="AB992" s="122"/>
      <c r="AC992" s="122"/>
      <c r="AD992" s="122"/>
      <c r="AE992" s="122"/>
      <c r="AF992" s="122"/>
      <c r="AG992" s="122"/>
      <c r="AH992" s="122"/>
      <c r="AI992" s="122"/>
      <c r="AJ992" s="122"/>
      <c r="AK992" s="122"/>
      <c r="AL992" s="122"/>
      <c r="AM992" s="122"/>
      <c r="AN992" s="122"/>
      <c r="AO992" s="122"/>
      <c r="AP992" s="122"/>
      <c r="AQ992" s="122"/>
      <c r="AR992" s="122"/>
      <c r="AS992" s="122"/>
      <c r="AT992" s="122"/>
      <c r="AU992" s="122"/>
      <c r="AV992" s="122"/>
      <c r="AW992" s="122"/>
      <c r="AX992" s="122"/>
      <c r="AY992" s="122"/>
    </row>
    <row r="993">
      <c r="A993" s="78"/>
      <c r="B993" s="78"/>
      <c r="C993" s="78"/>
      <c r="D993" s="78"/>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c r="AA993" s="122"/>
      <c r="AB993" s="122"/>
      <c r="AC993" s="122"/>
      <c r="AD993" s="122"/>
      <c r="AE993" s="122"/>
      <c r="AF993" s="122"/>
      <c r="AG993" s="122"/>
      <c r="AH993" s="122"/>
      <c r="AI993" s="122"/>
      <c r="AJ993" s="122"/>
      <c r="AK993" s="122"/>
      <c r="AL993" s="122"/>
      <c r="AM993" s="122"/>
      <c r="AN993" s="122"/>
      <c r="AO993" s="122"/>
      <c r="AP993" s="122"/>
      <c r="AQ993" s="122"/>
      <c r="AR993" s="122"/>
      <c r="AS993" s="122"/>
      <c r="AT993" s="122"/>
      <c r="AU993" s="122"/>
      <c r="AV993" s="122"/>
      <c r="AW993" s="122"/>
      <c r="AX993" s="122"/>
      <c r="AY993" s="122"/>
    </row>
    <row r="994">
      <c r="A994" s="78"/>
      <c r="B994" s="78"/>
      <c r="C994" s="78"/>
      <c r="D994" s="78"/>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c r="AA994" s="122"/>
      <c r="AB994" s="122"/>
      <c r="AC994" s="122"/>
      <c r="AD994" s="122"/>
      <c r="AE994" s="122"/>
      <c r="AF994" s="122"/>
      <c r="AG994" s="122"/>
      <c r="AH994" s="122"/>
      <c r="AI994" s="122"/>
      <c r="AJ994" s="122"/>
      <c r="AK994" s="122"/>
      <c r="AL994" s="122"/>
      <c r="AM994" s="122"/>
      <c r="AN994" s="122"/>
      <c r="AO994" s="122"/>
      <c r="AP994" s="122"/>
      <c r="AQ994" s="122"/>
      <c r="AR994" s="122"/>
      <c r="AS994" s="122"/>
      <c r="AT994" s="122"/>
      <c r="AU994" s="122"/>
      <c r="AV994" s="122"/>
      <c r="AW994" s="122"/>
      <c r="AX994" s="122"/>
      <c r="AY994" s="122"/>
    </row>
    <row r="995">
      <c r="A995" s="78"/>
      <c r="B995" s="78"/>
      <c r="C995" s="78"/>
      <c r="D995" s="78"/>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c r="AA995" s="122"/>
      <c r="AB995" s="122"/>
      <c r="AC995" s="122"/>
      <c r="AD995" s="122"/>
      <c r="AE995" s="122"/>
      <c r="AF995" s="122"/>
      <c r="AG995" s="122"/>
      <c r="AH995" s="122"/>
      <c r="AI995" s="122"/>
      <c r="AJ995" s="122"/>
      <c r="AK995" s="122"/>
      <c r="AL995" s="122"/>
      <c r="AM995" s="122"/>
      <c r="AN995" s="122"/>
      <c r="AO995" s="122"/>
      <c r="AP995" s="122"/>
      <c r="AQ995" s="122"/>
      <c r="AR995" s="122"/>
      <c r="AS995" s="122"/>
      <c r="AT995" s="122"/>
      <c r="AU995" s="122"/>
      <c r="AV995" s="122"/>
      <c r="AW995" s="122"/>
      <c r="AX995" s="122"/>
      <c r="AY995" s="122"/>
    </row>
    <row r="996">
      <c r="A996" s="78"/>
      <c r="B996" s="78"/>
      <c r="C996" s="78"/>
      <c r="D996" s="78"/>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c r="AA996" s="122"/>
      <c r="AB996" s="122"/>
      <c r="AC996" s="122"/>
      <c r="AD996" s="122"/>
      <c r="AE996" s="122"/>
      <c r="AF996" s="122"/>
      <c r="AG996" s="122"/>
      <c r="AH996" s="122"/>
      <c r="AI996" s="122"/>
      <c r="AJ996" s="122"/>
      <c r="AK996" s="122"/>
      <c r="AL996" s="122"/>
      <c r="AM996" s="122"/>
      <c r="AN996" s="122"/>
      <c r="AO996" s="122"/>
      <c r="AP996" s="122"/>
      <c r="AQ996" s="122"/>
      <c r="AR996" s="122"/>
      <c r="AS996" s="122"/>
      <c r="AT996" s="122"/>
      <c r="AU996" s="122"/>
      <c r="AV996" s="122"/>
      <c r="AW996" s="122"/>
      <c r="AX996" s="122"/>
      <c r="AY996" s="122"/>
    </row>
    <row r="997">
      <c r="A997" s="78"/>
      <c r="B997" s="78"/>
      <c r="C997" s="78"/>
      <c r="D997" s="78"/>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c r="AA997" s="122"/>
      <c r="AB997" s="122"/>
      <c r="AC997" s="122"/>
      <c r="AD997" s="122"/>
      <c r="AE997" s="122"/>
      <c r="AF997" s="122"/>
      <c r="AG997" s="122"/>
      <c r="AH997" s="122"/>
      <c r="AI997" s="122"/>
      <c r="AJ997" s="122"/>
      <c r="AK997" s="122"/>
      <c r="AL997" s="122"/>
      <c r="AM997" s="122"/>
      <c r="AN997" s="122"/>
      <c r="AO997" s="122"/>
      <c r="AP997" s="122"/>
      <c r="AQ997" s="122"/>
      <c r="AR997" s="122"/>
      <c r="AS997" s="122"/>
      <c r="AT997" s="122"/>
      <c r="AU997" s="122"/>
      <c r="AV997" s="122"/>
      <c r="AW997" s="122"/>
      <c r="AX997" s="122"/>
      <c r="AY997" s="122"/>
    </row>
    <row r="998">
      <c r="A998" s="78"/>
      <c r="B998" s="78"/>
      <c r="C998" s="78"/>
      <c r="D998" s="78"/>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c r="AA998" s="122"/>
      <c r="AB998" s="122"/>
      <c r="AC998" s="122"/>
      <c r="AD998" s="122"/>
      <c r="AE998" s="122"/>
      <c r="AF998" s="122"/>
      <c r="AG998" s="122"/>
      <c r="AH998" s="122"/>
      <c r="AI998" s="122"/>
      <c r="AJ998" s="122"/>
      <c r="AK998" s="122"/>
      <c r="AL998" s="122"/>
      <c r="AM998" s="122"/>
      <c r="AN998" s="122"/>
      <c r="AO998" s="122"/>
      <c r="AP998" s="122"/>
      <c r="AQ998" s="122"/>
      <c r="AR998" s="122"/>
      <c r="AS998" s="122"/>
      <c r="AT998" s="122"/>
      <c r="AU998" s="122"/>
      <c r="AV998" s="122"/>
      <c r="AW998" s="122"/>
      <c r="AX998" s="122"/>
      <c r="AY998" s="122"/>
    </row>
    <row r="999">
      <c r="A999" s="78"/>
      <c r="B999" s="78"/>
      <c r="C999" s="78"/>
      <c r="D999" s="78"/>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c r="AA999" s="122"/>
      <c r="AB999" s="122"/>
      <c r="AC999" s="122"/>
      <c r="AD999" s="122"/>
      <c r="AE999" s="122"/>
      <c r="AF999" s="122"/>
      <c r="AG999" s="122"/>
      <c r="AH999" s="122"/>
      <c r="AI999" s="122"/>
      <c r="AJ999" s="122"/>
      <c r="AK999" s="122"/>
      <c r="AL999" s="122"/>
      <c r="AM999" s="122"/>
      <c r="AN999" s="122"/>
      <c r="AO999" s="122"/>
      <c r="AP999" s="122"/>
      <c r="AQ999" s="122"/>
      <c r="AR999" s="122"/>
      <c r="AS999" s="122"/>
      <c r="AT999" s="122"/>
      <c r="AU999" s="122"/>
      <c r="AV999" s="122"/>
      <c r="AW999" s="122"/>
      <c r="AX999" s="122"/>
      <c r="AY999" s="122"/>
    </row>
    <row r="1000">
      <c r="A1000" s="78"/>
      <c r="B1000" s="78"/>
      <c r="C1000" s="78"/>
      <c r="D1000" s="78"/>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c r="AA1000" s="122"/>
      <c r="AB1000" s="122"/>
      <c r="AC1000" s="122"/>
      <c r="AD1000" s="122"/>
      <c r="AE1000" s="122"/>
      <c r="AF1000" s="122"/>
      <c r="AG1000" s="122"/>
      <c r="AH1000" s="122"/>
      <c r="AI1000" s="122"/>
      <c r="AJ1000" s="122"/>
      <c r="AK1000" s="122"/>
      <c r="AL1000" s="122"/>
      <c r="AM1000" s="122"/>
      <c r="AN1000" s="122"/>
      <c r="AO1000" s="122"/>
      <c r="AP1000" s="122"/>
      <c r="AQ1000" s="122"/>
      <c r="AR1000" s="122"/>
      <c r="AS1000" s="122"/>
      <c r="AT1000" s="122"/>
      <c r="AU1000" s="122"/>
      <c r="AV1000" s="122"/>
      <c r="AW1000" s="122"/>
      <c r="AX1000" s="122"/>
      <c r="AY1000" s="122"/>
    </row>
    <row r="1001">
      <c r="A1001" s="78"/>
      <c r="B1001" s="78"/>
      <c r="C1001" s="78"/>
      <c r="D1001" s="78"/>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c r="AA1001" s="122"/>
      <c r="AB1001" s="122"/>
      <c r="AC1001" s="122"/>
      <c r="AD1001" s="122"/>
      <c r="AE1001" s="122"/>
      <c r="AF1001" s="122"/>
      <c r="AG1001" s="122"/>
      <c r="AH1001" s="122"/>
      <c r="AI1001" s="122"/>
      <c r="AJ1001" s="122"/>
      <c r="AK1001" s="122"/>
      <c r="AL1001" s="122"/>
      <c r="AM1001" s="122"/>
      <c r="AN1001" s="122"/>
      <c r="AO1001" s="122"/>
      <c r="AP1001" s="122"/>
      <c r="AQ1001" s="122"/>
      <c r="AR1001" s="122"/>
      <c r="AS1001" s="122"/>
      <c r="AT1001" s="122"/>
      <c r="AU1001" s="122"/>
      <c r="AV1001" s="122"/>
      <c r="AW1001" s="122"/>
      <c r="AX1001" s="122"/>
      <c r="AY1001" s="122"/>
    </row>
    <row r="1002">
      <c r="A1002" s="78"/>
      <c r="B1002" s="78"/>
      <c r="C1002" s="78"/>
      <c r="D1002" s="78"/>
      <c r="E1002" s="122"/>
      <c r="F1002" s="122"/>
      <c r="G1002" s="122"/>
      <c r="H1002" s="122"/>
      <c r="I1002" s="122"/>
      <c r="J1002" s="122"/>
      <c r="K1002" s="122"/>
      <c r="L1002" s="122"/>
      <c r="M1002" s="122"/>
      <c r="N1002" s="122"/>
      <c r="O1002" s="122"/>
      <c r="P1002" s="122"/>
      <c r="Q1002" s="122"/>
      <c r="R1002" s="122"/>
      <c r="S1002" s="122"/>
      <c r="T1002" s="122"/>
      <c r="U1002" s="122"/>
      <c r="V1002" s="122"/>
      <c r="W1002" s="122"/>
      <c r="X1002" s="122"/>
      <c r="Y1002" s="122"/>
      <c r="Z1002" s="122"/>
      <c r="AA1002" s="122"/>
      <c r="AB1002" s="122"/>
      <c r="AC1002" s="122"/>
      <c r="AD1002" s="122"/>
      <c r="AE1002" s="122"/>
      <c r="AF1002" s="122"/>
      <c r="AG1002" s="122"/>
      <c r="AH1002" s="122"/>
      <c r="AI1002" s="122"/>
      <c r="AJ1002" s="122"/>
      <c r="AK1002" s="122"/>
      <c r="AL1002" s="122"/>
      <c r="AM1002" s="122"/>
      <c r="AN1002" s="122"/>
      <c r="AO1002" s="122"/>
      <c r="AP1002" s="122"/>
      <c r="AQ1002" s="122"/>
      <c r="AR1002" s="122"/>
      <c r="AS1002" s="122"/>
      <c r="AT1002" s="122"/>
      <c r="AU1002" s="122"/>
      <c r="AV1002" s="122"/>
      <c r="AW1002" s="122"/>
      <c r="AX1002" s="122"/>
      <c r="AY1002" s="122"/>
    </row>
    <row r="1003">
      <c r="A1003" s="78"/>
      <c r="B1003" s="78"/>
      <c r="C1003" s="78"/>
      <c r="D1003" s="78"/>
      <c r="E1003" s="122"/>
      <c r="F1003" s="122"/>
      <c r="G1003" s="122"/>
      <c r="H1003" s="122"/>
      <c r="I1003" s="122"/>
      <c r="J1003" s="122"/>
      <c r="K1003" s="122"/>
      <c r="L1003" s="122"/>
      <c r="M1003" s="122"/>
      <c r="N1003" s="122"/>
      <c r="O1003" s="122"/>
      <c r="P1003" s="122"/>
      <c r="Q1003" s="122"/>
      <c r="R1003" s="122"/>
      <c r="S1003" s="122"/>
      <c r="T1003" s="122"/>
      <c r="U1003" s="122"/>
      <c r="V1003" s="122"/>
      <c r="W1003" s="122"/>
      <c r="X1003" s="122"/>
      <c r="Y1003" s="122"/>
      <c r="Z1003" s="122"/>
      <c r="AA1003" s="122"/>
      <c r="AB1003" s="122"/>
      <c r="AC1003" s="122"/>
      <c r="AD1003" s="122"/>
      <c r="AE1003" s="122"/>
      <c r="AF1003" s="122"/>
      <c r="AG1003" s="122"/>
      <c r="AH1003" s="122"/>
      <c r="AI1003" s="122"/>
      <c r="AJ1003" s="122"/>
      <c r="AK1003" s="122"/>
      <c r="AL1003" s="122"/>
      <c r="AM1003" s="122"/>
      <c r="AN1003" s="122"/>
      <c r="AO1003" s="122"/>
      <c r="AP1003" s="122"/>
      <c r="AQ1003" s="122"/>
      <c r="AR1003" s="122"/>
      <c r="AS1003" s="122"/>
      <c r="AT1003" s="122"/>
      <c r="AU1003" s="122"/>
      <c r="AV1003" s="122"/>
      <c r="AW1003" s="122"/>
      <c r="AX1003" s="122"/>
      <c r="AY1003" s="122"/>
    </row>
    <row r="1004">
      <c r="A1004" s="78"/>
      <c r="B1004" s="78"/>
      <c r="C1004" s="78"/>
      <c r="D1004" s="78"/>
      <c r="E1004" s="122"/>
      <c r="F1004" s="122"/>
      <c r="G1004" s="122"/>
      <c r="H1004" s="122"/>
      <c r="I1004" s="122"/>
      <c r="J1004" s="122"/>
      <c r="K1004" s="122"/>
      <c r="L1004" s="122"/>
      <c r="M1004" s="122"/>
      <c r="N1004" s="122"/>
      <c r="O1004" s="122"/>
      <c r="P1004" s="122"/>
      <c r="Q1004" s="122"/>
      <c r="R1004" s="122"/>
      <c r="S1004" s="122"/>
      <c r="T1004" s="122"/>
      <c r="U1004" s="122"/>
      <c r="V1004" s="122"/>
      <c r="W1004" s="122"/>
      <c r="X1004" s="122"/>
      <c r="Y1004" s="122"/>
      <c r="Z1004" s="122"/>
      <c r="AA1004" s="122"/>
      <c r="AB1004" s="122"/>
      <c r="AC1004" s="122"/>
      <c r="AD1004" s="122"/>
      <c r="AE1004" s="122"/>
      <c r="AF1004" s="122"/>
      <c r="AG1004" s="122"/>
      <c r="AH1004" s="122"/>
      <c r="AI1004" s="122"/>
      <c r="AJ1004" s="122"/>
      <c r="AK1004" s="122"/>
      <c r="AL1004" s="122"/>
      <c r="AM1004" s="122"/>
      <c r="AN1004" s="122"/>
      <c r="AO1004" s="122"/>
      <c r="AP1004" s="122"/>
      <c r="AQ1004" s="122"/>
      <c r="AR1004" s="122"/>
      <c r="AS1004" s="122"/>
      <c r="AT1004" s="122"/>
      <c r="AU1004" s="122"/>
      <c r="AV1004" s="122"/>
      <c r="AW1004" s="122"/>
      <c r="AX1004" s="122"/>
      <c r="AY1004" s="122"/>
    </row>
    <row r="1005">
      <c r="A1005" s="78"/>
      <c r="B1005" s="78"/>
      <c r="C1005" s="78"/>
      <c r="D1005" s="78"/>
      <c r="E1005" s="122"/>
      <c r="F1005" s="122"/>
      <c r="G1005" s="122"/>
      <c r="H1005" s="122"/>
      <c r="I1005" s="122"/>
      <c r="J1005" s="122"/>
      <c r="K1005" s="122"/>
      <c r="L1005" s="122"/>
      <c r="M1005" s="122"/>
      <c r="N1005" s="122"/>
      <c r="O1005" s="122"/>
      <c r="P1005" s="122"/>
      <c r="Q1005" s="122"/>
      <c r="R1005" s="122"/>
      <c r="S1005" s="122"/>
      <c r="T1005" s="122"/>
      <c r="U1005" s="122"/>
      <c r="V1005" s="122"/>
      <c r="W1005" s="122"/>
      <c r="X1005" s="122"/>
      <c r="Y1005" s="122"/>
      <c r="Z1005" s="122"/>
      <c r="AA1005" s="122"/>
      <c r="AB1005" s="122"/>
      <c r="AC1005" s="122"/>
      <c r="AD1005" s="122"/>
      <c r="AE1005" s="122"/>
      <c r="AF1005" s="122"/>
      <c r="AG1005" s="122"/>
      <c r="AH1005" s="122"/>
      <c r="AI1005" s="122"/>
      <c r="AJ1005" s="122"/>
      <c r="AK1005" s="122"/>
      <c r="AL1005" s="122"/>
      <c r="AM1005" s="122"/>
      <c r="AN1005" s="122"/>
      <c r="AO1005" s="122"/>
      <c r="AP1005" s="122"/>
      <c r="AQ1005" s="122"/>
      <c r="AR1005" s="122"/>
      <c r="AS1005" s="122"/>
      <c r="AT1005" s="122"/>
      <c r="AU1005" s="122"/>
      <c r="AV1005" s="122"/>
      <c r="AW1005" s="122"/>
      <c r="AX1005" s="122"/>
      <c r="AY1005" s="122"/>
    </row>
    <row r="1006">
      <c r="A1006" s="78"/>
      <c r="B1006" s="78"/>
      <c r="C1006" s="78"/>
      <c r="D1006" s="78"/>
      <c r="E1006" s="122"/>
      <c r="F1006" s="122"/>
      <c r="G1006" s="122"/>
      <c r="H1006" s="122"/>
      <c r="I1006" s="122"/>
      <c r="J1006" s="122"/>
      <c r="K1006" s="122"/>
      <c r="L1006" s="122"/>
      <c r="M1006" s="122"/>
      <c r="N1006" s="122"/>
      <c r="O1006" s="122"/>
      <c r="P1006" s="122"/>
      <c r="Q1006" s="122"/>
      <c r="R1006" s="122"/>
      <c r="S1006" s="122"/>
      <c r="T1006" s="122"/>
      <c r="U1006" s="122"/>
      <c r="V1006" s="122"/>
      <c r="W1006" s="122"/>
      <c r="X1006" s="122"/>
      <c r="Y1006" s="122"/>
      <c r="Z1006" s="122"/>
      <c r="AA1006" s="122"/>
      <c r="AB1006" s="122"/>
      <c r="AC1006" s="122"/>
      <c r="AD1006" s="122"/>
      <c r="AE1006" s="122"/>
      <c r="AF1006" s="122"/>
      <c r="AG1006" s="122"/>
      <c r="AH1006" s="122"/>
      <c r="AI1006" s="122"/>
      <c r="AJ1006" s="122"/>
      <c r="AK1006" s="122"/>
      <c r="AL1006" s="122"/>
      <c r="AM1006" s="122"/>
      <c r="AN1006" s="122"/>
      <c r="AO1006" s="122"/>
      <c r="AP1006" s="122"/>
      <c r="AQ1006" s="122"/>
      <c r="AR1006" s="122"/>
      <c r="AS1006" s="122"/>
      <c r="AT1006" s="122"/>
      <c r="AU1006" s="122"/>
      <c r="AV1006" s="122"/>
      <c r="AW1006" s="122"/>
      <c r="AX1006" s="122"/>
      <c r="AY1006" s="122"/>
    </row>
    <row r="1007">
      <c r="A1007" s="78"/>
      <c r="B1007" s="78"/>
      <c r="C1007" s="78"/>
      <c r="D1007" s="78"/>
      <c r="E1007" s="122"/>
      <c r="F1007" s="122"/>
      <c r="G1007" s="122"/>
      <c r="H1007" s="122"/>
      <c r="I1007" s="122"/>
      <c r="J1007" s="122"/>
      <c r="K1007" s="122"/>
      <c r="L1007" s="122"/>
      <c r="M1007" s="122"/>
      <c r="N1007" s="122"/>
      <c r="O1007" s="122"/>
      <c r="P1007" s="122"/>
      <c r="Q1007" s="122"/>
      <c r="R1007" s="122"/>
      <c r="S1007" s="122"/>
      <c r="T1007" s="122"/>
      <c r="U1007" s="122"/>
      <c r="V1007" s="122"/>
      <c r="W1007" s="122"/>
      <c r="X1007" s="122"/>
      <c r="Y1007" s="122"/>
      <c r="Z1007" s="122"/>
      <c r="AA1007" s="122"/>
      <c r="AB1007" s="122"/>
      <c r="AC1007" s="122"/>
      <c r="AD1007" s="122"/>
      <c r="AE1007" s="122"/>
      <c r="AF1007" s="122"/>
      <c r="AG1007" s="122"/>
      <c r="AH1007" s="122"/>
      <c r="AI1007" s="122"/>
      <c r="AJ1007" s="122"/>
      <c r="AK1007" s="122"/>
      <c r="AL1007" s="122"/>
      <c r="AM1007" s="122"/>
      <c r="AN1007" s="122"/>
      <c r="AO1007" s="122"/>
      <c r="AP1007" s="122"/>
      <c r="AQ1007" s="122"/>
      <c r="AR1007" s="122"/>
      <c r="AS1007" s="122"/>
      <c r="AT1007" s="122"/>
      <c r="AU1007" s="122"/>
      <c r="AV1007" s="122"/>
      <c r="AW1007" s="122"/>
      <c r="AX1007" s="122"/>
      <c r="AY1007" s="122"/>
    </row>
    <row r="1008">
      <c r="A1008" s="78"/>
      <c r="B1008" s="78"/>
      <c r="C1008" s="78"/>
      <c r="D1008" s="78"/>
      <c r="E1008" s="122"/>
      <c r="F1008" s="122"/>
      <c r="G1008" s="122"/>
      <c r="H1008" s="122"/>
      <c r="I1008" s="122"/>
      <c r="J1008" s="122"/>
      <c r="K1008" s="122"/>
      <c r="L1008" s="122"/>
      <c r="M1008" s="122"/>
      <c r="N1008" s="122"/>
      <c r="O1008" s="122"/>
      <c r="P1008" s="122"/>
      <c r="Q1008" s="122"/>
      <c r="R1008" s="122"/>
      <c r="S1008" s="122"/>
      <c r="T1008" s="122"/>
      <c r="U1008" s="122"/>
      <c r="V1008" s="122"/>
      <c r="W1008" s="122"/>
      <c r="X1008" s="122"/>
      <c r="Y1008" s="122"/>
      <c r="Z1008" s="122"/>
      <c r="AA1008" s="122"/>
      <c r="AB1008" s="122"/>
      <c r="AC1008" s="122"/>
      <c r="AD1008" s="122"/>
      <c r="AE1008" s="122"/>
      <c r="AF1008" s="122"/>
      <c r="AG1008" s="122"/>
      <c r="AH1008" s="122"/>
      <c r="AI1008" s="122"/>
      <c r="AJ1008" s="122"/>
      <c r="AK1008" s="122"/>
      <c r="AL1008" s="122"/>
      <c r="AM1008" s="122"/>
      <c r="AN1008" s="122"/>
      <c r="AO1008" s="122"/>
      <c r="AP1008" s="122"/>
      <c r="AQ1008" s="122"/>
      <c r="AR1008" s="122"/>
      <c r="AS1008" s="122"/>
      <c r="AT1008" s="122"/>
      <c r="AU1008" s="122"/>
      <c r="AV1008" s="122"/>
      <c r="AW1008" s="122"/>
      <c r="AX1008" s="122"/>
      <c r="AY1008" s="122"/>
    </row>
    <row r="1009">
      <c r="A1009" s="78"/>
      <c r="B1009" s="78"/>
      <c r="C1009" s="78"/>
      <c r="D1009" s="78"/>
      <c r="E1009" s="122"/>
      <c r="F1009" s="122"/>
      <c r="G1009" s="122"/>
      <c r="H1009" s="122"/>
      <c r="I1009" s="122"/>
      <c r="J1009" s="122"/>
      <c r="K1009" s="122"/>
      <c r="L1009" s="122"/>
      <c r="M1009" s="122"/>
      <c r="N1009" s="122"/>
      <c r="O1009" s="122"/>
      <c r="P1009" s="122"/>
      <c r="Q1009" s="122"/>
      <c r="R1009" s="122"/>
      <c r="S1009" s="122"/>
      <c r="T1009" s="122"/>
      <c r="U1009" s="122"/>
      <c r="V1009" s="122"/>
      <c r="W1009" s="122"/>
      <c r="X1009" s="122"/>
      <c r="Y1009" s="122"/>
      <c r="Z1009" s="122"/>
      <c r="AA1009" s="122"/>
      <c r="AB1009" s="122"/>
      <c r="AC1009" s="122"/>
      <c r="AD1009" s="122"/>
      <c r="AE1009" s="122"/>
      <c r="AF1009" s="122"/>
      <c r="AG1009" s="122"/>
      <c r="AH1009" s="122"/>
      <c r="AI1009" s="122"/>
      <c r="AJ1009" s="122"/>
      <c r="AK1009" s="122"/>
      <c r="AL1009" s="122"/>
      <c r="AM1009" s="122"/>
      <c r="AN1009" s="122"/>
      <c r="AO1009" s="122"/>
      <c r="AP1009" s="122"/>
      <c r="AQ1009" s="122"/>
      <c r="AR1009" s="122"/>
      <c r="AS1009" s="122"/>
      <c r="AT1009" s="122"/>
      <c r="AU1009" s="122"/>
      <c r="AV1009" s="122"/>
      <c r="AW1009" s="122"/>
      <c r="AX1009" s="122"/>
      <c r="AY1009" s="122"/>
    </row>
    <row r="1010">
      <c r="A1010" s="78"/>
      <c r="B1010" s="78"/>
      <c r="C1010" s="78"/>
      <c r="D1010" s="78"/>
      <c r="E1010" s="122"/>
      <c r="F1010" s="122"/>
      <c r="G1010" s="122"/>
      <c r="H1010" s="122"/>
      <c r="I1010" s="122"/>
      <c r="J1010" s="122"/>
      <c r="K1010" s="122"/>
      <c r="L1010" s="122"/>
      <c r="M1010" s="122"/>
      <c r="N1010" s="122"/>
      <c r="O1010" s="122"/>
      <c r="P1010" s="122"/>
      <c r="Q1010" s="122"/>
      <c r="R1010" s="122"/>
      <c r="S1010" s="122"/>
      <c r="T1010" s="122"/>
      <c r="U1010" s="122"/>
      <c r="V1010" s="122"/>
      <c r="W1010" s="122"/>
      <c r="X1010" s="122"/>
      <c r="Y1010" s="122"/>
      <c r="Z1010" s="122"/>
      <c r="AA1010" s="122"/>
      <c r="AB1010" s="122"/>
      <c r="AC1010" s="122"/>
      <c r="AD1010" s="122"/>
      <c r="AE1010" s="122"/>
      <c r="AF1010" s="122"/>
      <c r="AG1010" s="122"/>
      <c r="AH1010" s="122"/>
      <c r="AI1010" s="122"/>
      <c r="AJ1010" s="122"/>
      <c r="AK1010" s="122"/>
      <c r="AL1010" s="122"/>
      <c r="AM1010" s="122"/>
      <c r="AN1010" s="122"/>
      <c r="AO1010" s="122"/>
      <c r="AP1010" s="122"/>
      <c r="AQ1010" s="122"/>
      <c r="AR1010" s="122"/>
      <c r="AS1010" s="122"/>
      <c r="AT1010" s="122"/>
      <c r="AU1010" s="122"/>
      <c r="AV1010" s="122"/>
      <c r="AW1010" s="122"/>
      <c r="AX1010" s="122"/>
      <c r="AY1010" s="122"/>
    </row>
    <row r="1011">
      <c r="A1011" s="78"/>
      <c r="B1011" s="78"/>
      <c r="C1011" s="78"/>
      <c r="D1011" s="78"/>
      <c r="E1011" s="122"/>
      <c r="F1011" s="122"/>
      <c r="G1011" s="122"/>
      <c r="H1011" s="122"/>
      <c r="I1011" s="122"/>
      <c r="J1011" s="122"/>
      <c r="K1011" s="122"/>
      <c r="L1011" s="122"/>
      <c r="M1011" s="122"/>
      <c r="N1011" s="122"/>
      <c r="O1011" s="122"/>
      <c r="P1011" s="122"/>
      <c r="Q1011" s="122"/>
      <c r="R1011" s="122"/>
      <c r="S1011" s="122"/>
      <c r="T1011" s="122"/>
      <c r="U1011" s="122"/>
      <c r="V1011" s="122"/>
      <c r="W1011" s="122"/>
      <c r="X1011" s="122"/>
      <c r="Y1011" s="122"/>
      <c r="Z1011" s="122"/>
      <c r="AA1011" s="122"/>
      <c r="AB1011" s="122"/>
      <c r="AC1011" s="122"/>
      <c r="AD1011" s="122"/>
      <c r="AE1011" s="122"/>
      <c r="AF1011" s="122"/>
      <c r="AG1011" s="122"/>
      <c r="AH1011" s="122"/>
      <c r="AI1011" s="122"/>
      <c r="AJ1011" s="122"/>
      <c r="AK1011" s="122"/>
      <c r="AL1011" s="122"/>
      <c r="AM1011" s="122"/>
      <c r="AN1011" s="122"/>
      <c r="AO1011" s="122"/>
      <c r="AP1011" s="122"/>
      <c r="AQ1011" s="122"/>
      <c r="AR1011" s="122"/>
      <c r="AS1011" s="122"/>
      <c r="AT1011" s="122"/>
      <c r="AU1011" s="122"/>
      <c r="AV1011" s="122"/>
      <c r="AW1011" s="122"/>
      <c r="AX1011" s="122"/>
      <c r="AY1011" s="122"/>
    </row>
    <row r="1012">
      <c r="A1012" s="78"/>
      <c r="B1012" s="78"/>
      <c r="C1012" s="78"/>
      <c r="D1012" s="78"/>
      <c r="E1012" s="122"/>
      <c r="F1012" s="122"/>
      <c r="G1012" s="122"/>
      <c r="H1012" s="122"/>
      <c r="I1012" s="122"/>
      <c r="J1012" s="122"/>
      <c r="K1012" s="122"/>
      <c r="L1012" s="122"/>
      <c r="M1012" s="122"/>
      <c r="N1012" s="122"/>
      <c r="O1012" s="122"/>
      <c r="P1012" s="122"/>
      <c r="Q1012" s="122"/>
      <c r="R1012" s="122"/>
      <c r="S1012" s="122"/>
      <c r="T1012" s="122"/>
      <c r="U1012" s="122"/>
      <c r="V1012" s="122"/>
      <c r="W1012" s="122"/>
      <c r="X1012" s="122"/>
      <c r="Y1012" s="122"/>
      <c r="Z1012" s="122"/>
      <c r="AA1012" s="122"/>
      <c r="AB1012" s="122"/>
      <c r="AC1012" s="122"/>
      <c r="AD1012" s="122"/>
      <c r="AE1012" s="122"/>
      <c r="AF1012" s="122"/>
      <c r="AG1012" s="122"/>
      <c r="AH1012" s="122"/>
      <c r="AI1012" s="122"/>
      <c r="AJ1012" s="122"/>
      <c r="AK1012" s="122"/>
      <c r="AL1012" s="122"/>
      <c r="AM1012" s="122"/>
      <c r="AN1012" s="122"/>
      <c r="AO1012" s="122"/>
      <c r="AP1012" s="122"/>
      <c r="AQ1012" s="122"/>
      <c r="AR1012" s="122"/>
      <c r="AS1012" s="122"/>
      <c r="AT1012" s="122"/>
      <c r="AU1012" s="122"/>
      <c r="AV1012" s="122"/>
      <c r="AW1012" s="122"/>
      <c r="AX1012" s="122"/>
      <c r="AY1012" s="122"/>
    </row>
    <row r="1013">
      <c r="A1013" s="78"/>
      <c r="B1013" s="78"/>
      <c r="C1013" s="78"/>
      <c r="D1013" s="78"/>
      <c r="E1013" s="122"/>
      <c r="F1013" s="122"/>
      <c r="G1013" s="122"/>
      <c r="H1013" s="122"/>
      <c r="I1013" s="122"/>
      <c r="J1013" s="122"/>
      <c r="K1013" s="122"/>
      <c r="L1013" s="122"/>
      <c r="M1013" s="122"/>
      <c r="N1013" s="122"/>
      <c r="O1013" s="122"/>
      <c r="P1013" s="122"/>
      <c r="Q1013" s="122"/>
      <c r="R1013" s="122"/>
      <c r="S1013" s="122"/>
      <c r="T1013" s="122"/>
      <c r="U1013" s="122"/>
      <c r="V1013" s="122"/>
      <c r="W1013" s="122"/>
      <c r="X1013" s="122"/>
      <c r="Y1013" s="122"/>
      <c r="Z1013" s="122"/>
      <c r="AA1013" s="122"/>
      <c r="AB1013" s="122"/>
      <c r="AC1013" s="122"/>
      <c r="AD1013" s="122"/>
      <c r="AE1013" s="122"/>
      <c r="AF1013" s="122"/>
      <c r="AG1013" s="122"/>
      <c r="AH1013" s="122"/>
      <c r="AI1013" s="122"/>
      <c r="AJ1013" s="122"/>
      <c r="AK1013" s="122"/>
      <c r="AL1013" s="122"/>
      <c r="AM1013" s="122"/>
      <c r="AN1013" s="122"/>
      <c r="AO1013" s="122"/>
      <c r="AP1013" s="122"/>
      <c r="AQ1013" s="122"/>
      <c r="AR1013" s="122"/>
      <c r="AS1013" s="122"/>
      <c r="AT1013" s="122"/>
      <c r="AU1013" s="122"/>
      <c r="AV1013" s="122"/>
      <c r="AW1013" s="122"/>
      <c r="AX1013" s="122"/>
      <c r="AY1013" s="122"/>
    </row>
    <row r="1014">
      <c r="A1014" s="78"/>
      <c r="B1014" s="78"/>
      <c r="C1014" s="78"/>
      <c r="D1014" s="78"/>
      <c r="E1014" s="122"/>
      <c r="F1014" s="122"/>
      <c r="G1014" s="122"/>
      <c r="H1014" s="122"/>
      <c r="I1014" s="122"/>
      <c r="J1014" s="122"/>
      <c r="K1014" s="122"/>
      <c r="L1014" s="122"/>
      <c r="M1014" s="122"/>
      <c r="N1014" s="122"/>
      <c r="O1014" s="122"/>
      <c r="P1014" s="122"/>
      <c r="Q1014" s="122"/>
      <c r="R1014" s="122"/>
      <c r="S1014" s="122"/>
      <c r="T1014" s="122"/>
      <c r="U1014" s="122"/>
      <c r="V1014" s="122"/>
      <c r="W1014" s="122"/>
      <c r="X1014" s="122"/>
      <c r="Y1014" s="122"/>
      <c r="Z1014" s="122"/>
      <c r="AA1014" s="122"/>
      <c r="AB1014" s="122"/>
      <c r="AC1014" s="122"/>
      <c r="AD1014" s="122"/>
      <c r="AE1014" s="122"/>
      <c r="AF1014" s="122"/>
      <c r="AG1014" s="122"/>
      <c r="AH1014" s="122"/>
      <c r="AI1014" s="122"/>
      <c r="AJ1014" s="122"/>
      <c r="AK1014" s="122"/>
      <c r="AL1014" s="122"/>
      <c r="AM1014" s="122"/>
      <c r="AN1014" s="122"/>
      <c r="AO1014" s="122"/>
      <c r="AP1014" s="122"/>
      <c r="AQ1014" s="122"/>
      <c r="AR1014" s="122"/>
      <c r="AS1014" s="122"/>
      <c r="AT1014" s="122"/>
      <c r="AU1014" s="122"/>
      <c r="AV1014" s="122"/>
      <c r="AW1014" s="122"/>
      <c r="AX1014" s="122"/>
      <c r="AY1014" s="122"/>
    </row>
    <row r="1015">
      <c r="A1015" s="78"/>
      <c r="B1015" s="78"/>
      <c r="C1015" s="78"/>
      <c r="D1015" s="78"/>
      <c r="E1015" s="122"/>
      <c r="F1015" s="122"/>
      <c r="G1015" s="122"/>
      <c r="H1015" s="122"/>
      <c r="I1015" s="122"/>
      <c r="J1015" s="122"/>
      <c r="K1015" s="122"/>
      <c r="L1015" s="122"/>
      <c r="M1015" s="122"/>
      <c r="N1015" s="122"/>
      <c r="O1015" s="122"/>
      <c r="P1015" s="122"/>
      <c r="Q1015" s="122"/>
      <c r="R1015" s="122"/>
      <c r="S1015" s="122"/>
      <c r="T1015" s="122"/>
      <c r="U1015" s="122"/>
      <c r="V1015" s="122"/>
      <c r="W1015" s="122"/>
      <c r="X1015" s="122"/>
      <c r="Y1015" s="122"/>
      <c r="Z1015" s="122"/>
      <c r="AA1015" s="122"/>
      <c r="AB1015" s="122"/>
      <c r="AC1015" s="122"/>
      <c r="AD1015" s="122"/>
      <c r="AE1015" s="122"/>
      <c r="AF1015" s="122"/>
      <c r="AG1015" s="122"/>
      <c r="AH1015" s="122"/>
      <c r="AI1015" s="122"/>
      <c r="AJ1015" s="122"/>
      <c r="AK1015" s="122"/>
      <c r="AL1015" s="122"/>
      <c r="AM1015" s="122"/>
      <c r="AN1015" s="122"/>
      <c r="AO1015" s="122"/>
      <c r="AP1015" s="122"/>
      <c r="AQ1015" s="122"/>
      <c r="AR1015" s="122"/>
      <c r="AS1015" s="122"/>
      <c r="AT1015" s="122"/>
      <c r="AU1015" s="122"/>
      <c r="AV1015" s="122"/>
      <c r="AW1015" s="122"/>
      <c r="AX1015" s="122"/>
      <c r="AY1015" s="122"/>
    </row>
    <row r="1016">
      <c r="A1016" s="78"/>
      <c r="B1016" s="78"/>
      <c r="C1016" s="78"/>
      <c r="D1016" s="78"/>
      <c r="E1016" s="122"/>
      <c r="F1016" s="122"/>
      <c r="G1016" s="122"/>
      <c r="H1016" s="122"/>
      <c r="I1016" s="122"/>
      <c r="J1016" s="122"/>
      <c r="K1016" s="122"/>
      <c r="L1016" s="122"/>
      <c r="M1016" s="122"/>
      <c r="N1016" s="122"/>
      <c r="O1016" s="122"/>
      <c r="P1016" s="122"/>
      <c r="Q1016" s="122"/>
      <c r="R1016" s="122"/>
      <c r="S1016" s="122"/>
      <c r="T1016" s="122"/>
      <c r="U1016" s="122"/>
      <c r="V1016" s="122"/>
      <c r="W1016" s="122"/>
      <c r="X1016" s="122"/>
      <c r="Y1016" s="122"/>
      <c r="Z1016" s="122"/>
      <c r="AA1016" s="122"/>
      <c r="AB1016" s="122"/>
      <c r="AC1016" s="122"/>
      <c r="AD1016" s="122"/>
      <c r="AE1016" s="122"/>
      <c r="AF1016" s="122"/>
      <c r="AG1016" s="122"/>
      <c r="AH1016" s="122"/>
      <c r="AI1016" s="122"/>
      <c r="AJ1016" s="122"/>
      <c r="AK1016" s="122"/>
      <c r="AL1016" s="122"/>
      <c r="AM1016" s="122"/>
      <c r="AN1016" s="122"/>
      <c r="AO1016" s="122"/>
      <c r="AP1016" s="122"/>
      <c r="AQ1016" s="122"/>
      <c r="AR1016" s="122"/>
      <c r="AS1016" s="122"/>
      <c r="AT1016" s="122"/>
      <c r="AU1016" s="122"/>
      <c r="AV1016" s="122"/>
      <c r="AW1016" s="122"/>
      <c r="AX1016" s="122"/>
      <c r="AY1016" s="122"/>
    </row>
  </sheetData>
  <mergeCells count="16">
    <mergeCell ref="G22:H22"/>
    <mergeCell ref="G29:H29"/>
    <mergeCell ref="X31:Y31"/>
    <mergeCell ref="P36:Q36"/>
    <mergeCell ref="AD36:AE36"/>
    <mergeCell ref="AD37:AF37"/>
    <mergeCell ref="AE38:AF38"/>
    <mergeCell ref="X43:Z43"/>
    <mergeCell ref="AA43:AB43"/>
    <mergeCell ref="L39:N39"/>
    <mergeCell ref="W39:Z39"/>
    <mergeCell ref="AE39:AF39"/>
    <mergeCell ref="U40:X40"/>
    <mergeCell ref="AE40:AF40"/>
    <mergeCell ref="U41:W41"/>
    <mergeCell ref="AD41:AF41"/>
  </mergeCells>
  <conditionalFormatting sqref="B215:H215 J215:M215 O215 Q215">
    <cfRule type="expression" dxfId="0" priority="1">
      <formula>$G215="No"</formula>
    </cfRule>
  </conditionalFormatting>
  <conditionalFormatting sqref="B215:H215 J215:M215 O215 Q215">
    <cfRule type="expression" dxfId="1" priority="2">
      <formula>$G215=""</formula>
    </cfRule>
  </conditionalFormatting>
  <conditionalFormatting sqref="V215">
    <cfRule type="cellIs" dxfId="2" priority="3" operator="equal">
      <formula>"No"</formula>
    </cfRule>
  </conditionalFormatting>
  <conditionalFormatting sqref="V215">
    <cfRule type="cellIs" dxfId="3" priority="4" operator="equal">
      <formula>"Yes"</formula>
    </cfRule>
  </conditionalFormatting>
  <conditionalFormatting sqref="V215">
    <cfRule type="cellIs" dxfId="5" priority="5" operator="equal">
      <formula>"YesNo"</formula>
    </cfRule>
  </conditionalFormatting>
  <conditionalFormatting sqref="V190">
    <cfRule type="cellIs" dxfId="2" priority="6" operator="equal">
      <formula>"No"</formula>
    </cfRule>
  </conditionalFormatting>
  <conditionalFormatting sqref="V190">
    <cfRule type="cellIs" dxfId="3" priority="7" operator="equal">
      <formula>"Yes"</formula>
    </cfRule>
  </conditionalFormatting>
  <conditionalFormatting sqref="V190">
    <cfRule type="cellIs" dxfId="5" priority="8" operator="equal">
      <formula>"YesNo"</formula>
    </cfRule>
  </conditionalFormatting>
  <conditionalFormatting sqref="B182 D182 F182:I182 K182:R182">
    <cfRule type="expression" dxfId="0" priority="9">
      <formula>$R182="No"</formula>
    </cfRule>
  </conditionalFormatting>
  <conditionalFormatting sqref="B181 D181 F181:M181 O181 Q181">
    <cfRule type="expression" dxfId="1" priority="10">
      <formula>$G181=""</formula>
    </cfRule>
  </conditionalFormatting>
  <conditionalFormatting sqref="B181 D181 F181:M181 O181 Q181">
    <cfRule type="expression" dxfId="0" priority="11">
      <formula>$G181="No"</formula>
    </cfRule>
  </conditionalFormatting>
  <dataValidations>
    <dataValidation type="list" allowBlank="1" showErrorMessage="1" sqref="R77:R88 R101:R108">
      <formula1>'Exclussion basis'!$A$2:B1016</formula1>
    </dataValidation>
    <dataValidation type="list" allowBlank="1" showErrorMessage="1" sqref="O14:O15 O17 O23 Q30:Q35 Q44:Q66">
      <formula1>'Exclussion basis'!$A$2:$A$4</formula1>
    </dataValidation>
  </dataValidations>
  <hyperlinks>
    <hyperlink r:id="rId1" ref="D30"/>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1.78"/>
  </cols>
  <sheetData>
    <row r="1">
      <c r="A1" s="26" t="s">
        <v>2591</v>
      </c>
    </row>
    <row r="2">
      <c r="A2" s="26" t="s">
        <v>2592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0.22"/>
    <col customWidth="1" min="2" max="26" width="6.78"/>
  </cols>
  <sheetData>
    <row r="1" ht="134.25" customHeight="1">
      <c r="A1" s="242" t="s">
        <v>2593</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44"/>
    <col customWidth="1" min="2" max="2" width="23.11"/>
    <col customWidth="1" min="3" max="3" width="26.33"/>
    <col customWidth="1" min="4" max="4" width="25.33"/>
    <col customWidth="1" min="5" max="26" width="6.78"/>
  </cols>
  <sheetData>
    <row r="1" ht="14.25" customHeight="1">
      <c r="A1" s="243" t="s">
        <v>2594</v>
      </c>
      <c r="B1" s="243" t="s">
        <v>2595</v>
      </c>
      <c r="C1" s="243" t="s">
        <v>2596</v>
      </c>
      <c r="D1" s="243" t="s">
        <v>2283</v>
      </c>
    </row>
    <row r="2" ht="14.25" customHeight="1">
      <c r="A2" s="244" t="s">
        <v>2597</v>
      </c>
      <c r="B2" s="244" t="s">
        <v>2598</v>
      </c>
      <c r="C2" s="244">
        <v>442.0</v>
      </c>
      <c r="D2" s="244" t="s">
        <v>2599</v>
      </c>
    </row>
    <row r="3" ht="14.25" customHeight="1">
      <c r="A3" s="244" t="s">
        <v>2597</v>
      </c>
      <c r="B3" s="244" t="s">
        <v>2600</v>
      </c>
      <c r="C3" s="245">
        <v>142.0</v>
      </c>
      <c r="D3" s="245" t="s">
        <v>2601</v>
      </c>
    </row>
    <row r="4" ht="14.25" customHeight="1">
      <c r="A4" s="244" t="s">
        <v>2597</v>
      </c>
      <c r="B4" s="244" t="s">
        <v>2602</v>
      </c>
      <c r="C4" s="245">
        <v>140.0</v>
      </c>
      <c r="D4" s="245" t="s">
        <v>2603</v>
      </c>
    </row>
    <row r="5" ht="14.25" customHeight="1">
      <c r="A5" s="246" t="s">
        <v>2604</v>
      </c>
      <c r="B5" s="246" t="s">
        <v>2605</v>
      </c>
      <c r="C5" s="246"/>
      <c r="D5" s="246"/>
    </row>
    <row r="6" ht="14.25" customHeight="1">
      <c r="A6" s="246" t="s">
        <v>2604</v>
      </c>
      <c r="B6" s="246" t="s">
        <v>2606</v>
      </c>
      <c r="C6" s="246"/>
      <c r="D6" s="246"/>
    </row>
    <row r="7" ht="14.25" customHeight="1">
      <c r="A7" s="247" t="s">
        <v>2607</v>
      </c>
      <c r="B7" s="247" t="s">
        <v>2608</v>
      </c>
      <c r="C7" s="247"/>
      <c r="D7" s="247"/>
    </row>
    <row r="8" ht="14.25" customHeight="1">
      <c r="A8" s="247" t="s">
        <v>2607</v>
      </c>
      <c r="B8" s="247" t="s">
        <v>2609</v>
      </c>
      <c r="C8" s="247"/>
      <c r="D8" s="247"/>
    </row>
    <row r="9" ht="14.25" customHeight="1">
      <c r="A9" s="247" t="s">
        <v>2607</v>
      </c>
      <c r="B9" s="247" t="s">
        <v>2610</v>
      </c>
      <c r="C9" s="247"/>
      <c r="D9" s="247"/>
    </row>
    <row r="10" ht="14.25" customHeight="1">
      <c r="A10" s="247" t="s">
        <v>2607</v>
      </c>
      <c r="B10" s="247" t="s">
        <v>2611</v>
      </c>
      <c r="C10" s="247"/>
      <c r="D10" s="247"/>
    </row>
    <row r="11" ht="14.25" customHeight="1">
      <c r="A11" s="248" t="s">
        <v>2612</v>
      </c>
      <c r="B11" s="248" t="s">
        <v>2613</v>
      </c>
      <c r="C11" s="248"/>
      <c r="D11" s="248"/>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78"/>
    <col customWidth="1" min="2" max="2" width="27.33"/>
    <col customWidth="1" min="3" max="3" width="13.0"/>
    <col customWidth="1" min="4" max="4" width="9.0"/>
    <col customWidth="1" min="5" max="5" width="7.22"/>
    <col customWidth="1" min="6" max="6" width="10.22"/>
    <col customWidth="1" min="7" max="7" width="13.78"/>
    <col customWidth="1" min="8" max="8" width="12.56"/>
    <col customWidth="1" min="9" max="9" width="10.89"/>
    <col customWidth="1" min="10" max="12" width="13.11"/>
    <col customWidth="1" min="13" max="13" width="12.67"/>
    <col customWidth="1" min="14" max="14" width="14.0"/>
    <col customWidth="1" min="15" max="16" width="10.11"/>
    <col customWidth="1" min="17" max="17" width="6.44"/>
    <col customWidth="1" min="18" max="18" width="6.78"/>
    <col customWidth="1" min="19" max="19" width="11.78"/>
    <col customWidth="1" min="20" max="20" width="7.56"/>
    <col customWidth="1" min="21" max="30" width="6.78"/>
  </cols>
  <sheetData>
    <row r="1" ht="60.0" customHeight="1">
      <c r="A1" s="54" t="s">
        <v>57</v>
      </c>
      <c r="B1" s="54" t="s">
        <v>58</v>
      </c>
      <c r="C1" s="54" t="s">
        <v>59</v>
      </c>
      <c r="D1" s="54" t="s">
        <v>60</v>
      </c>
      <c r="E1" s="249" t="s">
        <v>61</v>
      </c>
      <c r="F1" s="249" t="s">
        <v>62</v>
      </c>
      <c r="G1" s="249" t="s">
        <v>2614</v>
      </c>
      <c r="H1" s="250" t="s">
        <v>2615</v>
      </c>
      <c r="I1" s="250" t="s">
        <v>2616</v>
      </c>
      <c r="J1" s="249" t="s">
        <v>2617</v>
      </c>
      <c r="K1" s="251" t="s">
        <v>2618</v>
      </c>
      <c r="L1" s="250" t="s">
        <v>2619</v>
      </c>
      <c r="M1" s="249" t="s">
        <v>2620</v>
      </c>
      <c r="N1" s="249" t="s">
        <v>2621</v>
      </c>
      <c r="O1" s="249" t="s">
        <v>2622</v>
      </c>
      <c r="P1" s="249" t="s">
        <v>2623</v>
      </c>
      <c r="Q1" s="54" t="s">
        <v>2624</v>
      </c>
      <c r="R1" s="56" t="s">
        <v>943</v>
      </c>
      <c r="S1" s="56" t="s">
        <v>2625</v>
      </c>
      <c r="T1" s="252" t="s">
        <v>2626</v>
      </c>
      <c r="U1" s="57" t="s">
        <v>61</v>
      </c>
      <c r="V1" s="57" t="s">
        <v>62</v>
      </c>
      <c r="W1" s="252" t="s">
        <v>949</v>
      </c>
      <c r="X1" s="252" t="s">
        <v>2627</v>
      </c>
      <c r="Y1" s="253" t="s">
        <v>2628</v>
      </c>
      <c r="Z1" s="253" t="s">
        <v>2629</v>
      </c>
      <c r="AA1" s="253" t="s">
        <v>2630</v>
      </c>
    </row>
    <row r="2" ht="14.25" customHeight="1">
      <c r="A2" s="254" t="s">
        <v>427</v>
      </c>
      <c r="B2" s="254" t="s">
        <v>428</v>
      </c>
      <c r="C2" s="254" t="s">
        <v>88</v>
      </c>
      <c r="D2" s="254" t="s">
        <v>429</v>
      </c>
      <c r="E2" s="254" t="s">
        <v>101</v>
      </c>
      <c r="F2" s="254" t="s">
        <v>430</v>
      </c>
      <c r="G2" s="254" t="s">
        <v>49</v>
      </c>
      <c r="H2" s="255" t="s">
        <v>620</v>
      </c>
      <c r="I2" s="255" t="s">
        <v>2631</v>
      </c>
      <c r="J2" s="255" t="s">
        <v>2632</v>
      </c>
      <c r="K2" s="255" t="s">
        <v>2633</v>
      </c>
      <c r="L2" s="254"/>
      <c r="M2" s="255" t="s">
        <v>2634</v>
      </c>
      <c r="N2" s="255" t="s">
        <v>961</v>
      </c>
      <c r="O2" s="255" t="s">
        <v>2635</v>
      </c>
      <c r="P2" s="254" t="s">
        <v>2636</v>
      </c>
      <c r="Q2" s="255" t="s">
        <v>2408</v>
      </c>
      <c r="R2" s="255" t="s">
        <v>961</v>
      </c>
      <c r="S2" s="255" t="s">
        <v>2637</v>
      </c>
      <c r="T2" s="255" t="s">
        <v>2638</v>
      </c>
      <c r="U2" s="255" t="s">
        <v>2639</v>
      </c>
      <c r="V2" s="255" t="s">
        <v>2640</v>
      </c>
      <c r="W2" s="255" t="s">
        <v>2641</v>
      </c>
      <c r="X2" s="254"/>
      <c r="Y2" s="254"/>
      <c r="Z2" s="254"/>
      <c r="AA2" s="254"/>
      <c r="AB2" s="254"/>
      <c r="AC2" s="254"/>
      <c r="AD2" s="254"/>
    </row>
    <row r="3" ht="14.25" customHeight="1">
      <c r="A3" s="37" t="s">
        <v>432</v>
      </c>
      <c r="B3" s="37" t="s">
        <v>433</v>
      </c>
      <c r="C3" s="37" t="s">
        <v>88</v>
      </c>
      <c r="D3" s="37" t="s">
        <v>125</v>
      </c>
      <c r="E3" s="26" t="s">
        <v>2642</v>
      </c>
      <c r="F3" s="37" t="s">
        <v>209</v>
      </c>
      <c r="G3" s="37" t="s">
        <v>49</v>
      </c>
      <c r="H3" s="26" t="s">
        <v>2643</v>
      </c>
      <c r="I3" s="26" t="s">
        <v>2644</v>
      </c>
      <c r="J3" s="26" t="s">
        <v>2645</v>
      </c>
      <c r="K3" s="26" t="s">
        <v>2646</v>
      </c>
      <c r="L3" s="26" t="s">
        <v>1721</v>
      </c>
      <c r="M3" s="26" t="s">
        <v>2647</v>
      </c>
      <c r="N3" s="26" t="s">
        <v>930</v>
      </c>
      <c r="O3" s="26" t="s">
        <v>2168</v>
      </c>
      <c r="P3" s="37"/>
      <c r="Q3" s="26" t="s">
        <v>2168</v>
      </c>
      <c r="R3" s="26" t="s">
        <v>961</v>
      </c>
      <c r="S3" s="26" t="s">
        <v>2648</v>
      </c>
      <c r="T3" s="26" t="s">
        <v>2649</v>
      </c>
      <c r="U3" s="26" t="s">
        <v>2218</v>
      </c>
      <c r="V3" s="26" t="s">
        <v>2218</v>
      </c>
      <c r="W3" s="26" t="s">
        <v>2650</v>
      </c>
    </row>
    <row r="4" ht="14.25" customHeight="1">
      <c r="A4" s="37" t="s">
        <v>435</v>
      </c>
      <c r="B4" s="37" t="s">
        <v>436</v>
      </c>
      <c r="C4" s="37" t="s">
        <v>88</v>
      </c>
      <c r="D4" s="37" t="s">
        <v>256</v>
      </c>
      <c r="E4" s="37" t="s">
        <v>101</v>
      </c>
      <c r="F4" s="37" t="s">
        <v>102</v>
      </c>
      <c r="G4" s="37" t="s">
        <v>49</v>
      </c>
      <c r="H4" s="26" t="s">
        <v>2651</v>
      </c>
      <c r="I4" s="26" t="s">
        <v>2652</v>
      </c>
      <c r="J4" s="26" t="s">
        <v>2653</v>
      </c>
      <c r="K4" s="26" t="s">
        <v>2646</v>
      </c>
      <c r="L4" s="26" t="s">
        <v>2654</v>
      </c>
      <c r="M4" s="26" t="s">
        <v>2655</v>
      </c>
      <c r="N4" s="26" t="s">
        <v>930</v>
      </c>
      <c r="O4" s="26" t="s">
        <v>2168</v>
      </c>
      <c r="P4" s="37"/>
      <c r="Q4" s="26" t="s">
        <v>2168</v>
      </c>
      <c r="R4" s="26" t="s">
        <v>961</v>
      </c>
      <c r="S4" s="26" t="s">
        <v>2656</v>
      </c>
      <c r="T4" s="26" t="s">
        <v>2657</v>
      </c>
      <c r="U4" s="26" t="s">
        <v>2658</v>
      </c>
      <c r="V4" s="26" t="s">
        <v>2659</v>
      </c>
      <c r="W4" s="26" t="s">
        <v>2650</v>
      </c>
    </row>
    <row r="5" ht="14.25" customHeight="1">
      <c r="A5" s="37" t="s">
        <v>437</v>
      </c>
      <c r="B5" s="37" t="s">
        <v>438</v>
      </c>
      <c r="C5" s="37" t="s">
        <v>88</v>
      </c>
      <c r="D5" s="37" t="s">
        <v>264</v>
      </c>
      <c r="E5" s="37" t="s">
        <v>439</v>
      </c>
      <c r="F5" s="37" t="s">
        <v>440</v>
      </c>
      <c r="G5" s="37" t="s">
        <v>49</v>
      </c>
      <c r="H5" s="26" t="s">
        <v>2660</v>
      </c>
      <c r="I5" s="26" t="s">
        <v>2661</v>
      </c>
      <c r="J5" s="26" t="s">
        <v>2662</v>
      </c>
      <c r="K5" s="26" t="s">
        <v>2663</v>
      </c>
      <c r="L5" s="26" t="s">
        <v>2664</v>
      </c>
      <c r="M5" s="26" t="s">
        <v>2665</v>
      </c>
      <c r="N5" s="26" t="s">
        <v>930</v>
      </c>
      <c r="O5" s="26" t="s">
        <v>2168</v>
      </c>
      <c r="P5" s="37"/>
      <c r="Q5" s="26" t="s">
        <v>2168</v>
      </c>
      <c r="R5" s="26" t="s">
        <v>961</v>
      </c>
      <c r="S5" s="26" t="s">
        <v>2666</v>
      </c>
      <c r="T5" s="26" t="s">
        <v>2667</v>
      </c>
      <c r="U5" s="26" t="s">
        <v>2218</v>
      </c>
      <c r="V5" s="26" t="s">
        <v>2668</v>
      </c>
      <c r="W5" s="26" t="s">
        <v>2669</v>
      </c>
      <c r="X5" s="26" t="s">
        <v>930</v>
      </c>
    </row>
    <row r="6" ht="14.25" customHeight="1">
      <c r="A6" s="37" t="s">
        <v>441</v>
      </c>
      <c r="B6" s="37" t="s">
        <v>442</v>
      </c>
      <c r="C6" s="37" t="s">
        <v>88</v>
      </c>
      <c r="D6" s="37" t="s">
        <v>443</v>
      </c>
      <c r="E6" s="37" t="s">
        <v>444</v>
      </c>
      <c r="F6" s="37" t="s">
        <v>445</v>
      </c>
      <c r="G6" s="37" t="s">
        <v>49</v>
      </c>
      <c r="H6" s="26" t="s">
        <v>2643</v>
      </c>
      <c r="I6" s="26" t="s">
        <v>2670</v>
      </c>
      <c r="J6" s="26" t="s">
        <v>2671</v>
      </c>
      <c r="K6" s="26" t="s">
        <v>2672</v>
      </c>
      <c r="L6" s="26" t="s">
        <v>2673</v>
      </c>
      <c r="M6" s="26" t="s">
        <v>2674</v>
      </c>
      <c r="N6" s="26" t="s">
        <v>930</v>
      </c>
      <c r="O6" s="26" t="s">
        <v>2168</v>
      </c>
      <c r="P6" s="37"/>
      <c r="Q6" s="26" t="s">
        <v>2168</v>
      </c>
      <c r="R6" s="26" t="s">
        <v>961</v>
      </c>
      <c r="S6" s="26" t="s">
        <v>2675</v>
      </c>
      <c r="T6" s="26" t="s">
        <v>2676</v>
      </c>
      <c r="U6" s="26" t="s">
        <v>2677</v>
      </c>
      <c r="V6" s="26" t="s">
        <v>2678</v>
      </c>
      <c r="W6" s="26" t="s">
        <v>2679</v>
      </c>
      <c r="X6" s="26" t="s">
        <v>930</v>
      </c>
    </row>
    <row r="7" ht="14.25" customHeight="1">
      <c r="A7" s="37" t="s">
        <v>446</v>
      </c>
      <c r="B7" s="37" t="s">
        <v>447</v>
      </c>
      <c r="C7" s="37" t="s">
        <v>88</v>
      </c>
      <c r="D7" s="37" t="s">
        <v>187</v>
      </c>
      <c r="E7" s="37" t="s">
        <v>448</v>
      </c>
      <c r="F7" s="37" t="s">
        <v>189</v>
      </c>
      <c r="G7" s="37" t="s">
        <v>49</v>
      </c>
      <c r="H7" s="26" t="s">
        <v>2680</v>
      </c>
      <c r="I7" s="26" t="s">
        <v>2681</v>
      </c>
      <c r="J7" s="26" t="s">
        <v>2682</v>
      </c>
      <c r="K7" s="26" t="s">
        <v>2683</v>
      </c>
      <c r="L7" s="26" t="s">
        <v>2684</v>
      </c>
      <c r="M7" s="26" t="s">
        <v>2685</v>
      </c>
      <c r="N7" s="26" t="s">
        <v>930</v>
      </c>
      <c r="O7" s="26" t="s">
        <v>2168</v>
      </c>
      <c r="P7" s="37"/>
      <c r="Q7" s="26" t="s">
        <v>2168</v>
      </c>
      <c r="R7" s="26" t="s">
        <v>961</v>
      </c>
      <c r="S7" s="26" t="s">
        <v>2686</v>
      </c>
      <c r="T7" s="26" t="s">
        <v>2687</v>
      </c>
      <c r="U7" s="26" t="s">
        <v>2688</v>
      </c>
      <c r="V7" s="26" t="s">
        <v>2689</v>
      </c>
      <c r="W7" s="26" t="s">
        <v>2690</v>
      </c>
      <c r="X7" s="26" t="s">
        <v>930</v>
      </c>
    </row>
    <row r="8" ht="14.25" customHeight="1">
      <c r="A8" s="37" t="s">
        <v>449</v>
      </c>
      <c r="B8" s="37" t="s">
        <v>450</v>
      </c>
      <c r="C8" s="37" t="s">
        <v>88</v>
      </c>
      <c r="D8" s="37" t="s">
        <v>179</v>
      </c>
      <c r="E8" s="37" t="s">
        <v>451</v>
      </c>
      <c r="F8" s="37" t="s">
        <v>280</v>
      </c>
      <c r="G8" s="37" t="s">
        <v>49</v>
      </c>
      <c r="H8" s="26" t="s">
        <v>2691</v>
      </c>
      <c r="I8" s="26" t="s">
        <v>2692</v>
      </c>
      <c r="J8" s="26" t="s">
        <v>2693</v>
      </c>
      <c r="K8" s="26" t="s">
        <v>2694</v>
      </c>
      <c r="L8" s="26" t="s">
        <v>2695</v>
      </c>
      <c r="M8" s="26" t="s">
        <v>2696</v>
      </c>
      <c r="N8" s="26" t="s">
        <v>2697</v>
      </c>
      <c r="O8" s="26" t="s">
        <v>2168</v>
      </c>
      <c r="P8" s="37"/>
      <c r="Q8" s="26" t="s">
        <v>2168</v>
      </c>
      <c r="R8" s="26" t="s">
        <v>961</v>
      </c>
      <c r="S8" s="26" t="s">
        <v>2698</v>
      </c>
      <c r="T8" s="26" t="s">
        <v>2699</v>
      </c>
      <c r="U8" s="26" t="s">
        <v>2700</v>
      </c>
      <c r="V8" s="26" t="s">
        <v>2701</v>
      </c>
      <c r="W8" s="26" t="s">
        <v>2702</v>
      </c>
      <c r="X8" s="26" t="s">
        <v>961</v>
      </c>
    </row>
    <row r="9" ht="14.25" customHeight="1">
      <c r="A9" s="37" t="s">
        <v>452</v>
      </c>
      <c r="B9" s="37" t="s">
        <v>453</v>
      </c>
      <c r="C9" s="37" t="s">
        <v>88</v>
      </c>
      <c r="D9" s="37" t="s">
        <v>454</v>
      </c>
      <c r="E9" s="37" t="s">
        <v>455</v>
      </c>
      <c r="F9" s="37" t="s">
        <v>456</v>
      </c>
      <c r="G9" s="37" t="s">
        <v>49</v>
      </c>
      <c r="H9" s="26" t="s">
        <v>2703</v>
      </c>
      <c r="I9" s="26" t="s">
        <v>2704</v>
      </c>
      <c r="J9" s="26" t="s">
        <v>2705</v>
      </c>
      <c r="K9" s="26" t="s">
        <v>2706</v>
      </c>
      <c r="L9" s="26" t="s">
        <v>2707</v>
      </c>
      <c r="M9" s="26" t="s">
        <v>2708</v>
      </c>
      <c r="N9" s="26" t="s">
        <v>2709</v>
      </c>
      <c r="O9" s="26" t="s">
        <v>2168</v>
      </c>
      <c r="P9" s="37"/>
      <c r="Q9" s="26" t="s">
        <v>2168</v>
      </c>
      <c r="R9" s="26" t="s">
        <v>961</v>
      </c>
      <c r="S9" s="26" t="s">
        <v>2710</v>
      </c>
      <c r="T9" s="26" t="s">
        <v>2711</v>
      </c>
      <c r="U9" s="26" t="s">
        <v>2712</v>
      </c>
      <c r="V9" s="26" t="s">
        <v>2713</v>
      </c>
      <c r="W9" s="26" t="s">
        <v>2714</v>
      </c>
      <c r="X9" s="26" t="s">
        <v>961</v>
      </c>
    </row>
    <row r="10" ht="14.25" customHeight="1">
      <c r="A10" s="37" t="s">
        <v>457</v>
      </c>
      <c r="B10" s="37" t="s">
        <v>458</v>
      </c>
      <c r="C10" s="37" t="s">
        <v>88</v>
      </c>
      <c r="D10" s="37" t="s">
        <v>422</v>
      </c>
      <c r="E10" s="37" t="s">
        <v>162</v>
      </c>
      <c r="F10" s="37" t="s">
        <v>176</v>
      </c>
      <c r="G10" s="37" t="s">
        <v>49</v>
      </c>
      <c r="H10" s="26" t="s">
        <v>2715</v>
      </c>
      <c r="I10" s="26" t="s">
        <v>2716</v>
      </c>
      <c r="J10" s="26" t="s">
        <v>2717</v>
      </c>
      <c r="K10" s="26" t="s">
        <v>2718</v>
      </c>
      <c r="L10" s="26" t="s">
        <v>2719</v>
      </c>
      <c r="M10" s="26" t="s">
        <v>2720</v>
      </c>
      <c r="N10" s="26" t="s">
        <v>930</v>
      </c>
      <c r="O10" s="26" t="s">
        <v>2168</v>
      </c>
      <c r="P10" s="37"/>
      <c r="Q10" s="26" t="s">
        <v>2168</v>
      </c>
      <c r="R10" s="26" t="s">
        <v>961</v>
      </c>
      <c r="S10" s="26" t="s">
        <v>2721</v>
      </c>
      <c r="T10" s="26" t="s">
        <v>2722</v>
      </c>
      <c r="U10" s="26" t="s">
        <v>2723</v>
      </c>
      <c r="V10" s="26" t="s">
        <v>2724</v>
      </c>
      <c r="W10" s="26" t="s">
        <v>2714</v>
      </c>
      <c r="X10" s="26" t="s">
        <v>930</v>
      </c>
    </row>
    <row r="11" ht="14.25" customHeight="1">
      <c r="A11" s="37" t="s">
        <v>459</v>
      </c>
      <c r="B11" s="37" t="s">
        <v>460</v>
      </c>
      <c r="C11" s="37" t="s">
        <v>88</v>
      </c>
      <c r="D11" s="37" t="s">
        <v>461</v>
      </c>
      <c r="E11" s="37" t="s">
        <v>462</v>
      </c>
      <c r="F11" s="37" t="s">
        <v>463</v>
      </c>
      <c r="G11" s="37" t="s">
        <v>49</v>
      </c>
      <c r="H11" s="26" t="s">
        <v>2725</v>
      </c>
      <c r="I11" s="26" t="s">
        <v>2726</v>
      </c>
      <c r="J11" s="26" t="s">
        <v>2727</v>
      </c>
      <c r="K11" s="26" t="s">
        <v>2728</v>
      </c>
      <c r="L11" s="26" t="s">
        <v>2729</v>
      </c>
      <c r="M11" s="26" t="s">
        <v>2730</v>
      </c>
      <c r="N11" s="26" t="s">
        <v>930</v>
      </c>
      <c r="O11" s="26" t="s">
        <v>2168</v>
      </c>
      <c r="P11" s="37"/>
      <c r="Q11" s="26" t="s">
        <v>2168</v>
      </c>
      <c r="R11" s="26" t="s">
        <v>961</v>
      </c>
      <c r="S11" s="26" t="s">
        <v>2731</v>
      </c>
      <c r="T11" s="26" t="s">
        <v>2732</v>
      </c>
      <c r="U11" s="26" t="s">
        <v>2733</v>
      </c>
      <c r="V11" s="26" t="s">
        <v>2734</v>
      </c>
      <c r="W11" s="26" t="s">
        <v>2714</v>
      </c>
      <c r="X11" s="26" t="s">
        <v>930</v>
      </c>
    </row>
    <row r="12" ht="14.25" customHeight="1">
      <c r="A12" s="37" t="s">
        <v>464</v>
      </c>
      <c r="B12" s="37" t="s">
        <v>465</v>
      </c>
      <c r="C12" s="37" t="s">
        <v>88</v>
      </c>
      <c r="D12" s="37" t="s">
        <v>413</v>
      </c>
      <c r="E12" s="37" t="s">
        <v>466</v>
      </c>
      <c r="F12" s="37" t="s">
        <v>398</v>
      </c>
      <c r="G12" s="37" t="s">
        <v>49</v>
      </c>
      <c r="H12" s="26" t="s">
        <v>2735</v>
      </c>
      <c r="I12" s="26" t="s">
        <v>2736</v>
      </c>
      <c r="J12" s="26" t="s">
        <v>2737</v>
      </c>
      <c r="K12" s="26" t="s">
        <v>2738</v>
      </c>
      <c r="L12" s="26" t="s">
        <v>2739</v>
      </c>
      <c r="M12" s="26" t="s">
        <v>2740</v>
      </c>
      <c r="N12" s="26" t="s">
        <v>930</v>
      </c>
      <c r="O12" s="26" t="s">
        <v>2168</v>
      </c>
      <c r="P12" s="37"/>
      <c r="Q12" s="26" t="s">
        <v>2168</v>
      </c>
      <c r="R12" s="26" t="s">
        <v>961</v>
      </c>
      <c r="S12" s="26" t="s">
        <v>2741</v>
      </c>
      <c r="T12" s="26" t="s">
        <v>2742</v>
      </c>
      <c r="U12" s="26" t="s">
        <v>2743</v>
      </c>
      <c r="V12" s="26" t="s">
        <v>2744</v>
      </c>
      <c r="W12" s="26" t="s">
        <v>2714</v>
      </c>
      <c r="X12" s="26" t="s">
        <v>930</v>
      </c>
    </row>
    <row r="13" ht="14.25" customHeight="1">
      <c r="A13" s="256" t="s">
        <v>467</v>
      </c>
      <c r="B13" s="256" t="s">
        <v>468</v>
      </c>
      <c r="C13" s="256" t="s">
        <v>88</v>
      </c>
      <c r="D13" s="256" t="s">
        <v>469</v>
      </c>
      <c r="E13" s="256" t="s">
        <v>470</v>
      </c>
      <c r="F13" s="256" t="s">
        <v>471</v>
      </c>
      <c r="G13" s="256" t="s">
        <v>49</v>
      </c>
      <c r="H13" s="257" t="s">
        <v>2745</v>
      </c>
      <c r="I13" s="257" t="s">
        <v>2746</v>
      </c>
      <c r="J13" s="257" t="s">
        <v>2747</v>
      </c>
      <c r="K13" s="257" t="s">
        <v>2748</v>
      </c>
      <c r="L13" s="257" t="s">
        <v>2749</v>
      </c>
      <c r="M13" s="257" t="s">
        <v>2750</v>
      </c>
      <c r="N13" s="257" t="s">
        <v>961</v>
      </c>
      <c r="O13" s="257" t="s">
        <v>2751</v>
      </c>
      <c r="P13" s="257" t="s">
        <v>2388</v>
      </c>
      <c r="Q13" s="257" t="s">
        <v>2168</v>
      </c>
      <c r="R13" s="257" t="s">
        <v>961</v>
      </c>
      <c r="S13" s="257" t="s">
        <v>2752</v>
      </c>
      <c r="T13" s="257" t="s">
        <v>2753</v>
      </c>
      <c r="U13" s="257" t="s">
        <v>2754</v>
      </c>
      <c r="V13" s="257" t="s">
        <v>2755</v>
      </c>
      <c r="W13" s="257" t="s">
        <v>2756</v>
      </c>
      <c r="X13" s="257" t="s">
        <v>930</v>
      </c>
      <c r="Y13" s="256"/>
      <c r="Z13" s="256"/>
      <c r="AA13" s="256"/>
      <c r="AB13" s="256"/>
      <c r="AC13" s="256"/>
      <c r="AD13" s="256"/>
    </row>
    <row r="14" ht="14.25" customHeight="1">
      <c r="A14" s="37" t="s">
        <v>472</v>
      </c>
      <c r="B14" s="37" t="s">
        <v>473</v>
      </c>
      <c r="C14" s="37" t="s">
        <v>88</v>
      </c>
      <c r="D14" s="37" t="s">
        <v>353</v>
      </c>
      <c r="F14" s="37" t="s">
        <v>474</v>
      </c>
      <c r="G14" s="37" t="s">
        <v>49</v>
      </c>
      <c r="H14" s="26" t="s">
        <v>2757</v>
      </c>
      <c r="I14" s="26" t="s">
        <v>2758</v>
      </c>
      <c r="J14" s="26" t="s">
        <v>2759</v>
      </c>
      <c r="K14" s="26" t="s">
        <v>2760</v>
      </c>
      <c r="L14" s="26" t="s">
        <v>2761</v>
      </c>
      <c r="M14" s="26" t="s">
        <v>2762</v>
      </c>
      <c r="N14" s="26" t="s">
        <v>930</v>
      </c>
      <c r="O14" s="26" t="s">
        <v>2168</v>
      </c>
      <c r="P14" s="37"/>
      <c r="Q14" s="26" t="s">
        <v>2168</v>
      </c>
      <c r="R14" s="26" t="s">
        <v>961</v>
      </c>
      <c r="S14" s="26" t="s">
        <v>2763</v>
      </c>
      <c r="T14" s="26" t="s">
        <v>2764</v>
      </c>
      <c r="U14" s="26" t="s">
        <v>2765</v>
      </c>
      <c r="V14" s="26" t="s">
        <v>2766</v>
      </c>
      <c r="W14" s="26" t="s">
        <v>2714</v>
      </c>
      <c r="X14" s="26" t="s">
        <v>930</v>
      </c>
    </row>
    <row r="15" ht="14.25" customHeight="1">
      <c r="A15" s="37" t="s">
        <v>475</v>
      </c>
      <c r="B15" s="37" t="s">
        <v>476</v>
      </c>
      <c r="C15" s="37" t="s">
        <v>88</v>
      </c>
      <c r="D15" s="37" t="s">
        <v>477</v>
      </c>
      <c r="E15" s="37" t="s">
        <v>101</v>
      </c>
      <c r="F15" s="37" t="s">
        <v>478</v>
      </c>
      <c r="G15" s="37" t="s">
        <v>49</v>
      </c>
      <c r="H15" s="26" t="s">
        <v>2767</v>
      </c>
      <c r="I15" s="26" t="s">
        <v>2768</v>
      </c>
      <c r="J15" s="26" t="s">
        <v>2769</v>
      </c>
      <c r="K15" s="26" t="s">
        <v>2770</v>
      </c>
      <c r="L15" s="26" t="s">
        <v>2771</v>
      </c>
      <c r="M15" s="26" t="s">
        <v>2772</v>
      </c>
      <c r="N15" s="26" t="s">
        <v>930</v>
      </c>
      <c r="O15" s="26" t="s">
        <v>2168</v>
      </c>
      <c r="P15" s="37"/>
      <c r="Q15" s="26" t="s">
        <v>2168</v>
      </c>
      <c r="R15" s="26" t="s">
        <v>961</v>
      </c>
      <c r="S15" s="26" t="s">
        <v>2773</v>
      </c>
      <c r="T15" s="26" t="s">
        <v>2774</v>
      </c>
      <c r="U15" s="26" t="s">
        <v>2775</v>
      </c>
      <c r="V15" s="26" t="s">
        <v>2776</v>
      </c>
      <c r="W15" s="26" t="s">
        <v>2714</v>
      </c>
      <c r="X15" s="26" t="s">
        <v>930</v>
      </c>
    </row>
    <row r="16" ht="14.25" customHeight="1">
      <c r="A16" s="37" t="s">
        <v>486</v>
      </c>
      <c r="B16" s="37" t="s">
        <v>487</v>
      </c>
      <c r="C16" s="37" t="s">
        <v>88</v>
      </c>
      <c r="D16" s="37" t="s">
        <v>488</v>
      </c>
      <c r="E16" s="37" t="s">
        <v>137</v>
      </c>
      <c r="F16" s="37" t="s">
        <v>489</v>
      </c>
      <c r="G16" s="37" t="s">
        <v>49</v>
      </c>
      <c r="H16" s="26" t="s">
        <v>2777</v>
      </c>
      <c r="I16" s="26" t="s">
        <v>2778</v>
      </c>
      <c r="J16" s="26" t="s">
        <v>2779</v>
      </c>
      <c r="K16" s="26" t="s">
        <v>2780</v>
      </c>
      <c r="L16" s="26" t="s">
        <v>2781</v>
      </c>
      <c r="M16" s="26" t="s">
        <v>2782</v>
      </c>
      <c r="N16" s="26" t="s">
        <v>930</v>
      </c>
      <c r="O16" s="26" t="s">
        <v>2168</v>
      </c>
      <c r="P16" s="37"/>
      <c r="Q16" s="26" t="s">
        <v>2168</v>
      </c>
      <c r="R16" s="26" t="s">
        <v>961</v>
      </c>
      <c r="S16" s="26" t="s">
        <v>2783</v>
      </c>
      <c r="T16" s="26" t="s">
        <v>2784</v>
      </c>
      <c r="U16" s="26" t="s">
        <v>2785</v>
      </c>
      <c r="V16" s="26" t="s">
        <v>2786</v>
      </c>
      <c r="W16" s="26" t="s">
        <v>2787</v>
      </c>
      <c r="X16" s="26" t="s">
        <v>930</v>
      </c>
    </row>
    <row r="17" ht="14.25" customHeight="1">
      <c r="A17" s="37" t="s">
        <v>490</v>
      </c>
      <c r="B17" s="37" t="s">
        <v>491</v>
      </c>
      <c r="C17" s="37" t="s">
        <v>88</v>
      </c>
      <c r="D17" s="37" t="s">
        <v>492</v>
      </c>
      <c r="E17" s="37" t="s">
        <v>90</v>
      </c>
      <c r="F17" s="37" t="s">
        <v>493</v>
      </c>
      <c r="G17" s="37" t="s">
        <v>49</v>
      </c>
      <c r="H17" s="26" t="s">
        <v>2788</v>
      </c>
      <c r="I17" s="26" t="s">
        <v>2789</v>
      </c>
      <c r="J17" s="26" t="s">
        <v>2790</v>
      </c>
      <c r="K17" s="26" t="s">
        <v>2791</v>
      </c>
      <c r="L17" s="26" t="s">
        <v>2792</v>
      </c>
      <c r="M17" s="26" t="s">
        <v>2793</v>
      </c>
      <c r="N17" s="26" t="s">
        <v>930</v>
      </c>
      <c r="O17" s="26" t="s">
        <v>2168</v>
      </c>
      <c r="P17" s="37"/>
      <c r="Q17" s="26" t="s">
        <v>2168</v>
      </c>
      <c r="R17" s="26" t="s">
        <v>961</v>
      </c>
      <c r="S17" s="26" t="s">
        <v>2794</v>
      </c>
      <c r="T17" s="26" t="s">
        <v>2795</v>
      </c>
      <c r="U17" s="26" t="s">
        <v>2796</v>
      </c>
      <c r="V17" s="26" t="s">
        <v>2797</v>
      </c>
      <c r="W17" s="26" t="s">
        <v>2714</v>
      </c>
      <c r="X17" s="26" t="s">
        <v>930</v>
      </c>
    </row>
    <row r="18" ht="14.25" customHeight="1">
      <c r="A18" s="37" t="s">
        <v>494</v>
      </c>
      <c r="B18" s="37" t="s">
        <v>495</v>
      </c>
      <c r="C18" s="37" t="s">
        <v>88</v>
      </c>
      <c r="D18" s="37" t="s">
        <v>290</v>
      </c>
      <c r="E18" s="37" t="s">
        <v>162</v>
      </c>
      <c r="F18" s="37" t="s">
        <v>496</v>
      </c>
      <c r="G18" s="37" t="s">
        <v>49</v>
      </c>
      <c r="H18" s="26" t="s">
        <v>2798</v>
      </c>
      <c r="I18" s="26" t="s">
        <v>2799</v>
      </c>
      <c r="J18" s="26" t="s">
        <v>2800</v>
      </c>
      <c r="K18" s="26" t="s">
        <v>2801</v>
      </c>
      <c r="L18" s="26" t="s">
        <v>2802</v>
      </c>
      <c r="M18" s="26" t="s">
        <v>2803</v>
      </c>
      <c r="N18" s="26" t="s">
        <v>930</v>
      </c>
      <c r="O18" s="26" t="s">
        <v>2168</v>
      </c>
      <c r="P18" s="37"/>
      <c r="Q18" s="26" t="s">
        <v>2168</v>
      </c>
      <c r="R18" s="26" t="s">
        <v>961</v>
      </c>
      <c r="S18" s="26" t="s">
        <v>2804</v>
      </c>
      <c r="T18" s="26" t="s">
        <v>2805</v>
      </c>
      <c r="U18" s="26" t="s">
        <v>2806</v>
      </c>
      <c r="V18" s="26" t="s">
        <v>2807</v>
      </c>
      <c r="W18" s="26" t="s">
        <v>2702</v>
      </c>
      <c r="X18" s="26" t="s">
        <v>961</v>
      </c>
    </row>
    <row r="19" ht="14.25" customHeight="1">
      <c r="A19" s="37" t="s">
        <v>497</v>
      </c>
      <c r="B19" s="37" t="s">
        <v>498</v>
      </c>
      <c r="C19" s="37" t="s">
        <v>88</v>
      </c>
      <c r="D19" s="37" t="s">
        <v>122</v>
      </c>
      <c r="E19" s="37" t="s">
        <v>137</v>
      </c>
      <c r="F19" s="37" t="s">
        <v>102</v>
      </c>
      <c r="G19" s="37" t="s">
        <v>49</v>
      </c>
      <c r="H19" s="26" t="s">
        <v>2808</v>
      </c>
      <c r="I19" s="26" t="s">
        <v>2809</v>
      </c>
      <c r="J19" s="26" t="s">
        <v>2810</v>
      </c>
      <c r="K19" s="26" t="s">
        <v>2811</v>
      </c>
      <c r="L19" s="26" t="s">
        <v>2812</v>
      </c>
      <c r="M19" s="26" t="s">
        <v>2813</v>
      </c>
      <c r="N19" s="26" t="s">
        <v>930</v>
      </c>
      <c r="O19" s="26" t="s">
        <v>2168</v>
      </c>
      <c r="P19" s="37"/>
      <c r="Q19" s="26" t="s">
        <v>2168</v>
      </c>
      <c r="R19" s="26" t="s">
        <v>961</v>
      </c>
      <c r="S19" s="26" t="s">
        <v>2814</v>
      </c>
      <c r="T19" s="26" t="s">
        <v>2815</v>
      </c>
      <c r="U19" s="26" t="s">
        <v>2816</v>
      </c>
      <c r="V19" s="26" t="s">
        <v>2817</v>
      </c>
      <c r="W19" s="26" t="s">
        <v>2714</v>
      </c>
      <c r="X19" s="26" t="s">
        <v>930</v>
      </c>
    </row>
    <row r="20" ht="14.25" customHeight="1">
      <c r="A20" s="37" t="s">
        <v>499</v>
      </c>
      <c r="B20" s="37" t="s">
        <v>500</v>
      </c>
      <c r="C20" s="37" t="s">
        <v>88</v>
      </c>
      <c r="D20" s="37" t="s">
        <v>501</v>
      </c>
      <c r="F20" s="37" t="s">
        <v>502</v>
      </c>
      <c r="G20" s="37" t="s">
        <v>49</v>
      </c>
      <c r="H20" s="26" t="s">
        <v>2818</v>
      </c>
      <c r="I20" s="26" t="s">
        <v>2819</v>
      </c>
      <c r="J20" s="26" t="s">
        <v>2820</v>
      </c>
      <c r="K20" s="26" t="s">
        <v>2821</v>
      </c>
      <c r="L20" s="26" t="s">
        <v>2822</v>
      </c>
      <c r="M20" s="26" t="s">
        <v>2823</v>
      </c>
      <c r="N20" s="26" t="s">
        <v>930</v>
      </c>
      <c r="O20" s="26" t="s">
        <v>2168</v>
      </c>
      <c r="P20" s="37"/>
      <c r="Q20" s="26" t="s">
        <v>2168</v>
      </c>
      <c r="R20" s="26" t="s">
        <v>961</v>
      </c>
      <c r="S20" s="26" t="s">
        <v>2824</v>
      </c>
      <c r="T20" s="26" t="s">
        <v>2825</v>
      </c>
      <c r="U20" s="26" t="s">
        <v>2826</v>
      </c>
      <c r="V20" s="26" t="s">
        <v>2827</v>
      </c>
      <c r="W20" s="26" t="s">
        <v>2828</v>
      </c>
      <c r="X20" s="26" t="s">
        <v>930</v>
      </c>
    </row>
    <row r="21" ht="14.25" customHeight="1">
      <c r="A21" s="39" t="s">
        <v>614</v>
      </c>
      <c r="B21" s="39" t="s">
        <v>615</v>
      </c>
      <c r="C21" s="40" t="s">
        <v>616</v>
      </c>
      <c r="D21" s="39" t="s">
        <v>617</v>
      </c>
      <c r="E21" s="39" t="s">
        <v>618</v>
      </c>
      <c r="F21" s="39" t="s">
        <v>619</v>
      </c>
      <c r="G21" s="39" t="s">
        <v>49</v>
      </c>
      <c r="H21" s="39" t="s">
        <v>2829</v>
      </c>
      <c r="I21" s="39" t="s">
        <v>2830</v>
      </c>
      <c r="J21" s="39" t="s">
        <v>2831</v>
      </c>
      <c r="K21" s="26" t="s">
        <v>2832</v>
      </c>
      <c r="L21" s="26" t="s">
        <v>2833</v>
      </c>
      <c r="M21" s="26" t="s">
        <v>2834</v>
      </c>
      <c r="N21" s="26" t="s">
        <v>930</v>
      </c>
      <c r="O21" s="26" t="s">
        <v>2168</v>
      </c>
      <c r="P21" s="26" t="s">
        <v>2168</v>
      </c>
      <c r="Q21" s="26" t="s">
        <v>2168</v>
      </c>
      <c r="R21" s="26" t="s">
        <v>961</v>
      </c>
      <c r="S21" s="26" t="s">
        <v>2835</v>
      </c>
      <c r="T21" s="26" t="s">
        <v>2836</v>
      </c>
      <c r="U21" s="26" t="s">
        <v>2837</v>
      </c>
      <c r="V21" s="26" t="s">
        <v>2838</v>
      </c>
      <c r="W21" s="26" t="s">
        <v>2702</v>
      </c>
      <c r="X21" s="26" t="s">
        <v>961</v>
      </c>
    </row>
    <row r="22" ht="14.25" customHeight="1">
      <c r="A22" s="39" t="s">
        <v>621</v>
      </c>
      <c r="B22" s="39" t="s">
        <v>622</v>
      </c>
      <c r="C22" s="40" t="s">
        <v>616</v>
      </c>
      <c r="D22" s="39" t="s">
        <v>623</v>
      </c>
      <c r="E22" s="39" t="s">
        <v>624</v>
      </c>
      <c r="F22" s="39" t="s">
        <v>189</v>
      </c>
      <c r="G22" s="39" t="s">
        <v>49</v>
      </c>
      <c r="H22" s="39" t="s">
        <v>2839</v>
      </c>
      <c r="I22" s="39" t="s">
        <v>2840</v>
      </c>
      <c r="J22" s="39" t="s">
        <v>2841</v>
      </c>
      <c r="K22" s="26" t="s">
        <v>2842</v>
      </c>
      <c r="L22" s="26" t="s">
        <v>2843</v>
      </c>
      <c r="M22" s="26" t="s">
        <v>2844</v>
      </c>
      <c r="N22" s="26" t="s">
        <v>930</v>
      </c>
      <c r="O22" s="26" t="s">
        <v>2168</v>
      </c>
      <c r="P22" s="26" t="s">
        <v>2168</v>
      </c>
      <c r="Q22" s="26" t="s">
        <v>2168</v>
      </c>
      <c r="R22" s="26" t="s">
        <v>961</v>
      </c>
      <c r="S22" s="26" t="s">
        <v>2845</v>
      </c>
      <c r="T22" s="26" t="s">
        <v>2846</v>
      </c>
      <c r="U22" s="26" t="s">
        <v>2847</v>
      </c>
      <c r="V22" s="26" t="s">
        <v>2848</v>
      </c>
      <c r="W22" s="26" t="s">
        <v>2714</v>
      </c>
      <c r="X22" s="26" t="s">
        <v>930</v>
      </c>
    </row>
    <row r="23" ht="14.25" customHeight="1">
      <c r="A23" s="39" t="s">
        <v>625</v>
      </c>
      <c r="B23" s="39" t="s">
        <v>626</v>
      </c>
      <c r="C23" s="40" t="s">
        <v>616</v>
      </c>
      <c r="D23" s="39" t="s">
        <v>409</v>
      </c>
      <c r="E23" s="39" t="s">
        <v>101</v>
      </c>
      <c r="F23" s="39" t="s">
        <v>627</v>
      </c>
      <c r="G23" s="39" t="s">
        <v>49</v>
      </c>
      <c r="H23" s="39" t="s">
        <v>2849</v>
      </c>
      <c r="I23" s="39" t="s">
        <v>2850</v>
      </c>
      <c r="J23" s="39" t="s">
        <v>2851</v>
      </c>
      <c r="K23" s="26" t="s">
        <v>2852</v>
      </c>
      <c r="L23" s="26" t="s">
        <v>2853</v>
      </c>
      <c r="M23" s="26" t="s">
        <v>2854</v>
      </c>
      <c r="N23" s="26" t="s">
        <v>930</v>
      </c>
      <c r="O23" s="26" t="s">
        <v>2168</v>
      </c>
      <c r="P23" s="26" t="s">
        <v>2168</v>
      </c>
      <c r="R23" s="26" t="s">
        <v>961</v>
      </c>
      <c r="S23" s="26" t="s">
        <v>2855</v>
      </c>
      <c r="T23" s="26" t="s">
        <v>2856</v>
      </c>
      <c r="U23" s="26" t="s">
        <v>2857</v>
      </c>
      <c r="V23" s="26" t="s">
        <v>2858</v>
      </c>
      <c r="W23" s="26" t="s">
        <v>2714</v>
      </c>
      <c r="X23" s="26" t="s">
        <v>930</v>
      </c>
    </row>
    <row r="24" ht="14.25" customHeight="1">
      <c r="A24" s="39" t="s">
        <v>727</v>
      </c>
      <c r="B24" s="39" t="s">
        <v>728</v>
      </c>
      <c r="C24" s="40" t="s">
        <v>616</v>
      </c>
      <c r="D24" s="39" t="s">
        <v>729</v>
      </c>
      <c r="E24" s="39" t="s">
        <v>730</v>
      </c>
      <c r="F24" s="39" t="s">
        <v>209</v>
      </c>
      <c r="G24" s="39" t="s">
        <v>49</v>
      </c>
      <c r="H24" s="39" t="s">
        <v>2859</v>
      </c>
      <c r="I24" s="39" t="s">
        <v>2860</v>
      </c>
      <c r="J24" s="39" t="s">
        <v>2861</v>
      </c>
      <c r="K24" s="26" t="s">
        <v>2862</v>
      </c>
      <c r="L24" s="26" t="s">
        <v>2863</v>
      </c>
      <c r="M24" s="26" t="s">
        <v>2864</v>
      </c>
      <c r="N24" s="26" t="s">
        <v>930</v>
      </c>
      <c r="O24" s="26" t="s">
        <v>2168</v>
      </c>
      <c r="P24" s="26" t="s">
        <v>2168</v>
      </c>
      <c r="R24" s="26" t="s">
        <v>961</v>
      </c>
      <c r="S24" s="26" t="s">
        <v>2865</v>
      </c>
      <c r="T24" s="26" t="s">
        <v>2866</v>
      </c>
      <c r="U24" s="26" t="s">
        <v>2867</v>
      </c>
      <c r="V24" s="26" t="s">
        <v>2868</v>
      </c>
      <c r="W24" s="26" t="s">
        <v>2714</v>
      </c>
      <c r="X24" s="26" t="s">
        <v>930</v>
      </c>
    </row>
    <row r="25" ht="14.25" customHeight="1">
      <c r="A25" s="39" t="s">
        <v>731</v>
      </c>
      <c r="B25" s="39" t="s">
        <v>732</v>
      </c>
      <c r="C25" s="40" t="s">
        <v>616</v>
      </c>
      <c r="D25" s="39" t="s">
        <v>426</v>
      </c>
      <c r="E25" s="39" t="s">
        <v>733</v>
      </c>
      <c r="F25" s="39" t="s">
        <v>142</v>
      </c>
      <c r="G25" s="39" t="s">
        <v>49</v>
      </c>
      <c r="H25" s="39" t="s">
        <v>2869</v>
      </c>
      <c r="I25" s="39" t="s">
        <v>2870</v>
      </c>
      <c r="J25" s="39" t="s">
        <v>2871</v>
      </c>
      <c r="K25" s="26" t="s">
        <v>2872</v>
      </c>
      <c r="L25" s="26" t="s">
        <v>2873</v>
      </c>
      <c r="M25" s="26" t="s">
        <v>2874</v>
      </c>
      <c r="N25" s="26" t="s">
        <v>930</v>
      </c>
      <c r="O25" s="26" t="s">
        <v>2168</v>
      </c>
      <c r="P25" s="26" t="s">
        <v>2168</v>
      </c>
      <c r="Q25" s="26" t="s">
        <v>2168</v>
      </c>
      <c r="R25" s="26" t="s">
        <v>961</v>
      </c>
      <c r="S25" s="26" t="s">
        <v>2875</v>
      </c>
      <c r="T25" s="26" t="s">
        <v>2876</v>
      </c>
      <c r="U25" s="26" t="s">
        <v>2877</v>
      </c>
      <c r="V25" s="26" t="s">
        <v>2878</v>
      </c>
      <c r="W25" s="26" t="s">
        <v>2714</v>
      </c>
      <c r="X25" s="26" t="s">
        <v>930</v>
      </c>
    </row>
    <row r="26" ht="14.25" customHeight="1">
      <c r="A26" s="39" t="s">
        <v>734</v>
      </c>
      <c r="B26" s="39" t="s">
        <v>735</v>
      </c>
      <c r="C26" s="40" t="s">
        <v>616</v>
      </c>
      <c r="D26" s="39" t="s">
        <v>409</v>
      </c>
      <c r="E26" s="39" t="s">
        <v>736</v>
      </c>
      <c r="F26" s="39" t="s">
        <v>244</v>
      </c>
      <c r="G26" s="39" t="s">
        <v>49</v>
      </c>
      <c r="H26" s="39" t="s">
        <v>2879</v>
      </c>
      <c r="I26" s="39" t="s">
        <v>2880</v>
      </c>
      <c r="J26" s="39" t="s">
        <v>2881</v>
      </c>
      <c r="K26" s="26" t="s">
        <v>2882</v>
      </c>
      <c r="L26" s="26" t="s">
        <v>2883</v>
      </c>
      <c r="M26" s="26" t="s">
        <v>2884</v>
      </c>
      <c r="N26" s="26" t="s">
        <v>930</v>
      </c>
      <c r="O26" s="26" t="s">
        <v>2168</v>
      </c>
      <c r="P26" s="26" t="s">
        <v>2168</v>
      </c>
      <c r="Q26" s="26" t="s">
        <v>2168</v>
      </c>
      <c r="R26" s="26" t="s">
        <v>961</v>
      </c>
      <c r="S26" s="26" t="s">
        <v>2885</v>
      </c>
      <c r="T26" s="26" t="s">
        <v>2886</v>
      </c>
      <c r="U26" s="26" t="s">
        <v>2887</v>
      </c>
      <c r="V26" s="26" t="s">
        <v>2888</v>
      </c>
      <c r="W26" s="26" t="s">
        <v>2702</v>
      </c>
      <c r="X26" s="26" t="s">
        <v>930</v>
      </c>
    </row>
    <row r="27" ht="14.25" customHeight="1">
      <c r="A27" s="39" t="s">
        <v>737</v>
      </c>
      <c r="B27" s="39" t="s">
        <v>738</v>
      </c>
      <c r="C27" s="40" t="s">
        <v>616</v>
      </c>
      <c r="D27" s="39" t="s">
        <v>654</v>
      </c>
      <c r="E27" s="39" t="s">
        <v>739</v>
      </c>
      <c r="F27" s="39" t="s">
        <v>639</v>
      </c>
      <c r="G27" s="39" t="s">
        <v>49</v>
      </c>
      <c r="H27" s="39" t="s">
        <v>2889</v>
      </c>
      <c r="I27" s="39" t="s">
        <v>2890</v>
      </c>
      <c r="J27" s="39" t="s">
        <v>2891</v>
      </c>
      <c r="K27" s="26" t="s">
        <v>2892</v>
      </c>
      <c r="L27" s="26" t="s">
        <v>2893</v>
      </c>
      <c r="M27" s="26" t="s">
        <v>2894</v>
      </c>
      <c r="N27" s="26" t="s">
        <v>930</v>
      </c>
      <c r="O27" s="26" t="s">
        <v>2168</v>
      </c>
      <c r="P27" s="26" t="s">
        <v>2168</v>
      </c>
      <c r="Q27" s="26" t="s">
        <v>2168</v>
      </c>
      <c r="R27" s="26" t="s">
        <v>961</v>
      </c>
      <c r="S27" s="26" t="s">
        <v>2895</v>
      </c>
      <c r="T27" s="26" t="s">
        <v>2896</v>
      </c>
      <c r="U27" s="26" t="s">
        <v>2897</v>
      </c>
      <c r="V27" s="26" t="s">
        <v>2898</v>
      </c>
      <c r="W27" s="26" t="s">
        <v>2714</v>
      </c>
      <c r="X27" s="26" t="s">
        <v>930</v>
      </c>
    </row>
    <row r="28" ht="14.25" customHeight="1">
      <c r="A28" s="39" t="s">
        <v>740</v>
      </c>
      <c r="B28" s="39" t="s">
        <v>741</v>
      </c>
      <c r="C28" s="40" t="s">
        <v>616</v>
      </c>
      <c r="D28" s="39" t="s">
        <v>187</v>
      </c>
      <c r="E28" s="39" t="s">
        <v>742</v>
      </c>
      <c r="F28" s="39" t="s">
        <v>189</v>
      </c>
      <c r="G28" s="39" t="s">
        <v>49</v>
      </c>
      <c r="H28" s="39" t="s">
        <v>2899</v>
      </c>
      <c r="I28" s="39" t="s">
        <v>2900</v>
      </c>
      <c r="J28" s="39" t="s">
        <v>2901</v>
      </c>
      <c r="K28" s="26" t="s">
        <v>2902</v>
      </c>
      <c r="L28" s="26" t="s">
        <v>2903</v>
      </c>
      <c r="M28" s="26" t="s">
        <v>2904</v>
      </c>
      <c r="N28" s="26" t="s">
        <v>930</v>
      </c>
      <c r="O28" s="26" t="s">
        <v>2168</v>
      </c>
      <c r="P28" s="26" t="s">
        <v>2168</v>
      </c>
      <c r="Q28" s="26" t="s">
        <v>2168</v>
      </c>
      <c r="R28" s="26" t="s">
        <v>961</v>
      </c>
      <c r="S28" s="26" t="s">
        <v>2905</v>
      </c>
      <c r="T28" s="26" t="s">
        <v>2906</v>
      </c>
      <c r="U28" s="26" t="s">
        <v>2907</v>
      </c>
      <c r="V28" s="26" t="s">
        <v>2908</v>
      </c>
      <c r="W28" s="26" t="s">
        <v>2714</v>
      </c>
      <c r="X28" s="26" t="s">
        <v>930</v>
      </c>
    </row>
    <row r="29" ht="14.25" customHeight="1">
      <c r="A29" s="39" t="s">
        <v>775</v>
      </c>
      <c r="B29" s="39" t="s">
        <v>776</v>
      </c>
      <c r="C29" s="40" t="s">
        <v>616</v>
      </c>
      <c r="D29" s="39" t="s">
        <v>401</v>
      </c>
      <c r="F29" s="39" t="s">
        <v>176</v>
      </c>
      <c r="G29" s="39" t="s">
        <v>49</v>
      </c>
      <c r="H29" s="39" t="s">
        <v>2909</v>
      </c>
      <c r="I29" s="39" t="s">
        <v>2910</v>
      </c>
      <c r="J29" s="39" t="s">
        <v>2911</v>
      </c>
      <c r="K29" s="26" t="s">
        <v>2912</v>
      </c>
      <c r="L29" s="26" t="s">
        <v>2913</v>
      </c>
      <c r="M29" s="26" t="s">
        <v>2914</v>
      </c>
      <c r="N29" s="26" t="s">
        <v>930</v>
      </c>
      <c r="O29" s="26" t="s">
        <v>2168</v>
      </c>
      <c r="P29" s="26" t="s">
        <v>2168</v>
      </c>
      <c r="Q29" s="26" t="s">
        <v>2168</v>
      </c>
      <c r="R29" s="26" t="s">
        <v>961</v>
      </c>
      <c r="S29" s="26" t="s">
        <v>2915</v>
      </c>
      <c r="T29" s="26" t="s">
        <v>2916</v>
      </c>
      <c r="U29" s="26" t="s">
        <v>2917</v>
      </c>
      <c r="V29" s="26" t="s">
        <v>2918</v>
      </c>
      <c r="W29" s="26" t="s">
        <v>2679</v>
      </c>
      <c r="X29" s="26" t="s">
        <v>930</v>
      </c>
    </row>
    <row r="30" ht="14.25" customHeight="1">
      <c r="A30" s="39" t="s">
        <v>777</v>
      </c>
      <c r="B30" s="39" t="s">
        <v>778</v>
      </c>
      <c r="C30" s="40" t="s">
        <v>616</v>
      </c>
      <c r="D30" s="39" t="s">
        <v>779</v>
      </c>
      <c r="E30" s="39" t="s">
        <v>780</v>
      </c>
      <c r="F30" s="39" t="s">
        <v>781</v>
      </c>
      <c r="G30" s="39" t="s">
        <v>49</v>
      </c>
      <c r="H30" s="39" t="s">
        <v>2919</v>
      </c>
      <c r="I30" s="39" t="s">
        <v>2920</v>
      </c>
      <c r="J30" s="39" t="s">
        <v>2921</v>
      </c>
      <c r="K30" s="26" t="s">
        <v>2922</v>
      </c>
      <c r="L30" s="26" t="s">
        <v>2923</v>
      </c>
      <c r="M30" s="26" t="s">
        <v>2924</v>
      </c>
      <c r="N30" s="26" t="s">
        <v>930</v>
      </c>
      <c r="O30" s="26" t="s">
        <v>2168</v>
      </c>
      <c r="P30" s="26" t="s">
        <v>2168</v>
      </c>
      <c r="Q30" s="26" t="s">
        <v>2168</v>
      </c>
      <c r="R30" s="26" t="s">
        <v>961</v>
      </c>
      <c r="S30" s="26" t="s">
        <v>2925</v>
      </c>
      <c r="T30" s="26" t="s">
        <v>2926</v>
      </c>
      <c r="U30" s="26" t="s">
        <v>2927</v>
      </c>
      <c r="V30" s="26" t="s">
        <v>2928</v>
      </c>
      <c r="W30" s="26" t="s">
        <v>2714</v>
      </c>
      <c r="X30" s="26" t="s">
        <v>930</v>
      </c>
    </row>
    <row r="31" ht="14.25" customHeight="1">
      <c r="A31" s="39" t="s">
        <v>782</v>
      </c>
      <c r="B31" s="39" t="s">
        <v>783</v>
      </c>
      <c r="C31" s="40" t="s">
        <v>616</v>
      </c>
      <c r="D31" s="39" t="s">
        <v>784</v>
      </c>
      <c r="E31" s="39" t="s">
        <v>785</v>
      </c>
      <c r="F31" s="39" t="s">
        <v>786</v>
      </c>
      <c r="G31" s="39" t="s">
        <v>49</v>
      </c>
      <c r="H31" s="39" t="s">
        <v>2929</v>
      </c>
      <c r="I31" s="39" t="s">
        <v>2930</v>
      </c>
      <c r="J31" s="39" t="s">
        <v>2931</v>
      </c>
      <c r="K31" s="26" t="s">
        <v>2932</v>
      </c>
      <c r="L31" s="26" t="s">
        <v>2933</v>
      </c>
      <c r="M31" s="26" t="s">
        <v>2934</v>
      </c>
      <c r="N31" s="26" t="s">
        <v>930</v>
      </c>
      <c r="O31" s="26" t="s">
        <v>2168</v>
      </c>
      <c r="P31" s="26" t="s">
        <v>2168</v>
      </c>
      <c r="Q31" s="26" t="s">
        <v>2168</v>
      </c>
      <c r="R31" s="26" t="s">
        <v>961</v>
      </c>
      <c r="S31" s="26" t="s">
        <v>2935</v>
      </c>
      <c r="T31" s="26" t="s">
        <v>2936</v>
      </c>
      <c r="U31" s="26" t="s">
        <v>2937</v>
      </c>
      <c r="V31" s="26" t="s">
        <v>2938</v>
      </c>
      <c r="W31" s="26" t="s">
        <v>2714</v>
      </c>
      <c r="X31" s="26" t="s">
        <v>930</v>
      </c>
    </row>
    <row r="32" ht="14.25" customHeight="1">
      <c r="A32" s="39" t="s">
        <v>787</v>
      </c>
      <c r="B32" s="39" t="s">
        <v>788</v>
      </c>
      <c r="C32" s="40" t="s">
        <v>616</v>
      </c>
      <c r="D32" s="39" t="s">
        <v>789</v>
      </c>
      <c r="E32" s="39" t="s">
        <v>790</v>
      </c>
      <c r="F32" s="39" t="s">
        <v>791</v>
      </c>
      <c r="G32" s="39" t="s">
        <v>49</v>
      </c>
      <c r="H32" s="39" t="s">
        <v>2939</v>
      </c>
      <c r="I32" s="39" t="s">
        <v>2940</v>
      </c>
      <c r="J32" s="39" t="s">
        <v>2941</v>
      </c>
      <c r="K32" s="26" t="s">
        <v>2942</v>
      </c>
      <c r="L32" s="26" t="s">
        <v>2943</v>
      </c>
      <c r="M32" s="26" t="s">
        <v>2944</v>
      </c>
      <c r="N32" s="26" t="s">
        <v>930</v>
      </c>
      <c r="O32" s="26" t="s">
        <v>2168</v>
      </c>
      <c r="P32" s="26" t="s">
        <v>2168</v>
      </c>
      <c r="Q32" s="26" t="s">
        <v>2168</v>
      </c>
      <c r="R32" s="26" t="s">
        <v>961</v>
      </c>
      <c r="S32" s="26" t="s">
        <v>2945</v>
      </c>
      <c r="T32" s="26" t="s">
        <v>2946</v>
      </c>
      <c r="U32" s="26" t="s">
        <v>2947</v>
      </c>
      <c r="V32" s="26" t="s">
        <v>2948</v>
      </c>
      <c r="W32" s="26" t="s">
        <v>2949</v>
      </c>
      <c r="X32" s="26" t="s">
        <v>930</v>
      </c>
    </row>
    <row r="33" ht="14.25" customHeight="1">
      <c r="A33" s="24" t="s">
        <v>792</v>
      </c>
      <c r="B33" s="24" t="s">
        <v>793</v>
      </c>
      <c r="C33" s="258" t="s">
        <v>616</v>
      </c>
      <c r="D33" s="24" t="s">
        <v>794</v>
      </c>
      <c r="F33" s="24" t="s">
        <v>795</v>
      </c>
      <c r="G33" s="24" t="s">
        <v>49</v>
      </c>
      <c r="H33" s="24" t="s">
        <v>2950</v>
      </c>
      <c r="I33" s="24" t="s">
        <v>2951</v>
      </c>
      <c r="J33" s="24" t="s">
        <v>2952</v>
      </c>
      <c r="K33" s="259" t="s">
        <v>2953</v>
      </c>
      <c r="L33" s="259" t="s">
        <v>2954</v>
      </c>
      <c r="M33" s="259" t="s">
        <v>2955</v>
      </c>
      <c r="N33" s="259" t="s">
        <v>961</v>
      </c>
      <c r="O33" s="259" t="s">
        <v>2956</v>
      </c>
      <c r="P33" s="259" t="s">
        <v>2388</v>
      </c>
      <c r="Q33" s="259" t="s">
        <v>2168</v>
      </c>
      <c r="R33" s="259" t="s">
        <v>961</v>
      </c>
      <c r="S33" s="259" t="s">
        <v>2957</v>
      </c>
      <c r="T33" s="259" t="s">
        <v>2958</v>
      </c>
      <c r="U33" s="259" t="s">
        <v>2959</v>
      </c>
      <c r="V33" s="259" t="s">
        <v>2960</v>
      </c>
      <c r="W33" s="259" t="s">
        <v>2961</v>
      </c>
      <c r="X33" s="259" t="s">
        <v>961</v>
      </c>
      <c r="Y33" s="9"/>
      <c r="Z33" s="9"/>
      <c r="AA33" s="9"/>
      <c r="AB33" s="9"/>
      <c r="AC33" s="9"/>
      <c r="AD33" s="9"/>
    </row>
    <row r="34" ht="14.25" customHeight="1">
      <c r="A34" s="39" t="s">
        <v>905</v>
      </c>
      <c r="B34" s="39" t="s">
        <v>906</v>
      </c>
      <c r="C34" s="40" t="s">
        <v>891</v>
      </c>
      <c r="D34" s="39" t="s">
        <v>907</v>
      </c>
      <c r="E34" s="39" t="s">
        <v>101</v>
      </c>
      <c r="F34" s="39" t="s">
        <v>908</v>
      </c>
      <c r="G34" s="39" t="s">
        <v>49</v>
      </c>
      <c r="H34" s="39" t="s">
        <v>2962</v>
      </c>
      <c r="I34" s="39" t="s">
        <v>2963</v>
      </c>
      <c r="J34" s="39" t="s">
        <v>2964</v>
      </c>
      <c r="K34" s="39" t="s">
        <v>2965</v>
      </c>
      <c r="L34" s="39" t="s">
        <v>2966</v>
      </c>
      <c r="M34" s="39" t="s">
        <v>2967</v>
      </c>
      <c r="N34" s="39" t="s">
        <v>930</v>
      </c>
      <c r="O34" s="26" t="s">
        <v>2168</v>
      </c>
      <c r="P34" s="26" t="s">
        <v>2168</v>
      </c>
      <c r="Q34" s="26" t="s">
        <v>2168</v>
      </c>
      <c r="R34" s="26" t="s">
        <v>961</v>
      </c>
      <c r="S34" s="26" t="s">
        <v>2968</v>
      </c>
      <c r="T34" s="26" t="s">
        <v>2969</v>
      </c>
      <c r="U34" s="26" t="s">
        <v>2970</v>
      </c>
      <c r="V34" s="26" t="s">
        <v>2948</v>
      </c>
      <c r="W34" s="26" t="s">
        <v>2971</v>
      </c>
      <c r="X34" s="26" t="s">
        <v>930</v>
      </c>
    </row>
    <row r="35" ht="14.25" customHeight="1">
      <c r="A35" s="260" t="s">
        <v>2972</v>
      </c>
      <c r="B35" s="261"/>
      <c r="C35" s="261"/>
      <c r="D35" s="261"/>
      <c r="E35" s="261"/>
      <c r="F35" s="261"/>
      <c r="G35" s="261"/>
      <c r="H35" s="261"/>
      <c r="I35" s="261"/>
      <c r="J35" s="261"/>
      <c r="K35" s="261"/>
      <c r="L35" s="261"/>
      <c r="M35" s="261"/>
      <c r="N35" s="261"/>
      <c r="O35" s="261"/>
      <c r="P35" s="261"/>
      <c r="Q35" s="261"/>
      <c r="R35" s="261"/>
      <c r="S35" s="261"/>
      <c r="T35" s="261"/>
      <c r="U35" s="261"/>
      <c r="V35" s="261"/>
      <c r="W35" s="261"/>
      <c r="X35" s="261"/>
      <c r="Y35" s="261"/>
      <c r="Z35" s="261"/>
      <c r="AA35" s="261"/>
      <c r="AB35" s="261"/>
      <c r="AC35" s="261"/>
      <c r="AD35" s="262"/>
    </row>
    <row r="36" ht="14.25" customHeight="1">
      <c r="A36" s="39" t="s">
        <v>1169</v>
      </c>
      <c r="B36" s="39" t="s">
        <v>1170</v>
      </c>
      <c r="C36" s="26" t="s">
        <v>2168</v>
      </c>
      <c r="D36" s="26" t="s">
        <v>2973</v>
      </c>
      <c r="E36" s="26" t="s">
        <v>2974</v>
      </c>
      <c r="F36" s="26" t="s">
        <v>2975</v>
      </c>
      <c r="G36" s="26" t="s">
        <v>49</v>
      </c>
      <c r="H36" s="26" t="s">
        <v>2976</v>
      </c>
      <c r="I36" s="26" t="s">
        <v>2977</v>
      </c>
      <c r="J36" s="26" t="s">
        <v>2978</v>
      </c>
      <c r="K36" s="26" t="s">
        <v>2979</v>
      </c>
      <c r="L36" s="26" t="s">
        <v>2980</v>
      </c>
      <c r="M36" s="26" t="s">
        <v>2981</v>
      </c>
      <c r="N36" s="26" t="s">
        <v>930</v>
      </c>
      <c r="O36" s="26" t="s">
        <v>2168</v>
      </c>
      <c r="P36" s="26" t="s">
        <v>2168</v>
      </c>
      <c r="Q36" s="26" t="s">
        <v>2168</v>
      </c>
      <c r="R36" s="26" t="s">
        <v>930</v>
      </c>
      <c r="S36" s="26" t="s">
        <v>2982</v>
      </c>
      <c r="T36" s="26" t="s">
        <v>2983</v>
      </c>
      <c r="U36" s="26" t="s">
        <v>2984</v>
      </c>
      <c r="V36" s="26" t="s">
        <v>2985</v>
      </c>
      <c r="W36" s="26" t="s">
        <v>2714</v>
      </c>
      <c r="X36" s="26" t="s">
        <v>961</v>
      </c>
    </row>
    <row r="37" ht="14.25" customHeight="1">
      <c r="A37" s="39" t="s">
        <v>1179</v>
      </c>
      <c r="B37" s="39" t="s">
        <v>1180</v>
      </c>
      <c r="C37" s="26" t="s">
        <v>2168</v>
      </c>
      <c r="D37" s="26" t="s">
        <v>2986</v>
      </c>
      <c r="E37" s="26" t="s">
        <v>2987</v>
      </c>
      <c r="F37" s="26" t="s">
        <v>2988</v>
      </c>
      <c r="G37" s="26" t="s">
        <v>2989</v>
      </c>
      <c r="H37" s="26" t="s">
        <v>2990</v>
      </c>
      <c r="I37" s="26" t="s">
        <v>2991</v>
      </c>
      <c r="J37" s="26" t="s">
        <v>2992</v>
      </c>
      <c r="K37" s="26" t="s">
        <v>2993</v>
      </c>
      <c r="L37" s="26" t="s">
        <v>2994</v>
      </c>
      <c r="M37" s="26" t="s">
        <v>2995</v>
      </c>
      <c r="N37" s="26" t="s">
        <v>930</v>
      </c>
      <c r="O37" s="26" t="s">
        <v>2168</v>
      </c>
      <c r="P37" s="26" t="s">
        <v>2168</v>
      </c>
      <c r="Q37" s="26" t="s">
        <v>2168</v>
      </c>
      <c r="R37" s="26" t="s">
        <v>930</v>
      </c>
      <c r="S37" s="26" t="s">
        <v>2996</v>
      </c>
      <c r="T37" s="26" t="s">
        <v>2997</v>
      </c>
      <c r="U37" s="26" t="s">
        <v>2998</v>
      </c>
      <c r="V37" s="26" t="s">
        <v>2999</v>
      </c>
      <c r="W37" s="26" t="s">
        <v>2787</v>
      </c>
      <c r="X37" s="26" t="s">
        <v>3000</v>
      </c>
    </row>
    <row r="38" ht="14.25" customHeight="1">
      <c r="A38" s="39" t="s">
        <v>1188</v>
      </c>
      <c r="B38" s="39" t="s">
        <v>1189</v>
      </c>
      <c r="C38" s="26" t="s">
        <v>2168</v>
      </c>
      <c r="D38" s="26" t="s">
        <v>3001</v>
      </c>
      <c r="E38" s="26" t="s">
        <v>3002</v>
      </c>
      <c r="F38" s="26" t="s">
        <v>3003</v>
      </c>
      <c r="G38" s="26" t="s">
        <v>51</v>
      </c>
      <c r="H38" s="26" t="s">
        <v>3004</v>
      </c>
      <c r="I38" s="26" t="s">
        <v>3005</v>
      </c>
      <c r="J38" s="26" t="s">
        <v>3006</v>
      </c>
      <c r="K38" s="26" t="s">
        <v>3007</v>
      </c>
      <c r="L38" s="26" t="s">
        <v>3008</v>
      </c>
      <c r="M38" s="26" t="s">
        <v>3009</v>
      </c>
      <c r="N38" s="26" t="s">
        <v>3010</v>
      </c>
      <c r="O38" s="26" t="s">
        <v>3011</v>
      </c>
      <c r="P38" s="26" t="s">
        <v>3012</v>
      </c>
      <c r="Q38" s="26" t="s">
        <v>2168</v>
      </c>
      <c r="R38" s="26" t="s">
        <v>930</v>
      </c>
      <c r="S38" s="26" t="s">
        <v>3013</v>
      </c>
      <c r="T38" s="26" t="s">
        <v>3014</v>
      </c>
      <c r="U38" s="26" t="s">
        <v>3015</v>
      </c>
      <c r="V38" s="26" t="s">
        <v>3016</v>
      </c>
      <c r="W38" s="26" t="s">
        <v>2714</v>
      </c>
      <c r="X38" s="26" t="s">
        <v>961</v>
      </c>
    </row>
    <row r="39" ht="14.25" customHeight="1">
      <c r="A39" s="39" t="s">
        <v>1199</v>
      </c>
      <c r="B39" s="39" t="s">
        <v>1200</v>
      </c>
      <c r="C39" s="26" t="s">
        <v>2168</v>
      </c>
      <c r="D39" s="26" t="s">
        <v>3017</v>
      </c>
      <c r="E39" s="26" t="s">
        <v>3018</v>
      </c>
      <c r="F39" s="26" t="s">
        <v>3019</v>
      </c>
      <c r="G39" s="26" t="s">
        <v>49</v>
      </c>
      <c r="H39" s="26" t="s">
        <v>3020</v>
      </c>
      <c r="I39" s="26" t="s">
        <v>3021</v>
      </c>
      <c r="J39" s="26" t="s">
        <v>3022</v>
      </c>
      <c r="K39" s="26" t="s">
        <v>3023</v>
      </c>
      <c r="L39" s="26" t="s">
        <v>3024</v>
      </c>
      <c r="M39" s="26" t="s">
        <v>3025</v>
      </c>
      <c r="N39" s="26" t="s">
        <v>930</v>
      </c>
      <c r="O39" s="26" t="s">
        <v>2168</v>
      </c>
      <c r="P39" s="26" t="s">
        <v>2168</v>
      </c>
      <c r="Q39" s="26" t="s">
        <v>2168</v>
      </c>
      <c r="R39" s="26" t="s">
        <v>930</v>
      </c>
      <c r="S39" s="26" t="s">
        <v>3026</v>
      </c>
      <c r="T39" s="26" t="s">
        <v>3027</v>
      </c>
      <c r="U39" s="26" t="s">
        <v>3018</v>
      </c>
      <c r="V39" s="26" t="s">
        <v>3019</v>
      </c>
      <c r="W39" s="26" t="s">
        <v>3028</v>
      </c>
      <c r="X39" s="26" t="s">
        <v>961</v>
      </c>
    </row>
    <row r="40" ht="14.25" customHeight="1">
      <c r="A40" s="39" t="s">
        <v>1208</v>
      </c>
      <c r="B40" s="39" t="s">
        <v>1209</v>
      </c>
      <c r="C40" s="26" t="s">
        <v>2168</v>
      </c>
      <c r="D40" s="26" t="s">
        <v>3029</v>
      </c>
      <c r="E40" s="26" t="s">
        <v>3030</v>
      </c>
      <c r="F40" s="26" t="s">
        <v>3031</v>
      </c>
      <c r="G40" s="26" t="s">
        <v>51</v>
      </c>
      <c r="H40" s="26" t="s">
        <v>3032</v>
      </c>
      <c r="I40" s="26" t="s">
        <v>3033</v>
      </c>
      <c r="J40" s="26" t="s">
        <v>3034</v>
      </c>
      <c r="K40" s="26" t="s">
        <v>3035</v>
      </c>
      <c r="L40" s="26" t="s">
        <v>3036</v>
      </c>
      <c r="M40" s="26" t="s">
        <v>3037</v>
      </c>
      <c r="N40" s="26" t="s">
        <v>930</v>
      </c>
      <c r="O40" s="26" t="s">
        <v>2168</v>
      </c>
      <c r="P40" s="26" t="s">
        <v>2168</v>
      </c>
      <c r="Q40" s="26" t="s">
        <v>2168</v>
      </c>
      <c r="R40" s="26" t="s">
        <v>930</v>
      </c>
      <c r="S40" s="26" t="s">
        <v>3038</v>
      </c>
      <c r="T40" s="26" t="s">
        <v>3039</v>
      </c>
      <c r="U40" s="26" t="s">
        <v>3040</v>
      </c>
      <c r="V40" s="26" t="s">
        <v>3041</v>
      </c>
      <c r="W40" s="26" t="s">
        <v>2714</v>
      </c>
      <c r="X40" s="26" t="s">
        <v>930</v>
      </c>
    </row>
    <row r="41" ht="14.25" customHeight="1">
      <c r="A41" s="263" t="s">
        <v>539</v>
      </c>
      <c r="B41" s="263" t="s">
        <v>540</v>
      </c>
      <c r="C41" s="264" t="s">
        <v>2168</v>
      </c>
      <c r="D41" s="264" t="s">
        <v>3042</v>
      </c>
      <c r="E41" s="265"/>
      <c r="F41" s="264" t="s">
        <v>2168</v>
      </c>
      <c r="G41" s="264" t="s">
        <v>2168</v>
      </c>
      <c r="H41" s="264" t="s">
        <v>2168</v>
      </c>
      <c r="I41" s="264" t="s">
        <v>2168</v>
      </c>
      <c r="J41" s="264" t="s">
        <v>2168</v>
      </c>
      <c r="K41" s="264" t="s">
        <v>2168</v>
      </c>
      <c r="L41" s="264" t="s">
        <v>2168</v>
      </c>
      <c r="M41" s="264" t="s">
        <v>2168</v>
      </c>
      <c r="N41" s="264" t="s">
        <v>2168</v>
      </c>
      <c r="O41" s="264" t="s">
        <v>2168</v>
      </c>
      <c r="P41" s="264" t="s">
        <v>2168</v>
      </c>
      <c r="Q41" s="264" t="s">
        <v>2168</v>
      </c>
      <c r="R41" s="264" t="s">
        <v>2168</v>
      </c>
      <c r="S41" s="264" t="s">
        <v>2168</v>
      </c>
      <c r="T41" s="264" t="s">
        <v>2168</v>
      </c>
      <c r="U41" s="264" t="s">
        <v>2168</v>
      </c>
      <c r="V41" s="264" t="s">
        <v>2168</v>
      </c>
      <c r="W41" s="264" t="s">
        <v>2168</v>
      </c>
      <c r="X41" s="264" t="s">
        <v>2168</v>
      </c>
      <c r="Y41" s="265"/>
      <c r="Z41" s="265"/>
      <c r="AA41" s="265"/>
      <c r="AB41" s="265"/>
      <c r="AC41" s="265"/>
      <c r="AD41" s="265"/>
    </row>
    <row r="42" ht="14.25" customHeight="1">
      <c r="A42" s="39" t="s">
        <v>1217</v>
      </c>
      <c r="B42" s="39" t="s">
        <v>1218</v>
      </c>
      <c r="C42" s="26" t="s">
        <v>2168</v>
      </c>
      <c r="D42" s="26" t="s">
        <v>3043</v>
      </c>
      <c r="E42" s="26" t="s">
        <v>3044</v>
      </c>
      <c r="F42" s="26" t="s">
        <v>3045</v>
      </c>
      <c r="G42" s="26" t="s">
        <v>49</v>
      </c>
      <c r="H42" s="26" t="s">
        <v>3046</v>
      </c>
      <c r="I42" s="26" t="s">
        <v>3047</v>
      </c>
      <c r="J42" s="26" t="s">
        <v>3048</v>
      </c>
      <c r="K42" s="26" t="s">
        <v>3049</v>
      </c>
      <c r="L42" s="26" t="s">
        <v>3050</v>
      </c>
      <c r="M42" s="26" t="s">
        <v>3051</v>
      </c>
      <c r="N42" s="26" t="s">
        <v>930</v>
      </c>
      <c r="O42" s="26" t="s">
        <v>2168</v>
      </c>
      <c r="P42" s="26" t="s">
        <v>2168</v>
      </c>
      <c r="Q42" s="26" t="s">
        <v>2168</v>
      </c>
      <c r="R42" s="26" t="s">
        <v>930</v>
      </c>
      <c r="S42" s="26" t="s">
        <v>3052</v>
      </c>
      <c r="T42" s="26" t="s">
        <v>3053</v>
      </c>
      <c r="U42" s="26" t="s">
        <v>3054</v>
      </c>
      <c r="V42" s="26" t="s">
        <v>3055</v>
      </c>
      <c r="W42" s="26" t="s">
        <v>2714</v>
      </c>
      <c r="X42" s="26" t="s">
        <v>930</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2">
    <mergeCell ref="D29:E29"/>
    <mergeCell ref="D33:E33"/>
  </mergeCells>
  <dataValidations>
    <dataValidation type="list" allowBlank="1" showErrorMessage="1" sqref="P2:P20">
      <formula1>'Exclussion basis'!$A$2:$A$4</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30.67"/>
    <col customWidth="1" min="3" max="3" width="13.0"/>
    <col customWidth="1" min="4" max="4" width="9.0"/>
    <col customWidth="1" min="5" max="5" width="7.22"/>
    <col customWidth="1" min="6" max="6" width="10.22"/>
    <col customWidth="1" min="7" max="7" width="13.78"/>
    <col customWidth="1" min="8" max="8" width="64.44"/>
    <col customWidth="1" min="9" max="9" width="10.89"/>
    <col customWidth="1" min="10" max="12" width="13.11"/>
    <col customWidth="1" min="13" max="13" width="12.67"/>
    <col customWidth="1" min="14" max="14" width="14.0"/>
    <col customWidth="1" min="15" max="16" width="10.11"/>
    <col customWidth="1" min="17" max="17" width="6.44"/>
    <col customWidth="1" min="18" max="18" width="6.78"/>
    <col customWidth="1" min="19" max="19" width="8.0"/>
    <col customWidth="1" min="20" max="29" width="6.78"/>
  </cols>
  <sheetData>
    <row r="1" ht="14.25" customHeight="1">
      <c r="A1" s="54" t="s">
        <v>57</v>
      </c>
      <c r="B1" s="54" t="s">
        <v>58</v>
      </c>
      <c r="C1" s="54" t="s">
        <v>59</v>
      </c>
      <c r="D1" s="54" t="s">
        <v>60</v>
      </c>
      <c r="E1" s="249" t="s">
        <v>61</v>
      </c>
      <c r="F1" s="249" t="s">
        <v>62</v>
      </c>
      <c r="G1" s="249" t="s">
        <v>2614</v>
      </c>
      <c r="H1" s="250" t="s">
        <v>2615</v>
      </c>
      <c r="I1" s="250" t="s">
        <v>2616</v>
      </c>
      <c r="J1" s="249" t="s">
        <v>2617</v>
      </c>
      <c r="K1" s="251" t="s">
        <v>3056</v>
      </c>
      <c r="L1" s="250" t="s">
        <v>2619</v>
      </c>
      <c r="M1" s="249" t="s">
        <v>2620</v>
      </c>
      <c r="N1" s="249" t="s">
        <v>2621</v>
      </c>
      <c r="O1" s="249" t="s">
        <v>2622</v>
      </c>
      <c r="P1" s="249" t="s">
        <v>2623</v>
      </c>
      <c r="Q1" s="54" t="s">
        <v>2624</v>
      </c>
      <c r="R1" s="56" t="s">
        <v>943</v>
      </c>
      <c r="S1" s="252" t="s">
        <v>2626</v>
      </c>
      <c r="T1" s="252" t="s">
        <v>949</v>
      </c>
      <c r="U1" s="252" t="s">
        <v>950</v>
      </c>
      <c r="V1" s="252" t="s">
        <v>951</v>
      </c>
      <c r="W1" s="252" t="s">
        <v>3057</v>
      </c>
      <c r="X1" s="252" t="s">
        <v>952</v>
      </c>
      <c r="Y1" s="252" t="s">
        <v>3058</v>
      </c>
    </row>
    <row r="2" ht="14.25" customHeight="1">
      <c r="A2" s="37" t="s">
        <v>177</v>
      </c>
      <c r="B2" s="37" t="s">
        <v>178</v>
      </c>
      <c r="C2" s="37" t="s">
        <v>88</v>
      </c>
      <c r="D2" s="37" t="s">
        <v>179</v>
      </c>
      <c r="E2" s="26" t="s">
        <v>3059</v>
      </c>
      <c r="F2" s="26" t="s">
        <v>3060</v>
      </c>
      <c r="G2" s="37" t="s">
        <v>49</v>
      </c>
      <c r="H2" s="26" t="s">
        <v>3061</v>
      </c>
      <c r="I2" s="26" t="s">
        <v>3062</v>
      </c>
      <c r="J2" s="26" t="s">
        <v>3063</v>
      </c>
      <c r="K2" s="26" t="s">
        <v>3064</v>
      </c>
      <c r="L2" s="26" t="s">
        <v>3065</v>
      </c>
      <c r="M2" s="26" t="s">
        <v>3066</v>
      </c>
      <c r="N2" s="26" t="s">
        <v>1198</v>
      </c>
      <c r="O2" s="26" t="s">
        <v>2168</v>
      </c>
      <c r="P2" s="37" t="s">
        <v>2636</v>
      </c>
      <c r="R2" s="26" t="s">
        <v>1437</v>
      </c>
      <c r="S2" s="26"/>
      <c r="T2" s="26" t="s">
        <v>1087</v>
      </c>
      <c r="X2" s="26" t="s">
        <v>2172</v>
      </c>
    </row>
    <row r="3" ht="14.25" customHeight="1">
      <c r="A3" s="37" t="s">
        <v>182</v>
      </c>
      <c r="B3" s="37" t="s">
        <v>183</v>
      </c>
      <c r="C3" s="37" t="s">
        <v>88</v>
      </c>
      <c r="D3" s="37" t="s">
        <v>179</v>
      </c>
      <c r="E3" s="26" t="s">
        <v>3067</v>
      </c>
      <c r="F3" s="26" t="s">
        <v>3068</v>
      </c>
      <c r="G3" s="37" t="s">
        <v>49</v>
      </c>
      <c r="H3" s="26" t="s">
        <v>3069</v>
      </c>
      <c r="I3" s="26" t="s">
        <v>3070</v>
      </c>
      <c r="J3" s="26" t="s">
        <v>3071</v>
      </c>
      <c r="K3" s="26" t="s">
        <v>3072</v>
      </c>
      <c r="L3" s="26" t="s">
        <v>3073</v>
      </c>
      <c r="M3" s="26" t="s">
        <v>3074</v>
      </c>
      <c r="N3" s="26" t="s">
        <v>1198</v>
      </c>
      <c r="O3" s="26" t="s">
        <v>2168</v>
      </c>
      <c r="P3" s="37"/>
      <c r="R3" s="26" t="s">
        <v>1437</v>
      </c>
      <c r="S3" s="26"/>
      <c r="T3" s="26" t="s">
        <v>998</v>
      </c>
      <c r="X3" s="26" t="s">
        <v>2172</v>
      </c>
    </row>
    <row r="4" ht="14.25" customHeight="1">
      <c r="A4" s="37" t="s">
        <v>185</v>
      </c>
      <c r="B4" s="37" t="s">
        <v>186</v>
      </c>
      <c r="C4" s="37" t="s">
        <v>88</v>
      </c>
      <c r="D4" s="37" t="s">
        <v>187</v>
      </c>
      <c r="E4" s="26" t="s">
        <v>3075</v>
      </c>
      <c r="F4" s="26" t="s">
        <v>3076</v>
      </c>
      <c r="G4" s="37" t="s">
        <v>49</v>
      </c>
      <c r="H4" s="26" t="s">
        <v>3077</v>
      </c>
      <c r="I4" s="26" t="s">
        <v>3078</v>
      </c>
      <c r="J4" s="26" t="s">
        <v>3079</v>
      </c>
      <c r="K4" s="26" t="s">
        <v>3080</v>
      </c>
      <c r="L4" s="26" t="s">
        <v>3073</v>
      </c>
      <c r="M4" s="26" t="s">
        <v>3081</v>
      </c>
      <c r="N4" s="26" t="s">
        <v>1198</v>
      </c>
      <c r="O4" s="26" t="s">
        <v>2168</v>
      </c>
      <c r="P4" s="37"/>
      <c r="R4" s="26" t="s">
        <v>1437</v>
      </c>
      <c r="S4" s="26"/>
      <c r="T4" s="26" t="s">
        <v>1022</v>
      </c>
      <c r="X4" s="26" t="s">
        <v>2172</v>
      </c>
    </row>
    <row r="5" ht="14.25" customHeight="1">
      <c r="A5" s="37" t="s">
        <v>190</v>
      </c>
      <c r="B5" s="37" t="s">
        <v>191</v>
      </c>
      <c r="C5" s="37" t="s">
        <v>88</v>
      </c>
      <c r="D5" s="37" t="s">
        <v>192</v>
      </c>
      <c r="E5" s="26" t="s">
        <v>3082</v>
      </c>
      <c r="F5" s="37" t="s">
        <v>194</v>
      </c>
      <c r="G5" s="37" t="s">
        <v>49</v>
      </c>
      <c r="H5" s="26" t="s">
        <v>3083</v>
      </c>
      <c r="I5" s="26" t="s">
        <v>3084</v>
      </c>
      <c r="J5" s="26" t="s">
        <v>3085</v>
      </c>
      <c r="K5" s="26" t="s">
        <v>3086</v>
      </c>
      <c r="L5" s="26" t="s">
        <v>995</v>
      </c>
      <c r="M5" s="26" t="s">
        <v>3087</v>
      </c>
      <c r="N5" s="26" t="s">
        <v>1198</v>
      </c>
      <c r="O5" s="26" t="s">
        <v>2168</v>
      </c>
      <c r="P5" s="37"/>
      <c r="R5" s="26" t="s">
        <v>1437</v>
      </c>
      <c r="T5" s="26" t="s">
        <v>1246</v>
      </c>
      <c r="V5" s="26" t="s">
        <v>3088</v>
      </c>
      <c r="W5" s="26" t="s">
        <v>3089</v>
      </c>
      <c r="X5" s="26" t="s">
        <v>2172</v>
      </c>
    </row>
    <row r="6" ht="14.25" customHeight="1">
      <c r="A6" s="37" t="s">
        <v>195</v>
      </c>
      <c r="B6" s="37" t="s">
        <v>196</v>
      </c>
      <c r="C6" s="37" t="s">
        <v>88</v>
      </c>
      <c r="D6" s="37" t="s">
        <v>197</v>
      </c>
      <c r="E6" s="26" t="s">
        <v>3090</v>
      </c>
      <c r="F6" s="37" t="s">
        <v>189</v>
      </c>
      <c r="G6" s="37" t="s">
        <v>49</v>
      </c>
      <c r="H6" s="26" t="s">
        <v>3091</v>
      </c>
      <c r="I6" s="26" t="s">
        <v>3092</v>
      </c>
      <c r="J6" s="26" t="s">
        <v>3093</v>
      </c>
      <c r="K6" s="26" t="s">
        <v>3094</v>
      </c>
      <c r="L6" s="26" t="s">
        <v>3095</v>
      </c>
      <c r="M6" s="26" t="s">
        <v>3096</v>
      </c>
      <c r="N6" s="26" t="s">
        <v>1198</v>
      </c>
      <c r="O6" s="26" t="s">
        <v>2168</v>
      </c>
      <c r="P6" s="37"/>
      <c r="R6" s="26" t="s">
        <v>1437</v>
      </c>
      <c r="S6" s="26" t="s">
        <v>3097</v>
      </c>
      <c r="T6" s="26" t="s">
        <v>1022</v>
      </c>
      <c r="U6" s="26">
        <v>2024.0</v>
      </c>
      <c r="V6" s="26" t="s">
        <v>620</v>
      </c>
      <c r="X6" s="26" t="s">
        <v>2172</v>
      </c>
    </row>
    <row r="7" ht="14.25" customHeight="1">
      <c r="A7" s="266" t="s">
        <v>199</v>
      </c>
      <c r="B7" s="266" t="s">
        <v>200</v>
      </c>
      <c r="C7" s="266" t="s">
        <v>88</v>
      </c>
      <c r="D7" s="266" t="s">
        <v>201</v>
      </c>
      <c r="E7" s="266" t="s">
        <v>90</v>
      </c>
      <c r="F7" s="266" t="s">
        <v>142</v>
      </c>
      <c r="G7" s="266" t="s">
        <v>49</v>
      </c>
      <c r="H7" s="267" t="s">
        <v>2168</v>
      </c>
      <c r="I7" s="267" t="s">
        <v>2168</v>
      </c>
      <c r="J7" s="267" t="s">
        <v>2168</v>
      </c>
      <c r="K7" s="267" t="s">
        <v>2168</v>
      </c>
      <c r="L7" s="267" t="s">
        <v>2168</v>
      </c>
      <c r="M7" s="267" t="s">
        <v>2168</v>
      </c>
      <c r="N7" s="267" t="s">
        <v>2168</v>
      </c>
      <c r="O7" s="267" t="s">
        <v>3098</v>
      </c>
      <c r="P7" s="267" t="s">
        <v>2636</v>
      </c>
      <c r="Q7" s="267" t="s">
        <v>2410</v>
      </c>
      <c r="R7" s="266"/>
      <c r="S7" s="266"/>
      <c r="T7" s="266"/>
      <c r="U7" s="266"/>
      <c r="V7" s="266"/>
      <c r="W7" s="266"/>
      <c r="X7" s="266"/>
      <c r="Y7" s="266"/>
      <c r="Z7" s="266"/>
      <c r="AA7" s="266"/>
      <c r="AB7" s="266"/>
      <c r="AC7" s="266"/>
    </row>
    <row r="8" ht="14.25" customHeight="1">
      <c r="A8" s="37" t="s">
        <v>202</v>
      </c>
      <c r="B8" s="37" t="s">
        <v>203</v>
      </c>
      <c r="C8" s="37" t="s">
        <v>88</v>
      </c>
      <c r="D8" s="37" t="s">
        <v>150</v>
      </c>
      <c r="E8" s="37" t="s">
        <v>204</v>
      </c>
      <c r="F8" s="26" t="s">
        <v>3099</v>
      </c>
      <c r="G8" s="37" t="s">
        <v>49</v>
      </c>
      <c r="H8" s="26" t="s">
        <v>3100</v>
      </c>
      <c r="I8" s="26" t="s">
        <v>3101</v>
      </c>
      <c r="J8" s="26" t="s">
        <v>3102</v>
      </c>
      <c r="K8" s="26" t="s">
        <v>3103</v>
      </c>
      <c r="L8" s="26" t="s">
        <v>3104</v>
      </c>
      <c r="M8" s="26" t="s">
        <v>3105</v>
      </c>
      <c r="N8" s="26" t="s">
        <v>1198</v>
      </c>
      <c r="O8" s="26" t="s">
        <v>2168</v>
      </c>
      <c r="P8" s="37"/>
      <c r="R8" s="26" t="s">
        <v>1437</v>
      </c>
      <c r="S8" s="26" t="s">
        <v>3106</v>
      </c>
      <c r="T8" s="26" t="s">
        <v>1246</v>
      </c>
      <c r="U8" s="26">
        <v>2024.0</v>
      </c>
      <c r="V8" s="26" t="s">
        <v>1255</v>
      </c>
      <c r="X8" s="26" t="s">
        <v>2172</v>
      </c>
    </row>
    <row r="9" ht="14.25" customHeight="1">
      <c r="A9" s="37" t="s">
        <v>205</v>
      </c>
      <c r="B9" s="37" t="s">
        <v>206</v>
      </c>
      <c r="C9" s="37" t="s">
        <v>88</v>
      </c>
      <c r="D9" s="37" t="s">
        <v>207</v>
      </c>
      <c r="E9" s="26" t="s">
        <v>3107</v>
      </c>
      <c r="F9" s="26" t="s">
        <v>3108</v>
      </c>
      <c r="G9" s="37" t="s">
        <v>49</v>
      </c>
      <c r="H9" s="26" t="s">
        <v>3109</v>
      </c>
      <c r="I9" s="26" t="s">
        <v>3110</v>
      </c>
      <c r="J9" s="26" t="s">
        <v>3111</v>
      </c>
      <c r="K9" s="26" t="s">
        <v>3112</v>
      </c>
      <c r="L9" s="26" t="s">
        <v>3113</v>
      </c>
      <c r="M9" s="26" t="s">
        <v>3114</v>
      </c>
      <c r="N9" s="26" t="s">
        <v>1198</v>
      </c>
      <c r="O9" s="26" t="s">
        <v>2168</v>
      </c>
      <c r="P9" s="37"/>
      <c r="R9" s="26" t="s">
        <v>1437</v>
      </c>
      <c r="S9" s="26" t="s">
        <v>3115</v>
      </c>
      <c r="T9" s="26" t="s">
        <v>988</v>
      </c>
      <c r="U9" s="26">
        <v>2024.0</v>
      </c>
      <c r="V9" s="26" t="s">
        <v>620</v>
      </c>
      <c r="X9" s="26" t="s">
        <v>2172</v>
      </c>
    </row>
    <row r="10" ht="14.25" customHeight="1">
      <c r="A10" s="37" t="s">
        <v>210</v>
      </c>
      <c r="B10" s="37" t="s">
        <v>211</v>
      </c>
      <c r="C10" s="37" t="s">
        <v>88</v>
      </c>
      <c r="D10" s="37" t="s">
        <v>113</v>
      </c>
      <c r="E10" s="37" t="s">
        <v>212</v>
      </c>
      <c r="F10" s="37" t="s">
        <v>142</v>
      </c>
      <c r="G10" s="37" t="s">
        <v>49</v>
      </c>
      <c r="H10" s="26" t="s">
        <v>3116</v>
      </c>
      <c r="I10" s="26" t="s">
        <v>3117</v>
      </c>
      <c r="J10" s="26" t="s">
        <v>3118</v>
      </c>
      <c r="K10" s="26" t="s">
        <v>3119</v>
      </c>
      <c r="L10" s="26" t="s">
        <v>3120</v>
      </c>
      <c r="M10" s="26" t="s">
        <v>2168</v>
      </c>
      <c r="N10" s="26" t="s">
        <v>1198</v>
      </c>
      <c r="O10" s="26" t="s">
        <v>2168</v>
      </c>
      <c r="P10" s="37"/>
      <c r="R10" s="26" t="s">
        <v>1437</v>
      </c>
      <c r="S10" s="26" t="s">
        <v>3121</v>
      </c>
      <c r="T10" s="26" t="s">
        <v>1087</v>
      </c>
      <c r="U10" s="26">
        <v>2024.0</v>
      </c>
      <c r="V10" s="26" t="s">
        <v>620</v>
      </c>
      <c r="X10" s="26" t="s">
        <v>2172</v>
      </c>
    </row>
    <row r="11" ht="14.25" customHeight="1">
      <c r="A11" s="37" t="s">
        <v>213</v>
      </c>
      <c r="B11" s="37" t="s">
        <v>214</v>
      </c>
      <c r="C11" s="37" t="s">
        <v>88</v>
      </c>
      <c r="D11" s="37" t="s">
        <v>215</v>
      </c>
      <c r="E11" s="26" t="s">
        <v>3122</v>
      </c>
      <c r="F11" s="26" t="s">
        <v>217</v>
      </c>
      <c r="G11" s="37" t="s">
        <v>49</v>
      </c>
      <c r="H11" s="26" t="s">
        <v>3123</v>
      </c>
      <c r="I11" s="26" t="s">
        <v>3124</v>
      </c>
      <c r="J11" s="26" t="s">
        <v>3125</v>
      </c>
      <c r="K11" s="26" t="s">
        <v>3126</v>
      </c>
      <c r="L11" s="26" t="s">
        <v>2168</v>
      </c>
      <c r="M11" s="26" t="s">
        <v>3127</v>
      </c>
      <c r="N11" s="26" t="s">
        <v>1198</v>
      </c>
      <c r="O11" s="26" t="s">
        <v>2168</v>
      </c>
      <c r="P11" s="37"/>
      <c r="R11" s="26" t="s">
        <v>1437</v>
      </c>
      <c r="S11" s="26" t="s">
        <v>3128</v>
      </c>
      <c r="T11" s="26" t="s">
        <v>1062</v>
      </c>
      <c r="U11" s="26">
        <v>2024.0</v>
      </c>
      <c r="V11" s="26" t="s">
        <v>620</v>
      </c>
      <c r="X11" s="26" t="s">
        <v>3129</v>
      </c>
    </row>
    <row r="12" ht="14.25" customHeight="1">
      <c r="A12" s="37" t="s">
        <v>218</v>
      </c>
      <c r="B12" s="37" t="s">
        <v>219</v>
      </c>
      <c r="C12" s="37" t="s">
        <v>88</v>
      </c>
      <c r="D12" s="37" t="s">
        <v>170</v>
      </c>
      <c r="E12" s="37" t="s">
        <v>220</v>
      </c>
      <c r="F12" s="37" t="s">
        <v>221</v>
      </c>
      <c r="G12" s="37" t="s">
        <v>49</v>
      </c>
      <c r="H12" s="26" t="s">
        <v>3130</v>
      </c>
      <c r="I12" s="26" t="s">
        <v>3131</v>
      </c>
      <c r="J12" s="26" t="s">
        <v>3132</v>
      </c>
      <c r="K12" s="26" t="s">
        <v>3133</v>
      </c>
      <c r="L12" s="26" t="s">
        <v>3120</v>
      </c>
      <c r="M12" s="26" t="s">
        <v>3134</v>
      </c>
      <c r="N12" s="26" t="s">
        <v>1198</v>
      </c>
      <c r="O12" s="26" t="s">
        <v>2168</v>
      </c>
      <c r="P12" s="37"/>
      <c r="R12" s="26" t="s">
        <v>1437</v>
      </c>
      <c r="S12" s="26" t="s">
        <v>3135</v>
      </c>
      <c r="T12" s="26" t="s">
        <v>1022</v>
      </c>
      <c r="U12" s="26">
        <v>2024.0</v>
      </c>
      <c r="V12" s="26" t="s">
        <v>620</v>
      </c>
      <c r="X12" s="26" t="s">
        <v>2172</v>
      </c>
    </row>
    <row r="13" ht="14.25" customHeight="1">
      <c r="A13" s="37" t="s">
        <v>222</v>
      </c>
      <c r="B13" s="37" t="s">
        <v>223</v>
      </c>
      <c r="C13" s="37" t="s">
        <v>88</v>
      </c>
      <c r="D13" s="37" t="s">
        <v>224</v>
      </c>
      <c r="E13" s="37" t="s">
        <v>90</v>
      </c>
      <c r="F13" s="37" t="s">
        <v>142</v>
      </c>
      <c r="G13" s="37" t="s">
        <v>49</v>
      </c>
      <c r="H13" s="26" t="s">
        <v>3136</v>
      </c>
      <c r="I13" s="26" t="s">
        <v>3137</v>
      </c>
      <c r="J13" s="26" t="s">
        <v>3138</v>
      </c>
      <c r="K13" s="26" t="s">
        <v>3139</v>
      </c>
      <c r="L13" s="26" t="s">
        <v>995</v>
      </c>
      <c r="M13" s="26" t="s">
        <v>2168</v>
      </c>
      <c r="N13" s="26" t="s">
        <v>1198</v>
      </c>
      <c r="O13" s="26" t="s">
        <v>2168</v>
      </c>
      <c r="P13" s="37"/>
      <c r="R13" s="26" t="s">
        <v>1437</v>
      </c>
      <c r="S13" s="26" t="s">
        <v>3140</v>
      </c>
      <c r="T13" s="26" t="s">
        <v>1022</v>
      </c>
      <c r="U13" s="26">
        <v>2024.0</v>
      </c>
      <c r="V13" s="26" t="s">
        <v>620</v>
      </c>
      <c r="X13" s="26" t="s">
        <v>3141</v>
      </c>
    </row>
    <row r="14" ht="14.25" customHeight="1">
      <c r="A14" s="37" t="s">
        <v>225</v>
      </c>
      <c r="B14" s="37" t="s">
        <v>226</v>
      </c>
      <c r="C14" s="37" t="s">
        <v>88</v>
      </c>
      <c r="D14" s="37" t="s">
        <v>227</v>
      </c>
      <c r="E14" s="37" t="s">
        <v>228</v>
      </c>
      <c r="F14" s="37" t="s">
        <v>189</v>
      </c>
      <c r="G14" s="37" t="s">
        <v>49</v>
      </c>
      <c r="N14" s="26" t="s">
        <v>1198</v>
      </c>
      <c r="O14" s="26" t="s">
        <v>2168</v>
      </c>
      <c r="P14" s="37"/>
      <c r="R14" s="26" t="s">
        <v>1437</v>
      </c>
    </row>
    <row r="15" ht="14.25" customHeight="1">
      <c r="A15" s="37" t="s">
        <v>229</v>
      </c>
      <c r="B15" s="37" t="s">
        <v>230</v>
      </c>
      <c r="C15" s="37" t="s">
        <v>88</v>
      </c>
      <c r="D15" s="37" t="s">
        <v>231</v>
      </c>
      <c r="E15" s="37" t="s">
        <v>232</v>
      </c>
      <c r="F15" s="37" t="s">
        <v>233</v>
      </c>
      <c r="G15" s="37" t="s">
        <v>49</v>
      </c>
      <c r="H15" s="26" t="s">
        <v>3142</v>
      </c>
      <c r="I15" s="26" t="s">
        <v>3143</v>
      </c>
      <c r="J15" s="26" t="s">
        <v>3144</v>
      </c>
      <c r="K15" s="26" t="s">
        <v>3145</v>
      </c>
      <c r="L15" s="26" t="s">
        <v>3073</v>
      </c>
      <c r="M15" s="26" t="s">
        <v>3146</v>
      </c>
      <c r="N15" s="26" t="s">
        <v>1198</v>
      </c>
      <c r="O15" s="26" t="s">
        <v>2168</v>
      </c>
      <c r="P15" s="37"/>
      <c r="R15" s="26" t="s">
        <v>1437</v>
      </c>
      <c r="S15" s="26" t="s">
        <v>3147</v>
      </c>
      <c r="T15" s="26" t="s">
        <v>1022</v>
      </c>
      <c r="U15" s="26">
        <v>2024.0</v>
      </c>
      <c r="V15" s="26" t="s">
        <v>620</v>
      </c>
      <c r="X15" s="26" t="s">
        <v>2172</v>
      </c>
    </row>
    <row r="16" ht="14.25" customHeight="1">
      <c r="A16" s="37" t="s">
        <v>234</v>
      </c>
      <c r="B16" s="37" t="s">
        <v>235</v>
      </c>
      <c r="C16" s="37" t="s">
        <v>88</v>
      </c>
      <c r="D16" s="37" t="s">
        <v>236</v>
      </c>
      <c r="E16" s="37" t="s">
        <v>237</v>
      </c>
      <c r="F16" s="37" t="s">
        <v>189</v>
      </c>
      <c r="G16" s="37" t="s">
        <v>49</v>
      </c>
      <c r="H16" s="26" t="s">
        <v>3148</v>
      </c>
      <c r="I16" s="26" t="s">
        <v>3149</v>
      </c>
      <c r="J16" s="26" t="s">
        <v>3150</v>
      </c>
      <c r="K16" s="26" t="s">
        <v>3151</v>
      </c>
      <c r="L16" s="26" t="s">
        <v>995</v>
      </c>
      <c r="M16" s="26" t="s">
        <v>3152</v>
      </c>
      <c r="N16" s="26" t="s">
        <v>1198</v>
      </c>
      <c r="O16" s="26" t="s">
        <v>2168</v>
      </c>
      <c r="P16" s="37"/>
      <c r="R16" s="26" t="s">
        <v>1437</v>
      </c>
      <c r="S16" s="26" t="s">
        <v>3153</v>
      </c>
      <c r="T16" s="26" t="s">
        <v>1022</v>
      </c>
      <c r="U16" s="26">
        <v>2024.0</v>
      </c>
      <c r="V16" s="26" t="s">
        <v>3088</v>
      </c>
      <c r="X16" s="26" t="s">
        <v>2172</v>
      </c>
    </row>
    <row r="17" ht="14.25" customHeight="1">
      <c r="A17" s="37" t="s">
        <v>238</v>
      </c>
      <c r="B17" s="37" t="s">
        <v>239</v>
      </c>
      <c r="C17" s="37" t="s">
        <v>88</v>
      </c>
      <c r="D17" s="37" t="s">
        <v>179</v>
      </c>
      <c r="E17" s="37" t="s">
        <v>228</v>
      </c>
      <c r="F17" s="37" t="s">
        <v>189</v>
      </c>
      <c r="G17" s="37" t="s">
        <v>49</v>
      </c>
      <c r="H17" s="26" t="s">
        <v>3154</v>
      </c>
      <c r="I17" s="26" t="s">
        <v>3155</v>
      </c>
      <c r="J17" s="26" t="s">
        <v>3156</v>
      </c>
      <c r="K17" s="26" t="s">
        <v>3157</v>
      </c>
      <c r="L17" s="26" t="s">
        <v>3073</v>
      </c>
      <c r="M17" s="26" t="s">
        <v>2168</v>
      </c>
      <c r="N17" s="26" t="s">
        <v>1198</v>
      </c>
      <c r="O17" s="26" t="s">
        <v>2168</v>
      </c>
      <c r="P17" s="37"/>
      <c r="R17" s="26" t="s">
        <v>1437</v>
      </c>
      <c r="S17" s="26" t="s">
        <v>3158</v>
      </c>
      <c r="T17" s="26" t="s">
        <v>1015</v>
      </c>
      <c r="U17" s="26">
        <v>2024.0</v>
      </c>
      <c r="V17" s="26" t="s">
        <v>620</v>
      </c>
      <c r="X17" s="26" t="s">
        <v>2172</v>
      </c>
    </row>
    <row r="18" ht="14.25" customHeight="1">
      <c r="A18" s="37" t="s">
        <v>240</v>
      </c>
      <c r="B18" s="37" t="s">
        <v>241</v>
      </c>
      <c r="C18" s="37" t="s">
        <v>88</v>
      </c>
      <c r="D18" s="37" t="s">
        <v>242</v>
      </c>
      <c r="E18" s="37" t="s">
        <v>243</v>
      </c>
      <c r="F18" s="37" t="s">
        <v>244</v>
      </c>
      <c r="G18" s="37" t="s">
        <v>49</v>
      </c>
      <c r="H18" s="26" t="s">
        <v>3159</v>
      </c>
      <c r="I18" s="26" t="s">
        <v>3160</v>
      </c>
      <c r="J18" s="26" t="s">
        <v>3161</v>
      </c>
      <c r="K18" s="26" t="s">
        <v>3162</v>
      </c>
      <c r="L18" s="26" t="s">
        <v>3163</v>
      </c>
      <c r="M18" s="26" t="s">
        <v>3164</v>
      </c>
      <c r="N18" s="26" t="s">
        <v>1198</v>
      </c>
      <c r="O18" s="26" t="s">
        <v>2168</v>
      </c>
      <c r="P18" s="37"/>
      <c r="R18" s="26" t="s">
        <v>1437</v>
      </c>
      <c r="S18" s="26" t="s">
        <v>3165</v>
      </c>
      <c r="T18" s="26" t="s">
        <v>1022</v>
      </c>
      <c r="U18" s="26">
        <v>2024.0</v>
      </c>
      <c r="V18" s="26" t="s">
        <v>1296</v>
      </c>
      <c r="X18" s="26" t="s">
        <v>2172</v>
      </c>
    </row>
    <row r="19" ht="14.25" customHeight="1">
      <c r="A19" s="37" t="s">
        <v>245</v>
      </c>
      <c r="B19" s="37" t="s">
        <v>246</v>
      </c>
      <c r="C19" s="37" t="s">
        <v>88</v>
      </c>
      <c r="D19" s="37" t="s">
        <v>247</v>
      </c>
      <c r="E19" s="37" t="s">
        <v>248</v>
      </c>
      <c r="F19" s="37" t="s">
        <v>233</v>
      </c>
      <c r="G19" s="26" t="s">
        <v>3166</v>
      </c>
      <c r="H19" s="26" t="s">
        <v>3167</v>
      </c>
      <c r="I19" s="26" t="s">
        <v>3168</v>
      </c>
      <c r="J19" s="26" t="s">
        <v>3169</v>
      </c>
      <c r="K19" s="26" t="s">
        <v>3170</v>
      </c>
      <c r="L19" s="26" t="s">
        <v>3073</v>
      </c>
      <c r="M19" s="26" t="s">
        <v>3171</v>
      </c>
      <c r="N19" s="26" t="s">
        <v>1198</v>
      </c>
      <c r="O19" s="26" t="s">
        <v>2168</v>
      </c>
      <c r="P19" s="37"/>
      <c r="R19" s="26" t="s">
        <v>1437</v>
      </c>
      <c r="S19" s="26" t="s">
        <v>3172</v>
      </c>
      <c r="T19" s="26" t="s">
        <v>1022</v>
      </c>
      <c r="U19" s="26">
        <v>2023.0</v>
      </c>
      <c r="V19" s="26" t="s">
        <v>620</v>
      </c>
      <c r="X19" s="26" t="s">
        <v>2172</v>
      </c>
    </row>
    <row r="20" ht="14.25" customHeight="1">
      <c r="A20" s="37" t="s">
        <v>249</v>
      </c>
      <c r="B20" s="37" t="s">
        <v>250</v>
      </c>
      <c r="C20" s="37" t="s">
        <v>88</v>
      </c>
      <c r="D20" s="37" t="s">
        <v>251</v>
      </c>
      <c r="E20" s="37" t="s">
        <v>252</v>
      </c>
      <c r="F20" s="37" t="s">
        <v>253</v>
      </c>
      <c r="G20" s="37" t="s">
        <v>49</v>
      </c>
      <c r="H20" s="26" t="s">
        <v>3173</v>
      </c>
      <c r="I20" s="26" t="s">
        <v>3174</v>
      </c>
      <c r="J20" s="26" t="s">
        <v>3175</v>
      </c>
      <c r="K20" s="26" t="s">
        <v>3176</v>
      </c>
      <c r="L20" s="26" t="s">
        <v>995</v>
      </c>
      <c r="M20" s="26" t="s">
        <v>2168</v>
      </c>
      <c r="N20" s="26" t="s">
        <v>1198</v>
      </c>
      <c r="O20" s="26" t="s">
        <v>2168</v>
      </c>
      <c r="P20" s="37"/>
      <c r="R20" s="26" t="s">
        <v>1437</v>
      </c>
      <c r="S20" s="26" t="s">
        <v>3177</v>
      </c>
      <c r="T20" s="26" t="s">
        <v>1307</v>
      </c>
      <c r="U20" s="26">
        <v>2024.0</v>
      </c>
      <c r="V20" s="26" t="s">
        <v>620</v>
      </c>
      <c r="X20" s="26" t="s">
        <v>2172</v>
      </c>
    </row>
    <row r="21" ht="14.25" customHeight="1">
      <c r="A21" s="37" t="s">
        <v>254</v>
      </c>
      <c r="B21" s="37" t="s">
        <v>255</v>
      </c>
      <c r="C21" s="37" t="s">
        <v>88</v>
      </c>
      <c r="D21" s="37" t="s">
        <v>256</v>
      </c>
      <c r="E21" s="37" t="s">
        <v>257</v>
      </c>
      <c r="F21" s="37" t="s">
        <v>189</v>
      </c>
      <c r="G21" s="37" t="s">
        <v>49</v>
      </c>
      <c r="H21" s="26" t="s">
        <v>3178</v>
      </c>
      <c r="J21" s="26" t="s">
        <v>3179</v>
      </c>
      <c r="K21" s="26" t="s">
        <v>3180</v>
      </c>
      <c r="L21" s="26" t="s">
        <v>3073</v>
      </c>
      <c r="M21" s="26" t="s">
        <v>2168</v>
      </c>
      <c r="N21" s="26" t="s">
        <v>1198</v>
      </c>
      <c r="O21" s="26" t="s">
        <v>2168</v>
      </c>
      <c r="P21" s="37"/>
      <c r="R21" s="26" t="s">
        <v>1437</v>
      </c>
      <c r="S21" s="26" t="s">
        <v>3181</v>
      </c>
      <c r="T21" s="26" t="s">
        <v>1022</v>
      </c>
      <c r="U21" s="26">
        <v>2023.0</v>
      </c>
      <c r="V21" s="26" t="s">
        <v>620</v>
      </c>
      <c r="X21" s="26" t="s">
        <v>2172</v>
      </c>
    </row>
    <row r="22" ht="14.25" customHeight="1">
      <c r="A22" s="268"/>
      <c r="B22" s="133"/>
      <c r="C22" s="133"/>
      <c r="D22" s="133"/>
      <c r="E22" s="133"/>
      <c r="F22" s="133"/>
      <c r="G22" s="269"/>
      <c r="O22" s="26" t="s">
        <v>2168</v>
      </c>
      <c r="P22" s="37"/>
    </row>
    <row r="23" ht="14.25" customHeight="1">
      <c r="A23" s="50"/>
      <c r="B23" s="16"/>
      <c r="C23" s="16"/>
      <c r="D23" s="16"/>
      <c r="E23" s="16"/>
      <c r="F23" s="16"/>
      <c r="G23" s="270"/>
      <c r="O23" s="26" t="s">
        <v>2168</v>
      </c>
      <c r="P23" s="37"/>
    </row>
    <row r="24" ht="14.25" customHeight="1">
      <c r="A24" s="26" t="s">
        <v>3182</v>
      </c>
    </row>
    <row r="25" ht="14.25" customHeight="1">
      <c r="A25" s="39" t="s">
        <v>652</v>
      </c>
      <c r="B25" s="39" t="s">
        <v>653</v>
      </c>
      <c r="C25" s="40" t="s">
        <v>616</v>
      </c>
      <c r="D25" s="39" t="s">
        <v>654</v>
      </c>
      <c r="E25" s="39" t="s">
        <v>655</v>
      </c>
      <c r="F25" s="39" t="s">
        <v>656</v>
      </c>
      <c r="G25" s="39" t="s">
        <v>49</v>
      </c>
      <c r="H25" s="39" t="s">
        <v>3183</v>
      </c>
      <c r="I25" s="39" t="s">
        <v>3184</v>
      </c>
      <c r="J25" s="39" t="s">
        <v>3185</v>
      </c>
      <c r="K25" s="26" t="s">
        <v>3186</v>
      </c>
      <c r="L25" s="26" t="s">
        <v>3120</v>
      </c>
      <c r="N25" s="26" t="s">
        <v>1198</v>
      </c>
      <c r="R25" s="26" t="s">
        <v>1437</v>
      </c>
      <c r="S25" s="26" t="s">
        <v>3187</v>
      </c>
      <c r="T25" s="26" t="s">
        <v>1022</v>
      </c>
      <c r="U25" s="26">
        <v>2025.0</v>
      </c>
      <c r="V25" s="26" t="s">
        <v>620</v>
      </c>
      <c r="X25" s="26" t="s">
        <v>2172</v>
      </c>
    </row>
    <row r="26" ht="14.25" customHeight="1">
      <c r="A26" s="39" t="s">
        <v>657</v>
      </c>
      <c r="B26" s="39" t="s">
        <v>658</v>
      </c>
      <c r="C26" s="40" t="s">
        <v>616</v>
      </c>
      <c r="D26" s="39" t="s">
        <v>617</v>
      </c>
      <c r="E26" s="39" t="s">
        <v>659</v>
      </c>
      <c r="F26" s="39" t="s">
        <v>385</v>
      </c>
      <c r="G26" s="39" t="s">
        <v>49</v>
      </c>
      <c r="H26" s="39" t="s">
        <v>3188</v>
      </c>
      <c r="I26" s="39" t="s">
        <v>3189</v>
      </c>
      <c r="J26" s="39" t="s">
        <v>3190</v>
      </c>
      <c r="K26" s="26" t="s">
        <v>3191</v>
      </c>
      <c r="L26" s="26" t="s">
        <v>1721</v>
      </c>
      <c r="M26" s="26" t="s">
        <v>3192</v>
      </c>
      <c r="N26" s="26" t="s">
        <v>1198</v>
      </c>
      <c r="S26" s="26" t="s">
        <v>3193</v>
      </c>
      <c r="T26" s="26" t="s">
        <v>1323</v>
      </c>
      <c r="U26" s="26">
        <v>2025.0</v>
      </c>
      <c r="V26" s="26" t="s">
        <v>620</v>
      </c>
      <c r="X26" s="26" t="s">
        <v>2172</v>
      </c>
    </row>
    <row r="27" ht="14.25" customHeight="1">
      <c r="A27" s="271" t="s">
        <v>660</v>
      </c>
      <c r="B27" s="271" t="s">
        <v>661</v>
      </c>
      <c r="C27" s="272" t="s">
        <v>616</v>
      </c>
      <c r="D27" s="271" t="s">
        <v>594</v>
      </c>
      <c r="F27" s="271" t="s">
        <v>662</v>
      </c>
      <c r="G27" s="271" t="s">
        <v>92</v>
      </c>
      <c r="H27" s="271"/>
      <c r="I27" s="273"/>
      <c r="J27" s="271"/>
      <c r="K27" s="256"/>
      <c r="L27" s="256"/>
      <c r="M27" s="256"/>
      <c r="N27" s="257" t="s">
        <v>1437</v>
      </c>
      <c r="O27" s="257" t="s">
        <v>3194</v>
      </c>
      <c r="P27" s="256"/>
      <c r="Q27" s="256"/>
      <c r="R27" s="257" t="s">
        <v>1437</v>
      </c>
      <c r="S27" s="256"/>
      <c r="T27" s="256"/>
      <c r="U27" s="256"/>
      <c r="V27" s="256"/>
      <c r="W27" s="256"/>
      <c r="X27" s="256"/>
      <c r="Y27" s="256"/>
      <c r="Z27" s="256"/>
      <c r="AA27" s="256"/>
      <c r="AB27" s="256"/>
      <c r="AC27" s="256"/>
    </row>
    <row r="28" ht="14.25" customHeight="1">
      <c r="A28" s="39" t="s">
        <v>663</v>
      </c>
      <c r="B28" s="39" t="s">
        <v>664</v>
      </c>
      <c r="C28" s="40" t="s">
        <v>616</v>
      </c>
      <c r="D28" s="39" t="s">
        <v>367</v>
      </c>
      <c r="E28" s="39" t="s">
        <v>665</v>
      </c>
      <c r="F28" s="39" t="s">
        <v>280</v>
      </c>
      <c r="G28" s="39" t="s">
        <v>49</v>
      </c>
      <c r="H28" s="39" t="s">
        <v>3195</v>
      </c>
      <c r="I28" s="39" t="s">
        <v>3196</v>
      </c>
      <c r="J28" s="39" t="s">
        <v>3197</v>
      </c>
      <c r="K28" s="26" t="s">
        <v>3198</v>
      </c>
      <c r="L28" s="26" t="s">
        <v>3199</v>
      </c>
      <c r="M28" s="26" t="s">
        <v>3200</v>
      </c>
      <c r="N28" s="26" t="s">
        <v>1198</v>
      </c>
      <c r="R28" s="26" t="s">
        <v>1437</v>
      </c>
      <c r="S28" s="26" t="s">
        <v>3201</v>
      </c>
      <c r="T28" s="26" t="s">
        <v>998</v>
      </c>
      <c r="U28" s="26">
        <v>2025.0</v>
      </c>
      <c r="V28" s="26" t="s">
        <v>3202</v>
      </c>
      <c r="X28" s="26" t="s">
        <v>2172</v>
      </c>
    </row>
    <row r="29" ht="14.25" customHeight="1">
      <c r="A29" s="39" t="s">
        <v>666</v>
      </c>
      <c r="B29" s="39" t="s">
        <v>667</v>
      </c>
      <c r="C29" s="40" t="s">
        <v>616</v>
      </c>
      <c r="D29" s="39" t="s">
        <v>170</v>
      </c>
      <c r="E29" s="39"/>
      <c r="F29" s="39" t="s">
        <v>209</v>
      </c>
      <c r="G29" s="39" t="s">
        <v>578</v>
      </c>
      <c r="H29" s="39" t="s">
        <v>3203</v>
      </c>
      <c r="I29" s="39" t="s">
        <v>3204</v>
      </c>
      <c r="J29" s="39" t="s">
        <v>3205</v>
      </c>
      <c r="K29" s="26" t="s">
        <v>3206</v>
      </c>
      <c r="L29" s="26" t="s">
        <v>3207</v>
      </c>
      <c r="M29" s="26" t="s">
        <v>3208</v>
      </c>
      <c r="N29" s="26" t="s">
        <v>1198</v>
      </c>
      <c r="R29" s="26" t="s">
        <v>1437</v>
      </c>
      <c r="S29" s="26" t="s">
        <v>3209</v>
      </c>
      <c r="T29" s="26" t="s">
        <v>1022</v>
      </c>
      <c r="U29" s="26">
        <v>2025.0</v>
      </c>
      <c r="V29" s="26" t="s">
        <v>999</v>
      </c>
      <c r="X29" s="26" t="s">
        <v>1945</v>
      </c>
    </row>
    <row r="30" ht="14.25" customHeight="1">
      <c r="A30" s="39" t="s">
        <v>703</v>
      </c>
      <c r="B30" s="39" t="s">
        <v>704</v>
      </c>
      <c r="C30" s="40" t="s">
        <v>616</v>
      </c>
      <c r="D30" s="39" t="s">
        <v>264</v>
      </c>
      <c r="E30" s="39" t="s">
        <v>705</v>
      </c>
      <c r="F30" s="39" t="s">
        <v>142</v>
      </c>
      <c r="G30" s="39" t="s">
        <v>49</v>
      </c>
      <c r="H30" s="39" t="s">
        <v>3210</v>
      </c>
      <c r="I30" s="39" t="s">
        <v>2168</v>
      </c>
      <c r="J30" s="39" t="s">
        <v>3211</v>
      </c>
      <c r="K30" s="26" t="s">
        <v>3212</v>
      </c>
      <c r="L30" s="26" t="s">
        <v>3213</v>
      </c>
      <c r="N30" s="26" t="s">
        <v>1198</v>
      </c>
      <c r="R30" s="26" t="s">
        <v>1437</v>
      </c>
      <c r="S30" s="26" t="s">
        <v>3214</v>
      </c>
      <c r="T30" s="26" t="s">
        <v>1022</v>
      </c>
      <c r="U30" s="26">
        <v>2025.0</v>
      </c>
      <c r="V30" s="26" t="s">
        <v>1336</v>
      </c>
      <c r="X30" s="26" t="s">
        <v>2172</v>
      </c>
    </row>
    <row r="31" ht="14.25" customHeight="1">
      <c r="A31" s="39" t="s">
        <v>706</v>
      </c>
      <c r="B31" s="39" t="s">
        <v>707</v>
      </c>
      <c r="C31" s="40" t="s">
        <v>616</v>
      </c>
      <c r="D31" s="39" t="s">
        <v>708</v>
      </c>
      <c r="E31" s="39" t="s">
        <v>198</v>
      </c>
      <c r="F31" s="39" t="s">
        <v>189</v>
      </c>
      <c r="G31" s="39" t="s">
        <v>49</v>
      </c>
      <c r="H31" s="39" t="s">
        <v>3215</v>
      </c>
      <c r="I31" s="39" t="s">
        <v>3216</v>
      </c>
      <c r="J31" s="39" t="s">
        <v>3217</v>
      </c>
      <c r="K31" s="26" t="s">
        <v>3218</v>
      </c>
      <c r="L31" s="26" t="s">
        <v>3120</v>
      </c>
      <c r="M31" s="26" t="s">
        <v>3219</v>
      </c>
      <c r="N31" s="26" t="s">
        <v>1198</v>
      </c>
      <c r="R31" s="26" t="s">
        <v>1437</v>
      </c>
      <c r="S31" s="26" t="s">
        <v>3220</v>
      </c>
      <c r="T31" s="26" t="s">
        <v>1022</v>
      </c>
      <c r="U31" s="26">
        <v>2025.0</v>
      </c>
      <c r="V31" s="26" t="s">
        <v>620</v>
      </c>
      <c r="X31" s="26" t="s">
        <v>2172</v>
      </c>
    </row>
    <row r="32" ht="14.25" customHeight="1">
      <c r="A32" s="39" t="s">
        <v>709</v>
      </c>
      <c r="B32" s="39" t="s">
        <v>710</v>
      </c>
      <c r="C32" s="40" t="s">
        <v>616</v>
      </c>
      <c r="D32" s="39" t="s">
        <v>587</v>
      </c>
      <c r="E32" s="39" t="s">
        <v>711</v>
      </c>
      <c r="F32" s="39" t="s">
        <v>221</v>
      </c>
      <c r="G32" s="39" t="s">
        <v>49</v>
      </c>
      <c r="H32" s="39" t="s">
        <v>3221</v>
      </c>
      <c r="I32" s="39" t="s">
        <v>3222</v>
      </c>
      <c r="J32" s="39" t="s">
        <v>3223</v>
      </c>
      <c r="K32" s="26" t="s">
        <v>3224</v>
      </c>
      <c r="L32" s="26" t="s">
        <v>3225</v>
      </c>
      <c r="M32" s="26" t="s">
        <v>2168</v>
      </c>
      <c r="N32" s="26" t="s">
        <v>1198</v>
      </c>
      <c r="R32" s="26" t="s">
        <v>1437</v>
      </c>
      <c r="S32" s="26" t="s">
        <v>3226</v>
      </c>
      <c r="T32" s="26" t="s">
        <v>1022</v>
      </c>
      <c r="U32" s="26">
        <v>2025.0</v>
      </c>
      <c r="V32" s="26" t="s">
        <v>3227</v>
      </c>
      <c r="X32" s="26" t="s">
        <v>2172</v>
      </c>
    </row>
    <row r="33" ht="14.25" customHeight="1">
      <c r="A33" s="274" t="s">
        <v>796</v>
      </c>
      <c r="B33" s="274" t="s">
        <v>797</v>
      </c>
      <c r="C33" s="275" t="s">
        <v>616</v>
      </c>
      <c r="D33" s="274" t="s">
        <v>343</v>
      </c>
      <c r="E33" s="274" t="s">
        <v>798</v>
      </c>
      <c r="F33" s="274" t="s">
        <v>221</v>
      </c>
      <c r="G33" s="274" t="s">
        <v>49</v>
      </c>
      <c r="H33" s="274"/>
      <c r="I33" s="276"/>
      <c r="J33" s="274"/>
      <c r="K33" s="266"/>
      <c r="L33" s="266"/>
      <c r="M33" s="266"/>
      <c r="N33" s="267" t="s">
        <v>1437</v>
      </c>
      <c r="O33" s="267" t="s">
        <v>3228</v>
      </c>
      <c r="P33" s="266"/>
      <c r="Q33" s="266"/>
      <c r="R33" s="266"/>
      <c r="S33" s="266"/>
      <c r="T33" s="266"/>
      <c r="U33" s="266"/>
      <c r="V33" s="266"/>
      <c r="W33" s="266"/>
      <c r="X33" s="266"/>
      <c r="Y33" s="266"/>
      <c r="Z33" s="266"/>
      <c r="AA33" s="266"/>
      <c r="AB33" s="266"/>
      <c r="AC33" s="266"/>
    </row>
    <row r="34" ht="14.25" customHeight="1">
      <c r="A34" s="271" t="s">
        <v>799</v>
      </c>
      <c r="B34" s="271" t="s">
        <v>800</v>
      </c>
      <c r="C34" s="272" t="s">
        <v>616</v>
      </c>
      <c r="D34" s="271" t="s">
        <v>150</v>
      </c>
      <c r="E34" s="271" t="s">
        <v>726</v>
      </c>
      <c r="F34" s="271" t="s">
        <v>221</v>
      </c>
      <c r="G34" s="271" t="s">
        <v>49</v>
      </c>
      <c r="H34" s="271"/>
      <c r="I34" s="273"/>
      <c r="J34" s="271"/>
      <c r="K34" s="256"/>
      <c r="L34" s="256"/>
      <c r="M34" s="256"/>
      <c r="N34" s="257" t="s">
        <v>1437</v>
      </c>
      <c r="O34" s="257" t="s">
        <v>3229</v>
      </c>
      <c r="P34" s="256"/>
      <c r="Q34" s="256"/>
      <c r="R34" s="256"/>
      <c r="S34" s="256"/>
      <c r="T34" s="257" t="s">
        <v>1323</v>
      </c>
      <c r="U34" s="257">
        <v>2025.0</v>
      </c>
      <c r="V34" s="256"/>
      <c r="W34" s="256"/>
      <c r="X34" s="256"/>
      <c r="Y34" s="256"/>
      <c r="Z34" s="256"/>
      <c r="AA34" s="256"/>
      <c r="AB34" s="256"/>
      <c r="AC34" s="256"/>
    </row>
    <row r="35" ht="14.25" customHeight="1">
      <c r="A35" s="39" t="s">
        <v>801</v>
      </c>
      <c r="B35" s="39" t="s">
        <v>802</v>
      </c>
      <c r="C35" s="40" t="s">
        <v>616</v>
      </c>
      <c r="D35" s="39" t="s">
        <v>406</v>
      </c>
      <c r="E35" s="39"/>
      <c r="F35" s="39" t="s">
        <v>803</v>
      </c>
      <c r="G35" s="39" t="s">
        <v>49</v>
      </c>
      <c r="H35" s="39" t="s">
        <v>3230</v>
      </c>
      <c r="I35" s="39" t="s">
        <v>3231</v>
      </c>
      <c r="J35" s="39" t="s">
        <v>3232</v>
      </c>
      <c r="K35" s="26" t="s">
        <v>3233</v>
      </c>
      <c r="L35" s="26" t="s">
        <v>3234</v>
      </c>
      <c r="N35" s="26" t="s">
        <v>1198</v>
      </c>
      <c r="R35" s="26" t="s">
        <v>1437</v>
      </c>
      <c r="S35" s="26" t="s">
        <v>3235</v>
      </c>
      <c r="T35" s="26" t="s">
        <v>1348</v>
      </c>
      <c r="U35" s="26">
        <v>2025.0</v>
      </c>
      <c r="V35" s="26" t="s">
        <v>1349</v>
      </c>
      <c r="X35" s="26" t="s">
        <v>3236</v>
      </c>
    </row>
    <row r="36" ht="14.25" customHeight="1">
      <c r="A36" s="39" t="s">
        <v>804</v>
      </c>
      <c r="B36" s="39" t="s">
        <v>805</v>
      </c>
      <c r="C36" s="40" t="s">
        <v>616</v>
      </c>
      <c r="D36" s="39" t="s">
        <v>443</v>
      </c>
      <c r="E36" s="39" t="s">
        <v>806</v>
      </c>
      <c r="F36" s="39" t="s">
        <v>536</v>
      </c>
      <c r="G36" s="39" t="s">
        <v>49</v>
      </c>
      <c r="H36" s="39" t="s">
        <v>3237</v>
      </c>
      <c r="I36" s="39" t="s">
        <v>3238</v>
      </c>
      <c r="J36" s="39" t="s">
        <v>3239</v>
      </c>
      <c r="K36" s="26" t="s">
        <v>3240</v>
      </c>
      <c r="L36" s="26" t="s">
        <v>3241</v>
      </c>
      <c r="M36" s="26" t="s">
        <v>3242</v>
      </c>
      <c r="N36" s="26" t="s">
        <v>1198</v>
      </c>
      <c r="R36" s="26" t="s">
        <v>1437</v>
      </c>
      <c r="S36" s="26" t="s">
        <v>3243</v>
      </c>
      <c r="T36" s="26" t="s">
        <v>1022</v>
      </c>
      <c r="U36" s="26">
        <v>2025.0</v>
      </c>
      <c r="V36" s="26" t="s">
        <v>620</v>
      </c>
      <c r="X36" s="26" t="s">
        <v>2172</v>
      </c>
    </row>
    <row r="37" ht="14.25" customHeight="1">
      <c r="A37" s="39" t="s">
        <v>807</v>
      </c>
      <c r="B37" s="39" t="s">
        <v>808</v>
      </c>
      <c r="C37" s="40" t="s">
        <v>616</v>
      </c>
      <c r="D37" s="39" t="s">
        <v>426</v>
      </c>
      <c r="E37" s="39" t="s">
        <v>809</v>
      </c>
      <c r="F37" s="39" t="s">
        <v>189</v>
      </c>
      <c r="G37" s="39" t="s">
        <v>49</v>
      </c>
      <c r="H37" s="39" t="s">
        <v>3244</v>
      </c>
      <c r="I37" s="39" t="s">
        <v>3245</v>
      </c>
      <c r="J37" s="39" t="s">
        <v>3246</v>
      </c>
      <c r="K37" s="26" t="s">
        <v>3247</v>
      </c>
      <c r="L37" s="26" t="s">
        <v>3248</v>
      </c>
      <c r="M37" s="26" t="s">
        <v>2168</v>
      </c>
      <c r="N37" s="26" t="s">
        <v>1198</v>
      </c>
      <c r="R37" s="26" t="s">
        <v>1437</v>
      </c>
      <c r="S37" s="26" t="s">
        <v>3249</v>
      </c>
      <c r="T37" s="26" t="s">
        <v>1022</v>
      </c>
      <c r="U37" s="26">
        <v>2025.0</v>
      </c>
      <c r="V37" s="26" t="s">
        <v>1336</v>
      </c>
      <c r="X37" s="26" t="s">
        <v>2172</v>
      </c>
    </row>
    <row r="38" ht="14.25" customHeight="1">
      <c r="A38" s="274" t="s">
        <v>889</v>
      </c>
      <c r="B38" s="274" t="s">
        <v>890</v>
      </c>
      <c r="C38" s="275" t="s">
        <v>891</v>
      </c>
      <c r="D38" s="274" t="s">
        <v>892</v>
      </c>
      <c r="E38" s="274" t="s">
        <v>514</v>
      </c>
      <c r="F38" s="274" t="s">
        <v>102</v>
      </c>
      <c r="G38" s="274" t="s">
        <v>49</v>
      </c>
      <c r="H38" s="274"/>
      <c r="I38" s="276"/>
      <c r="J38" s="274"/>
      <c r="K38" s="274"/>
      <c r="L38" s="274"/>
      <c r="M38" s="276"/>
      <c r="N38" s="274" t="s">
        <v>1437</v>
      </c>
      <c r="O38" s="267" t="s">
        <v>3250</v>
      </c>
      <c r="P38" s="266"/>
      <c r="Q38" s="266"/>
      <c r="R38" s="266"/>
      <c r="S38" s="266"/>
      <c r="T38" s="266"/>
      <c r="U38" s="266"/>
      <c r="V38" s="266"/>
      <c r="W38" s="266"/>
      <c r="X38" s="266"/>
      <c r="Y38" s="266"/>
      <c r="Z38" s="266"/>
      <c r="AA38" s="266"/>
      <c r="AB38" s="266"/>
      <c r="AC38" s="266"/>
    </row>
    <row r="39" ht="14.25" customHeight="1">
      <c r="A39" s="271" t="s">
        <v>909</v>
      </c>
      <c r="B39" s="271" t="s">
        <v>910</v>
      </c>
      <c r="C39" s="272" t="s">
        <v>891</v>
      </c>
      <c r="D39" s="271" t="s">
        <v>907</v>
      </c>
      <c r="F39" s="271" t="s">
        <v>102</v>
      </c>
      <c r="G39" s="271" t="s">
        <v>49</v>
      </c>
      <c r="H39" s="271"/>
      <c r="J39" s="271"/>
      <c r="K39" s="271"/>
      <c r="L39" s="271"/>
      <c r="M39" s="273"/>
      <c r="N39" s="271" t="s">
        <v>1437</v>
      </c>
      <c r="O39" s="257" t="s">
        <v>3251</v>
      </c>
      <c r="P39" s="256"/>
      <c r="Q39" s="256"/>
      <c r="R39" s="257" t="s">
        <v>1437</v>
      </c>
      <c r="S39" s="256"/>
      <c r="T39" s="257" t="s">
        <v>1307</v>
      </c>
      <c r="U39" s="257">
        <v>2022.0</v>
      </c>
      <c r="V39" s="256"/>
      <c r="W39" s="256"/>
      <c r="X39" s="256"/>
      <c r="Y39" s="256"/>
      <c r="Z39" s="256"/>
      <c r="AA39" s="256"/>
      <c r="AB39" s="256"/>
      <c r="AC39" s="256"/>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7:E27"/>
    <mergeCell ref="D39:E39"/>
    <mergeCell ref="H39:I39"/>
  </mergeCells>
  <dataValidations>
    <dataValidation type="list" allowBlank="1" showErrorMessage="1" sqref="P2:P23">
      <formula1>'Exclussion basis'!$A$2:$A$4</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67"/>
    <col customWidth="1" min="2" max="2" width="92.0"/>
    <col customWidth="1" min="3" max="3" width="13.0"/>
    <col customWidth="1" min="4" max="4" width="9.0"/>
    <col customWidth="1" min="5" max="7" width="7.22"/>
    <col customWidth="1" min="8" max="8" width="10.22"/>
    <col customWidth="1" min="9" max="9" width="13.78"/>
    <col customWidth="1" min="10" max="10" width="8.44"/>
    <col customWidth="1" min="11" max="11" width="10.89"/>
    <col customWidth="1" min="12" max="14" width="13.11"/>
    <col customWidth="1" min="15" max="15" width="12.67"/>
    <col customWidth="1" min="16" max="16" width="14.0"/>
    <col customWidth="1" min="17" max="17" width="10.11"/>
    <col customWidth="1" min="18" max="18" width="11.56"/>
    <col customWidth="1" min="19" max="19" width="6.44"/>
    <col customWidth="1" min="20" max="20" width="6.78"/>
    <col customWidth="1" min="21" max="21" width="7.44"/>
    <col customWidth="1" min="22" max="22" width="6.78"/>
    <col customWidth="1" min="23" max="23" width="11.33"/>
    <col customWidth="1" min="24" max="30" width="6.78"/>
  </cols>
  <sheetData>
    <row r="1" ht="14.25" customHeight="1">
      <c r="A1" s="54" t="s">
        <v>57</v>
      </c>
      <c r="B1" s="54" t="s">
        <v>58</v>
      </c>
      <c r="C1" s="54" t="s">
        <v>59</v>
      </c>
      <c r="D1" s="54" t="s">
        <v>60</v>
      </c>
      <c r="E1" s="55" t="s">
        <v>942</v>
      </c>
      <c r="F1" s="55" t="s">
        <v>3252</v>
      </c>
      <c r="G1" s="249" t="s">
        <v>61</v>
      </c>
      <c r="H1" s="249" t="s">
        <v>62</v>
      </c>
      <c r="I1" s="249" t="s">
        <v>2614</v>
      </c>
      <c r="J1" s="250" t="s">
        <v>2615</v>
      </c>
      <c r="K1" s="250" t="s">
        <v>2616</v>
      </c>
      <c r="L1" s="249" t="s">
        <v>2617</v>
      </c>
      <c r="M1" s="251" t="s">
        <v>3056</v>
      </c>
      <c r="N1" s="250" t="s">
        <v>2619</v>
      </c>
      <c r="O1" s="249" t="s">
        <v>2620</v>
      </c>
      <c r="P1" s="249" t="s">
        <v>2621</v>
      </c>
      <c r="Q1" s="249" t="s">
        <v>2622</v>
      </c>
      <c r="R1" s="249" t="s">
        <v>2623</v>
      </c>
      <c r="S1" s="54" t="s">
        <v>2624</v>
      </c>
      <c r="T1" s="56" t="s">
        <v>943</v>
      </c>
      <c r="U1" s="252" t="s">
        <v>2626</v>
      </c>
      <c r="V1" s="252" t="s">
        <v>3253</v>
      </c>
      <c r="W1" s="252" t="s">
        <v>3089</v>
      </c>
      <c r="X1" s="252" t="s">
        <v>62</v>
      </c>
      <c r="Y1" s="252" t="s">
        <v>949</v>
      </c>
      <c r="Z1" s="253" t="s">
        <v>2630</v>
      </c>
    </row>
    <row r="2" ht="14.25" customHeight="1">
      <c r="A2" s="254" t="s">
        <v>344</v>
      </c>
      <c r="B2" s="254" t="s">
        <v>345</v>
      </c>
      <c r="C2" s="254" t="s">
        <v>88</v>
      </c>
      <c r="D2" s="254" t="s">
        <v>201</v>
      </c>
      <c r="E2" s="277" t="s">
        <v>3254</v>
      </c>
      <c r="F2" s="254"/>
      <c r="G2" s="254" t="s">
        <v>346</v>
      </c>
      <c r="H2" s="254" t="s">
        <v>209</v>
      </c>
      <c r="I2" s="254" t="s">
        <v>49</v>
      </c>
      <c r="J2" s="255" t="s">
        <v>3255</v>
      </c>
      <c r="K2" s="255" t="s">
        <v>3256</v>
      </c>
      <c r="L2" s="255" t="s">
        <v>3257</v>
      </c>
      <c r="M2" s="255" t="s">
        <v>3258</v>
      </c>
      <c r="N2" s="255" t="s">
        <v>3259</v>
      </c>
      <c r="O2" s="255" t="s">
        <v>3260</v>
      </c>
      <c r="P2" s="255" t="s">
        <v>961</v>
      </c>
      <c r="Q2" s="255" t="s">
        <v>3261</v>
      </c>
      <c r="R2" s="255" t="s">
        <v>2388</v>
      </c>
      <c r="S2" s="254"/>
      <c r="T2" s="255" t="s">
        <v>961</v>
      </c>
      <c r="U2" s="255"/>
      <c r="V2" s="255" t="s">
        <v>3262</v>
      </c>
      <c r="W2" s="255" t="s">
        <v>3263</v>
      </c>
      <c r="X2" s="255"/>
      <c r="Y2" s="255" t="s">
        <v>1204</v>
      </c>
      <c r="Z2" s="254"/>
      <c r="AA2" s="254"/>
      <c r="AB2" s="254"/>
      <c r="AC2" s="254"/>
      <c r="AD2" s="254"/>
    </row>
    <row r="3" ht="14.25" customHeight="1">
      <c r="A3" s="37" t="s">
        <v>348</v>
      </c>
      <c r="B3" s="37" t="s">
        <v>349</v>
      </c>
      <c r="C3" s="37" t="s">
        <v>88</v>
      </c>
      <c r="D3" s="37" t="s">
        <v>179</v>
      </c>
      <c r="E3" s="118" t="s">
        <v>1421</v>
      </c>
      <c r="G3" s="37" t="s">
        <v>350</v>
      </c>
      <c r="H3" s="37" t="s">
        <v>189</v>
      </c>
      <c r="I3" s="37" t="s">
        <v>49</v>
      </c>
      <c r="J3" s="26" t="s">
        <v>3264</v>
      </c>
      <c r="K3" s="26" t="s">
        <v>3265</v>
      </c>
      <c r="L3" s="26" t="s">
        <v>3266</v>
      </c>
      <c r="M3" s="26" t="s">
        <v>3267</v>
      </c>
      <c r="N3" s="26" t="s">
        <v>995</v>
      </c>
      <c r="O3" s="26" t="s">
        <v>3268</v>
      </c>
      <c r="P3" s="26" t="s">
        <v>930</v>
      </c>
      <c r="R3" s="26" t="s">
        <v>2388</v>
      </c>
      <c r="S3" s="26" t="s">
        <v>3269</v>
      </c>
      <c r="T3" s="26" t="s">
        <v>961</v>
      </c>
      <c r="U3" s="26"/>
      <c r="V3" s="26" t="s">
        <v>3262</v>
      </c>
      <c r="W3" s="26" t="s">
        <v>3270</v>
      </c>
      <c r="X3" s="26"/>
      <c r="Y3" s="26" t="s">
        <v>1022</v>
      </c>
    </row>
    <row r="4" ht="14.25" customHeight="1">
      <c r="A4" s="37" t="s">
        <v>351</v>
      </c>
      <c r="B4" s="37" t="s">
        <v>352</v>
      </c>
      <c r="C4" s="37" t="s">
        <v>88</v>
      </c>
      <c r="D4" s="37" t="s">
        <v>353</v>
      </c>
      <c r="E4" s="118" t="s">
        <v>1425</v>
      </c>
      <c r="F4" s="26">
        <v>12.0</v>
      </c>
      <c r="G4" s="37" t="s">
        <v>162</v>
      </c>
      <c r="H4" s="37" t="s">
        <v>354</v>
      </c>
      <c r="I4" s="37" t="s">
        <v>49</v>
      </c>
      <c r="J4" s="26" t="s">
        <v>3271</v>
      </c>
      <c r="K4" s="26" t="s">
        <v>3272</v>
      </c>
      <c r="L4" s="26" t="s">
        <v>3273</v>
      </c>
      <c r="M4" s="26" t="s">
        <v>3274</v>
      </c>
      <c r="N4" s="26" t="s">
        <v>995</v>
      </c>
      <c r="O4" s="26" t="s">
        <v>3275</v>
      </c>
      <c r="P4" s="26" t="s">
        <v>930</v>
      </c>
      <c r="R4" s="26" t="s">
        <v>2388</v>
      </c>
      <c r="T4" s="26" t="s">
        <v>961</v>
      </c>
      <c r="U4" s="26"/>
      <c r="V4" s="26" t="s">
        <v>3262</v>
      </c>
      <c r="W4" s="26" t="s">
        <v>3276</v>
      </c>
      <c r="X4" s="26"/>
      <c r="Y4" s="26" t="s">
        <v>3277</v>
      </c>
    </row>
    <row r="5" ht="14.25" customHeight="1">
      <c r="A5" s="278" t="s">
        <v>3278</v>
      </c>
      <c r="H5" s="278"/>
      <c r="R5" s="37"/>
    </row>
    <row r="6" ht="14.25" customHeight="1">
      <c r="A6" s="37" t="s">
        <v>355</v>
      </c>
      <c r="B6" s="37" t="s">
        <v>356</v>
      </c>
      <c r="C6" s="37" t="s">
        <v>88</v>
      </c>
      <c r="D6" s="37" t="s">
        <v>357</v>
      </c>
      <c r="E6" s="105" t="s">
        <v>1429</v>
      </c>
      <c r="G6" s="37" t="s">
        <v>358</v>
      </c>
      <c r="H6" s="37" t="s">
        <v>189</v>
      </c>
      <c r="I6" s="37" t="s">
        <v>49</v>
      </c>
      <c r="J6" s="26" t="s">
        <v>3279</v>
      </c>
      <c r="K6" s="26" t="s">
        <v>3280</v>
      </c>
      <c r="L6" s="26" t="s">
        <v>3281</v>
      </c>
      <c r="M6" s="26" t="s">
        <v>3282</v>
      </c>
      <c r="N6" s="26" t="s">
        <v>3283</v>
      </c>
      <c r="O6" s="26" t="s">
        <v>3284</v>
      </c>
      <c r="P6" s="26" t="s">
        <v>930</v>
      </c>
      <c r="R6" s="26" t="s">
        <v>2388</v>
      </c>
      <c r="T6" s="26" t="s">
        <v>961</v>
      </c>
      <c r="U6" s="26"/>
      <c r="V6" s="26" t="s">
        <v>3285</v>
      </c>
      <c r="W6" s="26" t="s">
        <v>3286</v>
      </c>
      <c r="X6" s="26"/>
      <c r="Y6" s="26" t="s">
        <v>1436</v>
      </c>
    </row>
    <row r="7" ht="14.25" customHeight="1">
      <c r="A7" s="37" t="s">
        <v>359</v>
      </c>
      <c r="B7" s="37" t="s">
        <v>360</v>
      </c>
      <c r="C7" s="37" t="s">
        <v>88</v>
      </c>
      <c r="D7" s="37" t="s">
        <v>122</v>
      </c>
      <c r="E7" s="118" t="s">
        <v>1434</v>
      </c>
      <c r="G7" s="37" t="s">
        <v>358</v>
      </c>
      <c r="H7" s="37" t="s">
        <v>221</v>
      </c>
      <c r="I7" s="37" t="s">
        <v>49</v>
      </c>
      <c r="J7" s="26" t="s">
        <v>3287</v>
      </c>
      <c r="K7" s="26" t="s">
        <v>3280</v>
      </c>
      <c r="L7" s="26" t="s">
        <v>3288</v>
      </c>
      <c r="M7" s="26" t="s">
        <v>3282</v>
      </c>
      <c r="N7" s="26" t="s">
        <v>3289</v>
      </c>
      <c r="O7" s="26" t="s">
        <v>3290</v>
      </c>
      <c r="P7" s="26" t="s">
        <v>930</v>
      </c>
      <c r="R7" s="26" t="s">
        <v>2388</v>
      </c>
      <c r="T7" s="26" t="s">
        <v>961</v>
      </c>
      <c r="V7" s="26" t="s">
        <v>3291</v>
      </c>
      <c r="W7" s="26" t="s">
        <v>3292</v>
      </c>
      <c r="Y7" s="26" t="s">
        <v>1436</v>
      </c>
    </row>
    <row r="8" ht="14.25" customHeight="1">
      <c r="A8" s="266" t="s">
        <v>361</v>
      </c>
      <c r="B8" s="266" t="s">
        <v>362</v>
      </c>
      <c r="C8" s="266" t="s">
        <v>88</v>
      </c>
      <c r="D8" s="266" t="s">
        <v>363</v>
      </c>
      <c r="E8" s="279" t="s">
        <v>3293</v>
      </c>
      <c r="F8" s="266"/>
      <c r="G8" s="266" t="s">
        <v>142</v>
      </c>
      <c r="H8" s="266" t="s">
        <v>364</v>
      </c>
      <c r="I8" s="266" t="s">
        <v>49</v>
      </c>
      <c r="J8" s="267" t="s">
        <v>2168</v>
      </c>
      <c r="K8" s="267" t="s">
        <v>2168</v>
      </c>
      <c r="L8" s="267" t="s">
        <v>2168</v>
      </c>
      <c r="M8" s="267" t="s">
        <v>2168</v>
      </c>
      <c r="N8" s="267" t="s">
        <v>2168</v>
      </c>
      <c r="O8" s="267" t="s">
        <v>2168</v>
      </c>
      <c r="P8" s="267" t="s">
        <v>2168</v>
      </c>
      <c r="Q8" s="267" t="s">
        <v>2168</v>
      </c>
      <c r="R8" s="266"/>
      <c r="S8" s="267" t="s">
        <v>2465</v>
      </c>
      <c r="T8" s="266"/>
      <c r="U8" s="266"/>
      <c r="V8" s="266"/>
      <c r="W8" s="266"/>
      <c r="X8" s="266"/>
      <c r="Y8" s="266"/>
      <c r="Z8" s="266"/>
      <c r="AA8" s="266"/>
      <c r="AB8" s="266"/>
      <c r="AC8" s="266"/>
      <c r="AD8" s="266"/>
    </row>
    <row r="9" ht="14.25" customHeight="1">
      <c r="A9" s="37" t="s">
        <v>365</v>
      </c>
      <c r="B9" s="37" t="s">
        <v>366</v>
      </c>
      <c r="C9" s="37" t="s">
        <v>88</v>
      </c>
      <c r="D9" s="37" t="s">
        <v>367</v>
      </c>
      <c r="E9" s="118" t="s">
        <v>1440</v>
      </c>
      <c r="G9" s="37" t="s">
        <v>368</v>
      </c>
      <c r="H9" s="37" t="s">
        <v>369</v>
      </c>
      <c r="I9" s="37" t="s">
        <v>49</v>
      </c>
      <c r="J9" s="26" t="s">
        <v>3294</v>
      </c>
      <c r="K9" s="26" t="s">
        <v>3295</v>
      </c>
      <c r="L9" s="26" t="s">
        <v>3296</v>
      </c>
      <c r="M9" s="26" t="s">
        <v>3297</v>
      </c>
      <c r="N9" s="26" t="s">
        <v>3298</v>
      </c>
      <c r="O9" s="26" t="s">
        <v>3299</v>
      </c>
      <c r="P9" s="26" t="s">
        <v>930</v>
      </c>
      <c r="R9" s="26" t="s">
        <v>2388</v>
      </c>
      <c r="S9" s="26" t="s">
        <v>3300</v>
      </c>
      <c r="T9" s="26" t="s">
        <v>961</v>
      </c>
      <c r="V9" s="26" t="s">
        <v>3301</v>
      </c>
      <c r="W9" s="26" t="s">
        <v>3302</v>
      </c>
      <c r="Y9" s="26" t="s">
        <v>1022</v>
      </c>
    </row>
    <row r="10" ht="14.25" customHeight="1">
      <c r="A10" s="37" t="s">
        <v>370</v>
      </c>
      <c r="B10" s="37" t="s">
        <v>371</v>
      </c>
      <c r="C10" s="37" t="s">
        <v>88</v>
      </c>
      <c r="D10" s="37" t="s">
        <v>372</v>
      </c>
      <c r="E10" s="105" t="s">
        <v>1447</v>
      </c>
      <c r="G10" s="37" t="s">
        <v>101</v>
      </c>
      <c r="H10" s="37" t="s">
        <v>373</v>
      </c>
      <c r="I10" s="37" t="s">
        <v>49</v>
      </c>
      <c r="J10" s="26" t="s">
        <v>3303</v>
      </c>
      <c r="K10" s="26" t="s">
        <v>3304</v>
      </c>
      <c r="L10" s="26" t="s">
        <v>3305</v>
      </c>
      <c r="M10" s="26" t="s">
        <v>3306</v>
      </c>
      <c r="N10" s="26" t="s">
        <v>3307</v>
      </c>
      <c r="O10" s="26" t="s">
        <v>3308</v>
      </c>
      <c r="P10" s="26" t="s">
        <v>930</v>
      </c>
      <c r="R10" s="26" t="s">
        <v>2388</v>
      </c>
      <c r="T10" s="26" t="s">
        <v>961</v>
      </c>
      <c r="V10" s="26" t="s">
        <v>3309</v>
      </c>
      <c r="W10" s="26" t="s">
        <v>3310</v>
      </c>
      <c r="Y10" s="26" t="s">
        <v>1022</v>
      </c>
    </row>
    <row r="11" ht="14.25" customHeight="1">
      <c r="A11" s="254" t="s">
        <v>374</v>
      </c>
      <c r="B11" s="254" t="s">
        <v>375</v>
      </c>
      <c r="C11" s="254" t="s">
        <v>88</v>
      </c>
      <c r="D11" s="254" t="s">
        <v>174</v>
      </c>
      <c r="E11" s="280" t="s">
        <v>3311</v>
      </c>
      <c r="F11" s="254"/>
      <c r="G11" s="254" t="s">
        <v>101</v>
      </c>
      <c r="H11" s="254" t="s">
        <v>376</v>
      </c>
      <c r="I11" s="254" t="s">
        <v>49</v>
      </c>
      <c r="J11" s="255" t="s">
        <v>3312</v>
      </c>
      <c r="K11" s="255" t="s">
        <v>3313</v>
      </c>
      <c r="L11" s="255" t="s">
        <v>3314</v>
      </c>
      <c r="M11" s="255" t="s">
        <v>3315</v>
      </c>
      <c r="N11" s="255" t="s">
        <v>3316</v>
      </c>
      <c r="O11" s="255" t="s">
        <v>3317</v>
      </c>
      <c r="P11" s="255" t="s">
        <v>961</v>
      </c>
      <c r="Q11" s="255" t="s">
        <v>3318</v>
      </c>
      <c r="R11" s="255" t="s">
        <v>2388</v>
      </c>
      <c r="S11" s="254"/>
      <c r="T11" s="255" t="s">
        <v>961</v>
      </c>
      <c r="U11" s="254"/>
      <c r="V11" s="255" t="s">
        <v>3319</v>
      </c>
      <c r="W11" s="255" t="s">
        <v>3320</v>
      </c>
      <c r="X11" s="254"/>
      <c r="Y11" s="255" t="s">
        <v>1022</v>
      </c>
      <c r="Z11" s="254"/>
      <c r="AA11" s="254"/>
      <c r="AB11" s="254"/>
      <c r="AC11" s="254"/>
      <c r="AD11" s="254"/>
    </row>
    <row r="12" ht="14.25" customHeight="1">
      <c r="A12" s="37" t="s">
        <v>377</v>
      </c>
      <c r="B12" s="37" t="s">
        <v>378</v>
      </c>
      <c r="C12" s="37" t="s">
        <v>88</v>
      </c>
      <c r="D12" s="37" t="s">
        <v>379</v>
      </c>
      <c r="E12" s="118" t="s">
        <v>1454</v>
      </c>
      <c r="G12" s="37" t="s">
        <v>380</v>
      </c>
      <c r="H12" s="37" t="s">
        <v>189</v>
      </c>
      <c r="I12" s="37" t="s">
        <v>49</v>
      </c>
      <c r="J12" s="26" t="s">
        <v>3321</v>
      </c>
      <c r="K12" s="26" t="s">
        <v>3322</v>
      </c>
      <c r="L12" s="26" t="s">
        <v>3323</v>
      </c>
      <c r="M12" s="26" t="s">
        <v>3324</v>
      </c>
      <c r="N12" s="26" t="s">
        <v>3325</v>
      </c>
      <c r="O12" s="26" t="s">
        <v>3326</v>
      </c>
      <c r="P12" s="26" t="s">
        <v>930</v>
      </c>
      <c r="R12" s="26" t="s">
        <v>2388</v>
      </c>
      <c r="S12" s="26" t="s">
        <v>3327</v>
      </c>
      <c r="T12" s="26" t="s">
        <v>961</v>
      </c>
      <c r="V12" s="26" t="s">
        <v>3291</v>
      </c>
      <c r="W12" s="26" t="s">
        <v>3328</v>
      </c>
      <c r="Y12" s="26" t="s">
        <v>1022</v>
      </c>
    </row>
    <row r="13" ht="14.25" customHeight="1">
      <c r="A13" s="37" t="s">
        <v>381</v>
      </c>
      <c r="B13" s="37" t="s">
        <v>382</v>
      </c>
      <c r="C13" s="37" t="s">
        <v>88</v>
      </c>
      <c r="D13" s="37" t="s">
        <v>383</v>
      </c>
      <c r="E13" s="118" t="s">
        <v>1460</v>
      </c>
      <c r="G13" s="37" t="s">
        <v>384</v>
      </c>
      <c r="H13" s="37" t="s">
        <v>385</v>
      </c>
      <c r="I13" s="37" t="s">
        <v>49</v>
      </c>
      <c r="J13" s="26" t="s">
        <v>3329</v>
      </c>
      <c r="K13" s="26" t="s">
        <v>3330</v>
      </c>
      <c r="L13" s="26" t="s">
        <v>3331</v>
      </c>
      <c r="M13" s="26" t="s">
        <v>3332</v>
      </c>
      <c r="N13" s="26" t="s">
        <v>3333</v>
      </c>
      <c r="O13" s="26" t="s">
        <v>3334</v>
      </c>
      <c r="P13" s="26" t="s">
        <v>930</v>
      </c>
      <c r="R13" s="26" t="s">
        <v>2388</v>
      </c>
      <c r="S13" s="26" t="s">
        <v>3335</v>
      </c>
      <c r="T13" s="26" t="s">
        <v>961</v>
      </c>
      <c r="V13" s="26" t="s">
        <v>3336</v>
      </c>
      <c r="W13" s="26" t="s">
        <v>3337</v>
      </c>
      <c r="Y13" s="26" t="s">
        <v>1022</v>
      </c>
    </row>
    <row r="14" ht="14.25" customHeight="1">
      <c r="A14" s="37" t="s">
        <v>386</v>
      </c>
      <c r="B14" s="37" t="s">
        <v>387</v>
      </c>
      <c r="C14" s="37" t="s">
        <v>88</v>
      </c>
      <c r="D14" s="37" t="s">
        <v>379</v>
      </c>
      <c r="E14" s="118" t="s">
        <v>1464</v>
      </c>
      <c r="G14" s="37" t="s">
        <v>388</v>
      </c>
      <c r="H14" s="37" t="s">
        <v>389</v>
      </c>
      <c r="I14" s="37" t="s">
        <v>49</v>
      </c>
      <c r="J14" s="26" t="s">
        <v>3338</v>
      </c>
      <c r="K14" s="26" t="s">
        <v>3339</v>
      </c>
      <c r="L14" s="26" t="s">
        <v>3340</v>
      </c>
      <c r="M14" s="26" t="s">
        <v>3341</v>
      </c>
      <c r="N14" s="26" t="s">
        <v>3342</v>
      </c>
      <c r="O14" s="26" t="s">
        <v>3343</v>
      </c>
      <c r="P14" s="26" t="s">
        <v>930</v>
      </c>
      <c r="R14" s="26" t="s">
        <v>2388</v>
      </c>
      <c r="T14" s="26" t="s">
        <v>961</v>
      </c>
      <c r="V14" s="26" t="s">
        <v>3344</v>
      </c>
      <c r="W14" s="26" t="s">
        <v>3345</v>
      </c>
      <c r="Y14" s="26" t="s">
        <v>1022</v>
      </c>
    </row>
    <row r="15" ht="14.25" customHeight="1">
      <c r="A15" s="37" t="s">
        <v>390</v>
      </c>
      <c r="B15" s="37" t="s">
        <v>391</v>
      </c>
      <c r="C15" s="37" t="s">
        <v>88</v>
      </c>
      <c r="D15" s="37" t="s">
        <v>392</v>
      </c>
      <c r="E15" s="105" t="s">
        <v>1472</v>
      </c>
      <c r="H15" s="37" t="s">
        <v>393</v>
      </c>
      <c r="I15" s="37" t="s">
        <v>49</v>
      </c>
      <c r="J15" s="26" t="s">
        <v>3346</v>
      </c>
      <c r="K15" s="26" t="s">
        <v>3347</v>
      </c>
      <c r="L15" s="26" t="s">
        <v>3348</v>
      </c>
      <c r="M15" s="26" t="s">
        <v>3349</v>
      </c>
      <c r="N15" s="26" t="s">
        <v>3350</v>
      </c>
      <c r="O15" s="26" t="s">
        <v>3351</v>
      </c>
      <c r="P15" s="26" t="s">
        <v>930</v>
      </c>
      <c r="R15" s="26" t="s">
        <v>2388</v>
      </c>
      <c r="S15" s="26" t="s">
        <v>3352</v>
      </c>
      <c r="T15" s="26" t="s">
        <v>961</v>
      </c>
      <c r="V15" s="26" t="s">
        <v>3353</v>
      </c>
      <c r="W15" s="26" t="s">
        <v>3354</v>
      </c>
      <c r="Y15" s="26" t="s">
        <v>988</v>
      </c>
    </row>
    <row r="16" ht="14.25" customHeight="1">
      <c r="A16" s="37" t="s">
        <v>394</v>
      </c>
      <c r="B16" s="37" t="s">
        <v>395</v>
      </c>
      <c r="C16" s="37" t="s">
        <v>88</v>
      </c>
      <c r="D16" s="37" t="s">
        <v>396</v>
      </c>
      <c r="E16" s="105" t="s">
        <v>1477</v>
      </c>
      <c r="G16" s="37" t="s">
        <v>397</v>
      </c>
      <c r="H16" s="37" t="s">
        <v>398</v>
      </c>
      <c r="I16" s="281" t="s">
        <v>3355</v>
      </c>
      <c r="J16" s="26" t="s">
        <v>3356</v>
      </c>
      <c r="K16" s="26" t="s">
        <v>3357</v>
      </c>
      <c r="L16" s="26" t="s">
        <v>3358</v>
      </c>
      <c r="M16" s="26" t="s">
        <v>3359</v>
      </c>
      <c r="N16" s="26" t="s">
        <v>2654</v>
      </c>
      <c r="O16" s="26" t="s">
        <v>3360</v>
      </c>
      <c r="P16" s="26" t="s">
        <v>930</v>
      </c>
      <c r="R16" s="26" t="s">
        <v>2388</v>
      </c>
      <c r="T16" s="26" t="s">
        <v>961</v>
      </c>
      <c r="V16" s="26" t="s">
        <v>3361</v>
      </c>
      <c r="W16" s="26" t="s">
        <v>3362</v>
      </c>
      <c r="Y16" s="26" t="s">
        <v>1160</v>
      </c>
    </row>
    <row r="17" ht="14.25" customHeight="1">
      <c r="A17" s="37" t="s">
        <v>399</v>
      </c>
      <c r="B17" s="37" t="s">
        <v>400</v>
      </c>
      <c r="C17" s="37" t="s">
        <v>88</v>
      </c>
      <c r="D17" s="37" t="s">
        <v>401</v>
      </c>
      <c r="E17" s="118" t="s">
        <v>1484</v>
      </c>
      <c r="G17" s="37" t="s">
        <v>402</v>
      </c>
      <c r="H17" s="37" t="s">
        <v>403</v>
      </c>
      <c r="I17" s="37" t="s">
        <v>49</v>
      </c>
      <c r="J17" s="26" t="s">
        <v>3363</v>
      </c>
      <c r="K17" s="26" t="s">
        <v>3364</v>
      </c>
      <c r="L17" s="26" t="s">
        <v>3365</v>
      </c>
      <c r="M17" s="26" t="s">
        <v>3366</v>
      </c>
      <c r="N17" s="26" t="s">
        <v>3367</v>
      </c>
      <c r="O17" s="26" t="s">
        <v>3368</v>
      </c>
      <c r="P17" s="26" t="s">
        <v>930</v>
      </c>
      <c r="R17" s="26" t="s">
        <v>2388</v>
      </c>
      <c r="S17" s="26" t="s">
        <v>3369</v>
      </c>
      <c r="T17" s="26" t="s">
        <v>961</v>
      </c>
      <c r="V17" s="26" t="s">
        <v>3370</v>
      </c>
      <c r="W17" s="26" t="s">
        <v>3371</v>
      </c>
      <c r="Y17" s="26" t="s">
        <v>3372</v>
      </c>
    </row>
    <row r="18" ht="14.25" customHeight="1">
      <c r="A18" s="37" t="s">
        <v>404</v>
      </c>
      <c r="B18" s="37" t="s">
        <v>405</v>
      </c>
      <c r="C18" s="37" t="s">
        <v>88</v>
      </c>
      <c r="D18" s="37" t="s">
        <v>406</v>
      </c>
      <c r="E18" s="105" t="s">
        <v>1490</v>
      </c>
      <c r="G18" s="37" t="s">
        <v>265</v>
      </c>
      <c r="H18" s="37" t="s">
        <v>221</v>
      </c>
      <c r="I18" s="37" t="s">
        <v>49</v>
      </c>
      <c r="J18" s="26" t="s">
        <v>3373</v>
      </c>
      <c r="K18" s="26" t="s">
        <v>3374</v>
      </c>
      <c r="L18" s="26" t="s">
        <v>3375</v>
      </c>
      <c r="M18" s="26" t="s">
        <v>3376</v>
      </c>
      <c r="N18" s="26" t="s">
        <v>3377</v>
      </c>
      <c r="O18" s="26" t="s">
        <v>3378</v>
      </c>
      <c r="P18" s="26" t="s">
        <v>930</v>
      </c>
      <c r="R18" s="26" t="s">
        <v>2388</v>
      </c>
      <c r="S18" s="26" t="s">
        <v>3379</v>
      </c>
      <c r="T18" s="26" t="s">
        <v>961</v>
      </c>
      <c r="V18" s="26" t="s">
        <v>3380</v>
      </c>
      <c r="W18" s="26" t="s">
        <v>3381</v>
      </c>
      <c r="Y18" s="26" t="s">
        <v>2641</v>
      </c>
    </row>
    <row r="19" ht="14.25" customHeight="1">
      <c r="A19" s="9" t="s">
        <v>407</v>
      </c>
      <c r="B19" s="9" t="s">
        <v>408</v>
      </c>
      <c r="C19" s="9" t="s">
        <v>88</v>
      </c>
      <c r="D19" s="9" t="s">
        <v>409</v>
      </c>
      <c r="E19" s="282" t="s">
        <v>3382</v>
      </c>
      <c r="F19" s="9"/>
      <c r="G19" s="9"/>
      <c r="H19" s="9" t="s">
        <v>410</v>
      </c>
      <c r="I19" s="9" t="s">
        <v>49</v>
      </c>
      <c r="J19" s="259" t="s">
        <v>3383</v>
      </c>
      <c r="K19" s="259" t="s">
        <v>3384</v>
      </c>
      <c r="L19" s="9"/>
      <c r="M19" s="9"/>
      <c r="N19" s="9"/>
      <c r="O19" s="9"/>
      <c r="P19" s="259" t="s">
        <v>961</v>
      </c>
      <c r="Q19" s="259" t="s">
        <v>3385</v>
      </c>
      <c r="R19" s="259" t="s">
        <v>2388</v>
      </c>
      <c r="S19" s="9"/>
      <c r="T19" s="259" t="s">
        <v>961</v>
      </c>
      <c r="U19" s="9"/>
      <c r="V19" s="259" t="s">
        <v>620</v>
      </c>
      <c r="W19" s="259" t="s">
        <v>3386</v>
      </c>
      <c r="X19" s="9"/>
      <c r="Y19" s="259" t="s">
        <v>1733</v>
      </c>
      <c r="Z19" s="9"/>
      <c r="AA19" s="9"/>
      <c r="AB19" s="9"/>
      <c r="AC19" s="9"/>
      <c r="AD19" s="9"/>
    </row>
    <row r="20" ht="14.25" customHeight="1">
      <c r="A20" s="37" t="s">
        <v>411</v>
      </c>
      <c r="B20" s="37" t="s">
        <v>412</v>
      </c>
      <c r="C20" s="37" t="s">
        <v>88</v>
      </c>
      <c r="D20" s="37" t="s">
        <v>413</v>
      </c>
      <c r="E20" s="118" t="s">
        <v>1496</v>
      </c>
      <c r="G20" s="37" t="s">
        <v>414</v>
      </c>
      <c r="H20" s="37" t="s">
        <v>338</v>
      </c>
      <c r="I20" s="37" t="s">
        <v>49</v>
      </c>
      <c r="J20" s="26" t="s">
        <v>3387</v>
      </c>
      <c r="K20" s="26" t="s">
        <v>3388</v>
      </c>
      <c r="L20" s="26" t="s">
        <v>3389</v>
      </c>
      <c r="M20" s="26" t="s">
        <v>3390</v>
      </c>
      <c r="N20" s="26" t="s">
        <v>3391</v>
      </c>
      <c r="O20" s="26" t="s">
        <v>3392</v>
      </c>
      <c r="P20" s="26" t="s">
        <v>930</v>
      </c>
      <c r="R20" s="26" t="s">
        <v>2388</v>
      </c>
      <c r="T20" s="26" t="s">
        <v>961</v>
      </c>
      <c r="V20" s="26" t="s">
        <v>3380</v>
      </c>
      <c r="W20" s="26" t="s">
        <v>3393</v>
      </c>
      <c r="Y20" s="26" t="s">
        <v>1022</v>
      </c>
    </row>
    <row r="21" ht="14.25" customHeight="1">
      <c r="A21" s="268" t="s">
        <v>415</v>
      </c>
      <c r="B21" s="133" t="s">
        <v>416</v>
      </c>
      <c r="C21" s="133" t="s">
        <v>88</v>
      </c>
      <c r="D21" s="133" t="s">
        <v>417</v>
      </c>
      <c r="E21" s="174" t="s">
        <v>1961</v>
      </c>
      <c r="F21" s="133"/>
      <c r="G21" s="133" t="s">
        <v>418</v>
      </c>
      <c r="H21" s="133" t="s">
        <v>419</v>
      </c>
      <c r="I21" s="133" t="s">
        <v>49</v>
      </c>
      <c r="J21" s="133"/>
      <c r="K21" s="133"/>
      <c r="L21" s="133"/>
      <c r="M21" s="133"/>
      <c r="N21" s="133"/>
      <c r="O21" s="133"/>
      <c r="P21" s="133"/>
      <c r="Q21" s="133"/>
      <c r="R21" s="133"/>
      <c r="S21" s="133"/>
      <c r="T21" s="133"/>
      <c r="U21" s="133"/>
      <c r="V21" s="133"/>
      <c r="W21" s="133"/>
      <c r="X21" s="133"/>
      <c r="Y21" s="133"/>
      <c r="Z21" s="269"/>
    </row>
    <row r="22" ht="14.25" customHeight="1">
      <c r="A22" s="48" t="s">
        <v>420</v>
      </c>
      <c r="B22" s="37" t="s">
        <v>421</v>
      </c>
      <c r="C22" s="37" t="s">
        <v>88</v>
      </c>
      <c r="D22" s="37" t="s">
        <v>422</v>
      </c>
      <c r="E22" s="118" t="s">
        <v>3394</v>
      </c>
      <c r="G22" s="37" t="s">
        <v>423</v>
      </c>
      <c r="H22" s="37" t="s">
        <v>419</v>
      </c>
      <c r="I22" s="37" t="s">
        <v>49</v>
      </c>
      <c r="R22" s="37"/>
      <c r="Z22" s="283"/>
    </row>
    <row r="23" ht="14.25" customHeight="1">
      <c r="A23" s="50" t="s">
        <v>424</v>
      </c>
      <c r="B23" s="16" t="s">
        <v>425</v>
      </c>
      <c r="C23" s="16" t="s">
        <v>88</v>
      </c>
      <c r="D23" s="16" t="s">
        <v>426</v>
      </c>
      <c r="E23" s="108" t="s">
        <v>1964</v>
      </c>
      <c r="F23" s="16"/>
      <c r="G23" s="16" t="s">
        <v>300</v>
      </c>
      <c r="H23" s="16" t="s">
        <v>393</v>
      </c>
      <c r="I23" s="16" t="s">
        <v>49</v>
      </c>
      <c r="J23" s="16"/>
      <c r="K23" s="16"/>
      <c r="L23" s="16"/>
      <c r="M23" s="16"/>
      <c r="N23" s="16"/>
      <c r="O23" s="16"/>
      <c r="P23" s="16"/>
      <c r="Q23" s="16"/>
      <c r="R23" s="16"/>
      <c r="S23" s="16"/>
      <c r="T23" s="16"/>
      <c r="U23" s="16"/>
      <c r="V23" s="16"/>
      <c r="W23" s="16"/>
      <c r="X23" s="16"/>
      <c r="Y23" s="16"/>
      <c r="Z23" s="270"/>
    </row>
    <row r="24" ht="14.25" customHeight="1">
      <c r="A24" s="26" t="s">
        <v>3395</v>
      </c>
      <c r="R24" s="37"/>
    </row>
    <row r="25" ht="14.25" customHeight="1">
      <c r="A25" s="284" t="s">
        <v>635</v>
      </c>
      <c r="B25" s="284" t="s">
        <v>636</v>
      </c>
      <c r="C25" s="285" t="s">
        <v>616</v>
      </c>
      <c r="D25" s="284" t="s">
        <v>637</v>
      </c>
      <c r="E25" s="284"/>
      <c r="F25" s="284"/>
      <c r="G25" s="284" t="s">
        <v>638</v>
      </c>
      <c r="H25" s="284" t="s">
        <v>639</v>
      </c>
      <c r="I25" s="284" t="s">
        <v>49</v>
      </c>
      <c r="J25" s="284"/>
      <c r="K25" s="254"/>
      <c r="L25" s="254"/>
      <c r="M25" s="254"/>
      <c r="N25" s="254"/>
      <c r="O25" s="254"/>
      <c r="P25" s="255" t="s">
        <v>961</v>
      </c>
      <c r="Q25" s="255" t="s">
        <v>3396</v>
      </c>
      <c r="R25" s="255" t="s">
        <v>2388</v>
      </c>
      <c r="S25" s="254"/>
      <c r="T25" s="255" t="s">
        <v>961</v>
      </c>
      <c r="U25" s="254"/>
      <c r="V25" s="254"/>
      <c r="W25" s="254"/>
      <c r="X25" s="254"/>
      <c r="Y25" s="254"/>
      <c r="Z25" s="254"/>
      <c r="AA25" s="254"/>
      <c r="AB25" s="254"/>
      <c r="AC25" s="254"/>
      <c r="AD25" s="254"/>
    </row>
    <row r="26" ht="14.25" customHeight="1">
      <c r="A26" s="39" t="s">
        <v>640</v>
      </c>
      <c r="B26" s="39" t="s">
        <v>641</v>
      </c>
      <c r="C26" s="40" t="s">
        <v>616</v>
      </c>
      <c r="D26" s="39" t="s">
        <v>617</v>
      </c>
      <c r="E26" s="39"/>
      <c r="F26" s="39"/>
      <c r="G26" s="39" t="s">
        <v>642</v>
      </c>
      <c r="H26" s="39" t="s">
        <v>307</v>
      </c>
      <c r="I26" s="39" t="s">
        <v>49</v>
      </c>
      <c r="J26" s="39" t="s">
        <v>3397</v>
      </c>
      <c r="K26" s="26" t="s">
        <v>3398</v>
      </c>
      <c r="L26" s="26" t="s">
        <v>3399</v>
      </c>
      <c r="M26" s="26" t="s">
        <v>3400</v>
      </c>
      <c r="N26" s="26" t="s">
        <v>3401</v>
      </c>
      <c r="O26" s="26" t="s">
        <v>3402</v>
      </c>
      <c r="P26" s="26" t="s">
        <v>930</v>
      </c>
      <c r="R26" s="26" t="s">
        <v>2388</v>
      </c>
      <c r="S26" s="26" t="s">
        <v>3403</v>
      </c>
      <c r="T26" s="26" t="s">
        <v>961</v>
      </c>
      <c r="V26" s="26" t="s">
        <v>3404</v>
      </c>
      <c r="W26" s="26" t="s">
        <v>3405</v>
      </c>
      <c r="Y26" s="26" t="s">
        <v>1022</v>
      </c>
    </row>
    <row r="27" ht="14.25" customHeight="1">
      <c r="A27" s="271" t="s">
        <v>643</v>
      </c>
      <c r="B27" s="271" t="s">
        <v>644</v>
      </c>
      <c r="C27" s="272" t="s">
        <v>616</v>
      </c>
      <c r="D27" s="271" t="s">
        <v>645</v>
      </c>
      <c r="E27" s="271"/>
      <c r="F27" s="271"/>
      <c r="G27" s="271" t="s">
        <v>646</v>
      </c>
      <c r="H27" s="271" t="s">
        <v>233</v>
      </c>
      <c r="I27" s="271" t="s">
        <v>49</v>
      </c>
      <c r="J27" s="257" t="s">
        <v>3406</v>
      </c>
      <c r="K27" s="257" t="s">
        <v>3407</v>
      </c>
      <c r="L27" s="256"/>
      <c r="M27" s="256"/>
      <c r="N27" s="256"/>
      <c r="O27" s="256"/>
      <c r="P27" s="257" t="s">
        <v>961</v>
      </c>
      <c r="Q27" s="257" t="s">
        <v>3408</v>
      </c>
      <c r="R27" s="257" t="s">
        <v>2388</v>
      </c>
      <c r="S27" s="256"/>
      <c r="T27" s="257" t="s">
        <v>961</v>
      </c>
      <c r="U27" s="256"/>
      <c r="V27" s="256"/>
      <c r="W27" s="256"/>
      <c r="X27" s="256"/>
      <c r="Y27" s="256"/>
      <c r="Z27" s="256"/>
      <c r="AA27" s="256"/>
      <c r="AB27" s="256"/>
      <c r="AC27" s="256"/>
      <c r="AD27" s="256"/>
    </row>
    <row r="28" ht="14.25" customHeight="1">
      <c r="A28" s="39" t="s">
        <v>647</v>
      </c>
      <c r="B28" s="39" t="s">
        <v>648</v>
      </c>
      <c r="C28" s="40" t="s">
        <v>616</v>
      </c>
      <c r="D28" s="39" t="s">
        <v>224</v>
      </c>
      <c r="E28" s="39"/>
      <c r="F28" s="39"/>
      <c r="G28" s="39" t="s">
        <v>418</v>
      </c>
      <c r="H28" s="39" t="s">
        <v>189</v>
      </c>
      <c r="I28" s="39" t="s">
        <v>49</v>
      </c>
      <c r="J28" s="39" t="s">
        <v>3409</v>
      </c>
      <c r="K28" s="26" t="s">
        <v>3410</v>
      </c>
      <c r="L28" s="26" t="s">
        <v>3411</v>
      </c>
      <c r="M28" s="26" t="s">
        <v>3412</v>
      </c>
      <c r="N28" s="26" t="s">
        <v>3413</v>
      </c>
      <c r="O28" s="26" t="s">
        <v>3414</v>
      </c>
      <c r="P28" s="26" t="s">
        <v>930</v>
      </c>
      <c r="R28" s="26" t="s">
        <v>2388</v>
      </c>
      <c r="T28" s="26" t="s">
        <v>961</v>
      </c>
      <c r="V28" s="26" t="s">
        <v>3415</v>
      </c>
      <c r="W28" s="26" t="s">
        <v>3416</v>
      </c>
      <c r="Y28" s="26" t="s">
        <v>1022</v>
      </c>
    </row>
    <row r="29" ht="14.25" customHeight="1">
      <c r="A29" s="39" t="s">
        <v>649</v>
      </c>
      <c r="B29" s="39" t="s">
        <v>650</v>
      </c>
      <c r="C29" s="40" t="s">
        <v>616</v>
      </c>
      <c r="D29" s="39" t="s">
        <v>166</v>
      </c>
      <c r="E29" s="39"/>
      <c r="F29" s="39"/>
      <c r="G29" s="39" t="s">
        <v>651</v>
      </c>
      <c r="H29" s="39" t="s">
        <v>189</v>
      </c>
      <c r="I29" s="39" t="s">
        <v>49</v>
      </c>
      <c r="J29" s="39" t="s">
        <v>3417</v>
      </c>
      <c r="K29" s="26" t="s">
        <v>3418</v>
      </c>
      <c r="L29" s="26" t="s">
        <v>3419</v>
      </c>
      <c r="M29" s="26" t="s">
        <v>3420</v>
      </c>
      <c r="N29" s="26" t="s">
        <v>3421</v>
      </c>
      <c r="O29" s="26" t="s">
        <v>3422</v>
      </c>
      <c r="P29" s="26" t="s">
        <v>930</v>
      </c>
      <c r="R29" s="26" t="s">
        <v>2388</v>
      </c>
      <c r="S29" s="26" t="s">
        <v>3423</v>
      </c>
      <c r="T29" s="26" t="s">
        <v>961</v>
      </c>
      <c r="V29" s="26" t="s">
        <v>3424</v>
      </c>
      <c r="W29" s="26" t="s">
        <v>3425</v>
      </c>
      <c r="Y29" s="26" t="s">
        <v>1022</v>
      </c>
    </row>
    <row r="30" ht="14.25" customHeight="1">
      <c r="A30" s="39" t="s">
        <v>722</v>
      </c>
      <c r="B30" s="39" t="s">
        <v>723</v>
      </c>
      <c r="C30" s="40" t="s">
        <v>616</v>
      </c>
      <c r="D30" s="39" t="s">
        <v>100</v>
      </c>
      <c r="E30" s="39"/>
      <c r="F30" s="39"/>
      <c r="G30" s="39" t="s">
        <v>418</v>
      </c>
      <c r="H30" s="39" t="s">
        <v>142</v>
      </c>
      <c r="I30" s="39" t="s">
        <v>49</v>
      </c>
      <c r="J30" s="39" t="s">
        <v>3426</v>
      </c>
      <c r="K30" s="26" t="s">
        <v>3427</v>
      </c>
      <c r="L30" s="26" t="s">
        <v>3428</v>
      </c>
      <c r="M30" s="26" t="s">
        <v>3429</v>
      </c>
      <c r="N30" s="26" t="s">
        <v>3333</v>
      </c>
      <c r="O30" s="26" t="s">
        <v>3430</v>
      </c>
      <c r="P30" s="26" t="s">
        <v>930</v>
      </c>
      <c r="R30" s="26" t="s">
        <v>2388</v>
      </c>
      <c r="T30" s="26" t="s">
        <v>961</v>
      </c>
      <c r="V30" s="26" t="s">
        <v>3404</v>
      </c>
      <c r="W30" s="26" t="s">
        <v>3431</v>
      </c>
      <c r="Y30" s="26" t="s">
        <v>1022</v>
      </c>
    </row>
    <row r="31" ht="14.25" customHeight="1">
      <c r="A31" s="284" t="s">
        <v>724</v>
      </c>
      <c r="B31" s="284" t="s">
        <v>725</v>
      </c>
      <c r="C31" s="285" t="s">
        <v>616</v>
      </c>
      <c r="D31" s="284" t="s">
        <v>179</v>
      </c>
      <c r="E31" s="284"/>
      <c r="F31" s="284"/>
      <c r="G31" s="284" t="s">
        <v>726</v>
      </c>
      <c r="H31" s="284" t="s">
        <v>221</v>
      </c>
      <c r="I31" s="284" t="s">
        <v>49</v>
      </c>
      <c r="J31" s="284" t="s">
        <v>3432</v>
      </c>
      <c r="K31" s="255" t="s">
        <v>3433</v>
      </c>
      <c r="L31" s="254"/>
      <c r="M31" s="254"/>
      <c r="N31" s="254"/>
      <c r="O31" s="254"/>
      <c r="P31" s="255" t="s">
        <v>961</v>
      </c>
      <c r="Q31" s="255" t="s">
        <v>3434</v>
      </c>
      <c r="R31" s="255" t="s">
        <v>2388</v>
      </c>
      <c r="S31" s="254"/>
      <c r="T31" s="255" t="s">
        <v>961</v>
      </c>
      <c r="U31" s="254"/>
      <c r="V31" s="254"/>
      <c r="W31" s="254"/>
      <c r="X31" s="254"/>
      <c r="Y31" s="254"/>
      <c r="Z31" s="254"/>
      <c r="AA31" s="254"/>
      <c r="AB31" s="254"/>
      <c r="AC31" s="254"/>
      <c r="AD31" s="254"/>
    </row>
    <row r="32" ht="14.25" customHeight="1">
      <c r="A32" s="39" t="s">
        <v>743</v>
      </c>
      <c r="B32" s="39" t="s">
        <v>744</v>
      </c>
      <c r="C32" s="40" t="s">
        <v>616</v>
      </c>
      <c r="D32" s="39" t="s">
        <v>745</v>
      </c>
      <c r="E32" s="39"/>
      <c r="F32" s="39"/>
      <c r="G32" s="39" t="s">
        <v>746</v>
      </c>
      <c r="H32" s="39" t="s">
        <v>747</v>
      </c>
      <c r="I32" s="39" t="s">
        <v>49</v>
      </c>
      <c r="J32" s="39" t="s">
        <v>3435</v>
      </c>
      <c r="K32" s="26" t="s">
        <v>3436</v>
      </c>
      <c r="L32" s="26" t="s">
        <v>3437</v>
      </c>
      <c r="M32" s="26" t="s">
        <v>3438</v>
      </c>
      <c r="N32" s="26" t="s">
        <v>3391</v>
      </c>
      <c r="O32" s="26" t="s">
        <v>3439</v>
      </c>
      <c r="P32" s="26" t="s">
        <v>930</v>
      </c>
      <c r="R32" s="26" t="s">
        <v>2388</v>
      </c>
      <c r="T32" s="26" t="s">
        <v>961</v>
      </c>
      <c r="V32" s="26" t="s">
        <v>3370</v>
      </c>
      <c r="W32" s="26" t="s">
        <v>3440</v>
      </c>
      <c r="Y32" s="26" t="s">
        <v>1022</v>
      </c>
    </row>
    <row r="33" ht="14.25" customHeight="1">
      <c r="A33" s="274" t="s">
        <v>748</v>
      </c>
      <c r="B33" s="274" t="s">
        <v>749</v>
      </c>
      <c r="C33" s="275" t="s">
        <v>616</v>
      </c>
      <c r="D33" s="274" t="s">
        <v>379</v>
      </c>
      <c r="E33" s="274"/>
      <c r="F33" s="274"/>
      <c r="G33" s="274" t="s">
        <v>750</v>
      </c>
      <c r="H33" s="274" t="s">
        <v>536</v>
      </c>
      <c r="I33" s="274" t="s">
        <v>49</v>
      </c>
      <c r="J33" s="274"/>
      <c r="K33" s="266"/>
      <c r="L33" s="266"/>
      <c r="M33" s="266"/>
      <c r="N33" s="266"/>
      <c r="O33" s="266"/>
      <c r="P33" s="267" t="s">
        <v>961</v>
      </c>
      <c r="Q33" s="266"/>
      <c r="R33" s="266"/>
      <c r="S33" s="267" t="s">
        <v>3441</v>
      </c>
      <c r="T33" s="266"/>
      <c r="U33" s="266"/>
      <c r="V33" s="266"/>
      <c r="W33" s="266"/>
      <c r="X33" s="266"/>
      <c r="Y33" s="266"/>
      <c r="Z33" s="266"/>
      <c r="AA33" s="266"/>
      <c r="AB33" s="266"/>
      <c r="AC33" s="266"/>
      <c r="AD33" s="266"/>
    </row>
    <row r="34" ht="14.25" customHeight="1">
      <c r="A34" s="39" t="s">
        <v>751</v>
      </c>
      <c r="B34" s="39" t="s">
        <v>752</v>
      </c>
      <c r="C34" s="40" t="s">
        <v>616</v>
      </c>
      <c r="D34" s="39" t="s">
        <v>753</v>
      </c>
      <c r="E34" s="39"/>
      <c r="F34" s="39"/>
      <c r="G34" s="39" t="s">
        <v>137</v>
      </c>
      <c r="H34" s="39" t="s">
        <v>102</v>
      </c>
      <c r="I34" s="39" t="s">
        <v>49</v>
      </c>
      <c r="J34" s="39" t="s">
        <v>3442</v>
      </c>
      <c r="K34" s="26" t="s">
        <v>3443</v>
      </c>
      <c r="L34" s="26" t="s">
        <v>3444</v>
      </c>
      <c r="M34" s="26" t="s">
        <v>3445</v>
      </c>
      <c r="N34" s="26" t="s">
        <v>3446</v>
      </c>
      <c r="O34" s="26" t="s">
        <v>3447</v>
      </c>
      <c r="P34" s="26" t="s">
        <v>930</v>
      </c>
      <c r="R34" s="26" t="s">
        <v>2388</v>
      </c>
      <c r="S34" s="26" t="s">
        <v>3448</v>
      </c>
      <c r="T34" s="26" t="s">
        <v>961</v>
      </c>
      <c r="V34" s="26" t="s">
        <v>3449</v>
      </c>
      <c r="W34" s="26" t="s">
        <v>3450</v>
      </c>
      <c r="Y34" s="26" t="s">
        <v>1022</v>
      </c>
    </row>
    <row r="35" ht="14.25" customHeight="1">
      <c r="A35" s="271" t="s">
        <v>754</v>
      </c>
      <c r="B35" s="271" t="s">
        <v>755</v>
      </c>
      <c r="C35" s="272" t="s">
        <v>616</v>
      </c>
      <c r="D35" s="271" t="s">
        <v>100</v>
      </c>
      <c r="E35" s="271"/>
      <c r="F35" s="271"/>
      <c r="G35" s="271" t="s">
        <v>756</v>
      </c>
      <c r="H35" s="271" t="s">
        <v>530</v>
      </c>
      <c r="I35" s="271" t="s">
        <v>578</v>
      </c>
      <c r="J35" s="271"/>
      <c r="K35" s="256"/>
      <c r="L35" s="256"/>
      <c r="M35" s="256"/>
      <c r="N35" s="256"/>
      <c r="O35" s="256"/>
      <c r="P35" s="257" t="s">
        <v>961</v>
      </c>
      <c r="Q35" s="257" t="s">
        <v>3451</v>
      </c>
      <c r="R35" s="257" t="s">
        <v>2388</v>
      </c>
      <c r="S35" s="256"/>
      <c r="T35" s="256"/>
      <c r="U35" s="256"/>
      <c r="V35" s="256"/>
      <c r="W35" s="256"/>
      <c r="X35" s="256"/>
      <c r="Y35" s="256"/>
      <c r="Z35" s="256"/>
      <c r="AA35" s="256"/>
      <c r="AB35" s="256"/>
      <c r="AC35" s="256"/>
      <c r="AD35" s="256"/>
    </row>
    <row r="36" ht="14.25" customHeight="1">
      <c r="A36" s="39" t="s">
        <v>757</v>
      </c>
      <c r="B36" s="39" t="s">
        <v>758</v>
      </c>
      <c r="C36" s="40" t="s">
        <v>616</v>
      </c>
      <c r="D36" s="39" t="s">
        <v>122</v>
      </c>
      <c r="E36" s="39"/>
      <c r="F36" s="39"/>
      <c r="G36" s="39" t="s">
        <v>198</v>
      </c>
      <c r="H36" s="39" t="s">
        <v>142</v>
      </c>
      <c r="I36" s="39" t="s">
        <v>49</v>
      </c>
      <c r="J36" s="39" t="s">
        <v>3452</v>
      </c>
      <c r="K36" s="26" t="s">
        <v>3453</v>
      </c>
      <c r="L36" s="26" t="s">
        <v>3454</v>
      </c>
      <c r="M36" s="26" t="s">
        <v>3455</v>
      </c>
      <c r="N36" s="26" t="s">
        <v>3456</v>
      </c>
      <c r="O36" s="26" t="s">
        <v>3457</v>
      </c>
      <c r="P36" s="26" t="s">
        <v>930</v>
      </c>
      <c r="R36" s="26" t="s">
        <v>2388</v>
      </c>
      <c r="T36" s="26" t="s">
        <v>961</v>
      </c>
      <c r="V36" s="26" t="s">
        <v>3449</v>
      </c>
      <c r="W36" s="26" t="s">
        <v>3458</v>
      </c>
      <c r="Y36" s="26" t="s">
        <v>1022</v>
      </c>
    </row>
    <row r="37" ht="14.25" customHeight="1">
      <c r="A37" s="39" t="s">
        <v>911</v>
      </c>
      <c r="B37" s="39" t="s">
        <v>912</v>
      </c>
      <c r="C37" s="40" t="s">
        <v>891</v>
      </c>
      <c r="D37" s="39" t="s">
        <v>895</v>
      </c>
      <c r="E37" s="39"/>
      <c r="F37" s="39"/>
      <c r="G37" s="39" t="s">
        <v>126</v>
      </c>
      <c r="H37" s="39" t="s">
        <v>260</v>
      </c>
      <c r="I37" s="39" t="s">
        <v>559</v>
      </c>
      <c r="J37" s="39" t="s">
        <v>3459</v>
      </c>
      <c r="K37" s="39" t="s">
        <v>3460</v>
      </c>
      <c r="L37" s="39" t="s">
        <v>3461</v>
      </c>
      <c r="M37" s="39" t="s">
        <v>3462</v>
      </c>
      <c r="N37" s="39" t="s">
        <v>1414</v>
      </c>
      <c r="P37" s="26" t="s">
        <v>930</v>
      </c>
      <c r="R37" s="26" t="s">
        <v>2388</v>
      </c>
      <c r="T37" s="26" t="s">
        <v>961</v>
      </c>
      <c r="V37" s="26" t="s">
        <v>3463</v>
      </c>
      <c r="W37" s="26" t="s">
        <v>3464</v>
      </c>
      <c r="Y37" s="26" t="s">
        <v>1062</v>
      </c>
    </row>
    <row r="38" ht="14.25" customHeight="1">
      <c r="A38" s="271" t="s">
        <v>692</v>
      </c>
      <c r="B38" s="271" t="s">
        <v>693</v>
      </c>
      <c r="C38" s="272" t="s">
        <v>616</v>
      </c>
      <c r="D38" s="271" t="s">
        <v>215</v>
      </c>
      <c r="E38" s="271"/>
      <c r="F38" s="271"/>
      <c r="G38" s="271" t="s">
        <v>694</v>
      </c>
      <c r="H38" s="271" t="s">
        <v>695</v>
      </c>
      <c r="I38" s="271" t="s">
        <v>49</v>
      </c>
      <c r="J38" s="271"/>
      <c r="K38" s="256"/>
      <c r="L38" s="256"/>
      <c r="M38" s="256"/>
      <c r="N38" s="256"/>
      <c r="O38" s="256"/>
      <c r="P38" s="257" t="s">
        <v>961</v>
      </c>
      <c r="Q38" s="257" t="s">
        <v>3465</v>
      </c>
      <c r="R38" s="257" t="s">
        <v>2388</v>
      </c>
      <c r="S38" s="256"/>
      <c r="T38" s="256"/>
      <c r="U38" s="256"/>
      <c r="V38" s="256"/>
      <c r="W38" s="256"/>
      <c r="X38" s="256"/>
      <c r="Y38" s="256"/>
      <c r="Z38" s="256"/>
      <c r="AA38" s="256"/>
      <c r="AB38" s="256"/>
      <c r="AC38" s="256"/>
      <c r="AD38" s="256"/>
    </row>
    <row r="39" ht="14.25" customHeight="1"/>
    <row r="40" ht="14.25" customHeight="1">
      <c r="A40" s="26" t="s">
        <v>3466</v>
      </c>
    </row>
    <row r="41" ht="14.25" customHeight="1">
      <c r="A41" s="264" t="s">
        <v>787</v>
      </c>
      <c r="B41" s="264" t="s">
        <v>788</v>
      </c>
      <c r="C41" s="265"/>
      <c r="D41" s="265"/>
      <c r="E41" s="265"/>
      <c r="F41" s="265"/>
      <c r="G41" s="265"/>
      <c r="H41" s="265"/>
      <c r="I41" s="265"/>
      <c r="J41" s="265"/>
      <c r="K41" s="265"/>
      <c r="L41" s="265"/>
      <c r="M41" s="265"/>
      <c r="N41" s="265"/>
      <c r="O41" s="265"/>
      <c r="P41" s="264" t="s">
        <v>3467</v>
      </c>
      <c r="Q41" s="265"/>
      <c r="R41" s="265"/>
      <c r="S41" s="265"/>
      <c r="T41" s="265"/>
      <c r="U41" s="265"/>
      <c r="V41" s="265"/>
      <c r="W41" s="265"/>
      <c r="X41" s="265"/>
      <c r="Y41" s="265"/>
      <c r="Z41" s="265"/>
      <c r="AA41" s="265"/>
      <c r="AB41" s="265"/>
      <c r="AC41" s="265"/>
      <c r="AD41" s="265"/>
    </row>
    <row r="42" ht="14.25" customHeight="1">
      <c r="A42" s="267" t="s">
        <v>3468</v>
      </c>
      <c r="B42" s="267" t="s">
        <v>2470</v>
      </c>
      <c r="C42" s="266"/>
      <c r="D42" s="266"/>
      <c r="E42" s="266"/>
      <c r="F42" s="266"/>
      <c r="G42" s="266"/>
      <c r="H42" s="266"/>
      <c r="I42" s="266"/>
      <c r="J42" s="266"/>
      <c r="K42" s="266"/>
      <c r="L42" s="266"/>
      <c r="M42" s="266"/>
      <c r="N42" s="266"/>
      <c r="O42" s="266"/>
      <c r="P42" s="267" t="s">
        <v>3469</v>
      </c>
      <c r="Q42" s="266"/>
      <c r="R42" s="266"/>
      <c r="S42" s="266"/>
      <c r="T42" s="266"/>
      <c r="U42" s="266"/>
      <c r="V42" s="266"/>
      <c r="W42" s="266"/>
      <c r="X42" s="266"/>
      <c r="Y42" s="266"/>
      <c r="Z42" s="266"/>
      <c r="AA42" s="266"/>
      <c r="AB42" s="266"/>
      <c r="AC42" s="266"/>
      <c r="AD42" s="266"/>
    </row>
    <row r="43" ht="14.25" customHeight="1">
      <c r="A43" s="26" t="s">
        <v>1530</v>
      </c>
      <c r="B43" s="26" t="s">
        <v>1531</v>
      </c>
      <c r="I43" s="26" t="s">
        <v>51</v>
      </c>
      <c r="J43" s="26" t="s">
        <v>3470</v>
      </c>
      <c r="K43" s="26" t="s">
        <v>3471</v>
      </c>
      <c r="L43" s="26" t="s">
        <v>3472</v>
      </c>
      <c r="M43" s="26" t="s">
        <v>3473</v>
      </c>
      <c r="N43" s="26" t="s">
        <v>3474</v>
      </c>
      <c r="O43" s="26" t="s">
        <v>3475</v>
      </c>
      <c r="P43" s="26" t="s">
        <v>930</v>
      </c>
      <c r="Q43" s="26" t="s">
        <v>2168</v>
      </c>
      <c r="R43" s="26" t="s">
        <v>2388</v>
      </c>
      <c r="S43" s="26" t="s">
        <v>3476</v>
      </c>
      <c r="T43" s="26" t="s">
        <v>930</v>
      </c>
      <c r="V43" s="26" t="s">
        <v>3477</v>
      </c>
      <c r="W43" s="26" t="s">
        <v>3478</v>
      </c>
      <c r="Y43" s="26" t="s">
        <v>1022</v>
      </c>
    </row>
    <row r="44" ht="14.25" customHeight="1">
      <c r="A44" s="26" t="s">
        <v>3479</v>
      </c>
      <c r="B44" s="26" t="s">
        <v>2390</v>
      </c>
      <c r="I44" s="26" t="s">
        <v>51</v>
      </c>
      <c r="J44" s="26" t="s">
        <v>3480</v>
      </c>
      <c r="K44" s="26" t="s">
        <v>3481</v>
      </c>
      <c r="L44" s="26" t="s">
        <v>3482</v>
      </c>
      <c r="M44" s="26" t="s">
        <v>3483</v>
      </c>
      <c r="N44" s="26" t="s">
        <v>3474</v>
      </c>
      <c r="O44" s="26" t="s">
        <v>3484</v>
      </c>
      <c r="P44" s="26" t="s">
        <v>930</v>
      </c>
      <c r="Q44" s="26" t="s">
        <v>2168</v>
      </c>
      <c r="R44" s="26" t="s">
        <v>2388</v>
      </c>
      <c r="T44" s="26" t="s">
        <v>930</v>
      </c>
      <c r="V44" s="26" t="s">
        <v>3485</v>
      </c>
      <c r="W44" s="26" t="s">
        <v>3486</v>
      </c>
      <c r="Y44" s="26" t="s">
        <v>1022</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R2:R20 R22:R24">
      <formula1>'Exclussion basis'!$A$2:$A$4</formula1>
    </dataValidation>
  </dataValidations>
  <hyperlinks>
    <hyperlink r:id="rId1" ref="E2"/>
    <hyperlink r:id="rId2" ref="E3"/>
    <hyperlink r:id="rId3" ref="E4"/>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s>
  <printOptions/>
  <pageMargins bottom="0.75" footer="0.0" header="0.0" left="0.7" right="0.7" top="0.75"/>
  <pageSetup orientation="landscape"/>
  <drawing r:id="rId2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98.22"/>
    <col customWidth="1" min="3" max="3" width="13.0"/>
    <col customWidth="1" min="4" max="4" width="9.0"/>
    <col customWidth="1" min="5" max="7" width="7.22"/>
    <col customWidth="1" min="8" max="8" width="10.22"/>
    <col customWidth="1" min="9" max="9" width="13.78"/>
    <col customWidth="1" min="10" max="10" width="8.44"/>
    <col customWidth="1" min="11" max="11" width="10.89"/>
    <col customWidth="1" min="12" max="14" width="13.11"/>
    <col customWidth="1" min="15" max="15" width="12.67"/>
    <col customWidth="1" min="16" max="16" width="14.0"/>
    <col customWidth="1" min="17" max="18" width="10.11"/>
    <col customWidth="1" min="19" max="19" width="6.44"/>
    <col customWidth="1" min="20" max="20" width="6.78"/>
    <col customWidth="1" min="21" max="21" width="7.22"/>
    <col customWidth="1" min="22" max="28" width="6.78"/>
    <col customWidth="1" min="29" max="29" width="10.0"/>
    <col customWidth="1" min="30" max="34" width="6.78"/>
  </cols>
  <sheetData>
    <row r="1" ht="14.25" customHeight="1">
      <c r="A1" s="54" t="s">
        <v>57</v>
      </c>
      <c r="B1" s="54" t="s">
        <v>58</v>
      </c>
      <c r="C1" s="54" t="s">
        <v>59</v>
      </c>
      <c r="D1" s="54" t="s">
        <v>60</v>
      </c>
      <c r="E1" s="55" t="s">
        <v>942</v>
      </c>
      <c r="F1" s="55" t="s">
        <v>3252</v>
      </c>
      <c r="G1" s="249" t="s">
        <v>61</v>
      </c>
      <c r="H1" s="249" t="s">
        <v>62</v>
      </c>
      <c r="I1" s="249" t="s">
        <v>2614</v>
      </c>
      <c r="J1" s="250" t="s">
        <v>2615</v>
      </c>
      <c r="K1" s="250" t="s">
        <v>2616</v>
      </c>
      <c r="L1" s="249" t="s">
        <v>2617</v>
      </c>
      <c r="M1" s="251" t="s">
        <v>3056</v>
      </c>
      <c r="N1" s="250" t="s">
        <v>2619</v>
      </c>
      <c r="O1" s="249" t="s">
        <v>2620</v>
      </c>
      <c r="P1" s="249" t="s">
        <v>2621</v>
      </c>
      <c r="Q1" s="249" t="s">
        <v>2622</v>
      </c>
      <c r="R1" s="249" t="s">
        <v>2623</v>
      </c>
      <c r="S1" s="54" t="s">
        <v>2624</v>
      </c>
      <c r="T1" s="56" t="s">
        <v>943</v>
      </c>
      <c r="U1" s="252" t="s">
        <v>2626</v>
      </c>
      <c r="V1" s="252" t="s">
        <v>61</v>
      </c>
      <c r="W1" s="252" t="s">
        <v>62</v>
      </c>
      <c r="X1" s="252" t="s">
        <v>3253</v>
      </c>
      <c r="Y1" s="253" t="s">
        <v>3487</v>
      </c>
      <c r="Z1" s="252" t="s">
        <v>3488</v>
      </c>
      <c r="AA1" s="252" t="s">
        <v>3489</v>
      </c>
      <c r="AB1" s="286" t="s">
        <v>3490</v>
      </c>
      <c r="AC1" s="287" t="s">
        <v>3491</v>
      </c>
      <c r="AD1" s="288" t="s">
        <v>949</v>
      </c>
      <c r="AE1" s="252" t="s">
        <v>951</v>
      </c>
      <c r="AF1" s="253" t="s">
        <v>2630</v>
      </c>
      <c r="AG1" s="289"/>
      <c r="AH1" s="289"/>
    </row>
    <row r="2" ht="14.25" customHeight="1">
      <c r="A2" s="122" t="s">
        <v>267</v>
      </c>
      <c r="B2" s="122" t="s">
        <v>268</v>
      </c>
      <c r="C2" s="122" t="s">
        <v>88</v>
      </c>
      <c r="D2" s="122" t="s">
        <v>201</v>
      </c>
      <c r="E2" s="290" t="s">
        <v>3492</v>
      </c>
      <c r="F2" s="42">
        <v>6.0</v>
      </c>
      <c r="G2" s="28" t="s">
        <v>3493</v>
      </c>
      <c r="H2" s="28" t="s">
        <v>3494</v>
      </c>
      <c r="I2" s="122" t="s">
        <v>49</v>
      </c>
      <c r="J2" s="126" t="s">
        <v>3495</v>
      </c>
      <c r="K2" s="126" t="s">
        <v>3496</v>
      </c>
      <c r="L2" s="127" t="s">
        <v>3497</v>
      </c>
      <c r="M2" s="127" t="s">
        <v>3498</v>
      </c>
      <c r="N2" s="127" t="s">
        <v>3499</v>
      </c>
      <c r="O2" s="127" t="s">
        <v>3500</v>
      </c>
      <c r="P2" s="126" t="s">
        <v>930</v>
      </c>
      <c r="Q2" s="291"/>
      <c r="R2" s="126" t="s">
        <v>2388</v>
      </c>
      <c r="S2" s="291"/>
      <c r="T2" s="42" t="s">
        <v>961</v>
      </c>
      <c r="U2" s="127" t="s">
        <v>3498</v>
      </c>
      <c r="V2" s="127"/>
      <c r="W2" s="127"/>
      <c r="X2" s="127" t="s">
        <v>3501</v>
      </c>
      <c r="Y2" s="127" t="s">
        <v>1013</v>
      </c>
      <c r="Z2" s="78"/>
      <c r="AA2" s="76" t="s">
        <v>3502</v>
      </c>
      <c r="AB2" s="84" t="s">
        <v>970</v>
      </c>
      <c r="AC2" s="292"/>
      <c r="AD2" s="84" t="s">
        <v>1022</v>
      </c>
      <c r="AE2" s="84" t="s">
        <v>3503</v>
      </c>
      <c r="AF2" s="78"/>
      <c r="AG2" s="122"/>
      <c r="AH2" s="122"/>
    </row>
    <row r="3" ht="14.25" customHeight="1">
      <c r="A3" s="254" t="s">
        <v>270</v>
      </c>
      <c r="B3" s="254" t="s">
        <v>271</v>
      </c>
      <c r="C3" s="254" t="s">
        <v>88</v>
      </c>
      <c r="D3" s="254" t="s">
        <v>272</v>
      </c>
      <c r="E3" s="293" t="s">
        <v>3504</v>
      </c>
      <c r="F3" s="284">
        <v>6.0</v>
      </c>
      <c r="G3" s="254" t="s">
        <v>3505</v>
      </c>
      <c r="H3" s="255" t="s">
        <v>3506</v>
      </c>
      <c r="I3" s="254" t="s">
        <v>49</v>
      </c>
      <c r="J3" s="254" t="s">
        <v>3507</v>
      </c>
      <c r="K3" s="254" t="s">
        <v>3508</v>
      </c>
      <c r="L3" s="294" t="s">
        <v>3509</v>
      </c>
      <c r="M3" s="294"/>
      <c r="N3" s="294" t="s">
        <v>3510</v>
      </c>
      <c r="O3" s="294" t="s">
        <v>3511</v>
      </c>
      <c r="P3" s="254" t="s">
        <v>961</v>
      </c>
      <c r="Q3" s="254" t="s">
        <v>2411</v>
      </c>
      <c r="R3" s="254" t="s">
        <v>2388</v>
      </c>
      <c r="S3" s="254"/>
      <c r="T3" s="284" t="s">
        <v>961</v>
      </c>
      <c r="U3" s="294"/>
      <c r="V3" s="294"/>
      <c r="W3" s="294"/>
      <c r="X3" s="295" t="s">
        <v>3512</v>
      </c>
      <c r="Y3" s="294" t="s">
        <v>1013</v>
      </c>
      <c r="Z3" s="294"/>
      <c r="AA3" s="294"/>
      <c r="AB3" s="296"/>
      <c r="AC3" s="296"/>
      <c r="AD3" s="297" t="s">
        <v>1022</v>
      </c>
      <c r="AE3" s="297" t="s">
        <v>3503</v>
      </c>
      <c r="AF3" s="294"/>
      <c r="AG3" s="254"/>
      <c r="AH3" s="254"/>
    </row>
    <row r="4" ht="14.25" customHeight="1">
      <c r="A4" s="256" t="s">
        <v>274</v>
      </c>
      <c r="B4" s="256" t="s">
        <v>275</v>
      </c>
      <c r="C4" s="256" t="s">
        <v>88</v>
      </c>
      <c r="D4" s="256" t="s">
        <v>276</v>
      </c>
      <c r="E4" s="298" t="s">
        <v>3513</v>
      </c>
      <c r="F4" s="299"/>
      <c r="G4" s="271" t="s">
        <v>3514</v>
      </c>
      <c r="H4" s="271" t="s">
        <v>3515</v>
      </c>
      <c r="I4" s="300" t="s">
        <v>3516</v>
      </c>
      <c r="J4" s="271" t="s">
        <v>3517</v>
      </c>
      <c r="K4" s="271" t="s">
        <v>3518</v>
      </c>
      <c r="L4" s="301" t="s">
        <v>3519</v>
      </c>
      <c r="M4" s="302" t="s">
        <v>3520</v>
      </c>
      <c r="N4" s="301" t="s">
        <v>3521</v>
      </c>
      <c r="O4" s="301" t="s">
        <v>3522</v>
      </c>
      <c r="P4" s="271" t="s">
        <v>961</v>
      </c>
      <c r="Q4" s="273"/>
      <c r="R4" s="271" t="s">
        <v>2388</v>
      </c>
      <c r="S4" s="271" t="s">
        <v>2412</v>
      </c>
      <c r="T4" s="271" t="s">
        <v>961</v>
      </c>
      <c r="U4" s="301"/>
      <c r="V4" s="301"/>
      <c r="W4" s="301"/>
      <c r="X4" s="301" t="s">
        <v>3501</v>
      </c>
      <c r="Y4" s="301" t="s">
        <v>3523</v>
      </c>
      <c r="AA4" s="301"/>
      <c r="AB4" s="301" t="s">
        <v>3524</v>
      </c>
      <c r="AC4" s="301" t="s">
        <v>3525</v>
      </c>
      <c r="AD4" s="301" t="s">
        <v>968</v>
      </c>
      <c r="AE4" s="301" t="s">
        <v>3503</v>
      </c>
      <c r="AF4" s="303"/>
      <c r="AG4" s="256"/>
      <c r="AH4" s="256"/>
    </row>
    <row r="5" ht="14.25" customHeight="1">
      <c r="A5" s="278" t="s">
        <v>3278</v>
      </c>
      <c r="B5" s="278"/>
      <c r="E5" s="41"/>
      <c r="F5" s="41"/>
      <c r="L5" s="68"/>
      <c r="M5" s="68"/>
      <c r="N5" s="68"/>
      <c r="O5" s="68"/>
      <c r="R5" s="37"/>
      <c r="T5" s="39" t="s">
        <v>961</v>
      </c>
      <c r="U5" s="68"/>
      <c r="V5" s="68"/>
      <c r="W5" s="68"/>
      <c r="X5" s="68"/>
      <c r="Y5" s="304"/>
      <c r="Z5" s="68"/>
      <c r="AA5" s="68"/>
      <c r="AB5" s="304"/>
      <c r="AC5" s="304"/>
      <c r="AD5" s="304"/>
      <c r="AE5" s="304"/>
      <c r="AF5" s="68"/>
    </row>
    <row r="6" ht="16.5" customHeight="1">
      <c r="A6" s="37" t="s">
        <v>277</v>
      </c>
      <c r="B6" s="37" t="s">
        <v>278</v>
      </c>
      <c r="C6" s="37" t="s">
        <v>88</v>
      </c>
      <c r="D6" s="37" t="s">
        <v>247</v>
      </c>
      <c r="E6" s="135" t="s">
        <v>1543</v>
      </c>
      <c r="F6" s="305">
        <v>8.0</v>
      </c>
      <c r="G6" s="39" t="s">
        <v>3526</v>
      </c>
      <c r="H6" s="39" t="s">
        <v>3494</v>
      </c>
      <c r="I6" s="39" t="s">
        <v>49</v>
      </c>
      <c r="J6" s="39" t="s">
        <v>3527</v>
      </c>
      <c r="K6" s="39" t="s">
        <v>3528</v>
      </c>
      <c r="L6" s="83" t="s">
        <v>3529</v>
      </c>
      <c r="M6" s="83" t="s">
        <v>3530</v>
      </c>
      <c r="N6" s="83" t="s">
        <v>3531</v>
      </c>
      <c r="O6" s="83" t="s">
        <v>3532</v>
      </c>
      <c r="P6" s="26" t="s">
        <v>930</v>
      </c>
      <c r="R6" s="37"/>
      <c r="S6" s="39" t="s">
        <v>3533</v>
      </c>
      <c r="T6" s="39" t="s">
        <v>961</v>
      </c>
      <c r="U6" s="68"/>
      <c r="V6" s="68"/>
      <c r="W6" s="68"/>
      <c r="X6" s="68"/>
      <c r="Y6" s="83" t="s">
        <v>1013</v>
      </c>
      <c r="Z6" s="68"/>
      <c r="AA6" s="83" t="s">
        <v>3534</v>
      </c>
      <c r="AB6" s="83" t="s">
        <v>970</v>
      </c>
      <c r="AC6" s="304"/>
      <c r="AD6" s="83" t="s">
        <v>1547</v>
      </c>
      <c r="AE6" s="83" t="s">
        <v>3503</v>
      </c>
      <c r="AF6" s="68"/>
    </row>
    <row r="7" ht="14.25" customHeight="1">
      <c r="A7" s="266" t="s">
        <v>281</v>
      </c>
      <c r="B7" s="266" t="s">
        <v>282</v>
      </c>
      <c r="C7" s="266" t="s">
        <v>88</v>
      </c>
      <c r="D7" s="266" t="s">
        <v>283</v>
      </c>
      <c r="E7" s="306" t="s">
        <v>3535</v>
      </c>
      <c r="F7" s="274" t="s">
        <v>3536</v>
      </c>
      <c r="G7" s="274" t="s">
        <v>284</v>
      </c>
      <c r="H7" s="274" t="s">
        <v>142</v>
      </c>
      <c r="I7" s="274" t="s">
        <v>49</v>
      </c>
      <c r="J7" s="276"/>
      <c r="K7" s="276"/>
      <c r="L7" s="307"/>
      <c r="M7" s="307"/>
      <c r="N7" s="307"/>
      <c r="O7" s="307"/>
      <c r="P7" s="267" t="s">
        <v>961</v>
      </c>
      <c r="Q7" s="267" t="s">
        <v>2413</v>
      </c>
      <c r="R7" s="267" t="s">
        <v>2388</v>
      </c>
      <c r="S7" s="276"/>
      <c r="T7" s="274" t="s">
        <v>961</v>
      </c>
      <c r="U7" s="308"/>
      <c r="V7" s="308"/>
      <c r="W7" s="308"/>
      <c r="X7" s="308"/>
      <c r="Y7" s="307"/>
      <c r="Z7" s="308"/>
      <c r="AA7" s="308"/>
      <c r="AB7" s="307"/>
      <c r="AC7" s="307"/>
      <c r="AD7" s="309" t="s">
        <v>1547</v>
      </c>
      <c r="AE7" s="309" t="s">
        <v>3537</v>
      </c>
      <c r="AF7" s="308"/>
      <c r="AG7" s="266"/>
      <c r="AH7" s="266"/>
    </row>
    <row r="8" ht="14.25" customHeight="1">
      <c r="A8" s="37" t="s">
        <v>285</v>
      </c>
      <c r="B8" s="37" t="s">
        <v>286</v>
      </c>
      <c r="C8" s="37" t="s">
        <v>88</v>
      </c>
      <c r="D8" s="37" t="s">
        <v>287</v>
      </c>
      <c r="E8" s="135" t="s">
        <v>3538</v>
      </c>
      <c r="F8" s="310">
        <v>20.0</v>
      </c>
      <c r="G8" s="39" t="s">
        <v>3539</v>
      </c>
      <c r="H8" s="39" t="s">
        <v>3540</v>
      </c>
      <c r="I8" s="281" t="s">
        <v>3541</v>
      </c>
      <c r="J8" s="39" t="s">
        <v>3542</v>
      </c>
      <c r="K8" s="39" t="s">
        <v>3543</v>
      </c>
      <c r="L8" s="83" t="s">
        <v>3544</v>
      </c>
      <c r="M8" s="83" t="s">
        <v>3545</v>
      </c>
      <c r="N8" s="83" t="s">
        <v>1721</v>
      </c>
      <c r="O8" s="83" t="s">
        <v>3546</v>
      </c>
      <c r="P8" s="26" t="s">
        <v>930</v>
      </c>
      <c r="R8" s="37"/>
      <c r="S8" s="39" t="s">
        <v>3547</v>
      </c>
      <c r="T8" s="39" t="s">
        <v>961</v>
      </c>
      <c r="U8" s="68"/>
      <c r="V8" s="68"/>
      <c r="W8" s="68"/>
      <c r="X8" s="68"/>
      <c r="Y8" s="83" t="s">
        <v>1013</v>
      </c>
      <c r="Z8" s="83" t="s">
        <v>930</v>
      </c>
      <c r="AA8" s="68"/>
      <c r="AB8" s="83" t="s">
        <v>970</v>
      </c>
      <c r="AC8" s="83" t="s">
        <v>3525</v>
      </c>
      <c r="AD8" s="83" t="s">
        <v>1022</v>
      </c>
      <c r="AE8" s="83" t="s">
        <v>3548</v>
      </c>
      <c r="AF8" s="68"/>
    </row>
    <row r="9" ht="14.25" customHeight="1">
      <c r="A9" s="37" t="s">
        <v>288</v>
      </c>
      <c r="B9" s="37" t="s">
        <v>289</v>
      </c>
      <c r="C9" s="37" t="s">
        <v>88</v>
      </c>
      <c r="D9" s="37" t="s">
        <v>290</v>
      </c>
      <c r="E9" s="135" t="s">
        <v>3549</v>
      </c>
      <c r="F9" s="310">
        <v>11.0</v>
      </c>
      <c r="G9" s="39" t="s">
        <v>3550</v>
      </c>
      <c r="H9" s="39" t="s">
        <v>273</v>
      </c>
      <c r="I9" s="39" t="s">
        <v>49</v>
      </c>
      <c r="J9" s="39" t="s">
        <v>3551</v>
      </c>
      <c r="K9" s="39" t="s">
        <v>3552</v>
      </c>
      <c r="L9" s="83" t="s">
        <v>3553</v>
      </c>
      <c r="M9" s="83" t="s">
        <v>3554</v>
      </c>
      <c r="N9" s="83" t="s">
        <v>3555</v>
      </c>
      <c r="O9" s="83" t="s">
        <v>3556</v>
      </c>
      <c r="P9" s="26" t="s">
        <v>930</v>
      </c>
      <c r="R9" s="37"/>
      <c r="S9" s="39" t="s">
        <v>3557</v>
      </c>
      <c r="T9" s="39" t="s">
        <v>961</v>
      </c>
      <c r="U9" s="68"/>
      <c r="V9" s="68"/>
      <c r="W9" s="68"/>
      <c r="X9" s="68"/>
      <c r="Y9" s="83" t="s">
        <v>3558</v>
      </c>
      <c r="Z9" s="68"/>
      <c r="AA9" s="68"/>
      <c r="AB9" s="83" t="s">
        <v>970</v>
      </c>
      <c r="AC9" s="83" t="s">
        <v>3559</v>
      </c>
      <c r="AD9" s="83" t="s">
        <v>1022</v>
      </c>
      <c r="AE9" s="83" t="s">
        <v>3503</v>
      </c>
      <c r="AF9" s="68"/>
    </row>
    <row r="10" ht="14.25" customHeight="1">
      <c r="A10" s="37" t="s">
        <v>293</v>
      </c>
      <c r="B10" s="37" t="s">
        <v>294</v>
      </c>
      <c r="C10" s="37" t="s">
        <v>88</v>
      </c>
      <c r="D10" s="37" t="s">
        <v>295</v>
      </c>
      <c r="E10" s="138" t="s">
        <v>1560</v>
      </c>
      <c r="F10" s="310">
        <v>11.0</v>
      </c>
      <c r="G10" s="37" t="s">
        <v>296</v>
      </c>
      <c r="H10" s="37" t="s">
        <v>221</v>
      </c>
      <c r="I10" s="39" t="s">
        <v>49</v>
      </c>
      <c r="J10" s="26" t="s">
        <v>3560</v>
      </c>
      <c r="K10" s="26" t="s">
        <v>3561</v>
      </c>
      <c r="L10" s="67" t="s">
        <v>3562</v>
      </c>
      <c r="M10" s="67" t="s">
        <v>3563</v>
      </c>
      <c r="N10" s="67" t="s">
        <v>3555</v>
      </c>
      <c r="O10" s="83" t="s">
        <v>3564</v>
      </c>
      <c r="P10" s="26" t="s">
        <v>3565</v>
      </c>
      <c r="R10" s="37"/>
      <c r="S10" s="39" t="s">
        <v>3566</v>
      </c>
      <c r="T10" s="39" t="s">
        <v>961</v>
      </c>
      <c r="U10" s="83" t="s">
        <v>3567</v>
      </c>
      <c r="V10" s="68"/>
      <c r="W10" s="68"/>
      <c r="X10" s="83" t="s">
        <v>3568</v>
      </c>
      <c r="Y10" s="67" t="s">
        <v>1013</v>
      </c>
      <c r="Z10" s="83" t="s">
        <v>3569</v>
      </c>
      <c r="AA10" s="68"/>
      <c r="AB10" s="83" t="s">
        <v>970</v>
      </c>
      <c r="AC10" s="83" t="s">
        <v>3559</v>
      </c>
      <c r="AD10" s="83" t="s">
        <v>1022</v>
      </c>
      <c r="AE10" s="83" t="s">
        <v>3503</v>
      </c>
      <c r="AF10" s="68"/>
    </row>
    <row r="11" ht="14.25" customHeight="1">
      <c r="A11" s="37" t="s">
        <v>297</v>
      </c>
      <c r="B11" s="37" t="s">
        <v>298</v>
      </c>
      <c r="C11" s="37" t="s">
        <v>88</v>
      </c>
      <c r="D11" s="37" t="s">
        <v>299</v>
      </c>
      <c r="E11" s="138" t="s">
        <v>1564</v>
      </c>
      <c r="F11" s="310">
        <v>13.0</v>
      </c>
      <c r="G11" s="37" t="s">
        <v>300</v>
      </c>
      <c r="H11" s="37" t="s">
        <v>301</v>
      </c>
      <c r="I11" s="37" t="s">
        <v>49</v>
      </c>
      <c r="J11" s="39" t="s">
        <v>3570</v>
      </c>
      <c r="K11" s="39" t="s">
        <v>3571</v>
      </c>
      <c r="L11" s="83" t="s">
        <v>3572</v>
      </c>
      <c r="M11" s="83" t="s">
        <v>3573</v>
      </c>
      <c r="N11" s="83" t="s">
        <v>3574</v>
      </c>
      <c r="O11" s="83" t="s">
        <v>3575</v>
      </c>
      <c r="P11" s="26" t="s">
        <v>930</v>
      </c>
      <c r="R11" s="37"/>
      <c r="T11" s="39" t="s">
        <v>961</v>
      </c>
      <c r="U11" s="83" t="s">
        <v>3576</v>
      </c>
      <c r="V11" s="83" t="s">
        <v>3577</v>
      </c>
      <c r="W11" s="83" t="s">
        <v>3578</v>
      </c>
      <c r="X11" s="83" t="s">
        <v>3501</v>
      </c>
      <c r="Y11" s="83" t="s">
        <v>1013</v>
      </c>
      <c r="Z11" s="68"/>
      <c r="AA11" s="68"/>
      <c r="AB11" s="83" t="s">
        <v>3579</v>
      </c>
      <c r="AC11" s="68"/>
      <c r="AD11" s="83" t="s">
        <v>1348</v>
      </c>
      <c r="AE11" s="83" t="s">
        <v>3503</v>
      </c>
      <c r="AF11" s="68"/>
    </row>
    <row r="12" ht="14.25" customHeight="1">
      <c r="A12" s="14" t="s">
        <v>302</v>
      </c>
      <c r="B12" s="14" t="s">
        <v>303</v>
      </c>
      <c r="C12" s="14" t="s">
        <v>88</v>
      </c>
      <c r="D12" s="14" t="s">
        <v>109</v>
      </c>
      <c r="E12" s="311" t="s">
        <v>3580</v>
      </c>
      <c r="F12" s="312">
        <v>6.0</v>
      </c>
      <c r="G12" s="14"/>
      <c r="H12" s="14" t="s">
        <v>217</v>
      </c>
      <c r="I12" s="14" t="s">
        <v>49</v>
      </c>
      <c r="J12" s="313"/>
      <c r="K12" s="313"/>
      <c r="L12" s="314"/>
      <c r="M12" s="314"/>
      <c r="N12" s="315" t="s">
        <v>3581</v>
      </c>
      <c r="O12" s="315"/>
      <c r="P12" s="25" t="s">
        <v>961</v>
      </c>
      <c r="Q12" s="14"/>
      <c r="R12" s="316" t="s">
        <v>2394</v>
      </c>
      <c r="S12" s="14"/>
      <c r="T12" s="25" t="s">
        <v>961</v>
      </c>
      <c r="U12" s="314"/>
      <c r="V12" s="314"/>
      <c r="W12" s="314"/>
      <c r="X12" s="314"/>
      <c r="Y12" s="314"/>
      <c r="Z12" s="317"/>
      <c r="AA12" s="317"/>
      <c r="AB12" s="314"/>
      <c r="AC12" s="314"/>
      <c r="AD12" s="315" t="s">
        <v>1323</v>
      </c>
      <c r="AE12" s="315" t="s">
        <v>3582</v>
      </c>
      <c r="AF12" s="317"/>
      <c r="AG12" s="14"/>
      <c r="AH12" s="14"/>
    </row>
    <row r="13" ht="14.25" customHeight="1">
      <c r="A13" s="37" t="s">
        <v>304</v>
      </c>
      <c r="B13" s="37" t="s">
        <v>305</v>
      </c>
      <c r="C13" s="37" t="s">
        <v>88</v>
      </c>
      <c r="D13" s="37" t="s">
        <v>242</v>
      </c>
      <c r="E13" s="135" t="s">
        <v>3583</v>
      </c>
      <c r="F13" s="310">
        <v>10.0</v>
      </c>
      <c r="G13" s="37" t="s">
        <v>306</v>
      </c>
      <c r="H13" s="37" t="s">
        <v>307</v>
      </c>
      <c r="I13" s="37" t="s">
        <v>49</v>
      </c>
      <c r="J13" s="39" t="s">
        <v>3584</v>
      </c>
      <c r="K13" s="39" t="s">
        <v>3585</v>
      </c>
      <c r="L13" s="83" t="s">
        <v>3586</v>
      </c>
      <c r="M13" s="83" t="s">
        <v>3587</v>
      </c>
      <c r="N13" s="83" t="s">
        <v>1142</v>
      </c>
      <c r="O13" s="83" t="s">
        <v>3588</v>
      </c>
      <c r="P13" s="39" t="s">
        <v>930</v>
      </c>
      <c r="R13" s="37"/>
      <c r="T13" s="39" t="s">
        <v>961</v>
      </c>
      <c r="U13" s="83" t="s">
        <v>3589</v>
      </c>
      <c r="V13" s="83" t="s">
        <v>3590</v>
      </c>
      <c r="W13" s="83" t="s">
        <v>3591</v>
      </c>
      <c r="X13" s="83" t="s">
        <v>3568</v>
      </c>
      <c r="Y13" s="83" t="s">
        <v>1013</v>
      </c>
      <c r="Z13" s="68"/>
      <c r="AA13" s="68"/>
      <c r="AB13" s="83" t="s">
        <v>3592</v>
      </c>
      <c r="AC13" s="83" t="s">
        <v>3559</v>
      </c>
      <c r="AD13" s="83" t="s">
        <v>1022</v>
      </c>
      <c r="AE13" s="83" t="s">
        <v>3503</v>
      </c>
      <c r="AF13" s="68"/>
    </row>
    <row r="14" ht="14.25" customHeight="1">
      <c r="A14" s="37" t="s">
        <v>308</v>
      </c>
      <c r="B14" s="37" t="s">
        <v>309</v>
      </c>
      <c r="C14" s="37" t="s">
        <v>88</v>
      </c>
      <c r="D14" s="37" t="s">
        <v>310</v>
      </c>
      <c r="E14" s="135" t="s">
        <v>3593</v>
      </c>
      <c r="F14" s="310">
        <v>11.0</v>
      </c>
      <c r="G14" s="37" t="s">
        <v>311</v>
      </c>
      <c r="H14" s="37" t="s">
        <v>233</v>
      </c>
      <c r="I14" s="37" t="s">
        <v>49</v>
      </c>
      <c r="J14" s="39" t="s">
        <v>3594</v>
      </c>
      <c r="K14" s="39" t="s">
        <v>3595</v>
      </c>
      <c r="L14" s="83" t="s">
        <v>3596</v>
      </c>
      <c r="M14" s="83" t="s">
        <v>3597</v>
      </c>
      <c r="N14" s="83" t="s">
        <v>3598</v>
      </c>
      <c r="O14" s="83" t="s">
        <v>3599</v>
      </c>
      <c r="P14" s="39" t="s">
        <v>930</v>
      </c>
      <c r="R14" s="37"/>
      <c r="T14" s="39" t="s">
        <v>961</v>
      </c>
      <c r="U14" s="83" t="s">
        <v>3600</v>
      </c>
      <c r="V14" s="83" t="s">
        <v>3601</v>
      </c>
      <c r="W14" s="83" t="s">
        <v>3602</v>
      </c>
      <c r="Y14" s="83" t="s">
        <v>1013</v>
      </c>
      <c r="Z14" s="68"/>
      <c r="AA14" s="68"/>
      <c r="AB14" s="83" t="s">
        <v>970</v>
      </c>
      <c r="AC14" s="83" t="s">
        <v>3559</v>
      </c>
      <c r="AD14" s="83" t="s">
        <v>1022</v>
      </c>
      <c r="AE14" s="83" t="s">
        <v>3503</v>
      </c>
      <c r="AF14" s="68"/>
    </row>
    <row r="15" ht="14.25" customHeight="1">
      <c r="A15" s="14" t="s">
        <v>312</v>
      </c>
      <c r="B15" s="14" t="s">
        <v>313</v>
      </c>
      <c r="C15" s="14" t="s">
        <v>88</v>
      </c>
      <c r="D15" s="14" t="s">
        <v>113</v>
      </c>
      <c r="E15" s="311" t="s">
        <v>3603</v>
      </c>
      <c r="F15" s="312">
        <v>6.0</v>
      </c>
      <c r="G15" s="14" t="s">
        <v>300</v>
      </c>
      <c r="H15" s="14" t="s">
        <v>314</v>
      </c>
      <c r="I15" s="14" t="s">
        <v>49</v>
      </c>
      <c r="J15" s="313"/>
      <c r="K15" s="313"/>
      <c r="L15" s="314"/>
      <c r="M15" s="314"/>
      <c r="N15" s="314"/>
      <c r="O15" s="314"/>
      <c r="P15" s="25" t="s">
        <v>961</v>
      </c>
      <c r="Q15" s="25" t="s">
        <v>2414</v>
      </c>
      <c r="R15" s="25" t="s">
        <v>2394</v>
      </c>
      <c r="S15" s="313"/>
      <c r="T15" s="25" t="s">
        <v>961</v>
      </c>
      <c r="U15" s="314"/>
      <c r="V15" s="314"/>
      <c r="W15" s="314"/>
      <c r="X15" s="314"/>
      <c r="Y15" s="314"/>
      <c r="Z15" s="314"/>
      <c r="AA15" s="314"/>
      <c r="AB15" s="314"/>
      <c r="AC15" s="314"/>
      <c r="AD15" s="314"/>
      <c r="AE15" s="314"/>
      <c r="AF15" s="314"/>
      <c r="AG15" s="313"/>
      <c r="AH15" s="313"/>
    </row>
    <row r="16" ht="14.25" customHeight="1">
      <c r="A16" s="254" t="s">
        <v>315</v>
      </c>
      <c r="B16" s="254" t="s">
        <v>316</v>
      </c>
      <c r="C16" s="254" t="s">
        <v>88</v>
      </c>
      <c r="D16" s="254" t="s">
        <v>264</v>
      </c>
      <c r="E16" s="293" t="s">
        <v>3604</v>
      </c>
      <c r="F16" s="318">
        <v>11.0</v>
      </c>
      <c r="G16" s="254" t="s">
        <v>162</v>
      </c>
      <c r="H16" s="254" t="s">
        <v>317</v>
      </c>
      <c r="I16" s="254" t="s">
        <v>49</v>
      </c>
      <c r="J16" s="284" t="s">
        <v>3605</v>
      </c>
      <c r="K16" s="284" t="s">
        <v>3606</v>
      </c>
      <c r="L16" s="297"/>
      <c r="M16" s="297"/>
      <c r="N16" s="297"/>
      <c r="O16" s="297"/>
      <c r="P16" s="284" t="s">
        <v>961</v>
      </c>
      <c r="Q16" s="284" t="s">
        <v>2415</v>
      </c>
      <c r="S16" s="319"/>
      <c r="T16" s="284" t="s">
        <v>961</v>
      </c>
      <c r="U16" s="297" t="s">
        <v>3607</v>
      </c>
      <c r="V16" s="297"/>
      <c r="W16" s="297"/>
      <c r="X16" s="297"/>
      <c r="Y16" s="297"/>
      <c r="Z16" s="297"/>
      <c r="AA16" s="297"/>
      <c r="AB16" s="297"/>
      <c r="AC16" s="297" t="s">
        <v>3559</v>
      </c>
      <c r="AD16" s="297" t="s">
        <v>1431</v>
      </c>
      <c r="AE16" s="297" t="s">
        <v>3503</v>
      </c>
      <c r="AG16" s="284"/>
      <c r="AH16" s="284"/>
    </row>
    <row r="17" ht="14.25" customHeight="1">
      <c r="A17" s="320" t="s">
        <v>318</v>
      </c>
      <c r="B17" s="321" t="s">
        <v>319</v>
      </c>
      <c r="C17" s="321" t="s">
        <v>88</v>
      </c>
      <c r="D17" s="321" t="s">
        <v>272</v>
      </c>
      <c r="E17" s="322" t="s">
        <v>3608</v>
      </c>
      <c r="F17" s="323">
        <v>19.0</v>
      </c>
      <c r="G17" s="321" t="s">
        <v>162</v>
      </c>
      <c r="H17" s="321" t="s">
        <v>320</v>
      </c>
      <c r="I17" s="321" t="s">
        <v>49</v>
      </c>
      <c r="J17" s="324"/>
      <c r="K17" s="3"/>
      <c r="L17" s="3"/>
      <c r="M17" s="325"/>
      <c r="N17" s="325"/>
      <c r="O17" s="325"/>
      <c r="P17" s="325"/>
      <c r="Q17" s="325"/>
      <c r="R17" s="325"/>
      <c r="S17" s="325"/>
      <c r="T17" s="134" t="s">
        <v>961</v>
      </c>
      <c r="U17" s="325"/>
      <c r="V17" s="325"/>
      <c r="W17" s="325"/>
      <c r="X17" s="325"/>
      <c r="Y17" s="325"/>
      <c r="Z17" s="325"/>
      <c r="AA17" s="325"/>
      <c r="AB17" s="325"/>
      <c r="AC17" s="325"/>
      <c r="AD17" s="325"/>
      <c r="AE17" s="325"/>
      <c r="AF17" s="326"/>
      <c r="AG17" s="41"/>
      <c r="AH17" s="41"/>
    </row>
    <row r="18" ht="14.25" customHeight="1">
      <c r="A18" s="37" t="s">
        <v>321</v>
      </c>
      <c r="B18" s="37" t="s">
        <v>322</v>
      </c>
      <c r="C18" s="37" t="s">
        <v>88</v>
      </c>
      <c r="D18" s="37" t="s">
        <v>247</v>
      </c>
      <c r="E18" s="138" t="s">
        <v>1573</v>
      </c>
      <c r="F18" s="310">
        <v>12.0</v>
      </c>
      <c r="G18" s="37" t="s">
        <v>323</v>
      </c>
      <c r="H18" s="37" t="s">
        <v>233</v>
      </c>
      <c r="I18" s="37" t="s">
        <v>49</v>
      </c>
      <c r="J18" s="83" t="s">
        <v>3609</v>
      </c>
      <c r="K18" s="83" t="s">
        <v>3610</v>
      </c>
      <c r="L18" s="83" t="s">
        <v>3611</v>
      </c>
      <c r="M18" s="83" t="s">
        <v>3612</v>
      </c>
      <c r="N18" s="83" t="s">
        <v>3613</v>
      </c>
      <c r="O18" s="83" t="s">
        <v>3614</v>
      </c>
      <c r="P18" s="83" t="s">
        <v>930</v>
      </c>
      <c r="Q18" s="83"/>
      <c r="R18" s="83"/>
      <c r="S18" s="83"/>
      <c r="T18" s="134" t="s">
        <v>961</v>
      </c>
      <c r="U18" s="83"/>
      <c r="V18" s="83" t="s">
        <v>3615</v>
      </c>
      <c r="W18" s="83" t="s">
        <v>3616</v>
      </c>
      <c r="X18" s="83"/>
      <c r="Y18" s="83" t="s">
        <v>3617</v>
      </c>
      <c r="Z18" s="83"/>
      <c r="AA18" s="83"/>
      <c r="AB18" s="83"/>
      <c r="AC18" s="83"/>
      <c r="AD18" s="83"/>
      <c r="AE18" s="83" t="s">
        <v>3503</v>
      </c>
      <c r="AF18" s="83"/>
      <c r="AG18" s="83"/>
      <c r="AH18" s="39"/>
    </row>
    <row r="19" ht="14.25" customHeight="1">
      <c r="A19" s="37" t="s">
        <v>324</v>
      </c>
      <c r="B19" s="37" t="s">
        <v>325</v>
      </c>
      <c r="C19" s="37" t="s">
        <v>88</v>
      </c>
      <c r="D19" s="37" t="s">
        <v>326</v>
      </c>
      <c r="E19" s="135" t="s">
        <v>3618</v>
      </c>
      <c r="F19" s="310">
        <v>17.0</v>
      </c>
      <c r="G19" s="39" t="s">
        <v>311</v>
      </c>
      <c r="H19" s="39" t="s">
        <v>3619</v>
      </c>
      <c r="I19" s="39" t="s">
        <v>49</v>
      </c>
      <c r="J19" s="83" t="s">
        <v>3620</v>
      </c>
      <c r="K19" s="83" t="s">
        <v>3621</v>
      </c>
      <c r="L19" s="83" t="s">
        <v>3622</v>
      </c>
      <c r="M19" s="83" t="s">
        <v>3623</v>
      </c>
      <c r="N19" s="83" t="s">
        <v>3624</v>
      </c>
      <c r="O19" s="83" t="s">
        <v>3625</v>
      </c>
      <c r="P19" s="83" t="s">
        <v>930</v>
      </c>
      <c r="Q19" s="304"/>
      <c r="R19" s="304"/>
      <c r="S19" s="83" t="s">
        <v>3626</v>
      </c>
      <c r="T19" s="39" t="s">
        <v>961</v>
      </c>
      <c r="U19" s="83" t="s">
        <v>3627</v>
      </c>
      <c r="V19" s="83" t="s">
        <v>3628</v>
      </c>
      <c r="W19" s="83" t="s">
        <v>3629</v>
      </c>
      <c r="X19" s="83" t="s">
        <v>3501</v>
      </c>
      <c r="Y19" s="83" t="s">
        <v>3630</v>
      </c>
      <c r="AB19" s="83" t="s">
        <v>3631</v>
      </c>
      <c r="AC19" s="83" t="s">
        <v>3559</v>
      </c>
      <c r="AD19" s="83" t="s">
        <v>1022</v>
      </c>
      <c r="AE19" s="83" t="s">
        <v>2259</v>
      </c>
      <c r="AG19" s="304"/>
      <c r="AH19" s="39" t="s">
        <v>3632</v>
      </c>
    </row>
    <row r="20" ht="14.25" customHeight="1">
      <c r="A20" s="37" t="s">
        <v>328</v>
      </c>
      <c r="B20" s="37" t="s">
        <v>329</v>
      </c>
      <c r="C20" s="37" t="s">
        <v>88</v>
      </c>
      <c r="D20" s="37" t="s">
        <v>187</v>
      </c>
      <c r="E20" s="135" t="s">
        <v>3633</v>
      </c>
      <c r="F20" s="310">
        <v>20.0</v>
      </c>
      <c r="G20" s="39" t="s">
        <v>330</v>
      </c>
      <c r="H20" s="39" t="s">
        <v>189</v>
      </c>
      <c r="I20" s="281" t="s">
        <v>3634</v>
      </c>
      <c r="J20" s="83" t="s">
        <v>3635</v>
      </c>
      <c r="K20" s="83" t="s">
        <v>3636</v>
      </c>
      <c r="L20" s="83" t="s">
        <v>3637</v>
      </c>
      <c r="M20" s="83" t="s">
        <v>3638</v>
      </c>
      <c r="N20" s="83" t="s">
        <v>3639</v>
      </c>
      <c r="O20" s="83" t="s">
        <v>3640</v>
      </c>
      <c r="P20" s="83" t="s">
        <v>930</v>
      </c>
      <c r="Q20" s="304"/>
      <c r="R20" s="304"/>
      <c r="S20" s="83" t="s">
        <v>3641</v>
      </c>
      <c r="T20" s="39" t="s">
        <v>961</v>
      </c>
      <c r="U20" s="83" t="s">
        <v>3642</v>
      </c>
      <c r="V20" s="83" t="s">
        <v>3643</v>
      </c>
      <c r="W20" s="83" t="s">
        <v>3644</v>
      </c>
      <c r="X20" s="83" t="s">
        <v>3501</v>
      </c>
      <c r="Y20" s="83" t="s">
        <v>3645</v>
      </c>
      <c r="AB20" s="83" t="s">
        <v>3646</v>
      </c>
      <c r="AC20" s="83" t="s">
        <v>3559</v>
      </c>
      <c r="AD20" s="83" t="s">
        <v>1022</v>
      </c>
      <c r="AE20" s="83" t="s">
        <v>2259</v>
      </c>
      <c r="AG20" s="304"/>
      <c r="AH20" s="41"/>
    </row>
    <row r="21" ht="14.25" customHeight="1">
      <c r="A21" s="37" t="s">
        <v>331</v>
      </c>
      <c r="B21" s="37" t="s">
        <v>332</v>
      </c>
      <c r="C21" s="37" t="s">
        <v>88</v>
      </c>
      <c r="D21" s="37" t="s">
        <v>224</v>
      </c>
      <c r="E21" s="135" t="s">
        <v>3647</v>
      </c>
      <c r="F21" s="310">
        <v>14.0</v>
      </c>
      <c r="G21" s="41"/>
      <c r="H21" s="39" t="s">
        <v>333</v>
      </c>
      <c r="I21" s="39" t="s">
        <v>49</v>
      </c>
      <c r="J21" s="83" t="s">
        <v>3648</v>
      </c>
      <c r="K21" s="83" t="s">
        <v>3649</v>
      </c>
      <c r="L21" s="83" t="s">
        <v>3650</v>
      </c>
      <c r="M21" s="83" t="s">
        <v>3651</v>
      </c>
      <c r="N21" s="83" t="s">
        <v>3652</v>
      </c>
      <c r="O21" s="83" t="s">
        <v>3653</v>
      </c>
      <c r="P21" s="83" t="s">
        <v>930</v>
      </c>
      <c r="Q21" s="304"/>
      <c r="R21" s="304"/>
      <c r="S21" s="83" t="s">
        <v>3654</v>
      </c>
      <c r="T21" s="39" t="s">
        <v>961</v>
      </c>
      <c r="U21" s="83" t="s">
        <v>3655</v>
      </c>
      <c r="V21" s="83" t="s">
        <v>3656</v>
      </c>
      <c r="W21" s="83" t="s">
        <v>3657</v>
      </c>
      <c r="X21" s="83" t="s">
        <v>3501</v>
      </c>
      <c r="Y21" s="83" t="s">
        <v>3658</v>
      </c>
      <c r="AD21" s="83" t="s">
        <v>1022</v>
      </c>
      <c r="AE21" s="83" t="s">
        <v>2259</v>
      </c>
      <c r="AG21" s="304"/>
      <c r="AH21" s="41"/>
    </row>
    <row r="22" ht="14.25" customHeight="1">
      <c r="A22" s="268" t="s">
        <v>334</v>
      </c>
      <c r="B22" s="133" t="s">
        <v>335</v>
      </c>
      <c r="C22" s="133" t="s">
        <v>88</v>
      </c>
      <c r="D22" s="133" t="s">
        <v>336</v>
      </c>
      <c r="E22" s="133"/>
      <c r="F22" s="133"/>
      <c r="G22" s="133" t="s">
        <v>337</v>
      </c>
      <c r="H22" s="133" t="s">
        <v>338</v>
      </c>
      <c r="I22" s="133" t="s">
        <v>49</v>
      </c>
      <c r="J22" s="133"/>
      <c r="K22" s="133"/>
      <c r="L22" s="133"/>
      <c r="M22" s="133"/>
      <c r="N22" s="133"/>
      <c r="O22" s="133"/>
      <c r="P22" s="269"/>
      <c r="R22" s="37"/>
      <c r="T22" s="39" t="s">
        <v>961</v>
      </c>
      <c r="U22" s="68"/>
      <c r="V22" s="68"/>
      <c r="W22" s="68"/>
      <c r="X22" s="68"/>
      <c r="Y22" s="68"/>
      <c r="Z22" s="68"/>
      <c r="AA22" s="68"/>
      <c r="AB22" s="68"/>
      <c r="AC22" s="68"/>
      <c r="AD22" s="68"/>
      <c r="AE22" s="68"/>
      <c r="AF22" s="68"/>
      <c r="AG22" s="68"/>
    </row>
    <row r="23" ht="14.25" customHeight="1">
      <c r="A23" s="50" t="s">
        <v>339</v>
      </c>
      <c r="B23" s="16" t="s">
        <v>340</v>
      </c>
      <c r="C23" s="16" t="s">
        <v>88</v>
      </c>
      <c r="D23" s="16" t="s">
        <v>109</v>
      </c>
      <c r="E23" s="16"/>
      <c r="F23" s="16"/>
      <c r="G23" s="16" t="s">
        <v>101</v>
      </c>
      <c r="H23" s="16" t="s">
        <v>155</v>
      </c>
      <c r="I23" s="16" t="s">
        <v>49</v>
      </c>
      <c r="J23" s="16"/>
      <c r="K23" s="16"/>
      <c r="L23" s="16"/>
      <c r="M23" s="16"/>
      <c r="N23" s="16"/>
      <c r="O23" s="16"/>
      <c r="P23" s="270"/>
      <c r="R23" s="37"/>
      <c r="T23" s="39" t="s">
        <v>961</v>
      </c>
      <c r="U23" s="68"/>
      <c r="V23" s="68"/>
      <c r="W23" s="68"/>
      <c r="X23" s="68"/>
      <c r="Y23" s="68"/>
      <c r="Z23" s="68"/>
      <c r="AA23" s="68"/>
      <c r="AB23" s="68"/>
      <c r="AC23" s="68"/>
      <c r="AD23" s="68"/>
      <c r="AE23" s="68"/>
      <c r="AF23" s="68"/>
      <c r="AG23" s="68"/>
    </row>
    <row r="24" ht="14.25" customHeight="1">
      <c r="A24" s="37" t="s">
        <v>341</v>
      </c>
      <c r="B24" s="37" t="s">
        <v>342</v>
      </c>
      <c r="C24" s="37" t="s">
        <v>88</v>
      </c>
      <c r="D24" s="37" t="s">
        <v>343</v>
      </c>
      <c r="E24" s="135" t="s">
        <v>3659</v>
      </c>
      <c r="F24" s="310">
        <v>11.0</v>
      </c>
      <c r="G24" s="39" t="s">
        <v>311</v>
      </c>
      <c r="H24" s="39" t="s">
        <v>233</v>
      </c>
      <c r="I24" s="39" t="s">
        <v>49</v>
      </c>
      <c r="J24" s="83" t="s">
        <v>3660</v>
      </c>
      <c r="K24" s="83" t="s">
        <v>3661</v>
      </c>
      <c r="L24" s="83" t="s">
        <v>3662</v>
      </c>
      <c r="M24" s="83" t="s">
        <v>3663</v>
      </c>
      <c r="N24" s="83" t="s">
        <v>3664</v>
      </c>
      <c r="O24" s="83" t="s">
        <v>3665</v>
      </c>
      <c r="P24" s="83" t="s">
        <v>930</v>
      </c>
      <c r="Q24" s="41"/>
      <c r="R24" s="41"/>
      <c r="S24" s="41"/>
      <c r="T24" s="39" t="s">
        <v>961</v>
      </c>
      <c r="U24" s="83" t="s">
        <v>3666</v>
      </c>
      <c r="V24" s="83" t="s">
        <v>3667</v>
      </c>
      <c r="W24" s="83" t="s">
        <v>2239</v>
      </c>
      <c r="X24" s="83" t="s">
        <v>3668</v>
      </c>
      <c r="Y24" s="83" t="s">
        <v>3669</v>
      </c>
      <c r="AB24" s="83" t="s">
        <v>3670</v>
      </c>
      <c r="AC24" s="83" t="s">
        <v>3559</v>
      </c>
      <c r="AD24" s="83" t="s">
        <v>1022</v>
      </c>
      <c r="AE24" s="83" t="s">
        <v>2259</v>
      </c>
      <c r="AG24" s="68"/>
    </row>
    <row r="25" ht="14.25" customHeight="1">
      <c r="A25" s="39" t="s">
        <v>893</v>
      </c>
      <c r="B25" s="39" t="s">
        <v>894</v>
      </c>
      <c r="C25" s="39" t="s">
        <v>3671</v>
      </c>
      <c r="D25" s="39" t="s">
        <v>895</v>
      </c>
      <c r="E25" s="135" t="s">
        <v>3672</v>
      </c>
      <c r="F25" s="310">
        <v>15.0</v>
      </c>
      <c r="G25" s="39" t="s">
        <v>300</v>
      </c>
      <c r="H25" s="39" t="s">
        <v>260</v>
      </c>
      <c r="I25" s="39" t="s">
        <v>49</v>
      </c>
      <c r="J25" s="83" t="s">
        <v>3673</v>
      </c>
      <c r="K25" s="83" t="s">
        <v>3674</v>
      </c>
      <c r="L25" s="140" t="s">
        <v>3675</v>
      </c>
      <c r="M25" s="83" t="s">
        <v>3676</v>
      </c>
      <c r="N25" s="83" t="s">
        <v>3677</v>
      </c>
      <c r="O25" s="83" t="s">
        <v>3678</v>
      </c>
      <c r="P25" s="83" t="s">
        <v>930</v>
      </c>
      <c r="Q25" s="41"/>
      <c r="R25" s="41"/>
      <c r="S25" s="39" t="s">
        <v>3679</v>
      </c>
      <c r="T25" s="39" t="s">
        <v>961</v>
      </c>
      <c r="U25" s="83" t="s">
        <v>3680</v>
      </c>
      <c r="V25" s="83" t="s">
        <v>3681</v>
      </c>
      <c r="W25" s="83" t="s">
        <v>3682</v>
      </c>
      <c r="X25" s="83" t="s">
        <v>3512</v>
      </c>
      <c r="Y25" s="140" t="s">
        <v>3683</v>
      </c>
      <c r="Z25" s="304"/>
      <c r="AA25" s="83" t="s">
        <v>3684</v>
      </c>
      <c r="AB25" s="83" t="s">
        <v>3685</v>
      </c>
      <c r="AC25" s="83" t="s">
        <v>3559</v>
      </c>
      <c r="AD25" s="140" t="s">
        <v>3686</v>
      </c>
      <c r="AE25" s="83" t="s">
        <v>3687</v>
      </c>
      <c r="AF25" s="304"/>
      <c r="AG25" s="68"/>
    </row>
    <row r="26" ht="14.25" customHeight="1">
      <c r="A26" s="271" t="s">
        <v>876</v>
      </c>
      <c r="B26" s="271" t="s">
        <v>877</v>
      </c>
      <c r="C26" s="327" t="s">
        <v>3688</v>
      </c>
      <c r="D26" s="271" t="s">
        <v>878</v>
      </c>
      <c r="E26" s="298" t="s">
        <v>3689</v>
      </c>
      <c r="F26" s="328">
        <v>20.0</v>
      </c>
      <c r="G26" s="271" t="s">
        <v>101</v>
      </c>
      <c r="H26" s="271" t="s">
        <v>879</v>
      </c>
      <c r="I26" s="271" t="s">
        <v>559</v>
      </c>
      <c r="J26" s="301" t="s">
        <v>3690</v>
      </c>
      <c r="K26" s="301" t="s">
        <v>3691</v>
      </c>
      <c r="L26" s="301" t="s">
        <v>3692</v>
      </c>
      <c r="M26" s="301" t="s">
        <v>3693</v>
      </c>
      <c r="N26" s="301" t="s">
        <v>3694</v>
      </c>
      <c r="O26" s="301" t="s">
        <v>3695</v>
      </c>
      <c r="P26" s="301" t="s">
        <v>961</v>
      </c>
      <c r="Q26" s="273"/>
      <c r="R26" s="273"/>
      <c r="S26" s="271" t="s">
        <v>3696</v>
      </c>
      <c r="T26" s="271" t="s">
        <v>961</v>
      </c>
      <c r="U26" s="301" t="s">
        <v>3697</v>
      </c>
      <c r="V26" s="301" t="s">
        <v>3698</v>
      </c>
      <c r="W26" s="301" t="s">
        <v>3699</v>
      </c>
      <c r="X26" s="301" t="s">
        <v>3668</v>
      </c>
      <c r="Y26" s="329"/>
      <c r="Z26" s="329"/>
      <c r="AA26" s="301" t="s">
        <v>3700</v>
      </c>
      <c r="AB26" s="301" t="s">
        <v>3701</v>
      </c>
      <c r="AC26" s="301" t="s">
        <v>2558</v>
      </c>
      <c r="AD26" s="301" t="s">
        <v>1062</v>
      </c>
      <c r="AE26" s="301" t="s">
        <v>3702</v>
      </c>
      <c r="AH26" s="256"/>
    </row>
    <row r="27" ht="14.25" customHeight="1">
      <c r="A27" s="271" t="s">
        <v>902</v>
      </c>
      <c r="B27" s="271" t="s">
        <v>903</v>
      </c>
      <c r="C27" s="327" t="s">
        <v>3703</v>
      </c>
      <c r="D27" s="271" t="s">
        <v>904</v>
      </c>
      <c r="E27" s="298" t="s">
        <v>3704</v>
      </c>
      <c r="F27" s="328">
        <v>27.0</v>
      </c>
      <c r="G27" s="273"/>
      <c r="H27" s="271" t="s">
        <v>562</v>
      </c>
      <c r="I27" s="271" t="s">
        <v>578</v>
      </c>
      <c r="J27" s="301" t="s">
        <v>3705</v>
      </c>
      <c r="K27" s="301" t="s">
        <v>3706</v>
      </c>
      <c r="L27" s="301" t="s">
        <v>3707</v>
      </c>
      <c r="M27" s="301" t="s">
        <v>3708</v>
      </c>
      <c r="N27" s="301" t="s">
        <v>3709</v>
      </c>
      <c r="O27" s="301" t="s">
        <v>3710</v>
      </c>
      <c r="P27" s="301" t="s">
        <v>961</v>
      </c>
      <c r="Q27" s="273"/>
      <c r="R27" s="273"/>
      <c r="S27" s="271" t="s">
        <v>3711</v>
      </c>
      <c r="T27" s="271" t="s">
        <v>961</v>
      </c>
      <c r="U27" s="301" t="s">
        <v>3712</v>
      </c>
      <c r="V27" s="301" t="s">
        <v>3713</v>
      </c>
      <c r="W27" s="329"/>
      <c r="X27" s="301" t="s">
        <v>3668</v>
      </c>
      <c r="Y27" s="329"/>
      <c r="Z27" s="329"/>
      <c r="AA27" s="329"/>
      <c r="AB27" s="329"/>
      <c r="AC27" s="329"/>
      <c r="AD27" s="301" t="s">
        <v>1547</v>
      </c>
      <c r="AE27" s="301" t="s">
        <v>3714</v>
      </c>
      <c r="AF27" s="301" t="s">
        <v>3715</v>
      </c>
      <c r="AH27" s="256"/>
    </row>
    <row r="28" ht="14.25" customHeight="1">
      <c r="A28" s="39" t="s">
        <v>670</v>
      </c>
      <c r="B28" s="39" t="s">
        <v>671</v>
      </c>
      <c r="C28" s="330" t="s">
        <v>3688</v>
      </c>
      <c r="D28" s="39" t="s">
        <v>555</v>
      </c>
      <c r="E28" s="135" t="s">
        <v>3716</v>
      </c>
      <c r="F28" s="310">
        <v>22.0</v>
      </c>
      <c r="G28" s="39" t="s">
        <v>198</v>
      </c>
      <c r="H28" s="39" t="s">
        <v>672</v>
      </c>
      <c r="I28" s="39" t="s">
        <v>49</v>
      </c>
      <c r="J28" s="83" t="s">
        <v>3717</v>
      </c>
      <c r="K28" s="83" t="s">
        <v>3718</v>
      </c>
      <c r="L28" s="83" t="s">
        <v>3719</v>
      </c>
      <c r="M28" s="83" t="s">
        <v>3720</v>
      </c>
      <c r="N28" s="83" t="s">
        <v>3721</v>
      </c>
      <c r="O28" s="83" t="s">
        <v>3722</v>
      </c>
      <c r="P28" s="83" t="s">
        <v>930</v>
      </c>
      <c r="Q28" s="41"/>
      <c r="R28" s="41"/>
      <c r="S28" s="39" t="s">
        <v>3723</v>
      </c>
      <c r="T28" s="39" t="s">
        <v>961</v>
      </c>
      <c r="U28" s="83" t="s">
        <v>3724</v>
      </c>
      <c r="V28" s="83" t="s">
        <v>3725</v>
      </c>
      <c r="W28" s="83" t="s">
        <v>3726</v>
      </c>
      <c r="X28" s="83" t="s">
        <v>3727</v>
      </c>
      <c r="Y28" s="83" t="s">
        <v>3728</v>
      </c>
      <c r="AB28" s="83" t="s">
        <v>3729</v>
      </c>
      <c r="AC28" s="83" t="s">
        <v>3559</v>
      </c>
      <c r="AD28" s="83" t="s">
        <v>1022</v>
      </c>
      <c r="AE28" s="83" t="s">
        <v>2259</v>
      </c>
      <c r="AG28" s="304"/>
    </row>
    <row r="29" ht="16.5" customHeight="1">
      <c r="A29" s="39" t="s">
        <v>673</v>
      </c>
      <c r="B29" s="39" t="s">
        <v>674</v>
      </c>
      <c r="C29" s="330" t="s">
        <v>3688</v>
      </c>
      <c r="D29" s="39" t="s">
        <v>141</v>
      </c>
      <c r="E29" s="135" t="s">
        <v>3730</v>
      </c>
      <c r="F29" s="310">
        <v>20.0</v>
      </c>
      <c r="G29" s="39" t="s">
        <v>675</v>
      </c>
      <c r="H29" s="39" t="s">
        <v>189</v>
      </c>
      <c r="I29" s="39" t="s">
        <v>49</v>
      </c>
      <c r="J29" s="83" t="s">
        <v>3731</v>
      </c>
      <c r="K29" s="83" t="s">
        <v>3732</v>
      </c>
      <c r="L29" s="83" t="s">
        <v>3733</v>
      </c>
      <c r="M29" s="83" t="s">
        <v>3734</v>
      </c>
      <c r="N29" s="83" t="s">
        <v>3735</v>
      </c>
      <c r="O29" s="83"/>
      <c r="P29" s="83" t="s">
        <v>930</v>
      </c>
      <c r="Q29" s="41"/>
      <c r="R29" s="41"/>
      <c r="S29" s="39" t="s">
        <v>3736</v>
      </c>
      <c r="T29" s="39" t="s">
        <v>961</v>
      </c>
      <c r="U29" s="83" t="s">
        <v>3737</v>
      </c>
      <c r="V29" s="83" t="s">
        <v>3738</v>
      </c>
      <c r="W29" s="83" t="s">
        <v>3591</v>
      </c>
      <c r="X29" s="83" t="s">
        <v>3404</v>
      </c>
      <c r="Y29" s="83" t="s">
        <v>3739</v>
      </c>
      <c r="AB29" s="83" t="s">
        <v>3740</v>
      </c>
      <c r="AC29" s="83" t="s">
        <v>3559</v>
      </c>
      <c r="AD29" s="83" t="s">
        <v>1022</v>
      </c>
      <c r="AE29" s="83" t="s">
        <v>2259</v>
      </c>
      <c r="AG29" s="304"/>
    </row>
    <row r="30" ht="14.25" customHeight="1">
      <c r="A30" s="39" t="s">
        <v>676</v>
      </c>
      <c r="B30" s="39" t="s">
        <v>677</v>
      </c>
      <c r="C30" s="330" t="s">
        <v>88</v>
      </c>
      <c r="D30" s="39" t="s">
        <v>678</v>
      </c>
      <c r="E30" s="135" t="s">
        <v>3741</v>
      </c>
      <c r="F30" s="39">
        <v>18.0</v>
      </c>
      <c r="G30" s="39" t="s">
        <v>137</v>
      </c>
      <c r="H30" s="39" t="s">
        <v>588</v>
      </c>
      <c r="I30" s="39" t="s">
        <v>49</v>
      </c>
      <c r="J30" s="83" t="s">
        <v>3742</v>
      </c>
      <c r="K30" s="83" t="s">
        <v>3743</v>
      </c>
      <c r="L30" s="83" t="s">
        <v>3744</v>
      </c>
      <c r="M30" s="83" t="s">
        <v>3745</v>
      </c>
      <c r="N30" s="83" t="s">
        <v>3746</v>
      </c>
      <c r="O30" s="83" t="s">
        <v>3747</v>
      </c>
      <c r="P30" s="83" t="s">
        <v>930</v>
      </c>
      <c r="Q30" s="41"/>
      <c r="R30" s="41"/>
      <c r="S30" s="39" t="s">
        <v>3748</v>
      </c>
      <c r="T30" s="39" t="s">
        <v>961</v>
      </c>
      <c r="U30" s="83" t="s">
        <v>3749</v>
      </c>
      <c r="V30" s="83" t="s">
        <v>3750</v>
      </c>
      <c r="W30" s="83" t="s">
        <v>3751</v>
      </c>
      <c r="Y30" s="83" t="s">
        <v>3752</v>
      </c>
      <c r="AB30" s="83" t="s">
        <v>3753</v>
      </c>
      <c r="AC30" s="83" t="s">
        <v>3559</v>
      </c>
      <c r="AD30" s="83" t="s">
        <v>1323</v>
      </c>
      <c r="AE30" s="83" t="s">
        <v>2259</v>
      </c>
      <c r="AG30" s="304"/>
    </row>
    <row r="31" ht="14.25" customHeight="1">
      <c r="A31" s="39" t="s">
        <v>679</v>
      </c>
      <c r="B31" s="39" t="s">
        <v>680</v>
      </c>
      <c r="C31" s="330" t="s">
        <v>3688</v>
      </c>
      <c r="D31" s="39" t="s">
        <v>367</v>
      </c>
      <c r="E31" s="135" t="s">
        <v>3754</v>
      </c>
      <c r="F31" s="310">
        <v>19.0</v>
      </c>
      <c r="G31" s="39" t="s">
        <v>681</v>
      </c>
      <c r="H31" s="39" t="s">
        <v>189</v>
      </c>
      <c r="I31" s="39" t="s">
        <v>49</v>
      </c>
      <c r="J31" s="83" t="s">
        <v>3755</v>
      </c>
      <c r="K31" s="83" t="s">
        <v>3756</v>
      </c>
      <c r="L31" s="83" t="s">
        <v>3757</v>
      </c>
      <c r="M31" s="83" t="s">
        <v>3758</v>
      </c>
      <c r="N31" s="83" t="s">
        <v>3759</v>
      </c>
      <c r="O31" s="83" t="s">
        <v>3760</v>
      </c>
      <c r="P31" s="83" t="s">
        <v>930</v>
      </c>
      <c r="Q31" s="41"/>
      <c r="R31" s="41"/>
      <c r="S31" s="39" t="s">
        <v>3761</v>
      </c>
      <c r="T31" s="39" t="s">
        <v>961</v>
      </c>
      <c r="U31" s="83" t="s">
        <v>3762</v>
      </c>
      <c r="V31" s="83" t="s">
        <v>3763</v>
      </c>
      <c r="W31" s="83" t="s">
        <v>3764</v>
      </c>
      <c r="X31" s="83" t="s">
        <v>3668</v>
      </c>
      <c r="Y31" s="83" t="s">
        <v>3765</v>
      </c>
      <c r="AB31" s="83" t="s">
        <v>3766</v>
      </c>
      <c r="AC31" s="83" t="s">
        <v>3559</v>
      </c>
      <c r="AD31" s="83" t="s">
        <v>1022</v>
      </c>
      <c r="AE31" s="83" t="s">
        <v>3767</v>
      </c>
      <c r="AF31" s="83" t="s">
        <v>3768</v>
      </c>
    </row>
    <row r="32" ht="14.25" customHeight="1">
      <c r="A32" s="39" t="s">
        <v>858</v>
      </c>
      <c r="B32" s="39" t="s">
        <v>859</v>
      </c>
      <c r="C32" s="330" t="s">
        <v>3688</v>
      </c>
      <c r="D32" s="39" t="s">
        <v>501</v>
      </c>
      <c r="E32" s="135" t="s">
        <v>3769</v>
      </c>
      <c r="F32" s="310">
        <v>19.0</v>
      </c>
      <c r="G32" s="39" t="s">
        <v>860</v>
      </c>
      <c r="H32" s="39" t="s">
        <v>209</v>
      </c>
      <c r="I32" s="39" t="s">
        <v>578</v>
      </c>
      <c r="J32" s="83" t="s">
        <v>3770</v>
      </c>
      <c r="K32" s="83" t="s">
        <v>3771</v>
      </c>
      <c r="L32" s="83" t="s">
        <v>3772</v>
      </c>
      <c r="M32" s="83" t="s">
        <v>3773</v>
      </c>
      <c r="N32" s="83" t="s">
        <v>3774</v>
      </c>
      <c r="O32" s="83" t="s">
        <v>3775</v>
      </c>
      <c r="P32" s="83" t="s">
        <v>3776</v>
      </c>
      <c r="Q32" s="83"/>
      <c r="R32" s="39" t="s">
        <v>2388</v>
      </c>
      <c r="S32" s="39" t="s">
        <v>3777</v>
      </c>
      <c r="T32" s="39" t="s">
        <v>961</v>
      </c>
      <c r="U32" s="83" t="s">
        <v>3778</v>
      </c>
      <c r="V32" s="83" t="s">
        <v>3779</v>
      </c>
      <c r="X32" s="83" t="s">
        <v>3501</v>
      </c>
      <c r="Y32" s="83" t="s">
        <v>3780</v>
      </c>
      <c r="AB32" s="83" t="s">
        <v>3781</v>
      </c>
      <c r="AC32" s="83" t="s">
        <v>3559</v>
      </c>
      <c r="AD32" s="83" t="s">
        <v>1323</v>
      </c>
      <c r="AE32" s="304"/>
      <c r="AF32" s="83" t="s">
        <v>3782</v>
      </c>
    </row>
    <row r="33" ht="14.25" customHeight="1">
      <c r="A33" s="39" t="s">
        <v>861</v>
      </c>
      <c r="B33" s="39" t="s">
        <v>862</v>
      </c>
      <c r="C33" s="330" t="s">
        <v>3688</v>
      </c>
      <c r="D33" s="39" t="s">
        <v>215</v>
      </c>
      <c r="E33" s="135" t="s">
        <v>3783</v>
      </c>
      <c r="F33" s="310">
        <v>16.0</v>
      </c>
      <c r="G33" s="39" t="s">
        <v>863</v>
      </c>
      <c r="H33" s="39" t="s">
        <v>142</v>
      </c>
      <c r="I33" s="39" t="s">
        <v>49</v>
      </c>
      <c r="J33" s="83" t="s">
        <v>3784</v>
      </c>
      <c r="K33" s="83" t="s">
        <v>3785</v>
      </c>
      <c r="L33" s="83" t="s">
        <v>3786</v>
      </c>
      <c r="M33" s="83" t="s">
        <v>3787</v>
      </c>
      <c r="N33" s="83" t="s">
        <v>3788</v>
      </c>
      <c r="O33" s="83" t="s">
        <v>3789</v>
      </c>
      <c r="P33" s="83" t="s">
        <v>930</v>
      </c>
      <c r="Q33" s="304"/>
      <c r="R33" s="39" t="s">
        <v>2388</v>
      </c>
      <c r="S33" s="39" t="s">
        <v>3790</v>
      </c>
      <c r="T33" s="39" t="s">
        <v>961</v>
      </c>
      <c r="U33" s="83" t="s">
        <v>3791</v>
      </c>
      <c r="V33" s="83" t="s">
        <v>3792</v>
      </c>
      <c r="W33" s="83" t="s">
        <v>3793</v>
      </c>
      <c r="X33" s="83" t="s">
        <v>3404</v>
      </c>
      <c r="Y33" s="83" t="s">
        <v>3794</v>
      </c>
      <c r="Z33" s="83" t="s">
        <v>3795</v>
      </c>
      <c r="AC33" s="83" t="s">
        <v>3796</v>
      </c>
      <c r="AD33" s="83" t="s">
        <v>1022</v>
      </c>
      <c r="AE33" s="304"/>
      <c r="AF33" s="83" t="s">
        <v>3797</v>
      </c>
    </row>
    <row r="34" ht="14.25" customHeight="1">
      <c r="A34" s="39" t="s">
        <v>864</v>
      </c>
      <c r="B34" s="39" t="s">
        <v>865</v>
      </c>
      <c r="C34" s="330" t="s">
        <v>3688</v>
      </c>
      <c r="D34" s="39" t="s">
        <v>866</v>
      </c>
      <c r="E34" s="135" t="s">
        <v>3798</v>
      </c>
      <c r="F34" s="310">
        <v>14.0</v>
      </c>
      <c r="G34" s="142"/>
      <c r="H34" s="39" t="s">
        <v>867</v>
      </c>
      <c r="I34" s="39" t="s">
        <v>49</v>
      </c>
      <c r="J34" s="83" t="s">
        <v>3799</v>
      </c>
      <c r="K34" s="83" t="s">
        <v>3800</v>
      </c>
      <c r="L34" s="83" t="s">
        <v>3801</v>
      </c>
      <c r="M34" s="83" t="s">
        <v>3802</v>
      </c>
      <c r="N34" s="83" t="s">
        <v>3803</v>
      </c>
      <c r="O34" s="83" t="s">
        <v>3804</v>
      </c>
      <c r="P34" s="83" t="s">
        <v>930</v>
      </c>
      <c r="Q34" s="304"/>
      <c r="R34" s="41"/>
      <c r="S34" s="39" t="s">
        <v>3805</v>
      </c>
      <c r="T34" s="39" t="s">
        <v>961</v>
      </c>
      <c r="U34" s="304"/>
      <c r="V34" s="83" t="s">
        <v>3806</v>
      </c>
      <c r="W34" s="83" t="s">
        <v>3807</v>
      </c>
      <c r="Y34" s="83" t="s">
        <v>3808</v>
      </c>
      <c r="Z34" s="304"/>
      <c r="AA34" s="83" t="s">
        <v>3809</v>
      </c>
      <c r="AB34" s="83" t="s">
        <v>3810</v>
      </c>
      <c r="AC34" s="83" t="s">
        <v>3559</v>
      </c>
      <c r="AD34" s="83" t="s">
        <v>1015</v>
      </c>
      <c r="AE34" s="304"/>
      <c r="AF34" s="83" t="s">
        <v>3811</v>
      </c>
    </row>
    <row r="35" ht="14.25" customHeight="1">
      <c r="A35" s="271" t="s">
        <v>868</v>
      </c>
      <c r="B35" s="271" t="s">
        <v>869</v>
      </c>
      <c r="C35" s="327" t="s">
        <v>3688</v>
      </c>
      <c r="D35" s="271" t="s">
        <v>283</v>
      </c>
      <c r="E35" s="298" t="s">
        <v>3812</v>
      </c>
      <c r="F35" s="328">
        <v>17.0</v>
      </c>
      <c r="G35" s="271" t="s">
        <v>870</v>
      </c>
      <c r="H35" s="271" t="s">
        <v>393</v>
      </c>
      <c r="I35" s="271" t="s">
        <v>559</v>
      </c>
      <c r="J35" s="301" t="s">
        <v>3813</v>
      </c>
      <c r="K35" s="301" t="s">
        <v>3814</v>
      </c>
      <c r="L35" s="301" t="s">
        <v>3815</v>
      </c>
      <c r="M35" s="301" t="s">
        <v>3816</v>
      </c>
      <c r="P35" s="301" t="s">
        <v>961</v>
      </c>
      <c r="Q35" s="329"/>
      <c r="R35" s="271" t="s">
        <v>2388</v>
      </c>
      <c r="S35" s="271" t="s">
        <v>3817</v>
      </c>
      <c r="T35" s="271" t="s">
        <v>961</v>
      </c>
      <c r="U35" s="301" t="s">
        <v>3818</v>
      </c>
      <c r="V35" s="301" t="s">
        <v>3819</v>
      </c>
      <c r="W35" s="301" t="s">
        <v>3820</v>
      </c>
      <c r="X35" s="301" t="s">
        <v>3821</v>
      </c>
      <c r="AB35" s="329"/>
      <c r="AC35" s="329"/>
      <c r="AD35" s="301" t="s">
        <v>1652</v>
      </c>
      <c r="AE35" s="301" t="s">
        <v>3822</v>
      </c>
      <c r="AF35" s="301" t="s">
        <v>3823</v>
      </c>
      <c r="AH35" s="256"/>
    </row>
    <row r="36" ht="14.25" customHeight="1">
      <c r="A36" s="24" t="s">
        <v>871</v>
      </c>
      <c r="B36" s="24" t="s">
        <v>872</v>
      </c>
      <c r="C36" s="331" t="s">
        <v>3688</v>
      </c>
      <c r="D36" s="24" t="s">
        <v>873</v>
      </c>
      <c r="E36" s="332" t="s">
        <v>3824</v>
      </c>
      <c r="F36" s="333">
        <v>6.0</v>
      </c>
      <c r="G36" s="24" t="s">
        <v>142</v>
      </c>
      <c r="H36" s="24" t="s">
        <v>142</v>
      </c>
      <c r="I36" s="24" t="s">
        <v>49</v>
      </c>
      <c r="J36" s="334"/>
      <c r="K36" s="334"/>
      <c r="L36" s="334"/>
      <c r="M36" s="334"/>
      <c r="N36" s="334"/>
      <c r="O36" s="334"/>
      <c r="P36" s="335" t="s">
        <v>3825</v>
      </c>
      <c r="Q36" s="334"/>
      <c r="R36" s="24" t="s">
        <v>2394</v>
      </c>
      <c r="S36" s="24" t="s">
        <v>3826</v>
      </c>
      <c r="T36" s="24" t="s">
        <v>961</v>
      </c>
      <c r="U36" s="335"/>
      <c r="V36" s="335" t="s">
        <v>3827</v>
      </c>
      <c r="Z36" s="334"/>
      <c r="AA36" s="334"/>
      <c r="AB36" s="334"/>
      <c r="AC36" s="334"/>
      <c r="AD36" s="334"/>
      <c r="AE36" s="334"/>
      <c r="AF36" s="335" t="s">
        <v>3828</v>
      </c>
      <c r="AH36" s="9"/>
    </row>
    <row r="37" ht="14.25" customHeight="1">
      <c r="A37" s="24" t="s">
        <v>874</v>
      </c>
      <c r="B37" s="24" t="s">
        <v>875</v>
      </c>
      <c r="C37" s="331" t="s">
        <v>3688</v>
      </c>
      <c r="D37" s="24" t="s">
        <v>529</v>
      </c>
      <c r="E37" s="332" t="s">
        <v>3829</v>
      </c>
      <c r="F37" s="333">
        <v>16.0</v>
      </c>
      <c r="G37" s="24" t="s">
        <v>418</v>
      </c>
      <c r="H37" s="24" t="s">
        <v>114</v>
      </c>
      <c r="I37" s="24" t="s">
        <v>49</v>
      </c>
      <c r="J37" s="335" t="s">
        <v>3830</v>
      </c>
      <c r="K37" s="335" t="s">
        <v>3831</v>
      </c>
      <c r="L37" s="335" t="s">
        <v>3832</v>
      </c>
      <c r="M37" s="334"/>
      <c r="N37" s="334"/>
      <c r="O37" s="334"/>
      <c r="P37" s="335" t="s">
        <v>3825</v>
      </c>
      <c r="Q37" s="334"/>
      <c r="R37" s="24" t="s">
        <v>2394</v>
      </c>
      <c r="S37" s="24" t="s">
        <v>3833</v>
      </c>
      <c r="T37" s="24" t="s">
        <v>961</v>
      </c>
      <c r="U37" s="335" t="s">
        <v>3834</v>
      </c>
      <c r="V37" s="335" t="s">
        <v>2796</v>
      </c>
      <c r="Y37" s="334"/>
      <c r="Z37" s="334"/>
      <c r="AA37" s="334"/>
      <c r="AB37" s="334"/>
      <c r="AC37" s="334"/>
      <c r="AD37" s="335" t="s">
        <v>1493</v>
      </c>
      <c r="AE37" s="335" t="s">
        <v>3835</v>
      </c>
      <c r="AH37" s="9"/>
    </row>
    <row r="38" ht="14.25" customHeight="1">
      <c r="A38" s="336" t="s">
        <v>871</v>
      </c>
      <c r="B38" s="336" t="s">
        <v>872</v>
      </c>
      <c r="C38" s="337" t="s">
        <v>3688</v>
      </c>
      <c r="D38" s="336" t="s">
        <v>873</v>
      </c>
      <c r="E38" s="338" t="s">
        <v>3836</v>
      </c>
      <c r="F38" s="339">
        <v>6.0</v>
      </c>
      <c r="G38" s="336" t="s">
        <v>142</v>
      </c>
      <c r="H38" s="336" t="s">
        <v>142</v>
      </c>
      <c r="I38" s="336" t="s">
        <v>49</v>
      </c>
      <c r="J38" s="340"/>
      <c r="K38" s="340"/>
      <c r="L38" s="340"/>
      <c r="M38" s="340"/>
      <c r="N38" s="340"/>
      <c r="O38" s="340"/>
      <c r="P38" s="340"/>
      <c r="Q38" s="340"/>
      <c r="R38" s="341"/>
      <c r="S38" s="341"/>
      <c r="T38" s="336" t="s">
        <v>961</v>
      </c>
      <c r="U38" s="341"/>
      <c r="V38" s="341"/>
      <c r="W38" s="341"/>
      <c r="X38" s="341"/>
      <c r="Y38" s="341"/>
      <c r="Z38" s="341"/>
      <c r="AA38" s="341"/>
      <c r="AB38" s="341"/>
      <c r="AC38" s="341"/>
      <c r="AD38" s="341"/>
      <c r="AE38" s="341"/>
      <c r="AF38" s="341"/>
      <c r="AG38" s="341"/>
      <c r="AH38" s="13"/>
    </row>
    <row r="39" ht="14.25" customHeight="1">
      <c r="A39" s="271" t="s">
        <v>881</v>
      </c>
      <c r="B39" s="271" t="s">
        <v>882</v>
      </c>
      <c r="C39" s="327" t="s">
        <v>3688</v>
      </c>
      <c r="D39" s="271" t="s">
        <v>422</v>
      </c>
      <c r="E39" s="298" t="s">
        <v>3837</v>
      </c>
      <c r="F39" s="328">
        <v>13.0</v>
      </c>
      <c r="G39" s="271" t="s">
        <v>101</v>
      </c>
      <c r="H39" s="271" t="s">
        <v>110</v>
      </c>
      <c r="I39" s="271" t="s">
        <v>578</v>
      </c>
      <c r="J39" s="301" t="s">
        <v>3838</v>
      </c>
      <c r="K39" s="301" t="s">
        <v>3839</v>
      </c>
      <c r="L39" s="301" t="s">
        <v>3840</v>
      </c>
      <c r="M39" s="301" t="s">
        <v>3841</v>
      </c>
      <c r="N39" s="301" t="s">
        <v>620</v>
      </c>
      <c r="O39" s="329"/>
      <c r="P39" s="301" t="s">
        <v>3825</v>
      </c>
      <c r="Q39" s="329"/>
      <c r="R39" s="271" t="s">
        <v>2388</v>
      </c>
      <c r="S39" s="271" t="s">
        <v>3842</v>
      </c>
      <c r="T39" s="271" t="s">
        <v>961</v>
      </c>
      <c r="U39" s="301" t="s">
        <v>3843</v>
      </c>
      <c r="V39" s="301" t="s">
        <v>3844</v>
      </c>
      <c r="W39" s="301" t="s">
        <v>3845</v>
      </c>
      <c r="X39" s="301" t="s">
        <v>3821</v>
      </c>
      <c r="Y39" s="301" t="s">
        <v>3846</v>
      </c>
      <c r="AB39" s="301" t="s">
        <v>3847</v>
      </c>
      <c r="AD39" s="301" t="s">
        <v>1407</v>
      </c>
      <c r="AE39" s="329"/>
      <c r="AF39" s="329"/>
      <c r="AG39" s="329"/>
      <c r="AH39" s="256"/>
    </row>
    <row r="40" ht="14.25" customHeight="1">
      <c r="T40" s="26" t="s">
        <v>961</v>
      </c>
    </row>
    <row r="41" ht="14.25" customHeight="1">
      <c r="A41" s="37" t="s">
        <v>575</v>
      </c>
      <c r="B41" s="37" t="s">
        <v>576</v>
      </c>
      <c r="C41" s="38" t="s">
        <v>88</v>
      </c>
      <c r="D41" s="68" t="s">
        <v>207</v>
      </c>
      <c r="E41" s="77" t="s">
        <v>2188</v>
      </c>
      <c r="F41" s="67">
        <v>11.0</v>
      </c>
      <c r="G41" s="68" t="s">
        <v>577</v>
      </c>
      <c r="H41" s="68" t="s">
        <v>217</v>
      </c>
      <c r="I41" s="37" t="s">
        <v>578</v>
      </c>
      <c r="J41" s="26" t="s">
        <v>3848</v>
      </c>
      <c r="K41" s="26" t="s">
        <v>3849</v>
      </c>
      <c r="L41" s="26" t="s">
        <v>3850</v>
      </c>
      <c r="N41" s="26" t="s">
        <v>3851</v>
      </c>
      <c r="P41" s="26" t="s">
        <v>930</v>
      </c>
      <c r="T41" s="26" t="s">
        <v>961</v>
      </c>
      <c r="V41" s="67" t="s">
        <v>3852</v>
      </c>
      <c r="W41" s="68"/>
      <c r="X41" s="26" t="s">
        <v>3501</v>
      </c>
      <c r="Y41" s="26" t="s">
        <v>1013</v>
      </c>
      <c r="AB41" s="26" t="s">
        <v>3853</v>
      </c>
      <c r="AC41" s="26" t="s">
        <v>3559</v>
      </c>
      <c r="AD41" s="26" t="s">
        <v>1323</v>
      </c>
      <c r="AE41" s="26" t="s">
        <v>3854</v>
      </c>
      <c r="AF41" s="26" t="s">
        <v>3855</v>
      </c>
    </row>
    <row r="42" ht="14.25" customHeight="1">
      <c r="A42" s="14" t="s">
        <v>579</v>
      </c>
      <c r="B42" s="14" t="s">
        <v>580</v>
      </c>
      <c r="C42" s="342" t="s">
        <v>88</v>
      </c>
      <c r="D42" s="317" t="s">
        <v>113</v>
      </c>
      <c r="E42" s="343" t="s">
        <v>3856</v>
      </c>
      <c r="F42" s="344">
        <v>11.0</v>
      </c>
      <c r="G42" s="317" t="s">
        <v>581</v>
      </c>
      <c r="H42" s="317" t="s">
        <v>582</v>
      </c>
      <c r="I42" s="14" t="s">
        <v>578</v>
      </c>
      <c r="J42" s="14"/>
      <c r="K42" s="14"/>
      <c r="L42" s="14"/>
      <c r="M42" s="14"/>
      <c r="N42" s="14"/>
      <c r="O42" s="14"/>
      <c r="P42" s="316" t="s">
        <v>3857</v>
      </c>
      <c r="Q42" s="14"/>
      <c r="R42" s="316" t="s">
        <v>2394</v>
      </c>
      <c r="S42" s="14"/>
      <c r="T42" s="316" t="s">
        <v>961</v>
      </c>
      <c r="U42" s="14"/>
      <c r="V42" s="14"/>
      <c r="W42" s="14"/>
      <c r="X42" s="14"/>
      <c r="Y42" s="14"/>
      <c r="Z42" s="14"/>
      <c r="AA42" s="14"/>
      <c r="AB42" s="14"/>
      <c r="AC42" s="14"/>
      <c r="AD42" s="316" t="s">
        <v>1204</v>
      </c>
      <c r="AE42" s="14"/>
      <c r="AF42" s="14"/>
      <c r="AG42" s="14"/>
      <c r="AH42" s="14"/>
    </row>
    <row r="43" ht="14.25" customHeight="1">
      <c r="A43" s="9" t="s">
        <v>583</v>
      </c>
      <c r="B43" s="9" t="s">
        <v>584</v>
      </c>
      <c r="C43" s="345" t="s">
        <v>88</v>
      </c>
      <c r="D43" s="346" t="s">
        <v>283</v>
      </c>
      <c r="E43" s="347" t="s">
        <v>3858</v>
      </c>
      <c r="F43" s="346"/>
      <c r="G43" s="346"/>
      <c r="H43" s="346" t="s">
        <v>209</v>
      </c>
      <c r="I43" s="9" t="s">
        <v>578</v>
      </c>
      <c r="J43" s="9"/>
      <c r="K43" s="9"/>
      <c r="L43" s="9"/>
      <c r="M43" s="9"/>
      <c r="N43" s="9"/>
      <c r="O43" s="9"/>
      <c r="P43" s="259" t="s">
        <v>3857</v>
      </c>
      <c r="Q43" s="9"/>
      <c r="R43" s="259" t="s">
        <v>2394</v>
      </c>
      <c r="S43" s="9"/>
      <c r="T43" s="259" t="s">
        <v>961</v>
      </c>
      <c r="U43" s="9"/>
      <c r="V43" s="9"/>
      <c r="W43" s="9"/>
      <c r="X43" s="9"/>
      <c r="Y43" s="9"/>
      <c r="Z43" s="9"/>
      <c r="AA43" s="9"/>
      <c r="AB43" s="9"/>
      <c r="AC43" s="9"/>
      <c r="AD43" s="259" t="s">
        <v>1246</v>
      </c>
      <c r="AE43" s="9"/>
      <c r="AF43" s="9"/>
      <c r="AG43" s="9"/>
      <c r="AH43" s="9"/>
    </row>
    <row r="44" ht="14.25" customHeight="1">
      <c r="A44" s="37" t="s">
        <v>585</v>
      </c>
      <c r="B44" s="37" t="s">
        <v>586</v>
      </c>
      <c r="C44" s="38" t="s">
        <v>88</v>
      </c>
      <c r="D44" s="68" t="s">
        <v>587</v>
      </c>
      <c r="E44" s="77" t="s">
        <v>2197</v>
      </c>
      <c r="F44" s="68"/>
      <c r="G44" s="68" t="s">
        <v>137</v>
      </c>
      <c r="H44" s="68" t="s">
        <v>588</v>
      </c>
      <c r="I44" s="26" t="s">
        <v>3859</v>
      </c>
      <c r="J44" s="26" t="s">
        <v>3860</v>
      </c>
      <c r="K44" s="26" t="s">
        <v>3861</v>
      </c>
      <c r="L44" s="26" t="s">
        <v>3862</v>
      </c>
      <c r="M44" s="26" t="s">
        <v>3863</v>
      </c>
      <c r="N44" s="26" t="s">
        <v>3864</v>
      </c>
      <c r="O44" s="26" t="s">
        <v>3865</v>
      </c>
      <c r="P44" s="26" t="s">
        <v>930</v>
      </c>
      <c r="T44" s="26" t="s">
        <v>961</v>
      </c>
      <c r="V44" s="26" t="s">
        <v>3866</v>
      </c>
      <c r="W44" s="26" t="s">
        <v>3867</v>
      </c>
      <c r="X44" s="26" t="s">
        <v>3501</v>
      </c>
      <c r="Y44" s="26" t="s">
        <v>3868</v>
      </c>
      <c r="AB44" s="26" t="s">
        <v>2200</v>
      </c>
      <c r="AC44" s="26" t="s">
        <v>3559</v>
      </c>
      <c r="AD44" s="26" t="s">
        <v>1062</v>
      </c>
      <c r="AE44" s="26" t="s">
        <v>3869</v>
      </c>
      <c r="AF44" s="26" t="s">
        <v>3870</v>
      </c>
    </row>
    <row r="45" ht="14.25" customHeight="1">
      <c r="A45" s="14" t="s">
        <v>589</v>
      </c>
      <c r="B45" s="14" t="s">
        <v>590</v>
      </c>
      <c r="C45" s="342" t="s">
        <v>88</v>
      </c>
      <c r="D45" s="317" t="s">
        <v>283</v>
      </c>
      <c r="E45" s="348" t="s">
        <v>3871</v>
      </c>
      <c r="F45" s="344">
        <v>19.0</v>
      </c>
      <c r="G45" s="317" t="s">
        <v>591</v>
      </c>
      <c r="H45" s="317" t="s">
        <v>217</v>
      </c>
      <c r="I45" s="14" t="s">
        <v>578</v>
      </c>
      <c r="J45" s="14"/>
      <c r="K45" s="14"/>
      <c r="L45" s="14"/>
      <c r="M45" s="14"/>
      <c r="N45" s="14"/>
      <c r="O45" s="14"/>
      <c r="P45" s="316" t="s">
        <v>961</v>
      </c>
      <c r="Q45" s="14"/>
      <c r="R45" s="316" t="s">
        <v>2394</v>
      </c>
      <c r="S45" s="316" t="s">
        <v>2424</v>
      </c>
      <c r="T45" s="316" t="s">
        <v>961</v>
      </c>
      <c r="U45" s="14"/>
      <c r="V45" s="14"/>
      <c r="W45" s="14"/>
      <c r="X45" s="14"/>
      <c r="Y45" s="14"/>
      <c r="Z45" s="14"/>
      <c r="AA45" s="14"/>
      <c r="AB45" s="14"/>
      <c r="AC45" s="14"/>
      <c r="AD45" s="316" t="s">
        <v>3872</v>
      </c>
      <c r="AE45" s="316" t="s">
        <v>3873</v>
      </c>
      <c r="AF45" s="14"/>
      <c r="AG45" s="14"/>
      <c r="AH45" s="14"/>
    </row>
    <row r="46" ht="14.25" customHeight="1">
      <c r="A46" s="256" t="s">
        <v>592</v>
      </c>
      <c r="B46" s="256" t="s">
        <v>593</v>
      </c>
      <c r="C46" s="349" t="s">
        <v>88</v>
      </c>
      <c r="D46" s="303" t="s">
        <v>594</v>
      </c>
      <c r="E46" s="350" t="s">
        <v>3874</v>
      </c>
      <c r="F46" s="303"/>
      <c r="G46" s="303"/>
      <c r="H46" s="303" t="s">
        <v>209</v>
      </c>
      <c r="I46" s="256" t="s">
        <v>578</v>
      </c>
      <c r="J46" s="256"/>
      <c r="K46" s="256"/>
      <c r="L46" s="256"/>
      <c r="M46" s="256"/>
      <c r="N46" s="256"/>
      <c r="O46" s="256"/>
      <c r="P46" s="257" t="s">
        <v>961</v>
      </c>
      <c r="Q46" s="256"/>
      <c r="R46" s="257" t="s">
        <v>2388</v>
      </c>
      <c r="S46" s="257" t="s">
        <v>2464</v>
      </c>
      <c r="T46" s="257" t="s">
        <v>961</v>
      </c>
      <c r="U46" s="256"/>
      <c r="V46" s="256"/>
      <c r="W46" s="256"/>
      <c r="X46" s="256"/>
      <c r="Y46" s="256"/>
      <c r="Z46" s="256"/>
      <c r="AA46" s="256"/>
      <c r="AB46" s="256"/>
      <c r="AC46" s="256"/>
      <c r="AD46" s="257" t="s">
        <v>2065</v>
      </c>
      <c r="AE46" s="256"/>
      <c r="AF46" s="256"/>
      <c r="AG46" s="256"/>
      <c r="AH46" s="256"/>
    </row>
    <row r="47" ht="14.25" customHeight="1">
      <c r="A47" s="14" t="s">
        <v>595</v>
      </c>
      <c r="B47" s="14" t="s">
        <v>596</v>
      </c>
      <c r="C47" s="342" t="s">
        <v>88</v>
      </c>
      <c r="D47" s="317" t="s">
        <v>409</v>
      </c>
      <c r="E47" s="317"/>
      <c r="F47" s="317"/>
      <c r="G47" s="317" t="s">
        <v>101</v>
      </c>
      <c r="H47" s="317" t="s">
        <v>102</v>
      </c>
      <c r="I47" s="14" t="s">
        <v>578</v>
      </c>
      <c r="J47" s="14"/>
      <c r="K47" s="14"/>
      <c r="L47" s="14"/>
      <c r="M47" s="14"/>
      <c r="N47" s="14"/>
      <c r="O47" s="14"/>
      <c r="P47" s="316" t="s">
        <v>961</v>
      </c>
      <c r="Q47" s="14"/>
      <c r="R47" s="316" t="s">
        <v>2394</v>
      </c>
      <c r="S47" s="316" t="s">
        <v>2424</v>
      </c>
      <c r="T47" s="316" t="s">
        <v>961</v>
      </c>
      <c r="U47" s="14"/>
      <c r="V47" s="14"/>
      <c r="W47" s="14"/>
      <c r="X47" s="14"/>
      <c r="Y47" s="14"/>
      <c r="Z47" s="14"/>
      <c r="AA47" s="14"/>
      <c r="AB47" s="14"/>
      <c r="AC47" s="14"/>
      <c r="AD47" s="316" t="s">
        <v>1022</v>
      </c>
      <c r="AE47" s="14"/>
      <c r="AF47" s="14"/>
      <c r="AG47" s="14"/>
      <c r="AH47" s="14"/>
    </row>
    <row r="48" ht="14.25" customHeight="1">
      <c r="A48" s="256" t="s">
        <v>597</v>
      </c>
      <c r="B48" s="256" t="s">
        <v>598</v>
      </c>
      <c r="C48" s="349" t="s">
        <v>88</v>
      </c>
      <c r="D48" s="303" t="s">
        <v>599</v>
      </c>
      <c r="E48" s="303"/>
      <c r="F48" s="303"/>
      <c r="G48" s="303"/>
      <c r="H48" s="303" t="s">
        <v>600</v>
      </c>
      <c r="I48" s="256" t="s">
        <v>578</v>
      </c>
      <c r="J48" s="256"/>
      <c r="K48" s="256"/>
      <c r="L48" s="256"/>
      <c r="M48" s="256"/>
      <c r="N48" s="256"/>
      <c r="O48" s="256"/>
      <c r="P48" s="257" t="s">
        <v>961</v>
      </c>
      <c r="Q48" s="256"/>
      <c r="R48" s="257" t="s">
        <v>2388</v>
      </c>
      <c r="S48" s="257" t="s">
        <v>2558</v>
      </c>
      <c r="T48" s="257" t="s">
        <v>961</v>
      </c>
      <c r="U48" s="256"/>
      <c r="V48" s="256"/>
      <c r="W48" s="256"/>
      <c r="X48" s="256"/>
      <c r="Y48" s="256"/>
      <c r="Z48" s="256"/>
      <c r="AA48" s="256"/>
      <c r="AB48" s="256"/>
      <c r="AC48" s="256"/>
      <c r="AD48" s="257" t="s">
        <v>1022</v>
      </c>
      <c r="AE48" s="256"/>
      <c r="AF48" s="256"/>
      <c r="AG48" s="256"/>
      <c r="AH48" s="256"/>
    </row>
    <row r="49" ht="14.25" customHeight="1">
      <c r="A49" s="266" t="s">
        <v>601</v>
      </c>
      <c r="B49" s="266" t="s">
        <v>602</v>
      </c>
      <c r="C49" s="351" t="s">
        <v>88</v>
      </c>
      <c r="D49" s="308" t="s">
        <v>197</v>
      </c>
      <c r="E49" s="308"/>
      <c r="F49" s="308"/>
      <c r="G49" s="308"/>
      <c r="H49" s="308" t="s">
        <v>603</v>
      </c>
      <c r="I49" s="266" t="s">
        <v>578</v>
      </c>
      <c r="J49" s="276"/>
      <c r="K49" s="276"/>
      <c r="L49" s="276"/>
      <c r="M49" s="276"/>
      <c r="N49" s="276"/>
      <c r="O49" s="276"/>
      <c r="P49" s="274" t="s">
        <v>961</v>
      </c>
      <c r="Q49" s="276"/>
      <c r="R49" s="267" t="s">
        <v>2388</v>
      </c>
      <c r="S49" s="274" t="s">
        <v>3875</v>
      </c>
      <c r="T49" s="274" t="s">
        <v>961</v>
      </c>
      <c r="U49" s="274"/>
      <c r="V49" s="274"/>
      <c r="W49" s="274"/>
      <c r="X49" s="274"/>
      <c r="Y49" s="274"/>
      <c r="Z49" s="274"/>
      <c r="AA49" s="274"/>
      <c r="AB49" s="274"/>
      <c r="AC49" s="274"/>
      <c r="AD49" s="267" t="s">
        <v>1022</v>
      </c>
      <c r="AE49" s="266"/>
      <c r="AF49" s="266"/>
      <c r="AG49" s="266"/>
      <c r="AH49" s="266"/>
    </row>
    <row r="50" ht="14.25" customHeight="1">
      <c r="A50" s="14" t="s">
        <v>604</v>
      </c>
      <c r="B50" s="14" t="s">
        <v>605</v>
      </c>
      <c r="C50" s="342" t="s">
        <v>88</v>
      </c>
      <c r="D50" s="317" t="s">
        <v>501</v>
      </c>
      <c r="E50" s="317"/>
      <c r="F50" s="317"/>
      <c r="G50" s="317" t="s">
        <v>346</v>
      </c>
      <c r="H50" s="317" t="s">
        <v>138</v>
      </c>
      <c r="I50" s="14" t="s">
        <v>578</v>
      </c>
      <c r="J50" s="313"/>
      <c r="K50" s="313"/>
      <c r="L50" s="313"/>
      <c r="M50" s="313"/>
      <c r="N50" s="313"/>
      <c r="O50" s="313"/>
      <c r="P50" s="25" t="s">
        <v>961</v>
      </c>
      <c r="Q50" s="313"/>
      <c r="R50" s="316" t="s">
        <v>2394</v>
      </c>
      <c r="S50" s="25" t="s">
        <v>2424</v>
      </c>
      <c r="T50" s="25" t="s">
        <v>961</v>
      </c>
      <c r="U50" s="25"/>
      <c r="V50" s="25"/>
      <c r="W50" s="25"/>
      <c r="X50" s="25"/>
      <c r="Y50" s="25"/>
      <c r="Z50" s="25"/>
      <c r="AA50" s="25"/>
      <c r="AB50" s="25"/>
      <c r="AC50" s="25"/>
      <c r="AD50" s="316" t="s">
        <v>1431</v>
      </c>
      <c r="AE50" s="14"/>
      <c r="AF50" s="14"/>
      <c r="AG50" s="14"/>
      <c r="AH50" s="14"/>
    </row>
    <row r="51" ht="14.25" customHeight="1">
      <c r="A51" s="26" t="s">
        <v>2165</v>
      </c>
      <c r="B51" s="39" t="s">
        <v>2166</v>
      </c>
      <c r="C51" s="39"/>
      <c r="D51" s="39"/>
      <c r="E51" s="184"/>
      <c r="F51" s="184"/>
      <c r="G51" s="184"/>
      <c r="H51" s="184"/>
      <c r="I51" s="39" t="s">
        <v>559</v>
      </c>
      <c r="J51" s="41"/>
      <c r="K51" s="41"/>
      <c r="L51" s="41"/>
      <c r="M51" s="41"/>
      <c r="N51" s="41"/>
      <c r="O51" s="41"/>
      <c r="P51" s="39" t="s">
        <v>930</v>
      </c>
      <c r="Q51" s="41"/>
      <c r="R51" s="41"/>
      <c r="S51" s="39"/>
      <c r="T51" s="39" t="s">
        <v>930</v>
      </c>
      <c r="U51" s="39"/>
      <c r="V51" s="39"/>
      <c r="W51" s="39"/>
      <c r="X51" s="39"/>
      <c r="Y51" s="39"/>
      <c r="Z51" s="39"/>
      <c r="AA51" s="39"/>
      <c r="AB51" s="39"/>
      <c r="AC51" s="39"/>
    </row>
    <row r="52" ht="14.25" customHeight="1">
      <c r="A52" s="26" t="s">
        <v>2178</v>
      </c>
      <c r="B52" s="39" t="s">
        <v>2179</v>
      </c>
      <c r="C52" s="39"/>
      <c r="D52" s="39"/>
      <c r="E52" s="184"/>
      <c r="F52" s="184"/>
      <c r="G52" s="184"/>
      <c r="H52" s="184"/>
      <c r="I52" s="39" t="s">
        <v>49</v>
      </c>
      <c r="J52" s="41"/>
      <c r="K52" s="41"/>
      <c r="L52" s="41"/>
      <c r="M52" s="41"/>
      <c r="N52" s="41"/>
      <c r="O52" s="41"/>
      <c r="P52" s="39" t="s">
        <v>930</v>
      </c>
      <c r="Q52" s="41"/>
      <c r="R52" s="41"/>
      <c r="S52" s="39"/>
      <c r="T52" s="39" t="s">
        <v>930</v>
      </c>
      <c r="U52" s="39"/>
      <c r="V52" s="39"/>
      <c r="W52" s="39"/>
      <c r="X52" s="39"/>
      <c r="Y52" s="39"/>
      <c r="Z52" s="39"/>
      <c r="AA52" s="39"/>
      <c r="AB52" s="39"/>
      <c r="AC52" s="39"/>
    </row>
    <row r="53" ht="14.25" customHeight="1">
      <c r="A53" s="39"/>
      <c r="B53" s="39"/>
      <c r="D53" s="352"/>
      <c r="E53" s="184"/>
      <c r="F53" s="184"/>
      <c r="G53" s="184"/>
      <c r="H53" s="184"/>
      <c r="I53" s="184"/>
      <c r="J53" s="184"/>
      <c r="K53" s="184"/>
      <c r="L53" s="184"/>
      <c r="M53" s="41"/>
      <c r="N53" s="41"/>
      <c r="O53" s="41"/>
      <c r="P53" s="41"/>
      <c r="Q53" s="41"/>
      <c r="R53" s="41"/>
      <c r="S53" s="39"/>
      <c r="T53" s="39"/>
      <c r="U53" s="39"/>
      <c r="V53" s="39"/>
      <c r="W53" s="39"/>
      <c r="X53" s="39"/>
      <c r="Y53" s="39"/>
      <c r="Z53" s="39"/>
      <c r="AA53" s="39"/>
      <c r="AB53" s="39"/>
      <c r="AC53" s="39"/>
    </row>
    <row r="54" ht="14.25" customHeight="1">
      <c r="A54" s="41"/>
      <c r="B54" s="41"/>
      <c r="C54" s="41"/>
      <c r="D54" s="41"/>
      <c r="E54" s="41"/>
      <c r="F54" s="41"/>
      <c r="G54" s="41"/>
      <c r="H54" s="41"/>
      <c r="I54" s="41"/>
      <c r="J54" s="41"/>
      <c r="K54" s="41"/>
      <c r="L54" s="41"/>
      <c r="M54" s="41"/>
      <c r="N54" s="41"/>
      <c r="O54" s="41"/>
      <c r="P54" s="41"/>
      <c r="Q54" s="41"/>
      <c r="R54" s="41"/>
      <c r="S54" s="39"/>
      <c r="AC54" s="41"/>
    </row>
    <row r="55" ht="14.25" customHeight="1">
      <c r="A55" s="39"/>
      <c r="B55" s="39"/>
      <c r="C55" s="39"/>
      <c r="D55" s="39"/>
      <c r="E55" s="39"/>
      <c r="F55" s="39"/>
      <c r="G55" s="39"/>
      <c r="H55" s="39"/>
      <c r="I55" s="39"/>
      <c r="J55" s="39"/>
      <c r="K55" s="39"/>
      <c r="L55" s="41"/>
      <c r="M55" s="41"/>
      <c r="N55" s="41"/>
      <c r="O55" s="41"/>
      <c r="P55" s="41"/>
      <c r="Q55" s="41"/>
      <c r="R55" s="41"/>
      <c r="S55" s="39"/>
      <c r="AC55" s="41"/>
    </row>
    <row r="56" ht="14.25" customHeight="1">
      <c r="A56" s="39"/>
      <c r="B56" s="39"/>
      <c r="C56" s="39"/>
      <c r="D56" s="39"/>
      <c r="E56" s="39"/>
      <c r="F56" s="39"/>
      <c r="G56" s="39"/>
      <c r="H56" s="39"/>
      <c r="I56" s="39"/>
      <c r="J56" s="39"/>
      <c r="K56" s="39"/>
      <c r="L56" s="39"/>
      <c r="M56" s="39"/>
      <c r="N56" s="41"/>
      <c r="O56" s="41"/>
      <c r="P56" s="41"/>
      <c r="Q56" s="41"/>
      <c r="R56" s="41"/>
      <c r="S56" s="41"/>
      <c r="T56" s="41"/>
      <c r="U56" s="41"/>
      <c r="V56" s="41"/>
      <c r="W56" s="41"/>
      <c r="X56" s="41"/>
      <c r="Y56" s="41"/>
      <c r="Z56" s="41"/>
      <c r="AA56" s="41"/>
      <c r="AB56" s="41"/>
      <c r="AC56" s="41"/>
    </row>
    <row r="57" ht="14.25" customHeight="1">
      <c r="S57" s="39"/>
      <c r="U57" s="41"/>
      <c r="V57" s="41"/>
      <c r="W57" s="41"/>
      <c r="X57" s="41"/>
      <c r="Y57" s="41"/>
      <c r="Z57" s="41"/>
      <c r="AA57" s="41"/>
      <c r="AB57" s="41"/>
      <c r="AC57" s="41"/>
    </row>
    <row r="58" ht="14.25" customHeight="1">
      <c r="S58" s="39" t="s">
        <v>3876</v>
      </c>
      <c r="U58" s="41"/>
      <c r="V58" s="41"/>
      <c r="W58" s="41"/>
      <c r="X58" s="41"/>
      <c r="Y58" s="41"/>
      <c r="Z58" s="41"/>
      <c r="AA58" s="41"/>
      <c r="AB58" s="41"/>
      <c r="AC58" s="41"/>
    </row>
    <row r="59" ht="14.25" customHeight="1"/>
    <row r="60" ht="14.25" customHeight="1">
      <c r="A60" s="39" t="s">
        <v>933</v>
      </c>
      <c r="B60" s="39" t="s">
        <v>3877</v>
      </c>
      <c r="E60" s="135" t="s">
        <v>3878</v>
      </c>
      <c r="I60" s="41"/>
      <c r="J60" s="41"/>
      <c r="K60" s="41"/>
      <c r="L60" s="41"/>
      <c r="M60" s="41"/>
      <c r="N60" s="41"/>
      <c r="O60" s="41"/>
      <c r="P60" s="41"/>
      <c r="Q60" s="41"/>
      <c r="R60" s="41"/>
      <c r="S60" s="39" t="s">
        <v>3879</v>
      </c>
      <c r="AD60" s="26" t="s">
        <v>3880</v>
      </c>
    </row>
    <row r="61" ht="14.25" customHeight="1">
      <c r="A61" s="39" t="s">
        <v>935</v>
      </c>
      <c r="B61" s="39" t="s">
        <v>3881</v>
      </c>
      <c r="E61" s="135" t="s">
        <v>3882</v>
      </c>
      <c r="I61" s="41"/>
      <c r="J61" s="41"/>
      <c r="K61" s="41"/>
      <c r="L61" s="41"/>
      <c r="M61" s="41"/>
      <c r="N61" s="41"/>
      <c r="O61" s="41"/>
      <c r="P61" s="41"/>
      <c r="Q61" s="41"/>
      <c r="R61" s="41"/>
      <c r="S61" s="39" t="s">
        <v>3879</v>
      </c>
      <c r="AD61" s="26" t="s">
        <v>3883</v>
      </c>
    </row>
    <row r="62" ht="14.25" customHeight="1">
      <c r="A62" s="39" t="s">
        <v>937</v>
      </c>
      <c r="B62" s="39" t="s">
        <v>3884</v>
      </c>
      <c r="D62" s="353" t="s">
        <v>3885</v>
      </c>
      <c r="E62" s="135" t="s">
        <v>3886</v>
      </c>
      <c r="M62" s="41"/>
      <c r="N62" s="41"/>
      <c r="O62" s="41"/>
      <c r="P62" s="41"/>
      <c r="Q62" s="41"/>
      <c r="R62" s="41"/>
      <c r="S62" s="39" t="s">
        <v>3879</v>
      </c>
      <c r="AD62" s="26" t="s">
        <v>3880</v>
      </c>
    </row>
    <row r="63" ht="14.25" customHeight="1">
      <c r="A63" s="41"/>
      <c r="B63" s="41"/>
      <c r="C63" s="41"/>
      <c r="D63" s="41"/>
      <c r="E63" s="41"/>
      <c r="F63" s="41"/>
      <c r="G63" s="41"/>
      <c r="H63" s="41"/>
      <c r="I63" s="41"/>
      <c r="J63" s="41"/>
      <c r="K63" s="41"/>
      <c r="L63" s="41"/>
      <c r="M63" s="41"/>
      <c r="N63" s="41"/>
      <c r="O63" s="41"/>
      <c r="P63" s="41"/>
      <c r="Q63" s="41"/>
      <c r="R63" s="41"/>
      <c r="S63" s="39" t="s">
        <v>3887</v>
      </c>
      <c r="AC63" s="41"/>
      <c r="AD63" s="26" t="s">
        <v>3880</v>
      </c>
    </row>
    <row r="64" ht="14.25" customHeight="1">
      <c r="A64" s="39" t="s">
        <v>3888</v>
      </c>
      <c r="B64" s="39" t="s">
        <v>3889</v>
      </c>
      <c r="L64" s="41"/>
      <c r="M64" s="41"/>
      <c r="N64" s="41"/>
      <c r="O64" s="41"/>
      <c r="P64" s="41"/>
      <c r="Q64" s="41"/>
      <c r="R64" s="41"/>
      <c r="S64" s="39" t="s">
        <v>3887</v>
      </c>
      <c r="AC64" s="41"/>
      <c r="AD64" s="26" t="s">
        <v>3880</v>
      </c>
    </row>
    <row r="65" ht="14.25" customHeight="1">
      <c r="A65" s="39" t="s">
        <v>3890</v>
      </c>
      <c r="B65" s="39" t="s">
        <v>3891</v>
      </c>
      <c r="N65" s="41"/>
      <c r="O65" s="41"/>
      <c r="P65" s="41"/>
      <c r="Q65" s="41"/>
      <c r="R65" s="41"/>
      <c r="S65" s="41"/>
      <c r="T65" s="41"/>
      <c r="U65" s="41"/>
      <c r="V65" s="41"/>
      <c r="W65" s="41"/>
      <c r="X65" s="41"/>
      <c r="Y65" s="41"/>
      <c r="Z65" s="41"/>
      <c r="AA65" s="41"/>
      <c r="AB65" s="41"/>
      <c r="AC65" s="41"/>
    </row>
    <row r="66" ht="14.25" customHeight="1">
      <c r="S66" s="39" t="s">
        <v>3876</v>
      </c>
      <c r="U66" s="41"/>
      <c r="V66" s="41"/>
      <c r="W66" s="41"/>
      <c r="X66" s="41"/>
      <c r="Y66" s="41"/>
      <c r="Z66" s="41"/>
      <c r="AA66" s="41"/>
      <c r="AB66" s="41"/>
      <c r="AC66" s="41"/>
    </row>
    <row r="67" ht="14.25" customHeight="1">
      <c r="S67" s="39" t="s">
        <v>3876</v>
      </c>
      <c r="U67" s="41"/>
      <c r="V67" s="41"/>
      <c r="W67" s="41"/>
      <c r="X67" s="41"/>
      <c r="Y67" s="41"/>
      <c r="Z67" s="41"/>
      <c r="AA67" s="41"/>
      <c r="AB67" s="41"/>
      <c r="AC67" s="41"/>
    </row>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60">
    <mergeCell ref="Y39:AA39"/>
    <mergeCell ref="AB39:AC39"/>
    <mergeCell ref="S58:T58"/>
    <mergeCell ref="S66:T66"/>
    <mergeCell ref="S67:T67"/>
    <mergeCell ref="E60:H60"/>
    <mergeCell ref="E61:H61"/>
    <mergeCell ref="B53:C53"/>
    <mergeCell ref="B61:D61"/>
    <mergeCell ref="B62:C62"/>
    <mergeCell ref="E62:L62"/>
    <mergeCell ref="B64:K64"/>
    <mergeCell ref="B65:M65"/>
    <mergeCell ref="B60:D60"/>
    <mergeCell ref="S60:AC60"/>
    <mergeCell ref="S61:AC61"/>
    <mergeCell ref="S62:AC62"/>
    <mergeCell ref="S55:AB55"/>
    <mergeCell ref="S57:T57"/>
    <mergeCell ref="S64:AB64"/>
    <mergeCell ref="S63:AB63"/>
    <mergeCell ref="Y4:Z4"/>
    <mergeCell ref="W14:X14"/>
    <mergeCell ref="Q16:R16"/>
    <mergeCell ref="AE16:AF16"/>
    <mergeCell ref="J17:L17"/>
    <mergeCell ref="Y19:AA19"/>
    <mergeCell ref="Y20:AA20"/>
    <mergeCell ref="AE19:AF19"/>
    <mergeCell ref="AE20:AF20"/>
    <mergeCell ref="Y21:AC21"/>
    <mergeCell ref="AE21:AF21"/>
    <mergeCell ref="AE24:AF24"/>
    <mergeCell ref="AE26:AG26"/>
    <mergeCell ref="AF27:AG27"/>
    <mergeCell ref="Y24:AA24"/>
    <mergeCell ref="Y28:AA28"/>
    <mergeCell ref="Y29:AA29"/>
    <mergeCell ref="W30:X30"/>
    <mergeCell ref="Y30:AA30"/>
    <mergeCell ref="Y31:AA31"/>
    <mergeCell ref="V32:W32"/>
    <mergeCell ref="AF35:AG35"/>
    <mergeCell ref="AF36:AG36"/>
    <mergeCell ref="AE37:AG37"/>
    <mergeCell ref="AE28:AF28"/>
    <mergeCell ref="AE29:AF29"/>
    <mergeCell ref="AE30:AF30"/>
    <mergeCell ref="AF31:AG31"/>
    <mergeCell ref="AF32:AG32"/>
    <mergeCell ref="AF33:AG33"/>
    <mergeCell ref="AF34:AG34"/>
    <mergeCell ref="Y32:AA32"/>
    <mergeCell ref="Z33:AB33"/>
    <mergeCell ref="W34:X34"/>
    <mergeCell ref="M35:O35"/>
    <mergeCell ref="X35:AA35"/>
    <mergeCell ref="V36:Y36"/>
    <mergeCell ref="V37:X37"/>
    <mergeCell ref="S54:AB54"/>
  </mergeCells>
  <dataValidations>
    <dataValidation type="list" allowBlank="1" showErrorMessage="1" sqref="R2:R15 R17 R19:R24 R42:R43 R45:R50">
      <formula1>'Exclussion basis'!$A$2:$A$4</formula1>
    </dataValidation>
  </dataValidations>
  <hyperlinks>
    <hyperlink r:id="rId1" ref="E2"/>
    <hyperlink r:id="rId2" ref="E3"/>
    <hyperlink r:id="rId3" ref="E4"/>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4"/>
    <hyperlink r:id="rId21" ref="E25"/>
    <hyperlink r:id="rId22" ref="E26"/>
    <hyperlink r:id="rId23" ref="E27"/>
    <hyperlink r:id="rId24" ref="E28"/>
    <hyperlink r:id="rId25" ref="E29"/>
    <hyperlink r:id="rId26" ref="E30"/>
    <hyperlink r:id="rId27" ref="E31"/>
    <hyperlink r:id="rId28" ref="E32"/>
    <hyperlink r:id="rId29" ref="E33"/>
    <hyperlink r:id="rId30" ref="E34"/>
    <hyperlink r:id="rId31" ref="E35"/>
    <hyperlink r:id="rId32" ref="E36"/>
    <hyperlink r:id="rId33" ref="E37"/>
    <hyperlink r:id="rId34" ref="E38"/>
    <hyperlink r:id="rId35" ref="E39"/>
    <hyperlink r:id="rId36" ref="E41"/>
    <hyperlink r:id="rId37" ref="E42"/>
    <hyperlink r:id="rId38" ref="E43"/>
    <hyperlink r:id="rId39" ref="E44"/>
    <hyperlink r:id="rId40" ref="E45"/>
    <hyperlink r:id="rId41" ref="E46"/>
    <hyperlink r:id="rId42" ref="E60"/>
    <hyperlink r:id="rId43" ref="E61"/>
    <hyperlink r:id="rId44" ref="D62"/>
    <hyperlink r:id="rId45" ref="E62"/>
  </hyperlinks>
  <printOptions/>
  <pageMargins bottom="0.75" footer="0.0" header="0.0" left="0.7" right="0.7" top="0.75"/>
  <pageSetup orientation="landscape"/>
  <drawing r:id="rId4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2.44"/>
    <col customWidth="1" min="3" max="5" width="13.0"/>
    <col customWidth="1" min="6" max="6" width="9.0"/>
    <col customWidth="1" min="7" max="7" width="7.22"/>
    <col customWidth="1" min="8" max="8" width="10.22"/>
    <col customWidth="1" min="9" max="9" width="13.78"/>
    <col customWidth="1" min="10" max="10" width="8.44"/>
    <col customWidth="1" min="11" max="11" width="10.89"/>
    <col customWidth="1" min="12" max="14" width="13.11"/>
    <col customWidth="1" min="15" max="15" width="12.67"/>
    <col customWidth="1" min="16" max="16" width="14.0"/>
    <col customWidth="1" min="17" max="18" width="10.11"/>
    <col customWidth="1" min="19" max="19" width="6.44"/>
    <col customWidth="1" min="20" max="20" width="6.78"/>
    <col customWidth="1" min="21" max="21" width="7.44"/>
    <col customWidth="1" min="22" max="22" width="8.11"/>
    <col customWidth="1" min="23" max="23" width="9.89"/>
    <col customWidth="1" min="24" max="25" width="10.22"/>
    <col customWidth="1" min="26" max="27" width="6.78"/>
    <col customWidth="1" min="28" max="28" width="7.78"/>
    <col customWidth="1" min="29" max="33" width="6.78"/>
  </cols>
  <sheetData>
    <row r="1" ht="14.25" customHeight="1">
      <c r="A1" s="54" t="s">
        <v>57</v>
      </c>
      <c r="B1" s="54" t="s">
        <v>58</v>
      </c>
      <c r="C1" s="53" t="s">
        <v>942</v>
      </c>
      <c r="D1" s="53" t="s">
        <v>3252</v>
      </c>
      <c r="E1" s="54" t="s">
        <v>59</v>
      </c>
      <c r="F1" s="54" t="s">
        <v>60</v>
      </c>
      <c r="G1" s="249" t="s">
        <v>61</v>
      </c>
      <c r="H1" s="249" t="s">
        <v>62</v>
      </c>
      <c r="I1" s="249" t="s">
        <v>2614</v>
      </c>
      <c r="J1" s="250" t="s">
        <v>2615</v>
      </c>
      <c r="K1" s="250" t="s">
        <v>2616</v>
      </c>
      <c r="L1" s="251" t="s">
        <v>3892</v>
      </c>
      <c r="M1" s="249" t="s">
        <v>3893</v>
      </c>
      <c r="N1" s="250" t="s">
        <v>2619</v>
      </c>
      <c r="O1" s="249" t="s">
        <v>2620</v>
      </c>
      <c r="P1" s="249" t="s">
        <v>2621</v>
      </c>
      <c r="Q1" s="249" t="s">
        <v>2622</v>
      </c>
      <c r="R1" s="249" t="s">
        <v>2623</v>
      </c>
      <c r="S1" s="54" t="s">
        <v>2624</v>
      </c>
      <c r="T1" s="56" t="s">
        <v>943</v>
      </c>
      <c r="U1" s="252" t="s">
        <v>2626</v>
      </c>
      <c r="V1" s="252" t="s">
        <v>61</v>
      </c>
      <c r="W1" s="252" t="s">
        <v>62</v>
      </c>
      <c r="X1" s="252" t="s">
        <v>3253</v>
      </c>
      <c r="Y1" s="252" t="s">
        <v>3487</v>
      </c>
      <c r="Z1" s="252" t="s">
        <v>949</v>
      </c>
      <c r="AA1" s="252" t="s">
        <v>3894</v>
      </c>
      <c r="AB1" s="252" t="s">
        <v>3895</v>
      </c>
      <c r="AC1" s="252" t="s">
        <v>951</v>
      </c>
    </row>
    <row r="2" ht="14.25" customHeight="1">
      <c r="A2" s="37" t="s">
        <v>86</v>
      </c>
      <c r="B2" s="37" t="s">
        <v>87</v>
      </c>
      <c r="C2" s="105" t="s">
        <v>1685</v>
      </c>
      <c r="D2" s="26">
        <v>11.0</v>
      </c>
      <c r="E2" s="37" t="s">
        <v>88</v>
      </c>
      <c r="F2" s="37" t="s">
        <v>89</v>
      </c>
      <c r="G2" s="37" t="s">
        <v>90</v>
      </c>
      <c r="H2" s="37" t="s">
        <v>91</v>
      </c>
      <c r="I2" s="37" t="s">
        <v>45</v>
      </c>
      <c r="J2" s="26" t="s">
        <v>3896</v>
      </c>
      <c r="K2" s="26" t="s">
        <v>3897</v>
      </c>
      <c r="L2" s="26" t="s">
        <v>3898</v>
      </c>
      <c r="M2" s="26" t="s">
        <v>3899</v>
      </c>
      <c r="N2" s="26" t="s">
        <v>995</v>
      </c>
      <c r="O2" s="26" t="s">
        <v>620</v>
      </c>
      <c r="P2" s="26" t="s">
        <v>930</v>
      </c>
      <c r="R2" s="37" t="s">
        <v>2636</v>
      </c>
      <c r="T2" s="26" t="s">
        <v>961</v>
      </c>
    </row>
    <row r="3" ht="14.25" customHeight="1">
      <c r="A3" s="37" t="s">
        <v>94</v>
      </c>
      <c r="B3" s="37" t="s">
        <v>95</v>
      </c>
      <c r="C3" s="118" t="s">
        <v>1692</v>
      </c>
      <c r="D3" s="26">
        <v>29.0</v>
      </c>
      <c r="E3" s="37" t="s">
        <v>88</v>
      </c>
      <c r="F3" s="37" t="s">
        <v>96</v>
      </c>
      <c r="H3" s="37" t="s">
        <v>97</v>
      </c>
      <c r="I3" s="37" t="s">
        <v>45</v>
      </c>
      <c r="J3" s="26" t="s">
        <v>3900</v>
      </c>
      <c r="K3" s="26" t="s">
        <v>3901</v>
      </c>
      <c r="L3" s="26" t="s">
        <v>3902</v>
      </c>
      <c r="M3" s="26" t="s">
        <v>3903</v>
      </c>
      <c r="N3" s="26" t="s">
        <v>1693</v>
      </c>
      <c r="O3" s="26" t="s">
        <v>3904</v>
      </c>
      <c r="P3" s="26" t="s">
        <v>930</v>
      </c>
      <c r="R3" s="37"/>
      <c r="T3" s="26" t="s">
        <v>961</v>
      </c>
    </row>
    <row r="4" ht="14.25" customHeight="1">
      <c r="A4" s="37" t="s">
        <v>98</v>
      </c>
      <c r="B4" s="37" t="s">
        <v>99</v>
      </c>
      <c r="C4" s="105" t="s">
        <v>1698</v>
      </c>
      <c r="D4" s="26">
        <v>7.0</v>
      </c>
      <c r="E4" s="37" t="s">
        <v>88</v>
      </c>
      <c r="F4" s="37" t="s">
        <v>100</v>
      </c>
      <c r="G4" s="37" t="s">
        <v>101</v>
      </c>
      <c r="H4" s="37" t="s">
        <v>102</v>
      </c>
      <c r="I4" s="37" t="s">
        <v>45</v>
      </c>
      <c r="J4" s="26" t="s">
        <v>3905</v>
      </c>
      <c r="K4" s="26" t="s">
        <v>3906</v>
      </c>
      <c r="L4" s="26" t="s">
        <v>3907</v>
      </c>
      <c r="M4" s="26" t="s">
        <v>3908</v>
      </c>
      <c r="N4" s="26" t="s">
        <v>995</v>
      </c>
      <c r="O4" s="26" t="s">
        <v>620</v>
      </c>
      <c r="P4" s="26" t="s">
        <v>930</v>
      </c>
      <c r="R4" s="37"/>
      <c r="S4" s="26" t="s">
        <v>3909</v>
      </c>
      <c r="T4" s="26" t="s">
        <v>961</v>
      </c>
      <c r="U4" s="26"/>
      <c r="V4" s="26"/>
      <c r="W4" s="26"/>
      <c r="X4" s="26" t="s">
        <v>3404</v>
      </c>
      <c r="Y4" s="26" t="s">
        <v>3910</v>
      </c>
    </row>
    <row r="5" ht="14.25" customHeight="1">
      <c r="A5" s="37" t="s">
        <v>103</v>
      </c>
      <c r="B5" s="37" t="s">
        <v>104</v>
      </c>
      <c r="C5" s="118" t="s">
        <v>1703</v>
      </c>
      <c r="D5" s="26">
        <v>18.0</v>
      </c>
      <c r="E5" s="37" t="s">
        <v>88</v>
      </c>
      <c r="F5" s="37" t="s">
        <v>105</v>
      </c>
      <c r="H5" s="37" t="s">
        <v>106</v>
      </c>
      <c r="I5" s="37" t="s">
        <v>45</v>
      </c>
      <c r="N5" s="26" t="s">
        <v>1704</v>
      </c>
      <c r="P5" s="26" t="s">
        <v>930</v>
      </c>
      <c r="R5" s="37"/>
      <c r="T5" s="26" t="s">
        <v>961</v>
      </c>
      <c r="U5" s="26" t="s">
        <v>3911</v>
      </c>
      <c r="Z5" s="26" t="s">
        <v>1706</v>
      </c>
    </row>
    <row r="6" ht="14.25" customHeight="1">
      <c r="A6" s="354" t="s">
        <v>107</v>
      </c>
      <c r="B6" s="354" t="s">
        <v>108</v>
      </c>
      <c r="C6" s="355" t="s">
        <v>3912</v>
      </c>
      <c r="D6" s="356">
        <v>7.0</v>
      </c>
      <c r="E6" s="354" t="s">
        <v>88</v>
      </c>
      <c r="F6" s="354" t="s">
        <v>109</v>
      </c>
      <c r="G6" s="354"/>
      <c r="H6" s="354" t="s">
        <v>110</v>
      </c>
      <c r="I6" s="354" t="s">
        <v>45</v>
      </c>
      <c r="J6" s="354"/>
      <c r="K6" s="354"/>
      <c r="L6" s="354"/>
      <c r="M6" s="354"/>
      <c r="N6" s="354"/>
      <c r="O6" s="354"/>
      <c r="P6" s="356" t="s">
        <v>961</v>
      </c>
      <c r="Q6" s="356" t="s">
        <v>3913</v>
      </c>
      <c r="R6" s="356" t="s">
        <v>2388</v>
      </c>
      <c r="S6" s="354"/>
      <c r="T6" s="356" t="s">
        <v>961</v>
      </c>
      <c r="U6" s="356" t="s">
        <v>3914</v>
      </c>
      <c r="V6" s="354"/>
      <c r="W6" s="354"/>
      <c r="X6" s="354"/>
      <c r="Y6" s="354"/>
      <c r="Z6" s="354"/>
      <c r="AA6" s="354"/>
      <c r="AB6" s="354"/>
      <c r="AC6" s="354"/>
      <c r="AD6" s="354"/>
      <c r="AE6" s="354"/>
      <c r="AF6" s="354"/>
      <c r="AG6" s="354"/>
    </row>
    <row r="7" ht="14.25" customHeight="1">
      <c r="A7" s="122" t="s">
        <v>111</v>
      </c>
      <c r="B7" s="122" t="s">
        <v>112</v>
      </c>
      <c r="C7" s="120" t="s">
        <v>1711</v>
      </c>
      <c r="D7" s="28">
        <v>11.0</v>
      </c>
      <c r="E7" s="122" t="s">
        <v>88</v>
      </c>
      <c r="F7" s="122" t="s">
        <v>113</v>
      </c>
      <c r="G7" s="122" t="s">
        <v>90</v>
      </c>
      <c r="H7" s="122" t="s">
        <v>114</v>
      </c>
      <c r="I7" s="122" t="s">
        <v>45</v>
      </c>
      <c r="J7" s="122"/>
      <c r="K7" s="28" t="s">
        <v>3915</v>
      </c>
      <c r="L7" s="28" t="s">
        <v>3916</v>
      </c>
      <c r="M7" s="122"/>
      <c r="N7" s="28" t="s">
        <v>995</v>
      </c>
      <c r="O7" s="28" t="s">
        <v>3917</v>
      </c>
      <c r="P7" s="28" t="s">
        <v>930</v>
      </c>
      <c r="Q7" s="122"/>
      <c r="R7" s="122"/>
      <c r="S7" s="122"/>
      <c r="T7" s="28" t="s">
        <v>961</v>
      </c>
      <c r="U7" s="28" t="s">
        <v>3918</v>
      </c>
      <c r="V7" s="122"/>
      <c r="W7" s="28" t="s">
        <v>3919</v>
      </c>
      <c r="X7" s="28" t="s">
        <v>3404</v>
      </c>
      <c r="Y7" s="122"/>
      <c r="Z7" s="28" t="s">
        <v>3920</v>
      </c>
      <c r="AA7" s="122"/>
      <c r="AB7" s="28" t="s">
        <v>3921</v>
      </c>
      <c r="AC7" s="122"/>
      <c r="AD7" s="122"/>
      <c r="AE7" s="122"/>
      <c r="AF7" s="122"/>
      <c r="AG7" s="122"/>
    </row>
    <row r="8" ht="14.25" customHeight="1">
      <c r="A8" s="37" t="s">
        <v>116</v>
      </c>
      <c r="B8" s="37" t="s">
        <v>117</v>
      </c>
      <c r="C8" s="118" t="s">
        <v>1714</v>
      </c>
      <c r="D8" s="26">
        <v>13.0</v>
      </c>
      <c r="E8" s="37" t="s">
        <v>88</v>
      </c>
      <c r="F8" s="37" t="s">
        <v>118</v>
      </c>
      <c r="H8" s="37" t="s">
        <v>119</v>
      </c>
      <c r="I8" s="37" t="s">
        <v>45</v>
      </c>
      <c r="K8" s="26" t="s">
        <v>3922</v>
      </c>
      <c r="L8" s="26" t="s">
        <v>3923</v>
      </c>
      <c r="M8" s="26" t="s">
        <v>3924</v>
      </c>
      <c r="N8" s="26" t="s">
        <v>1715</v>
      </c>
      <c r="P8" s="26" t="s">
        <v>930</v>
      </c>
      <c r="R8" s="37"/>
      <c r="T8" s="26" t="s">
        <v>961</v>
      </c>
      <c r="Y8" s="26" t="s">
        <v>3925</v>
      </c>
    </row>
    <row r="9" ht="14.25" customHeight="1">
      <c r="A9" s="37" t="s">
        <v>120</v>
      </c>
      <c r="B9" s="37" t="s">
        <v>121</v>
      </c>
      <c r="C9" s="118" t="s">
        <v>3926</v>
      </c>
      <c r="D9" s="26">
        <v>9.0</v>
      </c>
      <c r="E9" s="37" t="s">
        <v>88</v>
      </c>
      <c r="F9" s="37" t="s">
        <v>122</v>
      </c>
      <c r="G9" s="37"/>
      <c r="H9" s="37" t="s">
        <v>102</v>
      </c>
      <c r="I9" s="37" t="s">
        <v>45</v>
      </c>
      <c r="J9" s="37"/>
      <c r="K9" s="26" t="s">
        <v>3927</v>
      </c>
      <c r="L9" s="26" t="s">
        <v>2168</v>
      </c>
      <c r="M9" s="37"/>
      <c r="N9" s="26" t="s">
        <v>1721</v>
      </c>
      <c r="O9" s="37"/>
      <c r="P9" s="26" t="s">
        <v>961</v>
      </c>
      <c r="Q9" s="26" t="s">
        <v>3913</v>
      </c>
      <c r="R9" s="26" t="s">
        <v>2388</v>
      </c>
      <c r="S9" s="37"/>
      <c r="T9" s="26" t="s">
        <v>961</v>
      </c>
      <c r="U9" s="26" t="s">
        <v>3928</v>
      </c>
      <c r="V9" s="37"/>
      <c r="W9" s="26" t="s">
        <v>3929</v>
      </c>
      <c r="X9" s="37"/>
      <c r="Y9" s="37"/>
      <c r="Z9" s="37"/>
      <c r="AA9" s="37"/>
      <c r="AB9" s="37"/>
      <c r="AC9" s="37"/>
      <c r="AD9" s="37"/>
      <c r="AE9" s="37"/>
      <c r="AF9" s="37"/>
      <c r="AG9" s="37"/>
    </row>
    <row r="10" ht="14.25" customHeight="1">
      <c r="A10" s="37" t="s">
        <v>123</v>
      </c>
      <c r="B10" s="37" t="s">
        <v>124</v>
      </c>
      <c r="C10" s="105" t="s">
        <v>1720</v>
      </c>
      <c r="D10" s="26">
        <v>15.0</v>
      </c>
      <c r="E10" s="37" t="s">
        <v>88</v>
      </c>
      <c r="F10" s="37" t="s">
        <v>125</v>
      </c>
      <c r="G10" s="37" t="s">
        <v>126</v>
      </c>
      <c r="H10" s="37" t="s">
        <v>127</v>
      </c>
      <c r="I10" s="37" t="s">
        <v>45</v>
      </c>
      <c r="J10" s="26" t="s">
        <v>3930</v>
      </c>
      <c r="K10" s="26" t="s">
        <v>3931</v>
      </c>
      <c r="L10" s="26" t="s">
        <v>3932</v>
      </c>
      <c r="N10" s="26" t="s">
        <v>1721</v>
      </c>
      <c r="P10" s="26" t="s">
        <v>930</v>
      </c>
      <c r="R10" s="37"/>
      <c r="T10" s="26" t="s">
        <v>961</v>
      </c>
      <c r="U10" s="26" t="s">
        <v>3933</v>
      </c>
      <c r="V10" s="26" t="s">
        <v>3934</v>
      </c>
      <c r="X10" s="26" t="s">
        <v>3935</v>
      </c>
      <c r="Y10" s="26" t="s">
        <v>3936</v>
      </c>
    </row>
    <row r="11" ht="14.25" customHeight="1">
      <c r="A11" s="37" t="s">
        <v>129</v>
      </c>
      <c r="B11" s="37" t="s">
        <v>130</v>
      </c>
      <c r="C11" s="105" t="s">
        <v>1725</v>
      </c>
      <c r="D11" s="26">
        <v>20.0</v>
      </c>
      <c r="E11" s="37" t="s">
        <v>88</v>
      </c>
      <c r="F11" s="37" t="s">
        <v>131</v>
      </c>
      <c r="G11" s="37" t="s">
        <v>132</v>
      </c>
      <c r="H11" s="37" t="s">
        <v>133</v>
      </c>
      <c r="I11" s="37" t="s">
        <v>47</v>
      </c>
      <c r="P11" s="26" t="s">
        <v>930</v>
      </c>
      <c r="R11" s="37"/>
      <c r="T11" s="26" t="s">
        <v>961</v>
      </c>
      <c r="X11" s="26" t="s">
        <v>3937</v>
      </c>
      <c r="Y11" s="26" t="s">
        <v>3938</v>
      </c>
      <c r="AB11" s="26" t="s">
        <v>3939</v>
      </c>
    </row>
    <row r="12" ht="14.25" customHeight="1">
      <c r="A12" s="37" t="s">
        <v>134</v>
      </c>
      <c r="B12" s="37" t="s">
        <v>135</v>
      </c>
      <c r="C12" s="105" t="s">
        <v>1732</v>
      </c>
      <c r="D12" s="26">
        <v>21.0</v>
      </c>
      <c r="E12" s="37" t="s">
        <v>88</v>
      </c>
      <c r="F12" s="37" t="s">
        <v>136</v>
      </c>
      <c r="G12" s="37" t="s">
        <v>137</v>
      </c>
      <c r="H12" s="37" t="s">
        <v>138</v>
      </c>
      <c r="I12" s="37" t="s">
        <v>47</v>
      </c>
      <c r="J12" s="26" t="s">
        <v>3940</v>
      </c>
      <c r="K12" s="26" t="s">
        <v>3927</v>
      </c>
      <c r="L12" s="26" t="s">
        <v>3916</v>
      </c>
      <c r="M12" s="26" t="s">
        <v>3941</v>
      </c>
      <c r="N12" s="26" t="s">
        <v>1721</v>
      </c>
      <c r="O12" s="26" t="s">
        <v>3942</v>
      </c>
      <c r="P12" s="26" t="s">
        <v>930</v>
      </c>
      <c r="R12" s="37"/>
      <c r="T12" s="26" t="s">
        <v>961</v>
      </c>
      <c r="W12" s="26" t="s">
        <v>3943</v>
      </c>
      <c r="Z12" s="26" t="s">
        <v>1733</v>
      </c>
    </row>
    <row r="13" ht="14.25" customHeight="1">
      <c r="A13" s="37" t="s">
        <v>139</v>
      </c>
      <c r="B13" s="37" t="s">
        <v>140</v>
      </c>
      <c r="C13" s="105" t="s">
        <v>1739</v>
      </c>
      <c r="D13" s="26">
        <v>12.0</v>
      </c>
      <c r="E13" s="37" t="s">
        <v>88</v>
      </c>
      <c r="F13" s="37" t="s">
        <v>141</v>
      </c>
      <c r="G13" s="37" t="s">
        <v>142</v>
      </c>
      <c r="H13" s="37" t="s">
        <v>143</v>
      </c>
      <c r="I13" s="37" t="s">
        <v>47</v>
      </c>
      <c r="J13" s="26" t="s">
        <v>3944</v>
      </c>
      <c r="K13" s="26" t="s">
        <v>3945</v>
      </c>
      <c r="L13" s="26" t="s">
        <v>3946</v>
      </c>
      <c r="P13" s="26" t="s">
        <v>930</v>
      </c>
      <c r="R13" s="37"/>
      <c r="T13" s="26" t="s">
        <v>961</v>
      </c>
      <c r="U13" s="26" t="s">
        <v>3947</v>
      </c>
      <c r="V13" s="26" t="s">
        <v>2796</v>
      </c>
      <c r="X13" s="26" t="s">
        <v>3948</v>
      </c>
      <c r="Z13" s="26" t="s">
        <v>3949</v>
      </c>
      <c r="AB13" s="26" t="s">
        <v>3950</v>
      </c>
    </row>
    <row r="14" ht="14.25" customHeight="1">
      <c r="A14" s="37" t="s">
        <v>144</v>
      </c>
      <c r="B14" s="37" t="s">
        <v>145</v>
      </c>
      <c r="C14" s="105" t="s">
        <v>3951</v>
      </c>
      <c r="D14" s="26">
        <v>10.0</v>
      </c>
      <c r="E14" s="37" t="s">
        <v>88</v>
      </c>
      <c r="F14" s="37" t="s">
        <v>141</v>
      </c>
      <c r="G14" s="37" t="s">
        <v>146</v>
      </c>
      <c r="H14" s="37" t="s">
        <v>147</v>
      </c>
      <c r="I14" s="37" t="s">
        <v>47</v>
      </c>
      <c r="J14" s="37"/>
      <c r="K14" s="37"/>
      <c r="L14" s="37"/>
      <c r="M14" s="37"/>
      <c r="N14" s="37"/>
      <c r="O14" s="37"/>
      <c r="P14" s="26" t="s">
        <v>961</v>
      </c>
      <c r="Q14" s="26" t="s">
        <v>3952</v>
      </c>
      <c r="R14" s="26" t="s">
        <v>2388</v>
      </c>
      <c r="S14" s="37"/>
      <c r="T14" s="26" t="s">
        <v>961</v>
      </c>
      <c r="U14" s="37"/>
      <c r="V14" s="37"/>
      <c r="W14" s="37"/>
      <c r="X14" s="37"/>
      <c r="Y14" s="37"/>
      <c r="Z14" s="37"/>
      <c r="AA14" s="37"/>
      <c r="AB14" s="37"/>
      <c r="AC14" s="37"/>
      <c r="AD14" s="37"/>
      <c r="AE14" s="37"/>
      <c r="AF14" s="37"/>
      <c r="AG14" s="37"/>
    </row>
    <row r="15" ht="14.25" customHeight="1">
      <c r="A15" s="37" t="s">
        <v>148</v>
      </c>
      <c r="B15" s="37" t="s">
        <v>149</v>
      </c>
      <c r="C15" s="105" t="s">
        <v>1743</v>
      </c>
      <c r="D15" s="26">
        <v>6.0</v>
      </c>
      <c r="E15" s="37" t="s">
        <v>88</v>
      </c>
      <c r="F15" s="37" t="s">
        <v>150</v>
      </c>
      <c r="H15" s="37" t="s">
        <v>151</v>
      </c>
      <c r="I15" s="26" t="s">
        <v>3953</v>
      </c>
      <c r="J15" s="26" t="s">
        <v>3954</v>
      </c>
      <c r="K15" s="26" t="s">
        <v>3955</v>
      </c>
      <c r="L15" s="26" t="s">
        <v>3916</v>
      </c>
      <c r="M15" s="26" t="s">
        <v>3956</v>
      </c>
      <c r="N15" s="26" t="s">
        <v>1721</v>
      </c>
      <c r="O15" s="26" t="s">
        <v>620</v>
      </c>
      <c r="P15" s="26" t="s">
        <v>930</v>
      </c>
      <c r="R15" s="37"/>
      <c r="T15" s="26" t="s">
        <v>961</v>
      </c>
      <c r="U15" s="26" t="s">
        <v>3957</v>
      </c>
      <c r="V15" s="26" t="s">
        <v>3958</v>
      </c>
      <c r="W15" s="26" t="s">
        <v>3959</v>
      </c>
      <c r="X15" s="26" t="s">
        <v>3960</v>
      </c>
      <c r="Y15" s="26" t="s">
        <v>3961</v>
      </c>
      <c r="Z15" s="26" t="s">
        <v>968</v>
      </c>
    </row>
    <row r="16" ht="14.25" customHeight="1">
      <c r="A16" s="37" t="s">
        <v>152</v>
      </c>
      <c r="B16" s="37" t="s">
        <v>153</v>
      </c>
      <c r="C16" s="105" t="s">
        <v>3962</v>
      </c>
      <c r="D16" s="37"/>
      <c r="E16" s="37" t="s">
        <v>88</v>
      </c>
      <c r="F16" s="37" t="s">
        <v>154</v>
      </c>
      <c r="G16" s="37"/>
      <c r="H16" s="37" t="s">
        <v>155</v>
      </c>
      <c r="I16" s="37" t="s">
        <v>47</v>
      </c>
      <c r="J16" s="37"/>
      <c r="K16" s="37"/>
      <c r="L16" s="37"/>
      <c r="M16" s="37"/>
      <c r="N16" s="37"/>
      <c r="O16" s="37"/>
      <c r="P16" s="26" t="s">
        <v>961</v>
      </c>
      <c r="Q16" s="26" t="s">
        <v>2429</v>
      </c>
      <c r="R16" s="37"/>
      <c r="S16" s="37"/>
      <c r="T16" s="26" t="s">
        <v>961</v>
      </c>
      <c r="U16" s="37"/>
      <c r="V16" s="37"/>
      <c r="W16" s="37"/>
      <c r="X16" s="37"/>
      <c r="Y16" s="37"/>
      <c r="Z16" s="37"/>
      <c r="AA16" s="37"/>
      <c r="AB16" s="37"/>
      <c r="AC16" s="37"/>
      <c r="AD16" s="37"/>
      <c r="AE16" s="37"/>
      <c r="AF16" s="37"/>
      <c r="AG16" s="37"/>
    </row>
    <row r="17" ht="14.25" customHeight="1">
      <c r="A17" s="37" t="s">
        <v>156</v>
      </c>
      <c r="B17" s="37" t="s">
        <v>157</v>
      </c>
      <c r="C17" s="105" t="s">
        <v>1749</v>
      </c>
      <c r="D17" s="26">
        <v>7.0</v>
      </c>
      <c r="E17" s="37" t="s">
        <v>88</v>
      </c>
      <c r="F17" s="37" t="s">
        <v>158</v>
      </c>
      <c r="G17" s="37" t="s">
        <v>101</v>
      </c>
      <c r="H17" s="37" t="s">
        <v>159</v>
      </c>
      <c r="I17" s="37" t="s">
        <v>47</v>
      </c>
      <c r="J17" s="26" t="s">
        <v>3963</v>
      </c>
      <c r="K17" s="26" t="s">
        <v>3964</v>
      </c>
      <c r="L17" s="26" t="s">
        <v>3916</v>
      </c>
      <c r="M17" s="26" t="s">
        <v>3956</v>
      </c>
      <c r="N17" s="26" t="s">
        <v>3916</v>
      </c>
      <c r="O17" s="26" t="s">
        <v>620</v>
      </c>
      <c r="P17" s="26" t="s">
        <v>930</v>
      </c>
      <c r="R17" s="37"/>
      <c r="T17" s="26" t="s">
        <v>961</v>
      </c>
      <c r="U17" s="26" t="s">
        <v>3965</v>
      </c>
      <c r="V17" s="26" t="s">
        <v>3966</v>
      </c>
      <c r="X17" s="26" t="s">
        <v>3948</v>
      </c>
      <c r="Z17" s="26" t="s">
        <v>1022</v>
      </c>
      <c r="AB17" s="26" t="s">
        <v>3967</v>
      </c>
    </row>
    <row r="18" ht="14.25" customHeight="1">
      <c r="A18" s="37" t="s">
        <v>160</v>
      </c>
      <c r="B18" s="37" t="s">
        <v>161</v>
      </c>
      <c r="C18" s="105" t="s">
        <v>1754</v>
      </c>
      <c r="D18" s="26">
        <v>10.0</v>
      </c>
      <c r="E18" s="37" t="s">
        <v>88</v>
      </c>
      <c r="F18" s="37" t="s">
        <v>150</v>
      </c>
      <c r="G18" s="37" t="s">
        <v>162</v>
      </c>
      <c r="H18" s="37" t="s">
        <v>163</v>
      </c>
      <c r="I18" s="37" t="s">
        <v>47</v>
      </c>
      <c r="J18" s="26" t="s">
        <v>3968</v>
      </c>
      <c r="K18" s="26" t="s">
        <v>3969</v>
      </c>
      <c r="L18" s="26" t="s">
        <v>3970</v>
      </c>
      <c r="M18" s="26" t="s">
        <v>3916</v>
      </c>
      <c r="N18" s="26" t="s">
        <v>3971</v>
      </c>
      <c r="O18" s="26" t="s">
        <v>620</v>
      </c>
      <c r="P18" s="26" t="s">
        <v>930</v>
      </c>
      <c r="R18" s="37"/>
      <c r="T18" s="26" t="s">
        <v>961</v>
      </c>
      <c r="U18" s="26" t="s">
        <v>3972</v>
      </c>
      <c r="V18" s="26" t="s">
        <v>3631</v>
      </c>
      <c r="X18" s="26" t="s">
        <v>3948</v>
      </c>
      <c r="Z18" s="26" t="s">
        <v>1733</v>
      </c>
      <c r="AB18" s="26" t="s">
        <v>3973</v>
      </c>
    </row>
    <row r="19" ht="14.25" customHeight="1">
      <c r="A19" s="37" t="s">
        <v>164</v>
      </c>
      <c r="B19" s="37" t="s">
        <v>165</v>
      </c>
      <c r="C19" s="105" t="s">
        <v>3974</v>
      </c>
      <c r="D19" s="26">
        <v>6.0</v>
      </c>
      <c r="E19" s="37" t="s">
        <v>88</v>
      </c>
      <c r="F19" s="37" t="s">
        <v>166</v>
      </c>
      <c r="G19" s="37"/>
      <c r="H19" s="37" t="s">
        <v>167</v>
      </c>
      <c r="I19" s="37" t="s">
        <v>47</v>
      </c>
      <c r="J19" s="37"/>
      <c r="K19" s="37"/>
      <c r="L19" s="37"/>
      <c r="M19" s="37"/>
      <c r="N19" s="37"/>
      <c r="O19" s="37"/>
      <c r="P19" s="26" t="s">
        <v>961</v>
      </c>
      <c r="Q19" s="26" t="s">
        <v>3975</v>
      </c>
      <c r="R19" s="26" t="s">
        <v>2388</v>
      </c>
      <c r="S19" s="37"/>
      <c r="T19" s="26" t="s">
        <v>961</v>
      </c>
      <c r="U19" s="37"/>
      <c r="V19" s="37"/>
      <c r="W19" s="37"/>
      <c r="X19" s="37"/>
      <c r="Y19" s="37"/>
      <c r="Z19" s="26" t="s">
        <v>1022</v>
      </c>
      <c r="AA19" s="37"/>
      <c r="AB19" s="26" t="s">
        <v>3976</v>
      </c>
      <c r="AC19" s="37"/>
      <c r="AD19" s="37"/>
      <c r="AE19" s="37"/>
      <c r="AF19" s="37"/>
      <c r="AG19" s="37"/>
    </row>
    <row r="20" ht="14.25" customHeight="1">
      <c r="A20" s="37" t="s">
        <v>168</v>
      </c>
      <c r="B20" s="37" t="s">
        <v>169</v>
      </c>
      <c r="C20" s="37"/>
      <c r="D20" s="37"/>
      <c r="E20" s="37" t="s">
        <v>88</v>
      </c>
      <c r="F20" s="37" t="s">
        <v>170</v>
      </c>
      <c r="G20" s="37" t="s">
        <v>162</v>
      </c>
      <c r="H20" s="37" t="s">
        <v>171</v>
      </c>
      <c r="I20" s="37" t="s">
        <v>47</v>
      </c>
      <c r="J20" s="37"/>
      <c r="K20" s="37"/>
      <c r="L20" s="37"/>
      <c r="M20" s="37"/>
      <c r="N20" s="37"/>
      <c r="O20" s="37"/>
      <c r="P20" s="26" t="s">
        <v>961</v>
      </c>
      <c r="Q20" s="26" t="s">
        <v>2431</v>
      </c>
      <c r="R20" s="37"/>
      <c r="S20" s="37"/>
      <c r="T20" s="26" t="s">
        <v>961</v>
      </c>
      <c r="U20" s="37"/>
      <c r="V20" s="37"/>
      <c r="W20" s="37"/>
      <c r="X20" s="37"/>
      <c r="Y20" s="37"/>
      <c r="Z20" s="37"/>
      <c r="AA20" s="37"/>
      <c r="AB20" s="37"/>
      <c r="AC20" s="37"/>
      <c r="AD20" s="37"/>
      <c r="AE20" s="37"/>
      <c r="AF20" s="37"/>
      <c r="AG20" s="37"/>
    </row>
    <row r="21" ht="14.25" customHeight="1">
      <c r="A21" s="37" t="s">
        <v>172</v>
      </c>
      <c r="B21" s="37" t="s">
        <v>173</v>
      </c>
      <c r="C21" s="105" t="s">
        <v>3977</v>
      </c>
      <c r="D21" s="26">
        <v>12.0</v>
      </c>
      <c r="E21" s="37" t="s">
        <v>88</v>
      </c>
      <c r="F21" s="37" t="s">
        <v>174</v>
      </c>
      <c r="G21" s="37" t="s">
        <v>175</v>
      </c>
      <c r="H21" s="37" t="s">
        <v>176</v>
      </c>
      <c r="I21" s="37" t="s">
        <v>47</v>
      </c>
      <c r="J21" s="26" t="s">
        <v>3978</v>
      </c>
      <c r="K21" s="26" t="s">
        <v>3979</v>
      </c>
      <c r="L21" s="26" t="s">
        <v>2168</v>
      </c>
      <c r="M21" s="26" t="s">
        <v>3980</v>
      </c>
      <c r="N21" s="26" t="s">
        <v>1721</v>
      </c>
      <c r="P21" s="26" t="s">
        <v>930</v>
      </c>
      <c r="R21" s="37"/>
      <c r="T21" s="26" t="s">
        <v>961</v>
      </c>
      <c r="U21" s="26" t="s">
        <v>3981</v>
      </c>
      <c r="X21" s="26" t="s">
        <v>3935</v>
      </c>
      <c r="Y21" s="26" t="s">
        <v>3982</v>
      </c>
      <c r="Z21" s="26" t="s">
        <v>1652</v>
      </c>
      <c r="AB21" s="26" t="s">
        <v>3983</v>
      </c>
    </row>
    <row r="22" ht="14.25" customHeight="1">
      <c r="A22" s="39" t="s">
        <v>682</v>
      </c>
      <c r="B22" s="39" t="s">
        <v>683</v>
      </c>
      <c r="C22" s="154" t="s">
        <v>1761</v>
      </c>
      <c r="D22" s="39">
        <v>31.0</v>
      </c>
      <c r="E22" s="40" t="s">
        <v>616</v>
      </c>
      <c r="F22" s="39" t="s">
        <v>587</v>
      </c>
      <c r="G22" s="39" t="s">
        <v>684</v>
      </c>
      <c r="H22" s="39" t="s">
        <v>685</v>
      </c>
      <c r="I22" s="39" t="s">
        <v>49</v>
      </c>
      <c r="J22" s="39"/>
      <c r="K22" s="26" t="s">
        <v>3984</v>
      </c>
      <c r="L22" s="26" t="s">
        <v>3985</v>
      </c>
      <c r="N22" s="26" t="s">
        <v>3986</v>
      </c>
      <c r="P22" s="26" t="s">
        <v>930</v>
      </c>
      <c r="R22" s="37"/>
      <c r="T22" s="26" t="s">
        <v>961</v>
      </c>
      <c r="U22" s="26" t="s">
        <v>3987</v>
      </c>
      <c r="V22" s="26" t="s">
        <v>3988</v>
      </c>
      <c r="X22" s="26" t="s">
        <v>3948</v>
      </c>
      <c r="Z22" s="26" t="s">
        <v>1022</v>
      </c>
      <c r="AB22" s="26" t="s">
        <v>3989</v>
      </c>
    </row>
    <row r="23" ht="14.25" customHeight="1">
      <c r="A23" s="39" t="s">
        <v>686</v>
      </c>
      <c r="B23" s="39" t="s">
        <v>687</v>
      </c>
      <c r="C23" s="154" t="s">
        <v>1769</v>
      </c>
      <c r="D23" s="39">
        <v>16.0</v>
      </c>
      <c r="E23" s="40" t="s">
        <v>616</v>
      </c>
      <c r="F23" s="39" t="s">
        <v>417</v>
      </c>
      <c r="G23" s="39" t="s">
        <v>688</v>
      </c>
      <c r="H23" s="39" t="s">
        <v>142</v>
      </c>
      <c r="I23" s="39" t="s">
        <v>49</v>
      </c>
      <c r="J23" s="39"/>
      <c r="K23" s="26" t="s">
        <v>3990</v>
      </c>
      <c r="L23" s="26" t="s">
        <v>3991</v>
      </c>
      <c r="N23" s="26" t="s">
        <v>3992</v>
      </c>
      <c r="O23" s="26" t="s">
        <v>3993</v>
      </c>
      <c r="P23" s="26" t="s">
        <v>930</v>
      </c>
      <c r="R23" s="37"/>
      <c r="T23" s="26" t="s">
        <v>961</v>
      </c>
      <c r="U23" s="26" t="s">
        <v>3994</v>
      </c>
      <c r="V23" s="26" t="s">
        <v>3995</v>
      </c>
      <c r="X23" s="26" t="s">
        <v>3948</v>
      </c>
      <c r="Z23" s="26" t="s">
        <v>1022</v>
      </c>
      <c r="AB23" s="26" t="s">
        <v>3996</v>
      </c>
      <c r="AC23" s="26" t="s">
        <v>620</v>
      </c>
    </row>
    <row r="24" ht="14.25" customHeight="1">
      <c r="A24" s="39" t="s">
        <v>689</v>
      </c>
      <c r="B24" s="39" t="s">
        <v>690</v>
      </c>
      <c r="C24" s="154" t="s">
        <v>1773</v>
      </c>
      <c r="D24" s="39"/>
      <c r="E24" s="40" t="s">
        <v>616</v>
      </c>
      <c r="F24" s="39" t="s">
        <v>256</v>
      </c>
      <c r="G24" s="39" t="s">
        <v>691</v>
      </c>
      <c r="H24" s="39" t="s">
        <v>244</v>
      </c>
      <c r="I24" s="39" t="s">
        <v>49</v>
      </c>
      <c r="J24" s="39"/>
      <c r="K24" s="26" t="s">
        <v>3990</v>
      </c>
      <c r="L24" s="26" t="s">
        <v>3997</v>
      </c>
      <c r="N24" s="26" t="s">
        <v>3998</v>
      </c>
      <c r="P24" s="26" t="s">
        <v>930</v>
      </c>
      <c r="R24" s="37"/>
      <c r="T24" s="26" t="s">
        <v>961</v>
      </c>
      <c r="U24" s="26" t="s">
        <v>3999</v>
      </c>
      <c r="V24" s="26" t="s">
        <v>4000</v>
      </c>
      <c r="X24" s="26" t="s">
        <v>3948</v>
      </c>
      <c r="Z24" s="26" t="s">
        <v>1022</v>
      </c>
      <c r="AB24" s="26" t="s">
        <v>4001</v>
      </c>
      <c r="AC24" s="26" t="s">
        <v>4002</v>
      </c>
    </row>
    <row r="25" ht="14.25" customHeight="1">
      <c r="A25" s="39" t="s">
        <v>716</v>
      </c>
      <c r="B25" s="39" t="s">
        <v>717</v>
      </c>
      <c r="C25" s="154" t="s">
        <v>4003</v>
      </c>
      <c r="D25" s="39"/>
      <c r="E25" s="40" t="s">
        <v>616</v>
      </c>
      <c r="F25" s="39" t="s">
        <v>401</v>
      </c>
      <c r="G25" s="39" t="s">
        <v>718</v>
      </c>
      <c r="H25" s="39" t="s">
        <v>273</v>
      </c>
      <c r="I25" s="39" t="s">
        <v>92</v>
      </c>
      <c r="J25" s="39"/>
      <c r="K25" s="37"/>
      <c r="L25" s="37"/>
      <c r="M25" s="37"/>
      <c r="N25" s="37"/>
      <c r="O25" s="37"/>
      <c r="P25" s="26" t="s">
        <v>961</v>
      </c>
      <c r="Q25" s="26" t="s">
        <v>4004</v>
      </c>
      <c r="R25" s="26" t="s">
        <v>2388</v>
      </c>
      <c r="S25" s="37"/>
      <c r="T25" s="26" t="s">
        <v>961</v>
      </c>
      <c r="U25" s="37"/>
      <c r="V25" s="37"/>
      <c r="W25" s="37"/>
      <c r="X25" s="37"/>
      <c r="Y25" s="37"/>
      <c r="Z25" s="26" t="s">
        <v>1547</v>
      </c>
      <c r="AA25" s="37"/>
      <c r="AB25" s="37"/>
      <c r="AC25" s="37"/>
      <c r="AD25" s="37"/>
      <c r="AE25" s="37"/>
      <c r="AF25" s="37"/>
      <c r="AG25" s="37"/>
    </row>
    <row r="26" ht="14.25" customHeight="1">
      <c r="A26" s="39" t="s">
        <v>719</v>
      </c>
      <c r="B26" s="39" t="s">
        <v>720</v>
      </c>
      <c r="C26" s="154" t="s">
        <v>4005</v>
      </c>
      <c r="D26" s="39"/>
      <c r="E26" s="40" t="s">
        <v>616</v>
      </c>
      <c r="F26" s="39" t="s">
        <v>215</v>
      </c>
      <c r="G26" s="39" t="s">
        <v>721</v>
      </c>
      <c r="H26" s="39" t="s">
        <v>142</v>
      </c>
      <c r="I26" s="39" t="s">
        <v>49</v>
      </c>
      <c r="J26" s="39"/>
      <c r="K26" s="37"/>
      <c r="L26" s="37"/>
      <c r="M26" s="37"/>
      <c r="N26" s="37"/>
      <c r="O26" s="37"/>
      <c r="P26" s="26" t="s">
        <v>961</v>
      </c>
      <c r="Q26" s="26" t="s">
        <v>4004</v>
      </c>
      <c r="R26" s="26" t="s">
        <v>2394</v>
      </c>
      <c r="S26" s="37"/>
      <c r="T26" s="26" t="s">
        <v>961</v>
      </c>
      <c r="U26" s="37"/>
      <c r="V26" s="37"/>
      <c r="W26" s="37"/>
      <c r="X26" s="37"/>
      <c r="Y26" s="37"/>
      <c r="Z26" s="26" t="s">
        <v>1022</v>
      </c>
      <c r="AA26" s="37"/>
      <c r="AB26" s="37"/>
      <c r="AC26" s="37"/>
      <c r="AD26" s="37"/>
      <c r="AE26" s="37"/>
      <c r="AF26" s="37"/>
      <c r="AG26" s="37"/>
    </row>
    <row r="27" ht="14.25" customHeight="1">
      <c r="A27" s="39" t="s">
        <v>823</v>
      </c>
      <c r="B27" s="39" t="s">
        <v>824</v>
      </c>
      <c r="C27" s="154" t="s">
        <v>4006</v>
      </c>
      <c r="D27" s="39">
        <v>12.0</v>
      </c>
      <c r="E27" s="40" t="s">
        <v>616</v>
      </c>
      <c r="F27" s="39" t="s">
        <v>392</v>
      </c>
      <c r="G27" s="39" t="s">
        <v>825</v>
      </c>
      <c r="H27" s="39" t="s">
        <v>685</v>
      </c>
      <c r="I27" s="39" t="s">
        <v>49</v>
      </c>
      <c r="J27" s="39"/>
      <c r="K27" s="37"/>
      <c r="L27" s="37"/>
      <c r="M27" s="37"/>
      <c r="N27" s="37"/>
      <c r="O27" s="37"/>
      <c r="P27" s="26" t="s">
        <v>961</v>
      </c>
      <c r="Q27" s="26" t="s">
        <v>4004</v>
      </c>
      <c r="R27" s="26" t="s">
        <v>2388</v>
      </c>
      <c r="S27" s="37"/>
      <c r="T27" s="26" t="s">
        <v>961</v>
      </c>
      <c r="U27" s="37"/>
      <c r="V27" s="37"/>
      <c r="W27" s="37"/>
      <c r="X27" s="37"/>
      <c r="Y27" s="37"/>
      <c r="Z27" s="26" t="s">
        <v>1022</v>
      </c>
      <c r="AA27" s="37"/>
      <c r="AB27" s="26" t="s">
        <v>4007</v>
      </c>
      <c r="AC27" s="37"/>
      <c r="AD27" s="37"/>
      <c r="AE27" s="37"/>
      <c r="AF27" s="37"/>
      <c r="AG27" s="37"/>
    </row>
    <row r="28" ht="14.25" customHeight="1">
      <c r="A28" s="39" t="s">
        <v>826</v>
      </c>
      <c r="B28" s="39" t="s">
        <v>827</v>
      </c>
      <c r="C28" s="357" t="s">
        <v>4004</v>
      </c>
      <c r="D28" s="39">
        <v>13.0</v>
      </c>
      <c r="E28" s="40" t="s">
        <v>616</v>
      </c>
      <c r="F28" s="39" t="s">
        <v>409</v>
      </c>
      <c r="G28" s="39" t="s">
        <v>828</v>
      </c>
      <c r="H28" s="39" t="s">
        <v>142</v>
      </c>
      <c r="I28" s="39" t="s">
        <v>49</v>
      </c>
      <c r="J28" s="39"/>
      <c r="K28" s="37"/>
      <c r="L28" s="37"/>
      <c r="M28" s="37"/>
      <c r="N28" s="37"/>
      <c r="O28" s="37"/>
      <c r="P28" s="26" t="s">
        <v>961</v>
      </c>
      <c r="Q28" s="26" t="s">
        <v>4004</v>
      </c>
      <c r="R28" s="26" t="s">
        <v>2394</v>
      </c>
      <c r="S28" s="37"/>
      <c r="T28" s="26" t="s">
        <v>961</v>
      </c>
      <c r="U28" s="37"/>
      <c r="V28" s="37"/>
      <c r="W28" s="37"/>
      <c r="X28" s="37"/>
      <c r="Y28" s="37"/>
      <c r="Z28" s="26" t="s">
        <v>1022</v>
      </c>
      <c r="AA28" s="37"/>
      <c r="AB28" s="26" t="s">
        <v>4008</v>
      </c>
      <c r="AC28" s="37"/>
      <c r="AD28" s="37"/>
      <c r="AE28" s="37"/>
      <c r="AF28" s="37"/>
      <c r="AG28" s="37"/>
    </row>
    <row r="29" ht="14.25" customHeight="1">
      <c r="A29" s="39" t="s">
        <v>829</v>
      </c>
      <c r="B29" s="39" t="s">
        <v>830</v>
      </c>
      <c r="C29" s="154" t="s">
        <v>4009</v>
      </c>
      <c r="D29" s="39">
        <v>13.0</v>
      </c>
      <c r="E29" s="40" t="s">
        <v>616</v>
      </c>
      <c r="F29" s="39" t="s">
        <v>242</v>
      </c>
      <c r="G29" s="39" t="s">
        <v>296</v>
      </c>
      <c r="H29" s="39" t="s">
        <v>233</v>
      </c>
      <c r="I29" s="39" t="s">
        <v>49</v>
      </c>
      <c r="J29" s="39"/>
      <c r="K29" s="26" t="s">
        <v>4010</v>
      </c>
      <c r="L29" s="26" t="s">
        <v>4011</v>
      </c>
      <c r="N29" s="26" t="s">
        <v>4012</v>
      </c>
      <c r="O29" s="26" t="s">
        <v>4013</v>
      </c>
      <c r="P29" s="26" t="s">
        <v>930</v>
      </c>
      <c r="R29" s="37"/>
      <c r="T29" s="26" t="s">
        <v>961</v>
      </c>
      <c r="V29" s="26" t="s">
        <v>4014</v>
      </c>
      <c r="X29" s="26" t="s">
        <v>3948</v>
      </c>
      <c r="Z29" s="26" t="s">
        <v>1022</v>
      </c>
      <c r="AB29" s="26" t="s">
        <v>4015</v>
      </c>
    </row>
    <row r="30" ht="14.25" customHeight="1">
      <c r="A30" s="39" t="s">
        <v>831</v>
      </c>
      <c r="B30" s="39" t="s">
        <v>832</v>
      </c>
      <c r="C30" s="156" t="s">
        <v>1778</v>
      </c>
      <c r="D30" s="39">
        <v>21.0</v>
      </c>
      <c r="E30" s="40" t="s">
        <v>616</v>
      </c>
      <c r="F30" s="39" t="s">
        <v>833</v>
      </c>
      <c r="G30" s="39" t="s">
        <v>142</v>
      </c>
      <c r="H30" s="39" t="s">
        <v>385</v>
      </c>
      <c r="I30" s="39" t="s">
        <v>49</v>
      </c>
      <c r="J30" s="39" t="s">
        <v>4016</v>
      </c>
      <c r="K30" s="26" t="s">
        <v>4017</v>
      </c>
      <c r="L30" s="26" t="s">
        <v>4018</v>
      </c>
      <c r="N30" s="26" t="s">
        <v>995</v>
      </c>
      <c r="P30" s="26" t="s">
        <v>930</v>
      </c>
      <c r="R30" s="37"/>
      <c r="T30" s="26" t="s">
        <v>961</v>
      </c>
      <c r="U30" s="26" t="s">
        <v>4019</v>
      </c>
      <c r="V30" s="26" t="s">
        <v>4020</v>
      </c>
      <c r="X30" s="26" t="s">
        <v>3948</v>
      </c>
      <c r="Z30" s="26" t="s">
        <v>1022</v>
      </c>
      <c r="AB30" s="26" t="s">
        <v>4021</v>
      </c>
    </row>
    <row r="31" ht="14.25" customHeight="1">
      <c r="A31" s="39" t="s">
        <v>834</v>
      </c>
      <c r="B31" s="39" t="s">
        <v>835</v>
      </c>
      <c r="C31" s="154" t="s">
        <v>1783</v>
      </c>
      <c r="D31" s="39"/>
      <c r="E31" s="40" t="s">
        <v>616</v>
      </c>
      <c r="F31" s="39" t="s">
        <v>708</v>
      </c>
      <c r="G31" s="39" t="s">
        <v>836</v>
      </c>
      <c r="H31" s="39" t="s">
        <v>221</v>
      </c>
      <c r="I31" s="39" t="s">
        <v>49</v>
      </c>
      <c r="J31" s="39"/>
      <c r="K31" s="26" t="s">
        <v>4010</v>
      </c>
      <c r="L31" s="26" t="s">
        <v>4022</v>
      </c>
      <c r="N31" s="26" t="s">
        <v>995</v>
      </c>
      <c r="P31" s="26" t="s">
        <v>930</v>
      </c>
      <c r="R31" s="37"/>
      <c r="T31" s="26" t="s">
        <v>961</v>
      </c>
      <c r="U31" s="26" t="s">
        <v>4023</v>
      </c>
      <c r="V31" s="26" t="s">
        <v>4024</v>
      </c>
      <c r="X31" s="26" t="s">
        <v>3948</v>
      </c>
      <c r="Z31" s="26" t="s">
        <v>1022</v>
      </c>
      <c r="AB31" s="26" t="s">
        <v>4025</v>
      </c>
    </row>
    <row r="32" ht="14.25" customHeight="1">
      <c r="A32" s="358" t="s">
        <v>921</v>
      </c>
      <c r="B32" s="358" t="s">
        <v>922</v>
      </c>
      <c r="C32" s="359" t="s">
        <v>4026</v>
      </c>
      <c r="D32" s="358">
        <v>10.0</v>
      </c>
      <c r="E32" s="360" t="s">
        <v>891</v>
      </c>
      <c r="F32" s="361" t="s">
        <v>898</v>
      </c>
      <c r="G32" s="361"/>
      <c r="H32" s="361" t="s">
        <v>923</v>
      </c>
      <c r="I32" s="362" t="s">
        <v>92</v>
      </c>
      <c r="J32" s="358"/>
      <c r="K32" s="358"/>
      <c r="L32" s="358"/>
      <c r="M32" s="363"/>
      <c r="N32" s="358" t="s">
        <v>1721</v>
      </c>
      <c r="O32" s="364"/>
      <c r="P32" s="365" t="s">
        <v>961</v>
      </c>
      <c r="Q32" s="365" t="s">
        <v>4027</v>
      </c>
      <c r="R32" s="365" t="s">
        <v>2388</v>
      </c>
      <c r="S32" s="364"/>
      <c r="T32" s="365" t="s">
        <v>961</v>
      </c>
      <c r="U32" s="364"/>
      <c r="V32" s="364"/>
      <c r="W32" s="364"/>
      <c r="X32" s="364"/>
      <c r="Y32" s="364"/>
      <c r="Z32" s="365" t="s">
        <v>4028</v>
      </c>
      <c r="AA32" s="364"/>
      <c r="AB32" s="365" t="s">
        <v>4029</v>
      </c>
      <c r="AC32" s="364"/>
      <c r="AD32" s="364"/>
      <c r="AE32" s="364"/>
      <c r="AF32" s="364"/>
      <c r="AG32" s="364"/>
    </row>
    <row r="33" ht="14.25" customHeight="1">
      <c r="A33" s="271" t="s">
        <v>924</v>
      </c>
      <c r="B33" s="271" t="s">
        <v>925</v>
      </c>
      <c r="C33" s="366" t="s">
        <v>4030</v>
      </c>
      <c r="D33" s="271">
        <v>10.0</v>
      </c>
      <c r="E33" s="367" t="s">
        <v>891</v>
      </c>
      <c r="F33" s="368" t="s">
        <v>907</v>
      </c>
      <c r="G33" s="368"/>
      <c r="H33" s="368" t="s">
        <v>127</v>
      </c>
      <c r="I33" s="369" t="s">
        <v>4031</v>
      </c>
      <c r="J33" s="271"/>
      <c r="K33" s="271" t="s">
        <v>4032</v>
      </c>
      <c r="L33" s="271" t="s">
        <v>3916</v>
      </c>
      <c r="M33" s="273"/>
      <c r="N33" s="271" t="s">
        <v>3916</v>
      </c>
      <c r="O33" s="256"/>
      <c r="P33" s="257" t="s">
        <v>4033</v>
      </c>
      <c r="Q33" s="256"/>
      <c r="R33" s="81" t="s">
        <v>2388</v>
      </c>
      <c r="S33" s="256"/>
      <c r="T33" s="257" t="s">
        <v>961</v>
      </c>
      <c r="U33" s="257" t="s">
        <v>4034</v>
      </c>
      <c r="V33" s="256"/>
      <c r="W33" s="257" t="s">
        <v>4035</v>
      </c>
      <c r="X33" s="257" t="s">
        <v>3536</v>
      </c>
      <c r="Y33" s="256"/>
      <c r="Z33" s="257" t="s">
        <v>4036</v>
      </c>
      <c r="AA33" s="256"/>
      <c r="AB33" s="257" t="s">
        <v>4037</v>
      </c>
      <c r="AC33" s="256"/>
      <c r="AD33" s="256"/>
      <c r="AE33" s="256"/>
      <c r="AF33" s="256"/>
      <c r="AG33" s="256"/>
    </row>
    <row r="34" ht="14.25" customHeight="1">
      <c r="A34" s="370" t="s">
        <v>926</v>
      </c>
      <c r="B34" s="370" t="s">
        <v>927</v>
      </c>
      <c r="C34" s="371" t="s">
        <v>4038</v>
      </c>
      <c r="D34" s="370">
        <v>6.0</v>
      </c>
      <c r="E34" s="372" t="s">
        <v>891</v>
      </c>
      <c r="F34" s="373" t="s">
        <v>917</v>
      </c>
      <c r="G34" s="373" t="s">
        <v>162</v>
      </c>
      <c r="H34" s="373" t="s">
        <v>127</v>
      </c>
      <c r="I34" s="374" t="s">
        <v>92</v>
      </c>
      <c r="J34" s="370" t="s">
        <v>4039</v>
      </c>
      <c r="K34" s="370"/>
      <c r="L34" s="370" t="s">
        <v>4040</v>
      </c>
      <c r="M34" s="375"/>
      <c r="N34" s="370" t="s">
        <v>3916</v>
      </c>
      <c r="O34" s="376"/>
      <c r="P34" s="377" t="s">
        <v>961</v>
      </c>
      <c r="Q34" s="377" t="s">
        <v>4004</v>
      </c>
      <c r="R34" s="377" t="s">
        <v>2388</v>
      </c>
      <c r="S34" s="376"/>
      <c r="T34" s="377" t="s">
        <v>961</v>
      </c>
      <c r="U34" s="376"/>
      <c r="V34" s="376"/>
      <c r="W34" s="376"/>
      <c r="X34" s="376"/>
      <c r="Y34" s="376"/>
      <c r="Z34" s="377" t="s">
        <v>1307</v>
      </c>
      <c r="AA34" s="376"/>
      <c r="AB34" s="377" t="s">
        <v>4041</v>
      </c>
      <c r="AC34" s="376"/>
      <c r="AD34" s="376"/>
      <c r="AE34" s="376"/>
      <c r="AF34" s="376"/>
      <c r="AG34" s="376"/>
    </row>
    <row r="35" ht="14.25" customHeight="1">
      <c r="A35" s="39" t="s">
        <v>913</v>
      </c>
      <c r="B35" s="39" t="s">
        <v>914</v>
      </c>
      <c r="C35" s="154" t="s">
        <v>1787</v>
      </c>
      <c r="D35" s="39">
        <v>27.0</v>
      </c>
      <c r="E35" s="40" t="s">
        <v>891</v>
      </c>
      <c r="F35" s="39" t="s">
        <v>907</v>
      </c>
      <c r="G35" s="39" t="s">
        <v>126</v>
      </c>
      <c r="H35" s="39" t="s">
        <v>523</v>
      </c>
      <c r="I35" s="39" t="s">
        <v>49</v>
      </c>
      <c r="J35" s="39" t="s">
        <v>4042</v>
      </c>
      <c r="K35" s="39" t="s">
        <v>3984</v>
      </c>
      <c r="L35" s="39" t="s">
        <v>4043</v>
      </c>
      <c r="M35" s="41"/>
      <c r="N35" s="39" t="s">
        <v>1788</v>
      </c>
      <c r="O35" s="26" t="s">
        <v>4044</v>
      </c>
      <c r="P35" s="26" t="s">
        <v>930</v>
      </c>
      <c r="R35" s="37"/>
      <c r="T35" s="26" t="s">
        <v>961</v>
      </c>
      <c r="U35" s="26" t="s">
        <v>4045</v>
      </c>
      <c r="V35" s="26" t="s">
        <v>4046</v>
      </c>
      <c r="Z35" s="26" t="s">
        <v>1246</v>
      </c>
      <c r="AB35" s="26" t="s">
        <v>4047</v>
      </c>
    </row>
    <row r="36" ht="14.2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row>
    <row r="37" ht="14.2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row>
    <row r="38" ht="14.2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row>
    <row r="39" ht="14.2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row>
    <row r="40" ht="14.2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row>
    <row r="41" ht="14.2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row>
    <row r="42" ht="14.2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row>
    <row r="43" ht="14.2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row>
    <row r="44" ht="14.2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row>
    <row r="45" ht="14.2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row>
    <row r="46" ht="14.2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row>
    <row r="47" ht="14.2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row>
    <row r="48" ht="14.2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row>
    <row r="49" ht="14.2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row>
    <row r="50" ht="14.2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row>
    <row r="51" ht="14.2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row>
    <row r="52" ht="14.2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row>
    <row r="53" ht="14.2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row>
    <row r="54" ht="14.2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row>
    <row r="55" ht="14.2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row>
    <row r="56" ht="14.2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row>
    <row r="57" ht="14.2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row>
    <row r="58" ht="14.2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row>
    <row r="59" ht="14.2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row>
    <row r="60" ht="14.2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row>
    <row r="61" ht="14.2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row>
    <row r="62" ht="14.2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row>
    <row r="63" ht="14.2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row>
    <row r="64" ht="14.2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row>
    <row r="65" ht="14.2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row>
    <row r="66" ht="14.2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row>
    <row r="67" ht="14.2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row>
    <row r="68" ht="14.2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row>
    <row r="69" ht="14.2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row>
    <row r="70" ht="14.2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row>
    <row r="71" ht="14.2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row>
    <row r="72" ht="14.2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row>
    <row r="73" ht="14.2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row>
    <row r="74" ht="14.2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row>
    <row r="75" ht="14.2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row>
    <row r="76" ht="14.2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row>
    <row r="77" ht="14.2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row>
    <row r="78" ht="14.2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row>
    <row r="79" ht="14.2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row>
    <row r="80" ht="14.2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row>
    <row r="81" ht="14.2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row>
    <row r="82" ht="14.2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row>
    <row r="83" ht="14.2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row>
    <row r="84" ht="14.2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row>
    <row r="85" ht="14.2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row>
    <row r="86" ht="14.2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row>
    <row r="87" ht="14.2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row>
    <row r="88" ht="14.2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row>
    <row r="89" ht="14.2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row>
    <row r="90" ht="14.2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row>
    <row r="91" ht="14.2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row>
    <row r="92" ht="14.2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row>
    <row r="93" ht="14.2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row>
    <row r="94" ht="14.2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row>
    <row r="95" ht="14.2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row>
    <row r="96" ht="14.2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row>
    <row r="97" ht="14.2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row>
    <row r="98" ht="14.2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row>
    <row r="99" ht="14.2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row>
    <row r="100" ht="14.2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row>
    <row r="101" ht="14.2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row>
    <row r="102" ht="14.2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row>
    <row r="103" ht="14.2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row>
    <row r="104" ht="14.2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row>
    <row r="105" ht="14.2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row>
    <row r="106" ht="14.2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row>
    <row r="107" ht="14.2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row>
    <row r="108" ht="14.2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row>
    <row r="109" ht="14.2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row>
    <row r="110" ht="14.2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row>
    <row r="111" ht="14.2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row>
    <row r="112" ht="14.2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row>
    <row r="113" ht="14.2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row>
    <row r="114" ht="14.2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row>
    <row r="115" ht="14.2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row>
    <row r="116" ht="14.2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row>
    <row r="117" ht="14.2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row>
    <row r="118" ht="14.2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row>
    <row r="119" ht="14.2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row>
    <row r="120" ht="14.2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row>
    <row r="121" ht="14.2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row>
    <row r="122" ht="14.2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row>
    <row r="123" ht="14.2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row>
    <row r="124" ht="14.2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row>
    <row r="125" ht="14.2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row>
    <row r="126" ht="14.2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row>
    <row r="127" ht="14.2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row>
    <row r="128" ht="14.2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row>
    <row r="129" ht="14.2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row>
    <row r="130" ht="14.2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row>
    <row r="131" ht="14.2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row>
    <row r="132" ht="14.2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row>
    <row r="133" ht="14.2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row>
    <row r="134" ht="14.2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row>
    <row r="135" ht="14.2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row>
    <row r="136" ht="14.2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row>
    <row r="137" ht="14.2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row>
    <row r="138" ht="14.2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row>
    <row r="139" ht="14.2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row>
    <row r="140" ht="14.2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row>
    <row r="141" ht="14.2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row>
    <row r="142" ht="14.2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row>
    <row r="143" ht="14.2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row>
    <row r="144" ht="14.2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row>
    <row r="145" ht="14.2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row>
    <row r="146" ht="14.2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row>
    <row r="147" ht="14.2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row>
    <row r="148" ht="14.2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row>
    <row r="149" ht="14.2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row>
    <row r="150" ht="14.2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row>
    <row r="151" ht="14.2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row>
    <row r="152" ht="14.2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row>
    <row r="153" ht="14.2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row>
    <row r="154" ht="14.2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row>
    <row r="155" ht="14.2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row>
    <row r="156" ht="14.2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row>
    <row r="157" ht="14.2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row>
    <row r="158" ht="14.2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row>
    <row r="159" ht="14.2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row>
    <row r="160" ht="14.2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row>
    <row r="161" ht="14.2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row>
    <row r="162" ht="14.2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row>
    <row r="163" ht="14.2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row>
    <row r="164" ht="14.2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row>
    <row r="165" ht="14.2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row>
    <row r="166" ht="14.2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row>
    <row r="167" ht="14.2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row>
    <row r="168" ht="14.2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row>
    <row r="169" ht="14.2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row>
    <row r="170" ht="14.2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row>
    <row r="171" ht="14.2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row>
    <row r="172" ht="14.2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row>
    <row r="173" ht="14.2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row>
    <row r="174" ht="14.2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row>
    <row r="175" ht="14.2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row>
    <row r="176" ht="14.2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row>
    <row r="177" ht="14.2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row>
    <row r="178" ht="14.2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row>
    <row r="179" ht="14.2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row>
    <row r="180" ht="14.2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row>
    <row r="181" ht="14.2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row>
    <row r="182" ht="14.2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row>
    <row r="183" ht="14.2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row>
    <row r="184" ht="14.2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row>
    <row r="185" ht="14.2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row>
    <row r="186" ht="14.2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row>
    <row r="187" ht="14.2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row>
    <row r="188" ht="14.2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row>
    <row r="189" ht="14.2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row>
    <row r="190" ht="14.2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row>
    <row r="191" ht="14.2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row>
    <row r="192" ht="14.2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row>
    <row r="193" ht="14.2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row>
    <row r="194" ht="14.2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row>
    <row r="195" ht="14.2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row>
    <row r="196" ht="14.2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row>
    <row r="197" ht="14.2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row>
    <row r="198" ht="14.2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row>
    <row r="199" ht="14.2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row>
    <row r="200" ht="14.2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row>
    <row r="201" ht="14.2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row>
    <row r="202" ht="14.2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row>
    <row r="203" ht="14.2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row>
    <row r="204" ht="14.2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row>
    <row r="205" ht="14.2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row>
    <row r="206" ht="14.2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row>
    <row r="207" ht="14.2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row>
    <row r="208" ht="14.2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row>
    <row r="209" ht="14.2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row>
    <row r="210" ht="14.2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row>
    <row r="211" ht="14.2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row>
    <row r="212" ht="14.2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row>
    <row r="213" ht="14.2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row>
    <row r="214" ht="14.2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row>
    <row r="215" ht="14.2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row>
    <row r="216" ht="14.2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row>
    <row r="217" ht="14.2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row>
    <row r="218" ht="14.2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row>
    <row r="219" ht="14.2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row>
    <row r="220" ht="14.2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row>
    <row r="221" ht="14.2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row>
    <row r="222" ht="14.2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row>
    <row r="223" ht="14.2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row>
    <row r="224" ht="14.2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row>
    <row r="225" ht="14.2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row>
    <row r="226" ht="14.2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row>
    <row r="227" ht="14.2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row>
    <row r="228" ht="14.2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row>
    <row r="229" ht="14.2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row>
    <row r="230" ht="14.2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row>
    <row r="231" ht="14.2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row>
    <row r="232" ht="14.2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row>
    <row r="233" ht="14.2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row>
    <row r="234" ht="14.2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row>
    <row r="235" ht="14.2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row>
    <row r="236" ht="14.2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row>
    <row r="237" ht="14.2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row>
    <row r="238" ht="14.2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row>
    <row r="239" ht="14.2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row>
    <row r="240" ht="14.2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row>
    <row r="241" ht="14.2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row>
    <row r="242" ht="14.2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row>
    <row r="243" ht="14.2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row>
    <row r="244" ht="14.2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row>
    <row r="245" ht="14.2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row>
    <row r="246" ht="14.2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row>
    <row r="247" ht="14.2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row>
    <row r="248" ht="14.2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row>
    <row r="249" ht="14.2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row>
    <row r="250" ht="14.2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row>
    <row r="251" ht="14.2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row>
    <row r="252" ht="14.2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row>
    <row r="253" ht="14.2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row>
    <row r="254" ht="14.2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row>
    <row r="255" ht="14.2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row>
    <row r="256" ht="14.2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row>
    <row r="257" ht="14.2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row>
    <row r="258" ht="14.2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row>
    <row r="259" ht="14.2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row>
    <row r="260" ht="14.2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row>
    <row r="261" ht="14.2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row>
    <row r="262" ht="14.2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row>
    <row r="263" ht="14.2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row>
    <row r="264" ht="14.2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row>
    <row r="265" ht="14.2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row>
    <row r="266" ht="14.2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row>
    <row r="267" ht="14.2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row>
    <row r="268" ht="14.2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row>
    <row r="269" ht="14.2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row>
    <row r="270" ht="14.2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row>
    <row r="271" ht="14.2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row>
    <row r="272" ht="14.2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row>
    <row r="273" ht="14.2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row>
    <row r="274" ht="14.2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row>
    <row r="275" ht="14.2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row>
    <row r="276" ht="14.2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row>
    <row r="277" ht="14.2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row>
    <row r="278" ht="14.2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row>
    <row r="279" ht="14.2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row>
    <row r="280" ht="14.2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row>
    <row r="281" ht="14.2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row>
    <row r="282" ht="14.2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row>
    <row r="283" ht="14.2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row>
    <row r="284" ht="14.2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row>
    <row r="285" ht="14.2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row>
    <row r="286" ht="14.2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row>
    <row r="287" ht="14.2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row>
    <row r="288" ht="14.2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row>
    <row r="289" ht="14.2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row>
    <row r="290" ht="14.2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row>
    <row r="291" ht="14.2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row>
    <row r="292" ht="14.2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row>
    <row r="293" ht="14.2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row>
    <row r="294" ht="14.2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row>
    <row r="295" ht="14.2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row>
    <row r="296" ht="14.2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row>
    <row r="297" ht="14.2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row>
    <row r="298" ht="14.2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row>
    <row r="299" ht="14.2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row>
    <row r="300" ht="14.2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row>
    <row r="301" ht="14.2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row>
    <row r="302" ht="14.2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row>
    <row r="303" ht="14.2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row>
    <row r="304" ht="14.2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row>
    <row r="305" ht="14.2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row>
    <row r="306" ht="14.2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row>
    <row r="307" ht="14.2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row>
    <row r="308" ht="14.2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row>
    <row r="309" ht="14.2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row>
    <row r="310" ht="14.2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row>
    <row r="311" ht="14.2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row>
    <row r="312" ht="14.2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row>
    <row r="313" ht="14.2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row>
    <row r="314" ht="14.2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row>
    <row r="315" ht="14.2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row>
    <row r="316" ht="14.2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row>
    <row r="317" ht="14.2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row>
    <row r="318" ht="14.2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row>
    <row r="319" ht="14.2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row>
    <row r="320" ht="14.2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row>
    <row r="321" ht="14.2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row>
    <row r="322" ht="14.2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row>
    <row r="323" ht="14.2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row>
    <row r="324" ht="14.2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row>
    <row r="325" ht="14.2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row>
    <row r="326" ht="14.2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row>
    <row r="327" ht="14.2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row>
    <row r="328" ht="14.2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row>
    <row r="329" ht="14.2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row>
    <row r="330" ht="14.2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row>
    <row r="331" ht="14.2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row>
    <row r="332" ht="14.2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row>
    <row r="333" ht="14.2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row>
    <row r="334" ht="14.2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row>
    <row r="335" ht="14.2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row>
    <row r="336" ht="14.2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row>
    <row r="337" ht="14.2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row>
    <row r="338" ht="14.2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row>
    <row r="339" ht="14.2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row>
    <row r="340" ht="14.2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row>
    <row r="341" ht="14.2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row>
    <row r="342" ht="14.2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row>
    <row r="343" ht="14.2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row>
    <row r="344" ht="14.2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row>
    <row r="345" ht="14.2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row>
    <row r="346" ht="14.2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row>
    <row r="347" ht="14.2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row>
    <row r="348" ht="14.2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row>
    <row r="349" ht="14.2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row>
    <row r="350" ht="14.2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row>
    <row r="351" ht="14.2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row>
    <row r="352" ht="14.2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row>
    <row r="353" ht="14.2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row>
    <row r="354" ht="14.2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row>
    <row r="355" ht="14.2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row>
    <row r="356" ht="14.2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row>
    <row r="357" ht="14.2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row>
    <row r="358" ht="14.2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row>
    <row r="359" ht="14.2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row>
    <row r="360" ht="14.2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row>
    <row r="361" ht="14.2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row>
    <row r="362" ht="14.2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row>
    <row r="363" ht="14.2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row>
    <row r="364" ht="14.2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row>
    <row r="365" ht="14.2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row>
    <row r="366" ht="14.2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row>
    <row r="367" ht="14.2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row>
    <row r="368" ht="14.2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row>
    <row r="369" ht="14.2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row>
    <row r="370" ht="14.2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row>
    <row r="371" ht="14.2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row>
    <row r="372" ht="14.2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row>
    <row r="373" ht="14.2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row>
    <row r="374" ht="14.2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row>
    <row r="375" ht="14.2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row>
    <row r="376" ht="14.2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row>
    <row r="377" ht="14.2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row>
    <row r="378" ht="14.2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row>
    <row r="379" ht="14.2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row>
    <row r="380" ht="14.2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row>
    <row r="381" ht="14.2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row>
    <row r="382" ht="14.2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row>
    <row r="383" ht="14.2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row>
    <row r="384" ht="14.2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row>
    <row r="385" ht="14.2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row>
    <row r="386" ht="14.2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row>
    <row r="387" ht="14.2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row>
    <row r="388" ht="14.2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row>
    <row r="389" ht="14.2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row>
    <row r="390" ht="14.2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row>
    <row r="391" ht="14.2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row>
    <row r="392" ht="14.2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row>
    <row r="393" ht="14.2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row>
    <row r="394" ht="14.2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row>
    <row r="395" ht="14.2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row>
    <row r="396" ht="14.2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row>
    <row r="397" ht="14.2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row>
    <row r="398" ht="14.2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row>
    <row r="399" ht="14.2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row>
    <row r="400" ht="14.2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row>
    <row r="401" ht="14.2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row>
    <row r="402" ht="14.2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row>
    <row r="403" ht="14.2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row>
    <row r="404" ht="14.2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row>
    <row r="405" ht="14.2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row>
    <row r="406" ht="14.2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row>
    <row r="407" ht="14.2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row>
    <row r="408" ht="14.2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row>
    <row r="409" ht="14.2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row>
    <row r="410" ht="14.2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row>
    <row r="411" ht="14.2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row>
    <row r="412" ht="14.2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row>
    <row r="413" ht="14.2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row>
    <row r="414" ht="14.2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row>
    <row r="415" ht="14.2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row>
    <row r="416" ht="14.2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row>
    <row r="417" ht="14.2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row>
    <row r="418" ht="14.2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row>
    <row r="419" ht="14.2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row>
    <row r="420" ht="14.2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row>
    <row r="421" ht="14.2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row>
    <row r="422" ht="14.2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row>
    <row r="423" ht="14.2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row>
    <row r="424" ht="14.2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row>
    <row r="425" ht="14.2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row>
    <row r="426" ht="14.2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row>
    <row r="427" ht="14.2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row>
    <row r="428" ht="14.2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row>
    <row r="429" ht="14.2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row>
    <row r="430" ht="14.2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row>
    <row r="431" ht="14.2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row>
    <row r="432" ht="14.2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row>
    <row r="433" ht="14.2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row>
    <row r="434" ht="14.2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row>
    <row r="435" ht="14.2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row>
    <row r="436" ht="14.2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row>
    <row r="437" ht="14.2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row>
    <row r="438" ht="14.2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row>
    <row r="439" ht="14.2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row>
    <row r="440" ht="14.2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row>
    <row r="441" ht="14.2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row>
    <row r="442" ht="14.2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row>
    <row r="443" ht="14.2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row>
    <row r="444" ht="14.2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row>
    <row r="445" ht="14.2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row>
    <row r="446" ht="14.2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row>
    <row r="447" ht="14.2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row>
    <row r="448" ht="14.2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row>
    <row r="449" ht="14.2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row>
    <row r="450" ht="14.2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row>
    <row r="451" ht="14.2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row>
    <row r="452" ht="14.2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row>
    <row r="453" ht="14.2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row>
    <row r="454" ht="14.2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row>
    <row r="455" ht="14.2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row>
    <row r="456" ht="14.2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row>
    <row r="457" ht="14.2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row>
    <row r="458" ht="14.2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row>
    <row r="459" ht="14.2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row>
    <row r="460" ht="14.2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row>
    <row r="461" ht="14.2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row>
    <row r="462" ht="14.2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row>
    <row r="463" ht="14.2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row>
    <row r="464" ht="14.2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row>
    <row r="465" ht="14.2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row>
    <row r="466" ht="14.2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row>
    <row r="467" ht="14.2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row>
    <row r="468" ht="14.2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row>
    <row r="469" ht="14.2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row>
    <row r="470" ht="14.2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row>
    <row r="471" ht="14.2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row>
    <row r="472" ht="14.2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row>
    <row r="473" ht="14.2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row>
    <row r="474" ht="14.2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row>
    <row r="475" ht="14.2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row>
    <row r="476" ht="14.2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row>
    <row r="477" ht="14.2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row>
    <row r="478" ht="14.2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row>
    <row r="479" ht="14.2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row>
    <row r="480" ht="14.2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row>
    <row r="481" ht="14.2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row>
    <row r="482" ht="14.2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row>
    <row r="483" ht="14.2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row>
    <row r="484" ht="14.2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row>
    <row r="485" ht="14.2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row>
    <row r="486" ht="14.2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row>
    <row r="487" ht="14.2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row>
    <row r="488" ht="14.2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row>
    <row r="489" ht="14.2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row>
    <row r="490" ht="14.2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row>
    <row r="491" ht="14.2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row>
    <row r="492" ht="14.2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row>
    <row r="493" ht="14.2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row>
    <row r="494" ht="14.2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row>
    <row r="495" ht="14.2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row>
    <row r="496" ht="14.2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row>
    <row r="497" ht="14.2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row>
    <row r="498" ht="14.2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row>
    <row r="499" ht="14.2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row>
    <row r="500" ht="14.2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row>
    <row r="501" ht="14.2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row>
    <row r="502" ht="14.2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row>
    <row r="503" ht="14.2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row>
    <row r="504" ht="14.2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row>
    <row r="505" ht="14.2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row>
    <row r="506" ht="14.2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row>
    <row r="507" ht="14.2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row>
    <row r="508" ht="14.2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row>
    <row r="509" ht="14.2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row>
    <row r="510" ht="14.2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row>
    <row r="511" ht="14.2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row>
    <row r="512" ht="14.2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row>
    <row r="513" ht="14.2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row>
    <row r="514" ht="14.2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row>
    <row r="515" ht="14.2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row>
    <row r="516" ht="14.2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row>
    <row r="517" ht="14.2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row>
    <row r="518" ht="14.2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row>
    <row r="519" ht="14.2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row>
    <row r="520" ht="14.2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row>
    <row r="521" ht="14.2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row>
    <row r="522" ht="14.2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row>
    <row r="523" ht="14.2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row>
    <row r="524" ht="14.2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row>
    <row r="525" ht="14.2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row>
    <row r="526" ht="14.2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row>
    <row r="527" ht="14.2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row>
    <row r="528" ht="14.2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row>
    <row r="529" ht="14.2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row>
    <row r="530" ht="14.2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row>
    <row r="531" ht="14.2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row>
    <row r="532" ht="14.2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row>
    <row r="533" ht="14.2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row>
    <row r="534" ht="14.2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row>
    <row r="535" ht="14.2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row>
    <row r="536" ht="14.2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row>
    <row r="537" ht="14.2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row>
    <row r="538" ht="14.2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row>
    <row r="539" ht="14.2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row>
    <row r="540" ht="14.2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row>
    <row r="541" ht="14.2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row>
    <row r="542" ht="14.2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row>
    <row r="543" ht="14.2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row>
    <row r="544" ht="14.2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row>
    <row r="545" ht="14.2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row>
    <row r="546" ht="14.2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row>
    <row r="547" ht="14.2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row>
    <row r="548" ht="14.2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row>
    <row r="549" ht="14.2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row>
    <row r="550" ht="14.2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row>
    <row r="551" ht="14.2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row>
    <row r="552" ht="14.2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row>
    <row r="553" ht="14.2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row>
    <row r="554" ht="14.2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row>
    <row r="555" ht="14.2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row>
    <row r="556" ht="14.2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row>
    <row r="557" ht="14.2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row>
    <row r="558" ht="14.2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row>
    <row r="559" ht="14.2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row>
    <row r="560" ht="14.2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row>
    <row r="561" ht="14.2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row>
    <row r="562" ht="14.2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row>
    <row r="563" ht="14.2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row>
    <row r="564" ht="14.2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row>
    <row r="565" ht="14.2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row>
    <row r="566" ht="14.2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row>
    <row r="567" ht="14.2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row>
    <row r="568" ht="14.2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row>
    <row r="569" ht="14.2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row>
    <row r="570" ht="14.2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row>
    <row r="571" ht="14.2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row>
    <row r="572" ht="14.2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row>
    <row r="573" ht="14.2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row>
    <row r="574" ht="14.2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row>
    <row r="575" ht="14.2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row>
    <row r="576" ht="14.2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row>
    <row r="577" ht="14.2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row>
    <row r="578" ht="14.2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row>
    <row r="579" ht="14.2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row>
    <row r="580" ht="14.2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row>
    <row r="581" ht="14.2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row>
    <row r="582" ht="14.2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row>
    <row r="583" ht="14.2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row>
    <row r="584" ht="14.2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row>
    <row r="585" ht="14.2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row>
    <row r="586" ht="14.2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row>
    <row r="587" ht="14.2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row>
    <row r="588" ht="14.2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row>
    <row r="589" ht="14.2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row>
    <row r="590" ht="14.2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row>
    <row r="591" ht="14.2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row>
    <row r="592" ht="14.2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row>
    <row r="593" ht="14.2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row>
    <row r="594" ht="14.2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row>
    <row r="595" ht="14.2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row>
    <row r="596" ht="14.2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row>
    <row r="597" ht="14.2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row>
    <row r="598" ht="14.2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row>
    <row r="599" ht="14.2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row>
    <row r="600" ht="14.2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row>
    <row r="601" ht="14.2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row>
    <row r="602" ht="14.2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row>
    <row r="603" ht="14.2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row>
    <row r="604" ht="14.2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row>
    <row r="605" ht="14.2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row>
    <row r="606" ht="14.2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row>
    <row r="607" ht="14.2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row>
    <row r="608" ht="14.2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row>
    <row r="609" ht="14.2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row>
    <row r="610" ht="14.2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row>
    <row r="611" ht="14.2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row>
    <row r="612" ht="14.2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row>
    <row r="613" ht="14.2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row>
    <row r="614" ht="14.2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row>
    <row r="615" ht="14.2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row>
    <row r="616" ht="14.2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row>
    <row r="617" ht="14.2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row>
    <row r="618" ht="14.2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row>
    <row r="619" ht="14.2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row>
    <row r="620" ht="14.2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row>
    <row r="621" ht="14.2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row>
    <row r="622" ht="14.2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row>
    <row r="623" ht="14.2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row>
    <row r="624" ht="14.2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row>
    <row r="625" ht="14.2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row>
    <row r="626" ht="14.2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row>
    <row r="627" ht="14.2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row>
    <row r="628" ht="14.2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row>
    <row r="629" ht="14.2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row>
    <row r="630" ht="14.2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row>
    <row r="631" ht="14.2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row>
    <row r="632" ht="14.2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row>
    <row r="633" ht="14.2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row>
    <row r="634" ht="14.2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row>
    <row r="635" ht="14.2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row>
    <row r="636" ht="14.2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row>
    <row r="637" ht="14.2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row>
    <row r="638" ht="14.2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row>
    <row r="639" ht="14.2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row>
    <row r="640" ht="14.2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row>
    <row r="641" ht="14.2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row>
    <row r="642" ht="14.2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row>
    <row r="643" ht="14.2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row>
    <row r="644" ht="14.2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row>
    <row r="645" ht="14.2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row>
    <row r="646" ht="14.2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row>
    <row r="647" ht="14.2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row>
    <row r="648" ht="14.2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row>
    <row r="649" ht="14.2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row>
    <row r="650" ht="14.2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row>
    <row r="651" ht="14.2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row>
    <row r="652" ht="14.2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row>
    <row r="653" ht="14.2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row>
    <row r="654" ht="14.2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row>
    <row r="655" ht="14.2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row>
    <row r="656" ht="14.2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row>
    <row r="657" ht="14.2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row>
    <row r="658" ht="14.2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row>
    <row r="659" ht="14.2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row>
    <row r="660" ht="14.2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row>
    <row r="661" ht="14.2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row>
    <row r="662" ht="14.2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row>
    <row r="663" ht="14.2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row>
    <row r="664" ht="14.2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row>
    <row r="665" ht="14.2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row>
    <row r="666" ht="14.2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row>
    <row r="667" ht="14.2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row>
    <row r="668" ht="14.2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row>
    <row r="669" ht="14.2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row>
    <row r="670" ht="14.2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row>
    <row r="671" ht="14.2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row>
    <row r="672" ht="14.2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row>
    <row r="673" ht="14.2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row>
    <row r="674" ht="14.2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row>
    <row r="675" ht="14.2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row>
    <row r="676" ht="14.2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row>
    <row r="677" ht="14.2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row>
    <row r="678" ht="14.2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row>
    <row r="679" ht="14.2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row>
    <row r="680" ht="14.2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row>
    <row r="681" ht="14.2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row>
    <row r="682" ht="14.2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row>
    <row r="683" ht="14.2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row>
    <row r="684" ht="14.2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row>
    <row r="685" ht="14.2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row>
    <row r="686" ht="14.2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row>
    <row r="687" ht="14.2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row>
    <row r="688" ht="14.2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row>
    <row r="689" ht="14.2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row>
    <row r="690" ht="14.2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row>
    <row r="691" ht="14.2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row>
    <row r="692" ht="14.2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row>
    <row r="693" ht="14.2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row>
    <row r="694" ht="14.2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row>
    <row r="695" ht="14.2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row>
    <row r="696" ht="14.2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row>
    <row r="697" ht="14.2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row>
    <row r="698" ht="14.2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row>
    <row r="699" ht="14.2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row>
    <row r="700" ht="14.2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row>
    <row r="701" ht="14.2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row>
    <row r="702" ht="14.2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row>
    <row r="703" ht="14.2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row>
    <row r="704" ht="14.2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row>
    <row r="705" ht="14.2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row>
    <row r="706" ht="14.2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row>
    <row r="707" ht="14.2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row>
    <row r="708" ht="14.2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row>
    <row r="709" ht="14.2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row>
    <row r="710" ht="14.2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row>
    <row r="711" ht="14.2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row>
    <row r="712" ht="14.2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row>
    <row r="713" ht="14.2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row>
    <row r="714" ht="14.2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row>
    <row r="715" ht="14.2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row>
    <row r="716" ht="14.2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row>
    <row r="717" ht="14.2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row>
    <row r="718" ht="14.2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row>
    <row r="719" ht="14.2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row>
    <row r="720" ht="14.2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row>
    <row r="721" ht="14.2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row>
    <row r="722" ht="14.2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row>
    <row r="723" ht="14.2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row>
    <row r="724" ht="14.2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row>
    <row r="725" ht="14.2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row>
    <row r="726" ht="14.2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row>
    <row r="727" ht="14.2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row>
    <row r="728" ht="14.2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row>
    <row r="729" ht="14.2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row>
    <row r="730" ht="14.2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row>
    <row r="731" ht="14.2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row>
    <row r="732" ht="14.2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row>
    <row r="733" ht="14.2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row>
    <row r="734" ht="14.2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row>
    <row r="735" ht="14.2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row>
    <row r="736" ht="14.2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row>
    <row r="737" ht="14.2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row>
    <row r="738" ht="14.2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row>
    <row r="739" ht="14.2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row>
    <row r="740" ht="14.2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row>
    <row r="741" ht="14.2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row>
    <row r="742" ht="14.2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row>
    <row r="743" ht="14.2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row>
    <row r="744" ht="14.2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row>
    <row r="745" ht="14.2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row>
    <row r="746" ht="14.2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row>
    <row r="747" ht="14.2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row>
    <row r="748" ht="14.2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row>
    <row r="749" ht="14.2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row>
    <row r="750" ht="14.2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row>
    <row r="751" ht="14.2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row>
    <row r="752" ht="14.2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row>
    <row r="753" ht="14.2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row>
    <row r="754" ht="14.2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row>
    <row r="755" ht="14.2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row>
    <row r="756" ht="14.2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row>
    <row r="757" ht="14.2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row>
    <row r="758" ht="14.2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row>
    <row r="759" ht="14.2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row>
    <row r="760" ht="14.2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row>
    <row r="761" ht="14.2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row>
    <row r="762" ht="14.2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row>
    <row r="763" ht="14.2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row>
    <row r="764" ht="14.2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row>
    <row r="765" ht="14.2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row>
    <row r="766" ht="14.2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row>
    <row r="767" ht="14.2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row>
    <row r="768" ht="14.2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row>
    <row r="769" ht="14.2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row>
    <row r="770" ht="14.2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row>
    <row r="771" ht="14.2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row>
    <row r="772" ht="14.2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row>
    <row r="773" ht="14.2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row>
    <row r="774" ht="14.2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row>
    <row r="775" ht="14.2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row>
    <row r="776" ht="14.2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row>
    <row r="777" ht="14.2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row>
    <row r="778" ht="14.2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row>
    <row r="779" ht="14.2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row>
    <row r="780" ht="14.2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row>
    <row r="781" ht="14.2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row>
    <row r="782" ht="14.2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row>
    <row r="783" ht="14.2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row>
    <row r="784" ht="14.2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row>
    <row r="785" ht="14.2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row>
    <row r="786" ht="14.2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row>
    <row r="787" ht="14.2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row>
    <row r="788" ht="14.2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row>
    <row r="789" ht="14.2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row>
    <row r="790" ht="14.2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row>
    <row r="791" ht="14.2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row>
    <row r="792" ht="14.2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row>
    <row r="793" ht="14.2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row>
    <row r="794" ht="14.2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row>
    <row r="795" ht="14.2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row>
    <row r="796" ht="14.2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row>
    <row r="797" ht="14.2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row>
    <row r="798" ht="14.2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row>
    <row r="799" ht="14.2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row>
    <row r="800" ht="14.2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row>
    <row r="801" ht="14.2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row>
    <row r="802" ht="14.2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row>
    <row r="803" ht="14.2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row>
    <row r="804" ht="14.2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row>
    <row r="805" ht="14.2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row>
    <row r="806" ht="14.2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row>
    <row r="807" ht="14.2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row>
    <row r="808" ht="14.2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row>
    <row r="809" ht="14.2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row>
    <row r="810" ht="14.2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row>
    <row r="811" ht="14.2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row>
    <row r="812" ht="14.2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row>
    <row r="813" ht="14.2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row>
    <row r="814" ht="14.2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row>
    <row r="815" ht="14.2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row>
    <row r="816" ht="14.2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row>
    <row r="817" ht="14.2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row>
    <row r="818" ht="14.2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row>
    <row r="819" ht="14.2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row>
    <row r="820" ht="14.2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row>
    <row r="821" ht="14.2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row>
    <row r="822" ht="14.2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row>
    <row r="823" ht="14.2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row>
    <row r="824" ht="14.2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row>
    <row r="825" ht="14.2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row>
    <row r="826" ht="14.2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row>
    <row r="827" ht="14.2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row>
    <row r="828" ht="14.2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row>
    <row r="829" ht="14.2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row>
    <row r="830" ht="14.2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row>
    <row r="831" ht="14.2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row>
    <row r="832" ht="14.2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row>
    <row r="833" ht="14.2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row>
    <row r="834" ht="14.2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row>
    <row r="835" ht="14.2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row>
    <row r="836" ht="14.2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row>
    <row r="837" ht="14.2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row>
    <row r="838" ht="14.2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row>
    <row r="839" ht="14.2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row>
    <row r="840" ht="14.2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row>
    <row r="841" ht="14.2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row>
    <row r="842" ht="14.2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row>
    <row r="843" ht="14.2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row>
    <row r="844" ht="14.2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row>
    <row r="845" ht="14.2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row>
    <row r="846" ht="14.2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row>
    <row r="847" ht="14.2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row>
    <row r="848" ht="14.2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row>
    <row r="849" ht="14.2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row>
    <row r="850" ht="14.2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row>
    <row r="851" ht="14.2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row>
    <row r="852" ht="14.2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row>
    <row r="853" ht="14.2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row>
    <row r="854" ht="14.2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row>
    <row r="855" ht="14.2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row>
    <row r="856" ht="14.2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row>
    <row r="857" ht="14.2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row>
    <row r="858" ht="14.2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row>
    <row r="859" ht="14.2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row>
    <row r="860" ht="14.2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row>
    <row r="861" ht="14.2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row>
    <row r="862" ht="14.2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row>
    <row r="863" ht="14.2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row>
    <row r="864" ht="14.2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row>
    <row r="865" ht="14.2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row>
    <row r="866" ht="14.2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row>
    <row r="867" ht="14.2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row>
    <row r="868" ht="14.2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row>
    <row r="869" ht="14.2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row>
    <row r="870" ht="14.2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row>
    <row r="871" ht="14.2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row>
    <row r="872" ht="14.2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row>
    <row r="873" ht="14.2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row>
    <row r="874" ht="14.2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row>
    <row r="875" ht="14.2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row>
    <row r="876" ht="14.2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row>
    <row r="877" ht="14.2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row>
    <row r="878" ht="14.2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row>
    <row r="879" ht="14.2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row>
    <row r="880" ht="14.2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row>
    <row r="881" ht="14.2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row>
    <row r="882" ht="14.2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row>
    <row r="883" ht="14.2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row>
    <row r="884" ht="14.2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row>
    <row r="885" ht="14.2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row>
    <row r="886" ht="14.2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row>
    <row r="887" ht="14.2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row>
    <row r="888" ht="14.2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row>
    <row r="889" ht="14.2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row>
    <row r="890" ht="14.2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row>
    <row r="891" ht="14.2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row>
    <row r="892" ht="14.2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row>
    <row r="893" ht="14.2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row>
    <row r="894" ht="14.2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row>
    <row r="895" ht="14.2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row>
    <row r="896" ht="14.2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row>
    <row r="897" ht="14.2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row>
    <row r="898" ht="14.2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row>
    <row r="899" ht="14.2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row>
    <row r="900" ht="14.2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row>
    <row r="901" ht="14.2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row>
    <row r="902" ht="14.2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row>
    <row r="903" ht="14.2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row>
    <row r="904" ht="14.2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row>
    <row r="905" ht="14.2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row>
    <row r="906" ht="14.2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row>
    <row r="907" ht="14.2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row>
    <row r="908" ht="14.2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row>
    <row r="909" ht="14.2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row>
    <row r="910" ht="14.2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row>
    <row r="911" ht="14.2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row>
    <row r="912" ht="14.2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row>
    <row r="913" ht="14.2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row>
    <row r="914" ht="14.2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row>
    <row r="915" ht="14.2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row>
    <row r="916" ht="14.2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row>
    <row r="917" ht="14.2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row>
    <row r="918" ht="14.2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row>
    <row r="919" ht="14.2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row>
    <row r="920" ht="14.2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row>
    <row r="921" ht="14.2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row>
    <row r="922" ht="14.2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row>
    <row r="923" ht="14.2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row>
    <row r="924" ht="14.2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row>
    <row r="925" ht="14.2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row>
    <row r="926" ht="14.2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row>
    <row r="927" ht="14.2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row>
    <row r="928" ht="14.2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row>
    <row r="929" ht="14.2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row>
    <row r="930" ht="14.2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row>
    <row r="931" ht="14.2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row>
    <row r="932" ht="14.2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row>
    <row r="933" ht="14.2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row>
    <row r="934" ht="14.2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row>
    <row r="935" ht="14.2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row>
    <row r="936" ht="14.2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row>
    <row r="937" ht="14.2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row>
    <row r="938" ht="14.2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row>
    <row r="939" ht="14.2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row>
    <row r="940" ht="14.2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row>
    <row r="941" ht="14.2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row>
    <row r="942" ht="14.2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row>
    <row r="943" ht="14.2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row>
    <row r="944" ht="14.2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row>
    <row r="945" ht="14.2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row>
    <row r="946" ht="14.2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row>
    <row r="947" ht="14.2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row>
    <row r="948" ht="14.2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row>
    <row r="949" ht="14.2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row>
    <row r="950" ht="14.2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row>
    <row r="951" ht="14.2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row>
    <row r="952" ht="14.2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row>
    <row r="953" ht="14.2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row>
    <row r="954" ht="14.2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row>
    <row r="955" ht="14.2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row>
    <row r="956" ht="14.2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row>
    <row r="957" ht="14.2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row>
    <row r="958" ht="14.2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row>
    <row r="959" ht="14.2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row>
    <row r="960" ht="14.2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row>
    <row r="961" ht="14.2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row>
    <row r="962" ht="14.2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row>
    <row r="963" ht="14.2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row>
    <row r="964" ht="14.2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row>
    <row r="965" ht="14.2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row>
    <row r="966" ht="14.2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row>
    <row r="967" ht="14.2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row>
    <row r="968" ht="14.2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row>
    <row r="969" ht="14.2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row>
    <row r="970" ht="14.2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row>
    <row r="971" ht="14.2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row>
    <row r="972" ht="14.2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row>
    <row r="973" ht="14.2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row>
    <row r="974" ht="14.2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row>
    <row r="975" ht="14.2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row>
    <row r="976" ht="14.2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row>
    <row r="977" ht="14.2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row>
    <row r="978" ht="14.2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row>
    <row r="979" ht="14.2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row>
    <row r="980" ht="14.2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row>
    <row r="981" ht="14.2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row>
    <row r="982" ht="14.2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row>
    <row r="983" ht="14.2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row>
    <row r="984" ht="14.2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row>
    <row r="985" ht="14.2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row>
    <row r="986" ht="14.2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row>
    <row r="987" ht="14.2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row>
    <row r="988" ht="14.2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row>
    <row r="989" ht="14.2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row>
    <row r="990" ht="14.2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row>
    <row r="991" ht="14.2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row>
    <row r="992" ht="14.2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row>
    <row r="993" ht="14.2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row>
    <row r="994" ht="14.2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row>
    <row r="995" ht="14.2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row>
    <row r="996" ht="14.2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row>
    <row r="997" ht="14.2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row>
    <row r="998" ht="14.2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row>
    <row r="999" ht="14.2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row>
  </sheetData>
  <conditionalFormatting sqref="A2:AG999">
    <cfRule type="expression" dxfId="0" priority="1">
      <formula>$P2="No"</formula>
    </cfRule>
  </conditionalFormatting>
  <conditionalFormatting sqref="A2:AG999">
    <cfRule type="expression" dxfId="1" priority="2">
      <formula>$P2=""</formula>
    </cfRule>
  </conditionalFormatting>
  <dataValidations>
    <dataValidation type="list" allowBlank="1" showErrorMessage="1" sqref="R2:R35">
      <formula1>'Exclussion basis'!$A$2:$A$4</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1"/>
    <hyperlink r:id="rId20" ref="C22"/>
    <hyperlink r:id="rId21" ref="C23"/>
    <hyperlink r:id="rId22" ref="C24"/>
    <hyperlink r:id="rId23" ref="C25"/>
    <hyperlink r:id="rId24" ref="C26"/>
    <hyperlink r:id="rId25" ref="C27"/>
    <hyperlink r:id="rId26" ref="C29"/>
    <hyperlink r:id="rId27" ref="C30"/>
    <hyperlink r:id="rId28" ref="C31"/>
    <hyperlink r:id="rId29" ref="C32"/>
    <hyperlink r:id="rId30" ref="C33"/>
    <hyperlink r:id="rId31" ref="C34"/>
    <hyperlink r:id="rId32" ref="C35"/>
  </hyperlinks>
  <printOptions/>
  <pageMargins bottom="0.75" footer="0.0" header="0.0" left="0.7" right="0.7" top="0.75"/>
  <pageSetup orientation="landscape"/>
  <drawing r:id="rId3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33.44"/>
    <col customWidth="1" min="3" max="3" width="14.67"/>
    <col customWidth="1" min="4" max="4" width="33.44"/>
    <col customWidth="1" min="5" max="5" width="7.22"/>
    <col customWidth="1" min="6" max="6" width="7.33"/>
    <col customWidth="1" min="7" max="8" width="33.44"/>
    <col customWidth="1" min="9" max="9" width="16.11"/>
    <col customWidth="1" min="10" max="13" width="33.44"/>
    <col customWidth="1" min="14" max="14" width="25.22"/>
    <col customWidth="1" min="15" max="15" width="33.44"/>
    <col customWidth="1" min="16" max="16" width="14.0"/>
    <col customWidth="1" min="17" max="17" width="33.44"/>
    <col customWidth="1" min="18" max="18" width="14.89"/>
    <col customWidth="1" min="19" max="19" width="33.44"/>
    <col customWidth="1" min="20" max="20" width="6.78"/>
    <col customWidth="1" min="21" max="21" width="7.78"/>
    <col customWidth="1" min="22" max="22" width="6.78"/>
    <col customWidth="1" min="23" max="23" width="6.89"/>
    <col customWidth="1" min="24" max="24" width="33.44"/>
    <col customWidth="1" min="25" max="25" width="6.78"/>
    <col customWidth="1" min="26" max="28" width="6.89"/>
    <col customWidth="1" min="29" max="32" width="6.78"/>
  </cols>
  <sheetData>
    <row r="1" ht="28.5" customHeight="1">
      <c r="A1" s="378" t="s">
        <v>57</v>
      </c>
      <c r="B1" s="378" t="s">
        <v>58</v>
      </c>
      <c r="C1" s="378" t="s">
        <v>59</v>
      </c>
      <c r="D1" s="378" t="s">
        <v>60</v>
      </c>
      <c r="E1" s="52" t="s">
        <v>942</v>
      </c>
      <c r="F1" s="52" t="s">
        <v>3252</v>
      </c>
      <c r="G1" s="378" t="s">
        <v>61</v>
      </c>
      <c r="H1" s="378" t="s">
        <v>62</v>
      </c>
      <c r="I1" s="378" t="s">
        <v>2614</v>
      </c>
      <c r="J1" s="378" t="s">
        <v>2615</v>
      </c>
      <c r="K1" s="378" t="s">
        <v>2616</v>
      </c>
      <c r="L1" s="378" t="s">
        <v>2617</v>
      </c>
      <c r="M1" s="52" t="s">
        <v>3056</v>
      </c>
      <c r="N1" s="378" t="s">
        <v>2619</v>
      </c>
      <c r="O1" s="378" t="s">
        <v>2620</v>
      </c>
      <c r="P1" s="378" t="s">
        <v>2621</v>
      </c>
      <c r="Q1" s="378" t="s">
        <v>2622</v>
      </c>
      <c r="R1" s="378" t="s">
        <v>2623</v>
      </c>
      <c r="S1" s="378" t="s">
        <v>2624</v>
      </c>
      <c r="T1" s="378" t="s">
        <v>943</v>
      </c>
      <c r="U1" s="52" t="s">
        <v>2626</v>
      </c>
      <c r="V1" s="52" t="s">
        <v>61</v>
      </c>
      <c r="W1" s="52" t="s">
        <v>62</v>
      </c>
      <c r="X1" s="52" t="s">
        <v>4048</v>
      </c>
      <c r="Y1" s="52" t="s">
        <v>949</v>
      </c>
      <c r="Z1" s="52" t="s">
        <v>4049</v>
      </c>
      <c r="AA1" s="378" t="s">
        <v>2629</v>
      </c>
      <c r="AB1" s="378" t="s">
        <v>2630</v>
      </c>
    </row>
    <row r="2" ht="14.25" customHeight="1">
      <c r="A2" s="379" t="s">
        <v>503</v>
      </c>
      <c r="B2" s="379" t="s">
        <v>504</v>
      </c>
      <c r="C2" s="379" t="s">
        <v>88</v>
      </c>
      <c r="D2" s="379" t="s">
        <v>505</v>
      </c>
      <c r="E2" s="379"/>
      <c r="F2" s="379"/>
      <c r="G2" s="379"/>
      <c r="H2" s="379" t="s">
        <v>506</v>
      </c>
      <c r="I2" s="379" t="s">
        <v>49</v>
      </c>
      <c r="J2" s="39" t="s">
        <v>4050</v>
      </c>
      <c r="K2" s="39" t="s">
        <v>4051</v>
      </c>
      <c r="L2" s="380" t="s">
        <v>3668</v>
      </c>
      <c r="M2" s="39" t="s">
        <v>4052</v>
      </c>
      <c r="N2" s="39" t="s">
        <v>4053</v>
      </c>
      <c r="O2" s="39" t="s">
        <v>4054</v>
      </c>
      <c r="P2" s="380" t="s">
        <v>930</v>
      </c>
      <c r="Q2" s="379"/>
      <c r="R2" s="379" t="s">
        <v>2636</v>
      </c>
      <c r="S2" s="379"/>
      <c r="T2" s="379"/>
      <c r="U2" s="380"/>
      <c r="V2" s="380"/>
      <c r="W2" s="380"/>
      <c r="X2" s="380" t="s">
        <v>4055</v>
      </c>
      <c r="Y2" s="379"/>
      <c r="Z2" s="380" t="s">
        <v>961</v>
      </c>
      <c r="AA2" s="379"/>
      <c r="AB2" s="379"/>
    </row>
    <row r="3" ht="14.25" customHeight="1">
      <c r="A3" s="379" t="s">
        <v>508</v>
      </c>
      <c r="B3" s="379" t="s">
        <v>509</v>
      </c>
      <c r="C3" s="379" t="s">
        <v>88</v>
      </c>
      <c r="D3" s="379" t="s">
        <v>510</v>
      </c>
      <c r="E3" s="379"/>
      <c r="F3" s="379"/>
      <c r="G3" s="379" t="s">
        <v>511</v>
      </c>
      <c r="H3" s="379" t="s">
        <v>233</v>
      </c>
      <c r="I3" s="379" t="s">
        <v>49</v>
      </c>
      <c r="J3" s="380" t="s">
        <v>4056</v>
      </c>
      <c r="K3" s="380" t="s">
        <v>4057</v>
      </c>
      <c r="L3" s="380" t="s">
        <v>4058</v>
      </c>
      <c r="M3" s="380" t="s">
        <v>4059</v>
      </c>
      <c r="N3" s="380" t="s">
        <v>995</v>
      </c>
      <c r="O3" s="380" t="s">
        <v>4060</v>
      </c>
      <c r="P3" s="380" t="s">
        <v>930</v>
      </c>
      <c r="Q3" s="379"/>
      <c r="R3" s="381"/>
      <c r="S3" s="379"/>
      <c r="T3" s="379"/>
      <c r="U3" s="380"/>
      <c r="V3" s="380"/>
      <c r="W3" s="380"/>
      <c r="X3" s="380" t="s">
        <v>4061</v>
      </c>
      <c r="Y3" s="379"/>
      <c r="Z3" s="380" t="s">
        <v>1816</v>
      </c>
      <c r="AA3" s="379"/>
      <c r="AB3" s="379"/>
    </row>
    <row r="4" ht="14.25" customHeight="1">
      <c r="A4" s="379" t="s">
        <v>512</v>
      </c>
      <c r="B4" s="379" t="s">
        <v>513</v>
      </c>
      <c r="C4" s="379" t="s">
        <v>88</v>
      </c>
      <c r="D4" s="379" t="s">
        <v>207</v>
      </c>
      <c r="E4" s="379"/>
      <c r="F4" s="379"/>
      <c r="G4" s="379" t="s">
        <v>514</v>
      </c>
      <c r="H4" s="379" t="s">
        <v>515</v>
      </c>
      <c r="I4" s="379" t="s">
        <v>49</v>
      </c>
      <c r="J4" s="380" t="s">
        <v>4062</v>
      </c>
      <c r="K4" s="380" t="s">
        <v>4063</v>
      </c>
      <c r="L4" s="380" t="s">
        <v>4064</v>
      </c>
      <c r="M4" s="380" t="s">
        <v>4065</v>
      </c>
      <c r="N4" s="380" t="s">
        <v>995</v>
      </c>
      <c r="O4" s="380" t="s">
        <v>4066</v>
      </c>
      <c r="P4" s="380" t="s">
        <v>930</v>
      </c>
      <c r="Q4" s="379"/>
      <c r="R4" s="381"/>
      <c r="S4" s="379"/>
      <c r="T4" s="379"/>
      <c r="U4" s="380"/>
      <c r="V4" s="380"/>
      <c r="W4" s="380"/>
      <c r="X4" s="380" t="s">
        <v>4067</v>
      </c>
      <c r="Y4" s="379"/>
      <c r="Z4" s="380" t="s">
        <v>961</v>
      </c>
      <c r="AA4" s="379"/>
      <c r="AB4" s="379"/>
    </row>
    <row r="5" ht="14.25" customHeight="1">
      <c r="A5" s="379" t="s">
        <v>516</v>
      </c>
      <c r="B5" s="379" t="s">
        <v>517</v>
      </c>
      <c r="C5" s="379" t="s">
        <v>88</v>
      </c>
      <c r="D5" s="379" t="s">
        <v>518</v>
      </c>
      <c r="E5" s="379"/>
      <c r="F5" s="379"/>
      <c r="G5" s="379" t="s">
        <v>418</v>
      </c>
      <c r="H5" s="379" t="s">
        <v>419</v>
      </c>
      <c r="I5" s="379" t="s">
        <v>49</v>
      </c>
      <c r="J5" s="380" t="s">
        <v>4068</v>
      </c>
      <c r="K5" s="380" t="s">
        <v>4069</v>
      </c>
      <c r="L5" s="380" t="s">
        <v>4070</v>
      </c>
      <c r="M5" s="380" t="s">
        <v>4070</v>
      </c>
      <c r="N5" s="380" t="s">
        <v>4071</v>
      </c>
      <c r="O5" s="380" t="s">
        <v>4072</v>
      </c>
      <c r="P5" s="380" t="s">
        <v>930</v>
      </c>
      <c r="Q5" s="379"/>
      <c r="R5" s="381"/>
      <c r="S5" s="379"/>
      <c r="T5" s="379"/>
      <c r="U5" s="380"/>
      <c r="V5" s="380"/>
      <c r="W5" s="380"/>
      <c r="X5" s="380" t="s">
        <v>4073</v>
      </c>
      <c r="Y5" s="379"/>
      <c r="Z5" s="380" t="s">
        <v>961</v>
      </c>
      <c r="AA5" s="379"/>
      <c r="AB5" s="379"/>
    </row>
    <row r="6" ht="14.25" customHeight="1">
      <c r="A6" s="379" t="s">
        <v>519</v>
      </c>
      <c r="B6" s="379" t="s">
        <v>520</v>
      </c>
      <c r="C6" s="379" t="s">
        <v>88</v>
      </c>
      <c r="D6" s="379" t="s">
        <v>521</v>
      </c>
      <c r="E6" s="379"/>
      <c r="F6" s="379"/>
      <c r="G6" s="379" t="s">
        <v>522</v>
      </c>
      <c r="H6" s="379" t="s">
        <v>523</v>
      </c>
      <c r="I6" s="379" t="s">
        <v>49</v>
      </c>
      <c r="J6" s="380" t="s">
        <v>4074</v>
      </c>
      <c r="K6" s="380" t="s">
        <v>4075</v>
      </c>
      <c r="L6" s="380" t="s">
        <v>4076</v>
      </c>
      <c r="M6" s="380" t="s">
        <v>4076</v>
      </c>
      <c r="N6" s="380" t="s">
        <v>995</v>
      </c>
      <c r="O6" s="380" t="s">
        <v>4077</v>
      </c>
      <c r="P6" s="380" t="s">
        <v>930</v>
      </c>
      <c r="Q6" s="379"/>
      <c r="R6" s="381"/>
      <c r="S6" s="379"/>
      <c r="T6" s="379"/>
      <c r="U6" s="380"/>
      <c r="V6" s="380"/>
      <c r="W6" s="380"/>
      <c r="X6" s="380" t="s">
        <v>4078</v>
      </c>
      <c r="Y6" s="379"/>
      <c r="Z6" s="380" t="s">
        <v>1833</v>
      </c>
      <c r="AA6" s="379"/>
      <c r="AB6" s="379"/>
    </row>
    <row r="7">
      <c r="A7" s="379" t="s">
        <v>524</v>
      </c>
      <c r="B7" s="379" t="s">
        <v>525</v>
      </c>
      <c r="C7" s="379" t="s">
        <v>88</v>
      </c>
      <c r="D7" s="379" t="s">
        <v>287</v>
      </c>
      <c r="E7" s="379"/>
      <c r="F7" s="379"/>
      <c r="G7" s="379" t="s">
        <v>346</v>
      </c>
      <c r="H7" s="379" t="s">
        <v>526</v>
      </c>
      <c r="I7" s="379" t="s">
        <v>49</v>
      </c>
      <c r="J7" s="380" t="s">
        <v>4079</v>
      </c>
      <c r="K7" s="380" t="s">
        <v>4080</v>
      </c>
      <c r="L7" s="380" t="s">
        <v>4081</v>
      </c>
      <c r="M7" s="379"/>
      <c r="N7" s="380" t="s">
        <v>995</v>
      </c>
      <c r="O7" s="380" t="s">
        <v>4082</v>
      </c>
      <c r="P7" s="380" t="s">
        <v>930</v>
      </c>
      <c r="Q7" s="379"/>
      <c r="R7" s="381"/>
      <c r="S7" s="380" t="s">
        <v>4083</v>
      </c>
      <c r="T7" s="379"/>
      <c r="U7" s="379"/>
      <c r="V7" s="379"/>
      <c r="W7" s="379"/>
      <c r="X7" s="380" t="s">
        <v>4084</v>
      </c>
      <c r="Y7" s="379"/>
      <c r="Z7" s="380" t="s">
        <v>961</v>
      </c>
      <c r="AA7" s="379"/>
      <c r="AB7" s="379"/>
    </row>
    <row r="8" ht="14.25" customHeight="1">
      <c r="A8" s="382" t="s">
        <v>527</v>
      </c>
      <c r="B8" s="382" t="s">
        <v>528</v>
      </c>
      <c r="C8" s="382" t="s">
        <v>88</v>
      </c>
      <c r="D8" s="382" t="s">
        <v>529</v>
      </c>
      <c r="E8" s="382"/>
      <c r="F8" s="382"/>
      <c r="G8" s="382" t="s">
        <v>137</v>
      </c>
      <c r="H8" s="382" t="s">
        <v>530</v>
      </c>
      <c r="I8" s="382" t="s">
        <v>49</v>
      </c>
      <c r="J8" s="383" t="s">
        <v>4085</v>
      </c>
      <c r="K8" s="383" t="s">
        <v>4086</v>
      </c>
      <c r="L8" s="383" t="s">
        <v>4087</v>
      </c>
      <c r="M8" s="382"/>
      <c r="N8" s="383" t="s">
        <v>4088</v>
      </c>
      <c r="O8" s="383" t="s">
        <v>4089</v>
      </c>
      <c r="P8" s="383" t="s">
        <v>961</v>
      </c>
      <c r="Q8" s="383" t="s">
        <v>4090</v>
      </c>
      <c r="R8" s="383" t="s">
        <v>2388</v>
      </c>
      <c r="S8" s="382"/>
      <c r="T8" s="382"/>
      <c r="U8" s="382"/>
      <c r="V8" s="382"/>
      <c r="W8" s="382"/>
      <c r="X8" s="383" t="s">
        <v>4091</v>
      </c>
      <c r="Y8" s="382"/>
      <c r="Z8" s="383" t="s">
        <v>961</v>
      </c>
      <c r="AA8" s="382"/>
      <c r="AB8" s="382"/>
      <c r="AC8" s="256"/>
      <c r="AD8" s="256"/>
      <c r="AE8" s="256"/>
      <c r="AF8" s="256"/>
    </row>
    <row r="9" ht="14.25" customHeight="1">
      <c r="A9" s="379" t="s">
        <v>531</v>
      </c>
      <c r="B9" s="379" t="s">
        <v>532</v>
      </c>
      <c r="C9" s="379" t="s">
        <v>88</v>
      </c>
      <c r="D9" s="379" t="s">
        <v>363</v>
      </c>
      <c r="E9" s="379"/>
      <c r="F9" s="379"/>
      <c r="G9" s="379" t="s">
        <v>126</v>
      </c>
      <c r="H9" s="379" t="s">
        <v>393</v>
      </c>
      <c r="I9" s="379" t="s">
        <v>49</v>
      </c>
      <c r="J9" s="380" t="s">
        <v>4092</v>
      </c>
      <c r="K9" s="380" t="s">
        <v>4093</v>
      </c>
      <c r="L9" s="380" t="s">
        <v>4094</v>
      </c>
      <c r="M9" s="379"/>
      <c r="N9" s="380" t="s">
        <v>995</v>
      </c>
      <c r="O9" s="380" t="s">
        <v>4095</v>
      </c>
      <c r="P9" s="380" t="s">
        <v>930</v>
      </c>
      <c r="Q9" s="379"/>
      <c r="R9" s="381"/>
      <c r="S9" s="380" t="s">
        <v>4096</v>
      </c>
      <c r="T9" s="379"/>
      <c r="U9" s="379"/>
      <c r="V9" s="379"/>
      <c r="W9" s="379"/>
      <c r="X9" s="380" t="s">
        <v>4097</v>
      </c>
      <c r="Y9" s="379"/>
      <c r="Z9" s="380" t="s">
        <v>1845</v>
      </c>
      <c r="AA9" s="379"/>
      <c r="AB9" s="379"/>
    </row>
    <row r="10" ht="14.25" customHeight="1">
      <c r="A10" s="379" t="s">
        <v>533</v>
      </c>
      <c r="B10" s="379" t="s">
        <v>534</v>
      </c>
      <c r="C10" s="379" t="s">
        <v>88</v>
      </c>
      <c r="D10" s="379" t="s">
        <v>227</v>
      </c>
      <c r="E10" s="379"/>
      <c r="F10" s="379"/>
      <c r="G10" s="379" t="s">
        <v>535</v>
      </c>
      <c r="H10" s="379" t="s">
        <v>536</v>
      </c>
      <c r="I10" s="379" t="s">
        <v>49</v>
      </c>
      <c r="J10" s="380" t="s">
        <v>4098</v>
      </c>
      <c r="K10" s="380" t="s">
        <v>4099</v>
      </c>
      <c r="L10" s="380" t="s">
        <v>4100</v>
      </c>
      <c r="M10" s="379"/>
      <c r="N10" s="380" t="s">
        <v>1142</v>
      </c>
      <c r="O10" s="380" t="s">
        <v>4101</v>
      </c>
      <c r="P10" s="380" t="s">
        <v>930</v>
      </c>
      <c r="Q10" s="379"/>
      <c r="R10" s="381"/>
      <c r="S10" s="379"/>
      <c r="T10" s="379"/>
      <c r="U10" s="379"/>
      <c r="V10" s="379"/>
      <c r="W10" s="379"/>
      <c r="X10" s="380" t="s">
        <v>4102</v>
      </c>
      <c r="Y10" s="379"/>
      <c r="Z10" s="380" t="s">
        <v>1851</v>
      </c>
      <c r="AA10" s="379"/>
      <c r="AB10" s="379"/>
    </row>
    <row r="11" ht="14.25" customHeight="1">
      <c r="A11" s="384" t="s">
        <v>537</v>
      </c>
      <c r="B11" s="384" t="s">
        <v>538</v>
      </c>
      <c r="C11" s="384" t="s">
        <v>88</v>
      </c>
      <c r="D11" s="384" t="s">
        <v>406</v>
      </c>
      <c r="E11" s="384"/>
      <c r="F11" s="384"/>
      <c r="G11" s="384" t="s">
        <v>142</v>
      </c>
      <c r="H11" s="384" t="s">
        <v>142</v>
      </c>
      <c r="I11" s="384" t="s">
        <v>49</v>
      </c>
      <c r="J11" s="385" t="s">
        <v>4103</v>
      </c>
      <c r="K11" s="385" t="s">
        <v>4104</v>
      </c>
      <c r="L11" s="385" t="s">
        <v>4105</v>
      </c>
      <c r="M11" s="385" t="s">
        <v>4106</v>
      </c>
      <c r="N11" s="385" t="s">
        <v>995</v>
      </c>
      <c r="O11" s="385" t="s">
        <v>4107</v>
      </c>
      <c r="P11" s="385" t="s">
        <v>930</v>
      </c>
      <c r="Q11" s="384"/>
      <c r="R11" s="386"/>
      <c r="S11" s="384"/>
      <c r="T11" s="384"/>
      <c r="U11" s="384"/>
      <c r="V11" s="384"/>
      <c r="W11" s="384"/>
      <c r="X11" s="385" t="s">
        <v>4108</v>
      </c>
      <c r="Y11" s="384"/>
      <c r="Z11" s="385" t="s">
        <v>961</v>
      </c>
      <c r="AA11" s="384"/>
      <c r="AB11" s="384"/>
    </row>
    <row r="12" ht="14.25" customHeight="1">
      <c r="A12" s="379" t="s">
        <v>539</v>
      </c>
      <c r="B12" s="379" t="s">
        <v>540</v>
      </c>
      <c r="C12" s="379" t="s">
        <v>88</v>
      </c>
      <c r="D12" s="379" t="s">
        <v>224</v>
      </c>
      <c r="E12" s="379"/>
      <c r="F12" s="379"/>
      <c r="G12" s="379" t="s">
        <v>162</v>
      </c>
      <c r="H12" s="379" t="s">
        <v>541</v>
      </c>
      <c r="I12" s="379" t="s">
        <v>49</v>
      </c>
      <c r="J12" s="380" t="s">
        <v>4109</v>
      </c>
      <c r="K12" s="380" t="s">
        <v>4110</v>
      </c>
      <c r="L12" s="380" t="s">
        <v>4111</v>
      </c>
      <c r="M12" s="379"/>
      <c r="N12" s="380" t="s">
        <v>4112</v>
      </c>
      <c r="O12" s="380" t="s">
        <v>4113</v>
      </c>
      <c r="P12" s="380" t="s">
        <v>930</v>
      </c>
      <c r="Q12" s="379"/>
      <c r="R12" s="380" t="s">
        <v>2388</v>
      </c>
      <c r="S12" s="380" t="s">
        <v>4114</v>
      </c>
      <c r="T12" s="379"/>
      <c r="U12" s="379"/>
      <c r="V12" s="379"/>
      <c r="W12" s="379"/>
      <c r="X12" s="380" t="s">
        <v>4115</v>
      </c>
      <c r="Y12" s="379"/>
      <c r="Z12" s="380" t="s">
        <v>961</v>
      </c>
      <c r="AA12" s="379"/>
      <c r="AB12" s="379"/>
      <c r="AC12" s="387"/>
      <c r="AD12" s="387"/>
      <c r="AE12" s="387"/>
      <c r="AF12" s="387"/>
    </row>
    <row r="13" ht="14.25" customHeight="1">
      <c r="A13" s="382" t="s">
        <v>542</v>
      </c>
      <c r="B13" s="382" t="s">
        <v>543</v>
      </c>
      <c r="C13" s="382" t="s">
        <v>88</v>
      </c>
      <c r="D13" s="382" t="s">
        <v>197</v>
      </c>
      <c r="E13" s="382"/>
      <c r="F13" s="382"/>
      <c r="G13" s="382"/>
      <c r="H13" s="382" t="s">
        <v>301</v>
      </c>
      <c r="I13" s="382" t="s">
        <v>49</v>
      </c>
      <c r="J13" s="383" t="s">
        <v>4116</v>
      </c>
      <c r="K13" s="383" t="s">
        <v>4117</v>
      </c>
      <c r="L13" s="383" t="s">
        <v>4118</v>
      </c>
      <c r="M13" s="382"/>
      <c r="N13" s="383" t="s">
        <v>995</v>
      </c>
      <c r="O13" s="383" t="s">
        <v>4119</v>
      </c>
      <c r="P13" s="383" t="s">
        <v>961</v>
      </c>
      <c r="Q13" s="383" t="s">
        <v>4120</v>
      </c>
      <c r="R13" s="383" t="s">
        <v>2388</v>
      </c>
      <c r="S13" s="383" t="s">
        <v>4121</v>
      </c>
      <c r="T13" s="382"/>
      <c r="U13" s="382"/>
      <c r="V13" s="382"/>
      <c r="W13" s="382"/>
      <c r="X13" s="383" t="s">
        <v>4122</v>
      </c>
      <c r="Y13" s="382"/>
      <c r="Z13" s="383" t="s">
        <v>961</v>
      </c>
      <c r="AA13" s="382"/>
      <c r="AB13" s="382"/>
      <c r="AC13" s="256"/>
      <c r="AD13" s="256"/>
      <c r="AE13" s="256"/>
      <c r="AF13" s="256"/>
    </row>
    <row r="14" ht="14.25" customHeight="1">
      <c r="A14" s="379" t="s">
        <v>544</v>
      </c>
      <c r="B14" s="379" t="s">
        <v>545</v>
      </c>
      <c r="C14" s="379" t="s">
        <v>88</v>
      </c>
      <c r="D14" s="379" t="s">
        <v>429</v>
      </c>
      <c r="E14" s="379"/>
      <c r="F14" s="379"/>
      <c r="G14" s="379" t="s">
        <v>162</v>
      </c>
      <c r="H14" s="379" t="s">
        <v>171</v>
      </c>
      <c r="I14" s="379" t="s">
        <v>49</v>
      </c>
      <c r="J14" s="380" t="s">
        <v>4123</v>
      </c>
      <c r="K14" s="380" t="s">
        <v>4124</v>
      </c>
      <c r="L14" s="380" t="s">
        <v>4125</v>
      </c>
      <c r="M14" s="379"/>
      <c r="N14" s="380" t="s">
        <v>4126</v>
      </c>
      <c r="O14" s="380" t="s">
        <v>4127</v>
      </c>
      <c r="P14" s="380" t="s">
        <v>1198</v>
      </c>
      <c r="Q14" s="379"/>
      <c r="R14" s="381"/>
      <c r="S14" s="380" t="s">
        <v>4128</v>
      </c>
      <c r="T14" s="379"/>
      <c r="U14" s="379"/>
      <c r="V14" s="379"/>
      <c r="W14" s="379"/>
      <c r="X14" s="380" t="s">
        <v>4129</v>
      </c>
      <c r="Y14" s="379"/>
      <c r="Z14" s="380" t="s">
        <v>1851</v>
      </c>
      <c r="AA14" s="379"/>
      <c r="AB14" s="379"/>
    </row>
    <row r="15" ht="14.25" customHeight="1">
      <c r="A15" s="388" t="s">
        <v>546</v>
      </c>
      <c r="B15" s="388" t="s">
        <v>547</v>
      </c>
      <c r="C15" s="388" t="s">
        <v>88</v>
      </c>
      <c r="D15" s="388" t="s">
        <v>125</v>
      </c>
      <c r="E15" s="388"/>
      <c r="F15" s="388"/>
      <c r="G15" s="388" t="s">
        <v>548</v>
      </c>
      <c r="H15" s="388" t="s">
        <v>209</v>
      </c>
      <c r="I15" s="388" t="s">
        <v>49</v>
      </c>
      <c r="J15" s="389" t="s">
        <v>2168</v>
      </c>
      <c r="K15" s="389" t="s">
        <v>2168</v>
      </c>
      <c r="L15" s="389" t="s">
        <v>2168</v>
      </c>
      <c r="M15" s="389" t="s">
        <v>2168</v>
      </c>
      <c r="N15" s="389" t="s">
        <v>2168</v>
      </c>
      <c r="O15" s="389" t="s">
        <v>2168</v>
      </c>
      <c r="P15" s="389" t="s">
        <v>2168</v>
      </c>
      <c r="Q15" s="388"/>
      <c r="R15" s="390"/>
      <c r="S15" s="389" t="s">
        <v>4130</v>
      </c>
      <c r="T15" s="388"/>
      <c r="U15" s="388"/>
      <c r="V15" s="388"/>
      <c r="W15" s="388"/>
      <c r="X15" s="388"/>
      <c r="Y15" s="388"/>
      <c r="Z15" s="389" t="s">
        <v>961</v>
      </c>
      <c r="AA15" s="388"/>
      <c r="AB15" s="388"/>
      <c r="AC15" s="266"/>
      <c r="AD15" s="266"/>
      <c r="AE15" s="266"/>
      <c r="AF15" s="266"/>
    </row>
    <row r="16" ht="14.25" customHeight="1">
      <c r="A16" s="379" t="s">
        <v>549</v>
      </c>
      <c r="B16" s="379" t="s">
        <v>550</v>
      </c>
      <c r="C16" s="379" t="s">
        <v>88</v>
      </c>
      <c r="D16" s="379" t="s">
        <v>551</v>
      </c>
      <c r="E16" s="379"/>
      <c r="F16" s="379"/>
      <c r="G16" s="379"/>
      <c r="H16" s="379" t="s">
        <v>552</v>
      </c>
      <c r="I16" s="379" t="s">
        <v>49</v>
      </c>
      <c r="J16" s="380" t="s">
        <v>4131</v>
      </c>
      <c r="K16" s="380" t="s">
        <v>4132</v>
      </c>
      <c r="L16" s="380" t="s">
        <v>4133</v>
      </c>
      <c r="M16" s="379"/>
      <c r="N16" s="380" t="s">
        <v>4134</v>
      </c>
      <c r="O16" s="380" t="s">
        <v>4135</v>
      </c>
      <c r="P16" s="380" t="s">
        <v>930</v>
      </c>
      <c r="Q16" s="379"/>
      <c r="R16" s="381"/>
      <c r="S16" s="379"/>
      <c r="T16" s="379"/>
      <c r="U16" s="379"/>
      <c r="V16" s="379"/>
      <c r="W16" s="379"/>
      <c r="X16" s="380" t="s">
        <v>4136</v>
      </c>
      <c r="Y16" s="379"/>
      <c r="Z16" s="380" t="s">
        <v>961</v>
      </c>
      <c r="AA16" s="379"/>
      <c r="AB16" s="379"/>
    </row>
    <row r="17" ht="14.25" customHeight="1">
      <c r="A17" s="382" t="s">
        <v>553</v>
      </c>
      <c r="B17" s="382" t="s">
        <v>554</v>
      </c>
      <c r="C17" s="382" t="s">
        <v>88</v>
      </c>
      <c r="D17" s="382" t="s">
        <v>555</v>
      </c>
      <c r="E17" s="382"/>
      <c r="F17" s="382"/>
      <c r="G17" s="382" t="s">
        <v>142</v>
      </c>
      <c r="H17" s="382" t="s">
        <v>556</v>
      </c>
      <c r="I17" s="382" t="s">
        <v>49</v>
      </c>
      <c r="J17" s="383" t="s">
        <v>4137</v>
      </c>
      <c r="K17" s="383" t="s">
        <v>4138</v>
      </c>
      <c r="L17" s="383" t="s">
        <v>4139</v>
      </c>
      <c r="M17" s="382"/>
      <c r="N17" s="383" t="s">
        <v>4140</v>
      </c>
      <c r="O17" s="383" t="s">
        <v>4141</v>
      </c>
      <c r="P17" s="383" t="s">
        <v>961</v>
      </c>
      <c r="Q17" s="383" t="s">
        <v>4142</v>
      </c>
      <c r="R17" s="383" t="s">
        <v>2388</v>
      </c>
      <c r="S17" s="382"/>
      <c r="T17" s="382"/>
      <c r="U17" s="382"/>
      <c r="V17" s="382"/>
      <c r="W17" s="382"/>
      <c r="X17" s="383" t="s">
        <v>4143</v>
      </c>
      <c r="Y17" s="382"/>
      <c r="Z17" s="383" t="s">
        <v>961</v>
      </c>
      <c r="AA17" s="382"/>
      <c r="AB17" s="382"/>
      <c r="AC17" s="256"/>
      <c r="AD17" s="256"/>
      <c r="AE17" s="256"/>
      <c r="AF17" s="256"/>
    </row>
    <row r="18" ht="14.25" customHeight="1">
      <c r="A18" s="39" t="s">
        <v>628</v>
      </c>
      <c r="B18" s="39" t="s">
        <v>629</v>
      </c>
      <c r="C18" s="40" t="s">
        <v>616</v>
      </c>
      <c r="D18" s="39" t="s">
        <v>630</v>
      </c>
      <c r="E18" s="39"/>
      <c r="F18" s="39"/>
      <c r="G18" s="39" t="s">
        <v>631</v>
      </c>
      <c r="H18" s="39" t="s">
        <v>221</v>
      </c>
      <c r="I18" s="379" t="s">
        <v>49</v>
      </c>
      <c r="J18" s="39" t="s">
        <v>4144</v>
      </c>
      <c r="K18" s="380" t="s">
        <v>4145</v>
      </c>
      <c r="L18" s="380" t="s">
        <v>4146</v>
      </c>
      <c r="M18" s="380" t="s">
        <v>4147</v>
      </c>
      <c r="N18" s="380" t="s">
        <v>4148</v>
      </c>
      <c r="O18" s="380" t="s">
        <v>4149</v>
      </c>
      <c r="P18" s="380" t="s">
        <v>930</v>
      </c>
      <c r="Q18" s="379"/>
      <c r="R18" s="381"/>
      <c r="S18" s="380" t="s">
        <v>4150</v>
      </c>
      <c r="T18" s="379"/>
      <c r="U18" s="379"/>
      <c r="V18" s="379"/>
      <c r="W18" s="379"/>
      <c r="X18" s="380" t="s">
        <v>4151</v>
      </c>
      <c r="Y18" s="379"/>
      <c r="Z18" s="380" t="s">
        <v>1876</v>
      </c>
      <c r="AA18" s="379"/>
      <c r="AB18" s="379"/>
    </row>
    <row r="19" ht="14.25" customHeight="1">
      <c r="A19" s="39" t="s">
        <v>632</v>
      </c>
      <c r="B19" s="39" t="s">
        <v>633</v>
      </c>
      <c r="C19" s="40" t="s">
        <v>616</v>
      </c>
      <c r="D19" s="39" t="s">
        <v>179</v>
      </c>
      <c r="E19" s="39"/>
      <c r="F19" s="39"/>
      <c r="G19" s="39" t="s">
        <v>198</v>
      </c>
      <c r="H19" s="39" t="s">
        <v>634</v>
      </c>
      <c r="I19" s="379" t="s">
        <v>49</v>
      </c>
      <c r="J19" s="39" t="s">
        <v>4152</v>
      </c>
      <c r="K19" s="379"/>
      <c r="L19" s="380" t="s">
        <v>4153</v>
      </c>
      <c r="M19" s="379"/>
      <c r="N19" s="380" t="s">
        <v>4148</v>
      </c>
      <c r="O19" s="380" t="s">
        <v>4154</v>
      </c>
      <c r="P19" s="380" t="s">
        <v>930</v>
      </c>
      <c r="Q19" s="379"/>
      <c r="R19" s="381"/>
      <c r="S19" s="380" t="s">
        <v>4150</v>
      </c>
      <c r="T19" s="379"/>
      <c r="U19" s="379"/>
      <c r="V19" s="379"/>
      <c r="W19" s="379"/>
      <c r="X19" s="380" t="s">
        <v>4155</v>
      </c>
      <c r="Y19" s="379"/>
      <c r="Z19" s="380" t="s">
        <v>4156</v>
      </c>
      <c r="AA19" s="379"/>
      <c r="AB19" s="379"/>
    </row>
    <row r="20" ht="14.25" customHeight="1">
      <c r="A20" s="271" t="s">
        <v>696</v>
      </c>
      <c r="B20" s="271" t="s">
        <v>697</v>
      </c>
      <c r="C20" s="272" t="s">
        <v>616</v>
      </c>
      <c r="D20" s="271" t="s">
        <v>100</v>
      </c>
      <c r="E20" s="271"/>
      <c r="F20" s="271"/>
      <c r="G20" s="271" t="s">
        <v>698</v>
      </c>
      <c r="H20" s="271" t="s">
        <v>260</v>
      </c>
      <c r="I20" s="382" t="s">
        <v>49</v>
      </c>
      <c r="J20" s="271" t="s">
        <v>4157</v>
      </c>
      <c r="K20" s="271" t="s">
        <v>4158</v>
      </c>
      <c r="L20" s="383" t="s">
        <v>4159</v>
      </c>
      <c r="M20" s="382"/>
      <c r="N20" s="383" t="s">
        <v>1142</v>
      </c>
      <c r="O20" s="383" t="s">
        <v>4160</v>
      </c>
      <c r="P20" s="383" t="s">
        <v>961</v>
      </c>
      <c r="Q20" s="383" t="s">
        <v>4161</v>
      </c>
      <c r="R20" s="383" t="s">
        <v>2388</v>
      </c>
      <c r="S20" s="383" t="s">
        <v>4162</v>
      </c>
      <c r="T20" s="382"/>
      <c r="U20" s="382"/>
      <c r="V20" s="382"/>
      <c r="W20" s="382"/>
      <c r="X20" s="383" t="s">
        <v>4163</v>
      </c>
      <c r="Y20" s="382"/>
      <c r="Z20" s="383" t="s">
        <v>961</v>
      </c>
      <c r="AA20" s="382"/>
      <c r="AB20" s="382"/>
      <c r="AC20" s="256"/>
      <c r="AD20" s="256"/>
      <c r="AE20" s="256"/>
      <c r="AF20" s="256"/>
    </row>
    <row r="21" ht="14.25" customHeight="1">
      <c r="A21" s="39" t="s">
        <v>712</v>
      </c>
      <c r="B21" s="39" t="s">
        <v>713</v>
      </c>
      <c r="C21" s="40" t="s">
        <v>616</v>
      </c>
      <c r="D21" s="39" t="s">
        <v>256</v>
      </c>
      <c r="E21" s="39"/>
      <c r="F21" s="39"/>
      <c r="G21" s="39" t="s">
        <v>4164</v>
      </c>
      <c r="H21" s="39" t="s">
        <v>142</v>
      </c>
      <c r="I21" s="379" t="s">
        <v>49</v>
      </c>
      <c r="J21" s="39" t="s">
        <v>4165</v>
      </c>
      <c r="K21" s="380" t="s">
        <v>4166</v>
      </c>
      <c r="L21" s="380" t="s">
        <v>4167</v>
      </c>
      <c r="M21" s="379"/>
      <c r="N21" s="380" t="s">
        <v>4168</v>
      </c>
      <c r="O21" s="380" t="s">
        <v>4169</v>
      </c>
      <c r="P21" s="380" t="s">
        <v>930</v>
      </c>
      <c r="Q21" s="379"/>
      <c r="R21" s="381"/>
      <c r="S21" s="380" t="s">
        <v>4150</v>
      </c>
      <c r="T21" s="379"/>
      <c r="U21" s="379"/>
      <c r="V21" s="379"/>
      <c r="W21" s="379"/>
      <c r="X21" s="380" t="s">
        <v>4129</v>
      </c>
      <c r="Y21" s="379"/>
      <c r="Z21" s="380" t="s">
        <v>1851</v>
      </c>
      <c r="AA21" s="379"/>
      <c r="AB21" s="379"/>
    </row>
    <row r="22" ht="14.25" customHeight="1">
      <c r="A22" s="39" t="s">
        <v>714</v>
      </c>
      <c r="B22" s="39" t="s">
        <v>715</v>
      </c>
      <c r="C22" s="40" t="s">
        <v>616</v>
      </c>
      <c r="D22" s="39" t="s">
        <v>125</v>
      </c>
      <c r="E22" s="39"/>
      <c r="F22" s="39"/>
      <c r="G22" s="39" t="s">
        <v>142</v>
      </c>
      <c r="H22" s="39" t="s">
        <v>142</v>
      </c>
      <c r="I22" s="379" t="s">
        <v>49</v>
      </c>
      <c r="J22" s="39" t="s">
        <v>4170</v>
      </c>
      <c r="K22" s="380" t="s">
        <v>4171</v>
      </c>
      <c r="L22" s="380" t="s">
        <v>4172</v>
      </c>
      <c r="M22" s="379"/>
      <c r="N22" s="380" t="s">
        <v>1142</v>
      </c>
      <c r="O22" s="380" t="s">
        <v>4173</v>
      </c>
      <c r="P22" s="380" t="s">
        <v>930</v>
      </c>
      <c r="Q22" s="380" t="s">
        <v>4174</v>
      </c>
      <c r="R22" s="380" t="s">
        <v>2388</v>
      </c>
      <c r="S22" s="380" t="s">
        <v>4175</v>
      </c>
      <c r="T22" s="379"/>
      <c r="U22" s="379"/>
      <c r="V22" s="379"/>
      <c r="W22" s="379"/>
      <c r="X22" s="380" t="s">
        <v>4176</v>
      </c>
      <c r="Y22" s="379"/>
      <c r="Z22" s="380" t="s">
        <v>1851</v>
      </c>
      <c r="AA22" s="379"/>
      <c r="AB22" s="379"/>
    </row>
    <row r="23" ht="14.25" customHeight="1">
      <c r="A23" s="39" t="s">
        <v>769</v>
      </c>
      <c r="B23" s="39" t="s">
        <v>770</v>
      </c>
      <c r="C23" s="40" t="s">
        <v>616</v>
      </c>
      <c r="D23" s="39" t="s">
        <v>599</v>
      </c>
      <c r="E23" s="39"/>
      <c r="F23" s="39"/>
      <c r="G23" s="39" t="s">
        <v>771</v>
      </c>
      <c r="H23" s="39" t="s">
        <v>221</v>
      </c>
      <c r="I23" s="39" t="s">
        <v>49</v>
      </c>
      <c r="J23" s="39" t="s">
        <v>4177</v>
      </c>
      <c r="K23" s="380" t="s">
        <v>4178</v>
      </c>
      <c r="L23" s="380" t="s">
        <v>4179</v>
      </c>
      <c r="M23" s="379"/>
      <c r="N23" s="380" t="s">
        <v>1142</v>
      </c>
      <c r="O23" s="380" t="s">
        <v>4180</v>
      </c>
      <c r="P23" s="380" t="s">
        <v>930</v>
      </c>
      <c r="Q23" s="379"/>
      <c r="R23" s="381"/>
      <c r="S23" s="380" t="s">
        <v>4150</v>
      </c>
      <c r="T23" s="379"/>
      <c r="U23" s="379"/>
      <c r="V23" s="379"/>
      <c r="W23" s="379"/>
      <c r="X23" s="380" t="s">
        <v>4129</v>
      </c>
      <c r="Y23" s="379"/>
      <c r="Z23" s="380" t="s">
        <v>1833</v>
      </c>
      <c r="AA23" s="379"/>
      <c r="AB23" s="379"/>
    </row>
    <row r="24" ht="14.25" customHeight="1">
      <c r="A24" s="39" t="s">
        <v>899</v>
      </c>
      <c r="B24" s="39" t="s">
        <v>900</v>
      </c>
      <c r="C24" s="40" t="s">
        <v>891</v>
      </c>
      <c r="D24" s="39" t="s">
        <v>901</v>
      </c>
      <c r="E24" s="39"/>
      <c r="F24" s="39"/>
      <c r="G24" s="39" t="s">
        <v>162</v>
      </c>
      <c r="H24" s="39" t="s">
        <v>260</v>
      </c>
      <c r="I24" s="39" t="s">
        <v>49</v>
      </c>
      <c r="J24" s="39" t="s">
        <v>4181</v>
      </c>
      <c r="K24" s="39" t="s">
        <v>4182</v>
      </c>
      <c r="L24" s="39" t="s">
        <v>4183</v>
      </c>
      <c r="M24" s="41"/>
      <c r="N24" s="39" t="s">
        <v>1012</v>
      </c>
      <c r="O24" s="380" t="s">
        <v>4184</v>
      </c>
      <c r="P24" s="380" t="s">
        <v>930</v>
      </c>
      <c r="Q24" s="379"/>
      <c r="R24" s="386"/>
      <c r="S24" s="380" t="s">
        <v>4185</v>
      </c>
      <c r="T24" s="379"/>
      <c r="U24" s="379"/>
      <c r="V24" s="379"/>
      <c r="W24" s="379"/>
      <c r="X24" s="380" t="s">
        <v>4186</v>
      </c>
      <c r="Y24" s="379"/>
      <c r="Z24" s="380" t="s">
        <v>961</v>
      </c>
      <c r="AA24" s="379"/>
      <c r="AB24" s="379"/>
    </row>
    <row r="25" ht="14.25" customHeight="1">
      <c r="A25" s="271" t="s">
        <v>915</v>
      </c>
      <c r="B25" s="271" t="s">
        <v>916</v>
      </c>
      <c r="C25" s="272" t="s">
        <v>891</v>
      </c>
      <c r="D25" s="271" t="s">
        <v>917</v>
      </c>
      <c r="E25" s="271"/>
      <c r="F25" s="271"/>
      <c r="G25" s="271"/>
      <c r="H25" s="271" t="s">
        <v>260</v>
      </c>
      <c r="I25" s="271" t="s">
        <v>49</v>
      </c>
      <c r="J25" s="271" t="s">
        <v>4187</v>
      </c>
      <c r="K25" s="271" t="s">
        <v>4188</v>
      </c>
      <c r="L25" s="271" t="s">
        <v>4189</v>
      </c>
      <c r="M25" s="273"/>
      <c r="N25" s="271" t="s">
        <v>4190</v>
      </c>
      <c r="O25" s="383" t="s">
        <v>4191</v>
      </c>
      <c r="P25" s="383" t="s">
        <v>961</v>
      </c>
      <c r="Q25" s="383" t="s">
        <v>4192</v>
      </c>
      <c r="R25" s="383" t="s">
        <v>2388</v>
      </c>
      <c r="S25" s="382"/>
      <c r="T25" s="382"/>
      <c r="U25" s="382"/>
      <c r="V25" s="382"/>
      <c r="W25" s="382"/>
      <c r="X25" s="383" t="s">
        <v>4193</v>
      </c>
      <c r="Y25" s="382"/>
      <c r="Z25" s="383" t="s">
        <v>961</v>
      </c>
      <c r="AA25" s="382"/>
      <c r="AB25" s="382"/>
      <c r="AC25" s="256"/>
      <c r="AD25" s="256"/>
      <c r="AE25" s="256"/>
      <c r="AF25" s="256"/>
    </row>
    <row r="26" ht="14.25" customHeight="1">
      <c r="A26" s="39" t="s">
        <v>854</v>
      </c>
      <c r="B26" s="39" t="s">
        <v>855</v>
      </c>
      <c r="C26" s="40" t="s">
        <v>616</v>
      </c>
      <c r="D26" s="39" t="s">
        <v>264</v>
      </c>
      <c r="E26" s="39"/>
      <c r="F26" s="39"/>
      <c r="G26" s="39" t="s">
        <v>856</v>
      </c>
      <c r="H26" s="39" t="s">
        <v>857</v>
      </c>
      <c r="I26" s="379" t="s">
        <v>49</v>
      </c>
      <c r="J26" s="39" t="s">
        <v>4194</v>
      </c>
      <c r="K26" s="380" t="s">
        <v>4195</v>
      </c>
      <c r="L26" s="380" t="s">
        <v>4196</v>
      </c>
      <c r="M26" s="380" t="s">
        <v>4197</v>
      </c>
      <c r="N26" s="380" t="s">
        <v>1012</v>
      </c>
      <c r="O26" s="380" t="s">
        <v>4198</v>
      </c>
      <c r="P26" s="380" t="s">
        <v>930</v>
      </c>
      <c r="Q26" s="379"/>
      <c r="R26" s="381"/>
      <c r="S26" s="380" t="s">
        <v>4199</v>
      </c>
      <c r="T26" s="379"/>
      <c r="U26" s="379"/>
      <c r="V26" s="379"/>
      <c r="W26" s="379"/>
      <c r="X26" s="380" t="s">
        <v>4200</v>
      </c>
      <c r="Y26" s="379"/>
      <c r="Z26" s="380" t="s">
        <v>1851</v>
      </c>
      <c r="AA26" s="379"/>
      <c r="AB26" s="379"/>
    </row>
    <row r="27" ht="14.25" customHeight="1">
      <c r="A27" s="39" t="s">
        <v>668</v>
      </c>
      <c r="B27" s="39" t="s">
        <v>669</v>
      </c>
      <c r="C27" s="40" t="s">
        <v>616</v>
      </c>
      <c r="D27" s="39" t="s">
        <v>287</v>
      </c>
      <c r="E27" s="39"/>
      <c r="F27" s="39"/>
      <c r="G27" s="39"/>
      <c r="H27" s="39" t="s">
        <v>627</v>
      </c>
      <c r="I27" s="379" t="s">
        <v>49</v>
      </c>
      <c r="J27" s="39" t="s">
        <v>4201</v>
      </c>
      <c r="K27" s="380" t="s">
        <v>4202</v>
      </c>
      <c r="L27" s="380" t="s">
        <v>4203</v>
      </c>
      <c r="M27" s="379"/>
      <c r="N27" s="380" t="s">
        <v>4204</v>
      </c>
      <c r="O27" s="380" t="s">
        <v>4205</v>
      </c>
      <c r="P27" s="380" t="s">
        <v>930</v>
      </c>
      <c r="Q27" s="379"/>
      <c r="R27" s="381"/>
      <c r="S27" s="380" t="s">
        <v>4206</v>
      </c>
      <c r="T27" s="379"/>
      <c r="U27" s="379"/>
      <c r="V27" s="379"/>
      <c r="W27" s="379"/>
      <c r="X27" s="380" t="s">
        <v>4207</v>
      </c>
      <c r="Y27" s="379"/>
      <c r="Z27" s="380" t="s">
        <v>961</v>
      </c>
      <c r="AA27" s="379"/>
      <c r="AB27" s="379"/>
    </row>
    <row r="28" ht="14.25" customHeight="1">
      <c r="A28" s="379" t="s">
        <v>557</v>
      </c>
      <c r="B28" s="379" t="s">
        <v>558</v>
      </c>
      <c r="C28" s="379" t="s">
        <v>88</v>
      </c>
      <c r="D28" s="379" t="s">
        <v>283</v>
      </c>
      <c r="E28" s="379"/>
      <c r="F28" s="379"/>
      <c r="G28" s="379" t="s">
        <v>204</v>
      </c>
      <c r="H28" s="379" t="s">
        <v>189</v>
      </c>
      <c r="I28" s="379" t="s">
        <v>559</v>
      </c>
      <c r="J28" s="380" t="s">
        <v>4208</v>
      </c>
      <c r="K28" s="380" t="s">
        <v>4209</v>
      </c>
      <c r="L28" s="380" t="s">
        <v>4210</v>
      </c>
      <c r="M28" s="379"/>
      <c r="N28" s="380" t="s">
        <v>1906</v>
      </c>
      <c r="O28" s="380" t="s">
        <v>4211</v>
      </c>
      <c r="P28" s="380" t="s">
        <v>930</v>
      </c>
      <c r="Q28" s="379"/>
      <c r="R28" s="381"/>
      <c r="S28" s="379"/>
      <c r="T28" s="379"/>
      <c r="U28" s="379"/>
      <c r="V28" s="379"/>
      <c r="W28" s="379"/>
      <c r="X28" s="380" t="s">
        <v>4212</v>
      </c>
      <c r="Y28" s="379"/>
      <c r="Z28" s="380" t="s">
        <v>961</v>
      </c>
      <c r="AA28" s="379"/>
      <c r="AB28" s="379"/>
    </row>
    <row r="29" ht="14.25" customHeight="1">
      <c r="A29" s="379" t="s">
        <v>563</v>
      </c>
      <c r="B29" s="379" t="s">
        <v>564</v>
      </c>
      <c r="C29" s="379" t="s">
        <v>88</v>
      </c>
      <c r="D29" s="379" t="s">
        <v>363</v>
      </c>
      <c r="E29" s="379"/>
      <c r="F29" s="379"/>
      <c r="G29" s="379" t="s">
        <v>565</v>
      </c>
      <c r="H29" s="379" t="s">
        <v>189</v>
      </c>
      <c r="I29" s="379" t="s">
        <v>559</v>
      </c>
      <c r="J29" s="380" t="s">
        <v>4213</v>
      </c>
      <c r="K29" s="380" t="s">
        <v>4214</v>
      </c>
      <c r="L29" s="380" t="s">
        <v>4215</v>
      </c>
      <c r="M29" s="379"/>
      <c r="N29" s="380" t="s">
        <v>4140</v>
      </c>
      <c r="O29" s="380" t="s">
        <v>4216</v>
      </c>
      <c r="P29" s="380" t="s">
        <v>930</v>
      </c>
      <c r="Q29" s="379"/>
      <c r="R29" s="381"/>
      <c r="S29" s="380" t="s">
        <v>4217</v>
      </c>
      <c r="T29" s="379"/>
      <c r="U29" s="379"/>
      <c r="V29" s="379"/>
      <c r="W29" s="379"/>
      <c r="X29" s="380" t="s">
        <v>4218</v>
      </c>
      <c r="Y29" s="379"/>
      <c r="Z29" s="380" t="s">
        <v>961</v>
      </c>
      <c r="AA29" s="379"/>
      <c r="AB29" s="379"/>
    </row>
    <row r="30" ht="14.25" customHeight="1">
      <c r="A30" s="391" t="s">
        <v>569</v>
      </c>
      <c r="B30" s="391" t="s">
        <v>570</v>
      </c>
      <c r="C30" s="391" t="s">
        <v>88</v>
      </c>
      <c r="D30" s="391" t="s">
        <v>571</v>
      </c>
      <c r="E30" s="391"/>
      <c r="F30" s="391"/>
      <c r="G30" s="391"/>
      <c r="H30" s="391" t="s">
        <v>217</v>
      </c>
      <c r="I30" s="391" t="s">
        <v>559</v>
      </c>
      <c r="J30" s="392" t="s">
        <v>4219</v>
      </c>
      <c r="K30" s="392" t="s">
        <v>4220</v>
      </c>
      <c r="L30" s="392" t="s">
        <v>4221</v>
      </c>
      <c r="M30" s="391"/>
      <c r="N30" s="392" t="s">
        <v>4222</v>
      </c>
      <c r="O30" s="391"/>
      <c r="P30" s="392" t="s">
        <v>961</v>
      </c>
      <c r="Q30" s="392" t="s">
        <v>4223</v>
      </c>
      <c r="R30" s="392" t="s">
        <v>2388</v>
      </c>
      <c r="S30" s="391"/>
      <c r="T30" s="391"/>
      <c r="U30" s="391"/>
      <c r="V30" s="391"/>
      <c r="W30" s="391"/>
      <c r="X30" s="392" t="s">
        <v>4224</v>
      </c>
      <c r="Y30" s="391"/>
      <c r="Z30" s="392" t="s">
        <v>961</v>
      </c>
      <c r="AA30" s="391"/>
      <c r="AB30" s="391"/>
      <c r="AC30" s="254"/>
      <c r="AD30" s="254"/>
      <c r="AE30" s="254"/>
      <c r="AF30" s="254"/>
    </row>
    <row r="31" ht="14.25" customHeight="1">
      <c r="A31" s="379" t="s">
        <v>572</v>
      </c>
      <c r="B31" s="379" t="s">
        <v>573</v>
      </c>
      <c r="C31" s="379" t="s">
        <v>88</v>
      </c>
      <c r="D31" s="379" t="s">
        <v>227</v>
      </c>
      <c r="E31" s="379"/>
      <c r="F31" s="379"/>
      <c r="G31" s="379"/>
      <c r="H31" s="379" t="s">
        <v>574</v>
      </c>
      <c r="I31" s="379" t="s">
        <v>559</v>
      </c>
      <c r="J31" s="380" t="s">
        <v>4225</v>
      </c>
      <c r="K31" s="380" t="s">
        <v>4226</v>
      </c>
      <c r="L31" s="380" t="s">
        <v>4227</v>
      </c>
      <c r="M31" s="379"/>
      <c r="N31" s="380" t="s">
        <v>995</v>
      </c>
      <c r="O31" s="380" t="s">
        <v>4228</v>
      </c>
      <c r="P31" s="380" t="s">
        <v>930</v>
      </c>
      <c r="Q31" s="379"/>
      <c r="R31" s="381"/>
      <c r="S31" s="379"/>
      <c r="T31" s="379"/>
      <c r="U31" s="379"/>
      <c r="V31" s="379"/>
      <c r="W31" s="379"/>
      <c r="X31" s="380" t="s">
        <v>4229</v>
      </c>
      <c r="Y31" s="379"/>
      <c r="Z31" s="380" t="s">
        <v>961</v>
      </c>
      <c r="AA31" s="379"/>
      <c r="AB31" s="379"/>
    </row>
    <row r="32" ht="14.25" customHeight="1">
      <c r="A32" s="39" t="s">
        <v>699</v>
      </c>
      <c r="B32" s="39" t="s">
        <v>700</v>
      </c>
      <c r="C32" s="40" t="s">
        <v>616</v>
      </c>
      <c r="D32" s="39" t="s">
        <v>256</v>
      </c>
      <c r="E32" s="39"/>
      <c r="F32" s="39"/>
      <c r="G32" s="39" t="s">
        <v>4230</v>
      </c>
      <c r="H32" s="39" t="s">
        <v>702</v>
      </c>
      <c r="I32" s="39" t="s">
        <v>559</v>
      </c>
      <c r="J32" s="39" t="s">
        <v>4231</v>
      </c>
      <c r="K32" s="39" t="s">
        <v>4232</v>
      </c>
      <c r="L32" s="380" t="s">
        <v>4233</v>
      </c>
      <c r="M32" s="379"/>
      <c r="N32" s="380" t="s">
        <v>1142</v>
      </c>
      <c r="O32" s="380" t="s">
        <v>4234</v>
      </c>
      <c r="P32" s="380" t="s">
        <v>930</v>
      </c>
      <c r="Q32" s="379"/>
      <c r="R32" s="381"/>
      <c r="S32" s="379"/>
      <c r="T32" s="379"/>
      <c r="U32" s="379"/>
      <c r="V32" s="379"/>
      <c r="W32" s="379"/>
      <c r="X32" s="380" t="s">
        <v>4235</v>
      </c>
      <c r="Y32" s="379"/>
      <c r="Z32" s="380" t="s">
        <v>961</v>
      </c>
      <c r="AA32" s="379"/>
      <c r="AB32" s="379"/>
    </row>
    <row r="33" ht="14.25" customHeight="1">
      <c r="A33" s="39" t="s">
        <v>772</v>
      </c>
      <c r="B33" s="39" t="s">
        <v>773</v>
      </c>
      <c r="C33" s="40" t="s">
        <v>616</v>
      </c>
      <c r="D33" s="39" t="s">
        <v>109</v>
      </c>
      <c r="E33" s="39"/>
      <c r="F33" s="39"/>
      <c r="G33" s="39" t="s">
        <v>774</v>
      </c>
      <c r="H33" s="39" t="s">
        <v>142</v>
      </c>
      <c r="I33" s="39" t="s">
        <v>559</v>
      </c>
      <c r="J33" s="39" t="s">
        <v>4236</v>
      </c>
      <c r="K33" s="379"/>
      <c r="L33" s="380" t="s">
        <v>4237</v>
      </c>
      <c r="M33" s="379"/>
      <c r="N33" s="380" t="s">
        <v>1142</v>
      </c>
      <c r="O33" s="380" t="s">
        <v>4238</v>
      </c>
      <c r="P33" s="380" t="s">
        <v>930</v>
      </c>
      <c r="Q33" s="379"/>
      <c r="R33" s="381"/>
      <c r="S33" s="380" t="s">
        <v>4150</v>
      </c>
      <c r="T33" s="379"/>
      <c r="U33" s="379"/>
      <c r="V33" s="379"/>
      <c r="W33" s="379"/>
      <c r="X33" s="380" t="s">
        <v>4129</v>
      </c>
      <c r="Y33" s="379"/>
      <c r="Z33" s="380" t="s">
        <v>1921</v>
      </c>
      <c r="AA33" s="379"/>
      <c r="AB33" s="379"/>
    </row>
    <row r="34" ht="14.25" customHeight="1">
      <c r="A34" s="271" t="s">
        <v>883</v>
      </c>
      <c r="B34" s="271" t="s">
        <v>884</v>
      </c>
      <c r="C34" s="272" t="s">
        <v>616</v>
      </c>
      <c r="D34" s="271" t="s">
        <v>885</v>
      </c>
      <c r="E34" s="271"/>
      <c r="F34" s="271"/>
      <c r="G34" s="271"/>
      <c r="H34" s="271" t="s">
        <v>523</v>
      </c>
      <c r="I34" s="271" t="s">
        <v>559</v>
      </c>
      <c r="J34" s="271"/>
      <c r="K34" s="271" t="s">
        <v>4239</v>
      </c>
      <c r="L34" s="271" t="s">
        <v>4240</v>
      </c>
      <c r="M34" s="271" t="s">
        <v>4241</v>
      </c>
      <c r="N34" s="273"/>
      <c r="O34" s="271"/>
      <c r="P34" s="271" t="s">
        <v>961</v>
      </c>
      <c r="Q34" s="271" t="s">
        <v>4242</v>
      </c>
      <c r="R34" s="383" t="s">
        <v>2388</v>
      </c>
      <c r="S34" s="271" t="s">
        <v>4243</v>
      </c>
      <c r="T34" s="273"/>
      <c r="U34" s="273"/>
      <c r="V34" s="273"/>
      <c r="W34" s="273"/>
      <c r="X34" s="273"/>
      <c r="Y34" s="382"/>
      <c r="Z34" s="383" t="s">
        <v>961</v>
      </c>
      <c r="AA34" s="382"/>
      <c r="AB34" s="382"/>
      <c r="AC34" s="256"/>
      <c r="AD34" s="256"/>
      <c r="AE34" s="256"/>
      <c r="AF34" s="256"/>
    </row>
    <row r="35" ht="14.25" customHeight="1">
      <c r="A35" s="39" t="s">
        <v>886</v>
      </c>
      <c r="B35" s="39" t="s">
        <v>887</v>
      </c>
      <c r="C35" s="40" t="s">
        <v>616</v>
      </c>
      <c r="D35" s="39" t="s">
        <v>413</v>
      </c>
      <c r="E35" s="39"/>
      <c r="F35" s="39"/>
      <c r="G35" s="39" t="s">
        <v>888</v>
      </c>
      <c r="H35" s="39" t="s">
        <v>217</v>
      </c>
      <c r="I35" s="39" t="s">
        <v>559</v>
      </c>
      <c r="J35" s="39" t="s">
        <v>4244</v>
      </c>
      <c r="K35" s="39" t="s">
        <v>4245</v>
      </c>
      <c r="L35" s="39" t="s">
        <v>4246</v>
      </c>
      <c r="M35" s="41"/>
      <c r="N35" s="39" t="s">
        <v>4190</v>
      </c>
      <c r="O35" s="39" t="s">
        <v>4247</v>
      </c>
      <c r="P35" s="39" t="s">
        <v>930</v>
      </c>
      <c r="Q35" s="41"/>
      <c r="R35" s="381"/>
      <c r="S35" s="41"/>
      <c r="T35" s="41"/>
      <c r="U35" s="41"/>
      <c r="V35" s="41"/>
      <c r="W35" s="41"/>
      <c r="X35" s="39" t="s">
        <v>4248</v>
      </c>
      <c r="Y35" s="379"/>
      <c r="Z35" s="380" t="s">
        <v>961</v>
      </c>
      <c r="AA35" s="379"/>
      <c r="AB35" s="379"/>
    </row>
    <row r="36" ht="14.25" customHeight="1">
      <c r="A36" s="379" t="s">
        <v>560</v>
      </c>
      <c r="B36" s="379" t="s">
        <v>561</v>
      </c>
      <c r="C36" s="379" t="s">
        <v>88</v>
      </c>
      <c r="D36" s="379" t="s">
        <v>276</v>
      </c>
      <c r="E36" s="379"/>
      <c r="F36" s="379"/>
      <c r="G36" s="379" t="s">
        <v>101</v>
      </c>
      <c r="H36" s="379" t="s">
        <v>562</v>
      </c>
      <c r="I36" s="380" t="s">
        <v>4249</v>
      </c>
      <c r="J36" s="380" t="s">
        <v>4250</v>
      </c>
      <c r="K36" s="380" t="s">
        <v>4251</v>
      </c>
      <c r="L36" s="380" t="s">
        <v>4252</v>
      </c>
      <c r="M36" s="379"/>
      <c r="N36" s="380" t="s">
        <v>4148</v>
      </c>
      <c r="O36" s="380" t="s">
        <v>4253</v>
      </c>
      <c r="P36" s="380" t="s">
        <v>930</v>
      </c>
      <c r="Q36" s="379"/>
      <c r="R36" s="381"/>
      <c r="S36" s="380" t="s">
        <v>4150</v>
      </c>
      <c r="T36" s="379"/>
      <c r="U36" s="379"/>
      <c r="V36" s="379"/>
      <c r="W36" s="379"/>
      <c r="X36" s="380" t="s">
        <v>4254</v>
      </c>
      <c r="Y36" s="379"/>
      <c r="Z36" s="380" t="s">
        <v>961</v>
      </c>
      <c r="AA36" s="379"/>
      <c r="AB36" s="379"/>
    </row>
    <row r="37" ht="14.25" customHeight="1">
      <c r="A37" s="379" t="s">
        <v>566</v>
      </c>
      <c r="B37" s="379" t="s">
        <v>567</v>
      </c>
      <c r="C37" s="379" t="s">
        <v>88</v>
      </c>
      <c r="D37" s="379" t="s">
        <v>568</v>
      </c>
      <c r="E37" s="379"/>
      <c r="F37" s="379"/>
      <c r="G37" s="379"/>
      <c r="H37" s="379" t="s">
        <v>398</v>
      </c>
      <c r="I37" s="380" t="s">
        <v>4255</v>
      </c>
      <c r="J37" s="380" t="s">
        <v>4256</v>
      </c>
      <c r="K37" s="380" t="s">
        <v>4257</v>
      </c>
      <c r="L37" s="380" t="s">
        <v>4258</v>
      </c>
      <c r="M37" s="380" t="s">
        <v>4259</v>
      </c>
      <c r="N37" s="380" t="s">
        <v>4148</v>
      </c>
      <c r="O37" s="380" t="s">
        <v>4260</v>
      </c>
      <c r="P37" s="380" t="s">
        <v>930</v>
      </c>
      <c r="Q37" s="379"/>
      <c r="R37" s="381"/>
      <c r="S37" s="380" t="s">
        <v>4150</v>
      </c>
      <c r="T37" s="379"/>
      <c r="U37" s="379"/>
      <c r="V37" s="379"/>
      <c r="W37" s="379"/>
      <c r="X37" s="380" t="s">
        <v>4261</v>
      </c>
      <c r="Y37" s="379"/>
      <c r="Z37" s="380" t="s">
        <v>961</v>
      </c>
      <c r="AA37" s="379"/>
      <c r="AB37" s="379"/>
    </row>
    <row r="38" ht="14.25" customHeight="1">
      <c r="A38" s="278"/>
      <c r="B38" s="393" t="s">
        <v>1940</v>
      </c>
      <c r="C38" s="381"/>
      <c r="D38" s="379"/>
      <c r="E38" s="394" t="s">
        <v>4262</v>
      </c>
      <c r="F38" s="379"/>
      <c r="G38" s="380"/>
      <c r="H38" s="380" t="s">
        <v>4263</v>
      </c>
      <c r="I38" s="380" t="s">
        <v>559</v>
      </c>
      <c r="J38" s="380" t="s">
        <v>4264</v>
      </c>
      <c r="K38" s="380" t="s">
        <v>4265</v>
      </c>
      <c r="L38" s="379"/>
      <c r="M38" s="380" t="s">
        <v>4266</v>
      </c>
      <c r="N38" s="380" t="s">
        <v>4190</v>
      </c>
      <c r="O38" s="380" t="s">
        <v>4267</v>
      </c>
      <c r="P38" s="380" t="s">
        <v>930</v>
      </c>
      <c r="Q38" s="379"/>
      <c r="R38" s="381"/>
      <c r="S38" s="380" t="s">
        <v>1945</v>
      </c>
      <c r="T38" s="379"/>
      <c r="U38" s="379"/>
      <c r="V38" s="379"/>
      <c r="W38" s="379"/>
      <c r="X38" s="380" t="s">
        <v>4268</v>
      </c>
      <c r="Y38" s="379"/>
      <c r="Z38" s="380" t="s">
        <v>961</v>
      </c>
      <c r="AA38" s="379"/>
      <c r="AB38" s="379"/>
    </row>
    <row r="39" ht="14.25" customHeight="1">
      <c r="A39" s="278"/>
      <c r="B39" s="394" t="s">
        <v>1950</v>
      </c>
      <c r="C39" s="381"/>
      <c r="D39" s="379"/>
      <c r="E39" s="394" t="s">
        <v>4269</v>
      </c>
      <c r="F39" s="379"/>
      <c r="G39" s="379"/>
      <c r="H39" s="380" t="s">
        <v>4270</v>
      </c>
      <c r="I39" s="380" t="s">
        <v>559</v>
      </c>
      <c r="J39" s="380" t="s">
        <v>4271</v>
      </c>
      <c r="K39" s="380" t="s">
        <v>4272</v>
      </c>
      <c r="L39" s="380" t="s">
        <v>4273</v>
      </c>
      <c r="M39" s="379"/>
      <c r="N39" s="379"/>
      <c r="O39" s="380" t="s">
        <v>4274</v>
      </c>
      <c r="P39" s="380" t="s">
        <v>930</v>
      </c>
      <c r="Q39" s="379"/>
      <c r="R39" s="381"/>
      <c r="S39" s="380" t="s">
        <v>1945</v>
      </c>
      <c r="T39" s="379"/>
      <c r="U39" s="379"/>
      <c r="V39" s="379"/>
      <c r="W39" s="379"/>
      <c r="X39" s="380" t="s">
        <v>4275</v>
      </c>
      <c r="Y39" s="379"/>
      <c r="Z39" s="380" t="s">
        <v>961</v>
      </c>
      <c r="AA39" s="379"/>
      <c r="AB39" s="379"/>
    </row>
    <row r="40" ht="14.25" customHeight="1">
      <c r="A40" s="278"/>
      <c r="B40" s="395" t="s">
        <v>1956</v>
      </c>
      <c r="C40" s="381"/>
      <c r="D40" s="379"/>
      <c r="E40" s="395" t="s">
        <v>4276</v>
      </c>
      <c r="F40" s="379"/>
      <c r="G40" s="379"/>
      <c r="H40" s="380" t="s">
        <v>4277</v>
      </c>
      <c r="I40" s="380" t="s">
        <v>559</v>
      </c>
      <c r="J40" s="380" t="s">
        <v>4278</v>
      </c>
      <c r="K40" s="380" t="s">
        <v>4279</v>
      </c>
      <c r="L40" s="379"/>
      <c r="M40" s="380" t="s">
        <v>4280</v>
      </c>
      <c r="N40" s="380" t="s">
        <v>4190</v>
      </c>
      <c r="O40" s="380" t="s">
        <v>4274</v>
      </c>
      <c r="P40" s="380" t="s">
        <v>930</v>
      </c>
      <c r="Q40" s="379"/>
      <c r="R40" s="381"/>
      <c r="S40" s="380" t="s">
        <v>1945</v>
      </c>
      <c r="T40" s="379"/>
      <c r="U40" s="379"/>
      <c r="V40" s="379"/>
      <c r="W40" s="379"/>
      <c r="X40" s="380" t="s">
        <v>4275</v>
      </c>
      <c r="Y40" s="379"/>
      <c r="Z40" s="380" t="s">
        <v>961</v>
      </c>
      <c r="AA40" s="379"/>
      <c r="AB40" s="379"/>
    </row>
    <row r="41" ht="14.25" customHeight="1"/>
    <row r="42" ht="14.25" customHeight="1"/>
    <row r="43" ht="14.25" customHeight="1"/>
    <row r="44" ht="14.25" customHeight="1"/>
    <row r="45" ht="14.25" customHeight="1"/>
    <row r="46" ht="14.25" customHeight="1"/>
    <row r="47" ht="14.25" customHeight="1">
      <c r="A47" s="396" t="s">
        <v>2283</v>
      </c>
    </row>
    <row r="48" ht="14.25" customHeight="1">
      <c r="A48" s="397" t="s">
        <v>4281</v>
      </c>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A47:E47"/>
    <mergeCell ref="A48:I56"/>
  </mergeCell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89"/>
    <col customWidth="1" min="2" max="2" width="13.0"/>
    <col customWidth="1" min="3" max="3" width="14.44"/>
    <col customWidth="1" min="4" max="4" width="15.0"/>
    <col customWidth="1" min="5" max="5" width="28.22"/>
    <col customWidth="1" min="6" max="6" width="7.22"/>
    <col customWidth="1" min="7" max="7" width="19.33"/>
    <col customWidth="1" min="8" max="8" width="10.22"/>
    <col customWidth="1" min="9" max="9" width="13.78"/>
    <col customWidth="1" min="10" max="10" width="15.56"/>
    <col customWidth="1" min="11" max="11" width="15.11"/>
    <col customWidth="1" min="12" max="14" width="13.11"/>
    <col customWidth="1" min="15" max="15" width="12.67"/>
    <col customWidth="1" min="16" max="16" width="14.0"/>
    <col customWidth="1" min="17" max="18" width="10.11"/>
    <col customWidth="1" min="19" max="19" width="6.44"/>
    <col customWidth="1" min="20" max="20" width="6.78"/>
    <col customWidth="1" min="21" max="21" width="7.78"/>
    <col customWidth="1" min="22" max="50" width="6.78"/>
  </cols>
  <sheetData>
    <row r="1" ht="14.25" customHeight="1">
      <c r="A1" s="54" t="s">
        <v>57</v>
      </c>
      <c r="B1" s="54" t="s">
        <v>58</v>
      </c>
      <c r="C1" s="54" t="s">
        <v>59</v>
      </c>
      <c r="D1" s="54" t="s">
        <v>60</v>
      </c>
      <c r="E1" s="55" t="s">
        <v>942</v>
      </c>
      <c r="F1" s="55" t="s">
        <v>3252</v>
      </c>
      <c r="G1" s="249" t="s">
        <v>61</v>
      </c>
      <c r="H1" s="249" t="s">
        <v>62</v>
      </c>
      <c r="I1" s="249" t="s">
        <v>2614</v>
      </c>
      <c r="J1" s="250" t="s">
        <v>2615</v>
      </c>
      <c r="K1" s="250" t="s">
        <v>2616</v>
      </c>
      <c r="L1" s="249" t="s">
        <v>2617</v>
      </c>
      <c r="M1" s="251" t="s">
        <v>3056</v>
      </c>
      <c r="N1" s="250" t="s">
        <v>2619</v>
      </c>
      <c r="O1" s="249" t="s">
        <v>2620</v>
      </c>
      <c r="P1" s="249" t="s">
        <v>2621</v>
      </c>
      <c r="Q1" s="249" t="s">
        <v>2622</v>
      </c>
      <c r="R1" s="249" t="s">
        <v>2623</v>
      </c>
      <c r="S1" s="54" t="s">
        <v>2624</v>
      </c>
      <c r="T1" s="56" t="s">
        <v>943</v>
      </c>
      <c r="U1" s="252" t="s">
        <v>2626</v>
      </c>
      <c r="V1" s="252" t="s">
        <v>61</v>
      </c>
      <c r="W1" s="252" t="s">
        <v>62</v>
      </c>
      <c r="X1" s="252" t="s">
        <v>4048</v>
      </c>
      <c r="Y1" s="252" t="s">
        <v>949</v>
      </c>
      <c r="Z1" s="253" t="s">
        <v>2628</v>
      </c>
      <c r="AA1" s="253" t="s">
        <v>2629</v>
      </c>
      <c r="AB1" s="253" t="s">
        <v>2630</v>
      </c>
    </row>
    <row r="2" ht="18.0" customHeight="1">
      <c r="A2" s="114" t="s">
        <v>415</v>
      </c>
      <c r="B2" s="114" t="s">
        <v>416</v>
      </c>
      <c r="C2" s="114" t="s">
        <v>88</v>
      </c>
      <c r="D2" s="114" t="s">
        <v>417</v>
      </c>
      <c r="E2" s="145" t="s">
        <v>1961</v>
      </c>
      <c r="F2" s="114"/>
      <c r="G2" s="114" t="s">
        <v>418</v>
      </c>
      <c r="H2" s="114" t="s">
        <v>419</v>
      </c>
      <c r="I2" s="114" t="s">
        <v>49</v>
      </c>
      <c r="J2" s="398" t="s">
        <v>4282</v>
      </c>
      <c r="K2" s="90" t="s">
        <v>4283</v>
      </c>
      <c r="L2" s="398" t="s">
        <v>4284</v>
      </c>
      <c r="M2" s="398" t="s">
        <v>4285</v>
      </c>
      <c r="N2" s="398" t="s">
        <v>4286</v>
      </c>
      <c r="O2" s="398" t="s">
        <v>4287</v>
      </c>
      <c r="P2" s="399" t="s">
        <v>1198</v>
      </c>
      <c r="Q2" s="72" t="s">
        <v>4288</v>
      </c>
      <c r="R2" s="114"/>
      <c r="S2" s="114"/>
      <c r="T2" s="72" t="s">
        <v>1437</v>
      </c>
      <c r="U2" s="27" t="s">
        <v>4289</v>
      </c>
      <c r="V2" s="27" t="s">
        <v>4290</v>
      </c>
      <c r="W2" s="90" t="s">
        <v>4291</v>
      </c>
      <c r="X2" s="90" t="s">
        <v>4292</v>
      </c>
      <c r="Y2" s="72" t="s">
        <v>1022</v>
      </c>
      <c r="Z2" s="114"/>
    </row>
    <row r="3" ht="15.75" customHeight="1">
      <c r="A3" s="114" t="s">
        <v>420</v>
      </c>
      <c r="B3" s="114" t="s">
        <v>421</v>
      </c>
      <c r="C3" s="114" t="s">
        <v>88</v>
      </c>
      <c r="D3" s="114" t="s">
        <v>422</v>
      </c>
      <c r="E3" s="115" t="s">
        <v>3394</v>
      </c>
      <c r="F3" s="114"/>
      <c r="G3" s="114" t="s">
        <v>423</v>
      </c>
      <c r="H3" s="114" t="s">
        <v>419</v>
      </c>
      <c r="I3" s="114" t="s">
        <v>49</v>
      </c>
      <c r="J3" s="27" t="s">
        <v>4293</v>
      </c>
      <c r="K3" s="90" t="s">
        <v>4294</v>
      </c>
      <c r="L3" s="398" t="s">
        <v>4295</v>
      </c>
      <c r="M3" s="398" t="s">
        <v>4296</v>
      </c>
      <c r="N3" s="90" t="s">
        <v>4297</v>
      </c>
      <c r="O3" s="90" t="s">
        <v>4298</v>
      </c>
      <c r="P3" s="72" t="s">
        <v>1198</v>
      </c>
      <c r="Q3" s="72" t="s">
        <v>4299</v>
      </c>
      <c r="R3" s="114"/>
      <c r="S3" s="114"/>
      <c r="T3" s="72" t="s">
        <v>1437</v>
      </c>
      <c r="U3" s="27" t="s">
        <v>4300</v>
      </c>
      <c r="V3" s="90" t="s">
        <v>4301</v>
      </c>
      <c r="W3" s="90" t="s">
        <v>4302</v>
      </c>
      <c r="X3" s="90" t="s">
        <v>4303</v>
      </c>
      <c r="Y3" s="72" t="s">
        <v>1022</v>
      </c>
      <c r="Z3" s="114"/>
    </row>
    <row r="4" ht="17.25" customHeight="1">
      <c r="A4" s="114" t="s">
        <v>424</v>
      </c>
      <c r="B4" s="114" t="s">
        <v>425</v>
      </c>
      <c r="C4" s="114" t="s">
        <v>88</v>
      </c>
      <c r="D4" s="114" t="s">
        <v>426</v>
      </c>
      <c r="E4" s="115" t="s">
        <v>1964</v>
      </c>
      <c r="F4" s="114"/>
      <c r="G4" s="114" t="s">
        <v>300</v>
      </c>
      <c r="H4" s="114" t="s">
        <v>393</v>
      </c>
      <c r="I4" s="114" t="s">
        <v>49</v>
      </c>
      <c r="J4" s="90" t="s">
        <v>4304</v>
      </c>
      <c r="K4" s="90" t="s">
        <v>4305</v>
      </c>
      <c r="L4" s="27" t="s">
        <v>4306</v>
      </c>
      <c r="M4" s="27" t="s">
        <v>4307</v>
      </c>
      <c r="N4" s="90" t="s">
        <v>4308</v>
      </c>
      <c r="O4" s="90" t="s">
        <v>4309</v>
      </c>
      <c r="P4" s="72" t="s">
        <v>1198</v>
      </c>
      <c r="Q4" s="72" t="s">
        <v>4310</v>
      </c>
      <c r="R4" s="114"/>
      <c r="S4" s="114"/>
      <c r="T4" s="72" t="s">
        <v>1437</v>
      </c>
      <c r="U4" s="27" t="s">
        <v>4311</v>
      </c>
      <c r="V4" s="90" t="s">
        <v>4312</v>
      </c>
      <c r="W4" s="90" t="s">
        <v>4313</v>
      </c>
      <c r="X4" s="90" t="s">
        <v>4303</v>
      </c>
      <c r="Y4" s="72" t="s">
        <v>1015</v>
      </c>
      <c r="Z4" s="114"/>
    </row>
    <row r="5" ht="18.0" customHeight="1">
      <c r="A5" s="37" t="s">
        <v>258</v>
      </c>
      <c r="B5" s="37" t="s">
        <v>259</v>
      </c>
      <c r="C5" s="37" t="s">
        <v>88</v>
      </c>
      <c r="D5" s="37" t="s">
        <v>122</v>
      </c>
      <c r="G5" s="37" t="s">
        <v>216</v>
      </c>
      <c r="H5" s="37" t="s">
        <v>260</v>
      </c>
      <c r="I5" s="37" t="s">
        <v>49</v>
      </c>
      <c r="J5" s="27" t="s">
        <v>4314</v>
      </c>
      <c r="K5" s="27" t="s">
        <v>4315</v>
      </c>
      <c r="L5" s="27" t="s">
        <v>4316</v>
      </c>
      <c r="M5" s="27" t="s">
        <v>4317</v>
      </c>
      <c r="N5" s="27" t="s">
        <v>4318</v>
      </c>
      <c r="O5" s="27" t="s">
        <v>4319</v>
      </c>
      <c r="P5" s="72" t="s">
        <v>1198</v>
      </c>
      <c r="Q5" s="26" t="s">
        <v>4320</v>
      </c>
      <c r="R5" s="114"/>
      <c r="T5" s="26" t="s">
        <v>1437</v>
      </c>
      <c r="U5" s="27" t="s">
        <v>4321</v>
      </c>
      <c r="V5" s="27" t="s">
        <v>4322</v>
      </c>
      <c r="W5" s="26" t="s">
        <v>4323</v>
      </c>
      <c r="X5" s="27" t="s">
        <v>4324</v>
      </c>
      <c r="Y5" s="26" t="s">
        <v>1348</v>
      </c>
    </row>
    <row r="6" ht="15.0" customHeight="1">
      <c r="A6" s="37" t="s">
        <v>262</v>
      </c>
      <c r="B6" s="37" t="s">
        <v>263</v>
      </c>
      <c r="C6" s="37" t="s">
        <v>88</v>
      </c>
      <c r="D6" s="37" t="s">
        <v>264</v>
      </c>
      <c r="G6" s="37" t="s">
        <v>265</v>
      </c>
      <c r="H6" s="37" t="s">
        <v>266</v>
      </c>
      <c r="I6" s="37" t="s">
        <v>49</v>
      </c>
      <c r="J6" s="27" t="s">
        <v>4325</v>
      </c>
      <c r="K6" s="27" t="s">
        <v>4326</v>
      </c>
      <c r="L6" s="27" t="s">
        <v>4327</v>
      </c>
      <c r="M6" s="27" t="s">
        <v>4328</v>
      </c>
      <c r="N6" s="27" t="s">
        <v>4329</v>
      </c>
      <c r="O6" s="27" t="s">
        <v>4330</v>
      </c>
      <c r="P6" s="72" t="s">
        <v>1198</v>
      </c>
      <c r="Q6" s="26" t="s">
        <v>4331</v>
      </c>
      <c r="R6" s="114"/>
      <c r="T6" s="26" t="s">
        <v>1437</v>
      </c>
      <c r="U6" s="27" t="s">
        <v>4332</v>
      </c>
      <c r="V6" s="400" t="s">
        <v>265</v>
      </c>
      <c r="W6" s="400" t="s">
        <v>266</v>
      </c>
      <c r="X6" s="27" t="s">
        <v>4333</v>
      </c>
      <c r="Y6" s="27" t="s">
        <v>1022</v>
      </c>
    </row>
    <row r="7" ht="15.75" customHeight="1">
      <c r="A7" s="37" t="s">
        <v>479</v>
      </c>
      <c r="B7" s="37" t="s">
        <v>480</v>
      </c>
      <c r="C7" s="37" t="s">
        <v>88</v>
      </c>
      <c r="D7" s="37" t="s">
        <v>363</v>
      </c>
      <c r="G7" s="37" t="s">
        <v>481</v>
      </c>
      <c r="H7" s="37" t="s">
        <v>189</v>
      </c>
      <c r="I7" s="37" t="s">
        <v>49</v>
      </c>
      <c r="J7" s="27" t="s">
        <v>4334</v>
      </c>
      <c r="K7" s="27" t="s">
        <v>4335</v>
      </c>
      <c r="L7" s="27" t="s">
        <v>4336</v>
      </c>
      <c r="M7" s="27" t="s">
        <v>4337</v>
      </c>
      <c r="N7" s="27" t="s">
        <v>4338</v>
      </c>
      <c r="O7" s="27" t="s">
        <v>4339</v>
      </c>
      <c r="P7" s="72" t="s">
        <v>1198</v>
      </c>
      <c r="Q7" s="26" t="s">
        <v>4331</v>
      </c>
      <c r="R7" s="114"/>
      <c r="T7" s="26" t="s">
        <v>1437</v>
      </c>
      <c r="U7" s="27" t="s">
        <v>4340</v>
      </c>
      <c r="V7" s="27" t="s">
        <v>4341</v>
      </c>
      <c r="W7" s="27" t="s">
        <v>4342</v>
      </c>
      <c r="X7" s="27" t="s">
        <v>4343</v>
      </c>
      <c r="Y7" s="26" t="s">
        <v>1007</v>
      </c>
    </row>
    <row r="8" ht="15.0" customHeight="1">
      <c r="A8" s="37" t="s">
        <v>482</v>
      </c>
      <c r="B8" s="37" t="s">
        <v>483</v>
      </c>
      <c r="C8" s="37" t="s">
        <v>88</v>
      </c>
      <c r="D8" s="37" t="s">
        <v>426</v>
      </c>
      <c r="G8" s="37" t="s">
        <v>484</v>
      </c>
      <c r="H8" s="37" t="s">
        <v>485</v>
      </c>
      <c r="I8" s="37" t="s">
        <v>49</v>
      </c>
      <c r="J8" s="27" t="s">
        <v>4344</v>
      </c>
      <c r="K8" s="27" t="s">
        <v>4345</v>
      </c>
      <c r="L8" s="27" t="s">
        <v>4346</v>
      </c>
      <c r="M8" s="27" t="s">
        <v>4347</v>
      </c>
      <c r="N8" s="27" t="s">
        <v>4348</v>
      </c>
      <c r="O8" s="27" t="s">
        <v>4349</v>
      </c>
      <c r="P8" s="72" t="s">
        <v>1198</v>
      </c>
      <c r="Q8" s="26" t="s">
        <v>4350</v>
      </c>
      <c r="R8" s="114"/>
      <c r="T8" s="26" t="s">
        <v>1437</v>
      </c>
      <c r="U8" s="27" t="s">
        <v>4351</v>
      </c>
      <c r="V8" s="37" t="s">
        <v>484</v>
      </c>
      <c r="W8" s="37" t="s">
        <v>485</v>
      </c>
      <c r="X8" s="26" t="s">
        <v>4352</v>
      </c>
      <c r="Y8" s="26" t="s">
        <v>1022</v>
      </c>
    </row>
    <row r="9" ht="14.25" customHeight="1">
      <c r="A9" s="37" t="s">
        <v>318</v>
      </c>
      <c r="B9" s="37" t="s">
        <v>319</v>
      </c>
      <c r="C9" s="37" t="s">
        <v>88</v>
      </c>
      <c r="D9" s="37" t="s">
        <v>272</v>
      </c>
      <c r="E9" s="135" t="s">
        <v>4353</v>
      </c>
      <c r="F9" s="310">
        <v>19.0</v>
      </c>
      <c r="G9" s="37" t="s">
        <v>162</v>
      </c>
      <c r="H9" s="37" t="s">
        <v>320</v>
      </c>
      <c r="I9" s="37" t="s">
        <v>49</v>
      </c>
      <c r="J9" s="27" t="s">
        <v>4354</v>
      </c>
      <c r="K9" s="27" t="s">
        <v>4355</v>
      </c>
      <c r="L9" s="27" t="s">
        <v>4356</v>
      </c>
      <c r="M9" s="27" t="s">
        <v>4357</v>
      </c>
      <c r="N9" s="27" t="s">
        <v>4358</v>
      </c>
      <c r="O9" s="27" t="s">
        <v>4359</v>
      </c>
      <c r="P9" s="39" t="s">
        <v>1198</v>
      </c>
      <c r="Q9" s="39" t="s">
        <v>4350</v>
      </c>
      <c r="R9" s="39"/>
      <c r="S9" s="39"/>
      <c r="T9" s="39" t="s">
        <v>1437</v>
      </c>
      <c r="U9" s="27" t="s">
        <v>4360</v>
      </c>
      <c r="V9" s="27" t="s">
        <v>4361</v>
      </c>
      <c r="W9" s="401" t="s">
        <v>4362</v>
      </c>
      <c r="X9" s="27" t="s">
        <v>4363</v>
      </c>
      <c r="Y9" s="39" t="s">
        <v>1015</v>
      </c>
      <c r="Z9" s="39"/>
      <c r="AA9" s="39"/>
      <c r="AB9" s="39"/>
      <c r="AE9" s="41"/>
      <c r="AF9" s="41"/>
      <c r="AG9" s="41"/>
      <c r="AH9" s="41"/>
      <c r="AI9" s="41"/>
      <c r="AJ9" s="41"/>
      <c r="AK9" s="41"/>
      <c r="AL9" s="41"/>
      <c r="AM9" s="41"/>
      <c r="AN9" s="41"/>
      <c r="AO9" s="41"/>
      <c r="AP9" s="41"/>
      <c r="AQ9" s="41"/>
      <c r="AR9" s="41"/>
      <c r="AS9" s="41"/>
      <c r="AT9" s="41"/>
      <c r="AU9" s="41"/>
      <c r="AV9" s="41"/>
      <c r="AW9" s="41"/>
      <c r="AX9" s="41"/>
    </row>
    <row r="10" ht="15.75" customHeight="1">
      <c r="A10" s="114" t="s">
        <v>334</v>
      </c>
      <c r="B10" s="114" t="s">
        <v>335</v>
      </c>
      <c r="C10" s="114" t="s">
        <v>88</v>
      </c>
      <c r="D10" s="114" t="s">
        <v>336</v>
      </c>
      <c r="E10" s="114"/>
      <c r="F10" s="114"/>
      <c r="G10" s="114"/>
      <c r="H10" s="72" t="s">
        <v>142</v>
      </c>
      <c r="I10" s="26" t="s">
        <v>49</v>
      </c>
      <c r="J10" s="27" t="s">
        <v>4364</v>
      </c>
      <c r="K10" s="90" t="s">
        <v>4365</v>
      </c>
      <c r="L10" s="27" t="s">
        <v>4366</v>
      </c>
      <c r="M10" s="27" t="s">
        <v>4367</v>
      </c>
      <c r="N10" s="27" t="s">
        <v>4368</v>
      </c>
      <c r="O10" s="90" t="s">
        <v>4369</v>
      </c>
      <c r="P10" s="72" t="s">
        <v>1198</v>
      </c>
      <c r="Q10" s="26" t="s">
        <v>4350</v>
      </c>
      <c r="R10" s="37"/>
      <c r="T10" s="26" t="s">
        <v>1437</v>
      </c>
      <c r="U10" s="27" t="s">
        <v>4370</v>
      </c>
      <c r="V10" s="37" t="s">
        <v>162</v>
      </c>
      <c r="W10" s="90" t="s">
        <v>4371</v>
      </c>
      <c r="X10" s="27" t="s">
        <v>4372</v>
      </c>
      <c r="Y10" s="26" t="s">
        <v>1993</v>
      </c>
    </row>
    <row r="11" ht="18.0" customHeight="1">
      <c r="A11" s="114" t="s">
        <v>339</v>
      </c>
      <c r="B11" s="114" t="s">
        <v>340</v>
      </c>
      <c r="C11" s="114" t="s">
        <v>88</v>
      </c>
      <c r="D11" s="114" t="s">
        <v>109</v>
      </c>
      <c r="E11" s="114"/>
      <c r="F11" s="114"/>
      <c r="G11" s="114"/>
      <c r="H11" s="90" t="s">
        <v>4373</v>
      </c>
      <c r="I11" s="72" t="s">
        <v>49</v>
      </c>
      <c r="J11" s="27" t="s">
        <v>4374</v>
      </c>
      <c r="K11" s="27" t="s">
        <v>4375</v>
      </c>
      <c r="L11" s="27" t="s">
        <v>4376</v>
      </c>
      <c r="M11" s="27" t="s">
        <v>4377</v>
      </c>
      <c r="N11" s="27" t="s">
        <v>4378</v>
      </c>
      <c r="O11" s="27" t="s">
        <v>4379</v>
      </c>
      <c r="P11" s="72" t="s">
        <v>1198</v>
      </c>
      <c r="Q11" s="26" t="s">
        <v>4331</v>
      </c>
      <c r="R11" s="37"/>
      <c r="T11" s="26" t="s">
        <v>1437</v>
      </c>
      <c r="U11" s="27" t="s">
        <v>4380</v>
      </c>
      <c r="V11" s="27" t="s">
        <v>4381</v>
      </c>
      <c r="W11" s="27" t="s">
        <v>4382</v>
      </c>
      <c r="X11" s="27" t="s">
        <v>4383</v>
      </c>
      <c r="Y11" s="26" t="s">
        <v>1997</v>
      </c>
    </row>
    <row r="12" ht="15.0" customHeight="1">
      <c r="A12" s="39" t="s">
        <v>759</v>
      </c>
      <c r="B12" s="39" t="s">
        <v>760</v>
      </c>
      <c r="C12" s="40" t="s">
        <v>616</v>
      </c>
      <c r="D12" s="39" t="s">
        <v>568</v>
      </c>
      <c r="E12" s="39"/>
      <c r="F12" s="39"/>
      <c r="G12" s="39" t="s">
        <v>761</v>
      </c>
      <c r="H12" s="39" t="s">
        <v>273</v>
      </c>
      <c r="I12" s="37" t="s">
        <v>49</v>
      </c>
      <c r="J12" s="27" t="s">
        <v>4384</v>
      </c>
      <c r="K12" s="27" t="s">
        <v>4385</v>
      </c>
      <c r="L12" s="27" t="s">
        <v>4386</v>
      </c>
      <c r="M12" s="27" t="s">
        <v>4387</v>
      </c>
      <c r="N12" s="27" t="s">
        <v>4388</v>
      </c>
      <c r="O12" s="27" t="s">
        <v>4389</v>
      </c>
      <c r="P12" s="26" t="s">
        <v>1198</v>
      </c>
      <c r="Q12" s="26" t="s">
        <v>4390</v>
      </c>
      <c r="T12" s="26" t="s">
        <v>1437</v>
      </c>
      <c r="U12" s="27" t="s">
        <v>4391</v>
      </c>
      <c r="V12" s="401" t="s">
        <v>761</v>
      </c>
      <c r="W12" s="39" t="s">
        <v>273</v>
      </c>
      <c r="X12" s="27" t="s">
        <v>4392</v>
      </c>
      <c r="Y12" s="26" t="s">
        <v>1015</v>
      </c>
      <c r="AD12" s="387"/>
      <c r="AE12" s="387"/>
      <c r="AF12" s="387"/>
      <c r="AG12" s="387"/>
      <c r="AH12" s="387"/>
      <c r="AI12" s="387"/>
      <c r="AJ12" s="387"/>
      <c r="AK12" s="387"/>
      <c r="AL12" s="387"/>
      <c r="AM12" s="387"/>
      <c r="AN12" s="387"/>
      <c r="AO12" s="387"/>
      <c r="AP12" s="387"/>
      <c r="AQ12" s="387"/>
      <c r="AR12" s="387"/>
      <c r="AS12" s="387"/>
      <c r="AT12" s="387"/>
      <c r="AU12" s="387"/>
      <c r="AV12" s="387"/>
      <c r="AW12" s="387"/>
      <c r="AX12" s="387"/>
    </row>
    <row r="13" ht="14.25" customHeight="1">
      <c r="A13" s="39" t="s">
        <v>762</v>
      </c>
      <c r="B13" s="39" t="s">
        <v>763</v>
      </c>
      <c r="C13" s="40" t="s">
        <v>616</v>
      </c>
      <c r="D13" s="39" t="s">
        <v>708</v>
      </c>
      <c r="E13" s="39"/>
      <c r="F13" s="39"/>
      <c r="G13" s="39" t="s">
        <v>764</v>
      </c>
      <c r="H13" s="39" t="s">
        <v>389</v>
      </c>
      <c r="I13" s="37" t="s">
        <v>49</v>
      </c>
      <c r="J13" s="27" t="s">
        <v>4393</v>
      </c>
      <c r="K13" s="27" t="s">
        <v>4394</v>
      </c>
      <c r="L13" s="27" t="s">
        <v>4395</v>
      </c>
      <c r="M13" s="27" t="s">
        <v>4396</v>
      </c>
      <c r="N13" s="27" t="s">
        <v>4397</v>
      </c>
      <c r="O13" s="27" t="s">
        <v>4398</v>
      </c>
      <c r="P13" s="26" t="s">
        <v>1198</v>
      </c>
      <c r="Q13" s="26" t="s">
        <v>4399</v>
      </c>
      <c r="T13" s="26" t="s">
        <v>1437</v>
      </c>
      <c r="U13" s="27" t="s">
        <v>4400</v>
      </c>
      <c r="V13" s="27" t="s">
        <v>4401</v>
      </c>
      <c r="W13" s="27" t="s">
        <v>4402</v>
      </c>
      <c r="X13" s="27" t="s">
        <v>4392</v>
      </c>
      <c r="Y13" s="26" t="s">
        <v>1436</v>
      </c>
    </row>
    <row r="14" ht="15.75" customHeight="1">
      <c r="A14" s="39" t="s">
        <v>765</v>
      </c>
      <c r="B14" s="39" t="s">
        <v>766</v>
      </c>
      <c r="C14" s="40" t="s">
        <v>616</v>
      </c>
      <c r="D14" s="39" t="s">
        <v>767</v>
      </c>
      <c r="E14" s="39"/>
      <c r="F14" s="39"/>
      <c r="G14" s="39" t="s">
        <v>514</v>
      </c>
      <c r="H14" s="39" t="s">
        <v>768</v>
      </c>
      <c r="I14" s="39" t="s">
        <v>49</v>
      </c>
      <c r="J14" s="27" t="s">
        <v>4403</v>
      </c>
      <c r="K14" s="27" t="s">
        <v>4404</v>
      </c>
      <c r="L14" s="27" t="s">
        <v>4405</v>
      </c>
      <c r="M14" s="27" t="s">
        <v>4406</v>
      </c>
      <c r="N14" s="27" t="s">
        <v>4407</v>
      </c>
      <c r="O14" s="27" t="s">
        <v>4408</v>
      </c>
      <c r="P14" s="26" t="s">
        <v>4409</v>
      </c>
      <c r="Q14" s="26" t="s">
        <v>4410</v>
      </c>
      <c r="T14" s="26" t="s">
        <v>1437</v>
      </c>
      <c r="U14" s="27" t="s">
        <v>4411</v>
      </c>
      <c r="V14" s="27" t="s">
        <v>4412</v>
      </c>
      <c r="W14" s="27" t="s">
        <v>4413</v>
      </c>
      <c r="X14" s="27" t="s">
        <v>4414</v>
      </c>
      <c r="Y14" s="27" t="s">
        <v>4415</v>
      </c>
    </row>
    <row r="15" ht="14.25" customHeight="1">
      <c r="A15" s="274" t="s">
        <v>810</v>
      </c>
      <c r="B15" s="274" t="s">
        <v>811</v>
      </c>
      <c r="C15" s="275" t="s">
        <v>616</v>
      </c>
      <c r="D15" s="274" t="s">
        <v>215</v>
      </c>
      <c r="E15" s="274"/>
      <c r="F15" s="274"/>
      <c r="G15" s="274" t="s">
        <v>137</v>
      </c>
      <c r="H15" s="274" t="s">
        <v>260</v>
      </c>
      <c r="I15" s="266" t="s">
        <v>49</v>
      </c>
      <c r="J15" s="274"/>
      <c r="K15" s="266"/>
      <c r="L15" s="266"/>
      <c r="M15" s="402"/>
      <c r="N15" s="266"/>
      <c r="O15" s="266"/>
      <c r="P15" s="267" t="s">
        <v>4416</v>
      </c>
      <c r="Q15" s="266"/>
      <c r="R15" s="266"/>
      <c r="S15" s="267" t="s">
        <v>2442</v>
      </c>
      <c r="T15" s="266"/>
      <c r="U15" s="266"/>
      <c r="V15" s="266"/>
      <c r="W15" s="266"/>
      <c r="X15" s="266"/>
      <c r="Y15" s="267" t="s">
        <v>1062</v>
      </c>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row>
    <row r="16" ht="12.75" customHeight="1">
      <c r="A16" s="39" t="s">
        <v>812</v>
      </c>
      <c r="B16" s="39" t="s">
        <v>813</v>
      </c>
      <c r="C16" s="40" t="s">
        <v>616</v>
      </c>
      <c r="D16" s="39" t="s">
        <v>409</v>
      </c>
      <c r="E16" s="39"/>
      <c r="F16" s="39"/>
      <c r="G16" s="39" t="s">
        <v>101</v>
      </c>
      <c r="H16" s="39" t="s">
        <v>627</v>
      </c>
      <c r="I16" s="37" t="s">
        <v>49</v>
      </c>
      <c r="J16" s="27" t="s">
        <v>4417</v>
      </c>
      <c r="K16" s="27" t="s">
        <v>4418</v>
      </c>
      <c r="L16" s="27" t="s">
        <v>4419</v>
      </c>
      <c r="M16" s="27" t="s">
        <v>4420</v>
      </c>
      <c r="N16" s="27" t="s">
        <v>4421</v>
      </c>
      <c r="O16" s="27" t="s">
        <v>4422</v>
      </c>
      <c r="P16" s="26" t="s">
        <v>1198</v>
      </c>
      <c r="Q16" s="26" t="s">
        <v>4423</v>
      </c>
      <c r="T16" s="26" t="s">
        <v>1437</v>
      </c>
      <c r="U16" s="27" t="s">
        <v>4424</v>
      </c>
      <c r="V16" s="27" t="s">
        <v>4425</v>
      </c>
      <c r="W16" s="27" t="s">
        <v>4426</v>
      </c>
      <c r="X16" s="27" t="s">
        <v>4392</v>
      </c>
      <c r="Y16" s="26" t="s">
        <v>1022</v>
      </c>
    </row>
    <row r="17" ht="14.25" customHeight="1">
      <c r="A17" s="39" t="s">
        <v>814</v>
      </c>
      <c r="B17" s="39" t="s">
        <v>815</v>
      </c>
      <c r="C17" s="40" t="s">
        <v>616</v>
      </c>
      <c r="D17" s="39" t="s">
        <v>201</v>
      </c>
      <c r="E17" s="39"/>
      <c r="F17" s="39"/>
      <c r="G17" s="39" t="s">
        <v>681</v>
      </c>
      <c r="H17" s="39" t="s">
        <v>816</v>
      </c>
      <c r="I17" s="37" t="s">
        <v>49</v>
      </c>
      <c r="J17" s="27" t="s">
        <v>4427</v>
      </c>
      <c r="K17" s="27" t="s">
        <v>4428</v>
      </c>
      <c r="L17" s="27" t="s">
        <v>4429</v>
      </c>
      <c r="M17" s="27" t="s">
        <v>4430</v>
      </c>
      <c r="N17" s="27" t="s">
        <v>4431</v>
      </c>
      <c r="O17" s="27" t="s">
        <v>4432</v>
      </c>
      <c r="P17" s="26" t="s">
        <v>1198</v>
      </c>
      <c r="Q17" s="26" t="s">
        <v>4350</v>
      </c>
      <c r="T17" s="26" t="s">
        <v>1437</v>
      </c>
      <c r="U17" s="27" t="s">
        <v>4433</v>
      </c>
      <c r="V17" s="27" t="s">
        <v>4434</v>
      </c>
      <c r="W17" s="27" t="s">
        <v>4435</v>
      </c>
      <c r="X17" s="27" t="s">
        <v>4392</v>
      </c>
      <c r="Y17" s="26" t="s">
        <v>4436</v>
      </c>
    </row>
    <row r="18" ht="15.75" customHeight="1">
      <c r="A18" s="39" t="s">
        <v>817</v>
      </c>
      <c r="B18" s="39" t="s">
        <v>818</v>
      </c>
      <c r="C18" s="40" t="s">
        <v>616</v>
      </c>
      <c r="D18" s="39" t="s">
        <v>125</v>
      </c>
      <c r="E18" s="39"/>
      <c r="F18" s="39"/>
      <c r="G18" s="39" t="s">
        <v>819</v>
      </c>
      <c r="H18" s="39" t="s">
        <v>820</v>
      </c>
      <c r="I18" s="39" t="s">
        <v>49</v>
      </c>
      <c r="J18" s="27" t="s">
        <v>4437</v>
      </c>
      <c r="K18" s="27" t="s">
        <v>4438</v>
      </c>
      <c r="L18" s="27" t="s">
        <v>4439</v>
      </c>
      <c r="M18" s="27" t="s">
        <v>4440</v>
      </c>
      <c r="N18" s="27" t="s">
        <v>4441</v>
      </c>
      <c r="O18" s="27" t="s">
        <v>4442</v>
      </c>
      <c r="P18" s="26" t="s">
        <v>1198</v>
      </c>
      <c r="T18" s="26" t="s">
        <v>1437</v>
      </c>
      <c r="U18" s="27" t="s">
        <v>4443</v>
      </c>
      <c r="V18" s="27" t="s">
        <v>4444</v>
      </c>
      <c r="W18" s="27" t="s">
        <v>4445</v>
      </c>
      <c r="X18" s="27" t="s">
        <v>4446</v>
      </c>
      <c r="Y18" s="26" t="s">
        <v>2028</v>
      </c>
    </row>
    <row r="19" ht="15.75" customHeight="1">
      <c r="A19" s="39" t="s">
        <v>821</v>
      </c>
      <c r="B19" s="39" t="s">
        <v>822</v>
      </c>
      <c r="C19" s="40" t="s">
        <v>616</v>
      </c>
      <c r="D19" s="39" t="s">
        <v>779</v>
      </c>
      <c r="E19" s="39"/>
      <c r="F19" s="39"/>
      <c r="G19" s="39" t="s">
        <v>484</v>
      </c>
      <c r="H19" s="39" t="s">
        <v>189</v>
      </c>
      <c r="I19" s="37" t="s">
        <v>49</v>
      </c>
      <c r="J19" s="27" t="s">
        <v>4447</v>
      </c>
      <c r="K19" s="27" t="s">
        <v>4448</v>
      </c>
      <c r="L19" s="27" t="s">
        <v>4449</v>
      </c>
      <c r="M19" s="27" t="s">
        <v>4450</v>
      </c>
      <c r="N19" s="27" t="s">
        <v>4451</v>
      </c>
      <c r="O19" s="27" t="s">
        <v>4452</v>
      </c>
      <c r="P19" s="26" t="s">
        <v>1198</v>
      </c>
      <c r="Q19" s="26" t="s">
        <v>4320</v>
      </c>
      <c r="T19" s="26" t="s">
        <v>1437</v>
      </c>
      <c r="U19" s="27" t="s">
        <v>4453</v>
      </c>
      <c r="V19" s="27" t="s">
        <v>4454</v>
      </c>
      <c r="W19" s="27" t="s">
        <v>4455</v>
      </c>
      <c r="X19" s="27" t="s">
        <v>4456</v>
      </c>
      <c r="Y19" s="26" t="s">
        <v>1022</v>
      </c>
    </row>
    <row r="20" ht="14.25" customHeight="1">
      <c r="A20" s="274" t="s">
        <v>837</v>
      </c>
      <c r="B20" s="274" t="s">
        <v>838</v>
      </c>
      <c r="C20" s="275" t="s">
        <v>616</v>
      </c>
      <c r="D20" s="274" t="s">
        <v>729</v>
      </c>
      <c r="E20" s="274"/>
      <c r="F20" s="274"/>
      <c r="G20" s="274" t="s">
        <v>839</v>
      </c>
      <c r="H20" s="274" t="s">
        <v>280</v>
      </c>
      <c r="I20" s="266" t="s">
        <v>49</v>
      </c>
      <c r="J20" s="274"/>
      <c r="K20" s="266"/>
      <c r="L20" s="266"/>
      <c r="M20" s="266"/>
      <c r="N20" s="266"/>
      <c r="O20" s="266"/>
      <c r="P20" s="267" t="s">
        <v>4416</v>
      </c>
      <c r="Q20" s="266"/>
      <c r="R20" s="266"/>
      <c r="S20" s="267" t="s">
        <v>2442</v>
      </c>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row>
    <row r="21" ht="13.5" customHeight="1">
      <c r="A21" s="39" t="s">
        <v>840</v>
      </c>
      <c r="B21" s="39" t="s">
        <v>841</v>
      </c>
      <c r="C21" s="40" t="s">
        <v>616</v>
      </c>
      <c r="D21" s="39" t="s">
        <v>833</v>
      </c>
      <c r="E21" s="39"/>
      <c r="F21" s="39"/>
      <c r="G21" s="39" t="s">
        <v>842</v>
      </c>
      <c r="H21" s="39" t="s">
        <v>843</v>
      </c>
      <c r="I21" s="37" t="s">
        <v>49</v>
      </c>
      <c r="J21" s="27" t="s">
        <v>4457</v>
      </c>
      <c r="K21" s="27" t="s">
        <v>4458</v>
      </c>
      <c r="L21" s="27" t="s">
        <v>4459</v>
      </c>
      <c r="M21" s="27" t="s">
        <v>4460</v>
      </c>
      <c r="N21" s="27" t="s">
        <v>4461</v>
      </c>
      <c r="O21" s="27" t="s">
        <v>4462</v>
      </c>
      <c r="P21" s="26" t="s">
        <v>1198</v>
      </c>
      <c r="Q21" s="26" t="s">
        <v>4423</v>
      </c>
      <c r="T21" s="26" t="s">
        <v>1437</v>
      </c>
      <c r="U21" s="27" t="s">
        <v>4463</v>
      </c>
      <c r="V21" s="27" t="s">
        <v>4464</v>
      </c>
      <c r="W21" s="27" t="s">
        <v>4465</v>
      </c>
      <c r="X21" s="27" t="s">
        <v>4466</v>
      </c>
      <c r="Y21" s="26" t="s">
        <v>4436</v>
      </c>
    </row>
    <row r="22" ht="14.25" customHeight="1">
      <c r="A22" s="39" t="s">
        <v>844</v>
      </c>
      <c r="B22" s="39" t="s">
        <v>845</v>
      </c>
      <c r="C22" s="40" t="s">
        <v>616</v>
      </c>
      <c r="D22" s="39" t="s">
        <v>846</v>
      </c>
      <c r="E22" s="39"/>
      <c r="F22" s="39"/>
      <c r="G22" s="39" t="s">
        <v>101</v>
      </c>
      <c r="H22" s="39" t="s">
        <v>847</v>
      </c>
      <c r="I22" s="37" t="s">
        <v>49</v>
      </c>
      <c r="J22" s="27" t="s">
        <v>4467</v>
      </c>
      <c r="K22" s="27" t="s">
        <v>4468</v>
      </c>
      <c r="L22" s="27" t="s">
        <v>4469</v>
      </c>
      <c r="M22" s="27" t="s">
        <v>4470</v>
      </c>
      <c r="N22" s="27" t="s">
        <v>3350</v>
      </c>
      <c r="O22" s="27" t="s">
        <v>4471</v>
      </c>
      <c r="P22" s="26" t="s">
        <v>1198</v>
      </c>
      <c r="T22" s="26" t="s">
        <v>1437</v>
      </c>
      <c r="U22" s="27" t="s">
        <v>4472</v>
      </c>
      <c r="V22" s="27" t="s">
        <v>4473</v>
      </c>
      <c r="W22" s="27" t="s">
        <v>4474</v>
      </c>
      <c r="X22" s="27" t="s">
        <v>4475</v>
      </c>
      <c r="Y22" s="26" t="s">
        <v>1547</v>
      </c>
    </row>
    <row r="23" ht="14.25" customHeight="1">
      <c r="A23" s="39" t="s">
        <v>848</v>
      </c>
      <c r="B23" s="39" t="s">
        <v>849</v>
      </c>
      <c r="C23" s="40" t="s">
        <v>616</v>
      </c>
      <c r="D23" s="39" t="s">
        <v>109</v>
      </c>
      <c r="E23" s="39"/>
      <c r="F23" s="39"/>
      <c r="G23" s="39" t="s">
        <v>850</v>
      </c>
      <c r="H23" s="39" t="s">
        <v>221</v>
      </c>
      <c r="I23" s="37" t="s">
        <v>49</v>
      </c>
      <c r="J23" s="27" t="s">
        <v>4476</v>
      </c>
      <c r="K23" s="27" t="s">
        <v>4477</v>
      </c>
      <c r="L23" s="27" t="s">
        <v>4478</v>
      </c>
      <c r="M23" s="27" t="s">
        <v>4479</v>
      </c>
      <c r="N23" s="27" t="s">
        <v>4480</v>
      </c>
      <c r="O23" s="27" t="s">
        <v>4481</v>
      </c>
      <c r="P23" s="26" t="s">
        <v>4409</v>
      </c>
      <c r="T23" s="26" t="s">
        <v>4482</v>
      </c>
      <c r="U23" s="27" t="s">
        <v>4483</v>
      </c>
      <c r="V23" s="27" t="s">
        <v>4484</v>
      </c>
      <c r="W23" s="27" t="s">
        <v>4485</v>
      </c>
      <c r="X23" s="27" t="s">
        <v>4486</v>
      </c>
      <c r="Y23" s="26" t="s">
        <v>1022</v>
      </c>
    </row>
    <row r="24" ht="14.25" customHeight="1">
      <c r="A24" s="39" t="s">
        <v>851</v>
      </c>
      <c r="B24" s="39" t="s">
        <v>852</v>
      </c>
      <c r="C24" s="40" t="s">
        <v>616</v>
      </c>
      <c r="D24" s="39" t="s">
        <v>401</v>
      </c>
      <c r="E24" s="39"/>
      <c r="F24" s="39"/>
      <c r="G24" s="39" t="s">
        <v>853</v>
      </c>
      <c r="H24" s="39" t="s">
        <v>142</v>
      </c>
      <c r="I24" s="37" t="s">
        <v>49</v>
      </c>
      <c r="J24" s="27" t="s">
        <v>4487</v>
      </c>
      <c r="K24" s="27" t="s">
        <v>4488</v>
      </c>
      <c r="L24" s="27" t="s">
        <v>4489</v>
      </c>
      <c r="M24" s="27" t="s">
        <v>4490</v>
      </c>
      <c r="N24" s="27" t="s">
        <v>4491</v>
      </c>
      <c r="O24" s="27" t="s">
        <v>4492</v>
      </c>
      <c r="P24" s="26" t="s">
        <v>1198</v>
      </c>
      <c r="T24" s="26" t="s">
        <v>1437</v>
      </c>
      <c r="U24" s="27" t="s">
        <v>4493</v>
      </c>
      <c r="V24" s="27" t="s">
        <v>4494</v>
      </c>
      <c r="W24" s="27" t="s">
        <v>4495</v>
      </c>
      <c r="X24" s="27" t="s">
        <v>4496</v>
      </c>
      <c r="Y24" s="26" t="s">
        <v>4436</v>
      </c>
    </row>
    <row r="25" ht="15.0" customHeight="1">
      <c r="A25" s="39" t="s">
        <v>896</v>
      </c>
      <c r="B25" s="39" t="s">
        <v>897</v>
      </c>
      <c r="C25" s="40" t="s">
        <v>891</v>
      </c>
      <c r="D25" s="39" t="s">
        <v>898</v>
      </c>
      <c r="E25" s="39"/>
      <c r="F25" s="39"/>
      <c r="G25" s="27" t="s">
        <v>4497</v>
      </c>
      <c r="H25" s="39" t="s">
        <v>209</v>
      </c>
      <c r="I25" s="39" t="s">
        <v>49</v>
      </c>
      <c r="J25" s="27" t="s">
        <v>4498</v>
      </c>
      <c r="K25" s="27" t="s">
        <v>4499</v>
      </c>
      <c r="L25" s="27" t="s">
        <v>4500</v>
      </c>
      <c r="M25" s="27" t="s">
        <v>4501</v>
      </c>
      <c r="N25" s="27" t="s">
        <v>4502</v>
      </c>
      <c r="O25" s="27" t="s">
        <v>4503</v>
      </c>
      <c r="P25" s="26" t="s">
        <v>4409</v>
      </c>
      <c r="T25" s="26" t="s">
        <v>1437</v>
      </c>
      <c r="U25" s="27" t="s">
        <v>4504</v>
      </c>
      <c r="V25" s="27" t="s">
        <v>4505</v>
      </c>
      <c r="W25" s="27" t="s">
        <v>4506</v>
      </c>
      <c r="X25" s="27" t="s">
        <v>4507</v>
      </c>
      <c r="Y25" s="26" t="s">
        <v>1062</v>
      </c>
    </row>
    <row r="26" ht="13.5" customHeight="1">
      <c r="A26" s="39" t="s">
        <v>918</v>
      </c>
      <c r="B26" s="39" t="s">
        <v>919</v>
      </c>
      <c r="C26" s="40" t="s">
        <v>891</v>
      </c>
      <c r="D26" s="39" t="s">
        <v>907</v>
      </c>
      <c r="E26" s="39"/>
      <c r="F26" s="39"/>
      <c r="G26" s="27" t="s">
        <v>4508</v>
      </c>
      <c r="H26" s="39" t="s">
        <v>920</v>
      </c>
      <c r="I26" s="39" t="s">
        <v>559</v>
      </c>
      <c r="J26" s="27" t="s">
        <v>4509</v>
      </c>
      <c r="K26" s="27" t="s">
        <v>4510</v>
      </c>
      <c r="L26" s="27" t="s">
        <v>4511</v>
      </c>
      <c r="M26" s="27" t="s">
        <v>4512</v>
      </c>
      <c r="N26" s="27" t="s">
        <v>4513</v>
      </c>
      <c r="O26" s="27" t="s">
        <v>4514</v>
      </c>
      <c r="P26" s="26" t="s">
        <v>1198</v>
      </c>
      <c r="T26" s="26" t="s">
        <v>1437</v>
      </c>
      <c r="U26" s="27" t="s">
        <v>4515</v>
      </c>
      <c r="V26" s="27" t="s">
        <v>4516</v>
      </c>
      <c r="W26" s="27" t="s">
        <v>4517</v>
      </c>
      <c r="X26" s="27" t="s">
        <v>4518</v>
      </c>
      <c r="Y26" s="26" t="s">
        <v>4519</v>
      </c>
    </row>
    <row r="27" ht="14.25" customHeight="1"/>
    <row r="28" ht="14.25" customHeight="1"/>
    <row r="29" ht="14.25" customHeight="1">
      <c r="A29" s="396"/>
    </row>
    <row r="30" ht="14.25" customHeight="1">
      <c r="A30" s="403"/>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B9:AD9"/>
    <mergeCell ref="A29:E29"/>
    <mergeCell ref="A30:E38"/>
  </mergeCells>
  <dataValidations>
    <dataValidation type="list" allowBlank="1" showErrorMessage="1" sqref="R2:R8 AJ9 R10:R11">
      <formula1>'Exclussion basis'!$A$2:$A$4</formula1>
    </dataValidation>
  </dataValidations>
  <hyperlinks>
    <hyperlink r:id="rId2" ref="E2"/>
    <hyperlink r:id="rId3" ref="E3"/>
    <hyperlink r:id="rId4" ref="E4"/>
    <hyperlink r:id="rId5" ref="E9"/>
  </hyperlinks>
  <printOptions/>
  <pageMargins bottom="0.75" footer="0.0" header="0.0" left="0.7" right="0.7" top="0.75"/>
  <pageSetup orientation="landscape"/>
  <drawing r:id="rId6"/>
  <legacyDrawing r:id="rId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22"/>
    <col customWidth="1" min="2" max="26" width="6.78"/>
  </cols>
  <sheetData>
    <row r="1" ht="14.25" customHeight="1">
      <c r="A1" s="404" t="s">
        <v>4520</v>
      </c>
    </row>
    <row r="2" ht="14.25" customHeight="1">
      <c r="A2" s="37" t="s">
        <v>2394</v>
      </c>
    </row>
    <row r="3" ht="14.25" customHeight="1">
      <c r="A3" s="26" t="s">
        <v>4521</v>
      </c>
    </row>
    <row r="4" ht="14.25" customHeight="1">
      <c r="A4" s="37" t="s">
        <v>2388</v>
      </c>
    </row>
    <row r="5" ht="14.25" customHeight="1">
      <c r="A5" s="37" t="s">
        <v>2636</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6.11"/>
    <col customWidth="1" min="3" max="26" width="6.78"/>
  </cols>
  <sheetData>
    <row r="1" ht="14.25" customHeight="1">
      <c r="A1" s="37" t="s">
        <v>58</v>
      </c>
      <c r="B1" s="37" t="s">
        <v>2614</v>
      </c>
      <c r="C1" s="37" t="s">
        <v>4522</v>
      </c>
      <c r="D1" s="37" t="s">
        <v>4523</v>
      </c>
      <c r="E1" s="37" t="s">
        <v>4524</v>
      </c>
    </row>
    <row r="2" ht="14.25" customHeight="1">
      <c r="D2" s="37"/>
      <c r="E2" s="37" t="s">
        <v>4525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2">
      <formula1>Reviewers!$A$2:$A$7</formula1>
    </dataValidation>
  </dataValidation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6" width="6.78"/>
  </cols>
  <sheetData>
    <row r="1" ht="14.25" customHeight="1">
      <c r="A1" s="29" t="s">
        <v>4526</v>
      </c>
      <c r="B1" s="405" t="s">
        <v>4527</v>
      </c>
    </row>
    <row r="2" ht="14.25" customHeight="1">
      <c r="A2" s="37" t="s">
        <v>431</v>
      </c>
      <c r="B2" s="26" t="s">
        <v>4528</v>
      </c>
    </row>
    <row r="3" ht="14.25" customHeight="1">
      <c r="A3" s="37" t="s">
        <v>181</v>
      </c>
      <c r="B3" s="26" t="s">
        <v>2269</v>
      </c>
    </row>
    <row r="4" ht="14.25" customHeight="1">
      <c r="A4" s="37" t="s">
        <v>347</v>
      </c>
      <c r="B4" s="26" t="s">
        <v>4529</v>
      </c>
    </row>
    <row r="5" ht="14.25" customHeight="1">
      <c r="A5" s="37" t="s">
        <v>269</v>
      </c>
      <c r="B5" s="26" t="s">
        <v>2265</v>
      </c>
    </row>
    <row r="6" ht="14.25" customHeight="1">
      <c r="A6" s="37" t="s">
        <v>93</v>
      </c>
      <c r="B6" s="26" t="s">
        <v>2267</v>
      </c>
    </row>
    <row r="7" ht="14.25" customHeight="1">
      <c r="A7" s="37" t="s">
        <v>507</v>
      </c>
      <c r="B7" s="26" t="s">
        <v>4530</v>
      </c>
    </row>
    <row r="8" ht="14.25" customHeight="1">
      <c r="A8" s="26" t="s">
        <v>261</v>
      </c>
      <c r="B8" s="26" t="s">
        <v>2271</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11"/>
  </cols>
  <sheetData>
    <row r="1">
      <c r="A1" s="1" t="s">
        <v>3</v>
      </c>
      <c r="B1" s="1" t="s">
        <v>4531</v>
      </c>
      <c r="C1" s="1" t="s">
        <v>4532</v>
      </c>
      <c r="D1" s="1" t="s">
        <v>4533</v>
      </c>
      <c r="E1" s="1" t="s">
        <v>4534</v>
      </c>
      <c r="F1" s="1" t="s">
        <v>4535</v>
      </c>
      <c r="G1" s="1" t="s">
        <v>4536</v>
      </c>
      <c r="H1" s="1" t="s">
        <v>4537</v>
      </c>
      <c r="I1" s="1" t="s">
        <v>4538</v>
      </c>
      <c r="J1" s="1" t="s">
        <v>4539</v>
      </c>
      <c r="K1" s="1" t="s">
        <v>4538</v>
      </c>
      <c r="L1" s="1" t="s">
        <v>4539</v>
      </c>
      <c r="M1" s="406" t="s">
        <v>4540</v>
      </c>
      <c r="N1" s="406" t="s">
        <v>4540</v>
      </c>
      <c r="O1" s="406" t="s">
        <v>4541</v>
      </c>
      <c r="P1" s="406" t="s">
        <v>4542</v>
      </c>
      <c r="Q1" s="407" t="s">
        <v>4543</v>
      </c>
    </row>
    <row r="2">
      <c r="A2" s="8" t="s">
        <v>4544</v>
      </c>
      <c r="B2" s="408"/>
      <c r="C2" s="408"/>
      <c r="D2" s="408"/>
      <c r="E2" s="408"/>
      <c r="F2" s="409"/>
      <c r="G2" s="409"/>
      <c r="H2" s="410" t="s">
        <v>4545</v>
      </c>
      <c r="I2" s="411"/>
      <c r="J2" s="411"/>
      <c r="K2" s="411"/>
      <c r="L2" s="411"/>
      <c r="M2" s="412"/>
      <c r="N2" s="413"/>
      <c r="O2" s="413"/>
      <c r="P2" s="413"/>
      <c r="Q2" s="414" t="s">
        <v>4546</v>
      </c>
    </row>
    <row r="3">
      <c r="A3" s="8" t="s">
        <v>7</v>
      </c>
      <c r="B3" s="411"/>
      <c r="C3" s="408"/>
      <c r="D3" s="408"/>
      <c r="E3" s="408"/>
      <c r="F3" s="409"/>
      <c r="G3" s="409"/>
      <c r="H3" s="410" t="s">
        <v>4545</v>
      </c>
      <c r="I3" s="411"/>
      <c r="J3" s="411"/>
      <c r="K3" s="411"/>
      <c r="L3" s="411"/>
      <c r="M3" s="412"/>
      <c r="N3" s="413"/>
      <c r="O3" s="413"/>
      <c r="P3" s="413"/>
      <c r="Q3" s="415"/>
    </row>
    <row r="4">
      <c r="A4" s="8" t="s">
        <v>8</v>
      </c>
      <c r="B4" s="408"/>
      <c r="C4" s="408"/>
      <c r="D4" s="408"/>
      <c r="E4" s="408"/>
      <c r="F4" s="416"/>
      <c r="G4" s="416"/>
      <c r="H4" s="416"/>
      <c r="I4" s="411"/>
      <c r="J4" s="411"/>
      <c r="K4" s="411"/>
      <c r="L4" s="411"/>
      <c r="M4" s="412"/>
      <c r="N4" s="413"/>
      <c r="O4" s="413"/>
      <c r="P4" s="413"/>
      <c r="Q4" s="415"/>
    </row>
    <row r="5">
      <c r="A5" s="8" t="s">
        <v>9</v>
      </c>
      <c r="B5" s="411"/>
      <c r="C5" s="408"/>
      <c r="D5" s="408"/>
      <c r="E5" s="408"/>
      <c r="F5" s="409"/>
      <c r="G5" s="411"/>
      <c r="H5" s="411"/>
      <c r="I5" s="417"/>
      <c r="J5" s="411"/>
      <c r="K5" s="417"/>
      <c r="L5" s="411"/>
      <c r="M5" s="412"/>
      <c r="N5" s="413"/>
      <c r="O5" s="413"/>
      <c r="P5" s="413"/>
      <c r="Q5" s="415"/>
    </row>
    <row r="6">
      <c r="A6" s="8" t="s">
        <v>10</v>
      </c>
      <c r="B6" s="411"/>
      <c r="C6" s="411"/>
      <c r="D6" s="408"/>
      <c r="E6" s="408"/>
      <c r="F6" s="409"/>
      <c r="G6" s="409"/>
      <c r="H6" s="409"/>
      <c r="I6" s="410" t="s">
        <v>4547</v>
      </c>
      <c r="J6" s="411"/>
      <c r="K6" s="411"/>
      <c r="L6" s="411"/>
      <c r="M6" s="412"/>
      <c r="N6" s="413"/>
      <c r="O6" s="413"/>
      <c r="P6" s="413"/>
      <c r="Q6" s="415"/>
    </row>
    <row r="7">
      <c r="A7" s="8" t="s">
        <v>7</v>
      </c>
      <c r="B7" s="411"/>
      <c r="C7" s="411"/>
      <c r="D7" s="411"/>
      <c r="E7" s="411"/>
      <c r="F7" s="411"/>
      <c r="G7" s="411"/>
      <c r="H7" s="411"/>
      <c r="I7" s="409"/>
      <c r="J7" s="409"/>
      <c r="K7" s="409"/>
      <c r="L7" s="411"/>
      <c r="M7" s="412"/>
      <c r="N7" s="413"/>
      <c r="O7" s="413"/>
      <c r="P7" s="413"/>
      <c r="Q7" s="415"/>
    </row>
    <row r="8">
      <c r="A8" s="8" t="s">
        <v>15</v>
      </c>
      <c r="B8" s="411"/>
      <c r="C8" s="411"/>
      <c r="D8" s="411"/>
      <c r="E8" s="411"/>
      <c r="F8" s="411"/>
      <c r="G8" s="411"/>
      <c r="H8" s="411"/>
      <c r="I8" s="409"/>
      <c r="J8" s="410" t="s">
        <v>4548</v>
      </c>
      <c r="K8" s="409"/>
      <c r="L8" s="410" t="s">
        <v>4548</v>
      </c>
      <c r="M8" s="418"/>
      <c r="N8" s="419" t="s">
        <v>4548</v>
      </c>
      <c r="O8" s="419"/>
      <c r="P8" s="419" t="s">
        <v>4548</v>
      </c>
      <c r="Q8" s="415"/>
    </row>
    <row r="9">
      <c r="A9" s="8" t="s">
        <v>4549</v>
      </c>
      <c r="B9" s="411"/>
      <c r="C9" s="411"/>
      <c r="D9" s="411"/>
      <c r="E9" s="411"/>
      <c r="F9" s="411"/>
      <c r="G9" s="411"/>
      <c r="H9" s="411"/>
      <c r="I9" s="409"/>
      <c r="J9" s="410" t="s">
        <v>4550</v>
      </c>
      <c r="K9" s="409"/>
      <c r="L9" s="410" t="s">
        <v>4550</v>
      </c>
      <c r="M9" s="418"/>
      <c r="N9" s="419" t="s">
        <v>4550</v>
      </c>
      <c r="O9" s="419"/>
      <c r="P9" s="419" t="s">
        <v>4550</v>
      </c>
      <c r="Q9" s="415"/>
    </row>
    <row r="10">
      <c r="A10" s="8" t="s">
        <v>4551</v>
      </c>
      <c r="B10" s="411"/>
      <c r="C10" s="411"/>
      <c r="D10" s="411"/>
      <c r="E10" s="411"/>
      <c r="F10" s="411"/>
      <c r="G10" s="411"/>
      <c r="H10" s="411"/>
      <c r="I10" s="411"/>
      <c r="J10" s="411"/>
      <c r="K10" s="411"/>
      <c r="L10" s="411"/>
      <c r="M10" s="418" t="s">
        <v>4552</v>
      </c>
      <c r="N10" s="413"/>
      <c r="O10" s="419" t="s">
        <v>4552</v>
      </c>
      <c r="P10" s="413"/>
      <c r="Q10" s="415"/>
    </row>
    <row r="11">
      <c r="A11" s="8" t="s">
        <v>16</v>
      </c>
      <c r="B11" s="411"/>
      <c r="C11" s="411"/>
      <c r="D11" s="411"/>
      <c r="E11" s="411"/>
      <c r="F11" s="411"/>
      <c r="G11" s="411"/>
      <c r="H11" s="411"/>
      <c r="I11" s="411"/>
      <c r="J11" s="411"/>
      <c r="K11" s="411"/>
      <c r="L11" s="411"/>
      <c r="M11" s="418"/>
      <c r="N11" s="419" t="s">
        <v>4553</v>
      </c>
      <c r="O11" s="419"/>
      <c r="P11" s="419" t="s">
        <v>4553</v>
      </c>
      <c r="Q11" s="420"/>
    </row>
    <row r="12">
      <c r="A12" s="41"/>
      <c r="B12" s="41"/>
      <c r="C12" s="41"/>
      <c r="D12" s="41"/>
      <c r="E12" s="41"/>
      <c r="F12" s="41"/>
      <c r="G12" s="41"/>
      <c r="H12" s="41"/>
      <c r="I12" s="41"/>
      <c r="J12" s="41"/>
      <c r="K12" s="41"/>
    </row>
    <row r="13">
      <c r="A13" s="41"/>
      <c r="B13" s="41"/>
      <c r="C13" s="41"/>
      <c r="D13" s="41"/>
      <c r="E13" s="41"/>
      <c r="F13" s="41"/>
      <c r="G13" s="41"/>
      <c r="H13" s="41"/>
      <c r="I13" s="41"/>
      <c r="J13" s="41"/>
      <c r="K13" s="41"/>
    </row>
    <row r="14">
      <c r="A14" s="21" t="s">
        <v>19</v>
      </c>
      <c r="B14" s="41"/>
      <c r="C14" s="41"/>
      <c r="D14" s="41"/>
      <c r="E14" s="41"/>
      <c r="F14" s="41"/>
      <c r="G14" s="41"/>
      <c r="H14" s="41"/>
      <c r="I14" s="41"/>
      <c r="J14" s="41"/>
      <c r="K14" s="41"/>
    </row>
    <row r="15">
      <c r="A15" s="22" t="s">
        <v>20</v>
      </c>
      <c r="B15" s="41"/>
      <c r="C15" s="41"/>
      <c r="D15" s="41"/>
      <c r="E15" s="41"/>
      <c r="F15" s="41"/>
      <c r="G15" s="41"/>
      <c r="H15" s="41"/>
      <c r="I15" s="41"/>
      <c r="J15" s="41"/>
      <c r="K15" s="41"/>
    </row>
    <row r="16">
      <c r="A16" s="23" t="s">
        <v>21</v>
      </c>
      <c r="B16" s="41"/>
      <c r="C16" s="41"/>
      <c r="D16" s="41"/>
      <c r="E16" s="41"/>
      <c r="F16" s="41"/>
      <c r="G16" s="41"/>
      <c r="H16" s="41"/>
      <c r="I16" s="41"/>
      <c r="J16" s="41"/>
      <c r="K16" s="41"/>
    </row>
    <row r="17">
      <c r="A17" s="24" t="s">
        <v>22</v>
      </c>
      <c r="B17" s="41"/>
      <c r="C17" s="41"/>
      <c r="D17" s="41"/>
      <c r="E17" s="41"/>
      <c r="F17" s="41"/>
      <c r="G17" s="41"/>
      <c r="H17" s="41"/>
      <c r="I17" s="41"/>
      <c r="J17" s="41"/>
      <c r="K17" s="41"/>
    </row>
    <row r="18">
      <c r="A18" s="25" t="s">
        <v>23</v>
      </c>
      <c r="B18" s="41"/>
      <c r="C18" s="41"/>
      <c r="D18" s="41"/>
      <c r="E18" s="41"/>
      <c r="F18" s="41"/>
      <c r="G18" s="41"/>
      <c r="H18" s="41"/>
      <c r="I18" s="41"/>
      <c r="J18" s="41"/>
      <c r="K18" s="41"/>
    </row>
  </sheetData>
  <mergeCells count="1">
    <mergeCell ref="Q2:Q1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14.78"/>
  </cols>
  <sheetData>
    <row r="1">
      <c r="A1" s="52" t="s">
        <v>4554</v>
      </c>
      <c r="B1" s="54" t="s">
        <v>57</v>
      </c>
      <c r="C1" s="54" t="s">
        <v>58</v>
      </c>
      <c r="D1" s="54" t="s">
        <v>59</v>
      </c>
      <c r="E1" s="54" t="s">
        <v>60</v>
      </c>
      <c r="F1" s="55" t="s">
        <v>942</v>
      </c>
      <c r="G1" s="55" t="s">
        <v>3252</v>
      </c>
      <c r="H1" s="249" t="s">
        <v>61</v>
      </c>
      <c r="I1" s="249" t="s">
        <v>62</v>
      </c>
      <c r="J1" s="249" t="s">
        <v>2614</v>
      </c>
      <c r="K1" s="250" t="s">
        <v>2615</v>
      </c>
      <c r="L1" s="250" t="s">
        <v>2616</v>
      </c>
      <c r="M1" s="249" t="s">
        <v>2617</v>
      </c>
      <c r="N1" s="251" t="s">
        <v>3056</v>
      </c>
      <c r="O1" s="250" t="s">
        <v>2619</v>
      </c>
      <c r="P1" s="249" t="s">
        <v>2620</v>
      </c>
      <c r="Q1" s="249" t="s">
        <v>2621</v>
      </c>
      <c r="R1" s="249" t="s">
        <v>2622</v>
      </c>
      <c r="S1" s="249" t="s">
        <v>2623</v>
      </c>
      <c r="T1" s="54" t="s">
        <v>2624</v>
      </c>
      <c r="U1" s="56" t="s">
        <v>943</v>
      </c>
      <c r="V1" s="252" t="s">
        <v>2626</v>
      </c>
      <c r="W1" s="252" t="s">
        <v>61</v>
      </c>
      <c r="X1" s="252" t="s">
        <v>62</v>
      </c>
      <c r="Y1" s="252" t="s">
        <v>3253</v>
      </c>
      <c r="Z1" s="253" t="s">
        <v>3487</v>
      </c>
      <c r="AA1" s="252" t="s">
        <v>3488</v>
      </c>
      <c r="AB1" s="252" t="s">
        <v>3489</v>
      </c>
      <c r="AC1" s="286" t="s">
        <v>3490</v>
      </c>
      <c r="AD1" s="287" t="s">
        <v>3491</v>
      </c>
      <c r="AE1" s="288" t="s">
        <v>949</v>
      </c>
      <c r="AF1" s="252" t="s">
        <v>951</v>
      </c>
      <c r="AG1" s="252" t="s">
        <v>4555</v>
      </c>
    </row>
    <row r="2">
      <c r="A2" s="421" t="s">
        <v>123</v>
      </c>
      <c r="B2" s="421" t="s">
        <v>1633</v>
      </c>
      <c r="C2" s="421" t="s">
        <v>1634</v>
      </c>
      <c r="D2" s="421"/>
      <c r="E2" s="421"/>
      <c r="F2" s="422" t="s">
        <v>1635</v>
      </c>
      <c r="G2" s="423">
        <v>8.0</v>
      </c>
      <c r="H2" s="114"/>
      <c r="I2" s="114"/>
      <c r="J2" s="72" t="s">
        <v>45</v>
      </c>
      <c r="K2" s="72" t="s">
        <v>4556</v>
      </c>
      <c r="L2" s="72" t="s">
        <v>4557</v>
      </c>
      <c r="M2" s="72" t="s">
        <v>4558</v>
      </c>
      <c r="N2" s="72" t="s">
        <v>4559</v>
      </c>
      <c r="O2" s="72" t="s">
        <v>4560</v>
      </c>
      <c r="P2" s="72" t="s">
        <v>4561</v>
      </c>
      <c r="Q2" s="72" t="s">
        <v>930</v>
      </c>
      <c r="R2" s="114"/>
      <c r="S2" s="114"/>
      <c r="T2" s="114"/>
      <c r="U2" s="117" t="s">
        <v>930</v>
      </c>
      <c r="V2" s="72" t="s">
        <v>4562</v>
      </c>
      <c r="W2" s="72" t="s">
        <v>4563</v>
      </c>
      <c r="X2" s="72" t="s">
        <v>4564</v>
      </c>
      <c r="Y2" s="114"/>
      <c r="Z2" s="26" t="s">
        <v>1013</v>
      </c>
      <c r="AC2" s="26" t="s">
        <v>4565</v>
      </c>
      <c r="AD2" s="26" t="s">
        <v>3559</v>
      </c>
      <c r="AE2" s="26" t="s">
        <v>1637</v>
      </c>
      <c r="AF2" s="26" t="s">
        <v>2259</v>
      </c>
      <c r="AG2" s="26" t="s">
        <v>4566</v>
      </c>
    </row>
    <row r="3">
      <c r="A3" s="421" t="s">
        <v>123</v>
      </c>
      <c r="B3" s="421" t="s">
        <v>1641</v>
      </c>
      <c r="C3" s="421" t="s">
        <v>1642</v>
      </c>
      <c r="D3" s="421"/>
      <c r="E3" s="421"/>
      <c r="F3" s="422" t="s">
        <v>1643</v>
      </c>
      <c r="G3" s="421"/>
      <c r="H3" s="114"/>
      <c r="I3" s="114"/>
      <c r="J3" s="72" t="s">
        <v>45</v>
      </c>
      <c r="K3" s="72" t="s">
        <v>4567</v>
      </c>
      <c r="L3" s="72" t="s">
        <v>4568</v>
      </c>
      <c r="M3" s="72"/>
      <c r="N3" s="72" t="s">
        <v>4569</v>
      </c>
      <c r="O3" s="72" t="s">
        <v>4570</v>
      </c>
      <c r="P3" s="72" t="s">
        <v>4571</v>
      </c>
      <c r="Q3" s="72" t="s">
        <v>930</v>
      </c>
      <c r="R3" s="114"/>
      <c r="S3" s="114"/>
      <c r="T3" s="72" t="s">
        <v>4572</v>
      </c>
      <c r="U3" s="117" t="s">
        <v>930</v>
      </c>
      <c r="V3" s="72" t="s">
        <v>4573</v>
      </c>
      <c r="W3" s="72" t="s">
        <v>4574</v>
      </c>
      <c r="X3" s="114"/>
      <c r="Y3" s="72" t="s">
        <v>4575</v>
      </c>
      <c r="Z3" s="26" t="s">
        <v>4576</v>
      </c>
      <c r="AA3" s="26" t="s">
        <v>3488</v>
      </c>
      <c r="AC3" s="26" t="s">
        <v>4577</v>
      </c>
      <c r="AE3" s="26" t="s">
        <v>4578</v>
      </c>
      <c r="AF3" s="26" t="s">
        <v>2259</v>
      </c>
      <c r="AG3" s="26" t="s">
        <v>4566</v>
      </c>
    </row>
    <row r="4" ht="14.25" customHeight="1">
      <c r="A4" s="421" t="s">
        <v>123</v>
      </c>
      <c r="B4" s="421" t="s">
        <v>1648</v>
      </c>
      <c r="C4" s="421" t="s">
        <v>1649</v>
      </c>
      <c r="D4" s="421"/>
      <c r="E4" s="421"/>
      <c r="F4" s="422" t="s">
        <v>1650</v>
      </c>
      <c r="G4" s="421"/>
      <c r="H4" s="114"/>
      <c r="I4" s="114"/>
      <c r="J4" s="72" t="s">
        <v>559</v>
      </c>
      <c r="K4" s="72" t="s">
        <v>4579</v>
      </c>
      <c r="L4" s="72" t="s">
        <v>4580</v>
      </c>
      <c r="M4" s="72" t="s">
        <v>4581</v>
      </c>
      <c r="N4" s="72" t="s">
        <v>4582</v>
      </c>
      <c r="O4" s="72" t="s">
        <v>4583</v>
      </c>
      <c r="P4" s="72" t="s">
        <v>4584</v>
      </c>
      <c r="Q4" s="72" t="s">
        <v>930</v>
      </c>
      <c r="R4" s="72"/>
      <c r="S4" s="39" t="s">
        <v>2394</v>
      </c>
      <c r="T4" s="72" t="s">
        <v>4585</v>
      </c>
      <c r="U4" s="117" t="s">
        <v>930</v>
      </c>
      <c r="V4" s="72" t="s">
        <v>4586</v>
      </c>
      <c r="W4" s="72" t="s">
        <v>4587</v>
      </c>
      <c r="X4" s="72" t="s">
        <v>4588</v>
      </c>
      <c r="Y4" s="72" t="s">
        <v>4589</v>
      </c>
      <c r="Z4" s="26" t="s">
        <v>1013</v>
      </c>
      <c r="AA4" s="26" t="s">
        <v>3488</v>
      </c>
      <c r="AC4" s="26" t="s">
        <v>4590</v>
      </c>
      <c r="AD4" s="26" t="s">
        <v>4591</v>
      </c>
      <c r="AE4" s="26" t="s">
        <v>1652</v>
      </c>
      <c r="AF4" s="26" t="s">
        <v>2354</v>
      </c>
      <c r="AG4" s="26" t="s">
        <v>4592</v>
      </c>
    </row>
    <row r="5">
      <c r="A5" s="421" t="s">
        <v>123</v>
      </c>
      <c r="B5" s="421" t="s">
        <v>4593</v>
      </c>
      <c r="C5" s="421" t="s">
        <v>2443</v>
      </c>
      <c r="D5" s="421"/>
      <c r="E5" s="421"/>
      <c r="F5" s="422" t="s">
        <v>4594</v>
      </c>
      <c r="G5" s="421"/>
      <c r="H5" s="114"/>
      <c r="I5" s="114"/>
      <c r="J5" s="114"/>
      <c r="K5" s="114"/>
      <c r="L5" s="114"/>
      <c r="M5" s="114"/>
      <c r="N5" s="114"/>
      <c r="O5" s="114"/>
      <c r="P5" s="114"/>
      <c r="Q5" s="72" t="s">
        <v>961</v>
      </c>
      <c r="R5" s="72" t="s">
        <v>4595</v>
      </c>
      <c r="S5" s="39" t="s">
        <v>2394</v>
      </c>
      <c r="T5" s="114"/>
      <c r="U5" s="117" t="s">
        <v>930</v>
      </c>
      <c r="V5" s="114"/>
      <c r="W5" s="114"/>
      <c r="X5" s="114"/>
      <c r="Y5" s="114"/>
      <c r="AG5" s="26" t="s">
        <v>4596</v>
      </c>
    </row>
    <row r="6">
      <c r="A6" s="421" t="s">
        <v>123</v>
      </c>
      <c r="B6" s="421" t="s">
        <v>1656</v>
      </c>
      <c r="C6" s="421" t="s">
        <v>1657</v>
      </c>
      <c r="D6" s="421"/>
      <c r="E6" s="421"/>
      <c r="F6" s="422" t="s">
        <v>1658</v>
      </c>
      <c r="G6" s="421"/>
      <c r="H6" s="114"/>
      <c r="I6" s="114"/>
      <c r="J6" s="72" t="s">
        <v>45</v>
      </c>
      <c r="K6" s="72" t="s">
        <v>4597</v>
      </c>
      <c r="L6" s="72" t="s">
        <v>4598</v>
      </c>
      <c r="M6" s="114"/>
      <c r="N6" s="72" t="s">
        <v>4599</v>
      </c>
      <c r="O6" s="72" t="s">
        <v>4600</v>
      </c>
      <c r="P6" s="72" t="s">
        <v>4601</v>
      </c>
      <c r="Q6" s="72" t="s">
        <v>930</v>
      </c>
      <c r="R6" s="114"/>
      <c r="S6" s="39" t="s">
        <v>2394</v>
      </c>
      <c r="T6" s="72" t="s">
        <v>4602</v>
      </c>
      <c r="U6" s="117" t="s">
        <v>930</v>
      </c>
      <c r="V6" s="72" t="s">
        <v>4603</v>
      </c>
      <c r="W6" s="72" t="s">
        <v>4604</v>
      </c>
      <c r="X6" s="72" t="s">
        <v>4605</v>
      </c>
      <c r="Y6" s="72"/>
      <c r="Z6" s="26" t="s">
        <v>4606</v>
      </c>
      <c r="AC6" s="26" t="s">
        <v>4607</v>
      </c>
      <c r="AD6" s="26" t="s">
        <v>3559</v>
      </c>
      <c r="AE6" s="26" t="s">
        <v>1022</v>
      </c>
      <c r="AF6" s="26" t="s">
        <v>4608</v>
      </c>
      <c r="AG6" s="26" t="s">
        <v>4609</v>
      </c>
    </row>
    <row r="7">
      <c r="A7" s="421" t="s">
        <v>103</v>
      </c>
      <c r="B7" s="421" t="s">
        <v>4610</v>
      </c>
      <c r="C7" s="421" t="s">
        <v>2445</v>
      </c>
      <c r="D7" s="421"/>
      <c r="E7" s="421"/>
      <c r="F7" s="424" t="s">
        <v>4611</v>
      </c>
      <c r="G7" s="421"/>
      <c r="H7" s="114"/>
      <c r="I7" s="114"/>
      <c r="J7" s="72" t="s">
        <v>45</v>
      </c>
      <c r="K7" s="72" t="s">
        <v>4612</v>
      </c>
      <c r="L7" s="72" t="s">
        <v>4613</v>
      </c>
      <c r="M7" s="72" t="s">
        <v>4614</v>
      </c>
      <c r="N7" s="72" t="s">
        <v>4615</v>
      </c>
      <c r="O7" s="72" t="s">
        <v>995</v>
      </c>
      <c r="P7" s="114"/>
      <c r="Q7" s="72" t="s">
        <v>961</v>
      </c>
      <c r="R7" s="114"/>
      <c r="S7" s="39" t="s">
        <v>2394</v>
      </c>
      <c r="T7" s="72" t="s">
        <v>4616</v>
      </c>
      <c r="U7" s="117" t="s">
        <v>930</v>
      </c>
      <c r="V7" s="72" t="s">
        <v>4617</v>
      </c>
      <c r="W7" s="72" t="s">
        <v>4618</v>
      </c>
      <c r="X7" s="72" t="s">
        <v>4619</v>
      </c>
      <c r="Y7" s="72" t="s">
        <v>4620</v>
      </c>
      <c r="Z7" s="26" t="s">
        <v>1013</v>
      </c>
      <c r="AC7" s="26" t="s">
        <v>4621</v>
      </c>
      <c r="AD7" s="26" t="s">
        <v>3559</v>
      </c>
      <c r="AE7" s="26" t="s">
        <v>1022</v>
      </c>
      <c r="AF7" s="26" t="s">
        <v>4622</v>
      </c>
      <c r="AG7" s="26" t="s">
        <v>4623</v>
      </c>
    </row>
    <row r="8">
      <c r="A8" s="421" t="s">
        <v>116</v>
      </c>
      <c r="B8" s="421" t="s">
        <v>4624</v>
      </c>
      <c r="C8" s="421" t="s">
        <v>2446</v>
      </c>
      <c r="D8" s="421"/>
      <c r="E8" s="421"/>
      <c r="F8" s="422" t="s">
        <v>4625</v>
      </c>
      <c r="G8" s="421"/>
      <c r="H8" s="114"/>
      <c r="I8" s="114"/>
      <c r="J8" s="114"/>
      <c r="K8" s="114"/>
      <c r="L8" s="114"/>
      <c r="M8" s="114"/>
      <c r="N8" s="114"/>
      <c r="O8" s="114"/>
      <c r="P8" s="114"/>
      <c r="Q8" s="72" t="s">
        <v>961</v>
      </c>
      <c r="R8" s="72" t="s">
        <v>4626</v>
      </c>
      <c r="S8" s="39" t="s">
        <v>2394</v>
      </c>
      <c r="T8" s="72" t="s">
        <v>4627</v>
      </c>
      <c r="U8" s="117" t="s">
        <v>930</v>
      </c>
      <c r="V8" s="114"/>
      <c r="W8" s="114"/>
      <c r="X8" s="114"/>
      <c r="Y8" s="114"/>
    </row>
    <row r="9">
      <c r="A9" s="421" t="s">
        <v>103</v>
      </c>
      <c r="B9" s="421" t="s">
        <v>4628</v>
      </c>
      <c r="C9" s="421" t="s">
        <v>2447</v>
      </c>
      <c r="D9" s="421"/>
      <c r="E9" s="421"/>
      <c r="F9" s="421"/>
      <c r="G9" s="421"/>
      <c r="H9" s="114"/>
      <c r="I9" s="114"/>
      <c r="J9" s="114"/>
      <c r="K9" s="114"/>
      <c r="L9" s="114"/>
      <c r="M9" s="114"/>
      <c r="N9" s="114"/>
      <c r="O9" s="114"/>
      <c r="P9" s="114"/>
      <c r="Q9" s="72" t="s">
        <v>961</v>
      </c>
      <c r="R9" s="72" t="s">
        <v>4626</v>
      </c>
      <c r="S9" s="39" t="s">
        <v>2394</v>
      </c>
      <c r="T9" s="114"/>
      <c r="U9" s="117" t="s">
        <v>930</v>
      </c>
      <c r="V9" s="114"/>
      <c r="W9" s="114"/>
      <c r="X9" s="114"/>
      <c r="Y9" s="114"/>
    </row>
    <row r="10">
      <c r="A10" s="421" t="s">
        <v>123</v>
      </c>
      <c r="B10" s="421" t="s">
        <v>4629</v>
      </c>
      <c r="C10" s="421" t="s">
        <v>2448</v>
      </c>
      <c r="D10" s="421"/>
      <c r="E10" s="421"/>
      <c r="F10" s="422" t="s">
        <v>4630</v>
      </c>
      <c r="G10" s="421"/>
      <c r="H10" s="114"/>
      <c r="I10" s="114"/>
      <c r="J10" s="72" t="s">
        <v>559</v>
      </c>
      <c r="K10" s="114"/>
      <c r="L10" s="114"/>
      <c r="M10" s="114"/>
      <c r="N10" s="114"/>
      <c r="O10" s="114"/>
      <c r="P10" s="114"/>
      <c r="Q10" s="72" t="s">
        <v>961</v>
      </c>
      <c r="R10" s="72" t="s">
        <v>4626</v>
      </c>
      <c r="S10" s="39" t="s">
        <v>2394</v>
      </c>
      <c r="T10" s="114"/>
      <c r="U10" s="117" t="s">
        <v>930</v>
      </c>
      <c r="V10" s="114"/>
      <c r="W10" s="114"/>
      <c r="X10" s="114"/>
      <c r="Y10" s="114"/>
    </row>
    <row r="11">
      <c r="A11" s="421" t="s">
        <v>86</v>
      </c>
      <c r="B11" s="421" t="s">
        <v>4631</v>
      </c>
      <c r="C11" s="421" t="s">
        <v>2449</v>
      </c>
      <c r="D11" s="421"/>
      <c r="E11" s="421"/>
      <c r="F11" s="422" t="s">
        <v>4632</v>
      </c>
      <c r="G11" s="421"/>
      <c r="H11" s="114"/>
      <c r="I11" s="114"/>
      <c r="J11" s="114"/>
      <c r="K11" s="114"/>
      <c r="L11" s="114"/>
      <c r="M11" s="114"/>
      <c r="N11" s="114"/>
      <c r="O11" s="72"/>
      <c r="P11" s="114"/>
      <c r="Q11" s="72" t="s">
        <v>961</v>
      </c>
      <c r="R11" s="72" t="s">
        <v>4626</v>
      </c>
      <c r="S11" s="39" t="s">
        <v>2394</v>
      </c>
      <c r="T11" s="72" t="s">
        <v>4633</v>
      </c>
      <c r="U11" s="117" t="s">
        <v>930</v>
      </c>
      <c r="V11" s="114"/>
      <c r="W11" s="114"/>
      <c r="X11" s="114"/>
      <c r="Y11" s="114"/>
    </row>
    <row r="12">
      <c r="A12" s="421" t="s">
        <v>103</v>
      </c>
      <c r="B12" s="421" t="s">
        <v>4634</v>
      </c>
      <c r="C12" s="421" t="s">
        <v>2450</v>
      </c>
      <c r="D12" s="421"/>
      <c r="E12" s="421"/>
      <c r="F12" s="422" t="s">
        <v>4635</v>
      </c>
      <c r="G12" s="421"/>
      <c r="H12" s="114"/>
      <c r="I12" s="114"/>
      <c r="J12" s="114"/>
      <c r="K12" s="114"/>
      <c r="L12" s="114"/>
      <c r="M12" s="114"/>
      <c r="N12" s="114"/>
      <c r="O12" s="114"/>
      <c r="P12" s="114"/>
      <c r="Q12" s="72" t="s">
        <v>961</v>
      </c>
      <c r="R12" s="72" t="s">
        <v>4636</v>
      </c>
      <c r="S12" s="39" t="s">
        <v>2394</v>
      </c>
      <c r="T12" s="72"/>
      <c r="U12" s="159"/>
      <c r="V12" s="114"/>
      <c r="W12" s="114"/>
      <c r="X12" s="114"/>
      <c r="Y12" s="114"/>
    </row>
    <row r="13">
      <c r="A13" s="421" t="s">
        <v>123</v>
      </c>
      <c r="B13" s="421" t="s">
        <v>1663</v>
      </c>
      <c r="C13" s="421" t="s">
        <v>1664</v>
      </c>
      <c r="D13" s="421"/>
      <c r="E13" s="421"/>
      <c r="F13" s="422" t="s">
        <v>1665</v>
      </c>
      <c r="G13" s="421"/>
      <c r="H13" s="114"/>
      <c r="I13" s="114"/>
      <c r="J13" s="72" t="s">
        <v>45</v>
      </c>
      <c r="K13" s="72" t="s">
        <v>4637</v>
      </c>
      <c r="L13" s="72" t="s">
        <v>4638</v>
      </c>
      <c r="M13" s="72" t="s">
        <v>4639</v>
      </c>
      <c r="N13" s="114"/>
      <c r="O13" s="72" t="s">
        <v>4640</v>
      </c>
      <c r="P13" s="72" t="s">
        <v>4641</v>
      </c>
      <c r="Q13" s="72" t="s">
        <v>930</v>
      </c>
      <c r="R13" s="114"/>
      <c r="S13" s="39" t="s">
        <v>2394</v>
      </c>
      <c r="T13" s="72" t="s">
        <v>4642</v>
      </c>
      <c r="U13" s="117" t="s">
        <v>930</v>
      </c>
      <c r="V13" s="72" t="s">
        <v>4643</v>
      </c>
      <c r="W13" s="72" t="s">
        <v>4644</v>
      </c>
      <c r="X13" s="72" t="s">
        <v>4645</v>
      </c>
      <c r="Y13" s="72" t="s">
        <v>2168</v>
      </c>
      <c r="Z13" s="26" t="s">
        <v>4646</v>
      </c>
      <c r="AC13" s="26" t="s">
        <v>4647</v>
      </c>
      <c r="AD13" s="26" t="s">
        <v>3559</v>
      </c>
      <c r="AE13" s="26" t="s">
        <v>1022</v>
      </c>
      <c r="AF13" s="26" t="s">
        <v>4648</v>
      </c>
      <c r="AG13" s="26" t="s">
        <v>4649</v>
      </c>
    </row>
    <row r="14">
      <c r="A14" s="421" t="s">
        <v>123</v>
      </c>
      <c r="B14" s="421" t="s">
        <v>1673</v>
      </c>
      <c r="C14" s="421" t="s">
        <v>1674</v>
      </c>
      <c r="D14" s="421"/>
      <c r="E14" s="421"/>
      <c r="F14" s="422" t="s">
        <v>1675</v>
      </c>
      <c r="G14" s="421"/>
      <c r="H14" s="114"/>
      <c r="I14" s="114"/>
      <c r="J14" s="72" t="s">
        <v>45</v>
      </c>
      <c r="K14" s="72" t="s">
        <v>4650</v>
      </c>
      <c r="L14" s="72" t="s">
        <v>4651</v>
      </c>
      <c r="M14" s="72"/>
      <c r="N14" s="72" t="s">
        <v>4652</v>
      </c>
      <c r="O14" s="72" t="s">
        <v>4560</v>
      </c>
      <c r="P14" s="72" t="s">
        <v>4653</v>
      </c>
      <c r="Q14" s="72" t="s">
        <v>930</v>
      </c>
      <c r="R14" s="114"/>
      <c r="S14" s="114"/>
      <c r="T14" s="72" t="s">
        <v>4654</v>
      </c>
      <c r="U14" s="117" t="s">
        <v>930</v>
      </c>
      <c r="V14" s="72" t="s">
        <v>4655</v>
      </c>
      <c r="W14" s="72" t="s">
        <v>4656</v>
      </c>
      <c r="X14" s="72" t="s">
        <v>4657</v>
      </c>
      <c r="Y14" s="72" t="s">
        <v>4658</v>
      </c>
      <c r="Z14" s="26" t="s">
        <v>1013</v>
      </c>
      <c r="AC14" s="26" t="s">
        <v>4647</v>
      </c>
      <c r="AD14" s="26" t="s">
        <v>3559</v>
      </c>
      <c r="AE14" s="26" t="s">
        <v>4659</v>
      </c>
      <c r="AF14" s="26" t="s">
        <v>4592</v>
      </c>
      <c r="AG14" s="26" t="s">
        <v>4592</v>
      </c>
    </row>
    <row r="15">
      <c r="A15" s="421"/>
      <c r="B15" s="421" t="s">
        <v>1681</v>
      </c>
      <c r="C15" s="421" t="s">
        <v>1682</v>
      </c>
      <c r="D15" s="421"/>
      <c r="E15" s="421"/>
      <c r="F15" s="422" t="s">
        <v>1683</v>
      </c>
      <c r="G15" s="421"/>
      <c r="H15" s="114"/>
      <c r="I15" s="114"/>
      <c r="J15" s="72" t="s">
        <v>45</v>
      </c>
      <c r="K15" s="72" t="s">
        <v>4660</v>
      </c>
      <c r="L15" s="72" t="s">
        <v>4661</v>
      </c>
      <c r="M15" s="72" t="s">
        <v>4662</v>
      </c>
      <c r="N15" s="114"/>
      <c r="O15" s="72" t="s">
        <v>4663</v>
      </c>
      <c r="P15" s="72" t="s">
        <v>4664</v>
      </c>
      <c r="Q15" s="72" t="s">
        <v>930</v>
      </c>
      <c r="R15" s="114"/>
      <c r="S15" s="114"/>
      <c r="T15" s="72" t="s">
        <v>4150</v>
      </c>
      <c r="U15" s="117" t="s">
        <v>930</v>
      </c>
      <c r="V15" s="72" t="s">
        <v>4665</v>
      </c>
      <c r="W15" s="72" t="s">
        <v>4666</v>
      </c>
      <c r="X15" s="72" t="s">
        <v>4667</v>
      </c>
      <c r="Y15" s="72" t="s">
        <v>4575</v>
      </c>
      <c r="Z15" s="26" t="s">
        <v>4646</v>
      </c>
      <c r="AC15" s="26" t="s">
        <v>4647</v>
      </c>
      <c r="AD15" s="26" t="s">
        <v>3559</v>
      </c>
      <c r="AE15" s="26" t="s">
        <v>1022</v>
      </c>
      <c r="AF15" s="26" t="s">
        <v>2354</v>
      </c>
      <c r="AG15" s="26" t="s">
        <v>4649</v>
      </c>
    </row>
    <row r="16">
      <c r="A16" s="421"/>
      <c r="B16" s="421" t="s">
        <v>4668</v>
      </c>
      <c r="C16" s="421" t="s">
        <v>2451</v>
      </c>
      <c r="D16" s="421"/>
      <c r="E16" s="421"/>
      <c r="F16" s="422" t="s">
        <v>4669</v>
      </c>
      <c r="G16" s="421"/>
      <c r="H16" s="114"/>
      <c r="I16" s="114"/>
      <c r="J16" s="114"/>
      <c r="K16" s="114"/>
      <c r="L16" s="114"/>
      <c r="M16" s="114"/>
      <c r="N16" s="114"/>
      <c r="O16" s="114"/>
      <c r="P16" s="114"/>
      <c r="Q16" s="72" t="s">
        <v>961</v>
      </c>
      <c r="R16" s="72" t="s">
        <v>4670</v>
      </c>
      <c r="S16" s="39" t="s">
        <v>2388</v>
      </c>
      <c r="T16" s="114"/>
      <c r="U16" s="159"/>
      <c r="V16" s="114"/>
      <c r="W16" s="114"/>
      <c r="X16" s="114"/>
      <c r="Y16" s="114"/>
    </row>
    <row r="17">
      <c r="A17" s="421"/>
      <c r="B17" s="421" t="s">
        <v>4671</v>
      </c>
      <c r="C17" s="421" t="s">
        <v>2452</v>
      </c>
      <c r="D17" s="421"/>
      <c r="E17" s="421"/>
      <c r="F17" s="422" t="s">
        <v>4672</v>
      </c>
      <c r="G17" s="421"/>
      <c r="H17" s="114"/>
      <c r="I17" s="114"/>
      <c r="J17" s="114"/>
      <c r="K17" s="114"/>
      <c r="L17" s="114"/>
      <c r="M17" s="114"/>
      <c r="N17" s="114"/>
      <c r="O17" s="114"/>
      <c r="P17" s="114"/>
      <c r="Q17" s="72" t="s">
        <v>961</v>
      </c>
      <c r="R17" s="72" t="s">
        <v>4670</v>
      </c>
      <c r="S17" s="39" t="s">
        <v>2388</v>
      </c>
      <c r="T17" s="114"/>
      <c r="U17" s="159"/>
      <c r="V17" s="114"/>
      <c r="W17" s="114"/>
      <c r="X17" s="114"/>
      <c r="Y17" s="114"/>
    </row>
    <row r="18">
      <c r="A18" s="421"/>
      <c r="B18" s="421" t="s">
        <v>4673</v>
      </c>
      <c r="C18" s="421" t="s">
        <v>2453</v>
      </c>
      <c r="D18" s="421"/>
      <c r="E18" s="421"/>
      <c r="F18" s="422" t="s">
        <v>4674</v>
      </c>
      <c r="G18" s="421"/>
      <c r="H18" s="114"/>
      <c r="I18" s="114"/>
      <c r="J18" s="114"/>
      <c r="K18" s="114"/>
      <c r="L18" s="114"/>
      <c r="M18" s="114"/>
      <c r="N18" s="114"/>
      <c r="O18" s="114"/>
      <c r="P18" s="114"/>
      <c r="Q18" s="72" t="s">
        <v>961</v>
      </c>
      <c r="R18" s="72" t="s">
        <v>4670</v>
      </c>
      <c r="S18" s="39" t="s">
        <v>2394</v>
      </c>
      <c r="T18" s="114"/>
      <c r="U18" s="159"/>
      <c r="V18" s="114"/>
      <c r="W18" s="114"/>
      <c r="X18" s="114"/>
      <c r="Y18" s="114"/>
    </row>
    <row r="19">
      <c r="A19" s="159"/>
      <c r="B19" s="159"/>
      <c r="C19" s="117" t="s">
        <v>2454</v>
      </c>
      <c r="D19" s="114"/>
      <c r="E19" s="114"/>
      <c r="F19" s="196" t="s">
        <v>4675</v>
      </c>
      <c r="G19" s="114"/>
      <c r="H19" s="114"/>
      <c r="I19" s="114"/>
      <c r="J19" s="72" t="s">
        <v>4676</v>
      </c>
      <c r="K19" s="114"/>
      <c r="L19" s="114"/>
      <c r="M19" s="114"/>
      <c r="N19" s="114"/>
      <c r="O19" s="114"/>
      <c r="P19" s="114"/>
      <c r="Q19" s="72" t="s">
        <v>961</v>
      </c>
      <c r="R19" s="72" t="s">
        <v>4626</v>
      </c>
      <c r="S19" s="39" t="s">
        <v>4521</v>
      </c>
      <c r="T19" s="114"/>
      <c r="U19" s="159"/>
      <c r="V19" s="114"/>
      <c r="W19" s="114"/>
      <c r="X19" s="114"/>
      <c r="Y19" s="114"/>
    </row>
    <row r="20">
      <c r="A20" s="159"/>
      <c r="B20" s="159"/>
      <c r="C20" s="117" t="s">
        <v>2455</v>
      </c>
      <c r="D20" s="114"/>
      <c r="E20" s="114"/>
      <c r="F20" s="145" t="s">
        <v>4677</v>
      </c>
      <c r="G20" s="114"/>
      <c r="H20" s="114"/>
      <c r="I20" s="114"/>
      <c r="J20" s="72" t="s">
        <v>4676</v>
      </c>
      <c r="K20" s="114"/>
      <c r="L20" s="114"/>
      <c r="M20" s="114"/>
      <c r="N20" s="114"/>
      <c r="O20" s="114"/>
      <c r="P20" s="114"/>
      <c r="Q20" s="72" t="s">
        <v>961</v>
      </c>
      <c r="R20" s="72" t="s">
        <v>4626</v>
      </c>
      <c r="S20" s="39" t="s">
        <v>4521</v>
      </c>
      <c r="T20" s="114"/>
      <c r="U20" s="159"/>
      <c r="V20" s="114"/>
      <c r="W20" s="114"/>
      <c r="X20" s="114"/>
      <c r="Y20" s="114"/>
    </row>
    <row r="21">
      <c r="A21" s="159"/>
      <c r="B21" s="159"/>
      <c r="C21" s="117" t="s">
        <v>2456</v>
      </c>
      <c r="D21" s="114"/>
      <c r="E21" s="114"/>
      <c r="F21" s="196" t="s">
        <v>4678</v>
      </c>
      <c r="G21" s="114"/>
      <c r="H21" s="114"/>
      <c r="I21" s="114"/>
      <c r="J21" s="72" t="s">
        <v>4676</v>
      </c>
      <c r="K21" s="114"/>
      <c r="L21" s="114"/>
      <c r="M21" s="114"/>
      <c r="N21" s="114"/>
      <c r="O21" s="114"/>
      <c r="P21" s="114"/>
      <c r="Q21" s="72" t="s">
        <v>961</v>
      </c>
      <c r="R21" s="72" t="s">
        <v>4679</v>
      </c>
      <c r="S21" s="39" t="s">
        <v>4521</v>
      </c>
      <c r="T21" s="114"/>
      <c r="U21" s="159"/>
      <c r="V21" s="114"/>
      <c r="W21" s="114"/>
      <c r="X21" s="114"/>
      <c r="Y21" s="114"/>
    </row>
    <row r="22">
      <c r="A22" s="159"/>
      <c r="B22" s="159"/>
      <c r="C22" s="117" t="s">
        <v>2457</v>
      </c>
      <c r="D22" s="114"/>
      <c r="E22" s="114"/>
      <c r="F22" s="196" t="s">
        <v>4680</v>
      </c>
      <c r="G22" s="114"/>
      <c r="H22" s="114"/>
      <c r="I22" s="114"/>
      <c r="J22" s="72" t="s">
        <v>4676</v>
      </c>
      <c r="K22" s="114"/>
      <c r="L22" s="114"/>
      <c r="M22" s="114"/>
      <c r="N22" s="114"/>
      <c r="O22" s="114"/>
      <c r="P22" s="114"/>
      <c r="Q22" s="72" t="s">
        <v>961</v>
      </c>
      <c r="R22" s="72" t="s">
        <v>4681</v>
      </c>
      <c r="S22" s="39" t="s">
        <v>2394</v>
      </c>
      <c r="T22" s="114"/>
      <c r="U22" s="159"/>
      <c r="V22" s="114"/>
      <c r="W22" s="114"/>
      <c r="X22" s="114"/>
      <c r="Y22" s="114"/>
    </row>
    <row r="23">
      <c r="A23" s="159"/>
      <c r="B23" s="159"/>
      <c r="C23" s="117" t="s">
        <v>2458</v>
      </c>
      <c r="D23" s="114"/>
      <c r="E23" s="114"/>
      <c r="F23" s="196" t="s">
        <v>4682</v>
      </c>
      <c r="G23" s="114"/>
      <c r="H23" s="114"/>
      <c r="I23" s="114"/>
      <c r="J23" s="72" t="s">
        <v>4676</v>
      </c>
      <c r="K23" s="114"/>
      <c r="L23" s="114"/>
      <c r="M23" s="114"/>
      <c r="N23" s="114"/>
      <c r="O23" s="114"/>
      <c r="P23" s="114"/>
      <c r="Q23" s="72" t="s">
        <v>961</v>
      </c>
      <c r="R23" s="72" t="s">
        <v>4679</v>
      </c>
      <c r="S23" s="39" t="s">
        <v>2394</v>
      </c>
      <c r="T23" s="114"/>
      <c r="U23" s="159"/>
      <c r="V23" s="114"/>
      <c r="W23" s="114"/>
      <c r="X23" s="114"/>
      <c r="Y23" s="114"/>
    </row>
    <row r="24">
      <c r="A24" s="159"/>
      <c r="B24" s="159"/>
      <c r="C24" s="117" t="s">
        <v>2459</v>
      </c>
      <c r="D24" s="114"/>
      <c r="E24" s="114"/>
      <c r="F24" s="196" t="s">
        <v>4683</v>
      </c>
      <c r="G24" s="114"/>
      <c r="H24" s="114"/>
      <c r="I24" s="114"/>
      <c r="J24" s="72" t="s">
        <v>4676</v>
      </c>
      <c r="K24" s="114"/>
      <c r="L24" s="114"/>
      <c r="M24" s="114"/>
      <c r="N24" s="114"/>
      <c r="O24" s="114"/>
      <c r="P24" s="114"/>
      <c r="Q24" s="72" t="s">
        <v>961</v>
      </c>
      <c r="R24" s="72" t="s">
        <v>4626</v>
      </c>
      <c r="S24" s="39" t="s">
        <v>2394</v>
      </c>
      <c r="T24" s="114"/>
      <c r="U24" s="159"/>
      <c r="V24" s="114"/>
      <c r="W24" s="114"/>
      <c r="X24" s="114"/>
      <c r="Y24" s="114"/>
    </row>
    <row r="25">
      <c r="A25" s="159"/>
      <c r="B25" s="159"/>
      <c r="C25" s="117" t="s">
        <v>2460</v>
      </c>
      <c r="D25" s="114"/>
      <c r="E25" s="114"/>
      <c r="F25" s="196" t="s">
        <v>4684</v>
      </c>
      <c r="G25" s="114"/>
      <c r="H25" s="114"/>
      <c r="I25" s="114"/>
      <c r="J25" s="72" t="s">
        <v>4676</v>
      </c>
      <c r="K25" s="114"/>
      <c r="L25" s="114"/>
      <c r="M25" s="114"/>
      <c r="N25" s="114"/>
      <c r="O25" s="114"/>
      <c r="P25" s="114"/>
      <c r="Q25" s="72" t="s">
        <v>961</v>
      </c>
      <c r="R25" s="72" t="s">
        <v>3975</v>
      </c>
      <c r="S25" s="39" t="s">
        <v>4521</v>
      </c>
      <c r="T25" s="114"/>
      <c r="U25" s="159"/>
      <c r="V25" s="114"/>
      <c r="W25" s="114"/>
      <c r="X25" s="114"/>
      <c r="Y25" s="114"/>
    </row>
    <row r="26">
      <c r="A26" s="159"/>
      <c r="B26" s="159"/>
      <c r="C26" s="117" t="s">
        <v>2461</v>
      </c>
      <c r="D26" s="114"/>
      <c r="E26" s="114"/>
      <c r="F26" s="196" t="s">
        <v>4685</v>
      </c>
      <c r="G26" s="114"/>
      <c r="H26" s="114"/>
      <c r="I26" s="114"/>
      <c r="J26" s="72" t="s">
        <v>4676</v>
      </c>
      <c r="K26" s="114"/>
      <c r="L26" s="114"/>
      <c r="M26" s="114"/>
      <c r="N26" s="114"/>
      <c r="O26" s="114"/>
      <c r="P26" s="114"/>
      <c r="Q26" s="72" t="s">
        <v>961</v>
      </c>
      <c r="R26" s="72" t="s">
        <v>3975</v>
      </c>
      <c r="S26" s="39" t="s">
        <v>2388</v>
      </c>
      <c r="T26" s="114"/>
      <c r="U26" s="159"/>
      <c r="V26" s="114"/>
      <c r="W26" s="114"/>
      <c r="X26" s="114"/>
      <c r="Y26" s="114"/>
    </row>
    <row r="27">
      <c r="A27" s="159"/>
      <c r="B27" s="159"/>
      <c r="C27" s="117" t="s">
        <v>2462</v>
      </c>
      <c r="D27" s="114"/>
      <c r="E27" s="114"/>
      <c r="F27" s="196" t="s">
        <v>4686</v>
      </c>
      <c r="G27" s="114"/>
      <c r="H27" s="114"/>
      <c r="I27" s="114"/>
      <c r="J27" s="72" t="s">
        <v>4687</v>
      </c>
      <c r="K27" s="114"/>
      <c r="L27" s="114"/>
      <c r="M27" s="114"/>
      <c r="N27" s="114"/>
      <c r="O27" s="114"/>
      <c r="P27" s="114"/>
      <c r="Q27" s="72" t="s">
        <v>961</v>
      </c>
      <c r="R27" s="72" t="s">
        <v>3975</v>
      </c>
      <c r="S27" s="39" t="s">
        <v>4521</v>
      </c>
      <c r="T27" s="114"/>
      <c r="U27" s="159"/>
      <c r="V27" s="114"/>
      <c r="W27" s="114"/>
      <c r="X27" s="114"/>
      <c r="Y27" s="114"/>
    </row>
    <row r="28">
      <c r="A28" s="159"/>
      <c r="B28" s="159"/>
      <c r="C28" s="117" t="s">
        <v>2463</v>
      </c>
      <c r="D28" s="114"/>
      <c r="E28" s="114"/>
      <c r="F28" s="196" t="s">
        <v>4688</v>
      </c>
      <c r="G28" s="114"/>
      <c r="H28" s="114"/>
      <c r="I28" s="114"/>
      <c r="J28" s="72" t="s">
        <v>45</v>
      </c>
      <c r="K28" s="114"/>
      <c r="L28" s="72" t="s">
        <v>4689</v>
      </c>
      <c r="M28" s="114"/>
      <c r="N28" s="114"/>
      <c r="O28" s="114"/>
      <c r="P28" s="114"/>
      <c r="Q28" s="72" t="s">
        <v>961</v>
      </c>
      <c r="R28" s="114"/>
      <c r="S28" s="39" t="s">
        <v>2388</v>
      </c>
      <c r="T28" s="114"/>
      <c r="U28" s="159"/>
      <c r="V28" s="114"/>
      <c r="W28" s="114"/>
      <c r="X28" s="114"/>
      <c r="Y28" s="114"/>
    </row>
    <row r="29">
      <c r="A29" s="159"/>
      <c r="B29" s="159"/>
      <c r="C29" s="117"/>
      <c r="D29" s="114"/>
      <c r="E29" s="114"/>
      <c r="F29" s="72"/>
      <c r="G29" s="114"/>
      <c r="H29" s="114"/>
      <c r="I29" s="114"/>
      <c r="J29" s="72"/>
      <c r="K29" s="114"/>
      <c r="L29" s="114"/>
      <c r="M29" s="114"/>
      <c r="N29" s="114"/>
      <c r="O29" s="114"/>
      <c r="P29" s="114"/>
      <c r="Q29" s="72"/>
      <c r="R29" s="72"/>
      <c r="S29" s="39"/>
      <c r="T29" s="114"/>
      <c r="U29" s="159"/>
      <c r="V29" s="114"/>
      <c r="W29" s="114"/>
      <c r="X29" s="114"/>
      <c r="Y29" s="114"/>
    </row>
    <row r="30">
      <c r="A30" s="159"/>
      <c r="B30" s="159"/>
      <c r="C30" s="117"/>
      <c r="D30" s="114"/>
      <c r="E30" s="114"/>
      <c r="F30" s="72"/>
      <c r="G30" s="114"/>
      <c r="H30" s="114"/>
      <c r="I30" s="114"/>
      <c r="J30" s="72"/>
      <c r="K30" s="114"/>
      <c r="L30" s="114"/>
      <c r="M30" s="114"/>
      <c r="N30" s="114"/>
      <c r="O30" s="114"/>
      <c r="P30" s="114"/>
      <c r="Q30" s="72"/>
      <c r="R30" s="72"/>
      <c r="S30" s="39"/>
      <c r="T30" s="114"/>
      <c r="U30" s="159"/>
      <c r="V30" s="114"/>
      <c r="W30" s="114"/>
      <c r="X30" s="114"/>
      <c r="Y30" s="114"/>
    </row>
    <row r="31">
      <c r="A31" s="159"/>
      <c r="B31" s="159"/>
      <c r="C31" s="117"/>
      <c r="D31" s="114"/>
      <c r="E31" s="114"/>
      <c r="F31" s="72"/>
      <c r="G31" s="114"/>
      <c r="H31" s="114"/>
      <c r="I31" s="114"/>
      <c r="J31" s="72"/>
      <c r="K31" s="114"/>
      <c r="L31" s="72"/>
      <c r="M31" s="114"/>
      <c r="N31" s="114"/>
      <c r="O31" s="114"/>
      <c r="P31" s="114"/>
      <c r="Q31" s="72"/>
      <c r="R31" s="114"/>
      <c r="S31" s="39"/>
      <c r="T31" s="114"/>
      <c r="U31" s="159"/>
      <c r="V31" s="114"/>
      <c r="W31" s="114"/>
      <c r="X31" s="114"/>
      <c r="Y31" s="114"/>
    </row>
    <row r="32">
      <c r="A32" s="159"/>
      <c r="B32" s="159"/>
      <c r="C32" s="159"/>
      <c r="D32" s="114"/>
      <c r="E32" s="114"/>
      <c r="F32" s="114"/>
      <c r="G32" s="114"/>
      <c r="H32" s="114"/>
      <c r="I32" s="114"/>
      <c r="J32" s="114"/>
      <c r="K32" s="114"/>
      <c r="L32" s="114"/>
      <c r="M32" s="114"/>
      <c r="N32" s="114"/>
      <c r="O32" s="114"/>
      <c r="P32" s="114"/>
      <c r="Q32" s="114"/>
      <c r="R32" s="114"/>
      <c r="S32" s="114"/>
      <c r="T32" s="114"/>
      <c r="U32" s="159"/>
      <c r="V32" s="114"/>
      <c r="W32" s="114"/>
      <c r="X32" s="114"/>
      <c r="Y32" s="114"/>
    </row>
    <row r="33">
      <c r="A33" s="159"/>
      <c r="B33" s="159"/>
      <c r="C33" s="159"/>
      <c r="D33" s="114"/>
      <c r="E33" s="114"/>
      <c r="F33" s="114"/>
      <c r="G33" s="114"/>
      <c r="H33" s="114"/>
      <c r="I33" s="114"/>
      <c r="J33" s="114"/>
      <c r="K33" s="114"/>
      <c r="L33" s="114"/>
      <c r="M33" s="114"/>
      <c r="N33" s="114"/>
      <c r="O33" s="114"/>
      <c r="P33" s="114"/>
      <c r="Q33" s="114"/>
      <c r="R33" s="114"/>
      <c r="S33" s="114"/>
      <c r="T33" s="114"/>
      <c r="U33" s="159"/>
      <c r="V33" s="114"/>
      <c r="W33" s="114"/>
      <c r="X33" s="114"/>
      <c r="Y33" s="114"/>
    </row>
    <row r="34">
      <c r="A34" s="159"/>
      <c r="B34" s="159"/>
      <c r="C34" s="159"/>
      <c r="D34" s="114"/>
      <c r="E34" s="114"/>
      <c r="F34" s="114"/>
      <c r="G34" s="114"/>
      <c r="H34" s="114"/>
      <c r="I34" s="114"/>
      <c r="J34" s="114"/>
      <c r="K34" s="114"/>
      <c r="L34" s="114"/>
      <c r="M34" s="114"/>
      <c r="N34" s="114"/>
      <c r="O34" s="114"/>
      <c r="P34" s="114"/>
      <c r="Q34" s="114"/>
      <c r="R34" s="114"/>
      <c r="S34" s="114"/>
      <c r="T34" s="114"/>
      <c r="U34" s="159"/>
      <c r="V34" s="114"/>
      <c r="W34" s="114"/>
      <c r="X34" s="114"/>
      <c r="Y34" s="114"/>
    </row>
    <row r="35">
      <c r="A35" s="159"/>
      <c r="B35" s="159"/>
      <c r="C35" s="159"/>
      <c r="D35" s="114"/>
      <c r="E35" s="114"/>
      <c r="F35" s="114"/>
      <c r="G35" s="114"/>
      <c r="H35" s="114"/>
      <c r="I35" s="114"/>
      <c r="J35" s="114"/>
      <c r="K35" s="114"/>
      <c r="L35" s="114"/>
      <c r="M35" s="114"/>
      <c r="N35" s="114"/>
      <c r="O35" s="114"/>
      <c r="P35" s="114"/>
      <c r="Q35" s="114"/>
      <c r="R35" s="114"/>
      <c r="S35" s="114"/>
      <c r="T35" s="114"/>
      <c r="U35" s="159"/>
      <c r="V35" s="114"/>
      <c r="W35" s="114"/>
      <c r="X35" s="114"/>
      <c r="Y35" s="114"/>
    </row>
    <row r="36">
      <c r="A36" s="159"/>
      <c r="B36" s="159"/>
      <c r="C36" s="159"/>
      <c r="D36" s="114"/>
      <c r="E36" s="114"/>
      <c r="F36" s="114"/>
      <c r="G36" s="114"/>
      <c r="H36" s="114"/>
      <c r="I36" s="114"/>
      <c r="J36" s="114"/>
      <c r="K36" s="114"/>
      <c r="L36" s="114"/>
      <c r="M36" s="114"/>
      <c r="N36" s="114"/>
      <c r="O36" s="114"/>
      <c r="P36" s="114"/>
      <c r="Q36" s="114"/>
      <c r="R36" s="114"/>
      <c r="S36" s="114"/>
      <c r="T36" s="114"/>
      <c r="U36" s="159"/>
      <c r="V36" s="114"/>
      <c r="W36" s="114"/>
      <c r="X36" s="114"/>
      <c r="Y36" s="114"/>
    </row>
    <row r="37">
      <c r="A37" s="159"/>
      <c r="B37" s="159"/>
      <c r="C37" s="159"/>
      <c r="D37" s="114"/>
      <c r="E37" s="114"/>
      <c r="F37" s="114"/>
      <c r="G37" s="114"/>
      <c r="H37" s="114"/>
      <c r="I37" s="114"/>
      <c r="J37" s="114"/>
      <c r="K37" s="114"/>
      <c r="L37" s="114"/>
      <c r="M37" s="114"/>
      <c r="N37" s="114"/>
      <c r="O37" s="114"/>
      <c r="P37" s="114"/>
      <c r="Q37" s="114"/>
      <c r="R37" s="114"/>
      <c r="S37" s="114"/>
      <c r="T37" s="114"/>
      <c r="U37" s="159"/>
      <c r="V37" s="114"/>
      <c r="W37" s="114"/>
      <c r="X37" s="114"/>
      <c r="Y37" s="114"/>
    </row>
    <row r="38">
      <c r="A38" s="159"/>
      <c r="B38" s="159"/>
      <c r="C38" s="159"/>
      <c r="D38" s="114"/>
      <c r="E38" s="114"/>
      <c r="F38" s="114"/>
      <c r="G38" s="114"/>
      <c r="H38" s="114"/>
      <c r="I38" s="114"/>
      <c r="J38" s="114"/>
      <c r="K38" s="114"/>
      <c r="L38" s="114"/>
      <c r="M38" s="114"/>
      <c r="N38" s="114"/>
      <c r="O38" s="114"/>
      <c r="P38" s="114"/>
      <c r="Q38" s="114"/>
      <c r="R38" s="114"/>
      <c r="S38" s="114"/>
      <c r="T38" s="114"/>
      <c r="U38" s="159"/>
      <c r="V38" s="114"/>
      <c r="W38" s="114"/>
      <c r="X38" s="114"/>
      <c r="Y38" s="114"/>
    </row>
    <row r="39">
      <c r="A39" s="159"/>
      <c r="B39" s="159"/>
      <c r="C39" s="159"/>
      <c r="D39" s="114"/>
      <c r="E39" s="114"/>
      <c r="F39" s="114"/>
      <c r="G39" s="114"/>
      <c r="H39" s="114"/>
      <c r="I39" s="114"/>
      <c r="J39" s="114"/>
      <c r="K39" s="114"/>
      <c r="L39" s="114"/>
      <c r="M39" s="114"/>
      <c r="N39" s="114"/>
      <c r="O39" s="114"/>
      <c r="P39" s="114"/>
      <c r="Q39" s="114"/>
      <c r="R39" s="114"/>
      <c r="S39" s="114"/>
      <c r="T39" s="114"/>
      <c r="U39" s="159"/>
      <c r="V39" s="114"/>
      <c r="W39" s="114"/>
      <c r="X39" s="114"/>
      <c r="Y39" s="114"/>
    </row>
    <row r="40">
      <c r="A40" s="159"/>
      <c r="B40" s="159"/>
      <c r="C40" s="159"/>
      <c r="D40" s="114"/>
      <c r="E40" s="114"/>
      <c r="F40" s="114"/>
      <c r="G40" s="114"/>
      <c r="H40" s="114"/>
      <c r="I40" s="114"/>
      <c r="J40" s="114"/>
      <c r="K40" s="114"/>
      <c r="L40" s="114"/>
      <c r="M40" s="114"/>
      <c r="N40" s="114"/>
      <c r="O40" s="114"/>
      <c r="P40" s="114"/>
      <c r="Q40" s="114"/>
      <c r="R40" s="114"/>
      <c r="S40" s="114"/>
      <c r="T40" s="114"/>
      <c r="U40" s="159"/>
      <c r="V40" s="114"/>
      <c r="W40" s="114"/>
      <c r="X40" s="114"/>
      <c r="Y40" s="114"/>
    </row>
    <row r="41">
      <c r="A41" s="159"/>
      <c r="B41" s="159"/>
      <c r="C41" s="159"/>
      <c r="D41" s="114"/>
      <c r="E41" s="114"/>
      <c r="F41" s="114"/>
      <c r="G41" s="114"/>
      <c r="H41" s="114"/>
      <c r="I41" s="114"/>
      <c r="J41" s="114"/>
      <c r="K41" s="114"/>
      <c r="L41" s="114"/>
      <c r="M41" s="114"/>
      <c r="N41" s="114"/>
      <c r="O41" s="114"/>
      <c r="P41" s="114"/>
      <c r="Q41" s="114"/>
      <c r="R41" s="114"/>
      <c r="S41" s="114"/>
      <c r="T41" s="114"/>
      <c r="U41" s="159"/>
      <c r="V41" s="114"/>
      <c r="W41" s="114"/>
      <c r="X41" s="114"/>
      <c r="Y41" s="114"/>
    </row>
    <row r="42">
      <c r="A42" s="159"/>
      <c r="B42" s="159"/>
      <c r="C42" s="159"/>
      <c r="D42" s="114"/>
      <c r="E42" s="114"/>
      <c r="F42" s="114"/>
      <c r="G42" s="114"/>
      <c r="H42" s="114"/>
      <c r="I42" s="114"/>
      <c r="J42" s="114"/>
      <c r="K42" s="114"/>
      <c r="L42" s="114"/>
      <c r="M42" s="114"/>
      <c r="N42" s="114"/>
      <c r="O42" s="114"/>
      <c r="P42" s="114"/>
      <c r="Q42" s="114"/>
      <c r="R42" s="114"/>
      <c r="S42" s="114"/>
      <c r="T42" s="114"/>
      <c r="U42" s="159"/>
      <c r="V42" s="114"/>
      <c r="W42" s="114"/>
      <c r="X42" s="114"/>
      <c r="Y42" s="114"/>
    </row>
    <row r="43">
      <c r="A43" s="159"/>
      <c r="B43" s="159"/>
      <c r="C43" s="159"/>
      <c r="D43" s="114"/>
      <c r="E43" s="114"/>
      <c r="F43" s="114"/>
      <c r="G43" s="114"/>
      <c r="H43" s="114"/>
      <c r="I43" s="114"/>
      <c r="J43" s="114"/>
      <c r="K43" s="114"/>
      <c r="L43" s="114"/>
      <c r="M43" s="114"/>
      <c r="N43" s="114"/>
      <c r="O43" s="114"/>
      <c r="P43" s="114"/>
      <c r="Q43" s="114"/>
      <c r="R43" s="114"/>
      <c r="S43" s="114"/>
      <c r="T43" s="114"/>
      <c r="U43" s="159"/>
      <c r="V43" s="114"/>
      <c r="W43" s="114"/>
      <c r="X43" s="114"/>
      <c r="Y43" s="114"/>
    </row>
    <row r="44">
      <c r="A44" s="159"/>
      <c r="B44" s="159"/>
      <c r="C44" s="159"/>
      <c r="D44" s="114"/>
      <c r="E44" s="114"/>
      <c r="F44" s="114"/>
      <c r="G44" s="114"/>
      <c r="H44" s="114"/>
      <c r="I44" s="114"/>
      <c r="J44" s="114"/>
      <c r="K44" s="114"/>
      <c r="L44" s="114"/>
      <c r="M44" s="114"/>
      <c r="N44" s="114"/>
      <c r="O44" s="114"/>
      <c r="P44" s="114"/>
      <c r="Q44" s="114"/>
      <c r="R44" s="114"/>
      <c r="S44" s="114"/>
      <c r="T44" s="114"/>
      <c r="U44" s="159"/>
      <c r="V44" s="114"/>
      <c r="W44" s="114"/>
      <c r="X44" s="114"/>
      <c r="Y44" s="114"/>
    </row>
    <row r="45">
      <c r="A45" s="159"/>
      <c r="B45" s="159"/>
      <c r="C45" s="159"/>
      <c r="D45" s="114"/>
      <c r="E45" s="114"/>
      <c r="F45" s="114"/>
      <c r="G45" s="114"/>
      <c r="H45" s="114"/>
      <c r="I45" s="114"/>
      <c r="J45" s="114"/>
      <c r="K45" s="114"/>
      <c r="L45" s="114"/>
      <c r="M45" s="114"/>
      <c r="N45" s="114"/>
      <c r="O45" s="114"/>
      <c r="P45" s="114"/>
      <c r="Q45" s="114"/>
      <c r="R45" s="114"/>
      <c r="S45" s="114"/>
      <c r="T45" s="114"/>
      <c r="U45" s="159"/>
      <c r="V45" s="114"/>
      <c r="W45" s="114"/>
      <c r="X45" s="114"/>
      <c r="Y45" s="114"/>
    </row>
    <row r="46">
      <c r="A46" s="159"/>
      <c r="B46" s="159"/>
      <c r="C46" s="159"/>
      <c r="D46" s="114"/>
      <c r="E46" s="114"/>
      <c r="F46" s="114"/>
      <c r="G46" s="114"/>
      <c r="H46" s="114"/>
      <c r="I46" s="114"/>
      <c r="J46" s="114"/>
      <c r="K46" s="114"/>
      <c r="L46" s="114"/>
      <c r="M46" s="114"/>
      <c r="N46" s="114"/>
      <c r="O46" s="114"/>
      <c r="P46" s="114"/>
      <c r="Q46" s="114"/>
      <c r="R46" s="114"/>
      <c r="S46" s="114"/>
      <c r="T46" s="114"/>
      <c r="U46" s="159"/>
      <c r="V46" s="114"/>
      <c r="W46" s="114"/>
      <c r="X46" s="114"/>
      <c r="Y46" s="114"/>
    </row>
    <row r="47">
      <c r="A47" s="159"/>
      <c r="B47" s="159"/>
      <c r="C47" s="159"/>
      <c r="D47" s="114"/>
      <c r="E47" s="114"/>
      <c r="F47" s="114"/>
      <c r="G47" s="114"/>
      <c r="H47" s="114"/>
      <c r="I47" s="114"/>
      <c r="J47" s="114"/>
      <c r="K47" s="114"/>
      <c r="L47" s="114"/>
      <c r="M47" s="114"/>
      <c r="N47" s="114"/>
      <c r="O47" s="114"/>
      <c r="P47" s="114"/>
      <c r="Q47" s="114"/>
      <c r="R47" s="114"/>
      <c r="S47" s="114"/>
      <c r="T47" s="114"/>
      <c r="U47" s="159"/>
      <c r="V47" s="114"/>
      <c r="W47" s="114"/>
      <c r="X47" s="114"/>
      <c r="Y47" s="114"/>
    </row>
    <row r="48">
      <c r="A48" s="159"/>
      <c r="B48" s="159"/>
      <c r="C48" s="159"/>
      <c r="D48" s="114"/>
      <c r="E48" s="114"/>
      <c r="F48" s="114"/>
      <c r="G48" s="114"/>
      <c r="H48" s="114"/>
      <c r="I48" s="114"/>
      <c r="J48" s="114"/>
      <c r="K48" s="114"/>
      <c r="L48" s="114"/>
      <c r="M48" s="114"/>
      <c r="N48" s="114"/>
      <c r="O48" s="114"/>
      <c r="P48" s="114"/>
      <c r="Q48" s="114"/>
      <c r="R48" s="114"/>
      <c r="S48" s="114"/>
      <c r="T48" s="114"/>
      <c r="U48" s="159"/>
      <c r="V48" s="114"/>
      <c r="W48" s="114"/>
      <c r="X48" s="114"/>
      <c r="Y48" s="114"/>
    </row>
    <row r="49">
      <c r="A49" s="159"/>
      <c r="B49" s="159"/>
      <c r="C49" s="159"/>
      <c r="D49" s="114"/>
      <c r="E49" s="114"/>
      <c r="F49" s="114"/>
      <c r="G49" s="114"/>
      <c r="H49" s="114"/>
      <c r="I49" s="114"/>
      <c r="J49" s="114"/>
      <c r="K49" s="114"/>
      <c r="L49" s="114"/>
      <c r="M49" s="114"/>
      <c r="N49" s="114"/>
      <c r="O49" s="114"/>
      <c r="P49" s="114"/>
      <c r="Q49" s="114"/>
      <c r="R49" s="114"/>
      <c r="S49" s="114"/>
      <c r="T49" s="114"/>
      <c r="U49" s="159"/>
      <c r="V49" s="114"/>
      <c r="W49" s="114"/>
      <c r="X49" s="114"/>
      <c r="Y49" s="114"/>
    </row>
    <row r="50">
      <c r="A50" s="159"/>
      <c r="B50" s="159"/>
      <c r="C50" s="159"/>
      <c r="D50" s="114"/>
      <c r="E50" s="114"/>
      <c r="F50" s="114"/>
      <c r="G50" s="114"/>
      <c r="H50" s="114"/>
      <c r="I50" s="114"/>
      <c r="J50" s="114"/>
      <c r="K50" s="114"/>
      <c r="L50" s="114"/>
      <c r="M50" s="114"/>
      <c r="N50" s="114"/>
      <c r="O50" s="114"/>
      <c r="P50" s="114"/>
      <c r="Q50" s="114"/>
      <c r="R50" s="114"/>
      <c r="S50" s="114"/>
      <c r="T50" s="114"/>
      <c r="U50" s="159"/>
      <c r="V50" s="114"/>
      <c r="W50" s="114"/>
      <c r="X50" s="114"/>
      <c r="Y50" s="114"/>
    </row>
    <row r="51">
      <c r="A51" s="159"/>
      <c r="B51" s="159"/>
      <c r="C51" s="159"/>
      <c r="D51" s="114"/>
      <c r="E51" s="114"/>
      <c r="F51" s="114"/>
      <c r="G51" s="114"/>
      <c r="H51" s="114"/>
      <c r="I51" s="114"/>
      <c r="J51" s="114"/>
      <c r="K51" s="114"/>
      <c r="L51" s="114"/>
      <c r="M51" s="114"/>
      <c r="N51" s="114"/>
      <c r="O51" s="114"/>
      <c r="P51" s="114"/>
      <c r="Q51" s="114"/>
      <c r="R51" s="114"/>
      <c r="S51" s="114"/>
      <c r="T51" s="114"/>
      <c r="U51" s="159"/>
      <c r="V51" s="114"/>
      <c r="W51" s="114"/>
      <c r="X51" s="114"/>
      <c r="Y51" s="114"/>
    </row>
    <row r="52">
      <c r="A52" s="159"/>
      <c r="B52" s="159"/>
      <c r="C52" s="159"/>
      <c r="D52" s="114"/>
      <c r="E52" s="114"/>
      <c r="F52" s="114"/>
      <c r="G52" s="114"/>
      <c r="H52" s="114"/>
      <c r="I52" s="114"/>
      <c r="J52" s="114"/>
      <c r="K52" s="114"/>
      <c r="L52" s="114"/>
      <c r="M52" s="114"/>
      <c r="N52" s="114"/>
      <c r="O52" s="114"/>
      <c r="P52" s="114"/>
      <c r="Q52" s="114"/>
      <c r="R52" s="114"/>
      <c r="S52" s="114"/>
      <c r="T52" s="114"/>
      <c r="U52" s="159"/>
      <c r="V52" s="114"/>
      <c r="W52" s="114"/>
      <c r="X52" s="114"/>
      <c r="Y52" s="114"/>
    </row>
    <row r="53">
      <c r="A53" s="159"/>
      <c r="B53" s="159"/>
      <c r="C53" s="159"/>
      <c r="D53" s="114"/>
      <c r="E53" s="114"/>
      <c r="F53" s="114"/>
      <c r="G53" s="114"/>
      <c r="H53" s="114"/>
      <c r="I53" s="114"/>
      <c r="J53" s="114"/>
      <c r="K53" s="114"/>
      <c r="L53" s="114"/>
      <c r="M53" s="114"/>
      <c r="N53" s="114"/>
      <c r="O53" s="114"/>
      <c r="P53" s="114"/>
      <c r="Q53" s="114"/>
      <c r="R53" s="114"/>
      <c r="S53" s="114"/>
      <c r="T53" s="114"/>
      <c r="U53" s="159"/>
      <c r="V53" s="114"/>
      <c r="W53" s="114"/>
      <c r="X53" s="114"/>
      <c r="Y53" s="114"/>
    </row>
    <row r="54">
      <c r="A54" s="159"/>
      <c r="B54" s="159"/>
      <c r="C54" s="159"/>
      <c r="D54" s="114"/>
      <c r="E54" s="114"/>
      <c r="F54" s="114"/>
      <c r="G54" s="114"/>
      <c r="H54" s="114"/>
      <c r="I54" s="114"/>
      <c r="J54" s="114"/>
      <c r="K54" s="114"/>
      <c r="L54" s="114"/>
      <c r="M54" s="114"/>
      <c r="N54" s="114"/>
      <c r="O54" s="114"/>
      <c r="P54" s="114"/>
      <c r="Q54" s="114"/>
      <c r="R54" s="114"/>
      <c r="S54" s="114"/>
      <c r="T54" s="114"/>
      <c r="U54" s="159"/>
      <c r="V54" s="114"/>
      <c r="W54" s="114"/>
      <c r="X54" s="114"/>
      <c r="Y54" s="114"/>
    </row>
    <row r="55">
      <c r="A55" s="159"/>
      <c r="B55" s="159"/>
      <c r="C55" s="159"/>
      <c r="D55" s="114"/>
      <c r="E55" s="114"/>
      <c r="F55" s="114"/>
      <c r="G55" s="114"/>
      <c r="H55" s="114"/>
      <c r="I55" s="114"/>
      <c r="J55" s="114"/>
      <c r="K55" s="114"/>
      <c r="L55" s="114"/>
      <c r="M55" s="114"/>
      <c r="N55" s="114"/>
      <c r="O55" s="114"/>
      <c r="P55" s="114"/>
      <c r="Q55" s="114"/>
      <c r="R55" s="114"/>
      <c r="S55" s="114"/>
      <c r="T55" s="114"/>
      <c r="U55" s="159"/>
      <c r="V55" s="114"/>
      <c r="W55" s="114"/>
      <c r="X55" s="114"/>
      <c r="Y55" s="114"/>
    </row>
    <row r="56">
      <c r="A56" s="159"/>
      <c r="B56" s="159"/>
      <c r="C56" s="159"/>
      <c r="D56" s="114"/>
      <c r="E56" s="114"/>
      <c r="F56" s="114"/>
      <c r="G56" s="114"/>
      <c r="H56" s="114"/>
      <c r="I56" s="114"/>
      <c r="J56" s="114"/>
      <c r="K56" s="114"/>
      <c r="L56" s="114"/>
      <c r="M56" s="114"/>
      <c r="N56" s="114"/>
      <c r="O56" s="114"/>
      <c r="P56" s="114"/>
      <c r="Q56" s="114"/>
      <c r="R56" s="114"/>
      <c r="S56" s="114"/>
      <c r="T56" s="114"/>
      <c r="U56" s="159"/>
      <c r="V56" s="114"/>
      <c r="W56" s="114"/>
      <c r="X56" s="114"/>
      <c r="Y56" s="114"/>
    </row>
    <row r="57">
      <c r="A57" s="159"/>
      <c r="B57" s="159"/>
      <c r="C57" s="159"/>
      <c r="D57" s="114"/>
      <c r="E57" s="114"/>
      <c r="F57" s="114"/>
      <c r="G57" s="114"/>
      <c r="H57" s="114"/>
      <c r="I57" s="114"/>
      <c r="J57" s="114"/>
      <c r="K57" s="114"/>
      <c r="L57" s="114"/>
      <c r="M57" s="114"/>
      <c r="N57" s="114"/>
      <c r="O57" s="114"/>
      <c r="P57" s="114"/>
      <c r="Q57" s="114"/>
      <c r="R57" s="114"/>
      <c r="S57" s="114"/>
      <c r="T57" s="114"/>
      <c r="U57" s="159"/>
      <c r="V57" s="114"/>
      <c r="W57" s="114"/>
      <c r="X57" s="114"/>
      <c r="Y57" s="114"/>
    </row>
    <row r="58">
      <c r="A58" s="159"/>
      <c r="B58" s="159"/>
      <c r="C58" s="159"/>
      <c r="D58" s="114"/>
      <c r="E58" s="114"/>
      <c r="F58" s="114"/>
      <c r="G58" s="114"/>
      <c r="H58" s="114"/>
      <c r="I58" s="114"/>
      <c r="J58" s="114"/>
      <c r="K58" s="114"/>
      <c r="L58" s="114"/>
      <c r="M58" s="114"/>
      <c r="N58" s="114"/>
      <c r="O58" s="114"/>
      <c r="P58" s="114"/>
      <c r="Q58" s="114"/>
      <c r="R58" s="114"/>
      <c r="S58" s="114"/>
      <c r="T58" s="114"/>
      <c r="U58" s="159"/>
      <c r="V58" s="114"/>
      <c r="W58" s="114"/>
      <c r="X58" s="114"/>
      <c r="Y58" s="114"/>
    </row>
    <row r="59">
      <c r="A59" s="159"/>
      <c r="B59" s="159"/>
      <c r="C59" s="159"/>
      <c r="D59" s="114"/>
      <c r="E59" s="114"/>
      <c r="F59" s="114"/>
      <c r="G59" s="114"/>
      <c r="H59" s="114"/>
      <c r="I59" s="114"/>
      <c r="J59" s="114"/>
      <c r="K59" s="114"/>
      <c r="L59" s="114"/>
      <c r="M59" s="114"/>
      <c r="N59" s="114"/>
      <c r="O59" s="114"/>
      <c r="P59" s="114"/>
      <c r="Q59" s="114"/>
      <c r="R59" s="114"/>
      <c r="S59" s="114"/>
      <c r="T59" s="114"/>
      <c r="U59" s="159"/>
      <c r="V59" s="114"/>
      <c r="W59" s="114"/>
      <c r="X59" s="114"/>
      <c r="Y59" s="114"/>
    </row>
    <row r="60">
      <c r="A60" s="159"/>
      <c r="B60" s="159"/>
      <c r="C60" s="159"/>
      <c r="D60" s="114"/>
      <c r="E60" s="114"/>
      <c r="F60" s="114"/>
      <c r="G60" s="114"/>
      <c r="H60" s="114"/>
      <c r="I60" s="114"/>
      <c r="J60" s="114"/>
      <c r="K60" s="114"/>
      <c r="L60" s="114"/>
      <c r="M60" s="114"/>
      <c r="N60" s="114"/>
      <c r="O60" s="114"/>
      <c r="P60" s="114"/>
      <c r="Q60" s="114"/>
      <c r="R60" s="114"/>
      <c r="S60" s="114"/>
      <c r="T60" s="114"/>
      <c r="U60" s="159"/>
      <c r="V60" s="114"/>
      <c r="W60" s="114"/>
      <c r="X60" s="114"/>
      <c r="Y60" s="114"/>
    </row>
    <row r="61">
      <c r="A61" s="159"/>
      <c r="B61" s="159"/>
      <c r="C61" s="159"/>
      <c r="D61" s="114"/>
      <c r="E61" s="114"/>
      <c r="F61" s="114"/>
      <c r="G61" s="114"/>
      <c r="H61" s="114"/>
      <c r="I61" s="114"/>
      <c r="J61" s="114"/>
      <c r="K61" s="114"/>
      <c r="L61" s="114"/>
      <c r="M61" s="114"/>
      <c r="N61" s="114"/>
      <c r="O61" s="114"/>
      <c r="P61" s="114"/>
      <c r="Q61" s="114"/>
      <c r="R61" s="114"/>
      <c r="S61" s="114"/>
      <c r="T61" s="114"/>
      <c r="U61" s="159"/>
      <c r="V61" s="114"/>
      <c r="W61" s="114"/>
      <c r="X61" s="114"/>
      <c r="Y61" s="114"/>
    </row>
    <row r="62">
      <c r="A62" s="159"/>
      <c r="B62" s="159"/>
      <c r="C62" s="159"/>
      <c r="D62" s="114"/>
      <c r="E62" s="114"/>
      <c r="F62" s="114"/>
      <c r="G62" s="114"/>
      <c r="H62" s="114"/>
      <c r="I62" s="114"/>
      <c r="J62" s="114"/>
      <c r="K62" s="114"/>
      <c r="L62" s="114"/>
      <c r="M62" s="114"/>
      <c r="N62" s="114"/>
      <c r="O62" s="114"/>
      <c r="P62" s="114"/>
      <c r="Q62" s="114"/>
      <c r="R62" s="114"/>
      <c r="S62" s="114"/>
      <c r="T62" s="114"/>
      <c r="U62" s="159"/>
      <c r="V62" s="114"/>
      <c r="W62" s="114"/>
      <c r="X62" s="114"/>
      <c r="Y62" s="114"/>
    </row>
    <row r="63">
      <c r="A63" s="159"/>
      <c r="B63" s="159"/>
      <c r="C63" s="159"/>
      <c r="D63" s="114"/>
      <c r="E63" s="114"/>
      <c r="F63" s="114"/>
      <c r="G63" s="114"/>
      <c r="H63" s="114"/>
      <c r="I63" s="114"/>
      <c r="J63" s="114"/>
      <c r="K63" s="114"/>
      <c r="L63" s="114"/>
      <c r="M63" s="114"/>
      <c r="N63" s="114"/>
      <c r="O63" s="114"/>
      <c r="P63" s="114"/>
      <c r="Q63" s="114"/>
      <c r="R63" s="114"/>
      <c r="S63" s="114"/>
      <c r="T63" s="114"/>
      <c r="U63" s="159"/>
      <c r="V63" s="114"/>
      <c r="W63" s="114"/>
      <c r="X63" s="114"/>
      <c r="Y63" s="114"/>
    </row>
    <row r="64">
      <c r="A64" s="159"/>
      <c r="B64" s="159"/>
      <c r="C64" s="159"/>
      <c r="D64" s="114"/>
      <c r="E64" s="114"/>
      <c r="F64" s="114"/>
      <c r="G64" s="114"/>
      <c r="H64" s="114"/>
      <c r="I64" s="114"/>
      <c r="J64" s="114"/>
      <c r="K64" s="114"/>
      <c r="L64" s="114"/>
      <c r="M64" s="114"/>
      <c r="N64" s="114"/>
      <c r="O64" s="114"/>
      <c r="P64" s="114"/>
      <c r="Q64" s="114"/>
      <c r="R64" s="114"/>
      <c r="S64" s="114"/>
      <c r="T64" s="114"/>
      <c r="U64" s="159"/>
      <c r="V64" s="114"/>
      <c r="W64" s="114"/>
      <c r="X64" s="114"/>
      <c r="Y64" s="114"/>
    </row>
    <row r="65">
      <c r="A65" s="159"/>
      <c r="B65" s="159"/>
      <c r="C65" s="159"/>
      <c r="D65" s="114"/>
      <c r="E65" s="114"/>
      <c r="F65" s="114"/>
      <c r="G65" s="114"/>
      <c r="H65" s="114"/>
      <c r="I65" s="114"/>
      <c r="J65" s="114"/>
      <c r="K65" s="114"/>
      <c r="L65" s="114"/>
      <c r="M65" s="114"/>
      <c r="N65" s="114"/>
      <c r="O65" s="114"/>
      <c r="P65" s="114"/>
      <c r="Q65" s="114"/>
      <c r="R65" s="114"/>
      <c r="S65" s="114"/>
      <c r="T65" s="114"/>
      <c r="U65" s="159"/>
      <c r="V65" s="114"/>
      <c r="W65" s="114"/>
      <c r="X65" s="114"/>
      <c r="Y65" s="114"/>
    </row>
    <row r="66">
      <c r="A66" s="159"/>
      <c r="B66" s="159"/>
      <c r="C66" s="159"/>
      <c r="D66" s="114"/>
      <c r="E66" s="114"/>
      <c r="F66" s="114"/>
      <c r="G66" s="114"/>
      <c r="H66" s="114"/>
      <c r="I66" s="114"/>
      <c r="J66" s="114"/>
      <c r="K66" s="114"/>
      <c r="L66" s="114"/>
      <c r="M66" s="114"/>
      <c r="N66" s="114"/>
      <c r="O66" s="114"/>
      <c r="P66" s="114"/>
      <c r="Q66" s="114"/>
      <c r="R66" s="114"/>
      <c r="S66" s="114"/>
      <c r="T66" s="114"/>
      <c r="U66" s="159"/>
      <c r="V66" s="114"/>
      <c r="W66" s="114"/>
      <c r="X66" s="114"/>
      <c r="Y66" s="114"/>
    </row>
    <row r="67">
      <c r="A67" s="159"/>
      <c r="B67" s="159"/>
      <c r="C67" s="159"/>
      <c r="D67" s="114"/>
      <c r="E67" s="114"/>
      <c r="F67" s="114"/>
      <c r="G67" s="114"/>
      <c r="H67" s="114"/>
      <c r="I67" s="114"/>
      <c r="J67" s="114"/>
      <c r="K67" s="114"/>
      <c r="L67" s="114"/>
      <c r="M67" s="114"/>
      <c r="N67" s="114"/>
      <c r="O67" s="114"/>
      <c r="P67" s="114"/>
      <c r="Q67" s="114"/>
      <c r="R67" s="114"/>
      <c r="S67" s="114"/>
      <c r="T67" s="114"/>
      <c r="U67" s="159"/>
      <c r="V67" s="114"/>
      <c r="W67" s="114"/>
      <c r="X67" s="114"/>
      <c r="Y67" s="114"/>
    </row>
    <row r="68">
      <c r="A68" s="159"/>
      <c r="B68" s="159"/>
      <c r="C68" s="159"/>
      <c r="D68" s="114"/>
      <c r="E68" s="114"/>
      <c r="F68" s="114"/>
      <c r="G68" s="114"/>
      <c r="H68" s="114"/>
      <c r="I68" s="114"/>
      <c r="J68" s="114"/>
      <c r="K68" s="114"/>
      <c r="L68" s="114"/>
      <c r="M68" s="114"/>
      <c r="N68" s="114"/>
      <c r="O68" s="114"/>
      <c r="P68" s="114"/>
      <c r="Q68" s="114"/>
      <c r="R68" s="114"/>
      <c r="S68" s="114"/>
      <c r="T68" s="114"/>
      <c r="U68" s="159"/>
      <c r="V68" s="114"/>
      <c r="W68" s="114"/>
      <c r="X68" s="114"/>
      <c r="Y68" s="114"/>
    </row>
    <row r="69">
      <c r="A69" s="159"/>
      <c r="B69" s="159"/>
      <c r="C69" s="159"/>
      <c r="D69" s="114"/>
      <c r="E69" s="114"/>
      <c r="F69" s="114"/>
      <c r="G69" s="114"/>
      <c r="H69" s="114"/>
      <c r="I69" s="114"/>
      <c r="J69" s="114"/>
      <c r="K69" s="114"/>
      <c r="L69" s="114"/>
      <c r="M69" s="114"/>
      <c r="N69" s="114"/>
      <c r="O69" s="114"/>
      <c r="P69" s="114"/>
      <c r="Q69" s="114"/>
      <c r="R69" s="114"/>
      <c r="S69" s="114"/>
      <c r="T69" s="114"/>
      <c r="U69" s="159"/>
      <c r="V69" s="114"/>
      <c r="W69" s="114"/>
      <c r="X69" s="114"/>
      <c r="Y69" s="114"/>
    </row>
    <row r="70">
      <c r="A70" s="159"/>
      <c r="B70" s="159"/>
      <c r="C70" s="159"/>
      <c r="D70" s="114"/>
      <c r="E70" s="114"/>
      <c r="F70" s="114"/>
      <c r="G70" s="114"/>
      <c r="H70" s="114"/>
      <c r="I70" s="114"/>
      <c r="J70" s="114"/>
      <c r="K70" s="114"/>
      <c r="L70" s="114"/>
      <c r="M70" s="114"/>
      <c r="N70" s="114"/>
      <c r="O70" s="114"/>
      <c r="P70" s="114"/>
      <c r="Q70" s="114"/>
      <c r="R70" s="114"/>
      <c r="S70" s="114"/>
      <c r="T70" s="114"/>
      <c r="U70" s="159"/>
      <c r="V70" s="114"/>
      <c r="W70" s="114"/>
      <c r="X70" s="114"/>
      <c r="Y70" s="114"/>
    </row>
    <row r="71">
      <c r="A71" s="159"/>
      <c r="B71" s="159"/>
      <c r="C71" s="159"/>
      <c r="D71" s="114"/>
      <c r="E71" s="114"/>
      <c r="F71" s="114"/>
      <c r="G71" s="114"/>
      <c r="H71" s="114"/>
      <c r="I71" s="114"/>
      <c r="J71" s="114"/>
      <c r="K71" s="114"/>
      <c r="L71" s="114"/>
      <c r="M71" s="114"/>
      <c r="N71" s="114"/>
      <c r="O71" s="114"/>
      <c r="P71" s="114"/>
      <c r="Q71" s="114"/>
      <c r="R71" s="114"/>
      <c r="S71" s="114"/>
      <c r="T71" s="114"/>
      <c r="U71" s="159"/>
      <c r="V71" s="114"/>
      <c r="W71" s="114"/>
      <c r="X71" s="114"/>
      <c r="Y71" s="114"/>
    </row>
    <row r="72">
      <c r="A72" s="159"/>
      <c r="B72" s="159"/>
      <c r="C72" s="159"/>
      <c r="D72" s="114"/>
      <c r="E72" s="114"/>
      <c r="F72" s="114"/>
      <c r="G72" s="114"/>
      <c r="H72" s="114"/>
      <c r="I72" s="114"/>
      <c r="J72" s="114"/>
      <c r="K72" s="114"/>
      <c r="L72" s="114"/>
      <c r="M72" s="114"/>
      <c r="N72" s="114"/>
      <c r="O72" s="114"/>
      <c r="P72" s="114"/>
      <c r="Q72" s="114"/>
      <c r="R72" s="114"/>
      <c r="S72" s="114"/>
      <c r="T72" s="114"/>
      <c r="U72" s="159"/>
      <c r="V72" s="114"/>
      <c r="W72" s="114"/>
      <c r="X72" s="114"/>
      <c r="Y72" s="114"/>
    </row>
    <row r="73">
      <c r="A73" s="159"/>
      <c r="B73" s="159"/>
      <c r="C73" s="159"/>
      <c r="D73" s="114"/>
      <c r="E73" s="114"/>
      <c r="F73" s="114"/>
      <c r="G73" s="114"/>
      <c r="H73" s="114"/>
      <c r="I73" s="114"/>
      <c r="J73" s="114"/>
      <c r="K73" s="114"/>
      <c r="L73" s="114"/>
      <c r="M73" s="114"/>
      <c r="N73" s="114"/>
      <c r="O73" s="114"/>
      <c r="P73" s="114"/>
      <c r="Q73" s="114"/>
      <c r="R73" s="114"/>
      <c r="S73" s="114"/>
      <c r="T73" s="114"/>
      <c r="U73" s="159"/>
      <c r="V73" s="114"/>
      <c r="W73" s="114"/>
      <c r="X73" s="114"/>
      <c r="Y73" s="114"/>
    </row>
    <row r="74">
      <c r="A74" s="159"/>
      <c r="B74" s="159"/>
      <c r="C74" s="159"/>
      <c r="D74" s="114"/>
      <c r="E74" s="114"/>
      <c r="F74" s="114"/>
      <c r="G74" s="114"/>
      <c r="H74" s="114"/>
      <c r="I74" s="114"/>
      <c r="J74" s="114"/>
      <c r="K74" s="114"/>
      <c r="L74" s="114"/>
      <c r="M74" s="114"/>
      <c r="N74" s="114"/>
      <c r="O74" s="114"/>
      <c r="P74" s="114"/>
      <c r="Q74" s="114"/>
      <c r="R74" s="114"/>
      <c r="S74" s="114"/>
      <c r="T74" s="114"/>
      <c r="U74" s="159"/>
      <c r="V74" s="114"/>
      <c r="W74" s="114"/>
      <c r="X74" s="114"/>
      <c r="Y74" s="114"/>
    </row>
    <row r="75">
      <c r="A75" s="159"/>
      <c r="B75" s="159"/>
      <c r="C75" s="159"/>
      <c r="D75" s="114"/>
      <c r="E75" s="114"/>
      <c r="F75" s="114"/>
      <c r="G75" s="114"/>
      <c r="H75" s="114"/>
      <c r="I75" s="114"/>
      <c r="J75" s="114"/>
      <c r="K75" s="114"/>
      <c r="L75" s="114"/>
      <c r="M75" s="114"/>
      <c r="N75" s="114"/>
      <c r="O75" s="114"/>
      <c r="P75" s="114"/>
      <c r="Q75" s="114"/>
      <c r="R75" s="114"/>
      <c r="S75" s="114"/>
      <c r="T75" s="114"/>
      <c r="U75" s="159"/>
      <c r="V75" s="114"/>
      <c r="W75" s="114"/>
      <c r="X75" s="114"/>
      <c r="Y75" s="114"/>
    </row>
    <row r="76">
      <c r="A76" s="159"/>
      <c r="B76" s="159"/>
      <c r="C76" s="159"/>
      <c r="D76" s="114"/>
      <c r="E76" s="114"/>
      <c r="F76" s="114"/>
      <c r="G76" s="114"/>
      <c r="H76" s="114"/>
      <c r="I76" s="114"/>
      <c r="J76" s="114"/>
      <c r="K76" s="114"/>
      <c r="L76" s="114"/>
      <c r="M76" s="114"/>
      <c r="N76" s="114"/>
      <c r="O76" s="114"/>
      <c r="P76" s="114"/>
      <c r="Q76" s="114"/>
      <c r="R76" s="114"/>
      <c r="S76" s="114"/>
      <c r="T76" s="114"/>
      <c r="U76" s="159"/>
      <c r="V76" s="114"/>
      <c r="W76" s="114"/>
      <c r="X76" s="114"/>
      <c r="Y76" s="114"/>
    </row>
    <row r="77">
      <c r="A77" s="159"/>
      <c r="B77" s="159"/>
      <c r="C77" s="159"/>
      <c r="D77" s="114"/>
      <c r="E77" s="114"/>
      <c r="F77" s="114"/>
      <c r="G77" s="114"/>
      <c r="H77" s="114"/>
      <c r="I77" s="114"/>
      <c r="J77" s="114"/>
      <c r="K77" s="114"/>
      <c r="L77" s="114"/>
      <c r="M77" s="114"/>
      <c r="N77" s="114"/>
      <c r="O77" s="114"/>
      <c r="P77" s="114"/>
      <c r="Q77" s="114"/>
      <c r="R77" s="114"/>
      <c r="S77" s="114"/>
      <c r="T77" s="114"/>
      <c r="U77" s="159"/>
      <c r="V77" s="114"/>
      <c r="W77" s="114"/>
      <c r="X77" s="114"/>
      <c r="Y77" s="114"/>
    </row>
    <row r="78">
      <c r="A78" s="159"/>
      <c r="B78" s="159"/>
      <c r="C78" s="159"/>
      <c r="D78" s="114"/>
      <c r="E78" s="114"/>
      <c r="F78" s="114"/>
      <c r="G78" s="114"/>
      <c r="H78" s="114"/>
      <c r="I78" s="114"/>
      <c r="J78" s="114"/>
      <c r="K78" s="114"/>
      <c r="L78" s="114"/>
      <c r="M78" s="114"/>
      <c r="N78" s="114"/>
      <c r="O78" s="114"/>
      <c r="P78" s="114"/>
      <c r="Q78" s="114"/>
      <c r="R78" s="114"/>
      <c r="S78" s="114"/>
      <c r="T78" s="114"/>
      <c r="U78" s="159"/>
      <c r="V78" s="114"/>
      <c r="W78" s="114"/>
      <c r="X78" s="114"/>
      <c r="Y78" s="114"/>
    </row>
    <row r="79">
      <c r="A79" s="159"/>
      <c r="B79" s="159"/>
      <c r="C79" s="159"/>
      <c r="D79" s="114"/>
      <c r="E79" s="114"/>
      <c r="F79" s="114"/>
      <c r="G79" s="114"/>
      <c r="H79" s="114"/>
      <c r="I79" s="114"/>
      <c r="J79" s="114"/>
      <c r="K79" s="114"/>
      <c r="L79" s="114"/>
      <c r="M79" s="114"/>
      <c r="N79" s="114"/>
      <c r="O79" s="114"/>
      <c r="P79" s="114"/>
      <c r="Q79" s="114"/>
      <c r="R79" s="114"/>
      <c r="S79" s="114"/>
      <c r="T79" s="114"/>
      <c r="U79" s="159"/>
      <c r="V79" s="114"/>
      <c r="W79" s="114"/>
      <c r="X79" s="114"/>
      <c r="Y79" s="114"/>
    </row>
    <row r="80">
      <c r="A80" s="159"/>
      <c r="B80" s="159"/>
      <c r="C80" s="159"/>
      <c r="D80" s="114"/>
      <c r="E80" s="114"/>
      <c r="F80" s="114"/>
      <c r="G80" s="114"/>
      <c r="H80" s="114"/>
      <c r="I80" s="114"/>
      <c r="J80" s="114"/>
      <c r="K80" s="114"/>
      <c r="L80" s="114"/>
      <c r="M80" s="114"/>
      <c r="N80" s="114"/>
      <c r="O80" s="114"/>
      <c r="P80" s="114"/>
      <c r="Q80" s="114"/>
      <c r="R80" s="114"/>
      <c r="S80" s="114"/>
      <c r="T80" s="114"/>
      <c r="U80" s="159"/>
      <c r="V80" s="114"/>
      <c r="W80" s="114"/>
      <c r="X80" s="114"/>
      <c r="Y80" s="114"/>
    </row>
    <row r="81">
      <c r="A81" s="159"/>
      <c r="B81" s="159"/>
      <c r="C81" s="159"/>
      <c r="D81" s="114"/>
      <c r="E81" s="114"/>
      <c r="F81" s="114"/>
      <c r="G81" s="114"/>
      <c r="H81" s="114"/>
      <c r="I81" s="114"/>
      <c r="J81" s="114"/>
      <c r="K81" s="114"/>
      <c r="L81" s="114"/>
      <c r="M81" s="114"/>
      <c r="N81" s="114"/>
      <c r="O81" s="114"/>
      <c r="P81" s="114"/>
      <c r="Q81" s="114"/>
      <c r="R81" s="114"/>
      <c r="S81" s="114"/>
      <c r="T81" s="114"/>
      <c r="U81" s="159"/>
      <c r="V81" s="114"/>
      <c r="W81" s="114"/>
      <c r="X81" s="114"/>
      <c r="Y81" s="114"/>
    </row>
    <row r="82">
      <c r="A82" s="159"/>
      <c r="B82" s="159"/>
      <c r="C82" s="159"/>
      <c r="D82" s="114"/>
      <c r="E82" s="114"/>
      <c r="F82" s="114"/>
      <c r="G82" s="114"/>
      <c r="H82" s="114"/>
      <c r="I82" s="114"/>
      <c r="J82" s="114"/>
      <c r="K82" s="114"/>
      <c r="L82" s="114"/>
      <c r="M82" s="114"/>
      <c r="N82" s="114"/>
      <c r="O82" s="114"/>
      <c r="P82" s="114"/>
      <c r="Q82" s="114"/>
      <c r="R82" s="114"/>
      <c r="S82" s="114"/>
      <c r="T82" s="114"/>
      <c r="U82" s="159"/>
      <c r="V82" s="114"/>
      <c r="W82" s="114"/>
      <c r="X82" s="114"/>
      <c r="Y82" s="114"/>
    </row>
    <row r="83">
      <c r="A83" s="159"/>
      <c r="B83" s="159"/>
      <c r="C83" s="159"/>
      <c r="D83" s="114"/>
      <c r="E83" s="114"/>
      <c r="F83" s="114"/>
      <c r="G83" s="114"/>
      <c r="H83" s="114"/>
      <c r="I83" s="114"/>
      <c r="J83" s="114"/>
      <c r="K83" s="114"/>
      <c r="L83" s="114"/>
      <c r="M83" s="114"/>
      <c r="N83" s="114"/>
      <c r="O83" s="114"/>
      <c r="P83" s="114"/>
      <c r="Q83" s="114"/>
      <c r="R83" s="114"/>
      <c r="S83" s="114"/>
      <c r="T83" s="114"/>
      <c r="U83" s="159"/>
      <c r="V83" s="114"/>
      <c r="W83" s="114"/>
      <c r="X83" s="114"/>
      <c r="Y83" s="114"/>
    </row>
    <row r="84">
      <c r="A84" s="159"/>
      <c r="B84" s="159"/>
      <c r="C84" s="159"/>
      <c r="D84" s="114"/>
      <c r="E84" s="114"/>
      <c r="F84" s="114"/>
      <c r="G84" s="114"/>
      <c r="H84" s="114"/>
      <c r="I84" s="114"/>
      <c r="J84" s="114"/>
      <c r="K84" s="114"/>
      <c r="L84" s="114"/>
      <c r="M84" s="114"/>
      <c r="N84" s="114"/>
      <c r="O84" s="114"/>
      <c r="P84" s="114"/>
      <c r="Q84" s="114"/>
      <c r="R84" s="114"/>
      <c r="S84" s="114"/>
      <c r="T84" s="114"/>
      <c r="U84" s="159"/>
      <c r="V84" s="114"/>
      <c r="W84" s="114"/>
      <c r="X84" s="114"/>
      <c r="Y84" s="114"/>
    </row>
    <row r="85">
      <c r="A85" s="159"/>
      <c r="B85" s="159"/>
      <c r="C85" s="159"/>
      <c r="D85" s="114"/>
      <c r="E85" s="114"/>
      <c r="F85" s="114"/>
      <c r="G85" s="114"/>
      <c r="H85" s="114"/>
      <c r="I85" s="114"/>
      <c r="J85" s="114"/>
      <c r="K85" s="114"/>
      <c r="L85" s="114"/>
      <c r="M85" s="114"/>
      <c r="N85" s="114"/>
      <c r="O85" s="114"/>
      <c r="P85" s="114"/>
      <c r="Q85" s="114"/>
      <c r="R85" s="114"/>
      <c r="S85" s="114"/>
      <c r="T85" s="114"/>
      <c r="U85" s="159"/>
      <c r="V85" s="114"/>
      <c r="W85" s="114"/>
      <c r="X85" s="114"/>
      <c r="Y85" s="114"/>
    </row>
    <row r="86">
      <c r="A86" s="159"/>
      <c r="B86" s="159"/>
      <c r="C86" s="159"/>
      <c r="D86" s="114"/>
      <c r="E86" s="114"/>
      <c r="F86" s="114"/>
      <c r="G86" s="114"/>
      <c r="H86" s="114"/>
      <c r="I86" s="114"/>
      <c r="J86" s="114"/>
      <c r="K86" s="114"/>
      <c r="L86" s="114"/>
      <c r="M86" s="114"/>
      <c r="N86" s="114"/>
      <c r="O86" s="114"/>
      <c r="P86" s="114"/>
      <c r="Q86" s="114"/>
      <c r="R86" s="114"/>
      <c r="S86" s="114"/>
      <c r="T86" s="114"/>
      <c r="U86" s="159"/>
      <c r="V86" s="114"/>
      <c r="W86" s="114"/>
      <c r="X86" s="114"/>
      <c r="Y86" s="114"/>
    </row>
    <row r="87">
      <c r="A87" s="159"/>
      <c r="B87" s="159"/>
      <c r="C87" s="159"/>
      <c r="D87" s="114"/>
      <c r="E87" s="114"/>
      <c r="F87" s="114"/>
      <c r="G87" s="114"/>
      <c r="H87" s="114"/>
      <c r="I87" s="114"/>
      <c r="J87" s="114"/>
      <c r="K87" s="114"/>
      <c r="L87" s="114"/>
      <c r="M87" s="114"/>
      <c r="N87" s="114"/>
      <c r="O87" s="114"/>
      <c r="P87" s="114"/>
      <c r="Q87" s="114"/>
      <c r="R87" s="114"/>
      <c r="S87" s="114"/>
      <c r="T87" s="114"/>
      <c r="U87" s="159"/>
      <c r="V87" s="114"/>
      <c r="W87" s="114"/>
      <c r="X87" s="114"/>
      <c r="Y87" s="114"/>
    </row>
    <row r="88">
      <c r="A88" s="159"/>
      <c r="B88" s="159"/>
      <c r="C88" s="159"/>
      <c r="D88" s="114"/>
      <c r="E88" s="114"/>
      <c r="F88" s="114"/>
      <c r="G88" s="114"/>
      <c r="H88" s="114"/>
      <c r="I88" s="114"/>
      <c r="J88" s="114"/>
      <c r="K88" s="114"/>
      <c r="L88" s="114"/>
      <c r="M88" s="114"/>
      <c r="N88" s="114"/>
      <c r="O88" s="114"/>
      <c r="P88" s="114"/>
      <c r="Q88" s="114"/>
      <c r="R88" s="114"/>
      <c r="S88" s="114"/>
      <c r="T88" s="114"/>
      <c r="U88" s="159"/>
      <c r="V88" s="114"/>
      <c r="W88" s="114"/>
      <c r="X88" s="114"/>
      <c r="Y88" s="114"/>
    </row>
    <row r="89">
      <c r="A89" s="159"/>
      <c r="B89" s="159"/>
      <c r="C89" s="159"/>
      <c r="D89" s="114"/>
      <c r="E89" s="114"/>
      <c r="F89" s="114"/>
      <c r="G89" s="114"/>
      <c r="H89" s="114"/>
      <c r="I89" s="114"/>
      <c r="J89" s="114"/>
      <c r="K89" s="114"/>
      <c r="L89" s="114"/>
      <c r="M89" s="114"/>
      <c r="N89" s="114"/>
      <c r="O89" s="114"/>
      <c r="P89" s="114"/>
      <c r="Q89" s="114"/>
      <c r="R89" s="114"/>
      <c r="S89" s="114"/>
      <c r="T89" s="114"/>
      <c r="U89" s="159"/>
      <c r="V89" s="114"/>
      <c r="W89" s="114"/>
      <c r="X89" s="114"/>
      <c r="Y89" s="114"/>
    </row>
    <row r="90">
      <c r="A90" s="159"/>
      <c r="B90" s="159"/>
      <c r="C90" s="159"/>
      <c r="D90" s="114"/>
      <c r="E90" s="114"/>
      <c r="F90" s="114"/>
      <c r="G90" s="114"/>
      <c r="H90" s="114"/>
      <c r="I90" s="114"/>
      <c r="J90" s="114"/>
      <c r="K90" s="114"/>
      <c r="L90" s="114"/>
      <c r="M90" s="114"/>
      <c r="N90" s="114"/>
      <c r="O90" s="114"/>
      <c r="P90" s="114"/>
      <c r="Q90" s="114"/>
      <c r="R90" s="114"/>
      <c r="S90" s="114"/>
      <c r="T90" s="114"/>
      <c r="U90" s="159"/>
      <c r="V90" s="114"/>
      <c r="W90" s="114"/>
      <c r="X90" s="114"/>
      <c r="Y90" s="114"/>
    </row>
    <row r="91">
      <c r="A91" s="159"/>
      <c r="B91" s="159"/>
      <c r="C91" s="159"/>
      <c r="D91" s="114"/>
      <c r="E91" s="114"/>
      <c r="F91" s="114"/>
      <c r="G91" s="114"/>
      <c r="H91" s="114"/>
      <c r="I91" s="114"/>
      <c r="J91" s="114"/>
      <c r="K91" s="114"/>
      <c r="L91" s="114"/>
      <c r="M91" s="114"/>
      <c r="N91" s="114"/>
      <c r="O91" s="114"/>
      <c r="P91" s="114"/>
      <c r="Q91" s="114"/>
      <c r="R91" s="114"/>
      <c r="S91" s="114"/>
      <c r="T91" s="114"/>
      <c r="U91" s="159"/>
      <c r="V91" s="114"/>
      <c r="W91" s="114"/>
      <c r="X91" s="114"/>
      <c r="Y91" s="114"/>
    </row>
    <row r="92">
      <c r="A92" s="159"/>
      <c r="B92" s="159"/>
      <c r="C92" s="159"/>
      <c r="D92" s="114"/>
      <c r="E92" s="114"/>
      <c r="F92" s="114"/>
      <c r="G92" s="114"/>
      <c r="H92" s="114"/>
      <c r="I92" s="114"/>
      <c r="J92" s="114"/>
      <c r="K92" s="114"/>
      <c r="L92" s="114"/>
      <c r="M92" s="114"/>
      <c r="N92" s="114"/>
      <c r="O92" s="114"/>
      <c r="P92" s="114"/>
      <c r="Q92" s="114"/>
      <c r="R92" s="114"/>
      <c r="S92" s="114"/>
      <c r="T92" s="114"/>
      <c r="U92" s="159"/>
      <c r="V92" s="114"/>
      <c r="W92" s="114"/>
      <c r="X92" s="114"/>
      <c r="Y92" s="114"/>
    </row>
    <row r="93">
      <c r="A93" s="159"/>
      <c r="B93" s="159"/>
      <c r="C93" s="159"/>
      <c r="D93" s="114"/>
      <c r="E93" s="114"/>
      <c r="F93" s="114"/>
      <c r="G93" s="114"/>
      <c r="H93" s="114"/>
      <c r="I93" s="114"/>
      <c r="J93" s="114"/>
      <c r="K93" s="114"/>
      <c r="L93" s="114"/>
      <c r="M93" s="114"/>
      <c r="N93" s="114"/>
      <c r="O93" s="114"/>
      <c r="P93" s="114"/>
      <c r="Q93" s="114"/>
      <c r="R93" s="114"/>
      <c r="S93" s="114"/>
      <c r="T93" s="114"/>
      <c r="U93" s="159"/>
      <c r="V93" s="114"/>
      <c r="W93" s="114"/>
      <c r="X93" s="114"/>
      <c r="Y93" s="114"/>
    </row>
    <row r="94">
      <c r="A94" s="159"/>
      <c r="B94" s="159"/>
      <c r="C94" s="159"/>
      <c r="D94" s="114"/>
      <c r="E94" s="114"/>
      <c r="F94" s="114"/>
      <c r="G94" s="114"/>
      <c r="H94" s="114"/>
      <c r="I94" s="114"/>
      <c r="J94" s="114"/>
      <c r="K94" s="114"/>
      <c r="L94" s="114"/>
      <c r="M94" s="114"/>
      <c r="N94" s="114"/>
      <c r="O94" s="114"/>
      <c r="P94" s="114"/>
      <c r="Q94" s="114"/>
      <c r="R94" s="114"/>
      <c r="S94" s="114"/>
      <c r="T94" s="114"/>
      <c r="U94" s="159"/>
      <c r="V94" s="114"/>
      <c r="W94" s="114"/>
      <c r="X94" s="114"/>
      <c r="Y94" s="114"/>
    </row>
    <row r="95">
      <c r="A95" s="159"/>
      <c r="B95" s="159"/>
      <c r="C95" s="159"/>
      <c r="D95" s="114"/>
      <c r="E95" s="114"/>
      <c r="F95" s="114"/>
      <c r="G95" s="114"/>
      <c r="H95" s="114"/>
      <c r="I95" s="114"/>
      <c r="J95" s="114"/>
      <c r="K95" s="114"/>
      <c r="L95" s="114"/>
      <c r="M95" s="114"/>
      <c r="N95" s="114"/>
      <c r="O95" s="114"/>
      <c r="P95" s="114"/>
      <c r="Q95" s="114"/>
      <c r="R95" s="114"/>
      <c r="S95" s="114"/>
      <c r="T95" s="114"/>
      <c r="U95" s="159"/>
      <c r="V95" s="114"/>
      <c r="W95" s="114"/>
      <c r="X95" s="114"/>
      <c r="Y95" s="114"/>
    </row>
    <row r="96">
      <c r="A96" s="159"/>
      <c r="B96" s="159"/>
      <c r="C96" s="159"/>
      <c r="D96" s="114"/>
      <c r="E96" s="114"/>
      <c r="F96" s="114"/>
      <c r="G96" s="114"/>
      <c r="H96" s="114"/>
      <c r="I96" s="114"/>
      <c r="J96" s="114"/>
      <c r="K96" s="114"/>
      <c r="L96" s="114"/>
      <c r="M96" s="114"/>
      <c r="N96" s="114"/>
      <c r="O96" s="114"/>
      <c r="P96" s="114"/>
      <c r="Q96" s="114"/>
      <c r="R96" s="114"/>
      <c r="S96" s="114"/>
      <c r="T96" s="114"/>
      <c r="U96" s="159"/>
      <c r="V96" s="114"/>
      <c r="W96" s="114"/>
      <c r="X96" s="114"/>
      <c r="Y96" s="114"/>
    </row>
    <row r="97">
      <c r="A97" s="159"/>
      <c r="B97" s="159"/>
      <c r="C97" s="159"/>
      <c r="D97" s="114"/>
      <c r="E97" s="114"/>
      <c r="F97" s="114"/>
      <c r="G97" s="114"/>
      <c r="H97" s="114"/>
      <c r="I97" s="114"/>
      <c r="J97" s="114"/>
      <c r="K97" s="114"/>
      <c r="L97" s="114"/>
      <c r="M97" s="114"/>
      <c r="N97" s="114"/>
      <c r="O97" s="114"/>
      <c r="P97" s="114"/>
      <c r="Q97" s="114"/>
      <c r="R97" s="114"/>
      <c r="S97" s="114"/>
      <c r="T97" s="114"/>
      <c r="U97" s="159"/>
      <c r="V97" s="114"/>
      <c r="W97" s="114"/>
      <c r="X97" s="114"/>
      <c r="Y97" s="114"/>
    </row>
    <row r="98">
      <c r="A98" s="159"/>
      <c r="B98" s="159"/>
      <c r="C98" s="159"/>
      <c r="D98" s="114"/>
      <c r="E98" s="114"/>
      <c r="F98" s="114"/>
      <c r="G98" s="114"/>
      <c r="H98" s="114"/>
      <c r="I98" s="114"/>
      <c r="J98" s="114"/>
      <c r="K98" s="114"/>
      <c r="L98" s="114"/>
      <c r="M98" s="114"/>
      <c r="N98" s="114"/>
      <c r="O98" s="114"/>
      <c r="P98" s="114"/>
      <c r="Q98" s="114"/>
      <c r="R98" s="114"/>
      <c r="S98" s="114"/>
      <c r="T98" s="114"/>
      <c r="U98" s="159"/>
      <c r="V98" s="114"/>
      <c r="W98" s="114"/>
      <c r="X98" s="114"/>
      <c r="Y98" s="114"/>
    </row>
    <row r="99">
      <c r="A99" s="159"/>
      <c r="B99" s="159"/>
      <c r="C99" s="159"/>
      <c r="D99" s="114"/>
      <c r="E99" s="114"/>
      <c r="F99" s="114"/>
      <c r="G99" s="114"/>
      <c r="H99" s="114"/>
      <c r="I99" s="114"/>
      <c r="J99" s="114"/>
      <c r="K99" s="114"/>
      <c r="L99" s="114"/>
      <c r="M99" s="114"/>
      <c r="N99" s="114"/>
      <c r="O99" s="114"/>
      <c r="P99" s="114"/>
      <c r="Q99" s="114"/>
      <c r="R99" s="114"/>
      <c r="S99" s="114"/>
      <c r="T99" s="114"/>
      <c r="U99" s="159"/>
      <c r="V99" s="114"/>
      <c r="W99" s="114"/>
      <c r="X99" s="114"/>
      <c r="Y99" s="114"/>
    </row>
    <row r="100">
      <c r="A100" s="159"/>
      <c r="B100" s="159"/>
      <c r="C100" s="159"/>
      <c r="D100" s="114"/>
      <c r="E100" s="114"/>
      <c r="F100" s="114"/>
      <c r="G100" s="114"/>
      <c r="H100" s="114"/>
      <c r="I100" s="114"/>
      <c r="J100" s="114"/>
      <c r="K100" s="114"/>
      <c r="L100" s="114"/>
      <c r="M100" s="114"/>
      <c r="N100" s="114"/>
      <c r="O100" s="114"/>
      <c r="P100" s="114"/>
      <c r="Q100" s="114"/>
      <c r="R100" s="114"/>
      <c r="S100" s="114"/>
      <c r="T100" s="114"/>
      <c r="U100" s="159"/>
      <c r="V100" s="114"/>
      <c r="W100" s="114"/>
      <c r="X100" s="114"/>
      <c r="Y100" s="114"/>
    </row>
    <row r="101">
      <c r="A101" s="159"/>
      <c r="B101" s="159"/>
      <c r="C101" s="159"/>
      <c r="D101" s="114"/>
      <c r="E101" s="114"/>
      <c r="F101" s="114"/>
      <c r="G101" s="114"/>
      <c r="H101" s="114"/>
      <c r="I101" s="114"/>
      <c r="J101" s="114"/>
      <c r="K101" s="114"/>
      <c r="L101" s="114"/>
      <c r="M101" s="114"/>
      <c r="N101" s="114"/>
      <c r="O101" s="114"/>
      <c r="P101" s="114"/>
      <c r="Q101" s="114"/>
      <c r="R101" s="114"/>
      <c r="S101" s="114"/>
      <c r="T101" s="114"/>
      <c r="U101" s="159"/>
      <c r="V101" s="114"/>
      <c r="W101" s="114"/>
      <c r="X101" s="114"/>
      <c r="Y101" s="114"/>
    </row>
    <row r="102">
      <c r="A102" s="159"/>
      <c r="B102" s="159"/>
      <c r="C102" s="159"/>
      <c r="D102" s="114"/>
      <c r="E102" s="114"/>
      <c r="F102" s="114"/>
      <c r="G102" s="114"/>
      <c r="H102" s="114"/>
      <c r="I102" s="114"/>
      <c r="J102" s="114"/>
      <c r="K102" s="114"/>
      <c r="L102" s="114"/>
      <c r="M102" s="114"/>
      <c r="N102" s="114"/>
      <c r="O102" s="114"/>
      <c r="P102" s="114"/>
      <c r="Q102" s="114"/>
      <c r="R102" s="114"/>
      <c r="S102" s="114"/>
      <c r="T102" s="114"/>
      <c r="U102" s="159"/>
      <c r="V102" s="114"/>
      <c r="W102" s="114"/>
      <c r="X102" s="114"/>
      <c r="Y102" s="114"/>
    </row>
    <row r="103">
      <c r="A103" s="159"/>
      <c r="B103" s="159"/>
      <c r="C103" s="159"/>
      <c r="D103" s="114"/>
      <c r="E103" s="114"/>
      <c r="F103" s="114"/>
      <c r="G103" s="114"/>
      <c r="H103" s="114"/>
      <c r="I103" s="114"/>
      <c r="J103" s="114"/>
      <c r="K103" s="114"/>
      <c r="L103" s="114"/>
      <c r="M103" s="114"/>
      <c r="N103" s="114"/>
      <c r="O103" s="114"/>
      <c r="P103" s="114"/>
      <c r="Q103" s="114"/>
      <c r="R103" s="114"/>
      <c r="S103" s="114"/>
      <c r="T103" s="114"/>
      <c r="U103" s="159"/>
      <c r="V103" s="114"/>
      <c r="W103" s="114"/>
      <c r="X103" s="114"/>
      <c r="Y103" s="114"/>
    </row>
    <row r="104">
      <c r="A104" s="159"/>
      <c r="B104" s="159"/>
      <c r="C104" s="159"/>
      <c r="D104" s="114"/>
      <c r="E104" s="114"/>
      <c r="F104" s="114"/>
      <c r="G104" s="114"/>
      <c r="H104" s="114"/>
      <c r="I104" s="114"/>
      <c r="J104" s="114"/>
      <c r="K104" s="114"/>
      <c r="L104" s="114"/>
      <c r="M104" s="114"/>
      <c r="N104" s="114"/>
      <c r="O104" s="114"/>
      <c r="P104" s="114"/>
      <c r="Q104" s="114"/>
      <c r="R104" s="114"/>
      <c r="S104" s="114"/>
      <c r="T104" s="114"/>
      <c r="U104" s="159"/>
      <c r="V104" s="114"/>
      <c r="W104" s="114"/>
      <c r="X104" s="114"/>
      <c r="Y104" s="114"/>
    </row>
    <row r="105">
      <c r="A105" s="159"/>
      <c r="B105" s="159"/>
      <c r="C105" s="159"/>
      <c r="D105" s="114"/>
      <c r="E105" s="114"/>
      <c r="F105" s="114"/>
      <c r="G105" s="114"/>
      <c r="H105" s="114"/>
      <c r="I105" s="114"/>
      <c r="J105" s="114"/>
      <c r="K105" s="114"/>
      <c r="L105" s="114"/>
      <c r="M105" s="114"/>
      <c r="N105" s="114"/>
      <c r="O105" s="114"/>
      <c r="P105" s="114"/>
      <c r="Q105" s="114"/>
      <c r="R105" s="114"/>
      <c r="S105" s="114"/>
      <c r="T105" s="114"/>
      <c r="U105" s="159"/>
      <c r="V105" s="114"/>
      <c r="W105" s="114"/>
      <c r="X105" s="114"/>
      <c r="Y105" s="114"/>
    </row>
    <row r="106">
      <c r="A106" s="159"/>
      <c r="B106" s="159"/>
      <c r="C106" s="159"/>
      <c r="D106" s="114"/>
      <c r="E106" s="114"/>
      <c r="F106" s="114"/>
      <c r="G106" s="114"/>
      <c r="H106" s="114"/>
      <c r="I106" s="114"/>
      <c r="J106" s="114"/>
      <c r="K106" s="114"/>
      <c r="L106" s="114"/>
      <c r="M106" s="114"/>
      <c r="N106" s="114"/>
      <c r="O106" s="114"/>
      <c r="P106" s="114"/>
      <c r="Q106" s="114"/>
      <c r="R106" s="114"/>
      <c r="S106" s="114"/>
      <c r="T106" s="114"/>
      <c r="U106" s="159"/>
      <c r="V106" s="114"/>
      <c r="W106" s="114"/>
      <c r="X106" s="114"/>
      <c r="Y106" s="114"/>
    </row>
    <row r="107">
      <c r="A107" s="159"/>
      <c r="B107" s="159"/>
      <c r="C107" s="159"/>
      <c r="D107" s="114"/>
      <c r="E107" s="114"/>
      <c r="F107" s="114"/>
      <c r="G107" s="114"/>
      <c r="H107" s="114"/>
      <c r="I107" s="114"/>
      <c r="J107" s="114"/>
      <c r="K107" s="114"/>
      <c r="L107" s="114"/>
      <c r="M107" s="114"/>
      <c r="N107" s="114"/>
      <c r="O107" s="114"/>
      <c r="P107" s="114"/>
      <c r="Q107" s="114"/>
      <c r="R107" s="114"/>
      <c r="S107" s="114"/>
      <c r="T107" s="114"/>
      <c r="U107" s="159"/>
      <c r="V107" s="114"/>
      <c r="W107" s="114"/>
      <c r="X107" s="114"/>
      <c r="Y107" s="114"/>
    </row>
  </sheetData>
  <conditionalFormatting sqref="A2:U999">
    <cfRule type="expression" dxfId="10" priority="1">
      <formula>$Q2="No"</formula>
    </cfRule>
  </conditionalFormatting>
  <dataValidations>
    <dataValidation type="list" allowBlank="1" showErrorMessage="1" sqref="S4:S13 S16:S31">
      <formula1>'Exclussion basis'!$A$2:A999</formula1>
    </dataValidation>
  </dataValidations>
  <hyperlinks>
    <hyperlink r:id="rId1" ref="F2"/>
    <hyperlink r:id="rId2" ref="F3"/>
    <hyperlink r:id="rId3" ref="F4"/>
    <hyperlink r:id="rId4" ref="F5"/>
    <hyperlink r:id="rId5" ref="F6"/>
    <hyperlink r:id="rId6" ref="F7"/>
    <hyperlink r:id="rId7" ref="F8"/>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s>
  <drawing r:id="rId2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46.0"/>
    <col customWidth="1" min="23" max="23" width="16.89"/>
    <col customWidth="1" min="24" max="24" width="16.11"/>
    <col customWidth="1" min="25" max="25" width="14.56"/>
  </cols>
  <sheetData>
    <row r="1">
      <c r="A1" s="117" t="s">
        <v>4690</v>
      </c>
      <c r="B1" s="159" t="s">
        <v>57</v>
      </c>
      <c r="C1" s="159" t="s">
        <v>58</v>
      </c>
      <c r="D1" s="159" t="s">
        <v>59</v>
      </c>
      <c r="E1" s="159" t="s">
        <v>60</v>
      </c>
      <c r="F1" s="159" t="s">
        <v>61</v>
      </c>
      <c r="G1" s="159" t="s">
        <v>62</v>
      </c>
      <c r="H1" s="159" t="s">
        <v>2614</v>
      </c>
      <c r="I1" s="159" t="s">
        <v>2615</v>
      </c>
      <c r="J1" s="159" t="s">
        <v>2616</v>
      </c>
      <c r="K1" s="159" t="s">
        <v>2617</v>
      </c>
      <c r="L1" s="159" t="s">
        <v>3056</v>
      </c>
      <c r="M1" s="159" t="s">
        <v>2619</v>
      </c>
      <c r="N1" s="159" t="s">
        <v>2620</v>
      </c>
      <c r="O1" s="159" t="s">
        <v>2621</v>
      </c>
      <c r="P1" s="159" t="s">
        <v>2622</v>
      </c>
      <c r="Q1" s="159" t="s">
        <v>2623</v>
      </c>
      <c r="R1" s="159" t="s">
        <v>943</v>
      </c>
      <c r="S1" s="159" t="s">
        <v>2626</v>
      </c>
      <c r="T1" s="159" t="s">
        <v>949</v>
      </c>
      <c r="U1" s="159" t="s">
        <v>950</v>
      </c>
      <c r="V1" s="159" t="s">
        <v>951</v>
      </c>
      <c r="W1" s="159" t="s">
        <v>3057</v>
      </c>
      <c r="X1" s="159" t="s">
        <v>952</v>
      </c>
      <c r="Y1" s="159" t="s">
        <v>3058</v>
      </c>
    </row>
    <row r="2" ht="13.5" customHeight="1">
      <c r="A2" s="117" t="s">
        <v>261</v>
      </c>
      <c r="B2" s="159" t="s">
        <v>2059</v>
      </c>
      <c r="C2" s="159" t="s">
        <v>2060</v>
      </c>
      <c r="D2" s="72" t="s">
        <v>4691</v>
      </c>
      <c r="E2" s="90" t="s">
        <v>4692</v>
      </c>
      <c r="F2" s="72" t="s">
        <v>4693</v>
      </c>
      <c r="G2" s="90" t="s">
        <v>4694</v>
      </c>
      <c r="H2" s="72" t="s">
        <v>49</v>
      </c>
      <c r="I2" s="90" t="s">
        <v>4695</v>
      </c>
      <c r="J2" s="90" t="s">
        <v>4696</v>
      </c>
      <c r="K2" s="27" t="s">
        <v>4697</v>
      </c>
      <c r="L2" s="27" t="s">
        <v>4698</v>
      </c>
      <c r="M2" s="27" t="s">
        <v>2062</v>
      </c>
      <c r="N2" s="90" t="s">
        <v>4699</v>
      </c>
      <c r="O2" s="72" t="s">
        <v>1198</v>
      </c>
      <c r="P2" s="72" t="s">
        <v>4700</v>
      </c>
      <c r="Q2" s="72" t="s">
        <v>3748</v>
      </c>
      <c r="R2" s="72" t="s">
        <v>1437</v>
      </c>
      <c r="S2" s="27" t="s">
        <v>4701</v>
      </c>
      <c r="T2" s="72" t="s">
        <v>2065</v>
      </c>
      <c r="U2" s="159" t="s">
        <v>4702</v>
      </c>
      <c r="V2" s="72" t="s">
        <v>999</v>
      </c>
      <c r="W2" s="27" t="s">
        <v>4703</v>
      </c>
      <c r="X2" s="90" t="s">
        <v>4704</v>
      </c>
      <c r="Y2" s="27" t="s">
        <v>4705</v>
      </c>
    </row>
    <row r="3" ht="12.0" customHeight="1">
      <c r="A3" s="117" t="s">
        <v>261</v>
      </c>
      <c r="B3" s="159" t="s">
        <v>2070</v>
      </c>
      <c r="C3" s="159" t="s">
        <v>2071</v>
      </c>
      <c r="D3" s="72" t="s">
        <v>4706</v>
      </c>
      <c r="E3" s="27" t="s">
        <v>4707</v>
      </c>
      <c r="F3" s="90" t="s">
        <v>4708</v>
      </c>
      <c r="G3" s="90" t="s">
        <v>4709</v>
      </c>
      <c r="H3" s="72" t="s">
        <v>49</v>
      </c>
      <c r="I3" s="27" t="s">
        <v>4710</v>
      </c>
      <c r="J3" s="90" t="s">
        <v>4711</v>
      </c>
      <c r="K3" s="27" t="s">
        <v>4712</v>
      </c>
      <c r="L3" s="27" t="s">
        <v>4713</v>
      </c>
      <c r="M3" s="90" t="s">
        <v>2073</v>
      </c>
      <c r="N3" s="90" t="s">
        <v>4714</v>
      </c>
      <c r="O3" s="72" t="s">
        <v>1198</v>
      </c>
      <c r="P3" s="72" t="s">
        <v>4700</v>
      </c>
      <c r="Q3" s="72" t="s">
        <v>3748</v>
      </c>
      <c r="R3" s="72" t="s">
        <v>1437</v>
      </c>
      <c r="S3" s="27" t="s">
        <v>4715</v>
      </c>
      <c r="T3" s="72" t="s">
        <v>998</v>
      </c>
      <c r="U3" s="425">
        <v>2025.0</v>
      </c>
      <c r="V3" s="90" t="s">
        <v>4716</v>
      </c>
      <c r="W3" s="90" t="s">
        <v>4717</v>
      </c>
      <c r="X3" s="27" t="s">
        <v>4718</v>
      </c>
      <c r="Y3" s="27" t="s">
        <v>4719</v>
      </c>
    </row>
    <row r="4">
      <c r="A4" s="117" t="s">
        <v>261</v>
      </c>
      <c r="B4" s="159" t="s">
        <v>4720</v>
      </c>
      <c r="C4" s="426" t="s">
        <v>2400</v>
      </c>
      <c r="D4" s="114"/>
      <c r="E4" s="114"/>
      <c r="F4" s="114"/>
      <c r="G4" s="114"/>
      <c r="H4" s="114"/>
      <c r="I4" s="114"/>
      <c r="J4" s="114"/>
      <c r="K4" s="114"/>
      <c r="L4" s="114"/>
      <c r="M4" s="114"/>
      <c r="N4" s="114"/>
      <c r="O4" s="72" t="s">
        <v>4721</v>
      </c>
      <c r="P4" s="114"/>
      <c r="Q4" s="114"/>
      <c r="R4" s="114"/>
      <c r="S4" s="114"/>
      <c r="T4" s="114"/>
      <c r="U4" s="159" t="s">
        <v>4702</v>
      </c>
      <c r="V4" s="114"/>
      <c r="W4" s="114"/>
      <c r="X4" s="114"/>
      <c r="Y4" s="114"/>
    </row>
    <row r="5" ht="12.75" customHeight="1">
      <c r="A5" s="117" t="s">
        <v>261</v>
      </c>
      <c r="B5" s="159" t="s">
        <v>2078</v>
      </c>
      <c r="C5" s="159" t="s">
        <v>2079</v>
      </c>
      <c r="D5" s="72" t="s">
        <v>4691</v>
      </c>
      <c r="E5" s="27" t="s">
        <v>4722</v>
      </c>
      <c r="F5" s="27" t="s">
        <v>4723</v>
      </c>
      <c r="G5" s="90" t="s">
        <v>4724</v>
      </c>
      <c r="H5" s="72" t="s">
        <v>49</v>
      </c>
      <c r="I5" s="27" t="s">
        <v>4725</v>
      </c>
      <c r="J5" s="27" t="s">
        <v>4726</v>
      </c>
      <c r="K5" s="27" t="s">
        <v>4727</v>
      </c>
      <c r="L5" s="90" t="s">
        <v>4728</v>
      </c>
      <c r="M5" s="27" t="s">
        <v>2081</v>
      </c>
      <c r="N5" s="27" t="s">
        <v>4729</v>
      </c>
      <c r="O5" s="72" t="s">
        <v>1198</v>
      </c>
      <c r="P5" s="72" t="s">
        <v>2083</v>
      </c>
      <c r="Q5" s="72" t="s">
        <v>2083</v>
      </c>
      <c r="R5" s="72" t="s">
        <v>1437</v>
      </c>
      <c r="S5" s="27" t="s">
        <v>4730</v>
      </c>
      <c r="T5" s="72" t="s">
        <v>1022</v>
      </c>
      <c r="U5" s="159" t="s">
        <v>4702</v>
      </c>
      <c r="V5" s="90" t="s">
        <v>4731</v>
      </c>
      <c r="W5" s="27" t="s">
        <v>4732</v>
      </c>
      <c r="X5" s="27" t="s">
        <v>4733</v>
      </c>
      <c r="Y5" s="27" t="s">
        <v>4734</v>
      </c>
    </row>
    <row r="6" ht="15.75" customHeight="1">
      <c r="A6" s="117" t="s">
        <v>261</v>
      </c>
      <c r="B6" s="159" t="s">
        <v>2085</v>
      </c>
      <c r="C6" s="159" t="s">
        <v>2086</v>
      </c>
      <c r="D6" s="72" t="s">
        <v>4706</v>
      </c>
      <c r="E6" s="27" t="s">
        <v>4735</v>
      </c>
      <c r="F6" s="90" t="s">
        <v>4736</v>
      </c>
      <c r="G6" s="27" t="s">
        <v>4737</v>
      </c>
      <c r="H6" s="72" t="s">
        <v>49</v>
      </c>
      <c r="I6" s="90" t="s">
        <v>4738</v>
      </c>
      <c r="J6" s="90" t="s">
        <v>4739</v>
      </c>
      <c r="K6" s="27" t="s">
        <v>4740</v>
      </c>
      <c r="L6" s="27" t="s">
        <v>4741</v>
      </c>
      <c r="M6" s="90" t="s">
        <v>2088</v>
      </c>
      <c r="N6" s="90" t="s">
        <v>4742</v>
      </c>
      <c r="O6" s="72" t="s">
        <v>1198</v>
      </c>
      <c r="P6" s="72" t="s">
        <v>2083</v>
      </c>
      <c r="Q6" s="72" t="s">
        <v>2083</v>
      </c>
      <c r="R6" s="72" t="s">
        <v>1437</v>
      </c>
      <c r="S6" s="27" t="s">
        <v>4743</v>
      </c>
      <c r="T6" s="72" t="s">
        <v>4744</v>
      </c>
      <c r="U6" s="159" t="s">
        <v>4702</v>
      </c>
      <c r="V6" s="90" t="s">
        <v>4745</v>
      </c>
      <c r="W6" s="90" t="s">
        <v>4746</v>
      </c>
      <c r="X6" s="27" t="s">
        <v>4747</v>
      </c>
      <c r="Y6" s="27" t="s">
        <v>4748</v>
      </c>
    </row>
    <row r="7" ht="15.0" customHeight="1">
      <c r="A7" s="117" t="s">
        <v>261</v>
      </c>
      <c r="B7" s="159" t="s">
        <v>4749</v>
      </c>
      <c r="C7" s="426" t="s">
        <v>2552</v>
      </c>
      <c r="D7" s="72" t="s">
        <v>4691</v>
      </c>
      <c r="E7" s="90" t="s">
        <v>4750</v>
      </c>
      <c r="F7" s="27" t="s">
        <v>4751</v>
      </c>
      <c r="G7" s="90" t="s">
        <v>4752</v>
      </c>
      <c r="H7" s="72" t="s">
        <v>49</v>
      </c>
      <c r="I7" s="90" t="s">
        <v>4753</v>
      </c>
      <c r="J7" s="90" t="s">
        <v>4754</v>
      </c>
      <c r="K7" s="27" t="s">
        <v>4755</v>
      </c>
      <c r="L7" s="90" t="s">
        <v>4756</v>
      </c>
      <c r="M7" s="90" t="s">
        <v>4757</v>
      </c>
      <c r="N7" s="90" t="s">
        <v>4758</v>
      </c>
      <c r="O7" s="72" t="s">
        <v>1198</v>
      </c>
      <c r="P7" s="114"/>
      <c r="Q7" s="114"/>
      <c r="R7" s="72" t="s">
        <v>1437</v>
      </c>
      <c r="S7" s="27" t="s">
        <v>4759</v>
      </c>
      <c r="T7" s="72" t="s">
        <v>1022</v>
      </c>
      <c r="U7" s="159" t="s">
        <v>4760</v>
      </c>
      <c r="V7" s="90" t="s">
        <v>4761</v>
      </c>
      <c r="W7" s="90" t="s">
        <v>4762</v>
      </c>
      <c r="X7" s="90" t="s">
        <v>4763</v>
      </c>
      <c r="Y7" s="27" t="s">
        <v>4764</v>
      </c>
    </row>
    <row r="8" ht="15.0" customHeight="1">
      <c r="A8" s="117" t="s">
        <v>261</v>
      </c>
      <c r="B8" s="159" t="s">
        <v>2094</v>
      </c>
      <c r="C8" s="159" t="s">
        <v>2095</v>
      </c>
      <c r="D8" s="72" t="s">
        <v>4691</v>
      </c>
      <c r="E8" s="90" t="s">
        <v>4765</v>
      </c>
      <c r="F8" s="90" t="s">
        <v>4766</v>
      </c>
      <c r="G8" s="90" t="s">
        <v>4767</v>
      </c>
      <c r="H8" s="72" t="s">
        <v>49</v>
      </c>
      <c r="I8" s="90" t="s">
        <v>4768</v>
      </c>
      <c r="J8" s="90" t="s">
        <v>4769</v>
      </c>
      <c r="K8" s="27" t="s">
        <v>4770</v>
      </c>
      <c r="L8" s="27" t="s">
        <v>4771</v>
      </c>
      <c r="M8" s="90" t="s">
        <v>2097</v>
      </c>
      <c r="N8" s="90" t="s">
        <v>4772</v>
      </c>
      <c r="O8" s="72" t="s">
        <v>1198</v>
      </c>
      <c r="P8" s="114"/>
      <c r="Q8" s="114"/>
      <c r="R8" s="72" t="s">
        <v>1198</v>
      </c>
      <c r="S8" s="27" t="s">
        <v>4773</v>
      </c>
      <c r="T8" s="72" t="s">
        <v>998</v>
      </c>
      <c r="U8" s="159" t="s">
        <v>4760</v>
      </c>
      <c r="V8" s="90" t="s">
        <v>4774</v>
      </c>
      <c r="W8" s="72" t="s">
        <v>4775</v>
      </c>
      <c r="X8" s="90" t="s">
        <v>4776</v>
      </c>
      <c r="Y8" s="90" t="s">
        <v>4777</v>
      </c>
    </row>
    <row r="9" ht="16.5" customHeight="1">
      <c r="A9" s="117" t="s">
        <v>261</v>
      </c>
      <c r="B9" s="159" t="s">
        <v>4778</v>
      </c>
      <c r="C9" s="426" t="s">
        <v>2471</v>
      </c>
      <c r="D9" s="72" t="s">
        <v>4706</v>
      </c>
      <c r="E9" s="90" t="s">
        <v>2472</v>
      </c>
      <c r="F9" s="72" t="s">
        <v>4779</v>
      </c>
      <c r="G9" s="90" t="s">
        <v>4780</v>
      </c>
      <c r="H9" s="90" t="s">
        <v>4781</v>
      </c>
      <c r="I9" s="90" t="s">
        <v>4782</v>
      </c>
      <c r="J9" s="90" t="s">
        <v>4783</v>
      </c>
      <c r="K9" s="90" t="s">
        <v>4784</v>
      </c>
      <c r="L9" s="90" t="s">
        <v>4785</v>
      </c>
      <c r="M9" s="72" t="s">
        <v>4775</v>
      </c>
      <c r="N9" s="90" t="s">
        <v>4786</v>
      </c>
      <c r="O9" s="72" t="s">
        <v>1437</v>
      </c>
      <c r="P9" s="27" t="s">
        <v>4787</v>
      </c>
      <c r="Q9" s="27" t="s">
        <v>4788</v>
      </c>
      <c r="R9" s="72" t="s">
        <v>1437</v>
      </c>
      <c r="S9" s="27" t="s">
        <v>4789</v>
      </c>
      <c r="T9" s="72" t="s">
        <v>4790</v>
      </c>
      <c r="U9" s="159" t="s">
        <v>4760</v>
      </c>
      <c r="V9" s="27" t="s">
        <v>4791</v>
      </c>
      <c r="W9" s="90" t="s">
        <v>4792</v>
      </c>
      <c r="X9" s="90" t="s">
        <v>4793</v>
      </c>
      <c r="Y9" s="27" t="s">
        <v>4794</v>
      </c>
    </row>
    <row r="10" ht="17.25" customHeight="1">
      <c r="A10" s="117" t="s">
        <v>261</v>
      </c>
      <c r="B10" s="159" t="s">
        <v>2102</v>
      </c>
      <c r="C10" s="159" t="s">
        <v>2103</v>
      </c>
      <c r="D10" s="72" t="s">
        <v>4691</v>
      </c>
      <c r="E10" s="90" t="s">
        <v>4795</v>
      </c>
      <c r="F10" s="90" t="s">
        <v>4796</v>
      </c>
      <c r="G10" s="72" t="s">
        <v>4797</v>
      </c>
      <c r="H10" s="72" t="s">
        <v>49</v>
      </c>
      <c r="I10" s="90" t="s">
        <v>4798</v>
      </c>
      <c r="J10" s="90" t="s">
        <v>4799</v>
      </c>
      <c r="K10" s="90" t="s">
        <v>4800</v>
      </c>
      <c r="L10" s="90" t="s">
        <v>4801</v>
      </c>
      <c r="M10" s="90" t="s">
        <v>2105</v>
      </c>
      <c r="N10" s="90" t="s">
        <v>4802</v>
      </c>
      <c r="O10" s="72" t="s">
        <v>1198</v>
      </c>
      <c r="P10" s="114"/>
      <c r="Q10" s="114"/>
      <c r="R10" s="72" t="s">
        <v>1198</v>
      </c>
      <c r="S10" s="27" t="s">
        <v>4803</v>
      </c>
      <c r="T10" s="72" t="s">
        <v>1022</v>
      </c>
      <c r="U10" s="159" t="s">
        <v>4760</v>
      </c>
      <c r="V10" s="27" t="s">
        <v>4804</v>
      </c>
      <c r="W10" s="72" t="s">
        <v>4805</v>
      </c>
      <c r="X10" s="27" t="s">
        <v>4806</v>
      </c>
      <c r="Y10" s="90" t="s">
        <v>4807</v>
      </c>
    </row>
    <row r="11" ht="16.5" customHeight="1">
      <c r="A11" s="117" t="s">
        <v>261</v>
      </c>
      <c r="B11" s="159" t="s">
        <v>2111</v>
      </c>
      <c r="C11" s="159" t="s">
        <v>2112</v>
      </c>
      <c r="D11" s="72" t="s">
        <v>4691</v>
      </c>
      <c r="E11" s="27" t="s">
        <v>4808</v>
      </c>
      <c r="F11" s="27" t="s">
        <v>4809</v>
      </c>
      <c r="G11" s="27" t="s">
        <v>4810</v>
      </c>
      <c r="H11" s="72" t="s">
        <v>49</v>
      </c>
      <c r="I11" s="27" t="s">
        <v>4811</v>
      </c>
      <c r="J11" s="27" t="s">
        <v>4812</v>
      </c>
      <c r="K11" s="27" t="s">
        <v>4813</v>
      </c>
      <c r="L11" s="27" t="s">
        <v>4814</v>
      </c>
      <c r="M11" s="27" t="s">
        <v>2114</v>
      </c>
      <c r="N11" s="90" t="s">
        <v>4815</v>
      </c>
      <c r="O11" s="72" t="s">
        <v>1198</v>
      </c>
      <c r="P11" s="114"/>
      <c r="Q11" s="114"/>
      <c r="R11" s="72" t="s">
        <v>1198</v>
      </c>
      <c r="S11" s="27" t="s">
        <v>4816</v>
      </c>
      <c r="T11" s="72" t="s">
        <v>4817</v>
      </c>
      <c r="U11" s="159" t="s">
        <v>4760</v>
      </c>
      <c r="V11" s="90" t="s">
        <v>4818</v>
      </c>
      <c r="W11" s="27" t="s">
        <v>4819</v>
      </c>
      <c r="X11" s="27" t="s">
        <v>4820</v>
      </c>
      <c r="Y11" s="27" t="s">
        <v>4821</v>
      </c>
    </row>
    <row r="12" ht="15.0" customHeight="1">
      <c r="A12" s="117" t="s">
        <v>261</v>
      </c>
      <c r="B12" s="159" t="s">
        <v>2119</v>
      </c>
      <c r="C12" s="159" t="s">
        <v>2120</v>
      </c>
      <c r="D12" s="72" t="s">
        <v>4691</v>
      </c>
      <c r="E12" s="27" t="s">
        <v>4822</v>
      </c>
      <c r="F12" s="72" t="s">
        <v>4823</v>
      </c>
      <c r="G12" s="72" t="s">
        <v>1110</v>
      </c>
      <c r="H12" s="72" t="s">
        <v>559</v>
      </c>
      <c r="I12" s="27" t="s">
        <v>4824</v>
      </c>
      <c r="J12" s="72" t="s">
        <v>4825</v>
      </c>
      <c r="K12" s="27" t="s">
        <v>4826</v>
      </c>
      <c r="L12" s="27" t="s">
        <v>4827</v>
      </c>
      <c r="M12" s="27" t="s">
        <v>2122</v>
      </c>
      <c r="N12" s="27" t="s">
        <v>4828</v>
      </c>
      <c r="O12" s="72" t="s">
        <v>1198</v>
      </c>
      <c r="P12" s="114"/>
      <c r="Q12" s="114"/>
      <c r="R12" s="72" t="s">
        <v>1198</v>
      </c>
      <c r="S12" s="27" t="s">
        <v>4829</v>
      </c>
      <c r="T12" s="72" t="s">
        <v>1022</v>
      </c>
      <c r="U12" s="159" t="s">
        <v>4760</v>
      </c>
      <c r="V12" s="90" t="s">
        <v>4830</v>
      </c>
      <c r="W12" s="27" t="s">
        <v>4831</v>
      </c>
      <c r="X12" s="27" t="s">
        <v>4832</v>
      </c>
      <c r="Y12" s="27" t="s">
        <v>4833</v>
      </c>
    </row>
    <row r="13" ht="15.0" customHeight="1">
      <c r="A13" s="117" t="s">
        <v>261</v>
      </c>
      <c r="B13" s="159" t="s">
        <v>4834</v>
      </c>
      <c r="C13" s="426" t="s">
        <v>2402</v>
      </c>
      <c r="D13" s="72" t="s">
        <v>4691</v>
      </c>
      <c r="E13" s="27" t="s">
        <v>4835</v>
      </c>
      <c r="F13" s="27" t="s">
        <v>4836</v>
      </c>
      <c r="G13" s="27" t="s">
        <v>4837</v>
      </c>
      <c r="H13" s="72" t="s">
        <v>49</v>
      </c>
      <c r="I13" s="27" t="s">
        <v>4838</v>
      </c>
      <c r="J13" s="27" t="s">
        <v>4839</v>
      </c>
      <c r="K13" s="27" t="s">
        <v>4840</v>
      </c>
      <c r="L13" s="27" t="s">
        <v>4841</v>
      </c>
      <c r="M13" s="27" t="s">
        <v>4842</v>
      </c>
      <c r="N13" s="27" t="s">
        <v>4843</v>
      </c>
      <c r="O13" s="72" t="s">
        <v>1198</v>
      </c>
      <c r="P13" s="114"/>
      <c r="Q13" s="114"/>
      <c r="R13" s="72" t="s">
        <v>1198</v>
      </c>
      <c r="S13" s="27" t="s">
        <v>4844</v>
      </c>
      <c r="T13" s="72" t="s">
        <v>2641</v>
      </c>
      <c r="U13" s="159" t="s">
        <v>4760</v>
      </c>
      <c r="V13" s="26" t="s">
        <v>2259</v>
      </c>
      <c r="W13" s="27" t="s">
        <v>3828</v>
      </c>
      <c r="X13" s="27" t="s">
        <v>4845</v>
      </c>
      <c r="Y13" s="27" t="s">
        <v>4846</v>
      </c>
    </row>
    <row r="14" ht="15.75" customHeight="1">
      <c r="A14" s="117" t="s">
        <v>261</v>
      </c>
      <c r="B14" s="159" t="s">
        <v>4847</v>
      </c>
      <c r="C14" s="426" t="s">
        <v>2473</v>
      </c>
      <c r="D14" s="72" t="s">
        <v>4691</v>
      </c>
      <c r="E14" s="90" t="s">
        <v>2474</v>
      </c>
      <c r="F14" s="26" t="s">
        <v>4848</v>
      </c>
      <c r="G14" s="72" t="s">
        <v>4849</v>
      </c>
      <c r="H14" s="72" t="s">
        <v>49</v>
      </c>
      <c r="I14" s="90" t="s">
        <v>4850</v>
      </c>
      <c r="J14" s="90" t="s">
        <v>4851</v>
      </c>
      <c r="K14" s="27" t="s">
        <v>4852</v>
      </c>
      <c r="L14" s="90" t="s">
        <v>4853</v>
      </c>
      <c r="M14" s="90" t="s">
        <v>4854</v>
      </c>
      <c r="N14" s="90" t="s">
        <v>4855</v>
      </c>
      <c r="O14" s="72" t="s">
        <v>1437</v>
      </c>
      <c r="P14" s="27" t="s">
        <v>4856</v>
      </c>
      <c r="Q14" s="27" t="s">
        <v>4857</v>
      </c>
      <c r="R14" s="72" t="s">
        <v>1437</v>
      </c>
      <c r="S14" s="90" t="s">
        <v>4858</v>
      </c>
      <c r="T14" s="72" t="s">
        <v>4859</v>
      </c>
      <c r="U14" s="159" t="s">
        <v>4760</v>
      </c>
      <c r="V14" s="90" t="s">
        <v>4860</v>
      </c>
      <c r="W14" s="72" t="s">
        <v>4861</v>
      </c>
      <c r="X14" s="90" t="s">
        <v>4862</v>
      </c>
      <c r="Y14" s="90" t="s">
        <v>4863</v>
      </c>
    </row>
    <row r="15" ht="17.25" customHeight="1">
      <c r="A15" s="117" t="s">
        <v>261</v>
      </c>
      <c r="B15" s="159" t="s">
        <v>4864</v>
      </c>
      <c r="C15" s="426" t="s">
        <v>2475</v>
      </c>
      <c r="D15" s="114"/>
      <c r="E15" s="114"/>
      <c r="F15" s="114"/>
      <c r="G15" s="114"/>
      <c r="H15" s="114"/>
      <c r="I15" s="114"/>
      <c r="J15" s="114"/>
      <c r="K15" s="114"/>
      <c r="L15" s="114"/>
      <c r="M15" s="114"/>
      <c r="N15" s="114"/>
      <c r="O15" s="72" t="s">
        <v>1437</v>
      </c>
      <c r="P15" s="90" t="s">
        <v>4865</v>
      </c>
      <c r="Q15" s="90" t="s">
        <v>4866</v>
      </c>
      <c r="R15" s="72" t="s">
        <v>1437</v>
      </c>
      <c r="S15" s="114"/>
      <c r="T15" s="114"/>
      <c r="U15" s="159" t="s">
        <v>4760</v>
      </c>
      <c r="V15" s="114"/>
      <c r="W15" s="114"/>
      <c r="X15" s="114"/>
      <c r="Y15" s="114"/>
    </row>
    <row r="16" ht="16.5" customHeight="1">
      <c r="A16" s="117" t="s">
        <v>261</v>
      </c>
      <c r="B16" s="159" t="s">
        <v>4867</v>
      </c>
      <c r="C16" s="426" t="s">
        <v>2476</v>
      </c>
      <c r="D16" s="72" t="s">
        <v>4706</v>
      </c>
      <c r="E16" s="90" t="s">
        <v>2477</v>
      </c>
      <c r="F16" s="27" t="s">
        <v>4868</v>
      </c>
      <c r="G16" s="27" t="s">
        <v>4869</v>
      </c>
      <c r="H16" s="72" t="s">
        <v>49</v>
      </c>
      <c r="I16" s="27" t="s">
        <v>4870</v>
      </c>
      <c r="J16" s="27" t="s">
        <v>4871</v>
      </c>
      <c r="K16" s="27" t="s">
        <v>4872</v>
      </c>
      <c r="L16" s="27" t="s">
        <v>4873</v>
      </c>
      <c r="M16" s="27" t="s">
        <v>4874</v>
      </c>
      <c r="N16" s="27" t="s">
        <v>4875</v>
      </c>
      <c r="O16" s="72" t="s">
        <v>1437</v>
      </c>
      <c r="P16" s="27" t="s">
        <v>4876</v>
      </c>
      <c r="Q16" s="72" t="s">
        <v>4877</v>
      </c>
      <c r="R16" s="72" t="s">
        <v>1437</v>
      </c>
      <c r="S16" s="27" t="s">
        <v>4878</v>
      </c>
      <c r="T16" s="72" t="s">
        <v>4879</v>
      </c>
      <c r="U16" s="159" t="s">
        <v>4760</v>
      </c>
      <c r="V16" s="72" t="s">
        <v>4880</v>
      </c>
      <c r="W16" s="27" t="s">
        <v>4881</v>
      </c>
      <c r="X16" s="90" t="s">
        <v>4882</v>
      </c>
      <c r="Y16" s="27" t="s">
        <v>4883</v>
      </c>
    </row>
    <row r="17" ht="14.25" customHeight="1">
      <c r="A17" s="117" t="s">
        <v>261</v>
      </c>
      <c r="B17" s="159" t="s">
        <v>4884</v>
      </c>
      <c r="C17" s="426" t="s">
        <v>2556</v>
      </c>
      <c r="D17" s="72" t="s">
        <v>4691</v>
      </c>
      <c r="E17" s="27" t="s">
        <v>4885</v>
      </c>
      <c r="F17" s="26" t="s">
        <v>4886</v>
      </c>
      <c r="G17" s="27" t="s">
        <v>4887</v>
      </c>
      <c r="H17" s="72" t="s">
        <v>559</v>
      </c>
      <c r="I17" s="27" t="s">
        <v>4888</v>
      </c>
      <c r="J17" s="27" t="s">
        <v>4889</v>
      </c>
      <c r="K17" s="27" t="s">
        <v>4890</v>
      </c>
      <c r="L17" s="27" t="s">
        <v>4891</v>
      </c>
      <c r="M17" s="27" t="s">
        <v>4892</v>
      </c>
      <c r="N17" s="27" t="s">
        <v>4893</v>
      </c>
      <c r="O17" s="72" t="s">
        <v>4409</v>
      </c>
      <c r="P17" s="114"/>
      <c r="Q17" s="114"/>
      <c r="R17" s="72" t="s">
        <v>4409</v>
      </c>
      <c r="S17" s="27" t="s">
        <v>4894</v>
      </c>
      <c r="T17" s="72" t="s">
        <v>1733</v>
      </c>
      <c r="U17" s="159" t="s">
        <v>4760</v>
      </c>
      <c r="V17" s="27" t="s">
        <v>4895</v>
      </c>
      <c r="W17" s="27" t="s">
        <v>4896</v>
      </c>
      <c r="X17" s="27" t="s">
        <v>4897</v>
      </c>
      <c r="Y17" s="27" t="s">
        <v>4898</v>
      </c>
    </row>
    <row r="18" ht="13.5" customHeight="1">
      <c r="A18" s="117" t="s">
        <v>261</v>
      </c>
      <c r="B18" s="159" t="s">
        <v>4899</v>
      </c>
      <c r="C18" s="426" t="s">
        <v>2478</v>
      </c>
      <c r="D18" s="72" t="s">
        <v>4706</v>
      </c>
      <c r="E18" s="27" t="s">
        <v>2479</v>
      </c>
      <c r="F18" s="27" t="s">
        <v>4900</v>
      </c>
      <c r="G18" s="26" t="s">
        <v>1346</v>
      </c>
      <c r="H18" s="72" t="s">
        <v>49</v>
      </c>
      <c r="I18" s="27" t="s">
        <v>4901</v>
      </c>
      <c r="J18" s="90" t="s">
        <v>4902</v>
      </c>
      <c r="K18" s="27" t="s">
        <v>4903</v>
      </c>
      <c r="L18" s="27" t="s">
        <v>4904</v>
      </c>
      <c r="M18" s="27" t="s">
        <v>4905</v>
      </c>
      <c r="N18" s="27" t="s">
        <v>4906</v>
      </c>
      <c r="O18" s="72" t="s">
        <v>1437</v>
      </c>
      <c r="P18" s="27" t="s">
        <v>4907</v>
      </c>
      <c r="Q18" s="27" t="s">
        <v>4908</v>
      </c>
      <c r="R18" s="72" t="s">
        <v>1437</v>
      </c>
      <c r="S18" s="27" t="s">
        <v>4909</v>
      </c>
      <c r="T18" s="72" t="s">
        <v>4910</v>
      </c>
      <c r="U18" s="159" t="s">
        <v>4760</v>
      </c>
      <c r="V18" s="27" t="s">
        <v>4911</v>
      </c>
      <c r="W18" s="27" t="s">
        <v>4912</v>
      </c>
      <c r="X18" s="27" t="s">
        <v>4913</v>
      </c>
      <c r="Y18" s="27" t="s">
        <v>4914</v>
      </c>
    </row>
    <row r="19" ht="12.75" customHeight="1">
      <c r="A19" s="117" t="s">
        <v>261</v>
      </c>
      <c r="B19" s="159" t="s">
        <v>4915</v>
      </c>
      <c r="C19" s="426" t="s">
        <v>2480</v>
      </c>
      <c r="D19" s="72" t="s">
        <v>4691</v>
      </c>
      <c r="E19" s="26" t="s">
        <v>2481</v>
      </c>
      <c r="F19" s="26" t="s">
        <v>4916</v>
      </c>
      <c r="G19" s="72" t="s">
        <v>4917</v>
      </c>
      <c r="H19" s="90" t="s">
        <v>4918</v>
      </c>
      <c r="I19" s="27" t="s">
        <v>4919</v>
      </c>
      <c r="J19" s="27" t="s">
        <v>4920</v>
      </c>
      <c r="K19" s="27" t="s">
        <v>4921</v>
      </c>
      <c r="L19" s="27" t="s">
        <v>4922</v>
      </c>
      <c r="M19" s="72" t="s">
        <v>4923</v>
      </c>
      <c r="N19" s="27" t="s">
        <v>4924</v>
      </c>
      <c r="O19" s="72" t="s">
        <v>1437</v>
      </c>
      <c r="P19" s="27" t="s">
        <v>4925</v>
      </c>
      <c r="Q19" s="27" t="s">
        <v>4926</v>
      </c>
      <c r="R19" s="72" t="s">
        <v>1437</v>
      </c>
      <c r="S19" s="27" t="s">
        <v>4927</v>
      </c>
      <c r="T19" s="72" t="s">
        <v>4928</v>
      </c>
      <c r="U19" s="159" t="s">
        <v>4760</v>
      </c>
      <c r="V19" s="90" t="s">
        <v>4929</v>
      </c>
      <c r="W19" s="27" t="s">
        <v>4930</v>
      </c>
      <c r="X19" s="27" t="s">
        <v>4931</v>
      </c>
      <c r="Y19" s="26" t="s">
        <v>4932</v>
      </c>
    </row>
    <row r="20" ht="15.75" customHeight="1">
      <c r="A20" s="117" t="s">
        <v>261</v>
      </c>
      <c r="B20" s="159" t="s">
        <v>4933</v>
      </c>
      <c r="C20" s="426" t="s">
        <v>2482</v>
      </c>
      <c r="D20" s="72" t="s">
        <v>4706</v>
      </c>
      <c r="E20" s="27" t="s">
        <v>2483</v>
      </c>
      <c r="F20" s="27" t="s">
        <v>4934</v>
      </c>
      <c r="G20" s="27" t="s">
        <v>4935</v>
      </c>
      <c r="H20" s="72" t="s">
        <v>49</v>
      </c>
      <c r="I20" s="27" t="s">
        <v>4936</v>
      </c>
      <c r="J20" s="27" t="s">
        <v>4937</v>
      </c>
      <c r="K20" s="27" t="s">
        <v>4938</v>
      </c>
      <c r="L20" s="27" t="s">
        <v>4939</v>
      </c>
      <c r="M20" s="90" t="s">
        <v>4892</v>
      </c>
      <c r="N20" s="27" t="s">
        <v>4940</v>
      </c>
      <c r="O20" s="72" t="s">
        <v>1437</v>
      </c>
      <c r="P20" s="27" t="s">
        <v>4941</v>
      </c>
      <c r="Q20" s="27" t="s">
        <v>4942</v>
      </c>
      <c r="R20" s="72" t="s">
        <v>1437</v>
      </c>
      <c r="S20" s="27" t="s">
        <v>4943</v>
      </c>
      <c r="T20" s="72" t="s">
        <v>4436</v>
      </c>
      <c r="U20" s="159" t="s">
        <v>4760</v>
      </c>
      <c r="V20" s="27" t="s">
        <v>4944</v>
      </c>
      <c r="W20" s="27" t="s">
        <v>4945</v>
      </c>
      <c r="X20" s="27" t="s">
        <v>4946</v>
      </c>
      <c r="Y20" s="27" t="s">
        <v>4947</v>
      </c>
    </row>
    <row r="21">
      <c r="A21" s="117" t="s">
        <v>261</v>
      </c>
      <c r="B21" s="159" t="s">
        <v>4948</v>
      </c>
      <c r="C21" s="426" t="s">
        <v>2403</v>
      </c>
      <c r="D21" s="114"/>
      <c r="E21" s="114"/>
      <c r="F21" s="114"/>
      <c r="G21" s="114"/>
      <c r="H21" s="114"/>
      <c r="I21" s="114"/>
      <c r="J21" s="114"/>
      <c r="K21" s="114"/>
      <c r="L21" s="114"/>
      <c r="M21" s="114"/>
      <c r="N21" s="114"/>
      <c r="O21" s="72" t="s">
        <v>4721</v>
      </c>
      <c r="P21" s="114"/>
      <c r="Q21" s="114"/>
      <c r="R21" s="72" t="s">
        <v>1198</v>
      </c>
      <c r="S21" s="114"/>
      <c r="T21" s="114"/>
      <c r="U21" s="159" t="s">
        <v>4760</v>
      </c>
      <c r="V21" s="114"/>
      <c r="W21" s="114"/>
      <c r="X21" s="114"/>
      <c r="Y21" s="114"/>
    </row>
    <row r="22" ht="15.0" customHeight="1">
      <c r="A22" s="117" t="s">
        <v>261</v>
      </c>
      <c r="B22" s="159" t="s">
        <v>2127</v>
      </c>
      <c r="C22" s="159" t="s">
        <v>2128</v>
      </c>
      <c r="D22" s="72" t="s">
        <v>4691</v>
      </c>
      <c r="E22" s="27" t="s">
        <v>4949</v>
      </c>
      <c r="F22" s="27" t="s">
        <v>4950</v>
      </c>
      <c r="G22" s="27" t="s">
        <v>4951</v>
      </c>
      <c r="H22" s="72" t="s">
        <v>559</v>
      </c>
      <c r="I22" s="27" t="s">
        <v>4952</v>
      </c>
      <c r="J22" s="27" t="s">
        <v>4953</v>
      </c>
      <c r="K22" s="27" t="s">
        <v>4954</v>
      </c>
      <c r="L22" s="27" t="s">
        <v>4955</v>
      </c>
      <c r="M22" s="90" t="s">
        <v>2130</v>
      </c>
      <c r="N22" s="27" t="s">
        <v>4956</v>
      </c>
      <c r="O22" s="72" t="s">
        <v>1198</v>
      </c>
      <c r="P22" s="114"/>
      <c r="Q22" s="114"/>
      <c r="R22" s="72" t="s">
        <v>1198</v>
      </c>
      <c r="S22" s="27" t="s">
        <v>4957</v>
      </c>
      <c r="T22" s="72" t="s">
        <v>4436</v>
      </c>
      <c r="U22" s="159" t="s">
        <v>4760</v>
      </c>
      <c r="V22" s="90" t="s">
        <v>4958</v>
      </c>
      <c r="W22" s="27" t="s">
        <v>4959</v>
      </c>
      <c r="X22" s="27" t="s">
        <v>4960</v>
      </c>
      <c r="Y22" s="27" t="s">
        <v>4961</v>
      </c>
    </row>
    <row r="23" ht="15.75" customHeight="1">
      <c r="A23" s="117" t="s">
        <v>261</v>
      </c>
      <c r="B23" s="159" t="s">
        <v>4962</v>
      </c>
      <c r="C23" s="426" t="s">
        <v>2566</v>
      </c>
      <c r="D23" s="72" t="s">
        <v>4691</v>
      </c>
      <c r="E23" s="27" t="s">
        <v>4963</v>
      </c>
      <c r="F23" s="27" t="s">
        <v>4964</v>
      </c>
      <c r="G23" s="27" t="s">
        <v>4965</v>
      </c>
      <c r="H23" s="72" t="s">
        <v>49</v>
      </c>
      <c r="I23" s="27" t="s">
        <v>4966</v>
      </c>
      <c r="J23" s="27" t="s">
        <v>4967</v>
      </c>
      <c r="K23" s="27" t="s">
        <v>4968</v>
      </c>
      <c r="L23" s="27" t="s">
        <v>4969</v>
      </c>
      <c r="M23" s="27" t="s">
        <v>4970</v>
      </c>
      <c r="N23" s="27" t="s">
        <v>4971</v>
      </c>
      <c r="O23" s="72" t="s">
        <v>1198</v>
      </c>
      <c r="P23" s="114"/>
      <c r="Q23" s="114"/>
      <c r="R23" s="72" t="s">
        <v>1198</v>
      </c>
      <c r="S23" s="27" t="s">
        <v>4972</v>
      </c>
      <c r="T23" s="72" t="s">
        <v>4436</v>
      </c>
      <c r="U23" s="159" t="s">
        <v>4760</v>
      </c>
      <c r="V23" s="27" t="s">
        <v>4973</v>
      </c>
      <c r="W23" s="27" t="s">
        <v>4974</v>
      </c>
      <c r="X23" s="27" t="s">
        <v>4975</v>
      </c>
      <c r="Y23" s="27" t="s">
        <v>4976</v>
      </c>
    </row>
    <row r="24" ht="13.5" customHeight="1">
      <c r="A24" s="117" t="s">
        <v>261</v>
      </c>
      <c r="B24" s="159" t="s">
        <v>2134</v>
      </c>
      <c r="C24" s="159" t="s">
        <v>2135</v>
      </c>
      <c r="D24" s="72" t="s">
        <v>4691</v>
      </c>
      <c r="E24" s="27" t="s">
        <v>4977</v>
      </c>
      <c r="F24" s="27" t="s">
        <v>4978</v>
      </c>
      <c r="G24" s="27" t="s">
        <v>4979</v>
      </c>
      <c r="H24" s="72" t="s">
        <v>559</v>
      </c>
      <c r="I24" s="27" t="s">
        <v>4980</v>
      </c>
      <c r="J24" s="27" t="s">
        <v>4981</v>
      </c>
      <c r="K24" s="27" t="s">
        <v>4982</v>
      </c>
      <c r="L24" s="27" t="s">
        <v>4983</v>
      </c>
      <c r="M24" s="27" t="s">
        <v>2137</v>
      </c>
      <c r="N24" s="27" t="s">
        <v>4984</v>
      </c>
      <c r="O24" s="72" t="s">
        <v>4409</v>
      </c>
      <c r="P24" s="114"/>
      <c r="Q24" s="114"/>
      <c r="R24" s="72" t="s">
        <v>4409</v>
      </c>
      <c r="S24" s="27" t="s">
        <v>4985</v>
      </c>
      <c r="T24" s="72" t="s">
        <v>1323</v>
      </c>
      <c r="U24" s="159" t="s">
        <v>4760</v>
      </c>
      <c r="V24" s="27" t="s">
        <v>4986</v>
      </c>
      <c r="W24" s="27" t="s">
        <v>4987</v>
      </c>
      <c r="X24" s="27" t="s">
        <v>4988</v>
      </c>
      <c r="Y24" s="27" t="s">
        <v>4989</v>
      </c>
    </row>
    <row r="25" ht="15.75" customHeight="1">
      <c r="A25" s="117" t="s">
        <v>261</v>
      </c>
      <c r="B25" s="159" t="s">
        <v>4990</v>
      </c>
      <c r="C25" s="426" t="s">
        <v>2405</v>
      </c>
      <c r="D25" s="72" t="s">
        <v>4691</v>
      </c>
      <c r="E25" s="27" t="s">
        <v>4991</v>
      </c>
      <c r="F25" s="27" t="s">
        <v>4992</v>
      </c>
      <c r="G25" s="27" t="s">
        <v>4993</v>
      </c>
      <c r="H25" s="72" t="s">
        <v>49</v>
      </c>
      <c r="I25" s="27" t="s">
        <v>4994</v>
      </c>
      <c r="J25" s="27" t="s">
        <v>4995</v>
      </c>
      <c r="K25" s="27" t="s">
        <v>4996</v>
      </c>
      <c r="L25" s="27" t="s">
        <v>4997</v>
      </c>
      <c r="M25" s="27" t="s">
        <v>4998</v>
      </c>
      <c r="N25" s="27" t="s">
        <v>4999</v>
      </c>
      <c r="O25" s="72" t="s">
        <v>930</v>
      </c>
      <c r="P25" s="114"/>
      <c r="Q25" s="114"/>
      <c r="R25" s="72" t="s">
        <v>1198</v>
      </c>
      <c r="S25" s="27" t="s">
        <v>5000</v>
      </c>
      <c r="T25" s="27" t="s">
        <v>5001</v>
      </c>
      <c r="U25" s="159" t="s">
        <v>4760</v>
      </c>
      <c r="V25" s="27" t="s">
        <v>5002</v>
      </c>
      <c r="W25" s="27" t="s">
        <v>5003</v>
      </c>
      <c r="X25" s="27" t="s">
        <v>5004</v>
      </c>
      <c r="Y25" s="27" t="s">
        <v>5005</v>
      </c>
    </row>
    <row r="26" ht="15.0" customHeight="1">
      <c r="A26" s="117" t="s">
        <v>261</v>
      </c>
      <c r="B26" s="159" t="s">
        <v>5006</v>
      </c>
      <c r="C26" s="426" t="s">
        <v>2560</v>
      </c>
      <c r="D26" s="72" t="s">
        <v>4691</v>
      </c>
      <c r="E26" s="27" t="s">
        <v>5007</v>
      </c>
      <c r="F26" s="27" t="s">
        <v>2564</v>
      </c>
      <c r="G26" s="27" t="s">
        <v>2563</v>
      </c>
      <c r="H26" s="72" t="s">
        <v>559</v>
      </c>
      <c r="I26" s="27" t="s">
        <v>5008</v>
      </c>
      <c r="J26" s="27" t="s">
        <v>5009</v>
      </c>
      <c r="K26" s="27" t="s">
        <v>5010</v>
      </c>
      <c r="L26" s="27" t="s">
        <v>5011</v>
      </c>
      <c r="M26" s="27" t="s">
        <v>2562</v>
      </c>
      <c r="N26" s="27" t="s">
        <v>5012</v>
      </c>
      <c r="O26" s="72" t="s">
        <v>1198</v>
      </c>
      <c r="P26" s="114"/>
      <c r="Q26" s="114"/>
      <c r="R26" s="72" t="s">
        <v>1198</v>
      </c>
      <c r="S26" s="27" t="s">
        <v>5013</v>
      </c>
      <c r="T26" s="72" t="s">
        <v>2565</v>
      </c>
      <c r="U26" s="159" t="s">
        <v>4760</v>
      </c>
      <c r="V26" s="90" t="s">
        <v>5014</v>
      </c>
      <c r="W26" s="27" t="s">
        <v>5015</v>
      </c>
      <c r="X26" s="27" t="s">
        <v>5016</v>
      </c>
      <c r="Y26" s="27" t="s">
        <v>5017</v>
      </c>
    </row>
    <row r="27" ht="15.0" customHeight="1">
      <c r="A27" s="117" t="s">
        <v>261</v>
      </c>
      <c r="B27" s="159" t="s">
        <v>5018</v>
      </c>
      <c r="C27" s="426" t="s">
        <v>2554</v>
      </c>
      <c r="D27" s="72" t="s">
        <v>4691</v>
      </c>
      <c r="E27" s="27" t="s">
        <v>5019</v>
      </c>
      <c r="F27" s="27" t="s">
        <v>5020</v>
      </c>
      <c r="G27" s="90" t="s">
        <v>5021</v>
      </c>
      <c r="H27" s="72" t="s">
        <v>559</v>
      </c>
      <c r="I27" s="27" t="s">
        <v>5022</v>
      </c>
      <c r="J27" s="27" t="s">
        <v>5023</v>
      </c>
      <c r="K27" s="27" t="s">
        <v>5024</v>
      </c>
      <c r="L27" s="27" t="s">
        <v>5025</v>
      </c>
      <c r="M27" s="27" t="s">
        <v>5026</v>
      </c>
      <c r="N27" s="27" t="s">
        <v>5027</v>
      </c>
      <c r="O27" s="72" t="s">
        <v>1198</v>
      </c>
      <c r="P27" s="114"/>
      <c r="Q27" s="114"/>
      <c r="R27" s="72" t="s">
        <v>1198</v>
      </c>
      <c r="S27" s="27" t="s">
        <v>5028</v>
      </c>
      <c r="T27" s="72" t="s">
        <v>5029</v>
      </c>
      <c r="U27" s="159" t="s">
        <v>4760</v>
      </c>
      <c r="V27" s="72" t="s">
        <v>1028</v>
      </c>
      <c r="W27" s="27" t="s">
        <v>5030</v>
      </c>
      <c r="X27" s="27" t="s">
        <v>5031</v>
      </c>
      <c r="Y27" s="27" t="s">
        <v>5032</v>
      </c>
    </row>
    <row r="28" ht="15.0" customHeight="1">
      <c r="A28" s="117" t="s">
        <v>261</v>
      </c>
      <c r="B28" s="159" t="s">
        <v>2141</v>
      </c>
      <c r="C28" s="159" t="s">
        <v>2142</v>
      </c>
      <c r="D28" s="72" t="s">
        <v>4691</v>
      </c>
      <c r="E28" s="27" t="s">
        <v>5033</v>
      </c>
      <c r="F28" s="27" t="s">
        <v>5034</v>
      </c>
      <c r="G28" s="27" t="s">
        <v>2145</v>
      </c>
      <c r="H28" s="72" t="s">
        <v>49</v>
      </c>
      <c r="I28" s="27" t="s">
        <v>5035</v>
      </c>
      <c r="J28" s="27" t="s">
        <v>5036</v>
      </c>
      <c r="K28" s="27" t="s">
        <v>5037</v>
      </c>
      <c r="L28" s="27" t="s">
        <v>5038</v>
      </c>
      <c r="M28" s="27" t="s">
        <v>2144</v>
      </c>
      <c r="N28" s="27" t="s">
        <v>5039</v>
      </c>
      <c r="O28" s="72" t="s">
        <v>1198</v>
      </c>
      <c r="P28" s="114"/>
      <c r="Q28" s="114"/>
      <c r="R28" s="72" t="s">
        <v>1198</v>
      </c>
      <c r="S28" s="27" t="s">
        <v>5040</v>
      </c>
      <c r="T28" s="72" t="s">
        <v>4928</v>
      </c>
      <c r="U28" s="159" t="s">
        <v>4760</v>
      </c>
      <c r="V28" s="27" t="s">
        <v>5041</v>
      </c>
      <c r="W28" s="27" t="s">
        <v>5042</v>
      </c>
      <c r="X28" s="27" t="s">
        <v>5043</v>
      </c>
      <c r="Y28" s="27" t="s">
        <v>5044</v>
      </c>
    </row>
    <row r="29" ht="15.0" customHeight="1">
      <c r="A29" s="117" t="s">
        <v>261</v>
      </c>
      <c r="B29" s="159" t="s">
        <v>5045</v>
      </c>
      <c r="C29" s="426" t="s">
        <v>2484</v>
      </c>
      <c r="D29" s="72" t="s">
        <v>4706</v>
      </c>
      <c r="E29" s="27" t="s">
        <v>5046</v>
      </c>
      <c r="F29" s="114"/>
      <c r="G29" s="114"/>
      <c r="H29" s="72" t="s">
        <v>559</v>
      </c>
      <c r="I29" s="27" t="s">
        <v>5047</v>
      </c>
      <c r="J29" s="27" t="s">
        <v>5048</v>
      </c>
      <c r="K29" s="27" t="s">
        <v>5049</v>
      </c>
      <c r="L29" s="27" t="s">
        <v>5050</v>
      </c>
      <c r="M29" s="114"/>
      <c r="N29" s="114"/>
      <c r="O29" s="72" t="s">
        <v>1437</v>
      </c>
      <c r="P29" s="27" t="s">
        <v>5051</v>
      </c>
      <c r="Q29" s="27" t="s">
        <v>5052</v>
      </c>
      <c r="R29" s="72" t="s">
        <v>1437</v>
      </c>
      <c r="S29" s="27" t="s">
        <v>5053</v>
      </c>
      <c r="T29" s="114"/>
      <c r="U29" s="159" t="s">
        <v>4760</v>
      </c>
      <c r="V29" s="114"/>
      <c r="W29" s="114"/>
      <c r="X29" s="114"/>
      <c r="Y29" s="114"/>
    </row>
    <row r="30" ht="15.0" customHeight="1">
      <c r="A30" s="117" t="s">
        <v>261</v>
      </c>
      <c r="B30" s="159" t="s">
        <v>2150</v>
      </c>
      <c r="C30" s="159" t="s">
        <v>2151</v>
      </c>
      <c r="D30" s="72" t="s">
        <v>4691</v>
      </c>
      <c r="E30" s="27" t="s">
        <v>5054</v>
      </c>
      <c r="F30" s="26" t="s">
        <v>5055</v>
      </c>
      <c r="G30" s="26" t="s">
        <v>1103</v>
      </c>
      <c r="H30" s="72" t="s">
        <v>49</v>
      </c>
      <c r="I30" s="27" t="s">
        <v>5056</v>
      </c>
      <c r="J30" s="27" t="s">
        <v>5057</v>
      </c>
      <c r="K30" s="27" t="s">
        <v>5058</v>
      </c>
      <c r="L30" s="27" t="s">
        <v>5059</v>
      </c>
      <c r="M30" s="27" t="s">
        <v>2153</v>
      </c>
      <c r="N30" s="27" t="s">
        <v>5060</v>
      </c>
      <c r="O30" s="72" t="s">
        <v>1198</v>
      </c>
      <c r="P30" s="114"/>
      <c r="Q30" s="114"/>
      <c r="R30" s="72" t="s">
        <v>1198</v>
      </c>
      <c r="S30" s="27" t="s">
        <v>5061</v>
      </c>
      <c r="T30" s="72" t="s">
        <v>4436</v>
      </c>
      <c r="U30" s="159" t="s">
        <v>4760</v>
      </c>
      <c r="V30" s="27" t="s">
        <v>5062</v>
      </c>
      <c r="W30" s="27" t="s">
        <v>5063</v>
      </c>
      <c r="X30" s="27" t="s">
        <v>5064</v>
      </c>
      <c r="Y30" s="27" t="s">
        <v>5065</v>
      </c>
    </row>
    <row r="31" ht="17.25" customHeight="1">
      <c r="A31" s="117" t="s">
        <v>261</v>
      </c>
      <c r="B31" s="159" t="s">
        <v>2157</v>
      </c>
      <c r="C31" s="159" t="s">
        <v>2158</v>
      </c>
      <c r="D31" s="72" t="s">
        <v>4691</v>
      </c>
      <c r="E31" s="27" t="s">
        <v>5066</v>
      </c>
      <c r="F31" s="26" t="s">
        <v>5067</v>
      </c>
      <c r="G31" s="26" t="s">
        <v>5068</v>
      </c>
      <c r="H31" s="72" t="s">
        <v>49</v>
      </c>
      <c r="I31" s="27" t="s">
        <v>5069</v>
      </c>
      <c r="J31" s="26" t="s">
        <v>5070</v>
      </c>
      <c r="K31" s="27" t="s">
        <v>5071</v>
      </c>
      <c r="L31" s="27" t="s">
        <v>5072</v>
      </c>
      <c r="M31" s="27" t="s">
        <v>2160</v>
      </c>
      <c r="N31" s="27" t="s">
        <v>5073</v>
      </c>
      <c r="O31" s="72" t="s">
        <v>4409</v>
      </c>
      <c r="P31" s="114"/>
      <c r="Q31" s="114"/>
      <c r="R31" s="72" t="s">
        <v>1198</v>
      </c>
      <c r="S31" s="27" t="s">
        <v>5074</v>
      </c>
      <c r="T31" s="72" t="s">
        <v>1377</v>
      </c>
      <c r="U31" s="159" t="s">
        <v>4760</v>
      </c>
      <c r="V31" s="27" t="s">
        <v>4804</v>
      </c>
      <c r="W31" s="27" t="s">
        <v>5075</v>
      </c>
      <c r="X31" s="27" t="s">
        <v>5076</v>
      </c>
      <c r="Y31" s="27" t="s">
        <v>5077</v>
      </c>
    </row>
    <row r="32" ht="14.25" customHeight="1">
      <c r="A32" s="117" t="s">
        <v>261</v>
      </c>
      <c r="B32" s="159" t="s">
        <v>5078</v>
      </c>
      <c r="C32" s="426" t="s">
        <v>2407</v>
      </c>
      <c r="D32" s="72" t="s">
        <v>4706</v>
      </c>
      <c r="E32" s="27" t="s">
        <v>5079</v>
      </c>
      <c r="F32" s="27" t="s">
        <v>5080</v>
      </c>
      <c r="G32" s="27" t="s">
        <v>5081</v>
      </c>
      <c r="H32" s="72" t="s">
        <v>49</v>
      </c>
      <c r="I32" s="27" t="s">
        <v>5082</v>
      </c>
      <c r="J32" s="26" t="s">
        <v>5083</v>
      </c>
      <c r="K32" s="27" t="s">
        <v>5079</v>
      </c>
      <c r="L32" s="27" t="s">
        <v>5084</v>
      </c>
      <c r="M32" s="27" t="s">
        <v>5085</v>
      </c>
      <c r="N32" s="27" t="s">
        <v>5086</v>
      </c>
      <c r="O32" s="72" t="s">
        <v>1198</v>
      </c>
      <c r="P32" s="114"/>
      <c r="Q32" s="114"/>
      <c r="R32" s="72" t="s">
        <v>1198</v>
      </c>
      <c r="S32" s="27" t="s">
        <v>5087</v>
      </c>
      <c r="T32" s="72" t="s">
        <v>4790</v>
      </c>
      <c r="U32" s="159" t="s">
        <v>4760</v>
      </c>
      <c r="V32" s="27" t="s">
        <v>5088</v>
      </c>
      <c r="W32" s="27" t="s">
        <v>5089</v>
      </c>
      <c r="X32" s="27" t="s">
        <v>5090</v>
      </c>
      <c r="Y32" s="27" t="s">
        <v>5091</v>
      </c>
    </row>
    <row r="33">
      <c r="A33" s="117" t="s">
        <v>93</v>
      </c>
      <c r="B33" s="159" t="s">
        <v>5092</v>
      </c>
      <c r="C33" s="159" t="s">
        <v>2486</v>
      </c>
      <c r="D33" s="114"/>
      <c r="E33" s="114"/>
      <c r="F33" s="114"/>
      <c r="G33" s="114"/>
      <c r="H33" s="114"/>
      <c r="I33" s="114"/>
      <c r="J33" s="114"/>
      <c r="K33" s="114"/>
      <c r="L33" s="114"/>
      <c r="M33" s="114"/>
      <c r="N33" s="114"/>
      <c r="O33" s="114"/>
      <c r="P33" s="72" t="s">
        <v>5093</v>
      </c>
      <c r="Q33" s="114"/>
      <c r="R33" s="114"/>
      <c r="S33" s="114"/>
      <c r="T33" s="114"/>
      <c r="U33" s="159" t="s">
        <v>4760</v>
      </c>
      <c r="V33" s="114"/>
      <c r="W33" s="114"/>
      <c r="X33" s="114"/>
      <c r="Y33" s="114"/>
    </row>
    <row r="34">
      <c r="A34" s="73" t="s">
        <v>93</v>
      </c>
      <c r="B34" s="427" t="s">
        <v>1793</v>
      </c>
      <c r="C34" s="427" t="s">
        <v>1794</v>
      </c>
      <c r="D34" s="114"/>
      <c r="E34" s="114"/>
      <c r="F34" s="114"/>
      <c r="G34" s="72" t="s">
        <v>5094</v>
      </c>
      <c r="H34" s="72" t="s">
        <v>49</v>
      </c>
      <c r="I34" s="72" t="s">
        <v>2168</v>
      </c>
      <c r="J34" s="72" t="s">
        <v>5095</v>
      </c>
      <c r="K34" s="72" t="s">
        <v>5096</v>
      </c>
      <c r="L34" s="114"/>
      <c r="M34" s="72" t="s">
        <v>995</v>
      </c>
      <c r="N34" s="114"/>
      <c r="O34" s="72" t="s">
        <v>930</v>
      </c>
      <c r="P34" s="114"/>
      <c r="Q34" s="114"/>
      <c r="R34" s="72" t="s">
        <v>1198</v>
      </c>
      <c r="S34" s="72" t="s">
        <v>5097</v>
      </c>
      <c r="T34" s="72" t="s">
        <v>1022</v>
      </c>
      <c r="U34" s="159" t="s">
        <v>4760</v>
      </c>
      <c r="V34" s="72" t="s">
        <v>2259</v>
      </c>
      <c r="W34" s="72" t="s">
        <v>5098</v>
      </c>
      <c r="X34" s="72" t="s">
        <v>4832</v>
      </c>
      <c r="Y34" s="114"/>
    </row>
    <row r="35">
      <c r="A35" s="117" t="s">
        <v>93</v>
      </c>
      <c r="B35" s="427" t="s">
        <v>5099</v>
      </c>
      <c r="C35" s="427" t="s">
        <v>2487</v>
      </c>
      <c r="D35" s="114"/>
      <c r="E35" s="114"/>
      <c r="F35" s="114"/>
      <c r="G35" s="114"/>
      <c r="H35" s="114"/>
      <c r="I35" s="114"/>
      <c r="J35" s="114"/>
      <c r="K35" s="114"/>
      <c r="L35" s="114"/>
      <c r="M35" s="114"/>
      <c r="N35" s="114"/>
      <c r="O35" s="72" t="s">
        <v>961</v>
      </c>
      <c r="P35" s="72" t="s">
        <v>5100</v>
      </c>
      <c r="Q35" s="114"/>
      <c r="R35" s="114"/>
      <c r="S35" s="114"/>
      <c r="T35" s="114"/>
      <c r="U35" s="159" t="s">
        <v>4760</v>
      </c>
      <c r="V35" s="114"/>
      <c r="W35" s="114"/>
      <c r="X35" s="114"/>
      <c r="Y35" s="114"/>
    </row>
    <row r="36">
      <c r="A36" s="73" t="s">
        <v>93</v>
      </c>
      <c r="B36" s="427" t="s">
        <v>5101</v>
      </c>
      <c r="C36" s="427" t="s">
        <v>2488</v>
      </c>
      <c r="D36" s="114"/>
      <c r="E36" s="114"/>
      <c r="F36" s="114"/>
      <c r="G36" s="114"/>
      <c r="H36" s="114"/>
      <c r="I36" s="114"/>
      <c r="J36" s="114"/>
      <c r="K36" s="114"/>
      <c r="L36" s="114"/>
      <c r="M36" s="114"/>
      <c r="N36" s="114"/>
      <c r="O36" s="72" t="s">
        <v>961</v>
      </c>
      <c r="P36" s="72" t="s">
        <v>4670</v>
      </c>
      <c r="Q36" s="114"/>
      <c r="R36" s="114"/>
      <c r="S36" s="114"/>
      <c r="T36" s="72" t="s">
        <v>1022</v>
      </c>
      <c r="U36" s="159" t="s">
        <v>4760</v>
      </c>
      <c r="V36" s="114"/>
      <c r="W36" s="114"/>
      <c r="X36" s="114"/>
      <c r="Y36" s="114"/>
    </row>
    <row r="37">
      <c r="A37" s="117" t="s">
        <v>93</v>
      </c>
      <c r="B37" s="427" t="s">
        <v>5102</v>
      </c>
      <c r="C37" s="427" t="s">
        <v>2489</v>
      </c>
      <c r="D37" s="114"/>
      <c r="E37" s="114"/>
      <c r="F37" s="114"/>
      <c r="G37" s="114"/>
      <c r="H37" s="114"/>
      <c r="I37" s="114"/>
      <c r="J37" s="114"/>
      <c r="K37" s="114"/>
      <c r="L37" s="114"/>
      <c r="M37" s="114"/>
      <c r="N37" s="114"/>
      <c r="O37" s="72" t="s">
        <v>961</v>
      </c>
      <c r="P37" s="72" t="s">
        <v>4670</v>
      </c>
      <c r="Q37" s="114"/>
      <c r="R37" s="114"/>
      <c r="S37" s="114"/>
      <c r="T37" s="114"/>
      <c r="U37" s="159" t="s">
        <v>4760</v>
      </c>
      <c r="V37" s="114"/>
      <c r="W37" s="114"/>
      <c r="X37" s="114"/>
      <c r="Y37" s="114"/>
    </row>
    <row r="38">
      <c r="A38" s="73" t="s">
        <v>93</v>
      </c>
      <c r="B38" s="427" t="s">
        <v>5103</v>
      </c>
      <c r="C38" s="427" t="s">
        <v>2490</v>
      </c>
      <c r="D38" s="114"/>
      <c r="E38" s="114"/>
      <c r="F38" s="114"/>
      <c r="G38" s="114"/>
      <c r="H38" s="114"/>
      <c r="I38" s="114"/>
      <c r="J38" s="114"/>
      <c r="K38" s="114"/>
      <c r="L38" s="114"/>
      <c r="M38" s="114"/>
      <c r="N38" s="114"/>
      <c r="O38" s="72" t="s">
        <v>961</v>
      </c>
      <c r="P38" s="72" t="s">
        <v>4670</v>
      </c>
      <c r="Q38" s="114"/>
      <c r="R38" s="114"/>
      <c r="S38" s="114"/>
      <c r="T38" s="114"/>
      <c r="U38" s="159" t="s">
        <v>4760</v>
      </c>
      <c r="V38" s="114"/>
      <c r="W38" s="114"/>
      <c r="X38" s="114"/>
      <c r="Y38" s="114"/>
    </row>
    <row r="39">
      <c r="A39" s="117" t="s">
        <v>93</v>
      </c>
      <c r="B39" s="427" t="s">
        <v>5104</v>
      </c>
      <c r="C39" s="427" t="s">
        <v>2491</v>
      </c>
      <c r="D39" s="114"/>
      <c r="E39" s="114"/>
      <c r="F39" s="114"/>
      <c r="G39" s="114"/>
      <c r="H39" s="114"/>
      <c r="I39" s="114"/>
      <c r="J39" s="114"/>
      <c r="K39" s="114"/>
      <c r="L39" s="114"/>
      <c r="M39" s="114"/>
      <c r="N39" s="114"/>
      <c r="O39" s="72" t="s">
        <v>961</v>
      </c>
      <c r="P39" s="72" t="s">
        <v>4670</v>
      </c>
      <c r="Q39" s="114"/>
      <c r="R39" s="114"/>
      <c r="S39" s="72" t="s">
        <v>5105</v>
      </c>
      <c r="T39" s="114"/>
      <c r="U39" s="159" t="s">
        <v>4760</v>
      </c>
      <c r="V39" s="114"/>
      <c r="W39" s="114"/>
      <c r="X39" s="114"/>
      <c r="Y39" s="114"/>
    </row>
    <row r="40">
      <c r="A40" s="73" t="s">
        <v>93</v>
      </c>
      <c r="B40" s="427" t="s">
        <v>5106</v>
      </c>
      <c r="C40" s="427" t="s">
        <v>1390</v>
      </c>
      <c r="D40" s="114"/>
      <c r="E40" s="114"/>
      <c r="F40" s="114"/>
      <c r="G40" s="114"/>
      <c r="H40" s="114"/>
      <c r="I40" s="114"/>
      <c r="J40" s="114"/>
      <c r="K40" s="114"/>
      <c r="L40" s="114"/>
      <c r="M40" s="114"/>
      <c r="N40" s="114"/>
      <c r="O40" s="72" t="s">
        <v>961</v>
      </c>
      <c r="P40" s="72" t="s">
        <v>4670</v>
      </c>
      <c r="Q40" s="114"/>
      <c r="R40" s="114"/>
      <c r="S40" s="114"/>
      <c r="T40" s="114"/>
      <c r="U40" s="159" t="s">
        <v>4760</v>
      </c>
      <c r="V40" s="114"/>
      <c r="W40" s="114"/>
      <c r="X40" s="114"/>
      <c r="Y40" s="114"/>
    </row>
    <row r="41">
      <c r="A41" s="117" t="s">
        <v>93</v>
      </c>
      <c r="B41" s="427" t="s">
        <v>1801</v>
      </c>
      <c r="C41" s="427" t="s">
        <v>1802</v>
      </c>
      <c r="D41" s="114"/>
      <c r="E41" s="114"/>
      <c r="F41" s="72" t="s">
        <v>5107</v>
      </c>
      <c r="G41" s="72" t="s">
        <v>5108</v>
      </c>
      <c r="H41" s="72" t="s">
        <v>47</v>
      </c>
      <c r="I41" s="72" t="s">
        <v>2168</v>
      </c>
      <c r="J41" s="72" t="s">
        <v>2168</v>
      </c>
      <c r="K41" s="72" t="s">
        <v>5109</v>
      </c>
      <c r="L41" s="114"/>
      <c r="M41" s="72" t="s">
        <v>995</v>
      </c>
      <c r="N41" s="114"/>
      <c r="O41" s="72" t="s">
        <v>930</v>
      </c>
      <c r="P41" s="114"/>
      <c r="Q41" s="114"/>
      <c r="R41" s="72" t="s">
        <v>930</v>
      </c>
      <c r="S41" s="72" t="s">
        <v>5110</v>
      </c>
      <c r="T41" s="72" t="s">
        <v>1733</v>
      </c>
      <c r="U41" s="159" t="s">
        <v>4760</v>
      </c>
      <c r="V41" s="72" t="s">
        <v>5111</v>
      </c>
      <c r="W41" s="72" t="s">
        <v>5112</v>
      </c>
      <c r="X41" s="72" t="s">
        <v>4475</v>
      </c>
      <c r="Y41" s="114"/>
    </row>
    <row r="42">
      <c r="A42" s="73" t="s">
        <v>93</v>
      </c>
      <c r="B42" s="427" t="s">
        <v>5113</v>
      </c>
      <c r="C42" s="427" t="s">
        <v>2492</v>
      </c>
      <c r="D42" s="114"/>
      <c r="E42" s="114"/>
      <c r="F42" s="114"/>
      <c r="G42" s="114"/>
      <c r="H42" s="114"/>
      <c r="I42" s="114"/>
      <c r="J42" s="114"/>
      <c r="K42" s="114"/>
      <c r="L42" s="114"/>
      <c r="M42" s="114"/>
      <c r="N42" s="114"/>
      <c r="O42" s="72" t="s">
        <v>961</v>
      </c>
      <c r="P42" s="72" t="s">
        <v>4670</v>
      </c>
      <c r="Q42" s="114"/>
      <c r="R42" s="114"/>
      <c r="S42" s="114"/>
      <c r="T42" s="114"/>
      <c r="U42" s="159" t="s">
        <v>4760</v>
      </c>
      <c r="V42" s="114"/>
      <c r="W42" s="114"/>
      <c r="X42" s="114"/>
      <c r="Y42" s="114"/>
    </row>
    <row r="43">
      <c r="A43" s="117" t="s">
        <v>93</v>
      </c>
      <c r="B43" s="427" t="s">
        <v>5114</v>
      </c>
      <c r="C43" s="427" t="s">
        <v>2493</v>
      </c>
      <c r="D43" s="114"/>
      <c r="E43" s="114"/>
      <c r="F43" s="114"/>
      <c r="G43" s="114"/>
      <c r="H43" s="114"/>
      <c r="I43" s="114"/>
      <c r="J43" s="114"/>
      <c r="K43" s="114"/>
      <c r="L43" s="114"/>
      <c r="M43" s="114"/>
      <c r="N43" s="114"/>
      <c r="O43" s="72" t="s">
        <v>961</v>
      </c>
      <c r="P43" s="72" t="s">
        <v>5115</v>
      </c>
      <c r="Q43" s="114"/>
      <c r="R43" s="114"/>
      <c r="S43" s="114"/>
      <c r="T43" s="114"/>
      <c r="U43" s="159" t="s">
        <v>4760</v>
      </c>
      <c r="V43" s="114"/>
      <c r="W43" s="114"/>
      <c r="X43" s="114"/>
      <c r="Y43" s="114"/>
    </row>
    <row r="44">
      <c r="A44" s="73" t="s">
        <v>93</v>
      </c>
      <c r="B44" s="427" t="s">
        <v>5116</v>
      </c>
      <c r="C44" s="427" t="s">
        <v>2494</v>
      </c>
      <c r="D44" s="114"/>
      <c r="E44" s="114"/>
      <c r="F44" s="114"/>
      <c r="G44" s="114"/>
      <c r="H44" s="114"/>
      <c r="I44" s="114"/>
      <c r="J44" s="114"/>
      <c r="K44" s="114"/>
      <c r="L44" s="114"/>
      <c r="M44" s="114"/>
      <c r="N44" s="114"/>
      <c r="O44" s="72" t="s">
        <v>961</v>
      </c>
      <c r="P44" s="72" t="s">
        <v>4670</v>
      </c>
      <c r="Q44" s="114"/>
      <c r="R44" s="114"/>
      <c r="S44" s="114"/>
      <c r="T44" s="114"/>
      <c r="U44" s="159" t="s">
        <v>4760</v>
      </c>
      <c r="V44" s="114"/>
      <c r="W44" s="114"/>
      <c r="X44" s="114"/>
      <c r="Y44" s="114"/>
    </row>
    <row r="45">
      <c r="A45" s="117" t="s">
        <v>93</v>
      </c>
      <c r="B45" s="427" t="s">
        <v>5117</v>
      </c>
      <c r="C45" s="427" t="s">
        <v>2495</v>
      </c>
      <c r="D45" s="114"/>
      <c r="E45" s="114"/>
      <c r="F45" s="114"/>
      <c r="G45" s="114"/>
      <c r="H45" s="114"/>
      <c r="I45" s="114"/>
      <c r="J45" s="114"/>
      <c r="K45" s="114"/>
      <c r="L45" s="114"/>
      <c r="M45" s="114"/>
      <c r="N45" s="114"/>
      <c r="O45" s="72" t="s">
        <v>961</v>
      </c>
      <c r="P45" s="72" t="s">
        <v>4670</v>
      </c>
      <c r="Q45" s="114"/>
      <c r="R45" s="114"/>
      <c r="S45" s="114"/>
      <c r="T45" s="114"/>
      <c r="U45" s="159" t="s">
        <v>4760</v>
      </c>
      <c r="V45" s="114"/>
      <c r="W45" s="114"/>
      <c r="X45" s="114"/>
      <c r="Y45" s="114"/>
    </row>
    <row r="46">
      <c r="A46" s="73" t="s">
        <v>93</v>
      </c>
      <c r="B46" s="427" t="s">
        <v>5118</v>
      </c>
      <c r="C46" s="427" t="s">
        <v>2496</v>
      </c>
      <c r="D46" s="114"/>
      <c r="E46" s="114"/>
      <c r="F46" s="114"/>
      <c r="G46" s="114"/>
      <c r="H46" s="114"/>
      <c r="I46" s="114"/>
      <c r="J46" s="114"/>
      <c r="K46" s="114"/>
      <c r="L46" s="114"/>
      <c r="M46" s="114"/>
      <c r="N46" s="114"/>
      <c r="O46" s="72" t="s">
        <v>961</v>
      </c>
      <c r="P46" s="72" t="s">
        <v>3975</v>
      </c>
      <c r="Q46" s="114"/>
      <c r="R46" s="114"/>
      <c r="S46" s="114"/>
      <c r="T46" s="72" t="s">
        <v>1733</v>
      </c>
      <c r="U46" s="159" t="s">
        <v>4760</v>
      </c>
      <c r="V46" s="114"/>
      <c r="W46" s="114"/>
      <c r="X46" s="114"/>
      <c r="Y46" s="114"/>
    </row>
    <row r="47">
      <c r="A47" s="117" t="s">
        <v>93</v>
      </c>
      <c r="B47" s="427" t="s">
        <v>5119</v>
      </c>
      <c r="C47" s="427" t="s">
        <v>2497</v>
      </c>
      <c r="D47" s="114"/>
      <c r="E47" s="114"/>
      <c r="F47" s="114"/>
      <c r="G47" s="114"/>
      <c r="H47" s="114"/>
      <c r="I47" s="114"/>
      <c r="J47" s="114"/>
      <c r="K47" s="114"/>
      <c r="L47" s="114"/>
      <c r="M47" s="114"/>
      <c r="N47" s="114"/>
      <c r="O47" s="72" t="s">
        <v>961</v>
      </c>
      <c r="P47" s="72" t="s">
        <v>5120</v>
      </c>
      <c r="Q47" s="114"/>
      <c r="R47" s="114"/>
      <c r="S47" s="114"/>
      <c r="T47" s="114"/>
      <c r="U47" s="159" t="s">
        <v>4760</v>
      </c>
      <c r="V47" s="114"/>
      <c r="W47" s="114"/>
      <c r="X47" s="114"/>
      <c r="Y47" s="114"/>
    </row>
    <row r="48">
      <c r="A48" s="73" t="s">
        <v>93</v>
      </c>
      <c r="B48" s="427" t="s">
        <v>5121</v>
      </c>
      <c r="C48" s="427" t="s">
        <v>2498</v>
      </c>
      <c r="D48" s="114"/>
      <c r="E48" s="114"/>
      <c r="F48" s="114"/>
      <c r="G48" s="114"/>
      <c r="H48" s="114"/>
      <c r="I48" s="114"/>
      <c r="J48" s="114"/>
      <c r="K48" s="114"/>
      <c r="L48" s="114"/>
      <c r="M48" s="114"/>
      <c r="N48" s="114"/>
      <c r="O48" s="72" t="s">
        <v>961</v>
      </c>
      <c r="P48" s="114"/>
      <c r="Q48" s="114"/>
      <c r="R48" s="114"/>
      <c r="S48" s="114"/>
      <c r="T48" s="114"/>
      <c r="U48" s="159" t="s">
        <v>4760</v>
      </c>
      <c r="V48" s="114"/>
      <c r="W48" s="114"/>
      <c r="X48" s="114"/>
      <c r="Y48" s="114"/>
    </row>
    <row r="49">
      <c r="A49" s="117" t="s">
        <v>93</v>
      </c>
      <c r="B49" s="427" t="s">
        <v>5122</v>
      </c>
      <c r="C49" s="427" t="s">
        <v>2499</v>
      </c>
      <c r="D49" s="114"/>
      <c r="E49" s="114"/>
      <c r="F49" s="114"/>
      <c r="G49" s="114"/>
      <c r="H49" s="114"/>
      <c r="I49" s="114"/>
      <c r="J49" s="114"/>
      <c r="K49" s="114"/>
      <c r="L49" s="114"/>
      <c r="M49" s="114"/>
      <c r="N49" s="114"/>
      <c r="O49" s="72" t="s">
        <v>961</v>
      </c>
      <c r="P49" s="72" t="s">
        <v>5123</v>
      </c>
      <c r="Q49" s="114"/>
      <c r="R49" s="114"/>
      <c r="S49" s="114"/>
      <c r="T49" s="114"/>
      <c r="U49" s="159" t="s">
        <v>5124</v>
      </c>
      <c r="V49" s="114"/>
      <c r="W49" s="114"/>
      <c r="X49" s="114"/>
      <c r="Y49" s="114"/>
    </row>
    <row r="50">
      <c r="A50" s="73" t="s">
        <v>93</v>
      </c>
      <c r="B50" s="427" t="s">
        <v>5125</v>
      </c>
      <c r="C50" s="427" t="s">
        <v>2500</v>
      </c>
      <c r="D50" s="114"/>
      <c r="E50" s="114"/>
      <c r="F50" s="114"/>
      <c r="G50" s="114"/>
      <c r="H50" s="114"/>
      <c r="I50" s="114"/>
      <c r="J50" s="114"/>
      <c r="K50" s="114"/>
      <c r="L50" s="114"/>
      <c r="M50" s="114"/>
      <c r="N50" s="114"/>
      <c r="O50" s="72" t="s">
        <v>961</v>
      </c>
      <c r="P50" s="72" t="s">
        <v>5126</v>
      </c>
      <c r="Q50" s="114"/>
      <c r="R50" s="114"/>
      <c r="S50" s="114"/>
      <c r="T50" s="114"/>
      <c r="U50" s="159" t="s">
        <v>5124</v>
      </c>
      <c r="V50" s="114"/>
      <c r="W50" s="114"/>
      <c r="X50" s="114"/>
      <c r="Y50" s="114"/>
    </row>
    <row r="51">
      <c r="A51" s="117" t="s">
        <v>93</v>
      </c>
      <c r="B51" s="427" t="s">
        <v>5127</v>
      </c>
      <c r="C51" s="427" t="s">
        <v>2501</v>
      </c>
      <c r="D51" s="114"/>
      <c r="E51" s="114"/>
      <c r="F51" s="114"/>
      <c r="G51" s="114"/>
      <c r="H51" s="114"/>
      <c r="I51" s="114"/>
      <c r="J51" s="114"/>
      <c r="K51" s="114"/>
      <c r="L51" s="114"/>
      <c r="M51" s="114"/>
      <c r="N51" s="114"/>
      <c r="O51" s="72" t="s">
        <v>961</v>
      </c>
      <c r="P51" s="72" t="s">
        <v>4670</v>
      </c>
      <c r="Q51" s="114"/>
      <c r="R51" s="114"/>
      <c r="S51" s="114"/>
      <c r="T51" s="114"/>
      <c r="U51" s="159" t="s">
        <v>5124</v>
      </c>
      <c r="V51" s="114"/>
      <c r="W51" s="114"/>
      <c r="X51" s="114"/>
      <c r="Y51" s="114"/>
    </row>
    <row r="52">
      <c r="A52" s="73" t="s">
        <v>93</v>
      </c>
      <c r="B52" s="427" t="s">
        <v>5128</v>
      </c>
      <c r="C52" s="427" t="s">
        <v>2502</v>
      </c>
      <c r="D52" s="114"/>
      <c r="E52" s="114"/>
      <c r="F52" s="114"/>
      <c r="G52" s="114"/>
      <c r="H52" s="114"/>
      <c r="I52" s="114"/>
      <c r="J52" s="114"/>
      <c r="K52" s="114"/>
      <c r="L52" s="114"/>
      <c r="M52" s="114"/>
      <c r="N52" s="114"/>
      <c r="O52" s="72" t="s">
        <v>961</v>
      </c>
      <c r="P52" s="72" t="s">
        <v>5129</v>
      </c>
      <c r="Q52" s="114"/>
      <c r="R52" s="114"/>
      <c r="S52" s="114"/>
      <c r="T52" s="114"/>
      <c r="U52" s="159" t="s">
        <v>5124</v>
      </c>
      <c r="V52" s="114"/>
      <c r="W52" s="114"/>
      <c r="X52" s="114"/>
      <c r="Y52" s="114"/>
    </row>
    <row r="53">
      <c r="A53" s="117" t="s">
        <v>93</v>
      </c>
      <c r="B53" s="427" t="s">
        <v>5130</v>
      </c>
      <c r="C53" s="427" t="s">
        <v>2503</v>
      </c>
      <c r="D53" s="114"/>
      <c r="E53" s="114"/>
      <c r="F53" s="114"/>
      <c r="G53" s="114"/>
      <c r="H53" s="114"/>
      <c r="I53" s="114"/>
      <c r="J53" s="114"/>
      <c r="K53" s="114"/>
      <c r="L53" s="114"/>
      <c r="M53" s="114"/>
      <c r="N53" s="114"/>
      <c r="O53" s="72" t="s">
        <v>961</v>
      </c>
      <c r="P53" s="72" t="s">
        <v>4670</v>
      </c>
      <c r="Q53" s="114"/>
      <c r="R53" s="114"/>
      <c r="S53" s="114"/>
      <c r="T53" s="114"/>
      <c r="U53" s="159" t="s">
        <v>5124</v>
      </c>
      <c r="V53" s="114"/>
      <c r="W53" s="114"/>
      <c r="X53" s="114"/>
      <c r="Y53" s="114"/>
    </row>
    <row r="54">
      <c r="A54" s="428" t="s">
        <v>93</v>
      </c>
      <c r="B54" s="429" t="s">
        <v>5131</v>
      </c>
      <c r="C54" s="429" t="s">
        <v>2504</v>
      </c>
      <c r="D54" s="146"/>
      <c r="E54" s="146"/>
      <c r="F54" s="146"/>
      <c r="G54" s="146"/>
      <c r="H54" s="146"/>
      <c r="I54" s="146"/>
      <c r="J54" s="146"/>
      <c r="K54" s="146"/>
      <c r="L54" s="146"/>
      <c r="M54" s="146"/>
      <c r="N54" s="146"/>
      <c r="O54" s="110" t="s">
        <v>961</v>
      </c>
      <c r="P54" s="110" t="s">
        <v>4670</v>
      </c>
      <c r="Q54" s="146"/>
      <c r="R54" s="146"/>
      <c r="S54" s="146"/>
      <c r="T54" s="146"/>
      <c r="U54" s="430" t="s">
        <v>5124</v>
      </c>
      <c r="V54" s="146"/>
      <c r="W54" s="146"/>
      <c r="X54" s="146"/>
      <c r="Y54" s="146"/>
      <c r="Z54" s="16"/>
      <c r="AA54" s="16"/>
    </row>
    <row r="55">
      <c r="A55" s="117" t="s">
        <v>181</v>
      </c>
      <c r="B55" s="159" t="s">
        <v>1362</v>
      </c>
      <c r="C55" s="159" t="s">
        <v>1363</v>
      </c>
      <c r="D55" s="72" t="s">
        <v>4706</v>
      </c>
      <c r="E55" s="114"/>
      <c r="F55" s="26" t="s">
        <v>5132</v>
      </c>
      <c r="G55" s="72" t="s">
        <v>5133</v>
      </c>
      <c r="H55" s="72" t="s">
        <v>47</v>
      </c>
      <c r="I55" s="72" t="s">
        <v>5134</v>
      </c>
      <c r="J55" s="72" t="s">
        <v>5135</v>
      </c>
      <c r="K55" s="72" t="s">
        <v>5136</v>
      </c>
      <c r="L55" s="72" t="s">
        <v>5137</v>
      </c>
      <c r="M55" s="72" t="s">
        <v>1721</v>
      </c>
      <c r="N55" s="72" t="s">
        <v>5138</v>
      </c>
      <c r="O55" s="72" t="s">
        <v>5139</v>
      </c>
      <c r="P55" s="114"/>
      <c r="Q55" s="114"/>
      <c r="R55" s="72" t="s">
        <v>1198</v>
      </c>
      <c r="S55" s="72" t="s">
        <v>5140</v>
      </c>
      <c r="T55" s="72" t="s">
        <v>1367</v>
      </c>
      <c r="U55" s="159" t="s">
        <v>5124</v>
      </c>
      <c r="V55" s="72" t="s">
        <v>5141</v>
      </c>
      <c r="W55" s="114"/>
      <c r="X55" s="72" t="s">
        <v>5142</v>
      </c>
      <c r="Y55" s="72" t="s">
        <v>5143</v>
      </c>
    </row>
    <row r="56">
      <c r="A56" s="117" t="s">
        <v>181</v>
      </c>
      <c r="B56" s="159" t="s">
        <v>5144</v>
      </c>
      <c r="C56" s="159" t="s">
        <v>2505</v>
      </c>
      <c r="D56" s="114"/>
      <c r="E56" s="114"/>
      <c r="F56" s="114"/>
      <c r="G56" s="114"/>
      <c r="H56" s="114"/>
      <c r="I56" s="114"/>
      <c r="J56" s="114"/>
      <c r="K56" s="114"/>
      <c r="L56" s="114"/>
      <c r="M56" s="114"/>
      <c r="N56" s="114"/>
      <c r="O56" s="72" t="s">
        <v>1437</v>
      </c>
      <c r="P56" s="72" t="s">
        <v>5145</v>
      </c>
      <c r="Q56" s="114"/>
      <c r="R56" s="72" t="s">
        <v>1198</v>
      </c>
      <c r="S56" s="114"/>
      <c r="T56" s="114"/>
      <c r="U56" s="159" t="s">
        <v>5124</v>
      </c>
      <c r="V56" s="114"/>
      <c r="W56" s="114"/>
      <c r="X56" s="114"/>
      <c r="Y56" s="114"/>
    </row>
    <row r="57">
      <c r="A57" s="117" t="s">
        <v>181</v>
      </c>
      <c r="B57" s="159" t="s">
        <v>1372</v>
      </c>
      <c r="C57" s="159" t="s">
        <v>1373</v>
      </c>
      <c r="D57" s="114"/>
      <c r="E57" s="114"/>
      <c r="F57" s="72" t="s">
        <v>5146</v>
      </c>
      <c r="G57" s="72" t="s">
        <v>1906</v>
      </c>
      <c r="H57" s="72" t="s">
        <v>49</v>
      </c>
      <c r="I57" s="72" t="s">
        <v>5147</v>
      </c>
      <c r="J57" s="72" t="s">
        <v>5148</v>
      </c>
      <c r="K57" s="72" t="s">
        <v>5149</v>
      </c>
      <c r="L57" s="72" t="s">
        <v>5150</v>
      </c>
      <c r="M57" s="72" t="s">
        <v>5151</v>
      </c>
      <c r="N57" s="72" t="s">
        <v>5152</v>
      </c>
      <c r="O57" s="72" t="s">
        <v>1198</v>
      </c>
      <c r="P57" s="114"/>
      <c r="Q57" s="114"/>
      <c r="R57" s="72" t="s">
        <v>1198</v>
      </c>
      <c r="S57" s="72" t="s">
        <v>5153</v>
      </c>
      <c r="T57" s="72" t="s">
        <v>1377</v>
      </c>
      <c r="U57" s="159" t="s">
        <v>5124</v>
      </c>
      <c r="V57" s="72" t="s">
        <v>620</v>
      </c>
      <c r="W57" s="114"/>
      <c r="X57" s="72" t="s">
        <v>5154</v>
      </c>
      <c r="Y57" s="114"/>
    </row>
    <row r="58">
      <c r="A58" s="117" t="s">
        <v>181</v>
      </c>
      <c r="B58" s="159" t="s">
        <v>5155</v>
      </c>
      <c r="C58" s="159" t="s">
        <v>2506</v>
      </c>
      <c r="D58" s="114"/>
      <c r="E58" s="114"/>
      <c r="F58" s="114"/>
      <c r="G58" s="72"/>
      <c r="H58" s="72"/>
      <c r="I58" s="114"/>
      <c r="J58" s="114"/>
      <c r="K58" s="114"/>
      <c r="L58" s="114"/>
      <c r="M58" s="114"/>
      <c r="N58" s="114"/>
      <c r="O58" s="72" t="s">
        <v>1437</v>
      </c>
      <c r="P58" s="72" t="s">
        <v>5156</v>
      </c>
      <c r="Q58" s="114"/>
      <c r="R58" s="72" t="s">
        <v>1198</v>
      </c>
      <c r="S58" s="114"/>
      <c r="T58" s="114"/>
      <c r="U58" s="159" t="s">
        <v>5124</v>
      </c>
      <c r="V58" s="114"/>
      <c r="W58" s="114"/>
      <c r="X58" s="114"/>
      <c r="Y58" s="114"/>
    </row>
    <row r="59">
      <c r="A59" s="117" t="s">
        <v>181</v>
      </c>
      <c r="B59" s="159" t="s">
        <v>5157</v>
      </c>
      <c r="C59" s="159" t="s">
        <v>2507</v>
      </c>
      <c r="D59" s="114"/>
      <c r="E59" s="114"/>
      <c r="F59" s="114"/>
      <c r="G59" s="114"/>
      <c r="H59" s="114"/>
      <c r="I59" s="114"/>
      <c r="J59" s="114"/>
      <c r="K59" s="114"/>
      <c r="L59" s="114"/>
      <c r="M59" s="114"/>
      <c r="N59" s="114"/>
      <c r="O59" s="72" t="s">
        <v>1437</v>
      </c>
      <c r="P59" s="72" t="s">
        <v>5145</v>
      </c>
      <c r="Q59" s="114"/>
      <c r="R59" s="72" t="s">
        <v>1198</v>
      </c>
      <c r="S59" s="114"/>
      <c r="T59" s="114"/>
      <c r="U59" s="159" t="s">
        <v>5124</v>
      </c>
      <c r="V59" s="114"/>
      <c r="W59" s="114"/>
      <c r="X59" s="114"/>
      <c r="Y59" s="114"/>
    </row>
    <row r="60">
      <c r="A60" s="117" t="s">
        <v>181</v>
      </c>
      <c r="B60" s="159" t="s">
        <v>5158</v>
      </c>
      <c r="C60" s="159" t="s">
        <v>2508</v>
      </c>
      <c r="D60" s="114"/>
      <c r="E60" s="114"/>
      <c r="F60" s="114"/>
      <c r="G60" s="114"/>
      <c r="H60" s="114"/>
      <c r="I60" s="114"/>
      <c r="J60" s="114"/>
      <c r="K60" s="114"/>
      <c r="L60" s="114"/>
      <c r="M60" s="114"/>
      <c r="N60" s="114"/>
      <c r="O60" s="72" t="s">
        <v>1437</v>
      </c>
      <c r="P60" s="72" t="s">
        <v>5145</v>
      </c>
      <c r="Q60" s="114"/>
      <c r="R60" s="72" t="s">
        <v>1198</v>
      </c>
      <c r="S60" s="114"/>
      <c r="T60" s="114"/>
      <c r="U60" s="159" t="s">
        <v>5124</v>
      </c>
      <c r="V60" s="114"/>
      <c r="W60" s="114"/>
      <c r="X60" s="114"/>
      <c r="Y60" s="114"/>
    </row>
    <row r="61">
      <c r="A61" s="117" t="s">
        <v>181</v>
      </c>
      <c r="B61" s="159" t="s">
        <v>1382</v>
      </c>
      <c r="C61" s="159" t="s">
        <v>1383</v>
      </c>
      <c r="D61" s="114"/>
      <c r="E61" s="114"/>
      <c r="F61" s="114"/>
      <c r="G61" s="114"/>
      <c r="H61" s="72" t="s">
        <v>49</v>
      </c>
      <c r="I61" s="72" t="s">
        <v>5159</v>
      </c>
      <c r="J61" s="72" t="s">
        <v>2168</v>
      </c>
      <c r="K61" s="72" t="s">
        <v>5160</v>
      </c>
      <c r="L61" s="72" t="s">
        <v>2168</v>
      </c>
      <c r="M61" s="72" t="s">
        <v>1721</v>
      </c>
      <c r="N61" s="114"/>
      <c r="O61" s="72" t="s">
        <v>1198</v>
      </c>
      <c r="P61" s="114"/>
      <c r="Q61" s="114"/>
      <c r="R61" s="72" t="s">
        <v>1198</v>
      </c>
      <c r="S61" s="72" t="s">
        <v>5161</v>
      </c>
      <c r="T61" s="72" t="s">
        <v>5162</v>
      </c>
      <c r="U61" s="159" t="s">
        <v>5124</v>
      </c>
      <c r="V61" s="72" t="s">
        <v>999</v>
      </c>
      <c r="W61" s="114"/>
      <c r="X61" s="72" t="s">
        <v>5163</v>
      </c>
      <c r="Y61" s="114"/>
    </row>
    <row r="62">
      <c r="A62" s="117" t="s">
        <v>181</v>
      </c>
      <c r="B62" s="159" t="s">
        <v>1389</v>
      </c>
      <c r="C62" s="159" t="s">
        <v>1390</v>
      </c>
      <c r="D62" s="114"/>
      <c r="E62" s="114"/>
      <c r="F62" s="72" t="s">
        <v>5164</v>
      </c>
      <c r="G62" s="114"/>
      <c r="H62" s="72" t="s">
        <v>49</v>
      </c>
      <c r="I62" s="72" t="s">
        <v>5165</v>
      </c>
      <c r="J62" s="72" t="s">
        <v>5166</v>
      </c>
      <c r="K62" s="72" t="s">
        <v>5167</v>
      </c>
      <c r="L62" s="72" t="s">
        <v>2168</v>
      </c>
      <c r="M62" s="72" t="s">
        <v>995</v>
      </c>
      <c r="N62" s="114"/>
      <c r="O62" s="72" t="s">
        <v>1198</v>
      </c>
      <c r="P62" s="114"/>
      <c r="Q62" s="114"/>
      <c r="R62" s="72" t="s">
        <v>1198</v>
      </c>
      <c r="S62" s="72" t="s">
        <v>5168</v>
      </c>
      <c r="T62" s="114"/>
      <c r="U62" s="159" t="s">
        <v>5124</v>
      </c>
      <c r="V62" s="72" t="s">
        <v>620</v>
      </c>
      <c r="W62" s="114"/>
      <c r="X62" s="72" t="s">
        <v>5169</v>
      </c>
      <c r="Y62" s="114"/>
    </row>
    <row r="63">
      <c r="A63" s="117" t="s">
        <v>181</v>
      </c>
      <c r="B63" s="159" t="s">
        <v>5170</v>
      </c>
      <c r="C63" s="159" t="s">
        <v>2509</v>
      </c>
      <c r="D63" s="114"/>
      <c r="E63" s="114"/>
      <c r="F63" s="114"/>
      <c r="G63" s="114"/>
      <c r="H63" s="114"/>
      <c r="I63" s="114"/>
      <c r="J63" s="114"/>
      <c r="K63" s="114"/>
      <c r="L63" s="114"/>
      <c r="M63" s="114"/>
      <c r="N63" s="114"/>
      <c r="O63" s="72" t="s">
        <v>1437</v>
      </c>
      <c r="P63" s="72" t="s">
        <v>5171</v>
      </c>
      <c r="Q63" s="114"/>
      <c r="R63" s="72" t="s">
        <v>1198</v>
      </c>
      <c r="S63" s="114"/>
      <c r="T63" s="114"/>
      <c r="U63" s="159" t="s">
        <v>5124</v>
      </c>
      <c r="V63" s="114"/>
      <c r="W63" s="114"/>
      <c r="X63" s="114"/>
      <c r="Y63" s="114"/>
    </row>
    <row r="64">
      <c r="A64" s="117" t="s">
        <v>181</v>
      </c>
      <c r="B64" s="159" t="s">
        <v>5172</v>
      </c>
      <c r="C64" s="159" t="s">
        <v>2510</v>
      </c>
      <c r="D64" s="114"/>
      <c r="E64" s="114"/>
      <c r="F64" s="114"/>
      <c r="G64" s="114"/>
      <c r="H64" s="114"/>
      <c r="I64" s="114"/>
      <c r="J64" s="114"/>
      <c r="K64" s="114"/>
      <c r="L64" s="114"/>
      <c r="M64" s="114"/>
      <c r="N64" s="114"/>
      <c r="O64" s="72" t="s">
        <v>1437</v>
      </c>
      <c r="P64" s="72" t="s">
        <v>5173</v>
      </c>
      <c r="Q64" s="114"/>
      <c r="R64" s="72" t="s">
        <v>1198</v>
      </c>
      <c r="S64" s="114"/>
      <c r="T64" s="114"/>
      <c r="U64" s="159" t="s">
        <v>5124</v>
      </c>
      <c r="V64" s="114"/>
      <c r="W64" s="114"/>
      <c r="X64" s="114"/>
      <c r="Y64" s="114"/>
    </row>
    <row r="65">
      <c r="A65" s="117" t="s">
        <v>181</v>
      </c>
      <c r="B65" s="159" t="s">
        <v>5174</v>
      </c>
      <c r="C65" s="159" t="s">
        <v>2511</v>
      </c>
      <c r="D65" s="114"/>
      <c r="E65" s="114"/>
      <c r="F65" s="114"/>
      <c r="G65" s="114"/>
      <c r="H65" s="114"/>
      <c r="I65" s="114"/>
      <c r="J65" s="114"/>
      <c r="K65" s="114"/>
      <c r="L65" s="114"/>
      <c r="M65" s="114"/>
      <c r="N65" s="114"/>
      <c r="O65" s="72" t="s">
        <v>1437</v>
      </c>
      <c r="P65" s="72" t="s">
        <v>5173</v>
      </c>
      <c r="Q65" s="114"/>
      <c r="R65" s="72" t="s">
        <v>1198</v>
      </c>
      <c r="S65" s="114"/>
      <c r="T65" s="114"/>
      <c r="U65" s="159" t="s">
        <v>5124</v>
      </c>
      <c r="V65" s="114"/>
      <c r="W65" s="114"/>
      <c r="X65" s="114"/>
      <c r="Y65" s="114"/>
    </row>
    <row r="66">
      <c r="A66" s="117" t="s">
        <v>181</v>
      </c>
      <c r="B66" s="159" t="s">
        <v>5175</v>
      </c>
      <c r="C66" s="159" t="s">
        <v>2512</v>
      </c>
      <c r="D66" s="114"/>
      <c r="E66" s="114"/>
      <c r="F66" s="114"/>
      <c r="G66" s="114"/>
      <c r="H66" s="114"/>
      <c r="I66" s="114"/>
      <c r="J66" s="114"/>
      <c r="K66" s="114"/>
      <c r="L66" s="114"/>
      <c r="M66" s="114"/>
      <c r="N66" s="114"/>
      <c r="O66" s="72" t="s">
        <v>1437</v>
      </c>
      <c r="P66" s="72" t="s">
        <v>5176</v>
      </c>
      <c r="Q66" s="114"/>
      <c r="R66" s="72" t="s">
        <v>1198</v>
      </c>
      <c r="S66" s="114"/>
      <c r="T66" s="114"/>
      <c r="U66" s="159" t="s">
        <v>5124</v>
      </c>
      <c r="V66" s="114"/>
      <c r="W66" s="114"/>
      <c r="X66" s="114"/>
      <c r="Y66" s="114"/>
    </row>
    <row r="67">
      <c r="A67" s="117" t="s">
        <v>181</v>
      </c>
      <c r="B67" s="159" t="s">
        <v>5177</v>
      </c>
      <c r="C67" s="159" t="s">
        <v>2513</v>
      </c>
      <c r="D67" s="114"/>
      <c r="E67" s="114"/>
      <c r="F67" s="114"/>
      <c r="G67" s="114"/>
      <c r="H67" s="114"/>
      <c r="I67" s="114"/>
      <c r="J67" s="114"/>
      <c r="K67" s="114"/>
      <c r="L67" s="114"/>
      <c r="M67" s="114"/>
      <c r="N67" s="114"/>
      <c r="O67" s="72" t="s">
        <v>1437</v>
      </c>
      <c r="P67" s="72" t="s">
        <v>5178</v>
      </c>
      <c r="Q67" s="114"/>
      <c r="R67" s="72" t="s">
        <v>1198</v>
      </c>
      <c r="S67" s="114"/>
      <c r="T67" s="114"/>
      <c r="U67" s="159" t="s">
        <v>5124</v>
      </c>
      <c r="V67" s="114"/>
      <c r="W67" s="114"/>
      <c r="X67" s="114"/>
      <c r="Y67" s="114"/>
    </row>
    <row r="68">
      <c r="A68" s="117" t="s">
        <v>181</v>
      </c>
      <c r="B68" s="159" t="s">
        <v>5179</v>
      </c>
      <c r="C68" s="159" t="s">
        <v>2514</v>
      </c>
      <c r="D68" s="114"/>
      <c r="E68" s="114"/>
      <c r="F68" s="114"/>
      <c r="G68" s="114"/>
      <c r="H68" s="114"/>
      <c r="I68" s="114"/>
      <c r="J68" s="114"/>
      <c r="K68" s="114"/>
      <c r="L68" s="114"/>
      <c r="M68" s="114"/>
      <c r="N68" s="114"/>
      <c r="O68" s="72" t="s">
        <v>1437</v>
      </c>
      <c r="P68" s="72" t="s">
        <v>5180</v>
      </c>
      <c r="Q68" s="114"/>
      <c r="R68" s="72" t="s">
        <v>1198</v>
      </c>
      <c r="S68" s="114"/>
      <c r="T68" s="114"/>
      <c r="U68" s="159" t="s">
        <v>5124</v>
      </c>
      <c r="V68" s="114"/>
      <c r="W68" s="114"/>
      <c r="X68" s="114"/>
      <c r="Y68" s="114"/>
    </row>
    <row r="69">
      <c r="A69" s="117" t="s">
        <v>181</v>
      </c>
      <c r="B69" s="159" t="s">
        <v>5181</v>
      </c>
      <c r="C69" s="159" t="s">
        <v>2515</v>
      </c>
      <c r="D69" s="114"/>
      <c r="E69" s="114"/>
      <c r="F69" s="114"/>
      <c r="G69" s="114"/>
      <c r="H69" s="114"/>
      <c r="I69" s="114"/>
      <c r="J69" s="114"/>
      <c r="K69" s="114"/>
      <c r="L69" s="114"/>
      <c r="M69" s="114"/>
      <c r="N69" s="114"/>
      <c r="O69" s="72" t="s">
        <v>1437</v>
      </c>
      <c r="P69" s="72" t="s">
        <v>5145</v>
      </c>
      <c r="Q69" s="114"/>
      <c r="R69" s="72" t="s">
        <v>1198</v>
      </c>
      <c r="S69" s="114"/>
      <c r="T69" s="114"/>
      <c r="U69" s="159" t="s">
        <v>5182</v>
      </c>
      <c r="V69" s="114"/>
      <c r="W69" s="114"/>
      <c r="X69" s="114"/>
      <c r="Y69" s="114"/>
    </row>
    <row r="70">
      <c r="A70" s="117" t="s">
        <v>181</v>
      </c>
      <c r="B70" s="159" t="s">
        <v>5183</v>
      </c>
      <c r="C70" s="159" t="s">
        <v>2516</v>
      </c>
      <c r="D70" s="114"/>
      <c r="E70" s="114"/>
      <c r="F70" s="114"/>
      <c r="G70" s="114"/>
      <c r="H70" s="114"/>
      <c r="I70" s="114"/>
      <c r="J70" s="114"/>
      <c r="K70" s="114"/>
      <c r="L70" s="114"/>
      <c r="M70" s="114"/>
      <c r="N70" s="114"/>
      <c r="O70" s="72" t="s">
        <v>1437</v>
      </c>
      <c r="P70" s="72" t="s">
        <v>5145</v>
      </c>
      <c r="Q70" s="114"/>
      <c r="R70" s="72" t="s">
        <v>1198</v>
      </c>
      <c r="S70" s="114"/>
      <c r="T70" s="114"/>
      <c r="U70" s="159" t="s">
        <v>5182</v>
      </c>
      <c r="V70" s="114"/>
      <c r="W70" s="114"/>
      <c r="X70" s="114"/>
      <c r="Y70" s="114"/>
    </row>
    <row r="71">
      <c r="A71" s="117" t="s">
        <v>181</v>
      </c>
      <c r="B71" s="159" t="s">
        <v>5184</v>
      </c>
      <c r="C71" s="159" t="s">
        <v>2517</v>
      </c>
      <c r="D71" s="114"/>
      <c r="E71" s="114"/>
      <c r="F71" s="114"/>
      <c r="G71" s="114"/>
      <c r="H71" s="114"/>
      <c r="I71" s="114"/>
      <c r="J71" s="114"/>
      <c r="K71" s="114"/>
      <c r="L71" s="114"/>
      <c r="M71" s="114"/>
      <c r="N71" s="114"/>
      <c r="O71" s="72" t="s">
        <v>1437</v>
      </c>
      <c r="P71" s="72" t="s">
        <v>5145</v>
      </c>
      <c r="Q71" s="114"/>
      <c r="R71" s="72" t="s">
        <v>1198</v>
      </c>
      <c r="S71" s="114"/>
      <c r="T71" s="114"/>
      <c r="U71" s="159" t="s">
        <v>5182</v>
      </c>
      <c r="V71" s="114"/>
      <c r="W71" s="114"/>
      <c r="X71" s="114"/>
      <c r="Y71" s="114"/>
    </row>
    <row r="72">
      <c r="A72" s="117" t="s">
        <v>181</v>
      </c>
      <c r="B72" s="159" t="s">
        <v>5185</v>
      </c>
      <c r="C72" s="159" t="s">
        <v>2518</v>
      </c>
      <c r="D72" s="114"/>
      <c r="E72" s="114"/>
      <c r="F72" s="114"/>
      <c r="G72" s="114"/>
      <c r="H72" s="114"/>
      <c r="I72" s="114"/>
      <c r="J72" s="114"/>
      <c r="K72" s="114"/>
      <c r="L72" s="114"/>
      <c r="M72" s="114"/>
      <c r="N72" s="114"/>
      <c r="O72" s="72" t="s">
        <v>1437</v>
      </c>
      <c r="P72" s="72" t="s">
        <v>5145</v>
      </c>
      <c r="Q72" s="114"/>
      <c r="R72" s="72" t="s">
        <v>1198</v>
      </c>
      <c r="S72" s="114"/>
      <c r="T72" s="114"/>
      <c r="U72" s="159" t="s">
        <v>5182</v>
      </c>
      <c r="V72" s="114"/>
      <c r="W72" s="114"/>
      <c r="X72" s="114"/>
      <c r="Y72" s="114"/>
    </row>
    <row r="73">
      <c r="A73" s="117" t="s">
        <v>181</v>
      </c>
      <c r="B73" s="159" t="s">
        <v>5186</v>
      </c>
      <c r="C73" s="159" t="s">
        <v>2519</v>
      </c>
      <c r="D73" s="114"/>
      <c r="E73" s="114"/>
      <c r="F73" s="114"/>
      <c r="G73" s="114"/>
      <c r="H73" s="114"/>
      <c r="I73" s="114"/>
      <c r="J73" s="114"/>
      <c r="K73" s="114"/>
      <c r="L73" s="114"/>
      <c r="M73" s="114"/>
      <c r="N73" s="114"/>
      <c r="O73" s="72" t="s">
        <v>1437</v>
      </c>
      <c r="P73" s="72" t="s">
        <v>5145</v>
      </c>
      <c r="Q73" s="114"/>
      <c r="R73" s="72" t="s">
        <v>1198</v>
      </c>
      <c r="S73" s="114"/>
      <c r="T73" s="114"/>
      <c r="U73" s="159" t="s">
        <v>5182</v>
      </c>
      <c r="V73" s="114"/>
      <c r="W73" s="114"/>
      <c r="X73" s="114"/>
      <c r="Y73" s="114"/>
    </row>
    <row r="74">
      <c r="A74" s="117" t="s">
        <v>181</v>
      </c>
      <c r="B74" s="159" t="s">
        <v>5187</v>
      </c>
      <c r="C74" s="159" t="s">
        <v>2520</v>
      </c>
      <c r="D74" s="114"/>
      <c r="E74" s="114"/>
      <c r="F74" s="114"/>
      <c r="G74" s="114"/>
      <c r="H74" s="114"/>
      <c r="I74" s="114"/>
      <c r="J74" s="114"/>
      <c r="K74" s="114"/>
      <c r="L74" s="114"/>
      <c r="M74" s="114"/>
      <c r="N74" s="114"/>
      <c r="O74" s="72" t="s">
        <v>1437</v>
      </c>
      <c r="P74" s="72" t="s">
        <v>5145</v>
      </c>
      <c r="Q74" s="114"/>
      <c r="R74" s="72" t="s">
        <v>1198</v>
      </c>
      <c r="S74" s="114"/>
      <c r="T74" s="114"/>
      <c r="U74" s="159" t="s">
        <v>5182</v>
      </c>
      <c r="V74" s="114"/>
      <c r="W74" s="114"/>
      <c r="X74" s="114"/>
      <c r="Y74" s="114"/>
    </row>
    <row r="75">
      <c r="A75" s="117" t="s">
        <v>181</v>
      </c>
      <c r="B75" s="159" t="s">
        <v>5188</v>
      </c>
      <c r="C75" s="159" t="s">
        <v>2521</v>
      </c>
      <c r="D75" s="114"/>
      <c r="E75" s="114"/>
      <c r="F75" s="114"/>
      <c r="G75" s="114"/>
      <c r="H75" s="114"/>
      <c r="I75" s="114"/>
      <c r="J75" s="114"/>
      <c r="K75" s="114"/>
      <c r="L75" s="114"/>
      <c r="M75" s="114"/>
      <c r="N75" s="114"/>
      <c r="O75" s="72" t="s">
        <v>1437</v>
      </c>
      <c r="P75" s="72" t="s">
        <v>5145</v>
      </c>
      <c r="Q75" s="114"/>
      <c r="R75" s="72" t="s">
        <v>1198</v>
      </c>
      <c r="S75" s="114"/>
      <c r="T75" s="114"/>
      <c r="U75" s="159" t="s">
        <v>5182</v>
      </c>
      <c r="V75" s="114"/>
      <c r="W75" s="114"/>
      <c r="X75" s="114"/>
      <c r="Y75" s="114"/>
    </row>
    <row r="76">
      <c r="A76" s="117" t="s">
        <v>181</v>
      </c>
      <c r="B76" s="159" t="s">
        <v>5189</v>
      </c>
      <c r="C76" s="159" t="s">
        <v>2522</v>
      </c>
      <c r="D76" s="114"/>
      <c r="E76" s="114"/>
      <c r="F76" s="114"/>
      <c r="G76" s="114"/>
      <c r="H76" s="114"/>
      <c r="I76" s="114"/>
      <c r="J76" s="114"/>
      <c r="K76" s="114"/>
      <c r="L76" s="114"/>
      <c r="M76" s="114"/>
      <c r="N76" s="114"/>
      <c r="O76" s="72" t="s">
        <v>1437</v>
      </c>
      <c r="P76" s="72" t="s">
        <v>5145</v>
      </c>
      <c r="Q76" s="114"/>
      <c r="R76" s="72" t="s">
        <v>1198</v>
      </c>
      <c r="S76" s="114"/>
      <c r="T76" s="114"/>
      <c r="U76" s="159" t="s">
        <v>5182</v>
      </c>
      <c r="V76" s="114"/>
      <c r="W76" s="114"/>
      <c r="X76" s="114"/>
      <c r="Y76" s="114"/>
    </row>
    <row r="77">
      <c r="A77" s="117" t="s">
        <v>181</v>
      </c>
      <c r="B77" s="159" t="s">
        <v>5190</v>
      </c>
      <c r="C77" s="159" t="s">
        <v>2523</v>
      </c>
      <c r="D77" s="114"/>
      <c r="E77" s="114"/>
      <c r="F77" s="114"/>
      <c r="H77" s="114"/>
      <c r="I77" s="114"/>
      <c r="J77" s="114"/>
      <c r="K77" s="114"/>
      <c r="L77" s="114"/>
      <c r="M77" s="114"/>
      <c r="N77" s="114"/>
      <c r="O77" s="72" t="s">
        <v>1437</v>
      </c>
      <c r="P77" s="72" t="s">
        <v>5145</v>
      </c>
      <c r="Q77" s="114"/>
      <c r="R77" s="72" t="s">
        <v>1198</v>
      </c>
      <c r="S77" s="114"/>
      <c r="T77" s="114"/>
      <c r="U77" s="159" t="s">
        <v>5182</v>
      </c>
      <c r="V77" s="114"/>
      <c r="W77" s="114"/>
      <c r="X77" s="114"/>
      <c r="Y77" s="114"/>
    </row>
    <row r="78">
      <c r="A78" s="117" t="s">
        <v>181</v>
      </c>
      <c r="B78" s="159" t="s">
        <v>1398</v>
      </c>
      <c r="C78" s="159" t="s">
        <v>1399</v>
      </c>
      <c r="D78" s="114"/>
      <c r="E78" s="114"/>
      <c r="F78" s="72" t="s">
        <v>5191</v>
      </c>
      <c r="G78" s="114"/>
      <c r="H78" s="72" t="s">
        <v>49</v>
      </c>
      <c r="I78" s="72" t="s">
        <v>5192</v>
      </c>
      <c r="J78" s="72" t="s">
        <v>2168</v>
      </c>
      <c r="K78" s="72" t="s">
        <v>5193</v>
      </c>
      <c r="L78" s="72" t="s">
        <v>613</v>
      </c>
      <c r="M78" s="72" t="s">
        <v>1721</v>
      </c>
      <c r="N78" s="114"/>
      <c r="O78" s="72" t="s">
        <v>1198</v>
      </c>
      <c r="P78" s="114"/>
      <c r="Q78" s="114"/>
      <c r="R78" s="72" t="s">
        <v>1198</v>
      </c>
      <c r="S78" s="72" t="s">
        <v>5194</v>
      </c>
      <c r="T78" s="114"/>
      <c r="U78" s="159" t="s">
        <v>5182</v>
      </c>
      <c r="V78" s="72" t="s">
        <v>1111</v>
      </c>
      <c r="W78" s="114"/>
      <c r="X78" s="114"/>
      <c r="Y78" s="114"/>
    </row>
    <row r="79">
      <c r="A79" s="117" t="s">
        <v>181</v>
      </c>
      <c r="B79" s="159" t="s">
        <v>5195</v>
      </c>
      <c r="C79" s="159" t="s">
        <v>2524</v>
      </c>
      <c r="D79" s="114"/>
      <c r="E79" s="114"/>
      <c r="F79" s="114"/>
      <c r="G79" s="114"/>
      <c r="H79" s="114"/>
      <c r="I79" s="114"/>
      <c r="J79" s="114"/>
      <c r="K79" s="114"/>
      <c r="L79" s="114"/>
      <c r="M79" s="114"/>
      <c r="N79" s="114"/>
      <c r="O79" s="72" t="s">
        <v>1437</v>
      </c>
      <c r="P79" s="72" t="s">
        <v>5196</v>
      </c>
      <c r="Q79" s="114"/>
      <c r="R79" s="72" t="s">
        <v>1198</v>
      </c>
      <c r="S79" s="114"/>
      <c r="T79" s="114"/>
      <c r="U79" s="159" t="s">
        <v>5182</v>
      </c>
      <c r="V79" s="114"/>
      <c r="W79" s="114"/>
      <c r="X79" s="114"/>
      <c r="Y79" s="114"/>
    </row>
    <row r="80">
      <c r="A80" s="117" t="s">
        <v>181</v>
      </c>
      <c r="B80" s="159" t="s">
        <v>5197</v>
      </c>
      <c r="C80" s="159" t="s">
        <v>2525</v>
      </c>
      <c r="D80" s="114"/>
      <c r="E80" s="114"/>
      <c r="F80" s="114"/>
      <c r="G80" s="114"/>
      <c r="H80" s="114"/>
      <c r="I80" s="114"/>
      <c r="J80" s="114"/>
      <c r="K80" s="114"/>
      <c r="L80" s="114"/>
      <c r="M80" s="114"/>
      <c r="N80" s="114"/>
      <c r="O80" s="72" t="s">
        <v>1437</v>
      </c>
      <c r="P80" s="72" t="s">
        <v>5145</v>
      </c>
      <c r="Q80" s="114"/>
      <c r="R80" s="72" t="s">
        <v>1198</v>
      </c>
      <c r="S80" s="114"/>
      <c r="T80" s="114"/>
      <c r="U80" s="159" t="s">
        <v>5198</v>
      </c>
      <c r="V80" s="114"/>
      <c r="W80" s="114"/>
      <c r="X80" s="114"/>
      <c r="Y80" s="114"/>
    </row>
    <row r="81">
      <c r="A81" s="117" t="s">
        <v>181</v>
      </c>
      <c r="B81" s="159" t="s">
        <v>5199</v>
      </c>
      <c r="C81" s="159" t="s">
        <v>2526</v>
      </c>
      <c r="D81" s="114"/>
      <c r="E81" s="114"/>
      <c r="F81" s="114"/>
      <c r="G81" s="114"/>
      <c r="H81" s="114"/>
      <c r="I81" s="114"/>
      <c r="J81" s="114"/>
      <c r="K81" s="114"/>
      <c r="L81" s="114"/>
      <c r="M81" s="114"/>
      <c r="N81" s="114"/>
      <c r="O81" s="72" t="s">
        <v>1437</v>
      </c>
      <c r="P81" s="72" t="s">
        <v>5145</v>
      </c>
      <c r="Q81" s="114"/>
      <c r="R81" s="72" t="s">
        <v>1198</v>
      </c>
      <c r="S81" s="114"/>
      <c r="T81" s="114"/>
      <c r="U81" s="159" t="s">
        <v>5198</v>
      </c>
      <c r="V81" s="114"/>
      <c r="W81" s="114"/>
      <c r="X81" s="114"/>
      <c r="Y81" s="114"/>
    </row>
    <row r="82">
      <c r="A82" s="117" t="s">
        <v>181</v>
      </c>
      <c r="B82" s="159" t="s">
        <v>5200</v>
      </c>
      <c r="C82" s="159" t="s">
        <v>2527</v>
      </c>
      <c r="D82" s="114"/>
      <c r="E82" s="114"/>
      <c r="F82" s="114"/>
      <c r="G82" s="114"/>
      <c r="H82" s="114"/>
      <c r="I82" s="114"/>
      <c r="J82" s="114"/>
      <c r="K82" s="114"/>
      <c r="L82" s="114"/>
      <c r="M82" s="114"/>
      <c r="N82" s="114"/>
      <c r="O82" s="72" t="s">
        <v>1437</v>
      </c>
      <c r="P82" s="72" t="s">
        <v>5173</v>
      </c>
      <c r="Q82" s="114"/>
      <c r="R82" s="72" t="s">
        <v>1198</v>
      </c>
      <c r="S82" s="114"/>
      <c r="T82" s="114"/>
      <c r="U82" s="159" t="s">
        <v>5198</v>
      </c>
      <c r="V82" s="114"/>
      <c r="W82" s="114"/>
      <c r="X82" s="114"/>
      <c r="Y82" s="114"/>
    </row>
    <row r="83">
      <c r="A83" s="117" t="s">
        <v>181</v>
      </c>
      <c r="B83" s="159" t="s">
        <v>5201</v>
      </c>
      <c r="C83" s="159" t="s">
        <v>2528</v>
      </c>
      <c r="D83" s="114"/>
      <c r="E83" s="114"/>
      <c r="F83" s="114"/>
      <c r="G83" s="114"/>
      <c r="H83" s="114"/>
      <c r="I83" s="114"/>
      <c r="J83" s="114"/>
      <c r="K83" s="114"/>
      <c r="L83" s="114"/>
      <c r="M83" s="114"/>
      <c r="N83" s="114"/>
      <c r="O83" s="72" t="s">
        <v>1437</v>
      </c>
      <c r="P83" s="72" t="s">
        <v>5145</v>
      </c>
      <c r="Q83" s="114"/>
      <c r="R83" s="72" t="s">
        <v>1198</v>
      </c>
      <c r="S83" s="114"/>
      <c r="T83" s="114"/>
      <c r="U83" s="159" t="s">
        <v>5198</v>
      </c>
      <c r="V83" s="114"/>
      <c r="W83" s="114"/>
      <c r="X83" s="114"/>
      <c r="Y83" s="114"/>
    </row>
    <row r="84">
      <c r="A84" s="117" t="s">
        <v>181</v>
      </c>
      <c r="B84" s="159" t="s">
        <v>5202</v>
      </c>
      <c r="C84" s="159" t="s">
        <v>2529</v>
      </c>
      <c r="D84" s="114"/>
      <c r="E84" s="114"/>
      <c r="F84" s="114"/>
      <c r="G84" s="114"/>
      <c r="H84" s="114"/>
      <c r="I84" s="114"/>
      <c r="J84" s="114"/>
      <c r="K84" s="114"/>
      <c r="L84" s="114"/>
      <c r="M84" s="114"/>
      <c r="N84" s="114"/>
      <c r="O84" s="72" t="s">
        <v>1437</v>
      </c>
      <c r="P84" s="72" t="s">
        <v>5145</v>
      </c>
      <c r="Q84" s="114"/>
      <c r="R84" s="72" t="s">
        <v>1198</v>
      </c>
      <c r="S84" s="114"/>
      <c r="T84" s="114"/>
      <c r="U84" s="159" t="s">
        <v>5198</v>
      </c>
      <c r="V84" s="114"/>
      <c r="W84" s="114"/>
      <c r="X84" s="114"/>
      <c r="Y84" s="114"/>
    </row>
    <row r="85">
      <c r="A85" s="117" t="s">
        <v>181</v>
      </c>
      <c r="B85" s="159" t="s">
        <v>5203</v>
      </c>
      <c r="C85" s="159" t="s">
        <v>2530</v>
      </c>
      <c r="D85" s="114"/>
      <c r="E85" s="114"/>
      <c r="F85" s="114"/>
      <c r="G85" s="114"/>
      <c r="H85" s="114"/>
      <c r="I85" s="114"/>
      <c r="J85" s="114"/>
      <c r="K85" s="114"/>
      <c r="L85" s="114"/>
      <c r="M85" s="114"/>
      <c r="N85" s="114"/>
      <c r="O85" s="72" t="s">
        <v>1437</v>
      </c>
      <c r="P85" s="72" t="s">
        <v>5145</v>
      </c>
      <c r="Q85" s="114"/>
      <c r="R85" s="72" t="s">
        <v>1198</v>
      </c>
      <c r="S85" s="114"/>
      <c r="T85" s="114"/>
      <c r="U85" s="159" t="s">
        <v>5198</v>
      </c>
      <c r="V85" s="114"/>
      <c r="W85" s="114"/>
      <c r="X85" s="114"/>
      <c r="Y85" s="114"/>
    </row>
    <row r="86">
      <c r="A86" s="117" t="s">
        <v>181</v>
      </c>
      <c r="B86" s="159" t="s">
        <v>5204</v>
      </c>
      <c r="C86" s="159" t="s">
        <v>2531</v>
      </c>
      <c r="D86" s="114"/>
      <c r="E86" s="114"/>
      <c r="F86" s="114"/>
      <c r="G86" s="114"/>
      <c r="H86" s="114"/>
      <c r="I86" s="114"/>
      <c r="J86" s="114"/>
      <c r="K86" s="114"/>
      <c r="L86" s="114"/>
      <c r="M86" s="114"/>
      <c r="N86" s="114"/>
      <c r="O86" s="72" t="s">
        <v>1437</v>
      </c>
      <c r="P86" s="72" t="s">
        <v>5145</v>
      </c>
      <c r="Q86" s="114"/>
      <c r="R86" s="72" t="s">
        <v>1198</v>
      </c>
      <c r="S86" s="114"/>
      <c r="T86" s="114"/>
      <c r="U86" s="159" t="s">
        <v>5198</v>
      </c>
      <c r="V86" s="114"/>
      <c r="W86" s="114"/>
      <c r="X86" s="114"/>
      <c r="Y86" s="114"/>
    </row>
    <row r="87">
      <c r="A87" s="117" t="s">
        <v>181</v>
      </c>
      <c r="B87" s="159" t="s">
        <v>5205</v>
      </c>
      <c r="C87" s="159" t="s">
        <v>2532</v>
      </c>
      <c r="D87" s="114"/>
      <c r="E87" s="114"/>
      <c r="F87" s="114"/>
      <c r="G87" s="114"/>
      <c r="H87" s="114"/>
      <c r="I87" s="114"/>
      <c r="J87" s="114"/>
      <c r="K87" s="114"/>
      <c r="L87" s="114"/>
      <c r="M87" s="114"/>
      <c r="N87" s="114"/>
      <c r="O87" s="72" t="s">
        <v>1437</v>
      </c>
      <c r="P87" s="72" t="s">
        <v>5173</v>
      </c>
      <c r="Q87" s="114"/>
      <c r="R87" s="72" t="s">
        <v>1198</v>
      </c>
      <c r="S87" s="114"/>
      <c r="T87" s="114"/>
      <c r="U87" s="159" t="s">
        <v>5198</v>
      </c>
      <c r="V87" s="114"/>
      <c r="W87" s="114"/>
      <c r="X87" s="114"/>
      <c r="Y87" s="114"/>
    </row>
    <row r="88">
      <c r="A88" s="117" t="s">
        <v>181</v>
      </c>
      <c r="B88" s="159" t="s">
        <v>1404</v>
      </c>
      <c r="C88" s="159" t="s">
        <v>1405</v>
      </c>
      <c r="D88" s="114"/>
      <c r="E88" s="114"/>
      <c r="F88" s="72" t="s">
        <v>5206</v>
      </c>
      <c r="G88" s="114"/>
      <c r="H88" s="72" t="s">
        <v>49</v>
      </c>
      <c r="I88" s="72" t="s">
        <v>5207</v>
      </c>
      <c r="J88" s="72" t="s">
        <v>5208</v>
      </c>
      <c r="K88" s="72" t="s">
        <v>5209</v>
      </c>
      <c r="L88" s="72" t="s">
        <v>2168</v>
      </c>
      <c r="M88" s="72" t="s">
        <v>5210</v>
      </c>
      <c r="N88" s="114"/>
      <c r="O88" s="72" t="s">
        <v>1198</v>
      </c>
      <c r="P88" s="114"/>
      <c r="Q88" s="114"/>
      <c r="R88" s="72" t="s">
        <v>1198</v>
      </c>
      <c r="S88" s="72" t="s">
        <v>5211</v>
      </c>
      <c r="T88" s="114"/>
      <c r="U88" s="159" t="s">
        <v>5198</v>
      </c>
      <c r="V88" s="114"/>
      <c r="W88" s="114"/>
      <c r="X88" s="114"/>
      <c r="Y88" s="114"/>
    </row>
    <row r="89">
      <c r="A89" s="117" t="s">
        <v>181</v>
      </c>
      <c r="B89" s="159" t="s">
        <v>5212</v>
      </c>
      <c r="C89" s="159" t="s">
        <v>2533</v>
      </c>
      <c r="D89" s="114"/>
      <c r="E89" s="114"/>
      <c r="F89" s="114"/>
      <c r="G89" s="114"/>
      <c r="H89" s="114"/>
      <c r="I89" s="114"/>
      <c r="J89" s="114"/>
      <c r="K89" s="114"/>
      <c r="L89" s="114"/>
      <c r="M89" s="114"/>
      <c r="N89" s="114"/>
      <c r="O89" s="72" t="s">
        <v>1437</v>
      </c>
      <c r="P89" s="72" t="s">
        <v>5145</v>
      </c>
      <c r="Q89" s="114"/>
      <c r="R89" s="72" t="s">
        <v>1198</v>
      </c>
      <c r="S89" s="114"/>
      <c r="T89" s="114"/>
      <c r="U89" s="159" t="s">
        <v>5198</v>
      </c>
      <c r="V89" s="114"/>
      <c r="W89" s="114"/>
      <c r="X89" s="114"/>
      <c r="Y89" s="114"/>
    </row>
    <row r="90">
      <c r="A90" s="117" t="s">
        <v>181</v>
      </c>
      <c r="B90" s="159" t="s">
        <v>5213</v>
      </c>
      <c r="C90" s="159" t="s">
        <v>2534</v>
      </c>
      <c r="D90" s="114"/>
      <c r="E90" s="114"/>
      <c r="F90" s="114"/>
      <c r="G90" s="114"/>
      <c r="H90" s="114"/>
      <c r="I90" s="114"/>
      <c r="J90" s="114"/>
      <c r="K90" s="114"/>
      <c r="L90" s="114"/>
      <c r="M90" s="114"/>
      <c r="N90" s="114"/>
      <c r="O90" s="72" t="s">
        <v>1437</v>
      </c>
      <c r="P90" s="72" t="s">
        <v>5196</v>
      </c>
      <c r="Q90" s="114"/>
      <c r="R90" s="72" t="s">
        <v>1198</v>
      </c>
      <c r="S90" s="114"/>
      <c r="T90" s="114"/>
      <c r="U90" s="159" t="s">
        <v>5198</v>
      </c>
      <c r="V90" s="114"/>
      <c r="W90" s="114"/>
      <c r="X90" s="114"/>
      <c r="Y90" s="114"/>
    </row>
    <row r="91">
      <c r="A91" s="117" t="s">
        <v>181</v>
      </c>
      <c r="B91" s="159" t="s">
        <v>5214</v>
      </c>
      <c r="C91" s="159" t="s">
        <v>2535</v>
      </c>
      <c r="D91" s="114"/>
      <c r="E91" s="114"/>
      <c r="F91" s="114"/>
      <c r="G91" s="114"/>
      <c r="H91" s="114"/>
      <c r="I91" s="114"/>
      <c r="J91" s="114"/>
      <c r="K91" s="114"/>
      <c r="L91" s="114"/>
      <c r="M91" s="114"/>
      <c r="N91" s="114"/>
      <c r="O91" s="72" t="s">
        <v>1437</v>
      </c>
      <c r="P91" s="72" t="s">
        <v>5145</v>
      </c>
      <c r="Q91" s="114"/>
      <c r="R91" s="72" t="s">
        <v>1198</v>
      </c>
      <c r="S91" s="114"/>
      <c r="T91" s="114"/>
      <c r="U91" s="159" t="s">
        <v>5198</v>
      </c>
      <c r="V91" s="114"/>
      <c r="W91" s="114"/>
      <c r="X91" s="114"/>
      <c r="Y91" s="114"/>
    </row>
    <row r="92">
      <c r="A92" s="117" t="s">
        <v>181</v>
      </c>
      <c r="B92" s="159" t="s">
        <v>5215</v>
      </c>
      <c r="C92" s="159" t="s">
        <v>2536</v>
      </c>
      <c r="D92" s="114"/>
      <c r="E92" s="114"/>
      <c r="F92" s="114"/>
      <c r="G92" s="114"/>
      <c r="H92" s="114"/>
      <c r="I92" s="114"/>
      <c r="J92" s="114"/>
      <c r="K92" s="114"/>
      <c r="L92" s="114"/>
      <c r="M92" s="114"/>
      <c r="N92" s="114"/>
      <c r="O92" s="72" t="s">
        <v>1437</v>
      </c>
      <c r="P92" s="72" t="s">
        <v>5145</v>
      </c>
      <c r="Q92" s="114"/>
      <c r="R92" s="72" t="s">
        <v>1198</v>
      </c>
      <c r="S92" s="114"/>
      <c r="T92" s="114"/>
      <c r="U92" s="159" t="s">
        <v>5198</v>
      </c>
      <c r="V92" s="114"/>
      <c r="W92" s="114"/>
      <c r="X92" s="114"/>
      <c r="Y92" s="114"/>
    </row>
    <row r="93">
      <c r="A93" s="117" t="s">
        <v>181</v>
      </c>
      <c r="B93" s="159" t="s">
        <v>5216</v>
      </c>
      <c r="C93" s="159" t="s">
        <v>2537</v>
      </c>
      <c r="D93" s="114"/>
      <c r="E93" s="114"/>
      <c r="F93" s="114"/>
      <c r="G93" s="114"/>
      <c r="H93" s="114"/>
      <c r="I93" s="114"/>
      <c r="J93" s="114"/>
      <c r="K93" s="114"/>
      <c r="L93" s="114"/>
      <c r="M93" s="114"/>
      <c r="N93" s="114"/>
      <c r="O93" s="72" t="s">
        <v>1437</v>
      </c>
      <c r="P93" s="72" t="s">
        <v>5145</v>
      </c>
      <c r="Q93" s="114"/>
      <c r="R93" s="72" t="s">
        <v>1198</v>
      </c>
      <c r="S93" s="114"/>
      <c r="T93" s="114"/>
      <c r="U93" s="159" t="s">
        <v>5198</v>
      </c>
      <c r="V93" s="114"/>
      <c r="W93" s="114"/>
      <c r="X93" s="114"/>
      <c r="Y93" s="114"/>
    </row>
    <row r="94">
      <c r="A94" s="117" t="s">
        <v>181</v>
      </c>
      <c r="B94" s="159" t="s">
        <v>407</v>
      </c>
      <c r="C94" s="159" t="s">
        <v>408</v>
      </c>
      <c r="D94" s="114"/>
      <c r="E94" s="114"/>
      <c r="F94" s="114"/>
      <c r="G94" s="114"/>
      <c r="H94" s="114"/>
      <c r="I94" s="114"/>
      <c r="J94" s="114"/>
      <c r="K94" s="114"/>
      <c r="L94" s="114"/>
      <c r="M94" s="114"/>
      <c r="N94" s="114"/>
      <c r="O94" s="72" t="s">
        <v>1437</v>
      </c>
      <c r="P94" s="72" t="s">
        <v>5145</v>
      </c>
      <c r="Q94" s="114"/>
      <c r="R94" s="72" t="s">
        <v>1198</v>
      </c>
      <c r="S94" s="114"/>
      <c r="T94" s="114"/>
      <c r="U94" s="159" t="s">
        <v>5198</v>
      </c>
      <c r="V94" s="114"/>
      <c r="W94" s="114"/>
      <c r="X94" s="114"/>
      <c r="Y94" s="114"/>
    </row>
    <row r="95">
      <c r="A95" s="117" t="s">
        <v>181</v>
      </c>
      <c r="B95" s="159" t="s">
        <v>5217</v>
      </c>
      <c r="C95" s="159" t="s">
        <v>2538</v>
      </c>
      <c r="D95" s="114"/>
      <c r="E95" s="114"/>
      <c r="F95" s="114"/>
      <c r="G95" s="114"/>
      <c r="H95" s="114"/>
      <c r="I95" s="114"/>
      <c r="J95" s="114"/>
      <c r="K95" s="114"/>
      <c r="L95" s="114"/>
      <c r="M95" s="114"/>
      <c r="N95" s="114"/>
      <c r="O95" s="72" t="s">
        <v>1437</v>
      </c>
      <c r="P95" s="72" t="s">
        <v>5145</v>
      </c>
      <c r="Q95" s="114"/>
      <c r="R95" s="72" t="s">
        <v>1198</v>
      </c>
      <c r="S95" s="114"/>
      <c r="T95" s="114"/>
      <c r="U95" s="159" t="s">
        <v>5198</v>
      </c>
      <c r="V95" s="114"/>
      <c r="W95" s="114"/>
      <c r="X95" s="114"/>
      <c r="Y95" s="114"/>
    </row>
    <row r="96">
      <c r="A96" s="117" t="s">
        <v>181</v>
      </c>
      <c r="B96" s="159" t="s">
        <v>5218</v>
      </c>
      <c r="C96" s="159" t="s">
        <v>2539</v>
      </c>
      <c r="D96" s="114"/>
      <c r="E96" s="114"/>
      <c r="F96" s="114"/>
      <c r="G96" s="114"/>
      <c r="H96" s="114"/>
      <c r="I96" s="114"/>
      <c r="J96" s="114"/>
      <c r="K96" s="114"/>
      <c r="L96" s="114"/>
      <c r="M96" s="114"/>
      <c r="N96" s="114"/>
      <c r="O96" s="72" t="s">
        <v>1437</v>
      </c>
      <c r="P96" s="72" t="s">
        <v>5145</v>
      </c>
      <c r="Q96" s="114"/>
      <c r="R96" s="72" t="s">
        <v>1198</v>
      </c>
      <c r="S96" s="114"/>
      <c r="T96" s="114"/>
      <c r="U96" s="159" t="s">
        <v>5219</v>
      </c>
      <c r="V96" s="114"/>
      <c r="W96" s="114"/>
      <c r="X96" s="114"/>
      <c r="Y96" s="114"/>
    </row>
    <row r="97">
      <c r="A97" s="117" t="s">
        <v>181</v>
      </c>
      <c r="B97" s="159" t="s">
        <v>5220</v>
      </c>
      <c r="C97" s="159" t="s">
        <v>2540</v>
      </c>
      <c r="D97" s="114"/>
      <c r="E97" s="114"/>
      <c r="F97" s="114"/>
      <c r="G97" s="114"/>
      <c r="H97" s="114"/>
      <c r="I97" s="114"/>
      <c r="J97" s="114"/>
      <c r="K97" s="114"/>
      <c r="L97" s="114"/>
      <c r="M97" s="114"/>
      <c r="N97" s="114"/>
      <c r="O97" s="72" t="s">
        <v>1437</v>
      </c>
      <c r="P97" s="72" t="s">
        <v>5145</v>
      </c>
      <c r="Q97" s="114"/>
      <c r="R97" s="72" t="s">
        <v>1198</v>
      </c>
      <c r="S97" s="114"/>
      <c r="T97" s="114"/>
      <c r="U97" s="159" t="s">
        <v>5219</v>
      </c>
      <c r="V97" s="114"/>
      <c r="W97" s="114"/>
      <c r="X97" s="114"/>
      <c r="Y97" s="114"/>
    </row>
    <row r="98">
      <c r="A98" s="117" t="s">
        <v>181</v>
      </c>
      <c r="B98" s="159" t="s">
        <v>1411</v>
      </c>
      <c r="C98" s="159" t="s">
        <v>1412</v>
      </c>
      <c r="D98" s="114"/>
      <c r="E98" s="114"/>
      <c r="F98" s="72" t="s">
        <v>5221</v>
      </c>
      <c r="G98" s="72" t="s">
        <v>5222</v>
      </c>
      <c r="H98" s="72" t="s">
        <v>49</v>
      </c>
      <c r="I98" s="72" t="s">
        <v>5223</v>
      </c>
      <c r="J98" s="72" t="s">
        <v>5224</v>
      </c>
      <c r="K98" s="72" t="s">
        <v>5225</v>
      </c>
      <c r="L98" s="72" t="s">
        <v>613</v>
      </c>
      <c r="M98" s="72" t="s">
        <v>1721</v>
      </c>
      <c r="N98" s="114"/>
      <c r="O98" s="72" t="s">
        <v>1198</v>
      </c>
      <c r="P98" s="114"/>
      <c r="Q98" s="114"/>
      <c r="R98" s="72" t="s">
        <v>1198</v>
      </c>
      <c r="S98" s="114"/>
      <c r="T98" s="72" t="s">
        <v>1416</v>
      </c>
      <c r="U98" s="159" t="s">
        <v>5219</v>
      </c>
      <c r="V98" s="72" t="s">
        <v>5226</v>
      </c>
      <c r="W98" s="114"/>
      <c r="X98" s="114"/>
      <c r="Y98" s="114"/>
    </row>
    <row r="99">
      <c r="A99" s="117" t="s">
        <v>181</v>
      </c>
      <c r="B99" s="159" t="s">
        <v>5227</v>
      </c>
      <c r="C99" s="159" t="s">
        <v>2541</v>
      </c>
      <c r="D99" s="114"/>
      <c r="E99" s="114"/>
      <c r="F99" s="114"/>
      <c r="G99" s="114"/>
      <c r="H99" s="114"/>
      <c r="I99" s="114"/>
      <c r="J99" s="114"/>
      <c r="K99" s="114"/>
      <c r="L99" s="114"/>
      <c r="M99" s="114"/>
      <c r="N99" s="114"/>
      <c r="O99" s="72" t="s">
        <v>1437</v>
      </c>
      <c r="P99" s="72" t="s">
        <v>5145</v>
      </c>
      <c r="Q99" s="114"/>
      <c r="R99" s="72" t="s">
        <v>1198</v>
      </c>
      <c r="S99" s="114"/>
      <c r="T99" s="114"/>
      <c r="U99" s="159" t="s">
        <v>5228</v>
      </c>
      <c r="V99" s="114"/>
      <c r="W99" s="114"/>
      <c r="X99" s="114"/>
      <c r="Y99" s="114"/>
    </row>
    <row r="100">
      <c r="A100" s="117" t="s">
        <v>181</v>
      </c>
      <c r="B100" s="159" t="s">
        <v>5229</v>
      </c>
      <c r="C100" s="159" t="s">
        <v>5229</v>
      </c>
      <c r="D100" s="114"/>
      <c r="E100" s="114"/>
      <c r="F100" s="114"/>
      <c r="G100" s="114"/>
      <c r="H100" s="114"/>
      <c r="I100" s="114"/>
      <c r="J100" s="114"/>
      <c r="K100" s="114"/>
      <c r="L100" s="114"/>
      <c r="M100" s="114"/>
      <c r="N100" s="114"/>
      <c r="O100" s="72" t="s">
        <v>1437</v>
      </c>
      <c r="P100" s="72" t="s">
        <v>5196</v>
      </c>
      <c r="Q100" s="114"/>
      <c r="R100" s="72" t="s">
        <v>1198</v>
      </c>
      <c r="S100" s="114"/>
      <c r="T100" s="114"/>
      <c r="U100" s="159" t="s">
        <v>5228</v>
      </c>
      <c r="V100" s="114"/>
      <c r="W100" s="114"/>
      <c r="X100" s="114"/>
      <c r="Y100" s="114"/>
    </row>
    <row r="101">
      <c r="A101" s="117" t="s">
        <v>181</v>
      </c>
      <c r="B101" s="159" t="s">
        <v>5230</v>
      </c>
      <c r="C101" s="159" t="s">
        <v>2543</v>
      </c>
      <c r="D101" s="114"/>
      <c r="E101" s="114"/>
      <c r="F101" s="114"/>
      <c r="G101" s="114"/>
      <c r="H101" s="114"/>
      <c r="I101" s="114"/>
      <c r="J101" s="114"/>
      <c r="K101" s="114"/>
      <c r="L101" s="114"/>
      <c r="M101" s="114"/>
      <c r="N101" s="114"/>
      <c r="O101" s="72" t="s">
        <v>1437</v>
      </c>
      <c r="P101" s="72" t="s">
        <v>5145</v>
      </c>
      <c r="Q101" s="114"/>
      <c r="R101" s="72" t="s">
        <v>1198</v>
      </c>
      <c r="S101" s="114"/>
      <c r="T101" s="114"/>
      <c r="U101" s="159" t="s">
        <v>5228</v>
      </c>
      <c r="V101" s="114"/>
      <c r="W101" s="114"/>
      <c r="X101" s="114"/>
      <c r="Y101" s="114"/>
    </row>
    <row r="102">
      <c r="A102" s="117" t="s">
        <v>181</v>
      </c>
      <c r="B102" s="159" t="s">
        <v>5231</v>
      </c>
      <c r="C102" s="159" t="s">
        <v>2544</v>
      </c>
      <c r="D102" s="114"/>
      <c r="E102" s="114"/>
      <c r="F102" s="114"/>
      <c r="G102" s="114"/>
      <c r="H102" s="114"/>
      <c r="I102" s="114"/>
      <c r="J102" s="114"/>
      <c r="K102" s="114"/>
      <c r="L102" s="114"/>
      <c r="M102" s="114"/>
      <c r="N102" s="114"/>
      <c r="O102" s="72" t="s">
        <v>1437</v>
      </c>
      <c r="P102" s="72" t="s">
        <v>5173</v>
      </c>
      <c r="Q102" s="114"/>
      <c r="R102" s="72" t="s">
        <v>1198</v>
      </c>
      <c r="S102" s="114"/>
      <c r="T102" s="114"/>
      <c r="U102" s="159" t="s">
        <v>5232</v>
      </c>
      <c r="V102" s="114"/>
      <c r="W102" s="114"/>
      <c r="X102" s="114"/>
      <c r="Y102" s="114"/>
    </row>
    <row r="103">
      <c r="A103" s="117" t="s">
        <v>181</v>
      </c>
      <c r="B103" s="159" t="s">
        <v>5233</v>
      </c>
      <c r="C103" s="159" t="s">
        <v>2545</v>
      </c>
      <c r="D103" s="114"/>
      <c r="E103" s="114"/>
      <c r="F103" s="72"/>
      <c r="G103" s="114"/>
      <c r="H103" s="114"/>
      <c r="I103" s="114"/>
      <c r="J103" s="114"/>
      <c r="K103" s="114"/>
      <c r="L103" s="114"/>
      <c r="M103" s="114"/>
      <c r="N103" s="114"/>
      <c r="O103" s="72" t="s">
        <v>1437</v>
      </c>
      <c r="P103" s="72" t="s">
        <v>5173</v>
      </c>
      <c r="Q103" s="114"/>
      <c r="R103" s="72" t="s">
        <v>1198</v>
      </c>
      <c r="S103" s="114"/>
      <c r="T103" s="114"/>
      <c r="U103" s="159" t="s">
        <v>5232</v>
      </c>
      <c r="V103" s="114"/>
      <c r="W103" s="114"/>
      <c r="X103" s="114"/>
      <c r="Y103" s="114"/>
    </row>
    <row r="104">
      <c r="A104" s="117" t="s">
        <v>181</v>
      </c>
      <c r="B104" s="159" t="s">
        <v>5234</v>
      </c>
      <c r="C104" s="159" t="s">
        <v>2546</v>
      </c>
      <c r="D104" s="114"/>
      <c r="E104" s="114"/>
      <c r="F104" s="114"/>
      <c r="G104" s="114"/>
      <c r="H104" s="114"/>
      <c r="I104" s="114"/>
      <c r="J104" s="114"/>
      <c r="K104" s="114"/>
      <c r="L104" s="114"/>
      <c r="M104" s="114"/>
      <c r="N104" s="114"/>
      <c r="O104" s="72" t="s">
        <v>1437</v>
      </c>
      <c r="P104" s="72" t="s">
        <v>5196</v>
      </c>
      <c r="Q104" s="114"/>
      <c r="R104" s="72" t="s">
        <v>1198</v>
      </c>
      <c r="S104" s="114"/>
      <c r="T104" s="114"/>
      <c r="U104" s="159" t="s">
        <v>5232</v>
      </c>
      <c r="V104" s="114"/>
      <c r="W104" s="114"/>
      <c r="X104" s="114"/>
      <c r="Y104" s="114"/>
    </row>
    <row r="105">
      <c r="A105" s="117" t="s">
        <v>181</v>
      </c>
      <c r="B105" s="159" t="s">
        <v>5235</v>
      </c>
      <c r="C105" s="159" t="s">
        <v>2547</v>
      </c>
      <c r="D105" s="114"/>
      <c r="E105" s="114"/>
      <c r="F105" s="114"/>
      <c r="G105" s="114"/>
      <c r="H105" s="114"/>
      <c r="I105" s="114"/>
      <c r="J105" s="114"/>
      <c r="K105" s="114"/>
      <c r="L105" s="114"/>
      <c r="M105" s="114"/>
      <c r="N105" s="114"/>
      <c r="O105" s="72" t="s">
        <v>1437</v>
      </c>
      <c r="P105" s="72" t="s">
        <v>5236</v>
      </c>
      <c r="Q105" s="114"/>
      <c r="R105" s="72" t="s">
        <v>1198</v>
      </c>
      <c r="S105" s="114"/>
      <c r="T105" s="114"/>
      <c r="U105" s="159" t="s">
        <v>5232</v>
      </c>
      <c r="V105" s="114"/>
      <c r="W105" s="114"/>
      <c r="X105" s="114"/>
      <c r="Y105" s="114"/>
    </row>
    <row r="106">
      <c r="A106" s="117" t="s">
        <v>181</v>
      </c>
      <c r="B106" s="159" t="s">
        <v>5237</v>
      </c>
      <c r="C106" s="159" t="s">
        <v>2548</v>
      </c>
      <c r="D106" s="114"/>
      <c r="E106" s="114"/>
      <c r="F106" s="114"/>
      <c r="G106" s="114"/>
      <c r="H106" s="114"/>
      <c r="I106" s="114"/>
      <c r="J106" s="114"/>
      <c r="K106" s="114"/>
      <c r="L106" s="114"/>
      <c r="M106" s="114"/>
      <c r="N106" s="114"/>
      <c r="O106" s="72" t="s">
        <v>1437</v>
      </c>
      <c r="P106" s="72" t="s">
        <v>5236</v>
      </c>
      <c r="Q106" s="114"/>
      <c r="R106" s="72" t="s">
        <v>1198</v>
      </c>
      <c r="S106" s="114"/>
      <c r="T106" s="114"/>
      <c r="U106" s="159" t="s">
        <v>5238</v>
      </c>
      <c r="V106" s="114"/>
      <c r="W106" s="114"/>
      <c r="X106" s="114"/>
      <c r="Y106" s="114"/>
    </row>
    <row r="107">
      <c r="A107" s="117" t="s">
        <v>181</v>
      </c>
      <c r="B107" s="159" t="s">
        <v>5239</v>
      </c>
      <c r="C107" s="159" t="s">
        <v>2549</v>
      </c>
      <c r="D107" s="114"/>
      <c r="E107" s="114"/>
      <c r="F107" s="114"/>
      <c r="G107" s="114"/>
      <c r="H107" s="114"/>
      <c r="I107" s="114"/>
      <c r="J107" s="114"/>
      <c r="K107" s="114"/>
      <c r="L107" s="114"/>
      <c r="M107" s="114"/>
      <c r="N107" s="114"/>
      <c r="O107" s="72" t="s">
        <v>1437</v>
      </c>
      <c r="P107" s="72" t="s">
        <v>5236</v>
      </c>
      <c r="Q107" s="114"/>
      <c r="R107" s="72" t="s">
        <v>1198</v>
      </c>
      <c r="S107" s="114"/>
      <c r="T107" s="114"/>
      <c r="U107" s="159" t="s">
        <v>5238</v>
      </c>
      <c r="V107" s="114"/>
      <c r="W107" s="114"/>
      <c r="X107" s="114"/>
      <c r="Y107" s="114"/>
    </row>
    <row r="108">
      <c r="A108" s="117" t="s">
        <v>181</v>
      </c>
      <c r="B108" s="159" t="s">
        <v>5240</v>
      </c>
      <c r="C108" s="159" t="s">
        <v>2550</v>
      </c>
      <c r="D108" s="114"/>
      <c r="E108" s="114"/>
      <c r="F108" s="114"/>
      <c r="G108" s="114"/>
      <c r="H108" s="114"/>
      <c r="I108" s="114"/>
      <c r="J108" s="114"/>
      <c r="K108" s="114"/>
      <c r="L108" s="114"/>
      <c r="M108" s="114"/>
      <c r="N108" s="114"/>
      <c r="O108" s="72" t="s">
        <v>1437</v>
      </c>
      <c r="P108" s="72" t="s">
        <v>5236</v>
      </c>
      <c r="Q108" s="114"/>
      <c r="R108" s="72" t="s">
        <v>1198</v>
      </c>
      <c r="S108" s="114"/>
      <c r="T108" s="114"/>
      <c r="U108" s="159" t="s">
        <v>5238</v>
      </c>
      <c r="V108" s="114"/>
      <c r="W108" s="114"/>
      <c r="X108" s="114"/>
      <c r="Y108" s="11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2025-11-21T18:21:02Z</dcterms:created>
  <dc:creator>openpyxl</dc:creator>
</cp:coreProperties>
</file>