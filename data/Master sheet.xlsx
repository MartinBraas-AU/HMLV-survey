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Methods and tech keywords searc" sheetId="6" r:id="rId9"/>
    <sheet state="visible" name="Counts (definitions.tex)" sheetId="7" r:id="rId10"/>
    <sheet state="visible" name="Possibly relevant papers" sheetId="8" r:id="rId11"/>
    <sheet state="visible" name="Extras" sheetId="9" r:id="rId12"/>
    <sheet state="visible" name="People writing" sheetId="10" r:id="rId13"/>
    <sheet state="visible" name="Related Reviews" sheetId="11" r:id="rId14"/>
    <sheet state="visible" name="Discarded" sheetId="12" r:id="rId15"/>
    <sheet state="visible" name="Tasks" sheetId="13" r:id="rId16"/>
    <sheet state="visible" name="Master query" sheetId="14" r:id="rId17"/>
    <sheet state="visible" name="Prisma overview" sheetId="15" r:id="rId18"/>
    <sheet state="visible" name="P1" sheetId="16" r:id="rId19"/>
    <sheet state="visible" name="P2" sheetId="17" r:id="rId20"/>
    <sheet state="visible" name="P3" sheetId="18" r:id="rId21"/>
    <sheet state="visible" name="P4" sheetId="19" r:id="rId22"/>
    <sheet state="visible" name="P5" sheetId="20" r:id="rId23"/>
    <sheet state="visible" name="P6" sheetId="21" r:id="rId24"/>
    <sheet state="visible" name="P7" sheetId="22" r:id="rId25"/>
    <sheet state="visible" name="Exclussion basis" sheetId="23" r:id="rId26"/>
    <sheet state="visible" name="Snowballing" sheetId="24" r:id="rId27"/>
    <sheet state="visible" name="Reviewers" sheetId="25" r:id="rId28"/>
    <sheet state="visible" name="Timeline" sheetId="26" r:id="rId29"/>
    <sheet state="visible" name="L0 Snowballing" sheetId="27" r:id="rId30"/>
    <sheet state="visible" name="L1 Snowballing" sheetId="28" r:id="rId31"/>
  </sheets>
  <definedNames>
    <definedName hidden="1" localSheetId="5" name="_xlnm._FilterDatabase">'Methods and tech keywords searc'!$A$1:$B$110</definedName>
  </definedNames>
  <calcPr/>
  <extLst>
    <ext uri="GoogleSheetsCustomDataVersion2">
      <go:sheetsCustomData xmlns:go="http://customooxmlschemas.google.com/" r:id="rId32" roundtripDataChecksum="WJnPcR9/oC3mNX2g/uQWIQLdTIShEW2O6xH+BlL6x+8="/>
    </ext>
  </extLst>
</workbook>
</file>

<file path=xl/sharedStrings.xml><?xml version="1.0" encoding="utf-8"?>
<sst xmlns="http://schemas.openxmlformats.org/spreadsheetml/2006/main" count="15458" uniqueCount="5841">
  <si>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</si>
  <si>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</si>
  <si>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</si>
  <si>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</si>
  <si>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</si>
  <si>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</si>
  <si>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</si>
  <si>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</si>
  <si>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</si>
  <si>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</si>
  <si>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</si>
  <si>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</si>
  <si>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</si>
  <si>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</si>
  <si>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</si>
  <si>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</si>
  <si>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</si>
  <si>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</si>
  <si>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</si>
  <si>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</si>
  <si>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</si>
  <si>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</si>
  <si>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</si>
  <si>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</si>
  <si>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</si>
  <si>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</si>
  <si>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</si>
  <si>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</si>
  <si>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</si>
  <si>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</si>
  <si>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</si>
  <si>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</si>
  <si>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</si>
  <si>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</si>
  <si>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</si>
  <si>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</si>
  <si>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</si>
  <si>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</si>
  <si>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</si>
  <si>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</si>
  <si>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</si>
  <si>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</si>
  <si>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</si>
  <si>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</si>
  <si>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</si>
  <si>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</si>
  <si>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</si>
  <si>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</si>
  <si>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</si>
  <si>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</si>
  <si>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</si>
  <si>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</si>
  <si>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</si>
  <si>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</si>
  <si>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</si>
  <si>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</si>
  <si>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</si>
  <si>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</si>
  <si>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</si>
  <si>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</si>
  <si>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</si>
  <si>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</si>
  <si>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</si>
  <si>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</si>
  <si>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</si>
  <si>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</si>
  <si>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</si>
  <si>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</si>
  <si>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</si>
  <si>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</si>
  <si>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</si>
  <si>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</si>
  <si>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</si>
  <si>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</si>
  <si>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</si>
  <si>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</si>
  <si>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</si>
  <si>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</si>
  <si>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</si>
  <si>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</si>
  <si>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</si>
  <si>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</si>
  <si>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</si>
  <si>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</si>
  <si>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</si>
  <si>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</si>
  <si>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</si>
  <si>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</si>
  <si>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</si>
  <si>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</si>
  <si>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</si>
  <si>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</si>
  <si>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</si>
  <si>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</si>
  <si>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</si>
  <si>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</si>
  <si>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</si>
  <si>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</si>
  <si>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</si>
  <si>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</si>
  <si>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</si>
  <si>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</si>
  <si>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</si>
  <si>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</si>
  <si>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</si>
  <si>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</si>
  <si>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</si>
  <si>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</si>
  <si>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</si>
  <si>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</si>
  <si>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</si>
  <si>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</si>
  <si>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</si>
  <si>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</si>
  <si>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</si>
  <si>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</si>
  <si>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</si>
  <si>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</si>
  <si>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</si>
  <si>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</si>
  <si>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</si>
  <si>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</si>
  <si>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</si>
  <si>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</si>
  <si>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</si>
  <si>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</si>
  <si>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</si>
  <si>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</si>
  <si>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</si>
  <si>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</si>
  <si>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</si>
  <si>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</si>
  <si>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</si>
  <si>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</si>
  <si>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</si>
  <si>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</si>
  <si>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</si>
  <si>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</si>
  <si>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</si>
  <si>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</si>
  <si>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</si>
  <si>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</si>
  <si>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</si>
  <si>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</si>
  <si>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</si>
  <si>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</si>
  <si>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</si>
  <si>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</si>
  <si>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</si>
  <si>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</si>
  <si>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</si>
  <si>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</si>
  <si>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</si>
  <si>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</si>
  <si>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</si>
  <si>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</si>
  <si>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</si>
  <si>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</si>
  <si>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</si>
  <si>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</si>
  <si>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</si>
  <si>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</si>
  <si>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</si>
  <si>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</si>
  <si>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</si>
  <si>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</si>
  <si>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</si>
  <si>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</si>
  <si>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</si>
  <si>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</si>
  <si>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</si>
  <si>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</si>
  <si>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</si>
  <si>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</si>
  <si>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</si>
  <si>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</si>
  <si>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</si>
  <si>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</si>
  <si>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</si>
  <si>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</si>
  <si>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</si>
  <si>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</si>
  <si>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</si>
  <si>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</si>
  <si>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</si>
  <si>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</si>
  <si>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</si>
  <si>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</si>
  <si>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</si>
  <si>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</si>
  <si>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</si>
  <si>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</si>
  <si>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</si>
  <si>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</si>
  <si>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</si>
  <si>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</si>
  <si>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</si>
  <si>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</si>
  <si>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</si>
  <si>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</si>
  <si>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</si>
  <si>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</si>
  <si>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</si>
  <si>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</si>
  <si>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</si>
  <si>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</si>
  <si>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</si>
  <si>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</si>
  <si>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</si>
  <si>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</si>
  <si>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</si>
  <si>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</si>
  <si>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</si>
  <si>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</si>
  <si>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</si>
  <si>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</si>
  <si>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</si>
  <si>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</si>
  <si>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</si>
  <si>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</si>
  <si>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</si>
  <si>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</si>
  <si>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</si>
  <si>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</si>
  <si>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</si>
  <si>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</si>
  <si>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</si>
  <si>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</si>
  <si>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</si>
  <si>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</si>
  <si>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</si>
  <si>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</si>
  <si>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</si>
  <si>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</si>
  <si>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</si>
  <si>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</si>
  <si>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</si>
  <si>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</si>
  <si>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</si>
  <si>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</si>
  <si>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</si>
  <si>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</si>
  <si>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</si>
  <si>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</si>
  <si>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</si>
  <si>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</si>
  <si>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</si>
  <si>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</si>
  <si>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</si>
  <si>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</si>
  <si>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</si>
  <si>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</si>
  <si>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</si>
  <si>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</si>
  <si>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</si>
  <si>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</si>
  <si>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</si>
  <si>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</si>
  <si>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</si>
  <si>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</si>
  <si>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</si>
  <si>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</si>
  <si>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</si>
  <si>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</si>
  <si>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</si>
  <si>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</si>
  <si>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</si>
  <si>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</si>
  <si>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</si>
  <si>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</si>
  <si>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</si>
  <si>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</si>
  <si>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</si>
  <si>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</si>
  <si>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</si>
  <si>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</si>
  <si>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</si>
  <si>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</si>
  <si>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</si>
  <si>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</si>
  <si>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</si>
  <si>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</si>
  <si>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</si>
  <si>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</si>
  <si>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</si>
  <si>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</si>
  <si>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</si>
  <si>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</si>
  <si>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</si>
  <si>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</si>
  <si>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</si>
  <si>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</si>
  <si>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</si>
  <si>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</si>
  <si>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</si>
  <si>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</si>
  <si>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</si>
  <si>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</si>
  <si>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</si>
  <si>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</si>
  <si>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</si>
  <si>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</si>
  <si>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</si>
  <si>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</si>
  <si>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</si>
  <si>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</si>
  <si>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</si>
  <si>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</si>
  <si>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</si>
  <si>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</si>
  <si>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</si>
  <si>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</si>
  <si>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</si>
  <si>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</si>
  <si>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</si>
  <si>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</si>
  <si>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</si>
  <si>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</si>
  <si>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</si>
  <si>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</si>
  <si>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</si>
  <si>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</si>
  <si>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</si>
  <si>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</si>
  <si>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</si>
  <si>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</si>
  <si>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</si>
  <si>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</si>
  <si>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</si>
  <si>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</si>
  <si>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</si>
  <si>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</si>
  <si>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</si>
  <si>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</si>
  <si>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</si>
  <si>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</si>
  <si>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</si>
  <si>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</si>
  <si>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</si>
  <si>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</si>
  <si>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</si>
  <si>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</si>
  <si>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</si>
  <si>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</si>
  <si>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</si>
  <si>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</si>
  <si>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</si>
  <si>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</si>
  <si>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</si>
  <si>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</si>
  <si>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</si>
  <si>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</si>
  <si>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</si>
  <si>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</si>
  <si>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</si>
  <si>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</si>
  <si>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</si>
  <si>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</si>
  <si>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</si>
  <si>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</si>
  <si>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</si>
  <si>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</si>
  <si>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</si>
  <si>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</si>
  <si>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</si>
  <si>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</si>
  <si>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</si>
  <si>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</si>
  <si>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</si>
  <si>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</si>
  <si>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</si>
  <si>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</si>
  <si>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</si>
  <si>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</si>
  <si>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</si>
  <si>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</si>
  <si>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</si>
  <si>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</si>
  <si>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</si>
  <si>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</si>
  <si>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</si>
  <si>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</si>
  <si>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</si>
  <si>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</si>
  <si>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</si>
  <si>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</si>
  <si>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</si>
  <si>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</si>
  <si>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</si>
  <si>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</si>
  <si>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</si>
  <si>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</si>
  <si>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</si>
  <si>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</si>
  <si>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</si>
  <si>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</si>
  <si>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</si>
  <si>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</si>
  <si>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</si>
  <si>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</si>
  <si>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</si>
  <si>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</si>
  <si>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</si>
  <si>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</si>
  <si>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</si>
  <si>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</si>
  <si>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</si>
  <si>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</si>
  <si>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</si>
  <si>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</si>
  <si>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</si>
  <si>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</si>
  <si>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</si>
  <si>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</si>
  <si>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</si>
  <si>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</si>
  <si>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</si>
  <si>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</si>
  <si>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</si>
  <si>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</si>
  <si>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</si>
  <si>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</si>
  <si>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</si>
  <si>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</si>
  <si>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</si>
  <si>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</si>
  <si>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</si>
  <si>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</si>
  <si>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</si>
  <si>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</si>
  <si>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</si>
  <si>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</si>
  <si>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</si>
  <si>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</si>
  <si>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</si>
  <si>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</si>
  <si>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</si>
  <si>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</si>
  <si>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</si>
  <si>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</si>
  <si>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</si>
  <si>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</si>
  <si>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</si>
  <si>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</si>
  <si>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</si>
  <si>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</si>
  <si>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</si>
  <si>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</si>
  <si>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</si>
  <si>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</si>
  <si>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</si>
  <si>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</si>
  <si>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</si>
  <si>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</si>
  <si>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</si>
  <si>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</si>
  <si>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</si>
  <si>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</si>
  <si>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</si>
  <si>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</si>
  <si>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</si>
  <si>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</si>
  <si>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</si>
  <si>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</si>
  <si>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</si>
  <si>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</si>
  <si>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</si>
  <si>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</si>
  <si>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</si>
  <si>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</si>
  <si>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</si>
  <si>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</si>
  <si>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</si>
  <si>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</si>
  <si>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</si>
  <si>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</si>
  <si>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</si>
  <si>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</si>
  <si>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</si>
  <si>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</si>
  <si>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</si>
  <si>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</si>
  <si>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</si>
  <si>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</si>
  <si>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</si>
  <si>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</si>
  <si>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</si>
  <si>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</si>
  <si>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</si>
  <si>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</si>
  <si>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</si>
  <si>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</si>
  <si>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</si>
  <si>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</si>
  <si>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</si>
  <si>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</si>
  <si>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</si>
  <si>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</si>
  <si>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</si>
  <si>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</si>
  <si>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</si>
  <si>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</si>
  <si>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</si>
  <si>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</si>
  <si>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</si>
  <si>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</si>
  <si>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</si>
  <si>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</si>
  <si>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</si>
  <si>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</si>
  <si>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</si>
  <si>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</si>
  <si>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</si>
  <si>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</si>
  <si>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</si>
  <si>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</si>
  <si>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</si>
  <si>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</si>
  <si>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</si>
  <si>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</si>
  <si>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</si>
  <si>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</si>
  <si>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</si>
  <si>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</si>
  <si>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</si>
  <si>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</si>
  <si>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</si>
  <si>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</si>
  <si>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</si>
  <si>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</si>
  <si>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</si>
  <si>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</si>
  <si>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</si>
  <si>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</si>
  <si>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</si>
  <si>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</si>
  <si>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</si>
  <si>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</si>
  <si>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</si>
  <si>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</si>
  <si>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</si>
  <si>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</si>
  <si>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</si>
  <si>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</si>
  <si>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</si>
  <si>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</si>
  <si>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</si>
  <si>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</si>
  <si>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</si>
  <si>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</si>
  <si>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</si>
  <si>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</si>
  <si>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</si>
  <si>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</si>
  <si>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</si>
  <si>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</si>
  <si>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</si>
  <si>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</si>
  <si>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</si>
  <si>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</si>
  <si>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</si>
  <si>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</si>
  <si>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</si>
  <si>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</si>
  <si>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</si>
  <si>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</si>
  <si>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</si>
  <si>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</si>
  <si>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</si>
  <si>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</si>
  <si>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</si>
  <si>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</si>
  <si>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</si>
  <si>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</si>
  <si>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</si>
  <si>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</si>
  <si>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</si>
  <si>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</si>
  <si>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</si>
  <si>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</si>
  <si>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</si>
  <si>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</si>
  <si>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</si>
  <si>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</si>
  <si>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</si>
  <si>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</si>
  <si>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</si>
  <si>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</si>
  <si>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</si>
  <si>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</si>
  <si>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</si>
  <si>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</si>
  <si>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</si>
  <si>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</si>
  <si>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</si>
  <si>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</si>
  <si>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</si>
  <si>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</si>
  <si>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</si>
  <si>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</si>
  <si>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</si>
  <si>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</si>
  <si>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</si>
  <si>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</si>
  <si>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</si>
  <si>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</si>
  <si>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</si>
  <si>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</si>
  <si>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</si>
  <si>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</si>
  <si>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</si>
  <si>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</si>
  <si>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</si>
  <si>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</si>
  <si>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</si>
  <si>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</si>
  <si>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</si>
  <si>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</si>
  <si>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</si>
  <si>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</si>
  <si>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</si>
  <si>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</si>
  <si>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</si>
  <si>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</si>
  <si>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</si>
  <si>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</si>
  <si>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</si>
  <si>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</si>
  <si>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</si>
  <si>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</si>
  <si>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</si>
  <si>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</si>
  <si>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</si>
  <si>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</si>
  <si>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</si>
  <si>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</si>
  <si>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</si>
  <si>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</si>
  <si>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</si>
  <si>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</si>
  <si>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</si>
  <si>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</si>
  <si>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</si>
  <si>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</si>
  <si>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</si>
  <si>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</si>
  <si>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</si>
  <si>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</si>
  <si>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</si>
  <si>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</si>
  <si>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</si>
  <si>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</si>
  <si>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</si>
  <si>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</si>
  <si>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</si>
  <si>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</si>
  <si>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</si>
  <si>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</si>
  <si>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</si>
  <si>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</si>
  <si>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</si>
  <si>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</si>
  <si>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</si>
  <si>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</si>
  <si>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</si>
  <si>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</si>
  <si>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</si>
  <si>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</si>
  <si>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</si>
  <si>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</si>
  <si>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</si>
  <si>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</si>
  <si>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</si>
  <si>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</si>
  <si>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</si>
  <si>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</si>
  <si>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</si>
  <si>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</si>
  <si>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</si>
  <si>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</si>
  <si>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</si>
  <si>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</si>
  <si>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</si>
  <si>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</si>
  <si>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</si>
  <si>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</si>
  <si>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</si>
  <si>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</si>
  <si>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</si>
  <si>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</si>
  <si>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</si>
  <si>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</si>
  <si>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</si>
  <si>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</si>
  <si>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</si>
  <si>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</si>
  <si>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</si>
  <si>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</si>
  <si>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</si>
  <si>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</si>
  <si>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</si>
  <si>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</si>
  <si>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</si>
  <si>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</si>
  <si>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</si>
  <si>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</si>
  <si>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</si>
  <si>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</si>
  <si>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</si>
  <si>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</si>
  <si>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</si>
  <si>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</si>
  <si>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</si>
  <si>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</si>
  <si>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</si>
  <si>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</si>
  <si>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</si>
  <si>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</si>
  <si>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</si>
  <si>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</si>
  <si>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</si>
  <si>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</si>
  <si>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</si>
  <si>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</si>
  <si>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</si>
  <si>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</si>
  <si>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</si>
  <si>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</si>
  <si>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</si>
  <si>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</si>
  <si>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</si>
  <si>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</si>
  <si>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</si>
  <si>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</si>
  <si>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</si>
  <si>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</si>
  <si>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</si>
  <si>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</si>
  <si>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</si>
  <si>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</si>
  <si>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</si>
  <si>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</si>
  <si>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</si>
  <si>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</si>
  <si>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</si>
  <si>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</si>
  <si>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</si>
  <si>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</si>
  <si>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</si>
  <si>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</si>
  <si>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</si>
  <si>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</si>
  <si>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</si>
  <si>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</si>
  <si>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</si>
  <si>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</si>
  <si>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</si>
  <si>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</si>
  <si>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</si>
  <si>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</si>
  <si>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</si>
  <si>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</si>
  <si>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</si>
  <si>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</si>
  <si>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</si>
  <si>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</si>
  <si>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</si>
  <si>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</si>
  <si>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</si>
  <si>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</si>
  <si>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</si>
  <si>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</si>
  <si>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</si>
  <si>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</si>
  <si>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</si>
  <si>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</si>
  <si>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</si>
  <si>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</si>
  <si>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</si>
  <si>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</si>
  <si>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</si>
  <si>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</si>
  <si>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</si>
  <si>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</si>
  <si>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</si>
  <si>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</si>
  <si>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</si>
  <si>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</si>
  <si>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</si>
  <si>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</si>
  <si>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</si>
  <si>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</si>
  <si>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</si>
  <si>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</si>
  <si>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</si>
  <si>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</si>
  <si>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</si>
  <si>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</si>
  <si>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</si>
  <si>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</si>
  <si>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</si>
  <si>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</si>
  <si>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</si>
  <si>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</si>
  <si>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</si>
  <si>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</si>
  <si>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</si>
  <si>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</si>
  <si>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</si>
  <si>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</si>
  <si>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</si>
  <si>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</si>
  <si>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</si>
  <si>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</si>
  <si>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</si>
  <si>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</si>
  <si>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</si>
  <si>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</si>
  <si>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</si>
  <si>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</si>
  <si>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</si>
  <si>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</si>
  <si>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</si>
  <si>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</si>
  <si>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</si>
  <si>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</si>
  <si>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</si>
  <si>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</si>
  <si>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</si>
  <si>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</si>
  <si>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</si>
  <si>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</si>
  <si>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</si>
  <si>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</si>
  <si>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</si>
  <si>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</si>
  <si>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</si>
  <si>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</si>
  <si>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</si>
  <si>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</si>
  <si>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</si>
  <si>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</si>
  <si>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</si>
  <si>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</si>
  <si>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</si>
  <si>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</si>
  <si>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</si>
  <si>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</si>
  <si>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</si>
  <si>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</si>
  <si>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</si>
  <si>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</si>
  <si>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</si>
  <si>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</si>
  <si>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</si>
  <si>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</si>
  <si>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</si>
  <si>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</si>
  <si>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</si>
  <si>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</si>
  <si>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</si>
  <si>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</si>
  <si>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</si>
  <si>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</si>
  <si>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</si>
  <si>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</si>
  <si>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</si>
  <si>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</si>
  <si>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</si>
  <si>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</si>
  <si>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</si>
  <si>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</si>
  <si>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</si>
  <si>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</si>
  <si>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</si>
  <si>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</si>
  <si>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</si>
  <si>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</si>
  <si>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</si>
  <si>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</si>
  <si>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</si>
  <si>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</si>
  <si>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</si>
  <si>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</si>
  <si>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</si>
  <si>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</si>
  <si>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</si>
  <si>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</si>
  <si>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</si>
  <si>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</si>
  <si>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</si>
  <si>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</si>
  <si>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</si>
  <si>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</si>
  <si>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</si>
  <si>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</si>
  <si>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</si>
  <si>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</si>
  <si>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</si>
  <si>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</si>
  <si>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</si>
  <si>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</si>
  <si>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</si>
  <si>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</si>
  <si>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</si>
  <si>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</si>
  <si>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</si>
  <si>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</si>
  <si>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</si>
  <si>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</si>
  <si>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</si>
  <si>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</si>
  <si>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</si>
  <si>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</si>
  <si>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</si>
  <si>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</si>
  <si>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</si>
  <si>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</si>
  <si>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</si>
  <si>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</si>
  <si>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</si>
  <si>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</si>
  <si>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</si>
  <si>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</si>
  <si>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</si>
  <si>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</si>
  <si>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</si>
  <si>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</si>
  <si>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remove</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</si>
  <si>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</si>
  <si>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</si>
  <si>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</si>
  <si>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</si>
  <si>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</si>
  <si>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</si>
  <si>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</si>
  <si>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</si>
  <si>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</si>
  <si>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</si>
  <si>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</si>
  <si>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</si>
  <si>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</si>
  <si>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</si>
  <si>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</si>
  <si>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</si>
  <si>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</si>
  <si>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</si>
  <si>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</si>
  <si>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</si>
  <si>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</si>
  <si>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</si>
  <si>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</si>
  <si>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</si>
  <si>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</si>
  <si>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DSS focus (broard groups)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</si>
  <si>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</si>
  <si>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</si>
  <si>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</si>
  <si>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</si>
  <si>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</si>
  <si>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</si>
  <si>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</si>
  <si>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</si>
  <si>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</si>
  <si>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Industrial Case study</t>
  </si>
  <si>
    <t>Offline industrial</t>
  </si>
  <si>
    <t>static evaluation</t>
  </si>
  <si>
    <t>Industrial data</t>
  </si>
  <si>
    <t>classic ML, MES, hyper-/meta-heuristic</t>
  </si>
  <si>
    <t>GP, OO</t>
  </si>
  <si>
    <t>Netherlands</t>
  </si>
  <si>
    <t>Semiconductor</t>
  </si>
  <si>
    <t>Scheduling</t>
  </si>
  <si>
    <t>makespan minisation</t>
  </si>
  <si>
    <t>Improved scheduling of wafer production</t>
  </si>
  <si>
    <t>Ghasemi2022Demonstration</t>
  </si>
  <si>
    <t>https://doi.org/10.1016/j.ifacol.2022.09.677</t>
  </si>
  <si>
    <t>Indutrial Case study</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</si>
  <si>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</si>
  <si>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</si>
  <si>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</si>
  <si>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</si>
  <si>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</si>
  <si>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</si>
  <si>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</si>
  <si>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</si>
  <si>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</si>
  <si>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scenario</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</si>
  <si>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</si>
  <si>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</si>
  <si>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</si>
  <si>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</si>
  <si>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</si>
  <si>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</si>
  <si>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</si>
  <si>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</si>
  <si>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</si>
  <si>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</si>
  <si>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</si>
  <si>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</si>
  <si>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 heuristics</t>
  </si>
  <si>
    <t>MDP, Costum Heuristic, dynamic programming</t>
  </si>
  <si>
    <t>South Korea</t>
  </si>
  <si>
    <t>Automotive</t>
  </si>
  <si>
    <t xml:space="preserve">AMR routing optimisation in an FJSSP </t>
  </si>
  <si>
    <t>Kim2022A</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</si>
  <si>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</si>
  <si>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</si>
  <si>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</si>
  <si>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</si>
  <si>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</si>
  <si>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</si>
  <si>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</si>
  <si>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</si>
  <si>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</si>
  <si>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</si>
  <si>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</si>
  <si>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</si>
  <si>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</si>
  <si>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</si>
  <si>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</si>
  <si>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</si>
  <si>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</si>
  <si>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</si>
  <si>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</si>
  <si>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</si>
  <si>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</si>
  <si>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</si>
  <si>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</si>
  <si>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Quality &amp; maintainance</t>
  </si>
  <si>
    <t>finding the best predictive maintenance model</t>
  </si>
  <si>
    <t>Feng2022Predictive</t>
  </si>
  <si>
    <t>YesNo</t>
  </si>
  <si>
    <t>https://doi.org/10.1080/00207543.2021.1894369</t>
  </si>
  <si>
    <t>heuristic</t>
  </si>
  <si>
    <t>Costum Heuristic, SRPT, SPT, EDD</t>
  </si>
  <si>
    <t xml:space="preserve">Optimsing simultaneous part input sequencing and robot scheduling </t>
  </si>
  <si>
    <t>He2022Simultaneous</t>
  </si>
  <si>
    <t>https://doi.org/10.1016/j.rcim.2021.102202</t>
  </si>
  <si>
    <t>lab case study</t>
  </si>
  <si>
    <t>lab data</t>
  </si>
  <si>
    <t>CPS, IoT, ML, MAS, AGV/AMR</t>
  </si>
  <si>
    <t>RL</t>
  </si>
  <si>
    <t>Improved Scheduling</t>
  </si>
  <si>
    <t>Zhou2021Multiagent</t>
  </si>
  <si>
    <t>https://doi.org/10.3390/s21144836</t>
  </si>
  <si>
    <t>Simulation+Sensitivity analysis</t>
  </si>
  <si>
    <t>IGEP, Discovered dispatching rules</t>
  </si>
  <si>
    <t>Makespan &amp; Tardiness</t>
  </si>
  <si>
    <t>Improved scheduling</t>
  </si>
  <si>
    <t>Zhang2021Datadriven</t>
  </si>
  <si>
    <t>https://doi.org/10.1016/j.jclepro.2021.126093</t>
  </si>
  <si>
    <t>Industrial Case study+scenario+Simulation</t>
  </si>
  <si>
    <t>IoT, Edge Computing</t>
  </si>
  <si>
    <t>Evolutionary Game</t>
  </si>
  <si>
    <t>Makespan</t>
  </si>
  <si>
    <t>improved scheduling</t>
  </si>
  <si>
    <t>Wang2021Evolutionary</t>
  </si>
  <si>
    <t>https://doi.org/10.1109/JPROC.2020.3034808</t>
  </si>
  <si>
    <t>lab Case study</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</si>
  <si>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</si>
  <si>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</si>
  <si>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</si>
  <si>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</si>
  <si>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</si>
  <si>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</si>
  <si>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</si>
  <si>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Case study+simulation</t>
  </si>
  <si>
    <t>industrial data+synthetic</t>
  </si>
  <si>
    <t>DT, heuristic</t>
  </si>
  <si>
    <t>Italy</t>
  </si>
  <si>
    <t>Developing prescriptive maintenance</t>
  </si>
  <si>
    <t>Padovano2021A</t>
  </si>
  <si>
    <t>https://doi.org/10.1109/ACCESS.2020.3046784</t>
  </si>
  <si>
    <t>indsutrial case study+simulation+scenarios</t>
  </si>
  <si>
    <t>Q-learning, Composite Reward Modeling, MDP, RL</t>
  </si>
  <si>
    <t>Zhou2021Reinforcement</t>
  </si>
  <si>
    <t>https://doi.org/10.1016/j.jmsy.2020.04.015</t>
  </si>
  <si>
    <t>lab case study+simulation</t>
  </si>
  <si>
    <t>DT, CPS, OPC UA, Simulation</t>
  </si>
  <si>
    <t>systems engineering, UML modeling</t>
  </si>
  <si>
    <t>Simulation generation</t>
  </si>
  <si>
    <t>Visualization &amp; simulation</t>
  </si>
  <si>
    <t>Makespan minimsation</t>
  </si>
  <si>
    <t>Develop digital twin enabled material handling system</t>
  </si>
  <si>
    <t>Glatt2021Modeling</t>
  </si>
  <si>
    <t>https://doi.org/10.1109/IEEM45057.2020.9309782</t>
  </si>
  <si>
    <t>case study+simulation+scenarios</t>
  </si>
  <si>
    <t>simulation+scenarios</t>
  </si>
  <si>
    <t>DT, CPS, Simulation</t>
  </si>
  <si>
    <t>Heuristic</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</si>
  <si>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</si>
  <si>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</si>
  <si>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</si>
  <si>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</si>
  <si>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</si>
  <si>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</si>
  <si>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</si>
  <si>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costume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</si>
  <si>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</si>
  <si>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</si>
  <si>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</si>
  <si>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</si>
  <si>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</si>
  <si>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</si>
  <si>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</si>
  <si>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indsutrial case study</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</si>
  <si>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</si>
  <si>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</si>
  <si>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</si>
  <si>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</si>
  <si>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</si>
  <si>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</si>
  <si>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</si>
  <si>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</si>
  <si>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 HGE, MDP, PPO, RL</t>
  </si>
  <si>
    <t xml:space="preserve">Improved scheduling </t>
  </si>
  <si>
    <t>Zhang2025MAMHSAN</t>
  </si>
  <si>
    <t>https://doi.org/10.1016/j.swevo.2025.102167</t>
  </si>
  <si>
    <t>industrial case study+sensitivety analysis</t>
  </si>
  <si>
    <t>offline industrial</t>
  </si>
  <si>
    <t>AGV/AMR, metaheuristic</t>
  </si>
  <si>
    <t>Cylinder production</t>
  </si>
  <si>
    <t>Reconfigurable Job Shop Scheduling</t>
  </si>
  <si>
    <t>Makespan minimisation / Machine utilisation</t>
  </si>
  <si>
    <t>Improved AGV order delivery</t>
  </si>
  <si>
    <t>Xiao2025Material</t>
  </si>
  <si>
    <t>https://doi.org/10.3390/su17052198</t>
  </si>
  <si>
    <t>check</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</si>
  <si>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</si>
  <si>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</si>
  <si>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</si>
  <si>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</si>
  <si>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</si>
  <si>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</si>
  <si>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</si>
  <si>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</si>
  <si>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</si>
  <si>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</si>
  <si>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</si>
  <si>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</si>
  <si>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</si>
  <si>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Decision Transformer, Imitation Learning, Neural Local Search, RL</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</si>
  <si>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</si>
  <si>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</si>
  <si>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</si>
  <si>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DT, ML</t>
  </si>
  <si>
    <t>PPO, MDP, graph embedding, GNN, RL</t>
  </si>
  <si>
    <t>Pan2025Smart</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</si>
  <si>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</si>
  <si>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</si>
  <si>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</si>
  <si>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</si>
  <si>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</si>
  <si>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</si>
  <si>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</si>
  <si>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</si>
  <si>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</si>
  <si>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scenario+industrial case study</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</si>
  <si>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</si>
  <si>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</si>
  <si>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</si>
  <si>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</si>
  <si>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</si>
  <si>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</si>
  <si>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</si>
  <si>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</si>
  <si>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</si>
  <si>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</si>
  <si>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</si>
  <si>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simulation+survey study+risk analysis</t>
  </si>
  <si>
    <t>synthetic+industrial data (survey)</t>
  </si>
  <si>
    <t>MB, GA</t>
  </si>
  <si>
    <t>Hungary</t>
  </si>
  <si>
    <t xml:space="preserve">Minimising makespan by consindering the results of risks analysis of HMLV manufacturing </t>
  </si>
  <si>
    <t>Long2025RealTime</t>
  </si>
  <si>
    <t>https://doi.org/10.1007/s00170-021-08163-3</t>
  </si>
  <si>
    <t>scenario+simulation</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</si>
  <si>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</si>
  <si>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</si>
  <si>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</si>
  <si>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</si>
  <si>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</si>
  <si>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</si>
  <si>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</si>
  <si>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</si>
  <si>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</si>
  <si>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</si>
  <si>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</si>
  <si>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</si>
  <si>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</si>
  <si>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</si>
  <si>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</si>
  <si>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</si>
  <si>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</si>
  <si>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</si>
  <si>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</si>
  <si>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</si>
  <si>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</si>
  <si>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</si>
  <si>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</si>
  <si>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</si>
  <si>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</si>
  <si>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</si>
  <si>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</si>
  <si>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</si>
  <si>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</si>
  <si>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</si>
  <si>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</si>
  <si>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</si>
  <si>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</si>
  <si>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</si>
  <si>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</si>
  <si>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</si>
  <si>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</si>
  <si>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</si>
  <si>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MOBLP, LFJO, custom GA, DSM</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</si>
  <si>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</si>
  <si>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</si>
  <si>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</si>
  <si>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</si>
  <si>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</si>
  <si>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</si>
  <si>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</si>
  <si>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ML, metaheuristic</t>
  </si>
  <si>
    <t>Evolutionary Algorithm, MILP, DQN, MDP, Costum heuristic operators, RL, MAS</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</si>
  <si>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</si>
  <si>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</si>
  <si>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</si>
  <si>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</si>
  <si>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</si>
  <si>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</si>
  <si>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</si>
  <si>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</si>
  <si>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</si>
  <si>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</si>
  <si>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</si>
  <si>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</si>
  <si>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</si>
  <si>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</si>
  <si>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</si>
  <si>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</si>
  <si>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 AMR/AGV</t>
  </si>
  <si>
    <t>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</si>
  <si>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</si>
  <si>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</si>
  <si>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</si>
  <si>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</si>
  <si>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 ML</t>
  </si>
  <si>
    <t>GNN, MDP, RL</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</si>
  <si>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</si>
  <si>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</si>
  <si>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</si>
  <si>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</si>
  <si>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MDP, RL</t>
  </si>
  <si>
    <t xml:space="preserve">Improving scheduling </t>
  </si>
  <si>
    <t>Yang2024A</t>
  </si>
  <si>
    <t>https://doi.org/10.1016/j.cie.2024.110507</t>
  </si>
  <si>
    <t>simulation+sensitivity analysis</t>
  </si>
  <si>
    <t>classic ML, DT</t>
  </si>
  <si>
    <t>Simulation, Adaptive Boosting Regressor</t>
  </si>
  <si>
    <t>Canada</t>
  </si>
  <si>
    <t>Nejati2024A</t>
  </si>
  <si>
    <t>https://doi.org/10.1016/j.swevo.2024.101660</t>
  </si>
  <si>
    <t>scenarios</t>
  </si>
  <si>
    <t>static</t>
  </si>
  <si>
    <t>DQN, MDP, PPO, RL</t>
  </si>
  <si>
    <t>Robustness --&gt; Total weighted tardiness (TWT) and Machine utilization</t>
  </si>
  <si>
    <t>Yue2024Twostage</t>
  </si>
  <si>
    <t>https://doi.org/10.1016/j.compchemeng.2024.108748</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</si>
  <si>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</si>
  <si>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</si>
  <si>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</si>
  <si>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</si>
  <si>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</si>
  <si>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DQN, MDP, RAINBOW, RL</t>
  </si>
  <si>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</si>
  <si>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</si>
  <si>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</si>
  <si>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</si>
  <si>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GNN, HGNNR, PPO, MDP, RL</t>
  </si>
  <si>
    <t>flexible Job Shop Scheduling</t>
  </si>
  <si>
    <t>Tang2024Solving</t>
  </si>
  <si>
    <t>https://doi.org/10.1016/j.ijpe.2024.109312</t>
  </si>
  <si>
    <t>DES, RL</t>
  </si>
  <si>
    <t>Material flow control</t>
  </si>
  <si>
    <t>Improving delivery performance</t>
  </si>
  <si>
    <t>He2024The</t>
  </si>
  <si>
    <t>https://doi.org/10.1007/s10845-023-02189-y</t>
  </si>
  <si>
    <t>PPO, DES, RL</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</si>
  <si>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</si>
  <si>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</si>
  <si>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</si>
  <si>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</si>
  <si>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</si>
  <si>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</si>
  <si>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</si>
  <si>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</si>
  <si>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</si>
  <si>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</si>
  <si>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</si>
  <si>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</si>
  <si>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</si>
  <si>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</si>
  <si>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</si>
  <si>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</si>
  <si>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MDP, PPO, RL</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</si>
  <si>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</si>
  <si>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</si>
  <si>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</si>
  <si>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</si>
  <si>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</si>
  <si>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MDP, MAPPO, RL, MAS</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</si>
  <si>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</si>
  <si>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</si>
  <si>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</si>
  <si>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</si>
  <si>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</si>
  <si>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</si>
  <si>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</si>
  <si>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</si>
  <si>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</si>
  <si>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</si>
  <si>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</si>
  <si>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</si>
  <si>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</si>
  <si>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</si>
  <si>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</si>
  <si>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</si>
  <si>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DAN, PPO, RL</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</si>
  <si>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</si>
  <si>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</si>
  <si>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</si>
  <si>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</si>
  <si>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</si>
  <si>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</si>
  <si>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</si>
  <si>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</si>
  <si>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</si>
  <si>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</si>
  <si>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</si>
  <si>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</si>
  <si>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</si>
  <si>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</si>
  <si>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</si>
  <si>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</si>
  <si>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</si>
  <si>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</si>
  <si>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</si>
  <si>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</si>
  <si>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Tardiness(?) (Inventory and transportation cost)</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</si>
  <si>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</si>
  <si>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</si>
  <si>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</si>
  <si>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</si>
  <si>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</si>
  <si>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</si>
  <si>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</si>
  <si>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</si>
  <si>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</si>
  <si>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</si>
  <si>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RL</t>
  </si>
  <si>
    <t>Energy Efficiency / Makespan</t>
  </si>
  <si>
    <t>Liu2025EFJSPIBDR</t>
  </si>
  <si>
    <t>https://doi.org/10.1109/ACCESS.2025.3631334</t>
  </si>
  <si>
    <t>RMS</t>
  </si>
  <si>
    <t>Ontology</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</si>
  <si>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</si>
  <si>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</si>
  <si>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</si>
  <si>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</si>
  <si>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</si>
  <si>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</si>
  <si>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</si>
  <si>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</si>
  <si>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Not HMLV</t>
  </si>
  <si>
    <t>https://doi.org/10.23919/CCC64809.2025.11178931</t>
  </si>
  <si>
    <t>benchmar+scenario</t>
  </si>
  <si>
    <r>
      <rPr>
        <rFont val="Calibri"/>
        <color rgb="FF000000"/>
        <sz val="11.0"/>
      </rPr>
      <t xml:space="preserve">synthetic+benchmark dataset </t>
    </r>
    <r>
      <rPr>
        <rFont val="Calibri"/>
        <color rgb="FF1155CC"/>
        <sz val="11.0"/>
        <u/>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</si>
  <si>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</si>
  <si>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</si>
  <si>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</si>
  <si>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</si>
  <si>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</si>
  <si>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</si>
  <si>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</si>
  <si>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</si>
  <si>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</si>
  <si>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</si>
  <si>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</si>
  <si>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</si>
  <si>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</si>
  <si>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</si>
  <si>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</si>
  <si>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</si>
  <si>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</si>
  <si>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</si>
  <si>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</si>
  <si>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</si>
  <si>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</si>
  <si>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</si>
  <si>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</si>
  <si>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</si>
  <si>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</si>
  <si>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</si>
  <si>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</si>
  <si>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</si>
  <si>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</si>
  <si>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</si>
  <si>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</si>
  <si>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</si>
  <si>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</si>
  <si>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</si>
  <si>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</si>
  <si>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</si>
  <si>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</si>
  <si>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</si>
  <si>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</si>
  <si>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GA</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</si>
  <si>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</si>
  <si>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</si>
  <si>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</si>
  <si>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</si>
  <si>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</si>
  <si>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</si>
  <si>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</si>
  <si>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</si>
  <si>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</si>
  <si>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</si>
  <si>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</si>
  <si>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</si>
  <si>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</si>
  <si>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</si>
  <si>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</si>
  <si>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</si>
  <si>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AGV/AMR</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</si>
  <si>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</si>
  <si>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</si>
  <si>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</si>
  <si>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</si>
  <si>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</si>
  <si>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</si>
  <si>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</si>
  <si>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</si>
  <si>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</si>
  <si>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</si>
  <si>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surrogate modling, RNN, MLP, MHA, DL</t>
  </si>
  <si>
    <t>Changing heavy algorithms with DRL+DT</t>
  </si>
  <si>
    <t>Ghasemi2023Deep</t>
  </si>
  <si>
    <t>https://doi.org/10.1007/978-3-031-43524-9_10</t>
  </si>
  <si>
    <r>
      <rPr/>
      <t xml:space="preserve">synthetic+ benchmark ft </t>
    </r>
    <r>
      <rPr>
        <color rgb="FF1155CC"/>
        <u/>
      </rPr>
      <t>Fisher, Lawrence, orb</t>
    </r>
    <r>
      <rPr/>
      <t>,</t>
    </r>
  </si>
  <si>
    <t>DQN, MDP, Q-learning, RL</t>
  </si>
  <si>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</si>
  <si>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</si>
  <si>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</si>
  <si>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</si>
  <si>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</si>
  <si>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</si>
  <si>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</si>
  <si>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</si>
  <si>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</si>
  <si>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</si>
  <si>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</si>
  <si>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</si>
  <si>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</si>
  <si>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</si>
  <si>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</si>
  <si>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</si>
  <si>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</si>
  <si>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</si>
  <si>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</si>
  <si>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</si>
  <si>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</si>
  <si>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</si>
  <si>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</si>
  <si>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</si>
  <si>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</si>
  <si>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</si>
  <si>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</si>
  <si>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realtime (not HMLV)</t>
  </si>
  <si>
    <t>https://doi.org/10.1016/j.rcim.2022.102324</t>
  </si>
  <si>
    <t>MDP, QMIX, RL, MAS</t>
  </si>
  <si>
    <t>Job shop Scheduling</t>
  </si>
  <si>
    <t>Improve scheduling accuracy</t>
  </si>
  <si>
    <t>Wang2022Solving</t>
  </si>
  <si>
    <t>https://doi.org/10.1016/j.cor.2022.105823</t>
  </si>
  <si>
    <t>simulation+benchmark</t>
  </si>
  <si>
    <t>synthetic+ benchmark mk (Brandimarte)</t>
  </si>
  <si>
    <t>ML, DT</t>
  </si>
  <si>
    <t>Q-Learning, MDP, RL</t>
  </si>
  <si>
    <t>Improving dynamic scheduling with preventive maintenance</t>
  </si>
  <si>
    <t>Yan2022Digital</t>
  </si>
  <si>
    <t>worker ressource</t>
  </si>
  <si>
    <t>https://doi.org/10.1016/j.jmsy.2022.08.005</t>
  </si>
  <si>
    <t>Contract-Net Protocol, FIFO, MAS</t>
  </si>
  <si>
    <t>Maintenance criteria</t>
  </si>
  <si>
    <t>Joint scheduling and maintenance</t>
  </si>
  <si>
    <t>Bencheikh2022An</t>
  </si>
  <si>
    <t>Job shop environment</t>
  </si>
  <si>
    <t>https://doi.org/10.3390/app12115618</t>
  </si>
  <si>
    <t>Industrial Case Study+simulation</t>
  </si>
  <si>
    <t>ML, Plant Simulation software</t>
  </si>
  <si>
    <t>DES, k-means</t>
  </si>
  <si>
    <t>Pneumatic components</t>
  </si>
  <si>
    <t>Demand forecasting</t>
  </si>
  <si>
    <t>Improving daily decision support</t>
  </si>
  <si>
    <t>Gdri2022Improving</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</si>
  <si>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</si>
  <si>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</si>
  <si>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</si>
  <si>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</si>
  <si>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</si>
  <si>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</si>
  <si>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</si>
  <si>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</si>
  <si>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</si>
  <si>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</si>
  <si>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</si>
  <si>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</si>
  <si>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</si>
  <si>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</si>
  <si>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</si>
  <si>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</si>
  <si>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</si>
  <si>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</si>
  <si>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</si>
  <si>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</si>
  <si>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ML, AGV/AMR, metaheuristic</t>
  </si>
  <si>
    <t>GNN, MDP, GA, RL</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</si>
  <si>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</si>
  <si>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</si>
  <si>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</si>
  <si>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</si>
  <si>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</si>
  <si>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</si>
  <si>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</si>
  <si>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</si>
  <si>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</si>
  <si>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</si>
  <si>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</si>
  <si>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</si>
  <si>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</si>
  <si>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</si>
  <si>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</si>
  <si>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</si>
  <si>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</si>
  <si>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</si>
  <si>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</si>
  <si>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</si>
  <si>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 metaheuristic</t>
  </si>
  <si>
    <t>Makespan + Tardiness</t>
  </si>
  <si>
    <t>Improve dynamic re/scheduling</t>
  </si>
  <si>
    <t>Chen2025Optimizing</t>
  </si>
  <si>
    <t>https://doi.org/10.3390/math13010004</t>
  </si>
  <si>
    <t>synthetic+benchmark Kacem</t>
  </si>
  <si>
    <t>ML, AVG/AMR, metaheuristic</t>
  </si>
  <si>
    <t>DQN, GA, MDP, RL</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</si>
  <si>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</si>
  <si>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</si>
  <si>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</si>
  <si>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</si>
  <si>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</si>
  <si>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</si>
  <si>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</si>
  <si>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DT, cloud computing, fog computing, edge computing, metaheuristic</t>
  </si>
  <si>
    <t>GA, ALNS, TS, ATC, HSC, Interior-point method</t>
  </si>
  <si>
    <t>Total system cost(production + distribution)</t>
  </si>
  <si>
    <t>Improving distribution across factories</t>
  </si>
  <si>
    <t>Hong2025Cloudfogedge</t>
  </si>
  <si>
    <r>
      <rPr>
        <rFont val="Calibri, sans-serif"/>
        <color rgb="FF1155CC"/>
        <sz val="11.0"/>
        <u/>
      </rPr>
      <t>https://doi.org/10.1109/SMC54092.2024.10831278</t>
    </r>
  </si>
  <si>
    <t>PPO,weight-decomposition, neighborhood-inheritance, RL, MAS</t>
  </si>
  <si>
    <t>Minimise makespan &amp; Total logistics cost</t>
  </si>
  <si>
    <t>Shi2024ProductionLogistics</t>
  </si>
  <si>
    <t>https://doi.org/10.1109/ICMLCA63499.2024.10754379</t>
  </si>
  <si>
    <t>Benchmark</t>
  </si>
  <si>
    <t>Hurink J benchmark and Behnke D benchmark</t>
  </si>
  <si>
    <t>A2C, MDP, GA, K-means clustering, DNN, RL</t>
  </si>
  <si>
    <t>India</t>
  </si>
  <si>
    <t>Sun2024Research</t>
  </si>
  <si>
    <r>
      <rPr>
        <rFont val="Calibri, sans-serif"/>
        <color rgb="FF1155CC"/>
        <sz val="11.0"/>
        <u/>
      </rPr>
      <t>https://doi.org/10.1080/00207543.2024.2408671</t>
    </r>
  </si>
  <si>
    <t>Instudtrial Case study</t>
  </si>
  <si>
    <t>DT, metaheuristic</t>
  </si>
  <si>
    <t>GA, ALNS</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</si>
  <si>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</si>
  <si>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</si>
  <si>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</si>
  <si>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</si>
  <si>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</si>
  <si>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 MDP, RL</t>
  </si>
  <si>
    <t>He2024Deep</t>
  </si>
  <si>
    <t>https://doi.org/10.1007/978-981-97-5581-3_15</t>
  </si>
  <si>
    <t>Energy efficiency</t>
  </si>
  <si>
    <t>Xu2024Ab</t>
  </si>
  <si>
    <t>https://doi.org/10.1109/ACCESS.2024.3430218</t>
  </si>
  <si>
    <t>ML, Plant Simulation software, metaheuristic</t>
  </si>
  <si>
    <t>Genetic Algorithm, DL</t>
  </si>
  <si>
    <t>Pereira2024Energy</t>
  </si>
  <si>
    <r>
      <rPr>
        <rFont val="Calibri, sans-serif"/>
        <color rgb="FF1155CC"/>
        <sz val="11.0"/>
        <u/>
      </rPr>
      <t>https://doi.org/10.1007/978-981-97-0194-0_11</t>
    </r>
  </si>
  <si>
    <t>DQN, MDP, DQN, SPT,LPT,SRT,LRT,SDT,SRWT,MMUR,SMPT,SRTT,MAUR, RL</t>
  </si>
  <si>
    <t>Hou2024Deep</t>
  </si>
  <si>
    <r>
      <rPr>
        <rFont val="Calibri, sans-serif"/>
        <color rgb="FF1155CC"/>
        <sz val="11.0"/>
        <u/>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</si>
  <si>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</si>
  <si>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</si>
  <si>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</si>
  <si>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</si>
  <si>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</si>
  <si>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</si>
  <si>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</si>
  <si>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</si>
  <si>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</si>
  <si>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GNN, Graph embidding, MDP, PPO, RL</t>
  </si>
  <si>
    <t>Electronics</t>
  </si>
  <si>
    <t>Zhang2023Dynamic</t>
  </si>
  <si>
    <r>
      <rPr>
        <rFont val="Calibri, sans-serif"/>
        <color rgb="FF1155CC"/>
        <sz val="11.0"/>
        <u/>
      </rPr>
      <t>https://doi.org/10.1016/j.cie.2023.109650</t>
    </r>
  </si>
  <si>
    <t>scenario+industrial Case study</t>
  </si>
  <si>
    <t xml:space="preserve">Synthetic+industrial data </t>
  </si>
  <si>
    <t>DQN, MDP, RL, MAS</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</si>
  <si>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</si>
  <si>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</si>
  <si>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</si>
  <si>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MMIP, costum NSGA-II heuristic (EHA)</t>
  </si>
  <si>
    <t>Xu2023Multiobjective</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</si>
  <si>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</si>
  <si>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</si>
  <si>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GNN, MDP, PPO, MLP, RL</t>
  </si>
  <si>
    <t>Song2023Flexible</t>
  </si>
  <si>
    <r>
      <rPr>
        <rFont val="Calibri, sans-serif"/>
        <color rgb="FF1155CC"/>
        <sz val="11.0"/>
        <u/>
      </rPr>
      <t>https://doi.org/10.1016/j.future.2024.05.058</t>
    </r>
  </si>
  <si>
    <t>Genetic Algorithm, rule based?</t>
  </si>
  <si>
    <t>machine utilisation</t>
  </si>
  <si>
    <t xml:space="preserve">improved Scheduling </t>
  </si>
  <si>
    <t>Zhou2024Practical</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</si>
  <si>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</si>
  <si>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</si>
  <si>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</si>
  <si>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ML, IoT</t>
  </si>
  <si>
    <t>DQN, fluid model, DES, RL</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</si>
  <si>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</si>
  <si>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</si>
  <si>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</si>
  <si>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PPO, MDP, Masking, RL</t>
  </si>
  <si>
    <t>tardiness</t>
  </si>
  <si>
    <t>Zhang2025Optimization</t>
  </si>
  <si>
    <r>
      <rPr>
        <rFont val="Calibri, sans-serif"/>
        <color rgb="FF1155CC"/>
        <sz val="11.0"/>
        <u/>
      </rPr>
      <t>https://doi.org/10.1115/1.4068980</t>
    </r>
  </si>
  <si>
    <t>DT, AGV/AMR</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</si>
  <si>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</si>
  <si>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</si>
  <si>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</si>
  <si>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GNN, MDP, DBSCAN, MLP, RL</t>
  </si>
  <si>
    <t>Zhong2025Flexible</t>
  </si>
  <si>
    <r>
      <rPr>
        <rFont val="Calibri, sans-serif"/>
        <color rgb="FF1155CC"/>
        <sz val="11.0"/>
        <u/>
      </rPr>
      <t>https://doi.org/10.1080/17509653.2025.2498119</t>
    </r>
  </si>
  <si>
    <t>Classic ML</t>
  </si>
  <si>
    <t>Ensemble Methods, Gradient Boosting, SMOTE, Randomized Search, 5-fold cross-validation</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</si>
  <si>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</si>
  <si>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</si>
  <si>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</si>
  <si>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</si>
  <si>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</si>
  <si>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</si>
  <si>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</si>
  <si>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ML, Cloud computing, Edge computing</t>
  </si>
  <si>
    <t>DQN, MDP, composite rules, RL</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</si>
  <si>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</si>
  <si>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</si>
  <si>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</si>
  <si>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</si>
  <si>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</si>
  <si>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</si>
  <si>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</si>
  <si>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</si>
  <si>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</si>
  <si>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</si>
  <si>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</si>
  <si>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</si>
  <si>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</si>
  <si>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</si>
  <si>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Metaheuristic</t>
  </si>
  <si>
    <t>Genetic Algorithm, Fuzzy Logic, MILP</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</si>
  <si>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</si>
  <si>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</si>
  <si>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</si>
  <si>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</si>
  <si>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</si>
  <si>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</si>
  <si>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</si>
  <si>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costume heuristic</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</si>
  <si>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</si>
  <si>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</si>
  <si>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</si>
  <si>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</si>
  <si>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</si>
  <si>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</si>
  <si>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</si>
  <si>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</si>
  <si>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</si>
  <si>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</si>
  <si>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</si>
  <si>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</si>
  <si>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</si>
  <si>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</si>
  <si>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Tabu Search</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</si>
  <si>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</si>
  <si>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</si>
  <si>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</si>
  <si>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</si>
  <si>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</si>
  <si>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</si>
  <si>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t>
  </si>
  <si>
    <t>Pressure vessels</t>
  </si>
  <si>
    <t>total electricity cost, tardiness</t>
  </si>
  <si>
    <t>Minimising total tardiness and energy useage</t>
  </si>
  <si>
    <t>Xue2025Multiobjective</t>
  </si>
  <si>
    <t>x (Special in that it is comprehensive and does multi-objective optimisation.</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</si>
  <si>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</si>
  <si>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</si>
  <si>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</si>
  <si>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</si>
  <si>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Simulated Annealing, GRASP, Monte Carlo Simulation, MILP</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</si>
  <si>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</si>
  <si>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</si>
  <si>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</si>
  <si>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</si>
  <si>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</si>
  <si>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</si>
  <si>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t>
  </si>
  <si>
    <t>Che2016Efficient</t>
  </si>
  <si>
    <t>https://doi.org/10.1016/j.jmsy.2024.03.015</t>
  </si>
  <si>
    <t>synthetic+lab data</t>
  </si>
  <si>
    <t>ML, Robot, MR-HMD</t>
  </si>
  <si>
    <t>Simulation, SAC (soft A2C), MDP, IK, RL</t>
  </si>
  <si>
    <t>Human-robot collaboration</t>
  </si>
  <si>
    <t>Developing safe HRCs</t>
  </si>
  <si>
    <t>Li2024Unleashing</t>
  </si>
  <si>
    <t>x (Does something different)</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</si>
  <si>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</si>
  <si>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</si>
  <si>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</si>
  <si>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</si>
  <si>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</si>
  <si>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</si>
  <si>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</si>
  <si>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</si>
  <si>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</si>
  <si>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</si>
  <si>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</si>
  <si>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</si>
  <si>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</si>
  <si>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</si>
  <si>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</si>
  <si>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</si>
  <si>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</si>
  <si>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</si>
  <si>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</si>
  <si>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</si>
  <si>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</si>
  <si>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ML, Simio simulation</t>
  </si>
  <si>
    <t>DES, DQN, MDP, RL</t>
  </si>
  <si>
    <t>Combining DT and DES</t>
  </si>
  <si>
    <t>Devanga2022Applied</t>
  </si>
  <si>
    <t>https://doi.org/10.1007/978-3-031-14844-6_3</t>
  </si>
  <si>
    <t>Case study, 3-axis universal machining center</t>
  </si>
  <si>
    <t>IoT, CPS</t>
  </si>
  <si>
    <t>Defect prevenetion</t>
  </si>
  <si>
    <t>Developing a sensor network</t>
  </si>
  <si>
    <t>Tanane2022Toward</t>
  </si>
  <si>
    <t>https://doi.org/10.1109/TEM.2018.2846627</t>
  </si>
  <si>
    <t>Case study</t>
  </si>
  <si>
    <t>Genetic Algorithm, MIP, WSM</t>
  </si>
  <si>
    <t>Tardiness + energy cost</t>
  </si>
  <si>
    <t>Developing energy-aware scheduling framework</t>
  </si>
  <si>
    <t>Rubaiee2019An</t>
  </si>
  <si>
    <t>https://doi.org/10.1016/j.swevo.2024.101762</t>
  </si>
  <si>
    <r>
      <rPr/>
      <t xml:space="preserve">litterature data+benchmark data </t>
    </r>
    <r>
      <rPr>
        <color rgb="FF1155CC"/>
        <u/>
      </rPr>
      <t>scholl ALBP</t>
    </r>
  </si>
  <si>
    <t>Robot, ML, Metaheuristic</t>
  </si>
  <si>
    <t>Co-Evolutionary Algorithm, MILP, MDP, Q-learning, RL</t>
  </si>
  <si>
    <t>Productivity + cost</t>
  </si>
  <si>
    <t>Improving assembly lines with skilled human-robot colllab</t>
  </si>
  <si>
    <t>Tian2024Balancing</t>
  </si>
  <si>
    <t>https://doi.org/10.1016/j.jmsy.2023.11.019</t>
  </si>
  <si>
    <t>FACTs Analyzer simulation, metaheuristic</t>
  </si>
  <si>
    <t>costume NSGA-ll, meta-learning</t>
  </si>
  <si>
    <t>Sweden</t>
  </si>
  <si>
    <t>Marine engine</t>
  </si>
  <si>
    <t>Operator allocation</t>
  </si>
  <si>
    <t>Max. throughput, min. operators, min. number of forklifts</t>
  </si>
  <si>
    <t>Supporting resource-allocation decisions</t>
  </si>
  <si>
    <t>Mahmoodi2024Datadriven</t>
  </si>
  <si>
    <t>https://doi.org/10.1109/TSMC.2023.3317390</t>
  </si>
  <si>
    <t>Robot, ML</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</si>
  <si>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</si>
  <si>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</si>
  <si>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</si>
  <si>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</si>
  <si>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</si>
  <si>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</si>
  <si>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</si>
  <si>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</si>
  <si>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</si>
  <si>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</si>
  <si>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Robot, metaheuristic</t>
  </si>
  <si>
    <t>QFA</t>
  </si>
  <si>
    <t>Transport cost + tardiness cost</t>
  </si>
  <si>
    <t>Optimising cloud manufacturing</t>
  </si>
  <si>
    <t>Du2022Production</t>
  </si>
  <si>
    <t>https://doi.org/10.1016/j.compind.2021.103433</t>
  </si>
  <si>
    <t>scenario+lab case study</t>
  </si>
  <si>
    <t>Robot, AGV/AMR</t>
  </si>
  <si>
    <t>simulation, MCTS</t>
  </si>
  <si>
    <t>Production cycle completition time</t>
  </si>
  <si>
    <t>MCTS for rapid online scheduling</t>
  </si>
  <si>
    <t>Senington2021Monte</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</si>
  <si>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</si>
  <si>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</si>
  <si>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</si>
  <si>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</si>
  <si>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</si>
  <si>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</si>
  <si>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</si>
  <si>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</si>
  <si>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</si>
  <si>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</si>
  <si>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</si>
  <si>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</si>
  <si>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</si>
  <si>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</si>
  <si>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</si>
  <si>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</si>
  <si>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</si>
  <si>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</si>
  <si>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</si>
  <si>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</si>
  <si>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</si>
  <si>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</si>
  <si>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</si>
  <si>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</si>
  <si>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</si>
  <si>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</si>
  <si>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rPr/>
      <t xml:space="preserve">synthetic based on extended_benchmark </t>
    </r>
    <r>
      <rPr>
        <color rgb="FF1155CC"/>
        <u/>
      </rPr>
      <t>fattahi</t>
    </r>
  </si>
  <si>
    <t>HGA, Markov chains</t>
  </si>
  <si>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</si>
  <si>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</si>
  <si>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</si>
  <si>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</si>
  <si>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</si>
  <si>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</si>
  <si>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MILP, SA</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</si>
  <si>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</si>
  <si>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</si>
  <si>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</si>
  <si>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</si>
  <si>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</si>
  <si>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</si>
  <si>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t>
  </si>
  <si>
    <t>Max. Throughput, min. buffers, operators and AMRs</t>
  </si>
  <si>
    <t>Optimise with model-based multi-objective</t>
  </si>
  <si>
    <t>Mahmoodi2025Predictive</t>
  </si>
  <si>
    <t>replaces a computationally heavy simulation model with random forest regressor, because of its long runtime.</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</si>
  <si>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</si>
  <si>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</si>
  <si>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</si>
  <si>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</si>
  <si>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</si>
  <si>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MDP, DQN, RL</t>
  </si>
  <si>
    <t>Adaptive job SSP</t>
  </si>
  <si>
    <t>improves scheduling efficiency</t>
  </si>
  <si>
    <t>Han2020Research</t>
  </si>
  <si>
    <t>paper_6.pdf</t>
  </si>
  <si>
    <t>RMS, metaheuristic</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</si>
  <si>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</si>
  <si>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</si>
  <si>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</si>
  <si>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</si>
  <si>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</si>
  <si>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</si>
  <si>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</si>
  <si>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Can be used to argue for AI vs human on a demonstrating level (very lightly).</t>
  </si>
  <si>
    <t>https://doi.org/10.1007/978-3-030-53956-6_10</t>
  </si>
  <si>
    <t>Artificial fish swarm</t>
  </si>
  <si>
    <t>Flexible Job SSP</t>
  </si>
  <si>
    <t>minimize makespan</t>
  </si>
  <si>
    <t>Peng2020The</t>
  </si>
  <si>
    <t>https://doi.org/10.1109/EDOCW.2019.00022</t>
  </si>
  <si>
    <t>Data Mining, MAS</t>
  </si>
  <si>
    <t>improves process visiblity</t>
  </si>
  <si>
    <t>Bemthuis2019An</t>
  </si>
  <si>
    <t>https://doi.org/10.1109/ICPHM.2019.8819397</t>
  </si>
  <si>
    <t>Simulation+benchmark</t>
  </si>
  <si>
    <r>
      <rPr/>
      <t xml:space="preserve">Benchmark data </t>
    </r>
    <r>
      <rPr>
        <color rgb="FF1155CC"/>
        <u/>
      </rPr>
      <t>Fisher</t>
    </r>
  </si>
  <si>
    <t>GA, SA</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</si>
  <si>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</si>
  <si>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</si>
  <si>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</si>
  <si>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</si>
  <si>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</si>
  <si>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Pareto, RL, MAS</t>
  </si>
  <si>
    <t>Job SSP</t>
  </si>
  <si>
    <t>Makespan+Tardiness</t>
  </si>
  <si>
    <t>optimize multiple scheduling objectives</t>
  </si>
  <si>
    <t>MndezHernndez2019A</t>
  </si>
  <si>
    <t>https://doi.org/10.1016/j.procir.2019.03.041</t>
  </si>
  <si>
    <t>ANN, RL</t>
  </si>
  <si>
    <t>reduce fault isolation time</t>
  </si>
  <si>
    <t>Kuhnle2019Design</t>
  </si>
  <si>
    <t xml:space="preserve"> Job shop environment</t>
  </si>
  <si>
    <t>https://doi.org/10.1016/j.cirp.2019.04.001</t>
  </si>
  <si>
    <t xml:space="preserve">Simulation+indsutrial case study </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</si>
  <si>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</si>
  <si>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</si>
  <si>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</si>
  <si>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</si>
  <si>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</si>
  <si>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</si>
  <si>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</si>
  <si>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</si>
  <si>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</si>
  <si>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</si>
  <si>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</si>
  <si>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</si>
  <si>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</si>
  <si>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</si>
  <si>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 data </t>
    </r>
    <r>
      <rPr>
        <color rgb="FF1155CC"/>
        <u/>
      </rPr>
      <t>Brandimarte</t>
    </r>
  </si>
  <si>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</si>
  <si>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</si>
  <si>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</si>
  <si>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</si>
  <si>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</si>
  <si>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</si>
  <si>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improve schedulling decisions</t>
  </si>
  <si>
    <t>Hua2025Solving</t>
  </si>
  <si>
    <t>https://doi.org/10.1016/j.rcim.2024.102917</t>
  </si>
  <si>
    <t>MDP, CNN, RL</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</si>
  <si>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</si>
  <si>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</si>
  <si>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</si>
  <si>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</si>
  <si>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</si>
  <si>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</si>
  <si>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</si>
  <si>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</si>
  <si>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</si>
  <si>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</si>
  <si>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LLM, AGV/AMR</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</si>
  <si>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</si>
  <si>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</si>
  <si>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</si>
  <si>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</si>
  <si>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</si>
  <si>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</si>
  <si>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</si>
  <si>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</si>
  <si>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</si>
  <si>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</si>
  <si>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</si>
  <si>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</si>
  <si>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</si>
  <si>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</si>
  <si>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</si>
  <si>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</si>
  <si>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</si>
  <si>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</si>
  <si>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</si>
  <si>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</si>
  <si>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</si>
  <si>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</si>
  <si>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</si>
  <si>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</si>
  <si>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EA, heuristics, MILP, RL</t>
  </si>
  <si>
    <t>Distributed Flexible Job SSP</t>
  </si>
  <si>
    <t>makespan+energy consumption</t>
  </si>
  <si>
    <t>balance production efficiency and maintenance decisions</t>
  </si>
  <si>
    <t>Yan2025Ab</t>
  </si>
  <si>
    <t>https://doi.org/10.1016/j.procir.2018.03.098</t>
  </si>
  <si>
    <t>industrial case study+simulation</t>
  </si>
  <si>
    <t>Heuristics, simulation, random-forrest</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</si>
  <si>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</si>
  <si>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</si>
  <si>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</si>
  <si>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</si>
  <si>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</si>
  <si>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</si>
  <si>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</si>
  <si>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</si>
  <si>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</si>
  <si>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</si>
  <si>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</si>
  <si>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</si>
  <si>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</si>
  <si>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</si>
  <si>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</si>
  <si>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</si>
  <si>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</si>
  <si>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</si>
  <si>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</si>
  <si>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</si>
  <si>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</si>
  <si>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</si>
  <si>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</si>
  <si>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</si>
  <si>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</si>
  <si>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DT, Heuristic</t>
  </si>
  <si>
    <t>Heuristics, simulation</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</si>
  <si>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</si>
  <si>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</si>
  <si>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</si>
  <si>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</si>
  <si>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</si>
  <si>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enhance real time disruption response</t>
  </si>
  <si>
    <t>deployd</t>
  </si>
  <si>
    <t>Zhang2025Digitala</t>
  </si>
  <si>
    <t>https://doi.org/10.1177/16878132221086120</t>
  </si>
  <si>
    <t>MDP, DQN, RL</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</si>
  <si>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</si>
  <si>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</si>
  <si>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</si>
  <si>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</si>
  <si>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</si>
  <si>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GA, simulation</t>
  </si>
  <si>
    <t>Balance time efficiency and cost in multi objective schedduling</t>
  </si>
  <si>
    <t>Zhai2022Predictive</t>
  </si>
  <si>
    <t>https://doi.org/10.1108/VJIKMS-08-2021-0146</t>
  </si>
  <si>
    <t>DL, ANN, MLP</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</si>
  <si>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</si>
  <si>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</si>
  <si>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</si>
  <si>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</si>
  <si>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</si>
  <si>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PPO, GNN, Attention mechanism, MDP, RL</t>
  </si>
  <si>
    <t>Wang2024Unified</t>
  </si>
  <si>
    <t>https://doi.org/10.1109/ICICIS52592.2021.9694207</t>
  </si>
  <si>
    <r>
      <rPr>
        <color theme="1"/>
      </rPr>
      <t xml:space="preserve">synthetic+benchmark data </t>
    </r>
    <r>
      <rPr>
        <color rgb="FF1155CC"/>
        <u/>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</si>
  <si>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</si>
  <si>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</si>
  <si>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</si>
  <si>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</si>
  <si>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</si>
  <si>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</si>
  <si>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</si>
  <si>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</si>
  <si>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</si>
  <si>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</si>
  <si>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</si>
  <si>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</si>
  <si>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</si>
  <si>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</si>
  <si>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</si>
  <si>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</si>
  <si>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</si>
  <si>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</si>
  <si>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</si>
  <si>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</si>
  <si>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</si>
  <si>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Tabu Search</t>
  </si>
  <si>
    <t>improve real world robustness under uncertainity</t>
  </si>
  <si>
    <t>Bubak2025An</t>
  </si>
  <si>
    <t>https://doi.org/10.1016/j.cie.2024.110646</t>
  </si>
  <si>
    <t>Improve generalization to real-world dynamic shop conditions</t>
  </si>
  <si>
    <t>Ouahabi2025Dynamic</t>
  </si>
  <si>
    <t>https://doi.org/10.1016/j.ijpe.2024.109447</t>
  </si>
  <si>
    <t>Real industrial case study+simulation</t>
  </si>
  <si>
    <t>industrial data+synthetic+expert knowledge</t>
  </si>
  <si>
    <t>GA, Simulation</t>
  </si>
  <si>
    <t>improve scheddulling</t>
  </si>
  <si>
    <t>Lee2025Ab</t>
  </si>
  <si>
    <t>https://doi.org/10.1109/ICESEP66633.2025.11155526</t>
  </si>
  <si>
    <t>Pareto, NSGA-II</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</si>
  <si>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</si>
  <si>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</si>
  <si>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</si>
  <si>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</si>
  <si>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DAN, PPO, MDP, RL</t>
  </si>
  <si>
    <t>Li2025Ab</t>
  </si>
  <si>
    <t>https://www.diva-portal.org/smash/record.jsf?pid=diva2%3A1991113&amp;dswid=8075</t>
  </si>
  <si>
    <t>simulation+industrial case study</t>
  </si>
  <si>
    <t>TSB, Prophet</t>
  </si>
  <si>
    <t>Vietnam</t>
  </si>
  <si>
    <t>improve forcasting accuracy under demand conditions</t>
  </si>
  <si>
    <t>Flyckt2025Navigating</t>
  </si>
  <si>
    <t>L3, and will be removed from L2 table</t>
  </si>
  <si>
    <t>https://doi.org/10.1080/00207543.2025.2550454</t>
  </si>
  <si>
    <t>DQN, Dispatching Rules, PPO, MDP, RL</t>
  </si>
  <si>
    <t>makespan+tardiness</t>
  </si>
  <si>
    <t>improve robustness under dcynamic conditions</t>
  </si>
  <si>
    <t>Yi2025Dynamic</t>
  </si>
  <si>
    <t>Total simulation</t>
  </si>
  <si>
    <t>https://doi.org/10.1109/JIOT.2025.3584811</t>
  </si>
  <si>
    <t>GNN, MDP, RL, MAS</t>
  </si>
  <si>
    <t>improve scalability</t>
  </si>
  <si>
    <t>Zeng2025PermutationInvariant</t>
  </si>
  <si>
    <t>https://doi.org/10.1109/ACCESS.2025.3577044</t>
  </si>
  <si>
    <t>benchmark+scenario+industrial case study</t>
  </si>
  <si>
    <r>
      <rPr>
        <color theme="1"/>
      </rPr>
      <t xml:space="preserve">benchmark mk </t>
    </r>
    <r>
      <rPr>
        <color rgb="FF1155CC"/>
        <u/>
      </rPr>
      <t>Brandimarte</t>
    </r>
    <r>
      <rPr>
        <color theme="1"/>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</si>
  <si>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</si>
  <si>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</si>
  <si>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</si>
  <si>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</si>
  <si>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</si>
  <si>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</si>
  <si>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</si>
  <si>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</si>
  <si>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</si>
  <si>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https://doi.org/10.1016/j.cie.2024.110006</t>
  </si>
  <si>
    <t>Dispatching Rules</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</si>
  <si>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</si>
  <si>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</si>
  <si>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</si>
  <si>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</si>
  <si>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</si>
  <si>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</si>
  <si>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</si>
  <si>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 Metaheuristic</t>
  </si>
  <si>
    <t>SA</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</si>
  <si>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</si>
  <si>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</si>
  <si>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</si>
  <si>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</si>
  <si>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</si>
  <si>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</si>
  <si>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</si>
  <si>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</si>
  <si>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</si>
  <si>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</si>
  <si>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</si>
  <si>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</si>
  <si>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</si>
  <si>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</si>
  <si>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</si>
  <si>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</si>
  <si>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</si>
  <si>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</si>
  <si>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</si>
  <si>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</si>
  <si>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</si>
  <si>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</si>
  <si>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</si>
  <si>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</si>
  <si>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</si>
  <si>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</si>
  <si>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costume metaheuristic</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</si>
  <si>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</si>
  <si>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</si>
  <si>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</si>
  <si>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</si>
  <si>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</si>
  <si>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</si>
  <si>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</si>
  <si>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</si>
  <si>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</si>
  <si>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</si>
  <si>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</si>
  <si>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</si>
  <si>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</si>
  <si>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</si>
  <si>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</si>
  <si>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</si>
  <si>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</si>
  <si>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</si>
  <si>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</si>
  <si>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</si>
  <si>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</si>
  <si>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</si>
  <si>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</si>
  <si>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</si>
  <si>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</si>
  <si>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</si>
  <si>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</si>
  <si>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</si>
  <si>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</si>
  <si>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</si>
  <si>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t>
  </si>
  <si>
    <t>Furniture</t>
  </si>
  <si>
    <t>improve machine utilization and workload</t>
  </si>
  <si>
    <t>Fu2025Hybrid</t>
  </si>
  <si>
    <t>Was L3, moved L1.</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</si>
  <si>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</si>
  <si>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</si>
  <si>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</si>
  <si>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</si>
  <si>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</si>
  <si>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</si>
  <si>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</si>
  <si>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</si>
  <si>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</si>
  <si>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</si>
  <si>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</si>
  <si>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RMS, Metaheuristic</t>
  </si>
  <si>
    <t>MILP, simulation, SA</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</si>
  <si>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</si>
  <si>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</si>
  <si>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</si>
  <si>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</si>
  <si>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</si>
  <si>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</si>
  <si>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</si>
  <si>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</si>
  <si>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</si>
  <si>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</si>
  <si>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</si>
  <si>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</si>
  <si>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</si>
  <si>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</si>
  <si>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</si>
  <si>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</si>
  <si>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</si>
  <si>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</si>
  <si>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</si>
  <si>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</si>
  <si>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</si>
  <si>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</si>
  <si>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</si>
  <si>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</si>
  <si>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</si>
  <si>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</si>
  <si>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</si>
  <si>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</si>
  <si>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</si>
  <si>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</si>
  <si>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</si>
  <si>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</si>
  <si>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</si>
  <si>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</si>
  <si>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</si>
  <si>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</si>
  <si>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</si>
  <si>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</si>
  <si>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</si>
  <si>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</si>
  <si>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</si>
  <si>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</si>
  <si>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</si>
  <si>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</si>
  <si>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</si>
  <si>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</si>
  <si>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</si>
  <si>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</si>
  <si>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</si>
  <si>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</si>
  <si>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</si>
  <si>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</si>
  <si>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</si>
  <si>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</si>
  <si>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</si>
  <si>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</si>
  <si>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</si>
  <si>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</si>
  <si>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</si>
  <si>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</si>
  <si>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</si>
  <si>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</si>
  <si>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</si>
  <si>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</si>
  <si>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</si>
  <si>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</si>
  <si>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</si>
  <si>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</si>
  <si>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</si>
  <si>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</si>
  <si>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</si>
  <si>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</si>
  <si>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</si>
  <si>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</si>
  <si>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</si>
  <si>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</si>
  <si>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</si>
  <si>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</si>
  <si>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</si>
  <si>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</si>
  <si>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</si>
  <si>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</si>
  <si>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</si>
  <si>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</si>
  <si>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</si>
  <si>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</si>
  <si>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</si>
  <si>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</si>
  <si>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</si>
  <si>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</si>
  <si>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</si>
  <si>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</si>
  <si>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</si>
  <si>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</si>
  <si>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</si>
  <si>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</si>
  <si>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</si>
  <si>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</si>
  <si>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</si>
  <si>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</si>
  <si>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</si>
  <si>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</si>
  <si>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</si>
  <si>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</si>
  <si>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</si>
  <si>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</si>
  <si>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</si>
  <si>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</si>
  <si>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</si>
  <si>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</si>
  <si>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</si>
  <si>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</si>
  <si>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</si>
  <si>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</si>
  <si>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</si>
  <si>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</si>
  <si>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</si>
  <si>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</si>
  <si>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</si>
  <si>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</si>
  <si>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</si>
  <si>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</si>
  <si>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</si>
  <si>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</si>
  <si>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</si>
  <si>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</si>
  <si>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</si>
  <si>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</si>
  <si>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</si>
  <si>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</si>
  <si>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</si>
  <si>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</si>
  <si>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</si>
  <si>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</si>
  <si>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</si>
  <si>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</si>
  <si>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</si>
  <si>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</si>
  <si>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</si>
  <si>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</si>
  <si>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</si>
  <si>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</si>
  <si>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</si>
  <si>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</si>
  <si>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</si>
  <si>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</si>
  <si>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</si>
  <si>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</si>
  <si>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</si>
  <si>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</si>
  <si>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</si>
  <si>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</si>
  <si>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</si>
  <si>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</si>
  <si>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</si>
  <si>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</si>
  <si>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</si>
  <si>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</si>
  <si>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</si>
  <si>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</si>
  <si>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</si>
  <si>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</si>
  <si>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</si>
  <si>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</si>
  <si>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</si>
  <si>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</si>
  <si>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</si>
  <si>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</si>
  <si>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</si>
  <si>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</si>
  <si>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</si>
  <si>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</si>
  <si>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</si>
  <si>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</si>
  <si>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</si>
  <si>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</si>
  <si>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</si>
  <si>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</si>
  <si>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</si>
  <si>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</si>
  <si>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</si>
  <si>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</si>
  <si>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</si>
  <si>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</si>
  <si>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</si>
  <si>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</si>
  <si>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</si>
  <si>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</si>
  <si>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</si>
  <si>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</si>
  <si>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</si>
  <si>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</si>
  <si>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</si>
  <si>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</si>
  <si>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</si>
  <si>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</si>
  <si>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</si>
  <si>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</si>
  <si>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</si>
  <si>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</si>
  <si>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</si>
  <si>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</si>
  <si>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</si>
  <si>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</si>
  <si>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</si>
  <si>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</si>
  <si>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</si>
  <si>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</si>
  <si>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</si>
  <si>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</si>
  <si>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</si>
  <si>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</si>
  <si>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</si>
  <si>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</si>
  <si>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</si>
  <si>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</si>
  <si>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</si>
  <si>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</si>
  <si>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</si>
  <si>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</si>
  <si>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</si>
  <si>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</si>
  <si>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</si>
  <si>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</si>
  <si>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</si>
  <si>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</si>
  <si>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</si>
  <si>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</si>
  <si>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</si>
  <si>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</si>
  <si>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</si>
  <si>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</si>
  <si>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</si>
  <si>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</si>
  <si>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</si>
  <si>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</si>
  <si>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</si>
  <si>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</si>
  <si>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</si>
  <si>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</si>
  <si>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</si>
  <si>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</si>
  <si>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</si>
  <si>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</si>
  <si>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</si>
  <si>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</si>
  <si>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</si>
  <si>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</si>
  <si>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</si>
  <si>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</si>
  <si>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</si>
  <si>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</si>
  <si>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</si>
  <si>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</si>
  <si>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</si>
  <si>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</si>
  <si>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</si>
  <si>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</si>
  <si>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</si>
  <si>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</si>
  <si>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</si>
  <si>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LLM</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</si>
  <si>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</si>
  <si>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</si>
  <si>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</si>
  <si>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</si>
  <si>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</si>
  <si>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</si>
  <si>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</si>
  <si>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</si>
  <si>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</si>
  <si>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</si>
  <si>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</si>
  <si>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</si>
  <si>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</si>
  <si>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</si>
  <si>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</si>
  <si>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</si>
  <si>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</si>
  <si>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</si>
  <si>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</si>
  <si>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</si>
  <si>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</si>
  <si>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</si>
  <si>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</si>
  <si>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</si>
  <si>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</si>
  <si>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</si>
  <si>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</si>
  <si>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</si>
  <si>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</si>
  <si>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</si>
  <si>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</si>
  <si>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</si>
  <si>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</si>
  <si>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</si>
  <si>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</si>
  <si>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</si>
  <si>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</si>
  <si>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</si>
  <si>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</si>
  <si>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</si>
  <si>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</si>
  <si>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</si>
  <si>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</si>
  <si>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</si>
  <si>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</si>
  <si>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</si>
  <si>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</si>
  <si>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</si>
  <si>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</si>
  <si>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</si>
  <si>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</si>
  <si>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</si>
  <si>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</si>
  <si>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</si>
  <si>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</si>
  <si>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</si>
  <si>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</si>
  <si>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</si>
  <si>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</si>
  <si>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</si>
  <si>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</si>
  <si>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</si>
  <si>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</si>
  <si>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</si>
  <si>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</si>
  <si>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</si>
  <si>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</si>
  <si>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</si>
  <si>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</si>
  <si>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</si>
  <si>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</si>
  <si>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</si>
  <si>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</si>
  <si>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</si>
  <si>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</si>
  <si>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</si>
  <si>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</si>
  <si>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</si>
  <si>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</si>
  <si>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</si>
  <si>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</si>
  <si>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</si>
  <si>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</si>
  <si>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</si>
  <si>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</si>
  <si>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</si>
  <si>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</si>
  <si>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</si>
  <si>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</si>
  <si>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</si>
  <si>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</si>
  <si>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</si>
  <si>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</si>
  <si>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</si>
  <si>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</si>
  <si>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</si>
  <si>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</si>
  <si>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</si>
  <si>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</si>
  <si>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</si>
  <si>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</si>
  <si>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</si>
  <si>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</si>
  <si>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</si>
  <si>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</si>
  <si>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</si>
  <si>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</si>
  <si>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</si>
  <si>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</si>
  <si>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</si>
  <si>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Quality &amp; maintenance</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</si>
  <si>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</si>
  <si>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</si>
  <si>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</si>
  <si>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</si>
  <si>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</si>
  <si>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</si>
  <si>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</si>
  <si>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</si>
  <si>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</si>
  <si>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</si>
  <si>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</si>
  <si>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</si>
  <si>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</si>
  <si>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</si>
  <si>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</si>
  <si>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</si>
  <si>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</si>
  <si>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</si>
  <si>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</si>
  <si>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</si>
  <si>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</si>
  <si>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</si>
  <si>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</si>
  <si>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</si>
  <si>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</si>
  <si>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</si>
  <si>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</si>
  <si>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</si>
  <si>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</si>
  <si>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</si>
  <si>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</si>
  <si>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</si>
  <si>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</si>
  <si>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</si>
  <si>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</si>
  <si>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</si>
  <si>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</si>
  <si>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</si>
  <si>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</si>
  <si>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</si>
  <si>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</si>
  <si>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</si>
  <si>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</si>
  <si>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</si>
  <si>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</si>
  <si>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</si>
  <si>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</si>
  <si>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</si>
  <si>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</si>
  <si>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</si>
  <si>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</si>
  <si>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</si>
  <si>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</si>
  <si>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</si>
  <si>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</si>
  <si>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</si>
  <si>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</si>
  <si>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</si>
  <si>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</si>
  <si>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</si>
  <si>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</si>
  <si>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</si>
  <si>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</si>
  <si>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</si>
  <si>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</si>
  <si>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</si>
  <si>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'Heuristics/Metaheuristics'</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</si>
  <si>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</si>
  <si>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</si>
  <si>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</si>
  <si>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</si>
  <si>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</si>
  <si>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</si>
  <si>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</si>
  <si>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</si>
  <si>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</si>
  <si>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</si>
  <si>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</si>
  <si>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</si>
  <si>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</si>
  <si>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</si>
  <si>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</si>
  <si>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</si>
  <si>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</si>
  <si>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</si>
  <si>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</si>
  <si>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</si>
  <si>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</si>
  <si>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</si>
  <si>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</si>
  <si>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</si>
  <si>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</si>
  <si>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</si>
  <si>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</si>
  <si>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</si>
  <si>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</si>
  <si>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</si>
  <si>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</si>
  <si>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</si>
  <si>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</si>
  <si>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</si>
  <si>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</si>
  <si>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</si>
  <si>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</si>
  <si>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</si>
  <si>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</si>
  <si>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</si>
  <si>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</si>
  <si>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</si>
  <si>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</si>
  <si>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</si>
  <si>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</si>
  <si>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</si>
  <si>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</si>
  <si>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</si>
  <si>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</si>
  <si>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</si>
  <si>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</si>
  <si>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</si>
  <si>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</si>
  <si>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</si>
  <si>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</si>
  <si>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</si>
  <si>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</si>
  <si>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</si>
  <si>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</si>
  <si>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</si>
  <si>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</si>
  <si>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</si>
  <si>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</si>
  <si>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</si>
  <si>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</si>
  <si>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</si>
  <si>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</si>
  <si>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</si>
  <si>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</si>
  <si>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</si>
  <si>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</si>
  <si>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</si>
  <si>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</si>
  <si>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</si>
  <si>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rawFactoryIndustrialData</t>
  </si>
  <si>
    <t>L2 + industrial data</t>
  </si>
  <si>
    <t>rawFactoryLabData</t>
  </si>
  <si>
    <t>L2 + lab data</t>
  </si>
  <si>
    <t>rawFactorySyntheticData</t>
  </si>
  <si>
    <t>L2 + synthetic</t>
  </si>
  <si>
    <t>rawFactoryBenchmarkData</t>
  </si>
  <si>
    <t>L2 + benchmark</t>
  </si>
  <si>
    <t>Number of heuristic and metaheuristic</t>
  </si>
  <si>
    <t>rawHeuristic</t>
  </si>
  <si>
    <t>rawMetaheuristic</t>
  </si>
  <si>
    <t>Enterprise and supply chain Level (L3) - Technologies</t>
  </si>
  <si>
    <t>rawEnterpriseHeuristicsPapers</t>
  </si>
  <si>
    <t>L3 + tech contains 'Heuristics/Metaheuristics'</t>
  </si>
  <si>
    <t>L3 + tech contains 'Heuristics'</t>
  </si>
  <si>
    <t>rawEnterpriseRLPapers</t>
  </si>
  <si>
    <t>L3 + tech contains 'RL'</t>
  </si>
  <si>
    <t>rawEnterpriseDLPapers</t>
  </si>
  <si>
    <t>L3 + tech contains 'DL'</t>
  </si>
  <si>
    <t>rawEnterpriseMLPapers</t>
  </si>
  <si>
    <t>L3 + tech contains 'ML'</t>
  </si>
  <si>
    <t>rawEnterpriseAIPapers</t>
  </si>
  <si>
    <t>L3 + tech contains 'AI'</t>
  </si>
  <si>
    <t>rawEnterpriseCPSPapers</t>
  </si>
  <si>
    <t>L3 + tech contains 'CPS'</t>
  </si>
  <si>
    <t>rawEnterpriseIoTPapers</t>
  </si>
  <si>
    <t>L3 + tech contains 'IoT'</t>
  </si>
  <si>
    <t>rawEnterpriseDTPapers</t>
  </si>
  <si>
    <t>L3 + tech contains 'DT'</t>
  </si>
  <si>
    <t>rawEnterpriseAGVPapers</t>
  </si>
  <si>
    <t>L3 + tech contains 'AGV'</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</si>
  <si>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</si>
  <si>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</si>
  <si>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</si>
  <si>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</si>
  <si>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</si>
  <si>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</si>
  <si>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</si>
  <si>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</si>
  <si>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</si>
  <si>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</si>
  <si>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</si>
  <si>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</si>
  <si>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</si>
  <si>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</si>
  <si>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</si>
  <si>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</si>
  <si>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</si>
  <si>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</si>
  <si>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</si>
  <si>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</si>
  <si>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</si>
  <si>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</si>
  <si>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</si>
  <si>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</si>
  <si>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</si>
  <si>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</si>
  <si>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</si>
  <si>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</si>
  <si>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</si>
  <si>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</si>
  <si>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</si>
  <si>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</si>
  <si>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</si>
  <si>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</si>
  <si>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</si>
  <si>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</si>
  <si>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</si>
  <si>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</si>
  <si>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</si>
  <si>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</si>
  <si>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</si>
  <si>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</si>
  <si>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</si>
  <si>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</si>
  <si>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</si>
  <si>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</si>
  <si>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</si>
  <si>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</si>
  <si>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</si>
  <si>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</si>
  <si>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</si>
  <si>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</si>
  <si>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</si>
  <si>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</si>
  <si>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</si>
  <si>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</si>
  <si>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</si>
  <si>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</si>
  <si>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</si>
  <si>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</si>
  <si>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</si>
  <si>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</si>
  <si>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</si>
  <si>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</si>
  <si>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</si>
  <si>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</si>
  <si>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</si>
  <si>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</si>
  <si>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</si>
  <si>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</si>
  <si>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</si>
  <si>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</si>
  <si>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</si>
  <si>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</si>
  <si>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</si>
  <si>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</si>
  <si>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</si>
  <si>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</si>
  <si>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</si>
  <si>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</si>
  <si>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</si>
  <si>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</si>
  <si>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</si>
  <si>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</si>
  <si>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</si>
  <si>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</si>
  <si>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</si>
  <si>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</si>
  <si>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</si>
  <si>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</si>
  <si>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</si>
  <si>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</si>
  <si>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</si>
  <si>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</si>
  <si>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</si>
  <si>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</si>
  <si>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</si>
  <si>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</si>
  <si>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</si>
  <si>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</si>
  <si>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</si>
  <si>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</si>
  <si>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</si>
  <si>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</si>
  <si>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</si>
  <si>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</si>
  <si>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</si>
  <si>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</si>
  <si>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</si>
  <si>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</si>
  <si>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</si>
  <si>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</si>
  <si>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</si>
  <si>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</si>
  <si>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</si>
  <si>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</si>
  <si>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</si>
  <si>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</si>
  <si>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</si>
  <si>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</si>
  <si>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</si>
  <si>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</si>
  <si>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</si>
  <si>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</si>
  <si>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</si>
  <si>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</si>
  <si>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</si>
  <si>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</si>
  <si>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</si>
  <si>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</si>
  <si>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</si>
  <si>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</si>
  <si>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</si>
  <si>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</si>
  <si>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</si>
  <si>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</si>
  <si>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</si>
  <si>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</si>
  <si>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</si>
  <si>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</si>
  <si>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</si>
  <si>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</si>
  <si>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</si>
  <si>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</si>
  <si>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</si>
  <si>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</si>
  <si>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</si>
  <si>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</si>
  <si>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</si>
  <si>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</si>
  <si>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</si>
  <si>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</si>
  <si>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</si>
  <si>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</si>
  <si>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</si>
  <si>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</si>
  <si>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</si>
  <si>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</si>
  <si>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</si>
  <si>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</si>
  <si>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</si>
  <si>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</si>
  <si>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</si>
  <si>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</si>
  <si>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</si>
  <si>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</si>
  <si>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</si>
  <si>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</si>
  <si>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</si>
  <si>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</si>
  <si>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</si>
  <si>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</si>
  <si>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</si>
  <si>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</si>
  <si>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</si>
  <si>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</si>
  <si>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</si>
  <si>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</si>
  <si>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</si>
  <si>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</si>
  <si>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</si>
  <si>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</si>
  <si>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</si>
  <si>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</si>
  <si>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</si>
  <si>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</si>
  <si>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</si>
  <si>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</si>
  <si>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</si>
  <si>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</si>
  <si>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</si>
  <si>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</si>
  <si>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</si>
  <si>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</si>
  <si>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</si>
  <si>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</si>
  <si>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</si>
  <si>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</si>
  <si>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</si>
  <si>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</si>
  <si>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</si>
  <si>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</si>
  <si>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</si>
  <si>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</si>
  <si>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</si>
  <si>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</si>
  <si>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</si>
  <si>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</si>
  <si>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</si>
  <si>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</si>
  <si>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</si>
  <si>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</si>
  <si>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</si>
  <si>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</si>
  <si>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</si>
  <si>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</si>
  <si>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</si>
  <si>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</si>
  <si>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</si>
  <si>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</si>
  <si>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</si>
  <si>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</si>
  <si>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</si>
  <si>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</si>
  <si>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</si>
  <si>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</si>
  <si>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</si>
  <si>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</si>
  <si>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</si>
  <si>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</si>
  <si>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</si>
  <si>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</si>
  <si>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</si>
  <si>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</si>
  <si>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</si>
  <si>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</si>
  <si>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</si>
  <si>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</si>
  <si>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</si>
  <si>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</si>
  <si>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</si>
  <si>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</si>
  <si>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</si>
  <si>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</si>
  <si>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</si>
  <si>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</si>
  <si>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</si>
  <si>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</si>
  <si>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</si>
  <si>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</si>
  <si>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</si>
  <si>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</si>
  <si>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</si>
  <si>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</si>
  <si>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</si>
  <si>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</si>
  <si>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</si>
  <si>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</si>
  <si>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</si>
  <si>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</si>
  <si>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</si>
  <si>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</si>
  <si>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</si>
  <si>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</si>
  <si>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</si>
  <si>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</si>
  <si>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</si>
  <si>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Not snowball</t>
  </si>
  <si>
    <t>duplicates</t>
  </si>
  <si>
    <t>Title/Abstract</t>
  </si>
  <si>
    <t>review paper</t>
  </si>
  <si>
    <t>paper review</t>
  </si>
  <si>
    <t>shallow</t>
  </si>
  <si>
    <t>Total</t>
  </si>
  <si>
    <t>Include this??</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</si>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</sst>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25">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sz val="11.0"/>
      <color theme="1"/>
      <name val="Verdana"/>
    </font>
    <font>
      <u/>
      <color rgb="FF0000FF"/>
    </font>
    <font>
      <u/>
      <sz val="11.0"/>
      <color rgb="FF000000"/>
      <name val="Calibri"/>
    </font>
    <font>
      <color rgb="FFEA9999"/>
      <name val="Verdana"/>
      <scheme val="minor"/>
    </font>
    <font>
      <u/>
      <color rgb="FF0000FF"/>
    </font>
    <font>
      <u/>
      <color rgb="FF0000FF"/>
    </font>
    <font>
      <u/>
      <color rgb="FF0000FF"/>
    </font>
    <font>
      <u/>
      <sz val="11.0"/>
      <color rgb="FF0000FF"/>
      <name val="Calibri"/>
    </font>
    <font>
      <u/>
      <sz val="11.0"/>
      <color rgb="FF000000"/>
      <name val="Calibri"/>
    </font>
    <font>
      <u/>
      <sz val="11.0"/>
      <color rgb="FF000000"/>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sz val="11.0"/>
      <color rgb="FF0000FF"/>
      <name val="Calibri"/>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b/>
      <sz val="12.0"/>
      <color rgb="FF8890A1"/>
      <name val="Arial"/>
    </font>
    <font>
      <color rgb="FF666666"/>
      <name val="Arial"/>
    </font>
    <font>
      <b/>
      <sz val="11.0"/>
      <color theme="1"/>
      <name val="Verdana"/>
    </font>
    <font>
      <color rgb="FF222222"/>
      <name val="Arial"/>
    </font>
    <font>
      <sz val="14.0"/>
      <color rgb="FF333333"/>
      <name val="Georgia"/>
    </font>
    <font>
      <sz val="12.0"/>
      <color theme="1"/>
      <name val="Calibri"/>
    </font>
    <font>
      <sz val="11.0"/>
      <color rgb="FF000000"/>
      <name val="&quot;Aptos Narrow&quot;"/>
    </font>
    <font>
      <u/>
      <sz val="11.0"/>
      <color rgb="FF000000"/>
      <name val="Arial"/>
    </font>
    <font>
      <u/>
      <sz val="11.0"/>
      <color rgb="FF000000"/>
      <name val="&quot;Aptos Narrow&quot;"/>
    </font>
    <font>
      <sz val="11.0"/>
      <color rgb="FF000000"/>
      <name val="Arial"/>
    </font>
    <font>
      <u/>
      <sz val="11.0"/>
      <color rgb="FF000000"/>
      <name val="Arial"/>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color rgb="FF0000FF"/>
    </font>
    <font>
      <u/>
      <sz val="11.0"/>
      <color rgb="FF999999"/>
      <name val="Calibri"/>
    </font>
    <font>
      <u/>
      <sz val="11.0"/>
      <color rgb="FF000000"/>
      <name val="Calibri"/>
    </font>
    <font>
      <u/>
      <sz val="11.0"/>
      <color rgb="FF000000"/>
      <name val="Calibri"/>
    </font>
    <font>
      <sz val="25.0"/>
      <color theme="1"/>
      <name val="Verdana"/>
      <scheme val="minor"/>
    </font>
    <font>
      <sz val="14.0"/>
      <color theme="1"/>
      <name val="Verdana"/>
      <scheme val="minor"/>
    </font>
    <font>
      <sz val="11.0"/>
      <color rgb="FF000000"/>
      <name val="Verdana"/>
    </font>
    <font>
      <b/>
      <sz val="12.0"/>
      <color theme="1"/>
      <name val="Calibri"/>
    </font>
    <font>
      <color theme="1"/>
      <name val="Arial"/>
    </font>
    <font>
      <u/>
      <color rgb="FF0000FF"/>
      <name val="Arial"/>
    </font>
    <font>
      <u/>
      <color rgb="FF0000FF"/>
      <name val="Arial"/>
    </font>
  </fonts>
  <fills count="24">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95">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0" fillId="0" fontId="11" numFmtId="0" xfId="0" applyAlignment="1" applyFont="1">
      <alignment readingOrder="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16" numFmtId="0" xfId="0" applyAlignment="1" applyFont="1">
      <alignment readingOrder="0" vertical="bottom"/>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7" numFmtId="0" xfId="0" applyAlignment="1" applyFont="1">
      <alignment readingOrder="0" shrinkToFit="0" wrapText="0"/>
    </xf>
    <xf borderId="0" fillId="0" fontId="16" numFmtId="0" xfId="0" applyAlignment="1" applyFont="1">
      <alignment vertical="bottom"/>
    </xf>
    <xf borderId="0" fillId="10" fontId="5" numFmtId="0" xfId="0" applyAlignment="1" applyFont="1">
      <alignment shrinkToFit="0" wrapText="0"/>
    </xf>
    <xf borderId="0" fillId="0" fontId="18" numFmtId="0" xfId="0" applyAlignment="1" applyFont="1">
      <alignment readingOrder="0" shrinkToFit="0" vertical="bottom" wrapText="0"/>
    </xf>
    <xf borderId="0" fillId="10" fontId="6" numFmtId="0" xfId="0" applyAlignment="1" applyFont="1">
      <alignment shrinkToFit="0" vertical="bottom" wrapText="0"/>
    </xf>
    <xf borderId="0" fillId="10" fontId="19"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20"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6" numFmtId="0" xfId="0" applyAlignment="1" applyFont="1">
      <alignment vertical="bottom"/>
    </xf>
    <xf borderId="0" fillId="10" fontId="16" numFmtId="0" xfId="0" applyAlignment="1" applyFont="1">
      <alignment readingOrder="0" vertical="bottom"/>
    </xf>
    <xf borderId="0" fillId="10" fontId="8" numFmtId="0" xfId="0" applyAlignment="1" applyFont="1">
      <alignment horizontal="left" readingOrder="0" shrinkToFit="0" vertical="bottom" wrapText="0"/>
    </xf>
    <xf borderId="0" fillId="11" fontId="8" numFmtId="0" xfId="0" applyAlignment="1" applyFont="1">
      <alignment readingOrder="0" shrinkToFit="0" vertical="bottom" wrapText="0"/>
    </xf>
    <xf borderId="0" fillId="11" fontId="21" numFmtId="0" xfId="0" applyAlignment="1" applyFont="1">
      <alignment readingOrder="0" shrinkToFit="0" wrapText="0"/>
    </xf>
    <xf borderId="0" fillId="11" fontId="6" numFmtId="0" xfId="0" applyAlignment="1" applyFont="1">
      <alignment readingOrder="0" vertical="bottom"/>
    </xf>
    <xf borderId="0" fillId="11" fontId="8" numFmtId="0" xfId="0" applyAlignment="1" applyFont="1">
      <alignment readingOrder="0" shrinkToFit="0" vertical="bottom" wrapText="0"/>
    </xf>
    <xf borderId="0" fillId="11" fontId="8" numFmtId="0" xfId="0" applyAlignment="1" applyFont="1">
      <alignment readingOrder="0" shrinkToFit="0" vertical="bottom" wrapText="0"/>
    </xf>
    <xf borderId="0" fillId="11" fontId="6" numFmtId="0" xfId="0" applyAlignment="1" applyFont="1">
      <alignment vertical="bottom"/>
    </xf>
    <xf borderId="0" fillId="11" fontId="8" numFmtId="0" xfId="0" applyAlignment="1" applyFont="1">
      <alignment horizontal="left" readingOrder="0" shrinkToFit="0" vertical="bottom" wrapText="0"/>
    </xf>
    <xf borderId="0" fillId="11" fontId="5" numFmtId="0" xfId="0" applyAlignment="1" applyFont="1">
      <alignment shrinkToFit="0" wrapText="0"/>
    </xf>
    <xf borderId="0" fillId="11" fontId="8" numFmtId="0" xfId="0" applyAlignment="1" applyFont="1">
      <alignment readingOrder="0" shrinkToFit="0" vertical="bottom" wrapText="0"/>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2"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shrinkToFit="0" vertical="bottom" wrapText="0"/>
    </xf>
    <xf borderId="0" fillId="11" fontId="26" numFmtId="0" xfId="0" applyAlignment="1" applyFont="1">
      <alignment readingOrder="0" shrinkToFit="0" vertical="bottom" wrapText="0"/>
    </xf>
    <xf borderId="0" fillId="11" fontId="6" numFmtId="0" xfId="0" applyAlignment="1" applyFont="1">
      <alignment vertical="bottom"/>
    </xf>
    <xf borderId="0" fillId="11" fontId="27" numFmtId="0" xfId="0" applyAlignment="1" applyFont="1">
      <alignment readingOrder="0" shrinkToFit="0" vertical="bottom" wrapText="0"/>
    </xf>
    <xf borderId="0" fillId="11" fontId="5" numFmtId="0" xfId="0" applyAlignment="1" applyFont="1">
      <alignment readingOrder="0"/>
    </xf>
    <xf borderId="0" fillId="11" fontId="5" numFmtId="0" xfId="0" applyFont="1"/>
    <xf borderId="0" fillId="0" fontId="28" numFmtId="0" xfId="0" applyAlignment="1" applyFont="1">
      <alignment readingOrder="0" shrinkToFit="0" wrapText="0"/>
    </xf>
    <xf borderId="0" fillId="11" fontId="16" numFmtId="0" xfId="0" applyAlignment="1" applyFont="1">
      <alignment vertical="bottom"/>
    </xf>
    <xf borderId="0" fillId="0" fontId="6" numFmtId="0" xfId="0" applyAlignment="1" applyFont="1">
      <alignment shrinkToFit="0" vertical="bottom" wrapText="0"/>
    </xf>
    <xf borderId="0" fillId="0" fontId="29" numFmtId="0" xfId="0" applyAlignment="1" applyFont="1">
      <alignment readingOrder="0"/>
    </xf>
    <xf borderId="0" fillId="0" fontId="6" numFmtId="0" xfId="0" applyAlignment="1" applyFont="1">
      <alignment vertical="bottom"/>
    </xf>
    <xf borderId="0" fillId="0" fontId="6" numFmtId="0" xfId="0" applyAlignment="1" applyFont="1">
      <alignment readingOrder="0" shrinkToFit="0" vertical="bottom" wrapText="1"/>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30"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6" numFmtId="0" xfId="0" applyAlignment="1" applyBorder="1" applyFont="1">
      <alignment vertical="bottom"/>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31" numFmtId="0" xfId="0" applyAlignment="1" applyFont="1">
      <alignment vertical="bottom"/>
    </xf>
    <xf borderId="0" fillId="0" fontId="32" numFmtId="0" xfId="0" applyAlignment="1" applyFont="1">
      <alignment readingOrder="0" shrinkToFit="0" wrapText="0"/>
    </xf>
    <xf borderId="0" fillId="11" fontId="33" numFmtId="0" xfId="0" applyAlignment="1" applyFont="1">
      <alignment vertical="bottom"/>
    </xf>
    <xf borderId="0" fillId="11" fontId="16" numFmtId="0" xfId="0" applyAlignment="1" applyFont="1">
      <alignment readingOrder="0" vertical="bottom"/>
    </xf>
    <xf borderId="0" fillId="0" fontId="6" numFmtId="0" xfId="0" applyAlignment="1" applyFont="1">
      <alignment readingOrder="0" shrinkToFit="0" vertical="bottom" wrapText="0"/>
    </xf>
    <xf borderId="0" fillId="0" fontId="34" numFmtId="0" xfId="0" applyAlignment="1" applyFont="1">
      <alignment readingOrder="0"/>
    </xf>
    <xf borderId="0" fillId="11" fontId="35" numFmtId="0" xfId="0" applyAlignment="1" applyFont="1">
      <alignment readingOrder="0"/>
    </xf>
    <xf borderId="5" fillId="11" fontId="6" numFmtId="0" xfId="0" applyAlignment="1" applyBorder="1" applyFont="1">
      <alignment readingOrder="0" vertical="bottom"/>
    </xf>
    <xf borderId="0" fillId="11" fontId="36" numFmtId="0" xfId="0" applyAlignment="1" applyFont="1">
      <alignment readingOrder="0" shrinkToFit="0" wrapText="0"/>
    </xf>
    <xf borderId="14" fillId="0" fontId="6" numFmtId="0" xfId="0" applyAlignment="1" applyBorder="1" applyFont="1">
      <alignment readingOrder="0" vertical="bottom"/>
    </xf>
    <xf borderId="14" fillId="10" fontId="5" numFmtId="0" xfId="0" applyBorder="1" applyFont="1"/>
    <xf borderId="14" fillId="10" fontId="37"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16" numFmtId="0" xfId="0" applyAlignment="1" applyBorder="1" applyFont="1">
      <alignment readingOrder="0" vertical="bottom"/>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8" numFmtId="0" xfId="0" applyAlignment="1" applyFont="1">
      <alignment readingOrder="0" shrinkToFit="0" vertical="bottom" wrapText="0"/>
    </xf>
    <xf borderId="0" fillId="0" fontId="39" numFmtId="0" xfId="0" applyAlignment="1" applyFont="1">
      <alignment readingOrder="0" shrinkToFit="0" vertical="bottom" wrapText="0"/>
    </xf>
    <xf borderId="0" fillId="0" fontId="8" numFmtId="0" xfId="0" applyAlignment="1" applyFont="1">
      <alignment readingOrder="0" vertical="bottom"/>
    </xf>
    <xf borderId="0" fillId="11" fontId="40" numFmtId="0" xfId="0" applyAlignment="1" applyFont="1">
      <alignment readingOrder="0" shrinkToFit="0" vertical="bottom" wrapText="0"/>
    </xf>
    <xf borderId="0" fillId="11" fontId="8" numFmtId="0" xfId="0" applyAlignment="1" applyFont="1">
      <alignment readingOrder="0" vertical="bottom"/>
    </xf>
    <xf borderId="0" fillId="0" fontId="41" numFmtId="0" xfId="0" applyAlignment="1" applyFont="1">
      <alignment readingOrder="0" shrinkToFit="0" vertical="bottom" wrapText="0"/>
    </xf>
    <xf borderId="0" fillId="0" fontId="42" numFmtId="0" xfId="0" applyAlignment="1" applyFont="1">
      <alignment readingOrder="0" shrinkToFit="0" vertical="bottom" wrapText="0"/>
    </xf>
    <xf borderId="0" fillId="0" fontId="8" numFmtId="0" xfId="0" applyAlignment="1" applyFont="1">
      <alignment readingOrder="0" shrinkToFit="0" wrapText="0"/>
    </xf>
    <xf borderId="0" fillId="10" fontId="6" numFmtId="0" xfId="0" applyAlignment="1" applyFont="1">
      <alignment vertical="bottom"/>
    </xf>
    <xf borderId="0" fillId="0" fontId="43" numFmtId="0" xfId="0" applyAlignment="1" applyFont="1">
      <alignment readingOrder="0" shrinkToFit="0" vertical="bottom" wrapText="0"/>
    </xf>
    <xf borderId="0" fillId="0" fontId="8" numFmtId="0" xfId="0" applyAlignment="1" applyFont="1">
      <alignment shrinkToFit="0" vertical="bottom" wrapText="0"/>
    </xf>
    <xf borderId="0" fillId="0" fontId="44" numFmtId="0" xfId="0" applyAlignment="1" applyFont="1">
      <alignment vertical="bottom"/>
    </xf>
    <xf borderId="0" fillId="0" fontId="0" numFmtId="0" xfId="0" applyAlignment="1" applyFont="1">
      <alignment readingOrder="0" vertical="bottom"/>
    </xf>
    <xf borderId="0" fillId="11" fontId="45" numFmtId="0" xfId="0" applyAlignment="1" applyFont="1">
      <alignment readingOrder="0" vertical="bottom"/>
    </xf>
    <xf borderId="0" fillId="11" fontId="6" numFmtId="0" xfId="0" applyAlignment="1" applyFont="1">
      <alignment shrinkToFit="0" vertical="bottom" wrapText="0"/>
    </xf>
    <xf borderId="0" fillId="11" fontId="0" numFmtId="0" xfId="0" applyAlignment="1" applyFont="1">
      <alignment readingOrder="0" vertical="bottom"/>
    </xf>
    <xf borderId="5" fillId="0" fontId="46" numFmtId="0" xfId="0" applyAlignment="1" applyBorder="1" applyFont="1">
      <alignment vertical="bottom"/>
    </xf>
    <xf borderId="5" fillId="0" fontId="6" numFmtId="0" xfId="0" applyAlignment="1" applyBorder="1" applyFont="1">
      <alignment readingOrder="0" shrinkToFit="0" vertical="bottom" wrapText="0"/>
    </xf>
    <xf borderId="5" fillId="0" fontId="16" numFmtId="0" xfId="0" applyAlignment="1" applyBorder="1" applyFont="1">
      <alignment readingOrder="0" vertical="bottom"/>
    </xf>
    <xf borderId="5" fillId="0" fontId="0" numFmtId="0" xfId="0" applyAlignment="1" applyBorder="1" applyFont="1">
      <alignment readingOrder="0" vertical="bottom"/>
    </xf>
    <xf borderId="0" fillId="10" fontId="6" numFmtId="0" xfId="0" applyAlignment="1" applyFont="1">
      <alignment vertical="bottom"/>
    </xf>
    <xf borderId="0" fillId="10" fontId="47" numFmtId="0" xfId="0" applyAlignment="1" applyFont="1">
      <alignment vertical="bottom"/>
    </xf>
    <xf borderId="0" fillId="10" fontId="6" numFmtId="0" xfId="0" applyAlignment="1" applyFont="1">
      <alignment readingOrder="0" shrinkToFit="0" vertical="bottom" wrapText="0"/>
    </xf>
    <xf borderId="0" fillId="10" fontId="0" numFmtId="0" xfId="0" applyAlignment="1" applyFont="1">
      <alignment readingOrder="0" vertical="bottom"/>
    </xf>
    <xf borderId="0" fillId="0" fontId="48" numFmtId="0" xfId="0" applyAlignment="1" applyFont="1">
      <alignment readingOrder="0"/>
    </xf>
    <xf borderId="0" fillId="0" fontId="49" numFmtId="49" xfId="0" applyAlignment="1" applyFont="1" applyNumberFormat="1">
      <alignment readingOrder="0" shrinkToFit="0" vertical="bottom" wrapText="0"/>
    </xf>
    <xf borderId="0" fillId="0" fontId="50" numFmtId="49" xfId="0" applyAlignment="1" applyFont="1" applyNumberFormat="1">
      <alignment readingOrder="0" shrinkToFit="0" vertical="bottom" wrapText="0"/>
    </xf>
    <xf borderId="0" fillId="0" fontId="51" numFmtId="49" xfId="0" applyAlignment="1" applyFont="1" applyNumberFormat="1">
      <alignment readingOrder="0" vertical="bottom"/>
    </xf>
    <xf borderId="0" fillId="10" fontId="28" numFmtId="0" xfId="0" applyFont="1"/>
    <xf borderId="14" fillId="0" fontId="6" numFmtId="0" xfId="0" applyAlignment="1" applyBorder="1" applyFont="1">
      <alignment vertical="bottom"/>
    </xf>
    <xf borderId="14" fillId="0" fontId="52"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shrinkToFit="0" vertical="bottom" wrapText="1"/>
    </xf>
    <xf borderId="14" fillId="0" fontId="16" numFmtId="0" xfId="0" applyAlignment="1" applyBorder="1" applyFont="1">
      <alignment vertical="bottom"/>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14" fillId="0" fontId="6" numFmtId="0" xfId="0" applyAlignment="1" applyBorder="1" applyFont="1">
      <alignment readingOrder="0" shrinkToFit="0" vertical="bottom" wrapText="1"/>
    </xf>
    <xf borderId="0" fillId="0" fontId="53"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6" numFmtId="0" xfId="0" applyAlignment="1" applyFont="1">
      <alignment shrinkToFit="0" vertical="bottom" wrapText="0"/>
    </xf>
    <xf borderId="0" fillId="0" fontId="0" numFmtId="0" xfId="0" applyAlignment="1" applyFont="1">
      <alignment readingOrder="0" shrinkToFit="0" vertical="bottom" wrapText="1"/>
    </xf>
    <xf borderId="0" fillId="0" fontId="54" numFmtId="0" xfId="0" applyAlignment="1" applyFont="1">
      <alignment horizontal="left" readingOrder="0" shrinkToFit="0" vertical="top" wrapText="0"/>
    </xf>
    <xf borderId="0" fillId="11" fontId="55" numFmtId="0" xfId="0" applyAlignment="1" applyFont="1">
      <alignment horizontal="left" readingOrder="0" shrinkToFit="0" vertical="top" wrapText="0"/>
    </xf>
    <xf borderId="0" fillId="11" fontId="6" numFmtId="0" xfId="0" applyAlignment="1" applyFont="1">
      <alignment horizontal="left" readingOrder="0" shrinkToFit="0" vertical="top" wrapText="1"/>
    </xf>
    <xf borderId="0" fillId="11" fontId="6" numFmtId="0" xfId="0" applyAlignment="1" applyFont="1">
      <alignment shrinkToFit="0" vertical="bottom" wrapText="0"/>
    </xf>
    <xf borderId="0" fillId="11" fontId="6" numFmtId="0" xfId="0" applyAlignment="1" applyFont="1">
      <alignment readingOrder="0" shrinkToFit="0" vertical="bottom" wrapText="1"/>
    </xf>
    <xf borderId="0" fillId="11" fontId="56" numFmtId="0" xfId="0" applyAlignment="1" applyFont="1">
      <alignment horizontal="left" readingOrder="0" shrinkToFit="0" vertical="top" wrapText="0"/>
    </xf>
    <xf borderId="0" fillId="11" fontId="57" numFmtId="0" xfId="0" applyAlignment="1" applyFont="1">
      <alignment readingOrder="0" shrinkToFit="0" wrapText="0"/>
    </xf>
    <xf borderId="0" fillId="11" fontId="0" numFmtId="0" xfId="0" applyAlignment="1" applyFont="1">
      <alignment readingOrder="0" shrinkToFit="0" vertical="bottom" wrapText="1"/>
    </xf>
    <xf borderId="15" fillId="11" fontId="6" numFmtId="0" xfId="0" applyAlignment="1" applyBorder="1" applyFont="1">
      <alignment vertical="bottom"/>
    </xf>
    <xf borderId="0" fillId="11" fontId="6" numFmtId="0" xfId="0" applyAlignment="1" applyFont="1">
      <alignment shrinkToFit="0" vertical="bottom" wrapText="1"/>
    </xf>
    <xf borderId="16" fillId="11" fontId="6" numFmtId="0" xfId="0" applyAlignment="1" applyBorder="1" applyFont="1">
      <alignment vertical="bottom"/>
    </xf>
    <xf borderId="14" fillId="0" fontId="58" numFmtId="0" xfId="0" applyAlignment="1" applyBorder="1" applyFont="1">
      <alignment readingOrder="0"/>
    </xf>
    <xf borderId="14" fillId="0" fontId="16" numFmtId="0" xfId="0" applyAlignment="1" applyBorder="1" applyFont="1">
      <alignment readingOrder="0" vertical="bottom"/>
    </xf>
    <xf borderId="14" fillId="0" fontId="59" numFmtId="0" xfId="0" applyAlignment="1" applyBorder="1" applyFont="1">
      <alignment readingOrder="0" shrinkToFit="0" wrapText="1"/>
    </xf>
    <xf borderId="0" fillId="0" fontId="59" numFmtId="0" xfId="0" applyAlignment="1" applyFont="1">
      <alignment readingOrder="0"/>
    </xf>
    <xf borderId="0" fillId="0" fontId="60" numFmtId="0" xfId="0" applyAlignment="1" applyFont="1">
      <alignment readingOrder="0" shrinkToFit="0" wrapText="0"/>
    </xf>
    <xf borderId="0" fillId="0" fontId="59" numFmtId="0" xfId="0" applyAlignment="1" applyFont="1">
      <alignment readingOrder="0" shrinkToFit="0" wrapText="1"/>
    </xf>
    <xf borderId="0" fillId="0" fontId="61" numFmtId="0" xfId="0" applyAlignment="1" applyFont="1">
      <alignment readingOrder="0"/>
    </xf>
    <xf borderId="0" fillId="10" fontId="5" numFmtId="0" xfId="0" applyFont="1"/>
    <xf borderId="0" fillId="10" fontId="62" numFmtId="0" xfId="0" applyAlignment="1" applyFont="1">
      <alignment readingOrder="0"/>
    </xf>
    <xf borderId="0" fillId="10" fontId="59" numFmtId="0" xfId="0" applyAlignment="1" applyFont="1">
      <alignment readingOrder="0"/>
    </xf>
    <xf borderId="0" fillId="10" fontId="59" numFmtId="0" xfId="0" applyAlignment="1" applyFont="1">
      <alignment readingOrder="0" shrinkToFit="0" wrapText="1"/>
    </xf>
    <xf borderId="0" fillId="0" fontId="63" numFmtId="0" xfId="0" applyAlignment="1" applyFont="1">
      <alignment readingOrder="0"/>
    </xf>
    <xf borderId="0" fillId="0" fontId="6" numFmtId="0" xfId="0" applyAlignment="1" applyFont="1">
      <alignment readingOrder="0" shrinkToFit="0" vertical="bottom" wrapText="0"/>
    </xf>
    <xf borderId="0" fillId="0" fontId="64" numFmtId="0" xfId="0" applyAlignment="1" applyFont="1">
      <alignment readingOrder="0" shrinkToFit="0" vertical="bottom" wrapText="0"/>
    </xf>
    <xf borderId="0" fillId="11" fontId="6" numFmtId="0" xfId="0" applyAlignment="1" applyFont="1">
      <alignment readingOrder="0" shrinkToFit="0" vertical="bottom" wrapText="0"/>
    </xf>
    <xf borderId="0" fillId="11" fontId="65" numFmtId="0" xfId="0" applyAlignment="1" applyFont="1">
      <alignment readingOrder="0" shrinkToFit="0" vertical="bottom" wrapText="0"/>
    </xf>
    <xf borderId="0" fillId="11" fontId="59" numFmtId="0" xfId="0" applyAlignment="1" applyFont="1">
      <alignment readingOrder="0"/>
    </xf>
    <xf borderId="0" fillId="11" fontId="59" numFmtId="0" xfId="0" applyAlignment="1" applyFont="1">
      <alignment readingOrder="0" shrinkToFit="0" wrapText="1"/>
    </xf>
    <xf borderId="0" fillId="0" fontId="8" numFmtId="0" xfId="0" applyAlignment="1" applyFont="1">
      <alignment shrinkToFit="0" vertical="bottom" wrapText="0"/>
    </xf>
    <xf borderId="0" fillId="0" fontId="66" numFmtId="0" xfId="0" applyAlignment="1" applyFont="1">
      <alignment readingOrder="0" shrinkToFit="0" vertical="bottom" wrapText="0"/>
    </xf>
    <xf borderId="0" fillId="10" fontId="67"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8" numFmtId="0" xfId="0" applyAlignment="1" applyFont="1">
      <alignment readingOrder="0" vertical="bottom"/>
    </xf>
    <xf borderId="0" fillId="10" fontId="8" numFmtId="0" xfId="0" applyAlignment="1" applyFont="1">
      <alignment horizontal="left" readingOrder="0" vertical="bottom"/>
    </xf>
    <xf borderId="0" fillId="0" fontId="69" numFmtId="0" xfId="0" applyAlignment="1" applyFont="1">
      <alignment readingOrder="0" vertical="bottom"/>
    </xf>
    <xf borderId="0" fillId="0" fontId="16" numFmtId="0" xfId="0" applyAlignment="1" applyFont="1">
      <alignment readingOrder="0" shrinkToFit="0" vertical="bottom" wrapText="1"/>
    </xf>
    <xf borderId="0" fillId="0" fontId="70" numFmtId="0" xfId="0" applyAlignment="1" applyFont="1">
      <alignment readingOrder="0" vertical="bottom"/>
    </xf>
    <xf borderId="0" fillId="0" fontId="6" numFmtId="0" xfId="0" applyAlignment="1" applyFont="1">
      <alignment shrinkToFit="0" vertical="bottom" wrapText="1"/>
    </xf>
    <xf borderId="0" fillId="11" fontId="71" numFmtId="0" xfId="0" applyAlignment="1" applyFont="1">
      <alignment readingOrder="0" vertical="bottom"/>
    </xf>
    <xf borderId="0" fillId="11" fontId="5" numFmtId="0" xfId="0" applyAlignment="1" applyFont="1">
      <alignment readingOrder="0" shrinkToFit="0" wrapText="1"/>
    </xf>
    <xf borderId="0" fillId="11" fontId="6" numFmtId="0" xfId="0" applyAlignment="1" applyFont="1">
      <alignment readingOrder="0" shrinkToFit="0" vertical="bottom" wrapText="0"/>
    </xf>
    <xf borderId="0" fillId="11" fontId="16" numFmtId="0" xfId="0" applyAlignment="1" applyFont="1">
      <alignment readingOrder="0" shrinkToFit="0" vertical="bottom" wrapText="1"/>
    </xf>
    <xf borderId="0" fillId="11" fontId="6" numFmtId="0" xfId="0" applyAlignment="1" applyFont="1">
      <alignment shrinkToFit="0" vertical="bottom" wrapText="1"/>
    </xf>
    <xf borderId="0" fillId="11" fontId="72" numFmtId="0" xfId="0" applyAlignment="1" applyFont="1">
      <alignment readingOrder="0"/>
    </xf>
    <xf borderId="0" fillId="11" fontId="16" numFmtId="0" xfId="0" applyAlignment="1" applyFont="1">
      <alignment readingOrder="0" shrinkToFit="0" vertical="bottom" wrapText="0"/>
    </xf>
    <xf borderId="0" fillId="10" fontId="73" numFmtId="0" xfId="0" applyAlignment="1" applyFont="1">
      <alignment readingOrder="0"/>
    </xf>
    <xf borderId="0" fillId="10" fontId="74" numFmtId="0" xfId="0" applyFont="1"/>
    <xf borderId="0" fillId="0" fontId="8" numFmtId="0" xfId="0" applyAlignment="1" applyFont="1">
      <alignment horizontal="left" shrinkToFit="0" vertical="bottom" wrapText="0"/>
    </xf>
    <xf borderId="0" fillId="0" fontId="3" numFmtId="0" xfId="0" applyAlignment="1" applyFont="1">
      <alignment readingOrder="0"/>
    </xf>
    <xf borderId="0" fillId="0" fontId="75" numFmtId="0" xfId="0" applyAlignment="1" applyFont="1">
      <alignment vertical="bottom"/>
    </xf>
    <xf borderId="0" fillId="10" fontId="76" numFmtId="0" xfId="0" applyAlignment="1" applyFont="1">
      <alignment readingOrder="0"/>
    </xf>
    <xf borderId="0" fillId="0" fontId="5" numFmtId="0" xfId="0" applyFont="1"/>
    <xf borderId="0" fillId="10" fontId="77" numFmtId="0" xfId="0" applyAlignment="1" applyFont="1">
      <alignment readingOrder="0"/>
    </xf>
    <xf borderId="0" fillId="0" fontId="78" numFmtId="0" xfId="0" applyAlignment="1" applyFont="1">
      <alignment vertical="bottom"/>
    </xf>
    <xf borderId="0" fillId="0" fontId="78" numFmtId="0" xfId="0" applyAlignment="1" applyFont="1">
      <alignment readingOrder="0" vertical="bottom"/>
    </xf>
    <xf borderId="0" fillId="0" fontId="78" numFmtId="0" xfId="0" applyAlignment="1" applyFont="1">
      <alignment horizontal="right" vertical="bottom"/>
    </xf>
    <xf borderId="1" fillId="0" fontId="10" numFmtId="0" xfId="0" applyAlignment="1" applyBorder="1" applyFont="1">
      <alignment horizontal="center" readingOrder="0" vertical="top"/>
    </xf>
    <xf borderId="0" fillId="0" fontId="79" numFmtId="0" xfId="0" applyAlignment="1" applyFont="1">
      <alignment readingOrder="0" shrinkToFit="0" vertical="bottom" wrapText="0"/>
    </xf>
    <xf borderId="0" fillId="0" fontId="80" numFmtId="0" xfId="0" applyAlignment="1" applyFont="1">
      <alignment readingOrder="0" shrinkToFit="0" vertical="bottom" wrapText="0"/>
    </xf>
    <xf borderId="0" fillId="0" fontId="79" numFmtId="0" xfId="0" applyAlignment="1" applyFont="1">
      <alignment horizontal="right" readingOrder="0" shrinkToFit="0" vertical="bottom" wrapText="0"/>
    </xf>
    <xf borderId="0" fillId="0" fontId="81" numFmtId="0" xfId="0" applyAlignment="1" applyFont="1">
      <alignment readingOrder="0" shrinkToFit="0" vertical="bottom" wrapText="0"/>
    </xf>
    <xf borderId="0" fillId="0" fontId="82" numFmtId="0" xfId="0" applyAlignment="1" applyFont="1">
      <alignment readingOrder="0" shrinkToFit="0" vertical="bottom" wrapText="0"/>
    </xf>
    <xf borderId="0" fillId="0" fontId="79" numFmtId="0" xfId="0" applyAlignment="1" applyFont="1">
      <alignment shrinkToFit="0" vertical="bottom" wrapText="0"/>
    </xf>
    <xf borderId="0" fillId="0" fontId="83" numFmtId="0" xfId="0" applyAlignment="1" applyFont="1">
      <alignment readingOrder="0" shrinkToFit="0" vertical="bottom" wrapText="0"/>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84"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5" numFmtId="0" xfId="0" applyAlignment="1" applyFont="1">
      <alignment vertical="bottom"/>
    </xf>
    <xf borderId="0" fillId="10" fontId="8" numFmtId="0" xfId="0" applyAlignment="1" applyFont="1">
      <alignment vertical="bottom"/>
    </xf>
    <xf borderId="0" fillId="0" fontId="8" numFmtId="0" xfId="0" applyAlignment="1" applyFont="1">
      <alignment vertical="bottom"/>
    </xf>
    <xf borderId="0" fillId="10" fontId="8" numFmtId="0" xfId="0" applyAlignment="1" applyFont="1">
      <alignment shrinkToFit="0" vertical="bottom" wrapText="0"/>
    </xf>
    <xf borderId="0" fillId="10" fontId="86" numFmtId="0" xfId="0" applyAlignment="1" applyFont="1">
      <alignment readingOrder="0" shrinkToFit="0" vertical="bottom" wrapText="0"/>
    </xf>
    <xf borderId="0" fillId="10" fontId="87" numFmtId="0" xfId="0" applyAlignment="1" applyFont="1">
      <alignment readingOrder="0" shrinkToFit="0" vertical="bottom" wrapText="0"/>
    </xf>
    <xf borderId="0" fillId="10" fontId="87" numFmtId="0" xfId="0" applyAlignment="1" applyFont="1">
      <alignment vertical="bottom"/>
    </xf>
    <xf borderId="0" fillId="10" fontId="87"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88" numFmtId="0" xfId="0" applyAlignment="1" applyFont="1">
      <alignment readingOrder="0" shrinkToFit="0" vertical="bottom" wrapText="0"/>
    </xf>
    <xf borderId="0" fillId="10" fontId="87" numFmtId="0" xfId="0" applyAlignment="1" applyFont="1">
      <alignment shrinkToFit="0" vertical="bottom" wrapText="0"/>
    </xf>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8"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89"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90" numFmtId="0" xfId="0" applyAlignment="1" applyFont="1">
      <alignment horizontal="left" readingOrder="1" shrinkToFit="0" vertical="center" wrapText="1"/>
    </xf>
    <xf borderId="1" fillId="12" fontId="91" numFmtId="0" xfId="0" applyAlignment="1" applyBorder="1" applyFill="1" applyFont="1">
      <alignment horizontal="center" vertical="center"/>
    </xf>
    <xf borderId="1" fillId="13" fontId="6" numFmtId="0" xfId="0" applyAlignment="1" applyBorder="1" applyFill="1" applyFont="1">
      <alignment shrinkToFit="0" vertical="top" wrapText="1"/>
    </xf>
    <xf borderId="1" fillId="13" fontId="6" numFmtId="0" xfId="0" applyAlignment="1" applyBorder="1" applyFont="1">
      <alignment readingOrder="0" shrinkToFit="0" vertical="top" wrapText="1"/>
    </xf>
    <xf borderId="1" fillId="14" fontId="6" numFmtId="0" xfId="0" applyAlignment="1" applyBorder="1" applyFill="1" applyFont="1">
      <alignment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7" fontId="5" numFmtId="0" xfId="0" applyFill="1" applyFont="1"/>
    <xf borderId="0" fillId="17" fontId="5" numFmtId="0" xfId="0" applyAlignment="1" applyFont="1">
      <alignment readingOrder="0"/>
    </xf>
    <xf borderId="0" fillId="18" fontId="5" numFmtId="0" xfId="0" applyFill="1" applyFont="1"/>
    <xf borderId="0" fillId="18"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19" fontId="5" numFmtId="0" xfId="0" applyAlignment="1" applyBorder="1" applyFill="1" applyFont="1">
      <alignment readingOrder="0"/>
    </xf>
    <xf borderId="3" fillId="19" fontId="5" numFmtId="0" xfId="0" applyBorder="1" applyFont="1"/>
    <xf borderId="4" fillId="19" fontId="5" numFmtId="0" xfId="0" applyBorder="1" applyFont="1"/>
    <xf borderId="0" fillId="20" fontId="8" numFmtId="0" xfId="0" applyAlignment="1" applyFill="1" applyFont="1">
      <alignment readingOrder="0" shrinkToFit="0" vertical="bottom" wrapText="0"/>
    </xf>
    <xf borderId="0" fillId="20" fontId="5" numFmtId="0" xfId="0" applyAlignment="1" applyFont="1">
      <alignment readingOrder="0"/>
    </xf>
    <xf borderId="0" fillId="20"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0" fillId="18"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7" fontId="92" numFmtId="0" xfId="0" applyAlignment="1" applyFont="1">
      <alignment readingOrder="0"/>
    </xf>
    <xf borderId="0" fillId="0" fontId="93" numFmtId="0" xfId="0" applyFont="1"/>
    <xf borderId="0" fillId="6" fontId="94" numFmtId="0" xfId="0" applyAlignment="1" applyFont="1">
      <alignment readingOrder="0"/>
    </xf>
    <xf borderId="0" fillId="17" fontId="95" numFmtId="0" xfId="0" applyAlignment="1" applyFont="1">
      <alignment readingOrder="0"/>
    </xf>
    <xf borderId="0" fillId="0" fontId="96" numFmtId="0" xfId="0" applyAlignment="1" applyFont="1">
      <alignment readingOrder="0" shrinkToFit="0" vertical="bottom" wrapText="0"/>
    </xf>
    <xf borderId="0" fillId="4" fontId="97" numFmtId="0" xfId="0" applyAlignment="1" applyFont="1">
      <alignment readingOrder="0"/>
    </xf>
    <xf borderId="12" fillId="0" fontId="5" numFmtId="0" xfId="0" applyBorder="1" applyFont="1"/>
    <xf borderId="0" fillId="17" fontId="8" numFmtId="0" xfId="0" applyAlignment="1" applyFont="1">
      <alignment readingOrder="0" shrinkToFit="0" vertical="bottom" wrapText="0"/>
    </xf>
    <xf quotePrefix="1" borderId="0" fillId="17"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98"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7" fontId="99" numFmtId="0" xfId="0" applyAlignment="1" applyFont="1">
      <alignment readingOrder="0" shrinkToFit="0" vertical="bottom" wrapText="0"/>
    </xf>
    <xf borderId="0" fillId="17" fontId="5" numFmtId="0" xfId="0" applyAlignment="1" applyFont="1">
      <alignment shrinkToFit="0" wrapText="0"/>
    </xf>
    <xf borderId="0" fillId="17" fontId="5" numFmtId="0" xfId="0" applyAlignment="1" applyFont="1">
      <alignment readingOrder="0" shrinkToFit="0" wrapText="0"/>
    </xf>
    <xf borderId="0" fillId="17" fontId="8" numFmtId="0" xfId="0" applyAlignment="1" applyFont="1">
      <alignment shrinkToFit="0" vertical="bottom" wrapText="0"/>
    </xf>
    <xf borderId="0" fillId="17" fontId="8" numFmtId="0" xfId="0" applyAlignment="1" applyFont="1">
      <alignment readingOrder="0" shrinkToFit="0" vertical="bottom" wrapText="0"/>
    </xf>
    <xf borderId="0" fillId="18" fontId="100" numFmtId="0" xfId="0" applyAlignment="1" applyFont="1">
      <alignment readingOrder="0" shrinkToFit="0" vertical="bottom" wrapText="0"/>
    </xf>
    <xf borderId="0" fillId="18" fontId="8" numFmtId="0" xfId="0" applyAlignment="1" applyFont="1">
      <alignment shrinkToFit="0" vertical="bottom" wrapText="0"/>
    </xf>
    <xf borderId="0" fillId="18" fontId="96" numFmtId="0" xfId="0" applyAlignment="1" applyFont="1">
      <alignment readingOrder="0" shrinkToFit="0" vertical="bottom" wrapText="0"/>
    </xf>
    <xf borderId="0" fillId="18" fontId="8" numFmtId="0" xfId="0" applyAlignment="1" applyFont="1">
      <alignment readingOrder="0" shrinkToFit="0" vertical="bottom" wrapText="0"/>
    </xf>
    <xf borderId="0" fillId="18" fontId="5" numFmtId="0" xfId="0" applyAlignment="1" applyFont="1">
      <alignment readingOrder="0" shrinkToFit="0" wrapText="0"/>
    </xf>
    <xf borderId="0" fillId="18"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101"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102"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7" fontId="8" numFmtId="0" xfId="0" applyAlignment="1" applyFont="1">
      <alignment horizontal="right" readingOrder="0" shrinkToFit="0" vertical="bottom" wrapText="0"/>
    </xf>
    <xf borderId="0" fillId="17" fontId="8" numFmtId="0" xfId="0" applyAlignment="1" applyFont="1">
      <alignment shrinkToFit="0" vertical="bottom" wrapText="0"/>
    </xf>
    <xf borderId="2" fillId="0" fontId="5" numFmtId="0" xfId="0" applyBorder="1" applyFont="1"/>
    <xf borderId="3" fillId="0" fontId="5" numFmtId="0" xfId="0" applyBorder="1" applyFont="1"/>
    <xf borderId="3" fillId="0" fontId="103"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8" fontId="8" numFmtId="0" xfId="0" applyAlignment="1" applyFont="1">
      <alignment readingOrder="0" shrinkToFit="0" vertical="bottom"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104"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105"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106"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107" numFmtId="0" xfId="0" applyAlignment="1" applyFont="1">
      <alignment readingOrder="0" shrinkToFit="0" wrapText="0"/>
    </xf>
    <xf borderId="0" fillId="5" fontId="108" numFmtId="0" xfId="0" applyAlignment="1" applyFont="1">
      <alignment readingOrder="0" shrinkToFit="0" wrapText="0"/>
    </xf>
    <xf borderId="0" fillId="18" fontId="5" numFmtId="49" xfId="0" applyFont="1" applyNumberFormat="1"/>
    <xf borderId="0" fillId="18" fontId="109" numFmtId="0" xfId="0" applyAlignment="1" applyFont="1">
      <alignment readingOrder="0" shrinkToFit="0" wrapText="0"/>
    </xf>
    <xf borderId="0" fillId="6" fontId="5" numFmtId="49" xfId="0" applyFont="1" applyNumberFormat="1"/>
    <xf borderId="0" fillId="0" fontId="110" numFmtId="0" xfId="0" applyAlignment="1" applyFont="1">
      <alignment readingOrder="0" shrinkToFit="0" vertical="bottom" wrapText="0"/>
    </xf>
    <xf borderId="0" fillId="0" fontId="111" numFmtId="0" xfId="0" applyAlignment="1" applyFont="1">
      <alignment readingOrder="0" shrinkToFit="0" vertical="bottom" wrapText="0"/>
    </xf>
    <xf borderId="0" fillId="18" fontId="112" numFmtId="0" xfId="0" applyFont="1"/>
    <xf borderId="0" fillId="18" fontId="113" numFmtId="0" xfId="0" applyAlignment="1" applyFont="1">
      <alignment readingOrder="0"/>
    </xf>
    <xf borderId="0" fillId="18" fontId="112" numFmtId="0" xfId="0" applyAlignment="1" applyFont="1">
      <alignment readingOrder="0"/>
    </xf>
    <xf borderId="0" fillId="10" fontId="114" numFmtId="0" xfId="0" applyAlignment="1" applyFont="1">
      <alignment readingOrder="0"/>
    </xf>
    <xf borderId="0" fillId="0" fontId="8" numFmtId="49" xfId="0" applyAlignment="1" applyFont="1" applyNumberFormat="1">
      <alignment readingOrder="0" shrinkToFit="0" vertical="bottom" wrapText="0"/>
    </xf>
    <xf borderId="0" fillId="21" fontId="8" numFmtId="0" xfId="0" applyAlignment="1" applyFill="1" applyFont="1">
      <alignment readingOrder="0" shrinkToFit="0" vertical="bottom" wrapText="0"/>
    </xf>
    <xf borderId="0" fillId="21" fontId="115" numFmtId="49" xfId="0" applyAlignment="1" applyFont="1" applyNumberFormat="1">
      <alignment readingOrder="0" shrinkToFit="0" vertical="bottom" wrapText="0"/>
    </xf>
    <xf quotePrefix="1" borderId="0" fillId="21" fontId="6" numFmtId="49" xfId="0" applyAlignment="1" applyFont="1" applyNumberFormat="1">
      <alignment vertical="bottom"/>
    </xf>
    <xf borderId="0" fillId="21" fontId="6" numFmtId="0" xfId="0" applyAlignment="1" applyFont="1">
      <alignment vertical="bottom"/>
    </xf>
    <xf borderId="0" fillId="21" fontId="6" numFmtId="0" xfId="0" applyAlignment="1" applyFont="1">
      <alignment vertical="bottom"/>
    </xf>
    <xf borderId="0" fillId="21" fontId="8" numFmtId="0" xfId="0" applyAlignment="1" applyFont="1">
      <alignment shrinkToFit="0" vertical="bottom" wrapText="0"/>
    </xf>
    <xf borderId="0" fillId="21" fontId="5" numFmtId="0" xfId="0" applyFont="1"/>
    <xf borderId="0" fillId="21" fontId="5" numFmtId="0" xfId="0" applyAlignment="1" applyFont="1">
      <alignment readingOrder="0"/>
    </xf>
    <xf borderId="0" fillId="18" fontId="116" numFmtId="49" xfId="0" applyAlignment="1" applyFont="1" applyNumberFormat="1">
      <alignment readingOrder="0" shrinkToFit="0" vertical="bottom" wrapText="0"/>
    </xf>
    <xf quotePrefix="1" borderId="0" fillId="18" fontId="6" numFmtId="49" xfId="0" applyAlignment="1" applyFont="1" applyNumberFormat="1">
      <alignment vertical="bottom"/>
    </xf>
    <xf borderId="0" fillId="18" fontId="6" numFmtId="0" xfId="0" applyAlignment="1" applyFont="1">
      <alignment vertical="bottom"/>
    </xf>
    <xf borderId="0" fillId="18" fontId="6" numFmtId="0" xfId="0" applyAlignment="1" applyFont="1">
      <alignment readingOrder="0" vertical="bottom"/>
    </xf>
    <xf borderId="0" fillId="22" fontId="8" numFmtId="0" xfId="0" applyAlignment="1" applyFill="1" applyFont="1">
      <alignment readingOrder="0" shrinkToFit="0" vertical="bottom" wrapText="0"/>
    </xf>
    <xf borderId="0" fillId="22" fontId="117"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8" fontId="0" numFmtId="0" xfId="0" applyFont="1"/>
    <xf borderId="0" fillId="18"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7" fontId="0" numFmtId="0" xfId="0" applyFont="1"/>
    <xf borderId="0" fillId="17" fontId="0" numFmtId="0" xfId="0" applyAlignment="1" applyFont="1">
      <alignment readingOrder="0"/>
    </xf>
    <xf borderId="15" fillId="0" fontId="82" numFmtId="0" xfId="0" applyAlignment="1" applyBorder="1" applyFont="1">
      <alignment readingOrder="0" shrinkToFit="0" vertical="bottom" wrapText="0"/>
    </xf>
    <xf borderId="15" fillId="0" fontId="79" numFmtId="0" xfId="0" applyAlignment="1" applyBorder="1" applyFont="1">
      <alignment readingOrder="0" shrinkToFit="0" vertical="bottom" wrapText="0"/>
    </xf>
    <xf borderId="16" fillId="0" fontId="79" numFmtId="0" xfId="0" applyAlignment="1" applyBorder="1" applyFont="1">
      <alignment readingOrder="0" shrinkToFit="0" vertical="bottom" wrapText="0"/>
    </xf>
    <xf borderId="0" fillId="0" fontId="118" numFmtId="0" xfId="0" applyAlignment="1" applyFont="1">
      <alignment horizontal="center" readingOrder="0"/>
    </xf>
    <xf borderId="0" fillId="0" fontId="119"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6" fontId="120" numFmtId="0" xfId="0" applyAlignment="1" applyFont="1">
      <alignment vertical="bottom"/>
    </xf>
    <xf borderId="0" fillId="6" fontId="120" numFmtId="49" xfId="0" applyAlignment="1" applyFont="1" applyNumberFormat="1">
      <alignment vertical="bottom"/>
    </xf>
    <xf borderId="0" fillId="6" fontId="120" numFmtId="0" xfId="0" applyAlignment="1" applyFont="1">
      <alignment readingOrder="0" vertical="bottom"/>
    </xf>
    <xf borderId="0" fillId="6" fontId="28" numFmtId="0" xfId="0" applyFont="1"/>
    <xf borderId="0" fillId="0" fontId="119" numFmtId="0" xfId="0" applyAlignment="1" applyFont="1">
      <alignment horizontal="left" readingOrder="0" shrinkToFit="0" wrapText="1"/>
    </xf>
    <xf borderId="6" fillId="0" fontId="6" numFmtId="0" xfId="0" applyBorder="1" applyFont="1"/>
    <xf borderId="7" fillId="0" fontId="6" numFmtId="0" xfId="0" applyBorder="1" applyFont="1"/>
    <xf borderId="1" fillId="0" fontId="121" numFmtId="0" xfId="0" applyAlignment="1" applyBorder="1" applyFont="1">
      <alignment readingOrder="0" vertical="bottom"/>
    </xf>
    <xf borderId="1" fillId="0" fontId="121"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3"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22" numFmtId="0" xfId="0" applyAlignment="1" applyFont="1">
      <alignment vertical="bottom"/>
    </xf>
    <xf borderId="0" fillId="0" fontId="123" numFmtId="0" xfId="0" applyAlignment="1" applyFont="1">
      <alignment readingOrder="0" vertical="bottom"/>
    </xf>
    <xf borderId="0" fillId="0" fontId="122" numFmtId="0" xfId="0" applyAlignment="1" applyFont="1">
      <alignment readingOrder="0" vertical="bottom"/>
    </xf>
    <xf borderId="0" fillId="0" fontId="124" numFmtId="0" xfId="0" applyAlignment="1" applyFont="1">
      <alignment readingOrder="0" vertical="bottom"/>
    </xf>
    <xf borderId="0" fillId="0" fontId="6" numFmtId="0" xfId="0" applyAlignment="1" applyFont="1">
      <alignment horizontal="left" readingOrder="0" shrinkToFit="0" vertical="bottom" wrapText="1"/>
    </xf>
    <xf borderId="0" fillId="0" fontId="93"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31" Type="http://schemas.openxmlformats.org/officeDocument/2006/relationships/worksheet" Target="worksheets/sheet28.xml"/><Relationship Id="rId30" Type="http://schemas.openxmlformats.org/officeDocument/2006/relationships/worksheet" Target="worksheets/sheet27.xml"/><Relationship Id="rId32" Type="http://customschemas.google.com/relationships/workbookmetadata" Target="metadata"/><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eswa.2025.128337" TargetMode="External"/><Relationship Id="rId190" Type="http://schemas.openxmlformats.org/officeDocument/2006/relationships/hyperlink" Target="https://doi.org/10.1016/j.rcim.2024.102917" TargetMode="External"/><Relationship Id="rId42" Type="http://schemas.openxmlformats.org/officeDocument/2006/relationships/hyperlink" Target="https://doi.org/10.1016/j.jmsy.2024.09.011" TargetMode="External"/><Relationship Id="rId41" Type="http://schemas.openxmlformats.org/officeDocument/2006/relationships/hyperlink" Target="https://doi.org/10.1016/j.cie.2024.110616" TargetMode="External"/><Relationship Id="rId44" Type="http://schemas.openxmlformats.org/officeDocument/2006/relationships/hyperlink" Target="https://doi.org/10.1145/3690931.3690993" TargetMode="External"/><Relationship Id="rId194" Type="http://schemas.openxmlformats.org/officeDocument/2006/relationships/hyperlink" Target="https://doi.org/10.1109/ICARSC65809.2025.10970151" TargetMode="External"/><Relationship Id="rId43" Type="http://schemas.openxmlformats.org/officeDocument/2006/relationships/hyperlink" Target="https://link.springer.com/article/10.1007/BF02023073" TargetMode="External"/><Relationship Id="rId193" Type="http://schemas.openxmlformats.org/officeDocument/2006/relationships/hyperlink" Target="https://doi.org/10.1016/j.procs.2024.01.130" TargetMode="External"/><Relationship Id="rId46" Type="http://schemas.openxmlformats.org/officeDocument/2006/relationships/hyperlink" Target="https://doi.org/10.1016/j.cie.2024.110507" TargetMode="External"/><Relationship Id="rId192" Type="http://schemas.openxmlformats.org/officeDocument/2006/relationships/hyperlink" Target="https://scheduleopt.github.io/benchmarks/fjsplib" TargetMode="External"/><Relationship Id="rId45" Type="http://schemas.openxmlformats.org/officeDocument/2006/relationships/hyperlink" Target="https://github.com/tamy0612/JSPLIB" TargetMode="External"/><Relationship Id="rId191" Type="http://schemas.openxmlformats.org/officeDocument/2006/relationships/hyperlink" Target="https://doi.org/10.1016/j.engappai.2024.109488" TargetMode="External"/><Relationship Id="rId48" Type="http://schemas.openxmlformats.org/officeDocument/2006/relationships/hyperlink" Target="https://doi.org/10.1016/j.compchemeng.2024.108748" TargetMode="External"/><Relationship Id="rId187" Type="http://schemas.openxmlformats.org/officeDocument/2006/relationships/hyperlink" Target="https://link.springer.com/article/10.1007/BF02023073" TargetMode="External"/><Relationship Id="rId47" Type="http://schemas.openxmlformats.org/officeDocument/2006/relationships/hyperlink" Target="https://doi.org/10.1016/j.swevo.2024.101660" TargetMode="External"/><Relationship Id="rId186" Type="http://schemas.openxmlformats.org/officeDocument/2006/relationships/hyperlink" Target="https://doi.org/10.1016/j.asoc.2025.113712" TargetMode="External"/><Relationship Id="rId185" Type="http://schemas.openxmlformats.org/officeDocument/2006/relationships/hyperlink" Target="https://doi.org/10.1109/ICCNEA57056.2022.00091" TargetMode="External"/><Relationship Id="rId49" Type="http://schemas.openxmlformats.org/officeDocument/2006/relationships/hyperlink" Target="https://doi.org/10.1016/j.ifacol.2024.09.176" TargetMode="External"/><Relationship Id="rId184" Type="http://schemas.openxmlformats.org/officeDocument/2006/relationships/hyperlink" Target="https://doi.org/10.3390/technologies6040107" TargetMode="External"/><Relationship Id="rId189" Type="http://schemas.openxmlformats.org/officeDocument/2006/relationships/hyperlink" Target="https://www.sciencedirect.com/science/article/pii/S0377221797000192?via%3Dihub" TargetMode="External"/><Relationship Id="rId188" Type="http://schemas.openxmlformats.org/officeDocument/2006/relationships/hyperlink" Target="https://doi.org/10.1016/j.ins.2025.121906" TargetMode="External"/><Relationship Id="rId31" Type="http://schemas.openxmlformats.org/officeDocument/2006/relationships/hyperlink" Target="https://doi.org/10.1109/TASE.2024.3380644" TargetMode="External"/><Relationship Id="rId30" Type="http://schemas.openxmlformats.org/officeDocument/2006/relationships/hyperlink" Target="https://doi.org/10.1109/TASE.2024.3386562" TargetMode="External"/><Relationship Id="rId33" Type="http://schemas.openxmlformats.org/officeDocument/2006/relationships/hyperlink" Target="https://doi.org/10.3390/PR8080912" TargetMode="External"/><Relationship Id="rId183" Type="http://schemas.openxmlformats.org/officeDocument/2006/relationships/hyperlink" Target="https://doi.org/10.1016/j.cirp.2019.04.001" TargetMode="External"/><Relationship Id="rId32" Type="http://schemas.openxmlformats.org/officeDocument/2006/relationships/hyperlink" Target="https://doi.org/10.1109/TASE.2024.3371250" TargetMode="External"/><Relationship Id="rId182" Type="http://schemas.openxmlformats.org/officeDocument/2006/relationships/hyperlink" Target="https://doi.org/10.1016/j.procir.2019.03.041" TargetMode="External"/><Relationship Id="rId35" Type="http://schemas.openxmlformats.org/officeDocument/2006/relationships/hyperlink" Target="https://doi.org/10.1002/qre.70027" TargetMode="External"/><Relationship Id="rId181" Type="http://schemas.openxmlformats.org/officeDocument/2006/relationships/hyperlink" Target="https://github.com/tamy0612/JSPLIB" TargetMode="External"/><Relationship Id="rId34" Type="http://schemas.openxmlformats.org/officeDocument/2006/relationships/hyperlink" Target="https://doi.org/10.1007/s00170-021-08163-3" TargetMode="External"/><Relationship Id="rId180" Type="http://schemas.openxmlformats.org/officeDocument/2006/relationships/hyperlink" Target="https://doi.org/10.1007/978-3-030-30487-4_44" TargetMode="External"/><Relationship Id="rId37" Type="http://schemas.openxmlformats.org/officeDocument/2006/relationships/hyperlink" Target="https://doi.org/10.1016/j.aei.2025.103780" TargetMode="External"/><Relationship Id="rId176" Type="http://schemas.openxmlformats.org/officeDocument/2006/relationships/hyperlink" Target="https://doi.org/10.1007/978-3-030-53956-6_10" TargetMode="External"/><Relationship Id="rId36" Type="http://schemas.openxmlformats.org/officeDocument/2006/relationships/hyperlink" Target="https://doi.org/10.1007/s10845-025-02732-z" TargetMode="External"/><Relationship Id="rId175" Type="http://schemas.openxmlformats.org/officeDocument/2006/relationships/hyperlink" Target="https://doi.org/10.1016/j.procir.2020.03.047" TargetMode="External"/><Relationship Id="rId39" Type="http://schemas.openxmlformats.org/officeDocument/2006/relationships/hyperlink" Target="https://doi.org/10.1016/j.cie.2025.111354" TargetMode="External"/><Relationship Id="rId174" Type="http://schemas.openxmlformats.org/officeDocument/2006/relationships/hyperlink" Target="https://ceur-ws.org/Vol-2739/paper_6.pdf" TargetMode="External"/><Relationship Id="rId38" Type="http://schemas.openxmlformats.org/officeDocument/2006/relationships/hyperlink" Target="https://doi.org/10.1016/j.cie.2023.109035" TargetMode="External"/><Relationship Id="rId173" Type="http://schemas.openxmlformats.org/officeDocument/2006/relationships/hyperlink" Target="https://github.com/tamy0612/JSPLIB" TargetMode="External"/><Relationship Id="rId179" Type="http://schemas.openxmlformats.org/officeDocument/2006/relationships/hyperlink" Target="https://github.com/tamy0612/JSPLIB" TargetMode="External"/><Relationship Id="rId178" Type="http://schemas.openxmlformats.org/officeDocument/2006/relationships/hyperlink" Target="https://doi.org/10.1109/ICPHM.2019.8819397" TargetMode="External"/><Relationship Id="rId177" Type="http://schemas.openxmlformats.org/officeDocument/2006/relationships/hyperlink" Target="https://doi.org/10.1109/EDOCW.2019.00022" TargetMode="External"/><Relationship Id="rId20" Type="http://schemas.openxmlformats.org/officeDocument/2006/relationships/hyperlink" Target="https://doi.org/10.1016/j.cie.2025.111466" TargetMode="External"/><Relationship Id="rId22" Type="http://schemas.openxmlformats.org/officeDocument/2006/relationships/hyperlink" Target="https://doi.org/10.1016/j.swevo.2025.102167" TargetMode="External"/><Relationship Id="rId21" Type="http://schemas.openxmlformats.org/officeDocument/2006/relationships/hyperlink" Target="https://people.idsia.ch/%7emonaldo/fjsp.html" TargetMode="External"/><Relationship Id="rId24" Type="http://schemas.openxmlformats.org/officeDocument/2006/relationships/hyperlink" Target="https://doi.org/10.1016/j.asoc.2025.112787" TargetMode="External"/><Relationship Id="rId23" Type="http://schemas.openxmlformats.org/officeDocument/2006/relationships/hyperlink" Target="https://doi.org/10.3390/su17052198" TargetMode="External"/><Relationship Id="rId26" Type="http://schemas.openxmlformats.org/officeDocument/2006/relationships/hyperlink" Target="https://github.com/tamy0612/JSPLIB" TargetMode="External"/><Relationship Id="rId25" Type="http://schemas.openxmlformats.org/officeDocument/2006/relationships/hyperlink" Target="https://doi.org/10.3390/ai6030048" TargetMode="External"/><Relationship Id="rId28" Type="http://schemas.openxmlformats.org/officeDocument/2006/relationships/hyperlink" Target="https://link.springer.com/article/10.1007/BF02023073" TargetMode="External"/><Relationship Id="rId27" Type="http://schemas.openxmlformats.org/officeDocument/2006/relationships/hyperlink" Target="https://doi.org/10.1007/s10696-024-09543-z" TargetMode="External"/><Relationship Id="rId29" Type="http://schemas.openxmlformats.org/officeDocument/2006/relationships/hyperlink" Target="https://doi.org/10.1145/3709026.3709038" TargetMode="External"/><Relationship Id="rId11" Type="http://schemas.openxmlformats.org/officeDocument/2006/relationships/hyperlink" Target="https://doi.org/10.3390/s21144836" TargetMode="External"/><Relationship Id="rId10" Type="http://schemas.openxmlformats.org/officeDocument/2006/relationships/hyperlink" Target="https://doi.org/10.1016/j.rcim.2021.102202" TargetMode="External"/><Relationship Id="rId13" Type="http://schemas.openxmlformats.org/officeDocument/2006/relationships/hyperlink" Target="https://doi.org/10.1109/JPROC.2020.3034808" TargetMode="External"/><Relationship Id="rId12" Type="http://schemas.openxmlformats.org/officeDocument/2006/relationships/hyperlink" Target="https://doi.org/10.1016/j.jclepro.2021.126093" TargetMode="External"/><Relationship Id="rId15" Type="http://schemas.openxmlformats.org/officeDocument/2006/relationships/hyperlink" Target="https://doi.org/10.1109/ACCESS.2020.3046784" TargetMode="External"/><Relationship Id="rId198" Type="http://schemas.openxmlformats.org/officeDocument/2006/relationships/hyperlink" Target="https://doi.org/10.1016/j.aei.2023.102307" TargetMode="External"/><Relationship Id="rId14" Type="http://schemas.openxmlformats.org/officeDocument/2006/relationships/hyperlink" Target="https://doi.org/10.1016/j.procir.2021.11.307" TargetMode="External"/><Relationship Id="rId197" Type="http://schemas.openxmlformats.org/officeDocument/2006/relationships/hyperlink" Target="https://doi.org/10.1109/TCSI.2023.3328901" TargetMode="External"/><Relationship Id="rId17" Type="http://schemas.openxmlformats.org/officeDocument/2006/relationships/hyperlink" Target="https://doi.org/10.1109/IEEM45057.2020.9309782" TargetMode="External"/><Relationship Id="rId196" Type="http://schemas.openxmlformats.org/officeDocument/2006/relationships/hyperlink" Target="https://doi.org/10.1016/j.ejor.2022.10.023" TargetMode="External"/><Relationship Id="rId16" Type="http://schemas.openxmlformats.org/officeDocument/2006/relationships/hyperlink" Target="https://doi.org/10.1016/j.jmsy.2020.04.015" TargetMode="External"/><Relationship Id="rId195" Type="http://schemas.openxmlformats.org/officeDocument/2006/relationships/hyperlink" Target="https://doi.org/10.1016/j.asoc.2025.113531" TargetMode="External"/><Relationship Id="rId19" Type="http://schemas.openxmlformats.org/officeDocument/2006/relationships/hyperlink" Target="https://doi.org/10.1016/j.jmsy.2025.10.010" TargetMode="External"/><Relationship Id="rId18" Type="http://schemas.openxmlformats.org/officeDocument/2006/relationships/hyperlink" Target="https://doi.org/10.1016/j.compind.2020.103329" TargetMode="External"/><Relationship Id="rId199" Type="http://schemas.openxmlformats.org/officeDocument/2006/relationships/hyperlink" Target="https://doi.org/10.1016/j.ifacol.2025.09.354" TargetMode="External"/><Relationship Id="rId84" Type="http://schemas.openxmlformats.org/officeDocument/2006/relationships/hyperlink" Target="https://doi.org/10.1007/s10479-020-03526-7" TargetMode="External"/><Relationship Id="rId83" Type="http://schemas.openxmlformats.org/officeDocument/2006/relationships/hyperlink" Target="https://doi.org/10.1016/j.cie.2023.109453" TargetMode="External"/><Relationship Id="rId86" Type="http://schemas.openxmlformats.org/officeDocument/2006/relationships/hyperlink" Target="https://doi.org/10.1109/IEEM58616.2023.10406397" TargetMode="External"/><Relationship Id="rId85" Type="http://schemas.openxmlformats.org/officeDocument/2006/relationships/hyperlink" Target="https://doi.org/10.36897/jme/137081" TargetMode="External"/><Relationship Id="rId88" Type="http://schemas.openxmlformats.org/officeDocument/2006/relationships/hyperlink" Target="https://doi.org/10.1007/978-3-031-43524-9_10" TargetMode="External"/><Relationship Id="rId150" Type="http://schemas.openxmlformats.org/officeDocument/2006/relationships/hyperlink" Target="https://doi.org/10.1109/WSC57314.2022.10015282" TargetMode="External"/><Relationship Id="rId87" Type="http://schemas.openxmlformats.org/officeDocument/2006/relationships/hyperlink" Target="https://doi.org/10.1109/WSC60868.2023.10407811" TargetMode="External"/><Relationship Id="rId89" Type="http://schemas.openxmlformats.org/officeDocument/2006/relationships/hyperlink" Target="https://github.com/tamy0612/JSPLIB" TargetMode="External"/><Relationship Id="rId80" Type="http://schemas.openxmlformats.org/officeDocument/2006/relationships/hyperlink" Target="https://doi.org/10.24846/V33I2Y202401" TargetMode="External"/><Relationship Id="rId82" Type="http://schemas.openxmlformats.org/officeDocument/2006/relationships/hyperlink" Target="https://doi.org/10.1109/TASE.2025.3563084" TargetMode="External"/><Relationship Id="rId81" Type="http://schemas.openxmlformats.org/officeDocument/2006/relationships/hyperlink" Target="https://doi.org/10.1016/j.procir.2024.10.255" TargetMode="External"/><Relationship Id="rId1" Type="http://schemas.openxmlformats.org/officeDocument/2006/relationships/hyperlink" Target="https://doi.org/10.1109/WSC57314.2022.10015436" TargetMode="External"/><Relationship Id="rId2" Type="http://schemas.openxmlformats.org/officeDocument/2006/relationships/hyperlink" Target="https://doi.org/10.1016/j.ifacol.2022.09.677" TargetMode="External"/><Relationship Id="rId3" Type="http://schemas.openxmlformats.org/officeDocument/2006/relationships/hyperlink" Target="https://doi.org/10.1016/j.ifacol.2022.09.305" TargetMode="External"/><Relationship Id="rId149" Type="http://schemas.openxmlformats.org/officeDocument/2006/relationships/hyperlink" Target="https://doi.org/10.1007/s10845-021-01826-8" TargetMode="External"/><Relationship Id="rId4" Type="http://schemas.openxmlformats.org/officeDocument/2006/relationships/hyperlink" Target="https://doi.org/10.1109/CASE49997.2022.9926440" TargetMode="External"/><Relationship Id="rId148" Type="http://schemas.openxmlformats.org/officeDocument/2006/relationships/hyperlink" Target="https://doi.org/10.1109/MSN63567.2024.00058" TargetMode="External"/><Relationship Id="rId9" Type="http://schemas.openxmlformats.org/officeDocument/2006/relationships/hyperlink" Target="https://doi.org/10.1080/00207543.2021.1894369" TargetMode="External"/><Relationship Id="rId143" Type="http://schemas.openxmlformats.org/officeDocument/2006/relationships/hyperlink" Target="https://doi.org/10.1080/00207543.2024.2431178" TargetMode="External"/><Relationship Id="rId142" Type="http://schemas.openxmlformats.org/officeDocument/2006/relationships/hyperlink" Target="https://doi.org/10.1016/j.jclepro.2023.136228" TargetMode="External"/><Relationship Id="rId141" Type="http://schemas.openxmlformats.org/officeDocument/2006/relationships/hyperlink" Target="https://doi.org/10.1016/j.energy.2020.118385" TargetMode="External"/><Relationship Id="rId140" Type="http://schemas.openxmlformats.org/officeDocument/2006/relationships/hyperlink" Target="https://doi.org/10.1007/s12063-020-00156-x" TargetMode="External"/><Relationship Id="rId5" Type="http://schemas.openxmlformats.org/officeDocument/2006/relationships/hyperlink" Target="https://doi.org/10.32604/cmc.2022.030803" TargetMode="External"/><Relationship Id="rId147" Type="http://schemas.openxmlformats.org/officeDocument/2006/relationships/hyperlink" Target="https://doi.org/10.3390/app14010283" TargetMode="External"/><Relationship Id="rId6" Type="http://schemas.openxmlformats.org/officeDocument/2006/relationships/hyperlink" Target="https://github.com/tamy0612/JSPLIB" TargetMode="External"/><Relationship Id="rId146" Type="http://schemas.openxmlformats.org/officeDocument/2006/relationships/hyperlink" Target="https://doi.org/10.1016/j.jmsy.2024.03.015" TargetMode="External"/><Relationship Id="rId7" Type="http://schemas.openxmlformats.org/officeDocument/2006/relationships/hyperlink" Target="https://doi.org/10.1016/j.procir.2022.04.027" TargetMode="External"/><Relationship Id="rId145" Type="http://schemas.openxmlformats.org/officeDocument/2006/relationships/hyperlink" Target="https://doi.org/10.1016/j.jclepro.2016.03.150" TargetMode="External"/><Relationship Id="rId8" Type="http://schemas.openxmlformats.org/officeDocument/2006/relationships/hyperlink" Target="https://doi.org/10.1109/ACCESS.2022.3151170" TargetMode="External"/><Relationship Id="rId144" Type="http://schemas.openxmlformats.org/officeDocument/2006/relationships/hyperlink" Target="https://doi.org/10.1016/j.cie.2025.111580" TargetMode="External"/><Relationship Id="rId73" Type="http://schemas.openxmlformats.org/officeDocument/2006/relationships/hyperlink" Target="https://doi.org/10.1016/j.eswa.2025.127340" TargetMode="External"/><Relationship Id="rId72" Type="http://schemas.openxmlformats.org/officeDocument/2006/relationships/hyperlink" Target="https://doi.org/10.1007/s11227-025-07586-z" TargetMode="External"/><Relationship Id="rId75" Type="http://schemas.openxmlformats.org/officeDocument/2006/relationships/hyperlink" Target="https://doi.org/10.1109/ACCESS.2025.3631334" TargetMode="External"/><Relationship Id="rId74" Type="http://schemas.openxmlformats.org/officeDocument/2006/relationships/hyperlink" Target="https://github.com/Lei-Kun/FJSP-benchmarks" TargetMode="External"/><Relationship Id="rId77" Type="http://schemas.openxmlformats.org/officeDocument/2006/relationships/hyperlink" Target="https://doi.org/10.23919/CCC64809.2025.11178931" TargetMode="External"/><Relationship Id="rId76" Type="http://schemas.openxmlformats.org/officeDocument/2006/relationships/hyperlink" Target="https://doi.org/10.1109/DOCS67533.2025.11200734" TargetMode="External"/><Relationship Id="rId79" Type="http://schemas.openxmlformats.org/officeDocument/2006/relationships/hyperlink" Target="https://doi.org/10.1016/j.knosys.2024.111631" TargetMode="External"/><Relationship Id="rId78" Type="http://schemas.openxmlformats.org/officeDocument/2006/relationships/hyperlink" Target="https://link.springer.com/article/10.1007/BF02023073" TargetMode="External"/><Relationship Id="rId71" Type="http://schemas.openxmlformats.org/officeDocument/2006/relationships/hyperlink" Target="https://doi.org/10.1016/j.tre.2025.104297" TargetMode="External"/><Relationship Id="rId70" Type="http://schemas.openxmlformats.org/officeDocument/2006/relationships/hyperlink" Target="https://doi.org/10.1093/jcde/qwaf100" TargetMode="External"/><Relationship Id="rId139" Type="http://schemas.openxmlformats.org/officeDocument/2006/relationships/hyperlink" Target="https://doi.org/10.1016/j.resconrec.2020.104902" TargetMode="External"/><Relationship Id="rId138" Type="http://schemas.openxmlformats.org/officeDocument/2006/relationships/hyperlink" Target="https://doi.org/10.1007/978-3-031-86489-6_17" TargetMode="External"/><Relationship Id="rId137" Type="http://schemas.openxmlformats.org/officeDocument/2006/relationships/hyperlink" Target="https://doi.org/10.1080/0951192X.2024.2343677" TargetMode="External"/><Relationship Id="rId132" Type="http://schemas.openxmlformats.org/officeDocument/2006/relationships/hyperlink" Target="https://link.springer.com/article/10.1007/BF02023073" TargetMode="External"/><Relationship Id="rId131" Type="http://schemas.openxmlformats.org/officeDocument/2006/relationships/hyperlink" Target="https://doi.org/10.3390/app151810108" TargetMode="External"/><Relationship Id="rId130" Type="http://schemas.openxmlformats.org/officeDocument/2006/relationships/hyperlink" Target="https://link.springer.com/article/10.1007/s10845-007-0026-8" TargetMode="External"/><Relationship Id="rId251" Type="http://schemas.openxmlformats.org/officeDocument/2006/relationships/drawing" Target="../drawings/drawing5.xml"/><Relationship Id="rId250" Type="http://schemas.openxmlformats.org/officeDocument/2006/relationships/hyperlink" Target="https://doi.org/10.1016/j.cie.2024.110670" TargetMode="External"/><Relationship Id="rId136" Type="http://schemas.openxmlformats.org/officeDocument/2006/relationships/hyperlink" Target="https://doi.org/10.1080/17509653.2025.2498119" TargetMode="External"/><Relationship Id="rId135" Type="http://schemas.openxmlformats.org/officeDocument/2006/relationships/hyperlink" Target="https://link.springer.com/article/10.1023/A:1018930406487" TargetMode="External"/><Relationship Id="rId134" Type="http://schemas.openxmlformats.org/officeDocument/2006/relationships/hyperlink" Target="https://doi.org/10.1016/j.jfranklin.2025.107944" TargetMode="External"/><Relationship Id="rId133" Type="http://schemas.openxmlformats.org/officeDocument/2006/relationships/hyperlink" Target="https://doi.org/10.1115/1.4068980" TargetMode="External"/><Relationship Id="rId62" Type="http://schemas.openxmlformats.org/officeDocument/2006/relationships/hyperlink" Target="https://doi.org/10.1016/j.eswa.2023.121756" TargetMode="External"/><Relationship Id="rId61" Type="http://schemas.openxmlformats.org/officeDocument/2006/relationships/hyperlink" Target="https://www.sciencedirect.com/science/article/pii/S0377221797000192?via%3Dihub" TargetMode="External"/><Relationship Id="rId64" Type="http://schemas.openxmlformats.org/officeDocument/2006/relationships/hyperlink" Target="https://doi.org/10.1016/j.jii.2024.100582" TargetMode="External"/><Relationship Id="rId63" Type="http://schemas.openxmlformats.org/officeDocument/2006/relationships/hyperlink" Target="https://github.com/tamy0612/JSPLIB" TargetMode="External"/><Relationship Id="rId66" Type="http://schemas.openxmlformats.org/officeDocument/2006/relationships/hyperlink" Target="https://link.springer.com/article/10.1007/BF02023073" TargetMode="External"/><Relationship Id="rId172" Type="http://schemas.openxmlformats.org/officeDocument/2006/relationships/hyperlink" Target="https://doi.org/10.1109/ACCESS.2020.3029868" TargetMode="External"/><Relationship Id="rId65" Type="http://schemas.openxmlformats.org/officeDocument/2006/relationships/hyperlink" Target="https://doi.org/10.1109/TNNLS.2023.3306421" TargetMode="External"/><Relationship Id="rId171" Type="http://schemas.openxmlformats.org/officeDocument/2006/relationships/hyperlink" Target="https://doi.org/10.1109/ICIEA49774.2020.9101999" TargetMode="External"/><Relationship Id="rId68" Type="http://schemas.openxmlformats.org/officeDocument/2006/relationships/hyperlink" Target="https://doi.org/10.1007/s11771-011-0863-7?urlappend=%3Futm_source%3Dresearchgate.net%26utm_medium%3Darticle" TargetMode="External"/><Relationship Id="rId170" Type="http://schemas.openxmlformats.org/officeDocument/2006/relationships/hyperlink" Target="https://doi.org/10.1016/j.cor.2025.107011" TargetMode="External"/><Relationship Id="rId67" Type="http://schemas.openxmlformats.org/officeDocument/2006/relationships/hyperlink" Target="https://doi.org/10.1016/j.engappai.2025.111356" TargetMode="External"/><Relationship Id="rId60" Type="http://schemas.openxmlformats.org/officeDocument/2006/relationships/hyperlink" Target="https://doi.org/10.3390/su16083234" TargetMode="External"/><Relationship Id="rId165" Type="http://schemas.openxmlformats.org/officeDocument/2006/relationships/hyperlink" Target="https://github.com/tamy0612/JSPLIB" TargetMode="External"/><Relationship Id="rId69" Type="http://schemas.openxmlformats.org/officeDocument/2006/relationships/hyperlink" Target="https://doi.org/10.1016/j.rcim.2025.103015" TargetMode="External"/><Relationship Id="rId164" Type="http://schemas.openxmlformats.org/officeDocument/2006/relationships/hyperlink" Target="https://doi.org/10.32604/cmc.2025.065153" TargetMode="External"/><Relationship Id="rId163" Type="http://schemas.openxmlformats.org/officeDocument/2006/relationships/hyperlink" Target="https://doi.org/10.1016/j.ins.2025.122023" TargetMode="External"/><Relationship Id="rId162" Type="http://schemas.openxmlformats.org/officeDocument/2006/relationships/hyperlink" Target="https://doi.org/10.1016/j.cie.2025.111310" TargetMode="External"/><Relationship Id="rId169" Type="http://schemas.openxmlformats.org/officeDocument/2006/relationships/hyperlink" Target="https://doi.org/10.1080/24725854.2025.2561569" TargetMode="External"/><Relationship Id="rId168" Type="http://schemas.openxmlformats.org/officeDocument/2006/relationships/hyperlink" Target="https://link.springer.com/article/10.1007/s10845-007-0026-8?utm_source=getftr&amp;utm_medium=getftr&amp;utm_campaign=getftr_pilot&amp;getft_integrator=sciencedirect_contenthosting" TargetMode="External"/><Relationship Id="rId167" Type="http://schemas.openxmlformats.org/officeDocument/2006/relationships/hyperlink" Target="https://doi.org/10.1016/j.jmsy.2021.09.018" TargetMode="External"/><Relationship Id="rId166" Type="http://schemas.openxmlformats.org/officeDocument/2006/relationships/hyperlink" Target="https://doi.org/10.1109/CEC65147.2025.11043017" TargetMode="External"/><Relationship Id="rId51" Type="http://schemas.openxmlformats.org/officeDocument/2006/relationships/hyperlink" Target="https://doi.org/10.3390/machines12080584" TargetMode="External"/><Relationship Id="rId50" Type="http://schemas.openxmlformats.org/officeDocument/2006/relationships/hyperlink" Target="https://link.springer.com/article/10.1007/BF02023073" TargetMode="External"/><Relationship Id="rId53" Type="http://schemas.openxmlformats.org/officeDocument/2006/relationships/hyperlink" Target="https://doi.org/10.1016/j.ijpe.2024.109312" TargetMode="External"/><Relationship Id="rId52" Type="http://schemas.openxmlformats.org/officeDocument/2006/relationships/hyperlink" Target="https://link.springer.com/article/10.1007/BF02023073" TargetMode="External"/><Relationship Id="rId55" Type="http://schemas.openxmlformats.org/officeDocument/2006/relationships/hyperlink" Target="https://doi.org/10.1016/j.swevo.2024.101605" TargetMode="External"/><Relationship Id="rId161" Type="http://schemas.openxmlformats.org/officeDocument/2006/relationships/hyperlink" Target="https://doi.org/10.1080/00207540902814348" TargetMode="External"/><Relationship Id="rId54" Type="http://schemas.openxmlformats.org/officeDocument/2006/relationships/hyperlink" Target="https://doi.org/10.1007/s10845-023-02189-y" TargetMode="External"/><Relationship Id="rId160" Type="http://schemas.openxmlformats.org/officeDocument/2006/relationships/hyperlink" Target="https://doi.org/10.1016/j.asoc.2025.113474" TargetMode="External"/><Relationship Id="rId57" Type="http://schemas.openxmlformats.org/officeDocument/2006/relationships/hyperlink" Target="https://doi.org/10.1016/j.engappai.2024.108487" TargetMode="External"/><Relationship Id="rId56" Type="http://schemas.openxmlformats.org/officeDocument/2006/relationships/hyperlink" Target="https://github.com/tamy0612/JSPLIB" TargetMode="External"/><Relationship Id="rId159" Type="http://schemas.openxmlformats.org/officeDocument/2006/relationships/hyperlink" Target="https://doi.org/10.1016/j.compind.2021.103433" TargetMode="External"/><Relationship Id="rId59" Type="http://schemas.openxmlformats.org/officeDocument/2006/relationships/hyperlink" Target="https://github.com/tamy0612/JSPLIB" TargetMode="External"/><Relationship Id="rId154" Type="http://schemas.openxmlformats.org/officeDocument/2006/relationships/hyperlink" Target="https://assembly-line-balancing.de/" TargetMode="External"/><Relationship Id="rId58" Type="http://schemas.openxmlformats.org/officeDocument/2006/relationships/hyperlink" Target="https://doi.org/10.1016/j.jmsy.2024.04.028" TargetMode="External"/><Relationship Id="rId153" Type="http://schemas.openxmlformats.org/officeDocument/2006/relationships/hyperlink" Target="https://doi.org/10.1016/j.swevo.2024.101762" TargetMode="External"/><Relationship Id="rId152" Type="http://schemas.openxmlformats.org/officeDocument/2006/relationships/hyperlink" Target="https://doi.org/10.1109/TEM.2018.2846627" TargetMode="External"/><Relationship Id="rId151" Type="http://schemas.openxmlformats.org/officeDocument/2006/relationships/hyperlink" Target="https://doi.org/10.1007/978-3-031-14844-6_3" TargetMode="External"/><Relationship Id="rId158" Type="http://schemas.openxmlformats.org/officeDocument/2006/relationships/hyperlink" Target="https://doi.org/10.1155/2022/5892943" TargetMode="External"/><Relationship Id="rId157" Type="http://schemas.openxmlformats.org/officeDocument/2006/relationships/hyperlink" Target="https://doi.org/10.1016/j.procir.2023.09.195" TargetMode="External"/><Relationship Id="rId156" Type="http://schemas.openxmlformats.org/officeDocument/2006/relationships/hyperlink" Target="https://doi.org/10.1109/TSMC.2023.3317390" TargetMode="External"/><Relationship Id="rId155" Type="http://schemas.openxmlformats.org/officeDocument/2006/relationships/hyperlink" Target="https://doi.org/10.1016/j.jmsy.2023.11.019" TargetMode="External"/><Relationship Id="rId107" Type="http://schemas.openxmlformats.org/officeDocument/2006/relationships/hyperlink" Target="https://doi.org/10.1109/TEVC.2025.3543770" TargetMode="External"/><Relationship Id="rId228" Type="http://schemas.openxmlformats.org/officeDocument/2006/relationships/hyperlink" Target="https://doi.org/10.1080/00207543.2025.2550454" TargetMode="External"/><Relationship Id="rId106" Type="http://schemas.openxmlformats.org/officeDocument/2006/relationships/hyperlink" Target="https://doi.org/10.1016/j.aei.2025.103195" TargetMode="External"/><Relationship Id="rId227" Type="http://schemas.openxmlformats.org/officeDocument/2006/relationships/hyperlink" Target="https://www.diva-portal.org/smash/record.jsf?pid=diva2%3A1991113&amp;dswid=8075" TargetMode="External"/><Relationship Id="rId105" Type="http://schemas.openxmlformats.org/officeDocument/2006/relationships/hyperlink" Target="https://doi.org/10.1016/j.knosys.2025.114192" TargetMode="External"/><Relationship Id="rId226" Type="http://schemas.openxmlformats.org/officeDocument/2006/relationships/hyperlink" Target="https://deepwiki.com/wrqccc/FJSP-DRL/4.2-brandimarte-dataset" TargetMode="External"/><Relationship Id="rId104" Type="http://schemas.openxmlformats.org/officeDocument/2006/relationships/hyperlink" Target="https://apps.dtic.mil/sti/html/tr/AD0600965/" TargetMode="External"/><Relationship Id="rId225" Type="http://schemas.openxmlformats.org/officeDocument/2006/relationships/hyperlink" Target="https://doi.org/10.1109/FASTA65681.2025.11138246" TargetMode="External"/><Relationship Id="rId109" Type="http://schemas.openxmlformats.org/officeDocument/2006/relationships/hyperlink" Target="https://github.com/Lei-Kun/FJSP-benchmarks" TargetMode="External"/><Relationship Id="rId108" Type="http://schemas.openxmlformats.org/officeDocument/2006/relationships/hyperlink" Target="https://doi.org/10.3390/math13010004" TargetMode="External"/><Relationship Id="rId229" Type="http://schemas.openxmlformats.org/officeDocument/2006/relationships/hyperlink" Target="https://doi.org/10.1109/JIOT.2025.3584811" TargetMode="External"/><Relationship Id="rId220" Type="http://schemas.openxmlformats.org/officeDocument/2006/relationships/hyperlink" Target="https://doi.org/10.3390/s23094498" TargetMode="External"/><Relationship Id="rId103" Type="http://schemas.openxmlformats.org/officeDocument/2006/relationships/hyperlink" Target="https://doi.org/10.1016/j.cor.2025.107149" TargetMode="External"/><Relationship Id="rId224" Type="http://schemas.openxmlformats.org/officeDocument/2006/relationships/hyperlink" Target="https://doi.org/10.1109/ICESEP66633.2025.11155526" TargetMode="External"/><Relationship Id="rId102" Type="http://schemas.openxmlformats.org/officeDocument/2006/relationships/hyperlink" Target="https://doi.org/10.1016/j.cie.2025.111465" TargetMode="External"/><Relationship Id="rId223" Type="http://schemas.openxmlformats.org/officeDocument/2006/relationships/hyperlink" Target="https://doi.org/10.1016/j.ijpe.2024.109447" TargetMode="External"/><Relationship Id="rId101" Type="http://schemas.openxmlformats.org/officeDocument/2006/relationships/hyperlink" Target="https://doi.org/10.1016/j.rcim.2021.102283" TargetMode="External"/><Relationship Id="rId222" Type="http://schemas.openxmlformats.org/officeDocument/2006/relationships/hyperlink" Target="https://doi.org/10.1016/j.cie.2024.110646" TargetMode="External"/><Relationship Id="rId100" Type="http://schemas.openxmlformats.org/officeDocument/2006/relationships/hyperlink" Target="https://doi.org/10.3390/su14095177" TargetMode="External"/><Relationship Id="rId221" Type="http://schemas.openxmlformats.org/officeDocument/2006/relationships/hyperlink" Target="https://doi.org/10.1080/00207543.2024.2434948" TargetMode="External"/><Relationship Id="rId217" Type="http://schemas.openxmlformats.org/officeDocument/2006/relationships/hyperlink" Target="https://github.com/Lei-Kun/FJSP-benchmarks" TargetMode="External"/><Relationship Id="rId216" Type="http://schemas.openxmlformats.org/officeDocument/2006/relationships/hyperlink" Target="https://doi.org/10.1109/MLISE54096.2021.00049" TargetMode="External"/><Relationship Id="rId215" Type="http://schemas.openxmlformats.org/officeDocument/2006/relationships/hyperlink" Target="https://www.sciencedirect.com/science/article/pii/S0377221797000192?via%3Dihub" TargetMode="External"/><Relationship Id="rId214" Type="http://schemas.openxmlformats.org/officeDocument/2006/relationships/hyperlink" Target="https://doi.org/10.1109/ICICIS52592.2021.9694207" TargetMode="External"/><Relationship Id="rId219" Type="http://schemas.openxmlformats.org/officeDocument/2006/relationships/hyperlink" Target="https://doi.org/10.1016/j.cor.2023.106294" TargetMode="External"/><Relationship Id="rId218" Type="http://schemas.openxmlformats.org/officeDocument/2006/relationships/hyperlink" Target="https://doi.org/10.1080/00207543.2023.2217285" TargetMode="External"/><Relationship Id="rId213" Type="http://schemas.openxmlformats.org/officeDocument/2006/relationships/hyperlink" Target="https://fastmanufacturingproject.wordpress.com/2019/04/" TargetMode="External"/><Relationship Id="rId212" Type="http://schemas.openxmlformats.org/officeDocument/2006/relationships/hyperlink" Target="https://doi.org/10.1109/CAC63892.2024.10864691" TargetMode="External"/><Relationship Id="rId211" Type="http://schemas.openxmlformats.org/officeDocument/2006/relationships/hyperlink" Target="https://doi.org/10.1108/VJIKMS-08-2021-0146" TargetMode="External"/><Relationship Id="rId210" Type="http://schemas.openxmlformats.org/officeDocument/2006/relationships/hyperlink" Target="https://deepwiki.com/wrqccc/FJSP-DRL/4.2-brandimarte-dataset" TargetMode="External"/><Relationship Id="rId129" Type="http://schemas.openxmlformats.org/officeDocument/2006/relationships/hyperlink" Target="https://doi.org/10.1016/j.cie.2025.111342" TargetMode="External"/><Relationship Id="rId128" Type="http://schemas.openxmlformats.org/officeDocument/2006/relationships/hyperlink" Target="https://doi.org/10.1016/j.future.2024.05.058" TargetMode="External"/><Relationship Id="rId249" Type="http://schemas.openxmlformats.org/officeDocument/2006/relationships/hyperlink" Target="https://doi.org/10.1016/j.aei.2023.101911" TargetMode="External"/><Relationship Id="rId127" Type="http://schemas.openxmlformats.org/officeDocument/2006/relationships/hyperlink" Target="https://link.springer.com/article/10.1007/BF02023073" TargetMode="External"/><Relationship Id="rId248" Type="http://schemas.openxmlformats.org/officeDocument/2006/relationships/hyperlink" Target="https://doi.org/10.1080/00207543.2025.2497961" TargetMode="External"/><Relationship Id="rId126" Type="http://schemas.openxmlformats.org/officeDocument/2006/relationships/hyperlink" Target="https://doi.org/10.1109/TII.2022.3189725" TargetMode="External"/><Relationship Id="rId247" Type="http://schemas.openxmlformats.org/officeDocument/2006/relationships/hyperlink" Target="https://doi.org/10.1016/j.aei.2025.103216" TargetMode="External"/><Relationship Id="rId121" Type="http://schemas.openxmlformats.org/officeDocument/2006/relationships/hyperlink" Target="https://doi.org/10.1016/j.cie.2023.109718" TargetMode="External"/><Relationship Id="rId242" Type="http://schemas.openxmlformats.org/officeDocument/2006/relationships/hyperlink" Target="https://doi.org/10.1007/s12008-025-02316-4" TargetMode="External"/><Relationship Id="rId120" Type="http://schemas.openxmlformats.org/officeDocument/2006/relationships/hyperlink" Target="https://doi.org/10.1109/TII.2023.3272661" TargetMode="External"/><Relationship Id="rId241" Type="http://schemas.openxmlformats.org/officeDocument/2006/relationships/hyperlink" Target="https://doi.org/10.1080/17480272.2025.2505133" TargetMode="External"/><Relationship Id="rId240" Type="http://schemas.openxmlformats.org/officeDocument/2006/relationships/hyperlink" Target="https://doi.org/10.1016/j.engappai.2025.111586" TargetMode="External"/><Relationship Id="rId125" Type="http://schemas.openxmlformats.org/officeDocument/2006/relationships/hyperlink" Target="https://link.springer.com/article/10.1007/BF02023073" TargetMode="External"/><Relationship Id="rId246" Type="http://schemas.openxmlformats.org/officeDocument/2006/relationships/hyperlink" Target="https://doi.org/10.3390/systems13080631" TargetMode="External"/><Relationship Id="rId124" Type="http://schemas.openxmlformats.org/officeDocument/2006/relationships/hyperlink" Target="https://doi.org/10.1016/j.engappai.2023.106864" TargetMode="External"/><Relationship Id="rId245" Type="http://schemas.openxmlformats.org/officeDocument/2006/relationships/hyperlink" Target="https://doi.org/10.1016/j.jmsy.2025.08.016" TargetMode="External"/><Relationship Id="rId123" Type="http://schemas.openxmlformats.org/officeDocument/2006/relationships/hyperlink" Target="https://doi.org/10.1016/j.cie.2023.109650" TargetMode="External"/><Relationship Id="rId244" Type="http://schemas.openxmlformats.org/officeDocument/2006/relationships/hyperlink" Target="https://doi.org/10.1016/j.sca.2025.100171" TargetMode="External"/><Relationship Id="rId122" Type="http://schemas.openxmlformats.org/officeDocument/2006/relationships/hyperlink" Target="https://link.springer.com/article/10.1007/s10845-020-01537-6" TargetMode="External"/><Relationship Id="rId243" Type="http://schemas.openxmlformats.org/officeDocument/2006/relationships/hyperlink" Target="https://doi.org/10.1007/s12008-025-02296-5" TargetMode="External"/><Relationship Id="rId95" Type="http://schemas.openxmlformats.org/officeDocument/2006/relationships/hyperlink" Target="https://doi.org/10.1016/j.rcim.2022.102324" TargetMode="External"/><Relationship Id="rId94" Type="http://schemas.openxmlformats.org/officeDocument/2006/relationships/hyperlink" Target="https://doi.org/10.1016/j.aei.2022.101776" TargetMode="External"/><Relationship Id="rId97" Type="http://schemas.openxmlformats.org/officeDocument/2006/relationships/hyperlink" Target="https://doi.org/10.1016/j.jmsy.2022.08.005" TargetMode="External"/><Relationship Id="rId96" Type="http://schemas.openxmlformats.org/officeDocument/2006/relationships/hyperlink" Target="https://doi.org/10.1016/j.cor.2022.105823" TargetMode="External"/><Relationship Id="rId99" Type="http://schemas.openxmlformats.org/officeDocument/2006/relationships/hyperlink" Target="https://doi.org/10.1016/j.ress.2022.108429" TargetMode="External"/><Relationship Id="rId98" Type="http://schemas.openxmlformats.org/officeDocument/2006/relationships/hyperlink" Target="https://doi.org/10.3390/app12115618" TargetMode="External"/><Relationship Id="rId91" Type="http://schemas.openxmlformats.org/officeDocument/2006/relationships/hyperlink" Target="https://github.com/tamy0612/JSPLIB" TargetMode="External"/><Relationship Id="rId90" Type="http://schemas.openxmlformats.org/officeDocument/2006/relationships/hyperlink" Target="https://doi.org/10.1080/23080477.2023.2187528" TargetMode="External"/><Relationship Id="rId93" Type="http://schemas.openxmlformats.org/officeDocument/2006/relationships/hyperlink" Target="https://doi.org/10.1016/j.jmsy.2022.09.019" TargetMode="External"/><Relationship Id="rId92" Type="http://schemas.openxmlformats.org/officeDocument/2006/relationships/hyperlink" Target="https://doi.org/10.1016/j.rcim.2022.102412" TargetMode="External"/><Relationship Id="rId118" Type="http://schemas.openxmlformats.org/officeDocument/2006/relationships/hyperlink" Target="https://doi.org/10.1007/978-981-97-0194-0_11" TargetMode="External"/><Relationship Id="rId239" Type="http://schemas.openxmlformats.org/officeDocument/2006/relationships/hyperlink" Target="https://doi.org/10.1109/TASE.2024.3493617" TargetMode="External"/><Relationship Id="rId117" Type="http://schemas.openxmlformats.org/officeDocument/2006/relationships/hyperlink" Target="https://doi.org/10.1109/ACCESS.2024.3430218" TargetMode="External"/><Relationship Id="rId238" Type="http://schemas.openxmlformats.org/officeDocument/2006/relationships/hyperlink" Target="https://doi.org/10.3390/app15084116" TargetMode="External"/><Relationship Id="rId116" Type="http://schemas.openxmlformats.org/officeDocument/2006/relationships/hyperlink" Target="https://doi.org/10.1007/978-981-97-5581-3_15" TargetMode="External"/><Relationship Id="rId237" Type="http://schemas.openxmlformats.org/officeDocument/2006/relationships/hyperlink" Target="https://doi.org/10.1007/s10479-026-07065-5" TargetMode="External"/><Relationship Id="rId115" Type="http://schemas.openxmlformats.org/officeDocument/2006/relationships/hyperlink" Target="https://doi.org/10.1007/978-981-97-5675-9_8" TargetMode="External"/><Relationship Id="rId236" Type="http://schemas.openxmlformats.org/officeDocument/2006/relationships/hyperlink" Target="https://doi.org/10.1109/TII.2025.3610442" TargetMode="External"/><Relationship Id="rId119" Type="http://schemas.openxmlformats.org/officeDocument/2006/relationships/hyperlink" Target="https://doi.org/10.1007/978-981-97-2275-4_4" TargetMode="External"/><Relationship Id="rId110" Type="http://schemas.openxmlformats.org/officeDocument/2006/relationships/hyperlink" Target="https://doi.org/10.1016/j.aei.2025.103386" TargetMode="External"/><Relationship Id="rId231" Type="http://schemas.openxmlformats.org/officeDocument/2006/relationships/hyperlink" Target="https://deepwiki.com/wrqccc/FJSP-DRL/4.2-brandimarte-dataset" TargetMode="External"/><Relationship Id="rId230" Type="http://schemas.openxmlformats.org/officeDocument/2006/relationships/hyperlink" Target="https://doi.org/10.1109/ACCESS.2025.3577044" TargetMode="External"/><Relationship Id="rId114" Type="http://schemas.openxmlformats.org/officeDocument/2006/relationships/hyperlink" Target="https://doi.org/10.1080/00207543.2024.2408671" TargetMode="External"/><Relationship Id="rId235" Type="http://schemas.openxmlformats.org/officeDocument/2006/relationships/hyperlink" Target="https://doi.org/10.1038/s41598-025-31722-7" TargetMode="External"/><Relationship Id="rId113" Type="http://schemas.openxmlformats.org/officeDocument/2006/relationships/hyperlink" Target="https://scheduleopt.github.io/benchmarks/fjsplib" TargetMode="External"/><Relationship Id="rId234" Type="http://schemas.openxmlformats.org/officeDocument/2006/relationships/hyperlink" Target="https://doi.org/10.1080/21681015.2025.2533436" TargetMode="External"/><Relationship Id="rId112" Type="http://schemas.openxmlformats.org/officeDocument/2006/relationships/hyperlink" Target="https://doi.org/10.1109/ICMLCA63499.2024.10754379" TargetMode="External"/><Relationship Id="rId233" Type="http://schemas.openxmlformats.org/officeDocument/2006/relationships/hyperlink" Target="https://doi.org/10.1016/j.cie.2024.110006" TargetMode="External"/><Relationship Id="rId111" Type="http://schemas.openxmlformats.org/officeDocument/2006/relationships/hyperlink" Target="https://doi.org/10.1109/SMC54092.2024.10831278" TargetMode="External"/><Relationship Id="rId232" Type="http://schemas.openxmlformats.org/officeDocument/2006/relationships/hyperlink" Target="https://doi.org/10.1080/00207543.2025.2512226" TargetMode="External"/><Relationship Id="rId206" Type="http://schemas.openxmlformats.org/officeDocument/2006/relationships/hyperlink" Target="https://doi.org/10.1049/cim2.70024" TargetMode="External"/><Relationship Id="rId205" Type="http://schemas.openxmlformats.org/officeDocument/2006/relationships/hyperlink" Target="https://doi.org/10.1016/j.rcim.2025.102965" TargetMode="External"/><Relationship Id="rId204" Type="http://schemas.openxmlformats.org/officeDocument/2006/relationships/hyperlink" Target="https://doi.org/10.1111/poms.14021" TargetMode="External"/><Relationship Id="rId203" Type="http://schemas.openxmlformats.org/officeDocument/2006/relationships/hyperlink" Target="https://doi.org/10.1007/s40436-023-00454-0" TargetMode="External"/><Relationship Id="rId209" Type="http://schemas.openxmlformats.org/officeDocument/2006/relationships/hyperlink" Target="https://doi.org/10.1007/s11740-021-01064-0" TargetMode="External"/><Relationship Id="rId208" Type="http://schemas.openxmlformats.org/officeDocument/2006/relationships/hyperlink" Target="https://doi.org/10.1177/16878132221086120" TargetMode="External"/><Relationship Id="rId207" Type="http://schemas.openxmlformats.org/officeDocument/2006/relationships/hyperlink" Target="https://doi.org/10.1080/00207543.2025.2546030" TargetMode="External"/><Relationship Id="rId202" Type="http://schemas.openxmlformats.org/officeDocument/2006/relationships/hyperlink" Target="https://doi.org/10.1016/j.procir.2018.03.098" TargetMode="External"/><Relationship Id="rId201" Type="http://schemas.openxmlformats.org/officeDocument/2006/relationships/hyperlink" Target="https://deepwiki.com/wrqccc/FJSP-DRL/4.2-brandimarte-dataset" TargetMode="External"/><Relationship Id="rId200" Type="http://schemas.openxmlformats.org/officeDocument/2006/relationships/hyperlink" Target="https://doi.org/10.1109/TEVC.2024.3400043"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i.org/10.1109/SSCI44817.2019.9002654" TargetMode="External"/><Relationship Id="rId30" Type="http://schemas.openxmlformats.org/officeDocument/2006/relationships/hyperlink" Target="https://doi.org/10.1016/j.jmsy.2019.11.010" TargetMode="External"/><Relationship Id="rId33" Type="http://schemas.openxmlformats.org/officeDocument/2006/relationships/hyperlink" Target="https://doi.org/10.1109/ASMC.2019.8791812" TargetMode="External"/><Relationship Id="rId32" Type="http://schemas.openxmlformats.org/officeDocument/2006/relationships/hyperlink" Target="https://doi.org/10.1109/IECON.2019.8926900" TargetMode="External"/><Relationship Id="rId35" Type="http://schemas.openxmlformats.org/officeDocument/2006/relationships/hyperlink" Target="https://doi.org/10.1109/ASMC.2018.8373203" TargetMode="External"/><Relationship Id="rId34" Type="http://schemas.openxmlformats.org/officeDocument/2006/relationships/hyperlink" Target="https://doi.org/10.1016/j.simpat.2019.101990" TargetMode="External"/><Relationship Id="rId37" Type="http://schemas.openxmlformats.org/officeDocument/2006/relationships/drawing" Target="../drawings/drawing8.xml"/><Relationship Id="rId36" Type="http://schemas.openxmlformats.org/officeDocument/2006/relationships/hyperlink" Target="https://doi.org/10.1109/ICNSC.2018.8361334" TargetMode="External"/><Relationship Id="rId20" Type="http://schemas.openxmlformats.org/officeDocument/2006/relationships/hyperlink" Target="https://doi.org/10.3390/a15100372" TargetMode="External"/><Relationship Id="rId22" Type="http://schemas.openxmlformats.org/officeDocument/2006/relationships/hyperlink" Target="https://doi.org/10.24425/bpasts.2022.143830" TargetMode="External"/><Relationship Id="rId21" Type="http://schemas.openxmlformats.org/officeDocument/2006/relationships/hyperlink" Target="https://doi.org/10.1007/s00170-022-09931-5" TargetMode="External"/><Relationship Id="rId24" Type="http://schemas.openxmlformats.org/officeDocument/2006/relationships/hyperlink" Target="https://doi.org/10.1007/s11740-021-01057-z" TargetMode="External"/><Relationship Id="rId23" Type="http://schemas.openxmlformats.org/officeDocument/2006/relationships/hyperlink" Target="https://doi.org/10.1016/j.ifacol.2022.09.543" TargetMode="External"/><Relationship Id="rId26" Type="http://schemas.openxmlformats.org/officeDocument/2006/relationships/hyperlink" Target="https://doi.org/10.1007/978-3-030-85902-2_54" TargetMode="External"/><Relationship Id="rId25" Type="http://schemas.openxmlformats.org/officeDocument/2006/relationships/hyperlink" Target="https://doi.org/10.1016/j.procir.2021.10.019" TargetMode="External"/><Relationship Id="rId28" Type="http://schemas.openxmlformats.org/officeDocument/2006/relationships/hyperlink" Target="https://doi.org/10.1080/00207543.2019.1602745" TargetMode="External"/><Relationship Id="rId27" Type="http://schemas.openxmlformats.org/officeDocument/2006/relationships/hyperlink" Target="https://doi.org/10.1016/j.autcon.2019.103065" TargetMode="External"/><Relationship Id="rId29" Type="http://schemas.openxmlformats.org/officeDocument/2006/relationships/hyperlink" Target="https://doi.org/10.1016/j.procir.2020.04.125" TargetMode="External"/><Relationship Id="rId11" Type="http://schemas.openxmlformats.org/officeDocument/2006/relationships/hyperlink" Target="https://doi.org/10.1016/j.cie.2023.109500" TargetMode="External"/><Relationship Id="rId10" Type="http://schemas.openxmlformats.org/officeDocument/2006/relationships/hyperlink" Target="https://doi.org/10.1016/j.compchemeng.2023.108363" TargetMode="External"/><Relationship Id="rId13" Type="http://schemas.openxmlformats.org/officeDocument/2006/relationships/hyperlink" Target="https://doi.org/10.1007/s10951-023-00783-9" TargetMode="External"/><Relationship Id="rId12" Type="http://schemas.openxmlformats.org/officeDocument/2006/relationships/hyperlink" Target="https://doi.org/10.1016/j.cie.2023.109500" TargetMode="External"/><Relationship Id="rId15" Type="http://schemas.openxmlformats.org/officeDocument/2006/relationships/hyperlink" Target="https://doi.org/10.1016/j.eswa.2022.118958" TargetMode="External"/><Relationship Id="rId14" Type="http://schemas.openxmlformats.org/officeDocument/2006/relationships/hyperlink" Target="https://doi.org/10.1016/j.knosys.2023.110309" TargetMode="External"/><Relationship Id="rId17" Type="http://schemas.openxmlformats.org/officeDocument/2006/relationships/hyperlink" Target="https://doi.org/10.1007/978-3-031-24457-5_61" TargetMode="External"/><Relationship Id="rId16" Type="http://schemas.openxmlformats.org/officeDocument/2006/relationships/hyperlink" Target="https://doi.org/10.1007/978-3-031-24457-5_55" TargetMode="External"/><Relationship Id="rId19" Type="http://schemas.openxmlformats.org/officeDocument/2006/relationships/hyperlink" Target="https://doi.org/10.1007/978-3-031-24457-5_65" TargetMode="External"/><Relationship Id="rId18" Type="http://schemas.openxmlformats.org/officeDocument/2006/relationships/hyperlink" Target="https://doi.org/10.1007/978-981-19-9024-3_57" TargetMode="External"/><Relationship Id="rId1" Type="http://schemas.openxmlformats.org/officeDocument/2006/relationships/hyperlink" Target="https://doi.org/10.1007/s12351-025-00977-3" TargetMode="External"/><Relationship Id="rId2" Type="http://schemas.openxmlformats.org/officeDocument/2006/relationships/hyperlink" Target="https://doi.org/10.1016/j.engappai.2025.111783" TargetMode="External"/><Relationship Id="rId3" Type="http://schemas.openxmlformats.org/officeDocument/2006/relationships/hyperlink" Target="https://doi.org/10.1609/aaai.v39i25.34907"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5" Type="http://schemas.openxmlformats.org/officeDocument/2006/relationships/hyperlink" Target="https://doi.org/10.1007/978-981-96-9901-8_31" TargetMode="External"/><Relationship Id="rId6" Type="http://schemas.openxmlformats.org/officeDocument/2006/relationships/hyperlink" Target="https://doi.org/10.1109/ACCESS.2025.3569568" TargetMode="External"/><Relationship Id="rId7" Type="http://schemas.openxmlformats.org/officeDocument/2006/relationships/hyperlink" Target="https://doi.org/10.1016/j.procs.2025.01.244" TargetMode="External"/><Relationship Id="rId8" Type="http://schemas.openxmlformats.org/officeDocument/2006/relationships/hyperlink" Target="https://doi.org/10.1016/j.ifacol.2024.09.103"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0" Type="http://schemas.openxmlformats.org/officeDocument/2006/relationships/drawing" Target="../drawings/drawing11.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8.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9.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20.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i.org/10.1177/16878132221086120" TargetMode="External"/><Relationship Id="rId2" Type="http://schemas.openxmlformats.org/officeDocument/2006/relationships/hyperlink" Target="https://doi.org/10.1049/cim2.12042" TargetMode="External"/><Relationship Id="rId3" Type="http://schemas.openxmlformats.org/officeDocument/2006/relationships/hyperlink" Target="https://doi.org/10.1007/s11740-021-01064-0" TargetMode="External"/><Relationship Id="rId4" Type="http://schemas.openxmlformats.org/officeDocument/2006/relationships/hyperlink" Target="https://doi.org/10.1080/00207543.2023.2217285"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7.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35"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c r="AD1" s="36"/>
      <c r="AE1" s="36"/>
      <c r="AF1" s="36"/>
      <c r="AG1" s="36"/>
      <c r="AH1" s="36"/>
      <c r="AI1" s="36"/>
    </row>
    <row r="2" ht="14.25" customHeight="1">
      <c r="A2" s="37" t="s">
        <v>86</v>
      </c>
      <c r="B2" s="37" t="s">
        <v>87</v>
      </c>
      <c r="C2" s="38" t="s">
        <v>88</v>
      </c>
      <c r="D2" s="37" t="s">
        <v>89</v>
      </c>
      <c r="E2" s="37" t="s">
        <v>90</v>
      </c>
      <c r="F2" s="37" t="s">
        <v>91</v>
      </c>
      <c r="G2" s="37" t="s">
        <v>92</v>
      </c>
      <c r="I2" s="37" t="s">
        <v>45</v>
      </c>
      <c r="J2" s="37" t="s">
        <v>93</v>
      </c>
      <c r="N2" s="37">
        <f>COUNTIF($I$1:$I$248,"L0")</f>
        <v>9</v>
      </c>
      <c r="O2" s="37">
        <f>COUNTIF($I$1:$I$248,"L1")</f>
        <v>11</v>
      </c>
      <c r="P2" s="37">
        <f>COUNTIF($I$1:$I$248,"L2")</f>
        <v>102</v>
      </c>
      <c r="Q2" s="37">
        <f>COUNTIF($I$1:$I$248,"L3")</f>
        <v>6</v>
      </c>
      <c r="R2" s="37">
        <f>COUNTIF($I$1:$I$248,"L4")</f>
        <v>10</v>
      </c>
      <c r="S2" s="37">
        <f>COUNTIF($I$1:$I$248,"L3/L4")</f>
        <v>0</v>
      </c>
      <c r="T2" s="37">
        <f>COUNTIF($I$1:$I$248,"L0/L1/L2/L3/L4")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26" t="s">
        <v>261</v>
      </c>
    </row>
    <row r="141" ht="14.25" customHeight="1">
      <c r="A141" s="37" t="s">
        <v>609</v>
      </c>
      <c r="B141" s="37" t="s">
        <v>610</v>
      </c>
      <c r="C141" s="38" t="s">
        <v>88</v>
      </c>
      <c r="D141" s="37" t="s">
        <v>295</v>
      </c>
      <c r="F141" s="37" t="s">
        <v>515</v>
      </c>
      <c r="G141" s="37" t="s">
        <v>92</v>
      </c>
      <c r="I141" s="37" t="s">
        <v>76</v>
      </c>
      <c r="J141" s="26" t="s">
        <v>261</v>
      </c>
    </row>
    <row r="142" ht="14.25" customHeight="1">
      <c r="A142" s="37" t="s">
        <v>546</v>
      </c>
      <c r="B142" s="37" t="s">
        <v>547</v>
      </c>
      <c r="C142" s="38" t="s">
        <v>88</v>
      </c>
      <c r="D142" s="37" t="s">
        <v>125</v>
      </c>
      <c r="E142" s="37" t="s">
        <v>548</v>
      </c>
      <c r="F142" s="37" t="s">
        <v>209</v>
      </c>
      <c r="G142" s="37" t="s">
        <v>115</v>
      </c>
      <c r="H142" s="37" t="s">
        <v>611</v>
      </c>
      <c r="I142" s="37" t="s">
        <v>612</v>
      </c>
      <c r="J142" s="26" t="s">
        <v>613</v>
      </c>
    </row>
    <row r="143" ht="14.25" customHeight="1">
      <c r="A143" s="37" t="s">
        <v>274</v>
      </c>
      <c r="B143" s="37" t="s">
        <v>275</v>
      </c>
      <c r="C143" s="38" t="s">
        <v>88</v>
      </c>
      <c r="D143" s="37" t="s">
        <v>276</v>
      </c>
      <c r="F143" s="37" t="s">
        <v>110</v>
      </c>
      <c r="G143" s="37" t="s">
        <v>92</v>
      </c>
      <c r="H143" s="37" t="s">
        <v>611</v>
      </c>
      <c r="I143" s="26" t="s">
        <v>612</v>
      </c>
      <c r="J143" s="26" t="s">
        <v>613</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823</v>
      </c>
      <c r="B209" s="39" t="s">
        <v>824</v>
      </c>
      <c r="C209" s="40" t="s">
        <v>616</v>
      </c>
      <c r="D209" s="39" t="s">
        <v>392</v>
      </c>
      <c r="E209" s="39" t="s">
        <v>825</v>
      </c>
      <c r="F209" s="39" t="s">
        <v>685</v>
      </c>
      <c r="G209" s="39" t="s">
        <v>115</v>
      </c>
      <c r="H209" s="39" t="s">
        <v>620</v>
      </c>
      <c r="I209" s="41"/>
      <c r="J209" s="39" t="s">
        <v>93</v>
      </c>
    </row>
    <row r="210" ht="14.25" customHeight="1">
      <c r="A210" s="39" t="s">
        <v>826</v>
      </c>
      <c r="B210" s="39" t="s">
        <v>827</v>
      </c>
      <c r="C210" s="40" t="s">
        <v>616</v>
      </c>
      <c r="D210" s="39" t="s">
        <v>409</v>
      </c>
      <c r="E210" s="39" t="s">
        <v>828</v>
      </c>
      <c r="F210" s="39" t="s">
        <v>142</v>
      </c>
      <c r="G210" s="39" t="s">
        <v>115</v>
      </c>
      <c r="H210" s="39" t="s">
        <v>620</v>
      </c>
      <c r="I210" s="41"/>
      <c r="J210" s="39" t="s">
        <v>93</v>
      </c>
    </row>
    <row r="211" ht="14.25" customHeight="1">
      <c r="A211" s="39" t="s">
        <v>829</v>
      </c>
      <c r="B211" s="39" t="s">
        <v>830</v>
      </c>
      <c r="C211" s="40" t="s">
        <v>616</v>
      </c>
      <c r="D211" s="39" t="s">
        <v>242</v>
      </c>
      <c r="E211" s="39" t="s">
        <v>296</v>
      </c>
      <c r="F211" s="39" t="s">
        <v>233</v>
      </c>
      <c r="G211" s="39" t="s">
        <v>115</v>
      </c>
      <c r="H211" s="39" t="s">
        <v>620</v>
      </c>
      <c r="I211" s="41"/>
      <c r="J211" s="39" t="s">
        <v>93</v>
      </c>
    </row>
    <row r="212" ht="14.25" customHeight="1">
      <c r="A212" s="39" t="s">
        <v>831</v>
      </c>
      <c r="B212" s="39" t="s">
        <v>832</v>
      </c>
      <c r="C212" s="40" t="s">
        <v>616</v>
      </c>
      <c r="D212" s="39" t="s">
        <v>833</v>
      </c>
      <c r="E212" s="39" t="s">
        <v>142</v>
      </c>
      <c r="F212" s="39" t="s">
        <v>385</v>
      </c>
      <c r="G212" s="39" t="s">
        <v>115</v>
      </c>
      <c r="H212" s="39" t="s">
        <v>620</v>
      </c>
      <c r="I212" s="41"/>
      <c r="J212" s="39" t="s">
        <v>93</v>
      </c>
    </row>
    <row r="213" ht="14.25" customHeight="1">
      <c r="A213" s="39" t="s">
        <v>834</v>
      </c>
      <c r="B213" s="39" t="s">
        <v>835</v>
      </c>
      <c r="C213" s="40" t="s">
        <v>616</v>
      </c>
      <c r="D213" s="39" t="s">
        <v>708</v>
      </c>
      <c r="E213" s="39" t="s">
        <v>836</v>
      </c>
      <c r="F213" s="39" t="s">
        <v>221</v>
      </c>
      <c r="G213" s="39" t="s">
        <v>115</v>
      </c>
      <c r="H213" s="39" t="s">
        <v>620</v>
      </c>
      <c r="I213" s="41"/>
      <c r="J213" s="39" t="s">
        <v>93</v>
      </c>
    </row>
    <row r="214" ht="14.25" customHeight="1">
      <c r="A214" s="39" t="s">
        <v>837</v>
      </c>
      <c r="B214" s="39" t="s">
        <v>838</v>
      </c>
      <c r="C214" s="40" t="s">
        <v>616</v>
      </c>
      <c r="D214" s="39" t="s">
        <v>729</v>
      </c>
      <c r="E214" s="39" t="s">
        <v>839</v>
      </c>
      <c r="F214" s="39" t="s">
        <v>280</v>
      </c>
      <c r="G214" s="39" t="s">
        <v>115</v>
      </c>
      <c r="H214" s="39" t="s">
        <v>620</v>
      </c>
      <c r="I214" s="41"/>
      <c r="J214" s="39" t="s">
        <v>261</v>
      </c>
    </row>
    <row r="215" ht="14.25" customHeight="1">
      <c r="A215" s="39" t="s">
        <v>840</v>
      </c>
      <c r="B215" s="39" t="s">
        <v>841</v>
      </c>
      <c r="C215" s="40" t="s">
        <v>616</v>
      </c>
      <c r="D215" s="39" t="s">
        <v>833</v>
      </c>
      <c r="E215" s="39" t="s">
        <v>842</v>
      </c>
      <c r="F215" s="39" t="s">
        <v>843</v>
      </c>
      <c r="G215" s="39" t="s">
        <v>115</v>
      </c>
      <c r="H215" s="39" t="s">
        <v>620</v>
      </c>
      <c r="I215" s="41"/>
      <c r="J215" s="39" t="s">
        <v>261</v>
      </c>
    </row>
    <row r="216" ht="14.25" customHeight="1">
      <c r="A216" s="39" t="s">
        <v>844</v>
      </c>
      <c r="B216" s="39" t="s">
        <v>845</v>
      </c>
      <c r="C216" s="40" t="s">
        <v>616</v>
      </c>
      <c r="D216" s="39" t="s">
        <v>846</v>
      </c>
      <c r="E216" s="39" t="s">
        <v>101</v>
      </c>
      <c r="F216" s="39" t="s">
        <v>847</v>
      </c>
      <c r="G216" s="39" t="s">
        <v>115</v>
      </c>
      <c r="H216" s="39" t="s">
        <v>620</v>
      </c>
      <c r="I216" s="41"/>
      <c r="J216" s="39" t="s">
        <v>261</v>
      </c>
    </row>
    <row r="217" ht="14.25" customHeight="1">
      <c r="A217" s="39" t="s">
        <v>848</v>
      </c>
      <c r="B217" s="39" t="s">
        <v>849</v>
      </c>
      <c r="C217" s="40" t="s">
        <v>616</v>
      </c>
      <c r="D217" s="39" t="s">
        <v>109</v>
      </c>
      <c r="E217" s="39" t="s">
        <v>850</v>
      </c>
      <c r="F217" s="39" t="s">
        <v>221</v>
      </c>
      <c r="G217" s="39" t="s">
        <v>115</v>
      </c>
      <c r="H217" s="39" t="s">
        <v>620</v>
      </c>
      <c r="I217" s="41"/>
      <c r="J217" s="39" t="s">
        <v>261</v>
      </c>
    </row>
    <row r="218" ht="14.25" customHeight="1">
      <c r="A218" s="39" t="s">
        <v>851</v>
      </c>
      <c r="B218" s="39" t="s">
        <v>852</v>
      </c>
      <c r="C218" s="40" t="s">
        <v>616</v>
      </c>
      <c r="D218" s="39" t="s">
        <v>401</v>
      </c>
      <c r="E218" s="39" t="s">
        <v>853</v>
      </c>
      <c r="F218" s="39" t="s">
        <v>142</v>
      </c>
      <c r="G218" s="39" t="s">
        <v>115</v>
      </c>
      <c r="H218" s="39" t="s">
        <v>620</v>
      </c>
      <c r="I218" s="41"/>
      <c r="J218" s="39" t="s">
        <v>261</v>
      </c>
    </row>
    <row r="219" ht="14.25" customHeight="1">
      <c r="A219" s="39" t="s">
        <v>854</v>
      </c>
      <c r="B219" s="39" t="s">
        <v>855</v>
      </c>
      <c r="C219" s="40" t="s">
        <v>616</v>
      </c>
      <c r="D219" s="39" t="s">
        <v>264</v>
      </c>
      <c r="E219" s="39" t="s">
        <v>856</v>
      </c>
      <c r="F219" s="39" t="s">
        <v>857</v>
      </c>
      <c r="G219" s="39" t="s">
        <v>115</v>
      </c>
      <c r="H219" s="39" t="s">
        <v>620</v>
      </c>
      <c r="I219" s="41"/>
      <c r="J219" s="39" t="s">
        <v>507</v>
      </c>
    </row>
    <row r="220" ht="14.25" customHeight="1">
      <c r="A220" s="39" t="s">
        <v>858</v>
      </c>
      <c r="B220" s="39" t="s">
        <v>859</v>
      </c>
      <c r="C220" s="40" t="s">
        <v>616</v>
      </c>
      <c r="D220" s="39" t="s">
        <v>501</v>
      </c>
      <c r="E220" s="39" t="s">
        <v>860</v>
      </c>
      <c r="F220" s="39" t="s">
        <v>209</v>
      </c>
      <c r="G220" s="39" t="s">
        <v>92</v>
      </c>
      <c r="H220" s="39" t="s">
        <v>128</v>
      </c>
      <c r="J220" s="39" t="s">
        <v>269</v>
      </c>
    </row>
    <row r="221" ht="14.25" customHeight="1">
      <c r="A221" s="39" t="s">
        <v>861</v>
      </c>
      <c r="B221" s="39" t="s">
        <v>862</v>
      </c>
      <c r="C221" s="40" t="s">
        <v>616</v>
      </c>
      <c r="D221" s="39" t="s">
        <v>215</v>
      </c>
      <c r="E221" s="39" t="s">
        <v>863</v>
      </c>
      <c r="F221" s="39" t="s">
        <v>142</v>
      </c>
      <c r="G221" s="39" t="s">
        <v>115</v>
      </c>
      <c r="H221" s="39" t="s">
        <v>128</v>
      </c>
      <c r="J221" s="39" t="s">
        <v>269</v>
      </c>
    </row>
    <row r="222" ht="14.25" customHeight="1">
      <c r="A222" s="39" t="s">
        <v>864</v>
      </c>
      <c r="B222" s="39" t="s">
        <v>865</v>
      </c>
      <c r="C222" s="40" t="s">
        <v>616</v>
      </c>
      <c r="D222" s="39" t="s">
        <v>866</v>
      </c>
      <c r="F222" s="39" t="s">
        <v>867</v>
      </c>
      <c r="G222" s="39" t="s">
        <v>92</v>
      </c>
      <c r="H222" s="39" t="s">
        <v>620</v>
      </c>
      <c r="I222" s="41"/>
      <c r="J222" s="39" t="s">
        <v>269</v>
      </c>
    </row>
    <row r="223" ht="14.25" customHeight="1">
      <c r="A223" s="39" t="s">
        <v>868</v>
      </c>
      <c r="B223" s="39" t="s">
        <v>869</v>
      </c>
      <c r="C223" s="40" t="s">
        <v>616</v>
      </c>
      <c r="D223" s="39" t="s">
        <v>283</v>
      </c>
      <c r="E223" s="39" t="s">
        <v>870</v>
      </c>
      <c r="F223" s="39" t="s">
        <v>393</v>
      </c>
      <c r="G223" s="39" t="s">
        <v>92</v>
      </c>
      <c r="H223" s="39" t="s">
        <v>128</v>
      </c>
      <c r="J223" s="39" t="s">
        <v>269</v>
      </c>
    </row>
    <row r="224" ht="14.25" customHeight="1">
      <c r="A224" s="42" t="s">
        <v>871</v>
      </c>
      <c r="B224" s="39" t="s">
        <v>872</v>
      </c>
      <c r="C224" s="40" t="s">
        <v>616</v>
      </c>
      <c r="D224" s="39" t="s">
        <v>873</v>
      </c>
      <c r="E224" s="39" t="s">
        <v>142</v>
      </c>
      <c r="F224" s="39" t="s">
        <v>142</v>
      </c>
      <c r="G224" s="39" t="s">
        <v>115</v>
      </c>
      <c r="H224" s="39" t="s">
        <v>620</v>
      </c>
      <c r="I224" s="41"/>
      <c r="J224" s="39" t="s">
        <v>269</v>
      </c>
    </row>
    <row r="225" ht="14.25" customHeight="1">
      <c r="A225" s="39" t="s">
        <v>874</v>
      </c>
      <c r="B225" s="39" t="s">
        <v>875</v>
      </c>
      <c r="C225" s="40" t="s">
        <v>616</v>
      </c>
      <c r="D225" s="39" t="s">
        <v>529</v>
      </c>
      <c r="E225" s="39" t="s">
        <v>418</v>
      </c>
      <c r="F225" s="39" t="s">
        <v>114</v>
      </c>
      <c r="G225" s="39" t="s">
        <v>115</v>
      </c>
      <c r="H225" s="39" t="s">
        <v>620</v>
      </c>
      <c r="I225" s="41"/>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876</v>
      </c>
      <c r="B227" s="39" t="s">
        <v>877</v>
      </c>
      <c r="C227" s="40" t="s">
        <v>616</v>
      </c>
      <c r="D227" s="39" t="s">
        <v>878</v>
      </c>
      <c r="E227" s="39" t="s">
        <v>101</v>
      </c>
      <c r="F227" s="39" t="s">
        <v>879</v>
      </c>
      <c r="G227" s="39" t="s">
        <v>92</v>
      </c>
      <c r="H227" s="39" t="s">
        <v>128</v>
      </c>
      <c r="J227" s="39" t="s">
        <v>880</v>
      </c>
      <c r="K227" s="39"/>
      <c r="L227" s="39"/>
      <c r="M227" s="41"/>
      <c r="N227" s="41"/>
      <c r="O227" s="39"/>
      <c r="P227" s="39"/>
      <c r="Q227" s="41"/>
      <c r="R227" s="41"/>
      <c r="S227" s="41"/>
      <c r="T227" s="41"/>
      <c r="U227" s="41"/>
      <c r="V227" s="41"/>
      <c r="W227" s="41"/>
      <c r="X227" s="41"/>
    </row>
    <row r="228" ht="14.25" customHeight="1">
      <c r="A228" s="39" t="s">
        <v>881</v>
      </c>
      <c r="B228" s="39" t="s">
        <v>882</v>
      </c>
      <c r="C228" s="40" t="s">
        <v>616</v>
      </c>
      <c r="D228" s="39" t="s">
        <v>422</v>
      </c>
      <c r="E228" s="39" t="s">
        <v>101</v>
      </c>
      <c r="F228" s="39" t="s">
        <v>110</v>
      </c>
      <c r="G228" s="39" t="s">
        <v>92</v>
      </c>
      <c r="H228" s="39" t="s">
        <v>128</v>
      </c>
      <c r="J228" s="39" t="s">
        <v>269</v>
      </c>
      <c r="K228" s="39"/>
      <c r="L228" s="39"/>
      <c r="M228" s="41"/>
      <c r="N228" s="41"/>
      <c r="O228" s="39"/>
      <c r="P228" s="39"/>
      <c r="Q228" s="41"/>
      <c r="R228" s="41"/>
      <c r="S228" s="41"/>
      <c r="T228" s="41"/>
      <c r="U228" s="41"/>
      <c r="V228" s="41"/>
      <c r="W228" s="41"/>
      <c r="X228" s="41"/>
    </row>
    <row r="229" ht="14.25" customHeight="1">
      <c r="A229" s="39" t="s">
        <v>883</v>
      </c>
      <c r="B229" s="39" t="s">
        <v>884</v>
      </c>
      <c r="C229" s="40" t="s">
        <v>616</v>
      </c>
      <c r="D229" s="39" t="s">
        <v>885</v>
      </c>
      <c r="F229" s="39" t="s">
        <v>523</v>
      </c>
      <c r="G229" s="39" t="s">
        <v>92</v>
      </c>
      <c r="H229" s="39" t="s">
        <v>128</v>
      </c>
      <c r="J229" s="39" t="s">
        <v>507</v>
      </c>
      <c r="K229" s="39"/>
      <c r="L229" s="39"/>
      <c r="M229" s="41"/>
      <c r="N229" s="41"/>
      <c r="O229" s="39"/>
      <c r="P229" s="39"/>
      <c r="Q229" s="41"/>
      <c r="R229" s="41"/>
      <c r="S229" s="41"/>
      <c r="T229" s="41"/>
      <c r="U229" s="41"/>
      <c r="V229" s="41"/>
      <c r="W229" s="41"/>
      <c r="X229" s="41"/>
    </row>
    <row r="230" ht="14.25" customHeight="1">
      <c r="A230" s="39" t="s">
        <v>886</v>
      </c>
      <c r="B230" s="39" t="s">
        <v>887</v>
      </c>
      <c r="C230" s="40" t="s">
        <v>616</v>
      </c>
      <c r="D230" s="39" t="s">
        <v>413</v>
      </c>
      <c r="E230" s="39" t="s">
        <v>888</v>
      </c>
      <c r="F230" s="39" t="s">
        <v>217</v>
      </c>
      <c r="G230" s="39" t="s">
        <v>92</v>
      </c>
      <c r="H230" s="39" t="s">
        <v>128</v>
      </c>
      <c r="J230" s="39" t="s">
        <v>507</v>
      </c>
      <c r="K230" s="39"/>
      <c r="L230" s="39"/>
      <c r="M230" s="41"/>
      <c r="N230" s="41"/>
      <c r="O230" s="39"/>
      <c r="P230" s="39"/>
      <c r="Q230" s="41"/>
      <c r="R230" s="41"/>
      <c r="S230" s="41"/>
      <c r="T230" s="41"/>
      <c r="U230" s="41"/>
      <c r="V230" s="41"/>
      <c r="W230" s="41"/>
      <c r="X230" s="41"/>
    </row>
    <row r="231" ht="14.25" customHeight="1">
      <c r="A231" s="39" t="s">
        <v>889</v>
      </c>
      <c r="B231" s="39" t="s">
        <v>890</v>
      </c>
      <c r="C231" s="40" t="s">
        <v>891</v>
      </c>
      <c r="D231" s="39" t="s">
        <v>892</v>
      </c>
      <c r="E231" s="39" t="s">
        <v>514</v>
      </c>
      <c r="F231" s="39" t="s">
        <v>102</v>
      </c>
      <c r="G231" s="39" t="s">
        <v>115</v>
      </c>
      <c r="H231" s="39" t="s">
        <v>620</v>
      </c>
      <c r="I231" s="41"/>
      <c r="J231" s="39" t="s">
        <v>181</v>
      </c>
      <c r="K231" s="39"/>
      <c r="L231" s="39"/>
      <c r="M231" s="41"/>
      <c r="N231" s="41"/>
    </row>
    <row r="232" ht="14.25" customHeight="1">
      <c r="A232" s="39" t="s">
        <v>893</v>
      </c>
      <c r="B232" s="39" t="s">
        <v>894</v>
      </c>
      <c r="C232" s="40" t="s">
        <v>891</v>
      </c>
      <c r="D232" s="39" t="s">
        <v>895</v>
      </c>
      <c r="E232" s="39" t="s">
        <v>300</v>
      </c>
      <c r="F232" s="39" t="s">
        <v>260</v>
      </c>
      <c r="G232" s="39" t="s">
        <v>115</v>
      </c>
      <c r="H232" s="39" t="s">
        <v>620</v>
      </c>
      <c r="I232" s="41"/>
      <c r="J232" s="39" t="s">
        <v>269</v>
      </c>
      <c r="K232" s="39"/>
      <c r="L232" s="39"/>
      <c r="M232" s="41"/>
      <c r="N232" s="41"/>
    </row>
    <row r="233" ht="14.25" customHeight="1">
      <c r="A233" s="39" t="s">
        <v>896</v>
      </c>
      <c r="B233" s="39" t="s">
        <v>897</v>
      </c>
      <c r="C233" s="40" t="s">
        <v>891</v>
      </c>
      <c r="D233" s="39" t="s">
        <v>898</v>
      </c>
      <c r="F233" s="39" t="s">
        <v>209</v>
      </c>
      <c r="G233" s="39" t="s">
        <v>92</v>
      </c>
      <c r="H233" s="39" t="s">
        <v>620</v>
      </c>
      <c r="I233" s="41"/>
      <c r="J233" s="39" t="s">
        <v>261</v>
      </c>
      <c r="K233" s="39"/>
      <c r="L233" s="39"/>
      <c r="M233" s="41"/>
      <c r="N233" s="41"/>
    </row>
    <row r="234" ht="14.25" customHeight="1">
      <c r="A234" s="39" t="s">
        <v>899</v>
      </c>
      <c r="B234" s="39" t="s">
        <v>900</v>
      </c>
      <c r="C234" s="40" t="s">
        <v>891</v>
      </c>
      <c r="D234" s="39" t="s">
        <v>901</v>
      </c>
      <c r="E234" s="39" t="s">
        <v>162</v>
      </c>
      <c r="F234" s="39" t="s">
        <v>260</v>
      </c>
      <c r="G234" s="39" t="s">
        <v>92</v>
      </c>
      <c r="H234" s="39" t="s">
        <v>620</v>
      </c>
      <c r="I234" s="41"/>
      <c r="J234" s="39" t="s">
        <v>507</v>
      </c>
      <c r="K234" s="39"/>
      <c r="L234" s="39"/>
      <c r="M234" s="41"/>
      <c r="N234" s="41"/>
    </row>
    <row r="235" ht="14.25" customHeight="1">
      <c r="A235" s="39" t="s">
        <v>902</v>
      </c>
      <c r="B235" s="39" t="s">
        <v>903</v>
      </c>
      <c r="C235" s="40" t="s">
        <v>891</v>
      </c>
      <c r="D235" s="39" t="s">
        <v>904</v>
      </c>
      <c r="F235" s="39" t="s">
        <v>562</v>
      </c>
      <c r="G235" s="39" t="s">
        <v>92</v>
      </c>
      <c r="H235" s="39" t="s">
        <v>128</v>
      </c>
      <c r="J235" s="39" t="s">
        <v>269</v>
      </c>
      <c r="K235" s="39"/>
      <c r="L235" s="39"/>
      <c r="M235" s="41"/>
      <c r="N235" s="41"/>
    </row>
    <row r="236" ht="14.25" customHeight="1">
      <c r="A236" s="39" t="s">
        <v>905</v>
      </c>
      <c r="B236" s="39" t="s">
        <v>906</v>
      </c>
      <c r="C236" s="40" t="s">
        <v>891</v>
      </c>
      <c r="D236" s="39" t="s">
        <v>907</v>
      </c>
      <c r="E236" s="39" t="s">
        <v>101</v>
      </c>
      <c r="F236" s="39" t="s">
        <v>908</v>
      </c>
      <c r="G236" s="39" t="s">
        <v>115</v>
      </c>
      <c r="H236" s="39" t="s">
        <v>620</v>
      </c>
      <c r="I236" s="41"/>
      <c r="J236" s="39" t="s">
        <v>431</v>
      </c>
      <c r="K236" s="39"/>
      <c r="L236" s="39"/>
      <c r="M236" s="41"/>
      <c r="N236" s="41"/>
    </row>
    <row r="237" ht="14.25" customHeight="1">
      <c r="A237" s="39" t="s">
        <v>909</v>
      </c>
      <c r="B237" s="39" t="s">
        <v>910</v>
      </c>
      <c r="C237" s="40" t="s">
        <v>891</v>
      </c>
      <c r="D237" s="39" t="s">
        <v>907</v>
      </c>
      <c r="F237" s="39" t="s">
        <v>102</v>
      </c>
      <c r="G237" s="39" t="s">
        <v>115</v>
      </c>
      <c r="H237" s="39" t="s">
        <v>128</v>
      </c>
      <c r="J237" s="39" t="s">
        <v>181</v>
      </c>
      <c r="K237" s="39"/>
      <c r="L237" s="39"/>
      <c r="M237" s="41"/>
      <c r="N237" s="41"/>
      <c r="V237" s="26">
        <v>245.0</v>
      </c>
      <c r="W237" s="26">
        <v>242.0</v>
      </c>
    </row>
    <row r="238" ht="14.25" customHeight="1">
      <c r="A238" s="39" t="s">
        <v>911</v>
      </c>
      <c r="B238" s="39" t="s">
        <v>912</v>
      </c>
      <c r="C238" s="40" t="s">
        <v>891</v>
      </c>
      <c r="D238" s="39" t="s">
        <v>895</v>
      </c>
      <c r="E238" s="39" t="s">
        <v>126</v>
      </c>
      <c r="F238" s="39" t="s">
        <v>260</v>
      </c>
      <c r="G238" s="39" t="s">
        <v>92</v>
      </c>
      <c r="H238" s="39" t="s">
        <v>128</v>
      </c>
      <c r="J238" s="39" t="s">
        <v>347</v>
      </c>
      <c r="K238" s="39"/>
      <c r="L238" s="39"/>
      <c r="M238" s="41"/>
      <c r="N238" s="41"/>
    </row>
    <row r="239" ht="14.25" customHeight="1">
      <c r="A239" s="39" t="s">
        <v>913</v>
      </c>
      <c r="B239" s="39" t="s">
        <v>914</v>
      </c>
      <c r="C239" s="40" t="s">
        <v>891</v>
      </c>
      <c r="D239" s="39" t="s">
        <v>907</v>
      </c>
      <c r="E239" s="39" t="s">
        <v>126</v>
      </c>
      <c r="F239" s="39" t="s">
        <v>523</v>
      </c>
      <c r="G239" s="39" t="s">
        <v>115</v>
      </c>
      <c r="H239" s="39" t="s">
        <v>620</v>
      </c>
      <c r="I239" s="41"/>
      <c r="J239" s="39" t="s">
        <v>93</v>
      </c>
      <c r="K239" s="39"/>
      <c r="L239" s="39"/>
      <c r="M239" s="41"/>
      <c r="N239" s="41"/>
    </row>
    <row r="240" ht="14.25" customHeight="1">
      <c r="A240" s="39" t="s">
        <v>915</v>
      </c>
      <c r="B240" s="39" t="s">
        <v>916</v>
      </c>
      <c r="C240" s="40" t="s">
        <v>891</v>
      </c>
      <c r="D240" s="39" t="s">
        <v>917</v>
      </c>
      <c r="F240" s="39" t="s">
        <v>260</v>
      </c>
      <c r="G240" s="39" t="s">
        <v>92</v>
      </c>
      <c r="H240" s="39" t="s">
        <v>128</v>
      </c>
      <c r="J240" s="39" t="s">
        <v>507</v>
      </c>
      <c r="K240" s="39"/>
      <c r="L240" s="39"/>
      <c r="M240" s="41"/>
      <c r="N240" s="41"/>
    </row>
    <row r="241" ht="14.25" customHeight="1">
      <c r="A241" s="39" t="s">
        <v>918</v>
      </c>
      <c r="B241" s="39" t="s">
        <v>919</v>
      </c>
      <c r="C241" s="40" t="s">
        <v>891</v>
      </c>
      <c r="D241" s="39" t="s">
        <v>907</v>
      </c>
      <c r="F241" s="39" t="s">
        <v>920</v>
      </c>
      <c r="G241" s="39" t="s">
        <v>92</v>
      </c>
      <c r="H241" s="39" t="s">
        <v>128</v>
      </c>
      <c r="J241" s="39" t="s">
        <v>261</v>
      </c>
      <c r="K241" s="39"/>
      <c r="L241" s="39"/>
      <c r="M241" s="41"/>
      <c r="N241" s="41"/>
    </row>
    <row r="242" ht="14.25" customHeight="1">
      <c r="A242" s="39" t="s">
        <v>921</v>
      </c>
      <c r="B242" s="39" t="s">
        <v>922</v>
      </c>
      <c r="C242" s="40" t="s">
        <v>891</v>
      </c>
      <c r="D242" s="39" t="s">
        <v>898</v>
      </c>
      <c r="F242" s="39" t="s">
        <v>923</v>
      </c>
      <c r="G242" s="39" t="s">
        <v>92</v>
      </c>
      <c r="H242" s="39" t="s">
        <v>620</v>
      </c>
      <c r="I242" s="41"/>
      <c r="J242" s="39" t="s">
        <v>93</v>
      </c>
      <c r="K242" s="39"/>
      <c r="L242" s="39"/>
      <c r="M242" s="41"/>
      <c r="N242" s="41"/>
    </row>
    <row r="243" ht="14.25" customHeight="1">
      <c r="A243" s="39" t="s">
        <v>924</v>
      </c>
      <c r="B243" s="39" t="s">
        <v>925</v>
      </c>
      <c r="C243" s="40" t="s">
        <v>891</v>
      </c>
      <c r="D243" s="39" t="s">
        <v>907</v>
      </c>
      <c r="F243" s="39" t="s">
        <v>127</v>
      </c>
      <c r="G243" s="39" t="s">
        <v>92</v>
      </c>
      <c r="H243" s="39" t="s">
        <v>128</v>
      </c>
      <c r="J243" s="39" t="s">
        <v>93</v>
      </c>
      <c r="K243" s="39"/>
      <c r="L243" s="39"/>
      <c r="M243" s="41"/>
      <c r="N243" s="41"/>
    </row>
    <row r="244" ht="14.25" customHeight="1">
      <c r="A244" s="39" t="s">
        <v>926</v>
      </c>
      <c r="B244" s="39" t="s">
        <v>927</v>
      </c>
      <c r="C244" s="40" t="s">
        <v>891</v>
      </c>
      <c r="D244" s="39" t="s">
        <v>917</v>
      </c>
      <c r="E244" s="39" t="s">
        <v>162</v>
      </c>
      <c r="F244" s="39" t="s">
        <v>127</v>
      </c>
      <c r="G244" s="39" t="s">
        <v>92</v>
      </c>
      <c r="H244" s="39" t="s">
        <v>620</v>
      </c>
      <c r="I244" s="41"/>
      <c r="J244" s="39" t="s">
        <v>93</v>
      </c>
      <c r="K244" s="39"/>
      <c r="L244" s="39"/>
      <c r="M244" s="41"/>
      <c r="N244" s="41"/>
    </row>
    <row r="245" ht="14.25" customHeight="1">
      <c r="C245" s="38"/>
    </row>
    <row r="246" ht="14.25" customHeight="1">
      <c r="C246" s="38"/>
    </row>
    <row r="247" ht="14.25" customHeight="1">
      <c r="C247" s="38"/>
      <c r="F247" s="38"/>
    </row>
    <row r="248" ht="14.25" customHeight="1">
      <c r="C248" s="38"/>
      <c r="F248" s="38"/>
    </row>
    <row r="249" ht="14.25" customHeight="1">
      <c r="C249" s="38"/>
      <c r="F249" s="38"/>
    </row>
    <row r="250" ht="14.25" customHeight="1">
      <c r="C250" s="38"/>
      <c r="F250" s="38"/>
    </row>
    <row r="251" ht="14.25" customHeight="1">
      <c r="C251" s="38"/>
      <c r="F251" s="38"/>
    </row>
    <row r="252" ht="14.25" customHeight="1">
      <c r="C252" s="38"/>
      <c r="F252" s="38"/>
    </row>
    <row r="253" ht="14.25" customHeight="1">
      <c r="A253" s="39"/>
      <c r="B253" s="39"/>
      <c r="C253" s="38"/>
      <c r="D253" s="39"/>
      <c r="E253" s="39"/>
      <c r="F253" s="38"/>
    </row>
    <row r="254" ht="14.25" customHeight="1">
      <c r="A254" s="39"/>
      <c r="B254" s="39"/>
      <c r="C254" s="38"/>
      <c r="D254" s="39"/>
      <c r="E254" s="39"/>
      <c r="F254" s="38"/>
    </row>
    <row r="255" ht="14.25" customHeight="1">
      <c r="A255" s="39"/>
      <c r="B255" s="39"/>
      <c r="C255" s="38"/>
      <c r="D255" s="39"/>
      <c r="E255" s="39"/>
      <c r="F255" s="38"/>
    </row>
    <row r="256" ht="14.25" customHeight="1">
      <c r="A256" s="39"/>
      <c r="B256" s="39"/>
      <c r="C256" s="38"/>
      <c r="D256" s="39"/>
      <c r="E256" s="39"/>
      <c r="F256" s="38"/>
    </row>
    <row r="257" ht="14.25" customHeight="1">
      <c r="A257" s="39"/>
      <c r="B257" s="39"/>
      <c r="C257" s="38"/>
      <c r="D257" s="39"/>
      <c r="E257" s="39"/>
      <c r="F257" s="38"/>
    </row>
    <row r="258" ht="14.25" customHeight="1">
      <c r="B258" s="43"/>
      <c r="C258" s="38"/>
      <c r="E258" s="43"/>
      <c r="F258" s="38"/>
    </row>
    <row r="259" ht="14.25" customHeight="1">
      <c r="B259" s="26"/>
      <c r="C259" s="38"/>
      <c r="E259" s="26"/>
      <c r="F259" s="38"/>
    </row>
    <row r="260" ht="14.25" customHeight="1">
      <c r="C260" s="38"/>
    </row>
    <row r="261" ht="14.25" customHeight="1">
      <c r="C261" s="38"/>
    </row>
    <row r="262" ht="14.25" customHeight="1">
      <c r="C262" s="38"/>
    </row>
    <row r="263" ht="14.25" customHeight="1">
      <c r="C263" s="38"/>
    </row>
    <row r="264" ht="14.25" customHeight="1">
      <c r="C264" s="38"/>
      <c r="D264" s="39" t="s">
        <v>821</v>
      </c>
      <c r="E264" s="39" t="s">
        <v>822</v>
      </c>
      <c r="F264" s="40" t="s">
        <v>616</v>
      </c>
      <c r="G264" s="39" t="s">
        <v>779</v>
      </c>
      <c r="H264" s="39" t="s">
        <v>484</v>
      </c>
      <c r="I264" s="39" t="s">
        <v>189</v>
      </c>
      <c r="J264" s="39" t="s">
        <v>115</v>
      </c>
      <c r="K264" s="39" t="s">
        <v>620</v>
      </c>
      <c r="L264" s="41"/>
      <c r="M264" s="39" t="s">
        <v>261</v>
      </c>
      <c r="N264" s="26" t="s">
        <v>928</v>
      </c>
    </row>
    <row r="265" ht="14.25" customHeight="1">
      <c r="C265" s="38"/>
      <c r="D265" s="39" t="s">
        <v>831</v>
      </c>
      <c r="E265" s="39" t="s">
        <v>832</v>
      </c>
      <c r="F265" s="40" t="s">
        <v>616</v>
      </c>
      <c r="G265" s="39" t="s">
        <v>833</v>
      </c>
      <c r="H265" s="39" t="s">
        <v>142</v>
      </c>
      <c r="I265" s="39" t="s">
        <v>385</v>
      </c>
      <c r="J265" s="39" t="s">
        <v>115</v>
      </c>
      <c r="K265" s="39" t="s">
        <v>620</v>
      </c>
      <c r="L265" s="41"/>
      <c r="M265" s="39" t="s">
        <v>93</v>
      </c>
      <c r="N265" s="26" t="s">
        <v>928</v>
      </c>
    </row>
    <row r="266" ht="14.25" customHeight="1">
      <c r="C266" s="38"/>
    </row>
    <row r="267" ht="14.25" customHeight="1">
      <c r="C267" s="38"/>
      <c r="D267" s="37" t="s">
        <v>274</v>
      </c>
      <c r="E267" s="37" t="s">
        <v>275</v>
      </c>
      <c r="F267" s="38" t="s">
        <v>88</v>
      </c>
      <c r="G267" s="37" t="s">
        <v>276</v>
      </c>
      <c r="I267" s="37" t="s">
        <v>110</v>
      </c>
      <c r="J267" s="37" t="s">
        <v>92</v>
      </c>
      <c r="K267" s="37" t="s">
        <v>611</v>
      </c>
    </row>
    <row r="268" ht="14.25" customHeight="1">
      <c r="C268" s="38"/>
      <c r="D268" s="37" t="s">
        <v>274</v>
      </c>
      <c r="E268" s="37" t="s">
        <v>275</v>
      </c>
      <c r="F268" s="38" t="s">
        <v>88</v>
      </c>
      <c r="G268" s="37" t="s">
        <v>276</v>
      </c>
      <c r="I268" s="37" t="s">
        <v>110</v>
      </c>
      <c r="J268" s="37" t="s">
        <v>92</v>
      </c>
      <c r="K268" s="37" t="s">
        <v>611</v>
      </c>
    </row>
    <row r="269" ht="14.25" customHeight="1">
      <c r="C269" s="38"/>
      <c r="D269" s="37" t="s">
        <v>546</v>
      </c>
      <c r="E269" s="37" t="s">
        <v>547</v>
      </c>
      <c r="F269" s="38" t="s">
        <v>88</v>
      </c>
      <c r="G269" s="37" t="s">
        <v>109</v>
      </c>
      <c r="H269" s="37" t="s">
        <v>548</v>
      </c>
      <c r="I269" s="37" t="s">
        <v>209</v>
      </c>
      <c r="J269" s="37" t="s">
        <v>115</v>
      </c>
      <c r="K269" s="37" t="s">
        <v>611</v>
      </c>
      <c r="L269" s="37" t="s">
        <v>612</v>
      </c>
    </row>
    <row r="270" ht="14.25" customHeight="1">
      <c r="C270" s="38"/>
      <c r="D270" s="37" t="s">
        <v>546</v>
      </c>
      <c r="E270" s="37" t="s">
        <v>547</v>
      </c>
      <c r="F270" s="38" t="s">
        <v>88</v>
      </c>
      <c r="G270" s="37" t="s">
        <v>109</v>
      </c>
      <c r="H270" s="37" t="s">
        <v>548</v>
      </c>
      <c r="I270" s="37" t="s">
        <v>209</v>
      </c>
      <c r="J270" s="37" t="s">
        <v>115</v>
      </c>
      <c r="K270" s="37" t="s">
        <v>611</v>
      </c>
      <c r="L270" s="37" t="s">
        <v>612</v>
      </c>
    </row>
    <row r="271" ht="14.25" customHeight="1">
      <c r="C271" s="38"/>
      <c r="F271" s="38"/>
    </row>
    <row r="272" ht="14.25" customHeight="1">
      <c r="C272" s="38"/>
      <c r="F272" s="38"/>
    </row>
    <row r="273" ht="14.25" customHeight="1">
      <c r="C273" s="38"/>
      <c r="D273" s="44" t="s">
        <v>929</v>
      </c>
      <c r="E273" s="45" t="s">
        <v>930</v>
      </c>
      <c r="F273" s="38"/>
      <c r="N273" s="26" t="s">
        <v>931</v>
      </c>
    </row>
    <row r="274" ht="14.25" customHeight="1">
      <c r="C274" s="38"/>
      <c r="D274" s="46" t="s">
        <v>932</v>
      </c>
      <c r="E274" s="47" t="s">
        <v>933</v>
      </c>
      <c r="F274" s="38"/>
      <c r="N274" s="26" t="s">
        <v>931</v>
      </c>
    </row>
    <row r="275" ht="14.25" customHeight="1">
      <c r="C275" s="38"/>
      <c r="D275" s="46" t="s">
        <v>934</v>
      </c>
      <c r="E275" s="47" t="s">
        <v>935</v>
      </c>
      <c r="F275" s="38"/>
      <c r="N275" s="26" t="s">
        <v>931</v>
      </c>
    </row>
    <row r="276" ht="14.25" customHeight="1">
      <c r="C276" s="38"/>
      <c r="D276" s="46" t="s">
        <v>936</v>
      </c>
      <c r="E276" s="47" t="s">
        <v>937</v>
      </c>
      <c r="F276" s="38"/>
      <c r="N276" s="26" t="s">
        <v>931</v>
      </c>
    </row>
    <row r="277" ht="14.25" customHeight="1">
      <c r="C277" s="38"/>
      <c r="D277" s="46" t="s">
        <v>938</v>
      </c>
      <c r="E277" s="47" t="s">
        <v>939</v>
      </c>
      <c r="F277" s="38"/>
      <c r="N277" s="26" t="s">
        <v>931</v>
      </c>
    </row>
    <row r="278" ht="14.25" customHeight="1">
      <c r="C278" s="38"/>
      <c r="D278" s="48"/>
      <c r="E278" s="49" t="s">
        <v>940</v>
      </c>
      <c r="F278" s="38"/>
      <c r="N278" s="26" t="s">
        <v>931</v>
      </c>
    </row>
    <row r="279" ht="14.25" customHeight="1">
      <c r="C279" s="38"/>
      <c r="D279" s="50"/>
      <c r="E279" s="51" t="s">
        <v>941</v>
      </c>
      <c r="F279" s="38"/>
      <c r="N279" s="26" t="s">
        <v>931</v>
      </c>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29:I229"/>
    <mergeCell ref="H230:I230"/>
    <mergeCell ref="H235:I235"/>
    <mergeCell ref="H237:I237"/>
    <mergeCell ref="H238:I238"/>
    <mergeCell ref="H240:I240"/>
    <mergeCell ref="H241:I241"/>
    <mergeCell ref="H243:I243"/>
    <mergeCell ref="D233:E233"/>
    <mergeCell ref="D235:E235"/>
    <mergeCell ref="D237:E237"/>
    <mergeCell ref="D240:E240"/>
    <mergeCell ref="D241:E241"/>
    <mergeCell ref="D242:E242"/>
    <mergeCell ref="D243:E243"/>
    <mergeCell ref="H220:I220"/>
    <mergeCell ref="H221:I221"/>
    <mergeCell ref="D222:E222"/>
    <mergeCell ref="H223:I223"/>
    <mergeCell ref="H227:I227"/>
    <mergeCell ref="H228:I228"/>
    <mergeCell ref="D229:E22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83.67"/>
    <col customWidth="1" min="11" max="11" width="46.22"/>
    <col customWidth="1" min="12" max="12" width="37.44"/>
    <col customWidth="1" min="19" max="19" width="20.44"/>
    <col customWidth="1" min="22" max="22" width="16.11"/>
    <col customWidth="1" min="23" max="23" width="6.78"/>
    <col customWidth="1" min="24" max="24" width="7.44"/>
  </cols>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2" t="s">
        <v>954</v>
      </c>
      <c r="R1" s="63" t="s">
        <v>955</v>
      </c>
      <c r="S1" s="58" t="s">
        <v>956</v>
      </c>
      <c r="T1" s="58" t="s">
        <v>957</v>
      </c>
      <c r="U1" s="64" t="s">
        <v>958</v>
      </c>
      <c r="V1" s="65" t="s">
        <v>959</v>
      </c>
      <c r="W1" s="66" t="s">
        <v>960</v>
      </c>
      <c r="X1" s="64" t="s">
        <v>961</v>
      </c>
      <c r="Y1" s="64"/>
      <c r="Z1" s="64"/>
      <c r="AA1" s="64"/>
      <c r="AB1" s="64"/>
      <c r="AC1" s="64"/>
    </row>
    <row r="2">
      <c r="A2" s="67" t="s">
        <v>431</v>
      </c>
      <c r="B2" s="68" t="s">
        <v>432</v>
      </c>
      <c r="C2" s="68" t="s">
        <v>433</v>
      </c>
      <c r="D2" s="69" t="s">
        <v>962</v>
      </c>
      <c r="E2" s="67" t="s">
        <v>963</v>
      </c>
      <c r="F2" s="70" t="s">
        <v>49</v>
      </c>
      <c r="G2" s="71" t="s">
        <v>964</v>
      </c>
      <c r="H2" s="71" t="s">
        <v>965</v>
      </c>
      <c r="I2" s="72" t="s">
        <v>966</v>
      </c>
      <c r="J2" s="73" t="s">
        <v>967</v>
      </c>
      <c r="K2" s="74" t="s">
        <v>968</v>
      </c>
      <c r="L2" s="74" t="s">
        <v>969</v>
      </c>
      <c r="M2" s="71" t="s">
        <v>970</v>
      </c>
      <c r="N2" s="75">
        <v>2022.0</v>
      </c>
      <c r="O2" s="71" t="s">
        <v>971</v>
      </c>
      <c r="P2" s="71" t="s">
        <v>972</v>
      </c>
      <c r="Q2" s="71" t="s">
        <v>972</v>
      </c>
      <c r="R2" s="67" t="s">
        <v>963</v>
      </c>
      <c r="S2" s="67" t="s">
        <v>973</v>
      </c>
      <c r="T2" s="67" t="s">
        <v>974</v>
      </c>
      <c r="U2" s="68"/>
      <c r="V2" s="42" t="s">
        <v>975</v>
      </c>
      <c r="W2" s="76" t="s">
        <v>931</v>
      </c>
      <c r="X2" s="77"/>
      <c r="Y2" s="67"/>
      <c r="Z2" s="67"/>
      <c r="AA2" s="67"/>
      <c r="AB2" s="67"/>
      <c r="AC2" s="67"/>
    </row>
    <row r="3">
      <c r="A3" s="67" t="s">
        <v>431</v>
      </c>
      <c r="B3" s="68" t="s">
        <v>435</v>
      </c>
      <c r="C3" s="68" t="s">
        <v>436</v>
      </c>
      <c r="D3" s="78" t="s">
        <v>976</v>
      </c>
      <c r="E3" s="67" t="s">
        <v>963</v>
      </c>
      <c r="F3" s="70" t="s">
        <v>49</v>
      </c>
      <c r="G3" s="71" t="s">
        <v>977</v>
      </c>
      <c r="H3" s="71" t="s">
        <v>977</v>
      </c>
      <c r="I3" s="26" t="s">
        <v>978</v>
      </c>
      <c r="J3" s="73" t="s">
        <v>967</v>
      </c>
      <c r="K3" s="79" t="s">
        <v>979</v>
      </c>
      <c r="L3" s="79"/>
      <c r="M3" s="71" t="s">
        <v>970</v>
      </c>
      <c r="N3" s="75">
        <v>2022.0</v>
      </c>
      <c r="O3" s="71" t="s">
        <v>980</v>
      </c>
      <c r="P3" s="71" t="s">
        <v>981</v>
      </c>
      <c r="Q3" s="71" t="s">
        <v>982</v>
      </c>
      <c r="R3" s="67" t="s">
        <v>963</v>
      </c>
      <c r="S3" s="67" t="s">
        <v>983</v>
      </c>
      <c r="T3" s="67" t="s">
        <v>984</v>
      </c>
      <c r="U3" s="68"/>
      <c r="V3" s="42" t="s">
        <v>985</v>
      </c>
      <c r="W3" s="76" t="s">
        <v>931</v>
      </c>
      <c r="X3" s="80"/>
      <c r="Y3" s="68"/>
      <c r="Z3" s="68"/>
      <c r="AA3" s="68"/>
      <c r="AB3" s="68"/>
      <c r="AC3" s="68"/>
    </row>
    <row r="4">
      <c r="A4" s="67" t="s">
        <v>431</v>
      </c>
      <c r="B4" s="68" t="s">
        <v>437</v>
      </c>
      <c r="C4" s="68" t="s">
        <v>438</v>
      </c>
      <c r="D4" s="78" t="s">
        <v>986</v>
      </c>
      <c r="E4" s="67" t="s">
        <v>963</v>
      </c>
      <c r="F4" s="70" t="s">
        <v>49</v>
      </c>
      <c r="G4" s="71" t="s">
        <v>987</v>
      </c>
      <c r="H4" s="71"/>
      <c r="I4" s="72" t="s">
        <v>966</v>
      </c>
      <c r="J4" s="73" t="s">
        <v>988</v>
      </c>
      <c r="K4" s="74" t="s">
        <v>989</v>
      </c>
      <c r="L4" s="74" t="s">
        <v>990</v>
      </c>
      <c r="M4" s="71" t="s">
        <v>991</v>
      </c>
      <c r="N4" s="75">
        <v>2022.0</v>
      </c>
      <c r="O4" s="71" t="s">
        <v>992</v>
      </c>
      <c r="P4" s="71" t="s">
        <v>972</v>
      </c>
      <c r="Q4" s="71" t="s">
        <v>972</v>
      </c>
      <c r="R4" s="67" t="s">
        <v>993</v>
      </c>
      <c r="S4" s="67" t="s">
        <v>994</v>
      </c>
      <c r="T4" s="67" t="s">
        <v>995</v>
      </c>
      <c r="U4" s="68"/>
      <c r="V4" s="42" t="s">
        <v>996</v>
      </c>
      <c r="W4" s="76" t="s">
        <v>931</v>
      </c>
      <c r="X4" s="80"/>
      <c r="Y4" s="68"/>
      <c r="Z4" s="68"/>
      <c r="AA4" s="68"/>
      <c r="AB4" s="68"/>
      <c r="AC4" s="68"/>
    </row>
    <row r="5">
      <c r="A5" s="67" t="s">
        <v>431</v>
      </c>
      <c r="B5" s="68" t="s">
        <v>441</v>
      </c>
      <c r="C5" s="68" t="s">
        <v>442</v>
      </c>
      <c r="D5" s="78" t="s">
        <v>997</v>
      </c>
      <c r="E5" s="67" t="s">
        <v>963</v>
      </c>
      <c r="F5" s="70" t="s">
        <v>49</v>
      </c>
      <c r="G5" s="71" t="s">
        <v>998</v>
      </c>
      <c r="H5" s="71"/>
      <c r="I5" s="70" t="s">
        <v>162</v>
      </c>
      <c r="J5" s="73" t="s">
        <v>999</v>
      </c>
      <c r="K5" s="74" t="s">
        <v>1000</v>
      </c>
      <c r="L5" s="74" t="s">
        <v>1001</v>
      </c>
      <c r="M5" s="71" t="s">
        <v>1002</v>
      </c>
      <c r="N5" s="75">
        <v>2022.0</v>
      </c>
      <c r="O5" s="71" t="s">
        <v>1003</v>
      </c>
      <c r="P5" s="71" t="s">
        <v>972</v>
      </c>
      <c r="Q5" s="71" t="s">
        <v>972</v>
      </c>
      <c r="R5" s="67" t="s">
        <v>993</v>
      </c>
      <c r="S5" s="67" t="s">
        <v>994</v>
      </c>
      <c r="T5" s="67" t="s">
        <v>1004</v>
      </c>
      <c r="U5" s="68"/>
      <c r="V5" s="42" t="s">
        <v>1005</v>
      </c>
      <c r="W5" s="76" t="s">
        <v>931</v>
      </c>
      <c r="X5" s="80"/>
      <c r="Y5" s="68"/>
      <c r="Z5" s="68"/>
      <c r="AA5" s="68"/>
      <c r="AB5" s="68"/>
      <c r="AC5" s="68"/>
    </row>
    <row r="6">
      <c r="A6" s="67" t="s">
        <v>431</v>
      </c>
      <c r="B6" s="68" t="s">
        <v>446</v>
      </c>
      <c r="C6" s="68" t="s">
        <v>447</v>
      </c>
      <c r="D6" s="78" t="s">
        <v>1006</v>
      </c>
      <c r="E6" s="67" t="s">
        <v>963</v>
      </c>
      <c r="F6" s="70" t="s">
        <v>49</v>
      </c>
      <c r="G6" s="71" t="s">
        <v>1007</v>
      </c>
      <c r="H6" s="72" t="s">
        <v>966</v>
      </c>
      <c r="I6" s="70" t="s">
        <v>162</v>
      </c>
      <c r="J6" s="81" t="s">
        <v>1008</v>
      </c>
      <c r="K6" s="74" t="s">
        <v>1009</v>
      </c>
      <c r="L6" s="74" t="s">
        <v>1010</v>
      </c>
      <c r="M6" s="71" t="s">
        <v>1011</v>
      </c>
      <c r="N6" s="75">
        <v>2022.0</v>
      </c>
      <c r="O6" s="71" t="s">
        <v>992</v>
      </c>
      <c r="P6" s="71" t="s">
        <v>972</v>
      </c>
      <c r="Q6" s="71" t="s">
        <v>972</v>
      </c>
      <c r="R6" s="67" t="s">
        <v>1012</v>
      </c>
      <c r="S6" s="67" t="s">
        <v>994</v>
      </c>
      <c r="T6" s="67" t="s">
        <v>1013</v>
      </c>
      <c r="U6" s="68"/>
      <c r="V6" s="42" t="s">
        <v>1014</v>
      </c>
      <c r="W6" s="76" t="s">
        <v>931</v>
      </c>
      <c r="X6" s="80"/>
      <c r="Y6" s="68"/>
      <c r="Z6" s="68"/>
      <c r="AA6" s="68"/>
      <c r="AB6" s="68"/>
      <c r="AC6" s="68"/>
    </row>
    <row r="7">
      <c r="A7" s="67" t="s">
        <v>431</v>
      </c>
      <c r="B7" s="68" t="s">
        <v>449</v>
      </c>
      <c r="C7" s="68" t="s">
        <v>450</v>
      </c>
      <c r="D7" s="78" t="s">
        <v>1015</v>
      </c>
      <c r="E7" s="67" t="s">
        <v>963</v>
      </c>
      <c r="F7" s="70" t="s">
        <v>49</v>
      </c>
      <c r="G7" s="71" t="s">
        <v>1016</v>
      </c>
      <c r="H7" s="72" t="s">
        <v>966</v>
      </c>
      <c r="I7" s="70" t="s">
        <v>162</v>
      </c>
      <c r="J7" s="73" t="s">
        <v>1017</v>
      </c>
      <c r="K7" s="74" t="s">
        <v>1009</v>
      </c>
      <c r="L7" s="74" t="s">
        <v>1018</v>
      </c>
      <c r="M7" s="71" t="s">
        <v>1019</v>
      </c>
      <c r="N7" s="75">
        <v>2022.0</v>
      </c>
      <c r="O7" s="71" t="s">
        <v>992</v>
      </c>
      <c r="P7" s="71" t="s">
        <v>1020</v>
      </c>
      <c r="Q7" s="71" t="s">
        <v>1021</v>
      </c>
      <c r="R7" s="67" t="s">
        <v>963</v>
      </c>
      <c r="S7" s="67" t="s">
        <v>1022</v>
      </c>
      <c r="T7" s="67" t="s">
        <v>1023</v>
      </c>
      <c r="U7" s="68"/>
      <c r="V7" s="42" t="s">
        <v>1024</v>
      </c>
      <c r="W7" s="76" t="s">
        <v>931</v>
      </c>
      <c r="X7" s="82"/>
      <c r="Y7" s="68"/>
      <c r="Z7" s="68"/>
      <c r="AA7" s="68"/>
      <c r="AB7" s="68"/>
      <c r="AC7" s="68"/>
    </row>
    <row r="8">
      <c r="A8" s="67" t="s">
        <v>431</v>
      </c>
      <c r="B8" s="68" t="s">
        <v>452</v>
      </c>
      <c r="C8" s="68" t="s">
        <v>453</v>
      </c>
      <c r="D8" s="69" t="s">
        <v>1025</v>
      </c>
      <c r="E8" s="67" t="s">
        <v>963</v>
      </c>
      <c r="F8" s="70" t="s">
        <v>49</v>
      </c>
      <c r="G8" s="71" t="s">
        <v>998</v>
      </c>
      <c r="H8" s="71"/>
      <c r="I8" s="70" t="s">
        <v>162</v>
      </c>
      <c r="J8" s="73" t="s">
        <v>988</v>
      </c>
      <c r="K8" s="74" t="s">
        <v>1009</v>
      </c>
      <c r="L8" s="74" t="s">
        <v>1026</v>
      </c>
      <c r="M8" s="71" t="s">
        <v>1027</v>
      </c>
      <c r="N8" s="75">
        <v>2022.0</v>
      </c>
      <c r="O8" s="71" t="s">
        <v>992</v>
      </c>
      <c r="P8" s="71" t="s">
        <v>1028</v>
      </c>
      <c r="Q8" s="71" t="s">
        <v>1029</v>
      </c>
      <c r="R8" s="67" t="s">
        <v>963</v>
      </c>
      <c r="S8" s="67" t="s">
        <v>983</v>
      </c>
      <c r="T8" s="67" t="s">
        <v>1030</v>
      </c>
      <c r="U8" s="68"/>
      <c r="V8" s="42" t="s">
        <v>1031</v>
      </c>
      <c r="W8" s="76" t="s">
        <v>1032</v>
      </c>
      <c r="X8" s="83"/>
      <c r="Y8" s="68"/>
      <c r="Z8" s="68"/>
      <c r="AA8" s="68"/>
      <c r="AB8" s="68"/>
      <c r="AC8" s="68"/>
    </row>
    <row r="9">
      <c r="A9" s="67" t="s">
        <v>431</v>
      </c>
      <c r="B9" s="68" t="s">
        <v>457</v>
      </c>
      <c r="C9" s="68" t="s">
        <v>458</v>
      </c>
      <c r="D9" s="78" t="s">
        <v>1033</v>
      </c>
      <c r="E9" s="67" t="s">
        <v>963</v>
      </c>
      <c r="F9" s="70" t="s">
        <v>49</v>
      </c>
      <c r="G9" s="71" t="s">
        <v>998</v>
      </c>
      <c r="H9" s="71"/>
      <c r="I9" s="70" t="s">
        <v>162</v>
      </c>
      <c r="J9" s="73" t="s">
        <v>988</v>
      </c>
      <c r="K9" s="74" t="s">
        <v>1034</v>
      </c>
      <c r="L9" s="74" t="s">
        <v>1035</v>
      </c>
      <c r="M9" s="71" t="s">
        <v>1027</v>
      </c>
      <c r="N9" s="75">
        <v>2022.0</v>
      </c>
      <c r="O9" s="71" t="s">
        <v>971</v>
      </c>
      <c r="P9" s="71" t="s">
        <v>972</v>
      </c>
      <c r="Q9" s="71" t="s">
        <v>972</v>
      </c>
      <c r="R9" s="67" t="s">
        <v>963</v>
      </c>
      <c r="S9" s="67" t="s">
        <v>1022</v>
      </c>
      <c r="T9" s="67" t="s">
        <v>1036</v>
      </c>
      <c r="U9" s="68"/>
      <c r="V9" s="39" t="s">
        <v>1037</v>
      </c>
      <c r="W9" s="76" t="s">
        <v>931</v>
      </c>
      <c r="X9" s="68"/>
      <c r="Y9" s="68"/>
      <c r="Z9" s="68"/>
      <c r="AA9" s="68"/>
      <c r="AB9" s="68"/>
      <c r="AC9" s="68"/>
    </row>
    <row r="10">
      <c r="A10" s="67" t="s">
        <v>431</v>
      </c>
      <c r="B10" s="68" t="s">
        <v>459</v>
      </c>
      <c r="C10" s="68" t="s">
        <v>460</v>
      </c>
      <c r="D10" s="69" t="s">
        <v>1038</v>
      </c>
      <c r="E10" s="67" t="s">
        <v>963</v>
      </c>
      <c r="F10" s="70" t="s">
        <v>49</v>
      </c>
      <c r="G10" s="71" t="s">
        <v>1039</v>
      </c>
      <c r="H10" s="71"/>
      <c r="I10" s="70" t="s">
        <v>1039</v>
      </c>
      <c r="J10" s="73" t="s">
        <v>1040</v>
      </c>
      <c r="K10" s="74" t="s">
        <v>1041</v>
      </c>
      <c r="L10" s="74" t="s">
        <v>1042</v>
      </c>
      <c r="M10" s="71" t="s">
        <v>1027</v>
      </c>
      <c r="N10" s="75">
        <v>2021.0</v>
      </c>
      <c r="O10" s="71" t="s">
        <v>992</v>
      </c>
      <c r="P10" s="71" t="s">
        <v>972</v>
      </c>
      <c r="Q10" s="71" t="s">
        <v>972</v>
      </c>
      <c r="R10" s="67" t="s">
        <v>963</v>
      </c>
      <c r="S10" s="67" t="s">
        <v>994</v>
      </c>
      <c r="T10" s="67" t="s">
        <v>1043</v>
      </c>
      <c r="U10" s="68"/>
      <c r="V10" s="39" t="s">
        <v>1044</v>
      </c>
      <c r="W10" s="76" t="s">
        <v>931</v>
      </c>
      <c r="X10" s="68"/>
      <c r="Y10" s="68"/>
      <c r="Z10" s="68"/>
      <c r="AA10" s="68"/>
      <c r="AB10" s="68"/>
      <c r="AC10" s="68"/>
    </row>
    <row r="11">
      <c r="A11" s="67" t="s">
        <v>431</v>
      </c>
      <c r="B11" s="68" t="s">
        <v>464</v>
      </c>
      <c r="C11" s="68" t="s">
        <v>465</v>
      </c>
      <c r="D11" s="69" t="s">
        <v>1045</v>
      </c>
      <c r="E11" s="67" t="s">
        <v>963</v>
      </c>
      <c r="F11" s="70" t="s">
        <v>49</v>
      </c>
      <c r="G11" s="71" t="s">
        <v>1046</v>
      </c>
      <c r="H11" s="71"/>
      <c r="I11" s="70" t="s">
        <v>162</v>
      </c>
      <c r="J11" s="73" t="s">
        <v>988</v>
      </c>
      <c r="K11" s="74" t="s">
        <v>466</v>
      </c>
      <c r="L11" s="74" t="s">
        <v>1047</v>
      </c>
      <c r="M11" s="71" t="s">
        <v>1027</v>
      </c>
      <c r="N11" s="75">
        <v>2021.0</v>
      </c>
      <c r="O11" s="71" t="s">
        <v>992</v>
      </c>
      <c r="P11" s="71" t="s">
        <v>972</v>
      </c>
      <c r="Q11" s="71" t="s">
        <v>972</v>
      </c>
      <c r="R11" s="67" t="s">
        <v>1012</v>
      </c>
      <c r="S11" s="67" t="s">
        <v>1048</v>
      </c>
      <c r="T11" s="67" t="s">
        <v>1049</v>
      </c>
      <c r="U11" s="68"/>
      <c r="V11" s="39" t="s">
        <v>1050</v>
      </c>
      <c r="W11" s="76" t="s">
        <v>931</v>
      </c>
      <c r="X11" s="68"/>
      <c r="Y11" s="68"/>
      <c r="Z11" s="68"/>
      <c r="AA11" s="68"/>
      <c r="AB11" s="68"/>
      <c r="AC11" s="68"/>
    </row>
    <row r="12">
      <c r="A12" s="67" t="s">
        <v>431</v>
      </c>
      <c r="B12" s="68" t="s">
        <v>472</v>
      </c>
      <c r="C12" s="68" t="s">
        <v>473</v>
      </c>
      <c r="D12" s="69" t="s">
        <v>1051</v>
      </c>
      <c r="E12" s="67" t="s">
        <v>963</v>
      </c>
      <c r="F12" s="70" t="s">
        <v>49</v>
      </c>
      <c r="G12" s="71" t="s">
        <v>1052</v>
      </c>
      <c r="H12" s="71" t="s">
        <v>162</v>
      </c>
      <c r="I12" s="70" t="s">
        <v>162</v>
      </c>
      <c r="J12" s="73" t="s">
        <v>999</v>
      </c>
      <c r="K12" s="79" t="s">
        <v>1053</v>
      </c>
      <c r="L12" s="74" t="s">
        <v>1054</v>
      </c>
      <c r="M12" s="71" t="s">
        <v>1027</v>
      </c>
      <c r="N12" s="75">
        <v>2021.0</v>
      </c>
      <c r="O12" s="71" t="s">
        <v>1003</v>
      </c>
      <c r="P12" s="71" t="s">
        <v>972</v>
      </c>
      <c r="Q12" s="71" t="s">
        <v>972</v>
      </c>
      <c r="R12" s="67" t="s">
        <v>993</v>
      </c>
      <c r="S12" s="67" t="s">
        <v>1055</v>
      </c>
      <c r="T12" s="67" t="s">
        <v>1056</v>
      </c>
      <c r="U12" s="68"/>
      <c r="V12" s="39" t="s">
        <v>1057</v>
      </c>
      <c r="W12" s="76" t="s">
        <v>931</v>
      </c>
      <c r="X12" s="68"/>
      <c r="Y12" s="68"/>
      <c r="Z12" s="68"/>
      <c r="AA12" s="68"/>
      <c r="AB12" s="68"/>
      <c r="AC12" s="68"/>
    </row>
    <row r="13">
      <c r="A13" s="67" t="s">
        <v>431</v>
      </c>
      <c r="B13" s="68" t="s">
        <v>475</v>
      </c>
      <c r="C13" s="68" t="s">
        <v>476</v>
      </c>
      <c r="D13" s="69" t="s">
        <v>1058</v>
      </c>
      <c r="E13" s="67" t="s">
        <v>963</v>
      </c>
      <c r="F13" s="70" t="s">
        <v>49</v>
      </c>
      <c r="G13" s="71" t="s">
        <v>1059</v>
      </c>
      <c r="H13" s="71"/>
      <c r="I13" s="70" t="s">
        <v>1039</v>
      </c>
      <c r="J13" s="73" t="s">
        <v>1040</v>
      </c>
      <c r="K13" s="74" t="s">
        <v>1060</v>
      </c>
      <c r="L13" s="74" t="s">
        <v>1061</v>
      </c>
      <c r="M13" s="71" t="s">
        <v>1027</v>
      </c>
      <c r="N13" s="75">
        <v>2021.0</v>
      </c>
      <c r="O13" s="71" t="s">
        <v>1062</v>
      </c>
      <c r="P13" s="71" t="s">
        <v>972</v>
      </c>
      <c r="Q13" s="71" t="s">
        <v>972</v>
      </c>
      <c r="R13" s="67" t="s">
        <v>963</v>
      </c>
      <c r="S13" s="67" t="s">
        <v>1063</v>
      </c>
      <c r="T13" s="67" t="s">
        <v>1064</v>
      </c>
      <c r="U13" s="68"/>
      <c r="V13" s="39" t="s">
        <v>1065</v>
      </c>
      <c r="W13" s="76" t="s">
        <v>931</v>
      </c>
      <c r="X13" s="68"/>
      <c r="Y13" s="68"/>
      <c r="Z13" s="68"/>
      <c r="AA13" s="68"/>
      <c r="AB13" s="68"/>
      <c r="AC13" s="68"/>
    </row>
    <row r="14">
      <c r="A14" s="67" t="s">
        <v>431</v>
      </c>
      <c r="B14" s="68" t="s">
        <v>486</v>
      </c>
      <c r="C14" s="68" t="s">
        <v>487</v>
      </c>
      <c r="D14" s="69" t="s">
        <v>1066</v>
      </c>
      <c r="E14" s="67" t="s">
        <v>963</v>
      </c>
      <c r="F14" s="70" t="s">
        <v>49</v>
      </c>
      <c r="G14" s="71" t="s">
        <v>1067</v>
      </c>
      <c r="H14" s="71" t="s">
        <v>162</v>
      </c>
      <c r="I14" s="70" t="s">
        <v>162</v>
      </c>
      <c r="J14" s="73" t="s">
        <v>1068</v>
      </c>
      <c r="K14" s="74" t="s">
        <v>1069</v>
      </c>
      <c r="L14" s="74" t="s">
        <v>1034</v>
      </c>
      <c r="M14" s="71" t="s">
        <v>1070</v>
      </c>
      <c r="N14" s="75">
        <v>2021.0</v>
      </c>
      <c r="O14" s="71" t="s">
        <v>980</v>
      </c>
      <c r="P14" s="71" t="s">
        <v>972</v>
      </c>
      <c r="Q14" s="71" t="s">
        <v>972</v>
      </c>
      <c r="R14" s="67" t="s">
        <v>963</v>
      </c>
      <c r="S14" s="67" t="s">
        <v>1063</v>
      </c>
      <c r="T14" s="67" t="s">
        <v>1071</v>
      </c>
      <c r="U14" s="68"/>
      <c r="V14" s="39" t="s">
        <v>1072</v>
      </c>
      <c r="W14" s="76" t="s">
        <v>931</v>
      </c>
      <c r="X14" s="68"/>
      <c r="Y14" s="68"/>
      <c r="Z14" s="68"/>
      <c r="AA14" s="68"/>
      <c r="AB14" s="68"/>
      <c r="AC14" s="68"/>
    </row>
    <row r="15">
      <c r="A15" s="67" t="s">
        <v>431</v>
      </c>
      <c r="B15" s="68" t="s">
        <v>490</v>
      </c>
      <c r="C15" s="68" t="s">
        <v>491</v>
      </c>
      <c r="D15" s="78" t="s">
        <v>1073</v>
      </c>
      <c r="E15" s="67" t="s">
        <v>963</v>
      </c>
      <c r="F15" s="70" t="s">
        <v>49</v>
      </c>
      <c r="G15" s="71" t="s">
        <v>1074</v>
      </c>
      <c r="H15" s="71" t="s">
        <v>1039</v>
      </c>
      <c r="I15" s="70" t="s">
        <v>162</v>
      </c>
      <c r="J15" s="73" t="s">
        <v>1040</v>
      </c>
      <c r="K15" s="74" t="s">
        <v>1009</v>
      </c>
      <c r="L15" s="74" t="s">
        <v>1075</v>
      </c>
      <c r="M15" s="71" t="s">
        <v>1027</v>
      </c>
      <c r="N15" s="75">
        <v>2021.0</v>
      </c>
      <c r="O15" s="71" t="s">
        <v>992</v>
      </c>
      <c r="P15" s="71" t="s">
        <v>972</v>
      </c>
      <c r="Q15" s="71" t="s">
        <v>972</v>
      </c>
      <c r="R15" s="67" t="s">
        <v>963</v>
      </c>
      <c r="S15" s="67" t="s">
        <v>994</v>
      </c>
      <c r="T15" s="67" t="s">
        <v>1049</v>
      </c>
      <c r="U15" s="68"/>
      <c r="V15" s="39" t="s">
        <v>1076</v>
      </c>
      <c r="W15" s="76" t="s">
        <v>931</v>
      </c>
      <c r="X15" s="68"/>
      <c r="Y15" s="68"/>
      <c r="Z15" s="68"/>
      <c r="AA15" s="68"/>
      <c r="AB15" s="68"/>
      <c r="AC15" s="68"/>
    </row>
    <row r="16">
      <c r="A16" s="67" t="s">
        <v>431</v>
      </c>
      <c r="B16" s="68" t="s">
        <v>494</v>
      </c>
      <c r="C16" s="68" t="s">
        <v>495</v>
      </c>
      <c r="D16" s="78" t="s">
        <v>1077</v>
      </c>
      <c r="E16" s="67" t="s">
        <v>963</v>
      </c>
      <c r="F16" s="70" t="s">
        <v>49</v>
      </c>
      <c r="G16" s="71" t="s">
        <v>1078</v>
      </c>
      <c r="H16" s="71"/>
      <c r="I16" s="70" t="s">
        <v>1039</v>
      </c>
      <c r="J16" s="73" t="s">
        <v>1040</v>
      </c>
      <c r="K16" s="74" t="s">
        <v>1079</v>
      </c>
      <c r="L16" s="74" t="s">
        <v>1080</v>
      </c>
      <c r="M16" s="71" t="s">
        <v>1019</v>
      </c>
      <c r="N16" s="75">
        <v>2021.0</v>
      </c>
      <c r="O16" s="71" t="s">
        <v>992</v>
      </c>
      <c r="P16" s="71" t="s">
        <v>1081</v>
      </c>
      <c r="Q16" s="71" t="s">
        <v>1082</v>
      </c>
      <c r="R16" s="67" t="s">
        <v>963</v>
      </c>
      <c r="S16" s="67" t="s">
        <v>1083</v>
      </c>
      <c r="T16" s="67" t="s">
        <v>1084</v>
      </c>
      <c r="U16" s="68"/>
      <c r="V16" s="39" t="s">
        <v>1085</v>
      </c>
      <c r="W16" s="76" t="s">
        <v>931</v>
      </c>
      <c r="X16" s="68"/>
      <c r="Y16" s="68"/>
      <c r="Z16" s="68"/>
      <c r="AA16" s="68"/>
      <c r="AB16" s="68"/>
      <c r="AC16" s="68"/>
    </row>
    <row r="17">
      <c r="A17" s="67" t="s">
        <v>431</v>
      </c>
      <c r="B17" s="68" t="s">
        <v>497</v>
      </c>
      <c r="C17" s="68" t="s">
        <v>498</v>
      </c>
      <c r="D17" s="69" t="s">
        <v>1086</v>
      </c>
      <c r="E17" s="67" t="s">
        <v>963</v>
      </c>
      <c r="F17" s="70" t="s">
        <v>49</v>
      </c>
      <c r="G17" s="71" t="s">
        <v>1087</v>
      </c>
      <c r="H17" s="71" t="s">
        <v>1088</v>
      </c>
      <c r="I17" s="70" t="s">
        <v>162</v>
      </c>
      <c r="J17" s="73" t="s">
        <v>988</v>
      </c>
      <c r="K17" s="74" t="s">
        <v>1089</v>
      </c>
      <c r="L17" s="74" t="s">
        <v>1090</v>
      </c>
      <c r="M17" s="71" t="s">
        <v>1027</v>
      </c>
      <c r="N17" s="75">
        <v>2020.0</v>
      </c>
      <c r="O17" s="71" t="s">
        <v>992</v>
      </c>
      <c r="P17" s="71" t="s">
        <v>1091</v>
      </c>
      <c r="Q17" s="71" t="s">
        <v>1021</v>
      </c>
      <c r="R17" s="67" t="s">
        <v>963</v>
      </c>
      <c r="S17" s="67" t="s">
        <v>1092</v>
      </c>
      <c r="T17" s="67" t="s">
        <v>1093</v>
      </c>
      <c r="U17" s="68"/>
      <c r="V17" s="39" t="s">
        <v>1094</v>
      </c>
      <c r="W17" s="76" t="s">
        <v>931</v>
      </c>
      <c r="X17" s="68"/>
      <c r="Y17" s="68"/>
      <c r="Z17" s="68"/>
      <c r="AA17" s="68"/>
      <c r="AB17" s="68"/>
      <c r="AC17" s="68"/>
    </row>
    <row r="18">
      <c r="A18" s="67" t="s">
        <v>431</v>
      </c>
      <c r="B18" s="68" t="s">
        <v>499</v>
      </c>
      <c r="C18" s="68" t="s">
        <v>500</v>
      </c>
      <c r="D18" s="69" t="s">
        <v>1095</v>
      </c>
      <c r="E18" s="67" t="s">
        <v>963</v>
      </c>
      <c r="F18" s="70" t="s">
        <v>49</v>
      </c>
      <c r="G18" s="71" t="s">
        <v>1039</v>
      </c>
      <c r="H18" s="71"/>
      <c r="I18" s="70" t="s">
        <v>1039</v>
      </c>
      <c r="J18" s="73" t="s">
        <v>1096</v>
      </c>
      <c r="K18" s="74" t="s">
        <v>1097</v>
      </c>
      <c r="L18" s="74" t="s">
        <v>1098</v>
      </c>
      <c r="M18" s="71" t="s">
        <v>1099</v>
      </c>
      <c r="N18" s="75">
        <v>2020.0</v>
      </c>
      <c r="O18" s="71" t="s">
        <v>1100</v>
      </c>
      <c r="P18" s="71" t="s">
        <v>1101</v>
      </c>
      <c r="Q18" s="71" t="s">
        <v>1082</v>
      </c>
      <c r="R18" s="67" t="s">
        <v>963</v>
      </c>
      <c r="S18" s="67" t="s">
        <v>1102</v>
      </c>
      <c r="T18" s="67" t="s">
        <v>1103</v>
      </c>
      <c r="U18" s="68"/>
      <c r="V18" s="39" t="s">
        <v>1104</v>
      </c>
      <c r="W18" s="76" t="s">
        <v>931</v>
      </c>
      <c r="X18" s="68"/>
      <c r="Y18" s="68"/>
      <c r="Z18" s="68"/>
      <c r="AA18" s="68"/>
      <c r="AB18" s="68"/>
      <c r="AC18" s="68"/>
    </row>
    <row r="19">
      <c r="A19" s="67" t="s">
        <v>431</v>
      </c>
      <c r="B19" s="84" t="s">
        <v>614</v>
      </c>
      <c r="C19" s="84" t="s">
        <v>615</v>
      </c>
      <c r="D19" s="78" t="s">
        <v>1105</v>
      </c>
      <c r="E19" s="67" t="s">
        <v>963</v>
      </c>
      <c r="F19" s="70" t="s">
        <v>49</v>
      </c>
      <c r="G19" s="71" t="s">
        <v>1106</v>
      </c>
      <c r="H19" s="71"/>
      <c r="I19" s="72" t="s">
        <v>966</v>
      </c>
      <c r="J19" s="73" t="s">
        <v>967</v>
      </c>
      <c r="K19" s="74" t="s">
        <v>1009</v>
      </c>
      <c r="L19" s="74" t="s">
        <v>1107</v>
      </c>
      <c r="M19" s="71" t="s">
        <v>1019</v>
      </c>
      <c r="N19" s="75">
        <v>2025.0</v>
      </c>
      <c r="O19" s="71" t="s">
        <v>980</v>
      </c>
      <c r="P19" s="71" t="s">
        <v>1108</v>
      </c>
      <c r="Q19" s="71" t="s">
        <v>982</v>
      </c>
      <c r="R19" s="67" t="s">
        <v>963</v>
      </c>
      <c r="S19" s="67" t="s">
        <v>1109</v>
      </c>
      <c r="T19" s="67" t="s">
        <v>1110</v>
      </c>
      <c r="U19" s="68"/>
      <c r="V19" s="39" t="s">
        <v>1111</v>
      </c>
      <c r="W19" s="76" t="s">
        <v>1032</v>
      </c>
      <c r="X19" s="68"/>
      <c r="Y19" s="68"/>
      <c r="Z19" s="68"/>
      <c r="AA19" s="68"/>
      <c r="AB19" s="68"/>
      <c r="AC19" s="68"/>
    </row>
    <row r="20">
      <c r="A20" s="67" t="s">
        <v>431</v>
      </c>
      <c r="B20" s="84" t="s">
        <v>621</v>
      </c>
      <c r="C20" s="84" t="s">
        <v>622</v>
      </c>
      <c r="D20" s="78" t="s">
        <v>1112</v>
      </c>
      <c r="E20" s="67" t="s">
        <v>963</v>
      </c>
      <c r="F20" s="70" t="s">
        <v>49</v>
      </c>
      <c r="G20" s="71" t="s">
        <v>1113</v>
      </c>
      <c r="H20" s="72" t="s">
        <v>966</v>
      </c>
      <c r="I20" s="70" t="s">
        <v>162</v>
      </c>
      <c r="J20" s="81" t="s">
        <v>1114</v>
      </c>
      <c r="K20" s="74" t="s">
        <v>1009</v>
      </c>
      <c r="L20" s="74" t="s">
        <v>1115</v>
      </c>
      <c r="M20" s="71" t="s">
        <v>1027</v>
      </c>
      <c r="N20" s="75">
        <v>2025.0</v>
      </c>
      <c r="O20" s="71" t="s">
        <v>992</v>
      </c>
      <c r="P20" s="71" t="s">
        <v>972</v>
      </c>
      <c r="Q20" s="71" t="s">
        <v>972</v>
      </c>
      <c r="R20" s="67" t="s">
        <v>993</v>
      </c>
      <c r="S20" s="67" t="s">
        <v>994</v>
      </c>
      <c r="T20" s="67" t="s">
        <v>1116</v>
      </c>
      <c r="U20" s="68"/>
      <c r="V20" s="39" t="s">
        <v>1117</v>
      </c>
      <c r="W20" s="76" t="s">
        <v>931</v>
      </c>
      <c r="X20" s="68"/>
      <c r="Y20" s="68"/>
      <c r="Z20" s="68"/>
      <c r="AA20" s="68"/>
      <c r="AB20" s="68"/>
      <c r="AC20" s="68"/>
    </row>
    <row r="21">
      <c r="A21" s="67" t="s">
        <v>431</v>
      </c>
      <c r="B21" s="84" t="s">
        <v>625</v>
      </c>
      <c r="C21" s="84" t="s">
        <v>626</v>
      </c>
      <c r="D21" s="78" t="s">
        <v>1118</v>
      </c>
      <c r="E21" s="67" t="s">
        <v>963</v>
      </c>
      <c r="F21" s="70" t="s">
        <v>49</v>
      </c>
      <c r="G21" s="71" t="s">
        <v>1119</v>
      </c>
      <c r="H21" s="71" t="s">
        <v>1120</v>
      </c>
      <c r="I21" s="70" t="s">
        <v>162</v>
      </c>
      <c r="J21" s="73" t="s">
        <v>988</v>
      </c>
      <c r="K21" s="74" t="s">
        <v>1121</v>
      </c>
      <c r="L21" s="74"/>
      <c r="M21" s="71" t="s">
        <v>1027</v>
      </c>
      <c r="N21" s="75">
        <v>2025.0</v>
      </c>
      <c r="O21" s="71" t="s">
        <v>1122</v>
      </c>
      <c r="P21" s="71" t="s">
        <v>972</v>
      </c>
      <c r="Q21" s="71" t="s">
        <v>972</v>
      </c>
      <c r="R21" s="67" t="s">
        <v>1123</v>
      </c>
      <c r="S21" s="67" t="s">
        <v>1124</v>
      </c>
      <c r="T21" s="67" t="s">
        <v>1125</v>
      </c>
      <c r="U21" s="68"/>
      <c r="V21" s="39" t="s">
        <v>1126</v>
      </c>
      <c r="W21" s="76" t="s">
        <v>931</v>
      </c>
      <c r="X21" s="68"/>
      <c r="Y21" s="68"/>
      <c r="Z21" s="68"/>
      <c r="AA21" s="68"/>
      <c r="AB21" s="68"/>
      <c r="AC21" s="68"/>
    </row>
    <row r="22">
      <c r="A22" s="67" t="s">
        <v>431</v>
      </c>
      <c r="B22" s="84" t="s">
        <v>727</v>
      </c>
      <c r="C22" s="84" t="s">
        <v>728</v>
      </c>
      <c r="D22" s="78" t="s">
        <v>1127</v>
      </c>
      <c r="E22" s="67" t="s">
        <v>963</v>
      </c>
      <c r="F22" s="70" t="s">
        <v>49</v>
      </c>
      <c r="G22" s="71" t="s">
        <v>978</v>
      </c>
      <c r="H22" s="71" t="s">
        <v>1128</v>
      </c>
      <c r="I22" s="70" t="s">
        <v>162</v>
      </c>
      <c r="J22" s="73" t="s">
        <v>1068</v>
      </c>
      <c r="K22" s="74" t="s">
        <v>1009</v>
      </c>
      <c r="L22" s="74" t="s">
        <v>1129</v>
      </c>
      <c r="M22" s="71" t="s">
        <v>1027</v>
      </c>
      <c r="N22" s="75">
        <v>2025.0</v>
      </c>
      <c r="O22" s="71" t="s">
        <v>992</v>
      </c>
      <c r="P22" s="71" t="s">
        <v>972</v>
      </c>
      <c r="Q22" s="71" t="s">
        <v>972</v>
      </c>
      <c r="R22" s="67" t="s">
        <v>1130</v>
      </c>
      <c r="S22" s="67" t="s">
        <v>1131</v>
      </c>
      <c r="T22" s="67" t="s">
        <v>1132</v>
      </c>
      <c r="U22" s="68"/>
      <c r="V22" s="39" t="s">
        <v>1133</v>
      </c>
      <c r="W22" s="76" t="s">
        <v>931</v>
      </c>
      <c r="X22" s="68"/>
      <c r="Y22" s="68"/>
      <c r="Z22" s="68"/>
      <c r="AA22" s="68"/>
      <c r="AB22" s="68"/>
      <c r="AC22" s="68"/>
    </row>
    <row r="23">
      <c r="A23" s="67" t="s">
        <v>431</v>
      </c>
      <c r="B23" s="84" t="s">
        <v>731</v>
      </c>
      <c r="C23" s="84" t="s">
        <v>732</v>
      </c>
      <c r="D23" s="78" t="s">
        <v>1134</v>
      </c>
      <c r="E23" s="67" t="s">
        <v>963</v>
      </c>
      <c r="F23" s="70" t="s">
        <v>49</v>
      </c>
      <c r="G23" s="71" t="s">
        <v>987</v>
      </c>
      <c r="H23" s="72" t="s">
        <v>966</v>
      </c>
      <c r="I23" s="70" t="s">
        <v>162</v>
      </c>
      <c r="J23" s="73" t="s">
        <v>1135</v>
      </c>
      <c r="K23" s="74" t="s">
        <v>1009</v>
      </c>
      <c r="L23" s="74" t="s">
        <v>1136</v>
      </c>
      <c r="M23" s="71" t="s">
        <v>1027</v>
      </c>
      <c r="N23" s="75">
        <v>2025.0</v>
      </c>
      <c r="O23" s="71" t="s">
        <v>992</v>
      </c>
      <c r="P23" s="71" t="s">
        <v>972</v>
      </c>
      <c r="Q23" s="71" t="s">
        <v>972</v>
      </c>
      <c r="R23" s="67" t="s">
        <v>1137</v>
      </c>
      <c r="S23" s="67" t="s">
        <v>1055</v>
      </c>
      <c r="T23" s="67" t="s">
        <v>1138</v>
      </c>
      <c r="U23" s="68"/>
      <c r="V23" s="39" t="s">
        <v>1139</v>
      </c>
      <c r="W23" s="76" t="s">
        <v>931</v>
      </c>
      <c r="X23" s="68"/>
      <c r="Y23" s="68"/>
      <c r="Z23" s="68"/>
      <c r="AA23" s="68"/>
      <c r="AB23" s="68"/>
      <c r="AC23" s="68"/>
    </row>
    <row r="24">
      <c r="A24" s="67" t="s">
        <v>431</v>
      </c>
      <c r="B24" s="84" t="s">
        <v>734</v>
      </c>
      <c r="C24" s="84" t="s">
        <v>735</v>
      </c>
      <c r="D24" s="78" t="s">
        <v>1140</v>
      </c>
      <c r="E24" s="67" t="s">
        <v>963</v>
      </c>
      <c r="F24" s="70" t="s">
        <v>49</v>
      </c>
      <c r="G24" s="71" t="s">
        <v>1113</v>
      </c>
      <c r="H24" s="71"/>
      <c r="I24" s="72" t="s">
        <v>966</v>
      </c>
      <c r="J24" s="81" t="s">
        <v>1141</v>
      </c>
      <c r="K24" s="74" t="s">
        <v>1009</v>
      </c>
      <c r="L24" s="74" t="s">
        <v>1142</v>
      </c>
      <c r="M24" s="71" t="s">
        <v>1019</v>
      </c>
      <c r="N24" s="75">
        <v>2025.0</v>
      </c>
      <c r="O24" s="71" t="s">
        <v>992</v>
      </c>
      <c r="P24" s="71" t="s">
        <v>972</v>
      </c>
      <c r="Q24" s="71" t="s">
        <v>972</v>
      </c>
      <c r="R24" s="67" t="s">
        <v>1012</v>
      </c>
      <c r="S24" s="67" t="s">
        <v>1055</v>
      </c>
      <c r="T24" s="67" t="s">
        <v>1116</v>
      </c>
      <c r="U24" s="68"/>
      <c r="V24" s="39" t="s">
        <v>1143</v>
      </c>
      <c r="W24" s="76" t="s">
        <v>931</v>
      </c>
      <c r="X24" s="68"/>
      <c r="Y24" s="68"/>
      <c r="Z24" s="68"/>
      <c r="AA24" s="68"/>
      <c r="AB24" s="68"/>
      <c r="AC24" s="68"/>
    </row>
    <row r="25">
      <c r="A25" s="67" t="s">
        <v>431</v>
      </c>
      <c r="B25" s="84" t="s">
        <v>737</v>
      </c>
      <c r="C25" s="84" t="s">
        <v>738</v>
      </c>
      <c r="D25" s="78" t="s">
        <v>1144</v>
      </c>
      <c r="E25" s="67" t="s">
        <v>963</v>
      </c>
      <c r="F25" s="70" t="s">
        <v>49</v>
      </c>
      <c r="G25" s="71" t="s">
        <v>1113</v>
      </c>
      <c r="H25" s="72" t="s">
        <v>966</v>
      </c>
      <c r="I25" s="70" t="s">
        <v>162</v>
      </c>
      <c r="J25" s="81" t="s">
        <v>1145</v>
      </c>
      <c r="K25" s="74" t="s">
        <v>1146</v>
      </c>
      <c r="L25" s="74" t="s">
        <v>1147</v>
      </c>
      <c r="M25" s="71" t="s">
        <v>1027</v>
      </c>
      <c r="N25" s="75">
        <v>2025.0</v>
      </c>
      <c r="O25" s="71" t="s">
        <v>992</v>
      </c>
      <c r="P25" s="71" t="s">
        <v>972</v>
      </c>
      <c r="Q25" s="71" t="s">
        <v>972</v>
      </c>
      <c r="R25" s="67" t="s">
        <v>993</v>
      </c>
      <c r="S25" s="67" t="s">
        <v>1055</v>
      </c>
      <c r="T25" s="67" t="s">
        <v>1049</v>
      </c>
      <c r="U25" s="68"/>
      <c r="V25" s="39" t="s">
        <v>1148</v>
      </c>
      <c r="W25" s="76" t="s">
        <v>931</v>
      </c>
      <c r="X25" s="68"/>
      <c r="Y25" s="68"/>
      <c r="Z25" s="68"/>
      <c r="AA25" s="68"/>
      <c r="AB25" s="68"/>
      <c r="AC25" s="68"/>
    </row>
    <row r="26">
      <c r="A26" s="67" t="s">
        <v>431</v>
      </c>
      <c r="B26" s="84" t="s">
        <v>740</v>
      </c>
      <c r="C26" s="39" t="s">
        <v>741</v>
      </c>
      <c r="D26" s="69" t="s">
        <v>1149</v>
      </c>
      <c r="E26" s="67" t="s">
        <v>963</v>
      </c>
      <c r="F26" s="70" t="s">
        <v>49</v>
      </c>
      <c r="G26" s="71" t="s">
        <v>987</v>
      </c>
      <c r="H26" s="72" t="s">
        <v>966</v>
      </c>
      <c r="I26" s="70" t="s">
        <v>162</v>
      </c>
      <c r="J26" s="73" t="s">
        <v>1017</v>
      </c>
      <c r="K26" s="74" t="s">
        <v>1009</v>
      </c>
      <c r="L26" s="74" t="s">
        <v>1150</v>
      </c>
      <c r="M26" s="71" t="s">
        <v>1027</v>
      </c>
      <c r="N26" s="75">
        <v>2025.0</v>
      </c>
      <c r="O26" s="71" t="s">
        <v>992</v>
      </c>
      <c r="P26" s="71" t="s">
        <v>972</v>
      </c>
      <c r="Q26" s="71" t="s">
        <v>972</v>
      </c>
      <c r="R26" s="67" t="s">
        <v>993</v>
      </c>
      <c r="S26" s="67" t="s">
        <v>983</v>
      </c>
      <c r="T26" s="67" t="s">
        <v>1151</v>
      </c>
      <c r="U26" s="68"/>
      <c r="V26" s="39" t="s">
        <v>1152</v>
      </c>
      <c r="W26" s="76" t="s">
        <v>931</v>
      </c>
      <c r="X26" s="68"/>
      <c r="Y26" s="68"/>
      <c r="Z26" s="68"/>
      <c r="AA26" s="68"/>
      <c r="AB26" s="68"/>
      <c r="AC26" s="68"/>
    </row>
    <row r="27">
      <c r="A27" s="77" t="s">
        <v>431</v>
      </c>
      <c r="B27" s="85" t="s">
        <v>775</v>
      </c>
      <c r="C27" s="85" t="s">
        <v>776</v>
      </c>
      <c r="D27" s="86" t="s">
        <v>1153</v>
      </c>
      <c r="E27" s="77" t="s">
        <v>963</v>
      </c>
      <c r="F27" s="87" t="s">
        <v>47</v>
      </c>
      <c r="G27" s="88" t="s">
        <v>1154</v>
      </c>
      <c r="H27" s="88"/>
      <c r="I27" s="72" t="s">
        <v>966</v>
      </c>
      <c r="J27" s="89" t="s">
        <v>1017</v>
      </c>
      <c r="K27" s="90"/>
      <c r="L27" s="91" t="s">
        <v>1155</v>
      </c>
      <c r="M27" s="88" t="s">
        <v>1002</v>
      </c>
      <c r="N27" s="92">
        <v>2025.0</v>
      </c>
      <c r="O27" s="88" t="s">
        <v>971</v>
      </c>
      <c r="P27" s="88" t="s">
        <v>972</v>
      </c>
      <c r="Q27" s="88" t="s">
        <v>972</v>
      </c>
      <c r="R27" s="77" t="s">
        <v>963</v>
      </c>
      <c r="S27" s="77" t="s">
        <v>1055</v>
      </c>
      <c r="T27" s="77" t="s">
        <v>1043</v>
      </c>
      <c r="U27" s="77"/>
      <c r="V27" s="42" t="s">
        <v>1156</v>
      </c>
      <c r="W27" s="76" t="s">
        <v>931</v>
      </c>
      <c r="X27" s="80"/>
      <c r="Y27" s="80"/>
      <c r="Z27" s="80"/>
      <c r="AA27" s="80"/>
      <c r="AB27" s="80"/>
      <c r="AC27" s="80"/>
    </row>
    <row r="28">
      <c r="A28" s="67" t="s">
        <v>431</v>
      </c>
      <c r="B28" s="84" t="s">
        <v>777</v>
      </c>
      <c r="C28" s="84" t="s">
        <v>778</v>
      </c>
      <c r="D28" s="78" t="s">
        <v>1157</v>
      </c>
      <c r="E28" s="67" t="s">
        <v>963</v>
      </c>
      <c r="F28" s="70" t="s">
        <v>49</v>
      </c>
      <c r="G28" s="71" t="s">
        <v>1158</v>
      </c>
      <c r="H28" s="71" t="s">
        <v>987</v>
      </c>
      <c r="I28" s="72" t="s">
        <v>162</v>
      </c>
      <c r="J28" s="73" t="s">
        <v>999</v>
      </c>
      <c r="K28" s="74" t="s">
        <v>1009</v>
      </c>
      <c r="L28" s="74" t="s">
        <v>1159</v>
      </c>
      <c r="M28" s="71" t="s">
        <v>1027</v>
      </c>
      <c r="N28" s="75">
        <v>2025.0</v>
      </c>
      <c r="O28" s="71" t="s">
        <v>1003</v>
      </c>
      <c r="P28" s="71" t="s">
        <v>972</v>
      </c>
      <c r="Q28" s="71" t="s">
        <v>972</v>
      </c>
      <c r="R28" s="67" t="s">
        <v>1160</v>
      </c>
      <c r="S28" s="67" t="s">
        <v>1161</v>
      </c>
      <c r="T28" s="67" t="s">
        <v>1162</v>
      </c>
      <c r="U28" s="68"/>
      <c r="V28" s="39" t="s">
        <v>1163</v>
      </c>
      <c r="W28" s="76" t="s">
        <v>931</v>
      </c>
      <c r="X28" s="68"/>
      <c r="Y28" s="68"/>
      <c r="Z28" s="68"/>
      <c r="AA28" s="68"/>
      <c r="AB28" s="68"/>
      <c r="AC28" s="68"/>
    </row>
    <row r="29">
      <c r="A29" s="67" t="s">
        <v>431</v>
      </c>
      <c r="B29" s="84" t="s">
        <v>782</v>
      </c>
      <c r="C29" s="84" t="s">
        <v>783</v>
      </c>
      <c r="D29" s="78" t="s">
        <v>1164</v>
      </c>
      <c r="E29" s="67" t="s">
        <v>963</v>
      </c>
      <c r="F29" s="70" t="s">
        <v>49</v>
      </c>
      <c r="G29" s="71" t="s">
        <v>1106</v>
      </c>
      <c r="H29" s="71" t="s">
        <v>162</v>
      </c>
      <c r="I29" s="70" t="s">
        <v>162</v>
      </c>
      <c r="J29" s="73" t="s">
        <v>1165</v>
      </c>
      <c r="K29" s="74" t="s">
        <v>1009</v>
      </c>
      <c r="L29" s="74" t="s">
        <v>1166</v>
      </c>
      <c r="M29" s="71" t="s">
        <v>1027</v>
      </c>
      <c r="N29" s="75">
        <v>2025.0</v>
      </c>
      <c r="O29" s="71" t="s">
        <v>992</v>
      </c>
      <c r="P29" s="71" t="s">
        <v>972</v>
      </c>
      <c r="Q29" s="71" t="s">
        <v>972</v>
      </c>
      <c r="R29" s="67" t="s">
        <v>963</v>
      </c>
      <c r="S29" s="67" t="s">
        <v>1055</v>
      </c>
      <c r="T29" s="67" t="s">
        <v>1167</v>
      </c>
      <c r="U29" s="68"/>
      <c r="V29" s="39" t="s">
        <v>1168</v>
      </c>
      <c r="W29" s="76" t="s">
        <v>931</v>
      </c>
      <c r="X29" s="68"/>
      <c r="Y29" s="68"/>
      <c r="Z29" s="68"/>
      <c r="AA29" s="68"/>
      <c r="AB29" s="68"/>
      <c r="AC29" s="68"/>
    </row>
    <row r="30">
      <c r="A30" s="67" t="s">
        <v>431</v>
      </c>
      <c r="B30" s="84" t="s">
        <v>787</v>
      </c>
      <c r="C30" s="84" t="s">
        <v>788</v>
      </c>
      <c r="D30" s="69" t="s">
        <v>1169</v>
      </c>
      <c r="E30" s="67" t="s">
        <v>963</v>
      </c>
      <c r="F30" s="70" t="s">
        <v>49</v>
      </c>
      <c r="G30" s="71" t="s">
        <v>1170</v>
      </c>
      <c r="H30" s="71"/>
      <c r="I30" s="70" t="s">
        <v>162</v>
      </c>
      <c r="J30" s="73" t="s">
        <v>1171</v>
      </c>
      <c r="K30" s="74" t="s">
        <v>466</v>
      </c>
      <c r="L30" s="74" t="s">
        <v>1172</v>
      </c>
      <c r="M30" s="71" t="s">
        <v>1173</v>
      </c>
      <c r="N30" s="75">
        <v>2025.0</v>
      </c>
      <c r="O30" s="71" t="s">
        <v>992</v>
      </c>
      <c r="P30" s="71" t="s">
        <v>972</v>
      </c>
      <c r="Q30" s="71" t="s">
        <v>972</v>
      </c>
      <c r="R30" s="67" t="s">
        <v>963</v>
      </c>
      <c r="S30" s="67" t="s">
        <v>1055</v>
      </c>
      <c r="T30" s="67" t="s">
        <v>1174</v>
      </c>
      <c r="U30" s="68"/>
      <c r="V30" s="39" t="s">
        <v>1175</v>
      </c>
      <c r="W30" s="76" t="s">
        <v>931</v>
      </c>
      <c r="X30" s="68"/>
      <c r="Y30" s="68"/>
      <c r="Z30" s="68"/>
      <c r="AA30" s="68"/>
      <c r="AB30" s="68"/>
      <c r="AC30" s="68"/>
    </row>
    <row r="31">
      <c r="A31" s="67" t="s">
        <v>431</v>
      </c>
      <c r="B31" s="84" t="s">
        <v>905</v>
      </c>
      <c r="C31" s="84" t="s">
        <v>906</v>
      </c>
      <c r="D31" s="78" t="s">
        <v>1176</v>
      </c>
      <c r="E31" s="67" t="s">
        <v>963</v>
      </c>
      <c r="F31" s="70" t="s">
        <v>49</v>
      </c>
      <c r="G31" s="71" t="s">
        <v>1177</v>
      </c>
      <c r="H31" s="71"/>
      <c r="I31" s="70" t="s">
        <v>162</v>
      </c>
      <c r="J31" s="73" t="s">
        <v>988</v>
      </c>
      <c r="K31" s="79"/>
      <c r="L31" s="74" t="s">
        <v>1178</v>
      </c>
      <c r="M31" s="71" t="s">
        <v>1179</v>
      </c>
      <c r="N31" s="75">
        <v>2022.0</v>
      </c>
      <c r="O31" s="71" t="s">
        <v>992</v>
      </c>
      <c r="P31" s="71" t="s">
        <v>972</v>
      </c>
      <c r="Q31" s="71" t="s">
        <v>972</v>
      </c>
      <c r="R31" s="67" t="s">
        <v>1012</v>
      </c>
      <c r="S31" s="67" t="s">
        <v>1180</v>
      </c>
      <c r="T31" s="67" t="s">
        <v>1181</v>
      </c>
      <c r="U31" s="68"/>
      <c r="V31" s="39" t="s">
        <v>1182</v>
      </c>
      <c r="W31" s="76" t="s">
        <v>931</v>
      </c>
      <c r="X31" s="68"/>
      <c r="Y31" s="68"/>
      <c r="Z31" s="68"/>
      <c r="AA31" s="68"/>
      <c r="AB31" s="68"/>
      <c r="AC31" s="68"/>
    </row>
    <row r="32">
      <c r="A32" s="67" t="s">
        <v>431</v>
      </c>
      <c r="B32" s="84" t="s">
        <v>1183</v>
      </c>
      <c r="C32" s="84" t="s">
        <v>1184</v>
      </c>
      <c r="D32" s="78" t="s">
        <v>1185</v>
      </c>
      <c r="E32" s="67" t="s">
        <v>931</v>
      </c>
      <c r="F32" s="70" t="s">
        <v>49</v>
      </c>
      <c r="G32" s="71" t="s">
        <v>1186</v>
      </c>
      <c r="H32" s="71"/>
      <c r="I32" s="70" t="s">
        <v>162</v>
      </c>
      <c r="J32" s="73" t="s">
        <v>988</v>
      </c>
      <c r="K32" s="72" t="s">
        <v>1009</v>
      </c>
      <c r="L32" s="72" t="s">
        <v>1187</v>
      </c>
      <c r="M32" s="71" t="s">
        <v>1027</v>
      </c>
      <c r="N32" s="75">
        <v>2025.0</v>
      </c>
      <c r="O32" s="71" t="s">
        <v>992</v>
      </c>
      <c r="P32" s="71" t="s">
        <v>1028</v>
      </c>
      <c r="Q32" s="71" t="s">
        <v>1029</v>
      </c>
      <c r="R32" s="67" t="s">
        <v>963</v>
      </c>
      <c r="S32" s="67" t="s">
        <v>1188</v>
      </c>
      <c r="T32" s="67" t="s">
        <v>1189</v>
      </c>
      <c r="U32" s="68"/>
      <c r="V32" s="39" t="s">
        <v>1190</v>
      </c>
      <c r="W32" s="76" t="s">
        <v>931</v>
      </c>
      <c r="X32" s="68"/>
      <c r="Y32" s="68"/>
      <c r="Z32" s="68"/>
      <c r="AA32" s="68"/>
      <c r="AB32" s="68"/>
      <c r="AC32" s="68"/>
    </row>
    <row r="33">
      <c r="A33" s="67" t="s">
        <v>431</v>
      </c>
      <c r="B33" s="84" t="s">
        <v>1191</v>
      </c>
      <c r="C33" s="84" t="s">
        <v>1192</v>
      </c>
      <c r="D33" s="78" t="s">
        <v>1193</v>
      </c>
      <c r="E33" s="67" t="s">
        <v>931</v>
      </c>
      <c r="F33" s="72" t="s">
        <v>49</v>
      </c>
      <c r="G33" s="71" t="s">
        <v>1194</v>
      </c>
      <c r="H33" s="71" t="s">
        <v>1195</v>
      </c>
      <c r="I33" s="72" t="s">
        <v>162</v>
      </c>
      <c r="J33" s="73" t="s">
        <v>988</v>
      </c>
      <c r="K33" s="72" t="s">
        <v>1196</v>
      </c>
      <c r="L33" s="72" t="s">
        <v>1197</v>
      </c>
      <c r="M33" s="71" t="s">
        <v>1070</v>
      </c>
      <c r="N33" s="75">
        <v>2025.0</v>
      </c>
      <c r="O33" s="71" t="s">
        <v>992</v>
      </c>
      <c r="P33" s="71" t="s">
        <v>1081</v>
      </c>
      <c r="Q33" s="71" t="s">
        <v>1082</v>
      </c>
      <c r="R33" s="67" t="s">
        <v>963</v>
      </c>
      <c r="S33" s="67" t="s">
        <v>1022</v>
      </c>
      <c r="T33" s="67" t="s">
        <v>1198</v>
      </c>
      <c r="U33" s="68"/>
      <c r="V33" s="39" t="s">
        <v>1199</v>
      </c>
      <c r="W33" s="76" t="s">
        <v>1032</v>
      </c>
      <c r="X33" s="68"/>
      <c r="Y33" s="68"/>
      <c r="Z33" s="68"/>
      <c r="AA33" s="68"/>
      <c r="AB33" s="68"/>
      <c r="AC33" s="68"/>
    </row>
    <row r="34">
      <c r="A34" s="76" t="s">
        <v>431</v>
      </c>
      <c r="B34" s="93" t="s">
        <v>1200</v>
      </c>
      <c r="C34" s="93" t="s">
        <v>1201</v>
      </c>
      <c r="D34" s="94" t="s">
        <v>1202</v>
      </c>
      <c r="E34" s="76" t="s">
        <v>931</v>
      </c>
      <c r="F34" s="95" t="s">
        <v>559</v>
      </c>
      <c r="G34" s="96" t="s">
        <v>1203</v>
      </c>
      <c r="H34" s="96" t="s">
        <v>987</v>
      </c>
      <c r="I34" s="95" t="s">
        <v>966</v>
      </c>
      <c r="J34" s="97" t="s">
        <v>1204</v>
      </c>
      <c r="K34" s="98"/>
      <c r="L34" s="95" t="s">
        <v>1205</v>
      </c>
      <c r="M34" s="96" t="s">
        <v>1027</v>
      </c>
      <c r="N34" s="99">
        <v>2025.0</v>
      </c>
      <c r="O34" s="96" t="s">
        <v>992</v>
      </c>
      <c r="P34" s="96" t="s">
        <v>1206</v>
      </c>
      <c r="Q34" s="96" t="s">
        <v>1207</v>
      </c>
      <c r="R34" s="76" t="s">
        <v>963</v>
      </c>
      <c r="S34" s="76" t="s">
        <v>1208</v>
      </c>
      <c r="T34" s="76" t="s">
        <v>1209</v>
      </c>
      <c r="U34" s="100"/>
      <c r="V34" s="101" t="s">
        <v>1210</v>
      </c>
      <c r="W34" s="76" t="s">
        <v>1211</v>
      </c>
      <c r="X34" s="76"/>
      <c r="Y34" s="100"/>
      <c r="Z34" s="100"/>
      <c r="AA34" s="100"/>
      <c r="AB34" s="100"/>
      <c r="AC34" s="100"/>
    </row>
    <row r="35" ht="15.0" customHeight="1">
      <c r="A35" s="67" t="s">
        <v>431</v>
      </c>
      <c r="B35" s="84" t="s">
        <v>1212</v>
      </c>
      <c r="C35" s="84" t="s">
        <v>1213</v>
      </c>
      <c r="D35" s="78" t="s">
        <v>1214</v>
      </c>
      <c r="E35" s="67" t="s">
        <v>931</v>
      </c>
      <c r="F35" s="70" t="s">
        <v>49</v>
      </c>
      <c r="G35" s="71" t="s">
        <v>1215</v>
      </c>
      <c r="H35" s="71" t="s">
        <v>162</v>
      </c>
      <c r="I35" s="72" t="s">
        <v>966</v>
      </c>
      <c r="J35" s="73" t="s">
        <v>988</v>
      </c>
      <c r="K35" s="74" t="s">
        <v>466</v>
      </c>
      <c r="L35" s="72" t="s">
        <v>1216</v>
      </c>
      <c r="M35" s="71" t="s">
        <v>1217</v>
      </c>
      <c r="N35" s="75">
        <v>2023.0</v>
      </c>
      <c r="O35" s="71" t="s">
        <v>992</v>
      </c>
      <c r="P35" s="71" t="s">
        <v>1218</v>
      </c>
      <c r="Q35" s="71" t="s">
        <v>1021</v>
      </c>
      <c r="R35" s="67" t="s">
        <v>963</v>
      </c>
      <c r="S35" s="67" t="s">
        <v>1055</v>
      </c>
      <c r="T35" s="67" t="s">
        <v>1219</v>
      </c>
      <c r="U35" s="68"/>
      <c r="V35" s="39" t="s">
        <v>1220</v>
      </c>
      <c r="W35" s="76" t="s">
        <v>1032</v>
      </c>
      <c r="X35" s="68"/>
      <c r="Y35" s="68"/>
      <c r="Z35" s="68"/>
      <c r="AA35" s="68"/>
      <c r="AB35" s="68"/>
      <c r="AC35" s="68"/>
    </row>
    <row r="36">
      <c r="A36" s="76" t="s">
        <v>431</v>
      </c>
      <c r="B36" s="93" t="s">
        <v>1221</v>
      </c>
      <c r="C36" s="93" t="s">
        <v>1222</v>
      </c>
      <c r="D36" s="94" t="s">
        <v>1223</v>
      </c>
      <c r="E36" s="76" t="s">
        <v>931</v>
      </c>
      <c r="F36" s="95" t="s">
        <v>559</v>
      </c>
      <c r="G36" s="96" t="s">
        <v>987</v>
      </c>
      <c r="H36" s="96"/>
      <c r="I36" s="95" t="s">
        <v>966</v>
      </c>
      <c r="J36" s="97" t="s">
        <v>988</v>
      </c>
      <c r="K36" s="95" t="s">
        <v>1224</v>
      </c>
      <c r="L36" s="95" t="s">
        <v>1225</v>
      </c>
      <c r="M36" s="96" t="s">
        <v>1027</v>
      </c>
      <c r="N36" s="99">
        <v>2025.0</v>
      </c>
      <c r="O36" s="96" t="s">
        <v>1226</v>
      </c>
      <c r="P36" s="96" t="s">
        <v>972</v>
      </c>
      <c r="Q36" s="96" t="s">
        <v>972</v>
      </c>
      <c r="R36" s="76" t="s">
        <v>1227</v>
      </c>
      <c r="S36" s="76" t="s">
        <v>1228</v>
      </c>
      <c r="T36" s="76" t="s">
        <v>1229</v>
      </c>
      <c r="U36" s="100"/>
      <c r="V36" s="101" t="s">
        <v>1230</v>
      </c>
      <c r="W36" s="76" t="s">
        <v>1211</v>
      </c>
      <c r="X36" s="100"/>
      <c r="Y36" s="100"/>
      <c r="Z36" s="100"/>
      <c r="AA36" s="100"/>
      <c r="AB36" s="100"/>
      <c r="AC36" s="100"/>
    </row>
    <row r="37">
      <c r="A37" s="102" t="s">
        <v>431</v>
      </c>
      <c r="B37" s="103" t="s">
        <v>1231</v>
      </c>
      <c r="C37" s="103" t="s">
        <v>1232</v>
      </c>
      <c r="D37" s="104" t="s">
        <v>1233</v>
      </c>
      <c r="E37" s="102" t="s">
        <v>931</v>
      </c>
      <c r="F37" s="105" t="s">
        <v>47</v>
      </c>
      <c r="G37" s="106" t="s">
        <v>1177</v>
      </c>
      <c r="H37" s="106"/>
      <c r="I37" s="105" t="s">
        <v>162</v>
      </c>
      <c r="J37" s="107" t="s">
        <v>988</v>
      </c>
      <c r="K37" s="105" t="s">
        <v>466</v>
      </c>
      <c r="L37" s="105" t="s">
        <v>1234</v>
      </c>
      <c r="M37" s="106" t="s">
        <v>1027</v>
      </c>
      <c r="N37" s="108">
        <v>2025.0</v>
      </c>
      <c r="O37" s="106" t="s">
        <v>992</v>
      </c>
      <c r="P37" s="106" t="s">
        <v>972</v>
      </c>
      <c r="Q37" s="106" t="s">
        <v>972</v>
      </c>
      <c r="R37" s="102" t="s">
        <v>963</v>
      </c>
      <c r="S37" s="102" t="s">
        <v>1235</v>
      </c>
      <c r="T37" s="102" t="s">
        <v>1236</v>
      </c>
      <c r="U37" s="102" t="s">
        <v>1237</v>
      </c>
      <c r="V37" s="109" t="s">
        <v>1238</v>
      </c>
      <c r="W37" s="76" t="s">
        <v>931</v>
      </c>
      <c r="X37" s="110"/>
      <c r="Y37" s="80"/>
      <c r="Z37" s="80"/>
      <c r="AA37" s="80"/>
      <c r="AB37" s="80"/>
      <c r="AC37" s="80"/>
    </row>
    <row r="38">
      <c r="A38" s="71" t="s">
        <v>181</v>
      </c>
      <c r="B38" s="71" t="s">
        <v>177</v>
      </c>
      <c r="C38" s="71" t="s">
        <v>178</v>
      </c>
      <c r="D38" s="111" t="s">
        <v>1239</v>
      </c>
      <c r="E38" s="67" t="s">
        <v>963</v>
      </c>
      <c r="F38" s="70" t="s">
        <v>49</v>
      </c>
      <c r="G38" s="71" t="s">
        <v>1240</v>
      </c>
      <c r="H38" s="71"/>
      <c r="I38" s="70" t="s">
        <v>162</v>
      </c>
      <c r="J38" s="73" t="s">
        <v>1241</v>
      </c>
      <c r="K38" s="72" t="s">
        <v>1242</v>
      </c>
      <c r="L38" s="72" t="s">
        <v>1243</v>
      </c>
      <c r="M38" s="71" t="s">
        <v>1099</v>
      </c>
      <c r="N38" s="75">
        <v>2024.0</v>
      </c>
      <c r="O38" s="71" t="s">
        <v>992</v>
      </c>
      <c r="P38" s="71" t="s">
        <v>972</v>
      </c>
      <c r="Q38" s="71" t="s">
        <v>972</v>
      </c>
      <c r="R38" s="67" t="s">
        <v>963</v>
      </c>
      <c r="S38" s="26" t="s">
        <v>1055</v>
      </c>
      <c r="T38" s="26" t="s">
        <v>1244</v>
      </c>
      <c r="V38" s="39" t="s">
        <v>1245</v>
      </c>
      <c r="W38" s="76" t="s">
        <v>931</v>
      </c>
    </row>
    <row r="39">
      <c r="A39" s="71" t="s">
        <v>181</v>
      </c>
      <c r="B39" s="37" t="s">
        <v>182</v>
      </c>
      <c r="C39" s="71" t="s">
        <v>183</v>
      </c>
      <c r="D39" s="111" t="s">
        <v>1246</v>
      </c>
      <c r="E39" s="67" t="s">
        <v>963</v>
      </c>
      <c r="F39" s="70" t="s">
        <v>49</v>
      </c>
      <c r="G39" s="71" t="s">
        <v>1113</v>
      </c>
      <c r="H39" s="72" t="s">
        <v>966</v>
      </c>
      <c r="I39" s="70" t="s">
        <v>162</v>
      </c>
      <c r="J39" s="81" t="s">
        <v>1247</v>
      </c>
      <c r="K39" s="72" t="s">
        <v>1248</v>
      </c>
      <c r="L39" s="72" t="s">
        <v>1249</v>
      </c>
      <c r="M39" s="71" t="s">
        <v>1002</v>
      </c>
      <c r="N39" s="75">
        <v>2024.0</v>
      </c>
      <c r="O39" s="71" t="s">
        <v>992</v>
      </c>
      <c r="P39" s="71" t="s">
        <v>972</v>
      </c>
      <c r="Q39" s="71" t="s">
        <v>972</v>
      </c>
      <c r="R39" s="67" t="s">
        <v>993</v>
      </c>
      <c r="S39" s="26" t="s">
        <v>1055</v>
      </c>
      <c r="T39" s="26" t="s">
        <v>1250</v>
      </c>
      <c r="V39" s="39" t="s">
        <v>1251</v>
      </c>
      <c r="W39" s="76" t="s">
        <v>931</v>
      </c>
    </row>
    <row r="40">
      <c r="A40" s="71" t="s">
        <v>181</v>
      </c>
      <c r="B40" s="71" t="s">
        <v>185</v>
      </c>
      <c r="C40" s="71" t="s">
        <v>186</v>
      </c>
      <c r="D40" s="112" t="s">
        <v>1252</v>
      </c>
      <c r="E40" s="67" t="s">
        <v>963</v>
      </c>
      <c r="F40" s="70" t="s">
        <v>49</v>
      </c>
      <c r="G40" s="71" t="s">
        <v>1113</v>
      </c>
      <c r="H40" s="72" t="s">
        <v>966</v>
      </c>
      <c r="I40" s="70" t="s">
        <v>162</v>
      </c>
      <c r="J40" s="81" t="s">
        <v>1253</v>
      </c>
      <c r="K40" s="72" t="s">
        <v>1009</v>
      </c>
      <c r="L40" s="72" t="s">
        <v>1254</v>
      </c>
      <c r="M40" s="71" t="s">
        <v>1027</v>
      </c>
      <c r="N40" s="75">
        <v>2024.0</v>
      </c>
      <c r="O40" s="71" t="s">
        <v>992</v>
      </c>
      <c r="P40" s="71" t="s">
        <v>972</v>
      </c>
      <c r="Q40" s="71" t="s">
        <v>972</v>
      </c>
      <c r="R40" s="67" t="s">
        <v>1130</v>
      </c>
      <c r="S40" s="26" t="s">
        <v>1055</v>
      </c>
      <c r="T40" s="26" t="s">
        <v>1255</v>
      </c>
      <c r="V40" s="39" t="s">
        <v>1256</v>
      </c>
      <c r="W40" s="76" t="s">
        <v>931</v>
      </c>
    </row>
    <row r="41">
      <c r="A41" s="71" t="s">
        <v>181</v>
      </c>
      <c r="B41" s="71" t="s">
        <v>190</v>
      </c>
      <c r="C41" s="71" t="s">
        <v>191</v>
      </c>
      <c r="D41" s="111" t="s">
        <v>1257</v>
      </c>
      <c r="E41" s="67" t="s">
        <v>963</v>
      </c>
      <c r="F41" s="70" t="s">
        <v>49</v>
      </c>
      <c r="G41" s="71" t="s">
        <v>1258</v>
      </c>
      <c r="H41" s="71"/>
      <c r="I41" s="70" t="s">
        <v>162</v>
      </c>
      <c r="J41" s="73" t="s">
        <v>988</v>
      </c>
      <c r="K41" s="72" t="s">
        <v>1259</v>
      </c>
      <c r="L41" s="72" t="s">
        <v>1260</v>
      </c>
      <c r="M41" s="71" t="s">
        <v>1261</v>
      </c>
      <c r="N41" s="75">
        <v>2024.0</v>
      </c>
      <c r="O41" s="71" t="s">
        <v>971</v>
      </c>
      <c r="P41" s="71" t="s">
        <v>972</v>
      </c>
      <c r="Q41" s="71" t="s">
        <v>972</v>
      </c>
      <c r="R41" s="67" t="s">
        <v>1137</v>
      </c>
      <c r="S41" s="26" t="s">
        <v>1055</v>
      </c>
      <c r="T41" s="26" t="s">
        <v>1049</v>
      </c>
      <c r="V41" s="39" t="s">
        <v>1262</v>
      </c>
      <c r="W41" s="76" t="s">
        <v>931</v>
      </c>
    </row>
    <row r="42">
      <c r="A42" s="71" t="s">
        <v>181</v>
      </c>
      <c r="B42" s="71" t="s">
        <v>195</v>
      </c>
      <c r="C42" s="71" t="s">
        <v>196</v>
      </c>
      <c r="D42" s="112" t="s">
        <v>1263</v>
      </c>
      <c r="E42" s="67" t="s">
        <v>963</v>
      </c>
      <c r="F42" s="70" t="s">
        <v>49</v>
      </c>
      <c r="G42" s="71" t="s">
        <v>1264</v>
      </c>
      <c r="H42" s="71" t="s">
        <v>1265</v>
      </c>
      <c r="I42" s="72" t="s">
        <v>162</v>
      </c>
      <c r="J42" s="73" t="s">
        <v>988</v>
      </c>
      <c r="K42" s="72" t="s">
        <v>1009</v>
      </c>
      <c r="L42" s="72" t="s">
        <v>1266</v>
      </c>
      <c r="M42" s="71" t="s">
        <v>1027</v>
      </c>
      <c r="N42" s="75">
        <v>2024.0</v>
      </c>
      <c r="O42" s="71" t="s">
        <v>992</v>
      </c>
      <c r="P42" s="71" t="s">
        <v>972</v>
      </c>
      <c r="Q42" s="71" t="s">
        <v>972</v>
      </c>
      <c r="R42" s="67" t="s">
        <v>1137</v>
      </c>
      <c r="S42" s="26" t="s">
        <v>1267</v>
      </c>
      <c r="T42" s="26" t="s">
        <v>1043</v>
      </c>
      <c r="V42" s="39" t="s">
        <v>1268</v>
      </c>
      <c r="W42" s="76" t="s">
        <v>931</v>
      </c>
    </row>
    <row r="43">
      <c r="A43" s="71" t="s">
        <v>181</v>
      </c>
      <c r="B43" s="71" t="s">
        <v>202</v>
      </c>
      <c r="C43" s="71" t="s">
        <v>203</v>
      </c>
      <c r="D43" s="112" t="s">
        <v>1269</v>
      </c>
      <c r="E43" s="67" t="s">
        <v>963</v>
      </c>
      <c r="F43" s="70" t="s">
        <v>49</v>
      </c>
      <c r="G43" s="71" t="s">
        <v>162</v>
      </c>
      <c r="H43" s="71"/>
      <c r="I43" s="72" t="s">
        <v>162</v>
      </c>
      <c r="J43" s="73" t="s">
        <v>988</v>
      </c>
      <c r="K43" s="72" t="s">
        <v>1009</v>
      </c>
      <c r="L43" s="72" t="s">
        <v>1266</v>
      </c>
      <c r="M43" s="71" t="s">
        <v>1261</v>
      </c>
      <c r="N43" s="75">
        <v>2024.0</v>
      </c>
      <c r="O43" s="71" t="s">
        <v>1270</v>
      </c>
      <c r="P43" s="71" t="s">
        <v>972</v>
      </c>
      <c r="Q43" s="71" t="s">
        <v>972</v>
      </c>
      <c r="R43" s="67" t="s">
        <v>1012</v>
      </c>
      <c r="S43" s="26" t="s">
        <v>1055</v>
      </c>
      <c r="T43" s="26" t="s">
        <v>1043</v>
      </c>
      <c r="V43" s="39" t="s">
        <v>1271</v>
      </c>
      <c r="W43" s="76" t="s">
        <v>931</v>
      </c>
    </row>
    <row r="44">
      <c r="A44" s="71" t="s">
        <v>181</v>
      </c>
      <c r="B44" s="71" t="s">
        <v>210</v>
      </c>
      <c r="C44" s="71" t="s">
        <v>211</v>
      </c>
      <c r="D44" s="113" t="s">
        <v>1272</v>
      </c>
      <c r="E44" s="67" t="s">
        <v>963</v>
      </c>
      <c r="F44" s="70" t="s">
        <v>49</v>
      </c>
      <c r="G44" s="71" t="s">
        <v>1273</v>
      </c>
      <c r="H44" s="72" t="s">
        <v>966</v>
      </c>
      <c r="I44" s="72" t="s">
        <v>162</v>
      </c>
      <c r="J44" s="81" t="s">
        <v>1274</v>
      </c>
      <c r="K44" s="72" t="s">
        <v>1009</v>
      </c>
      <c r="L44" s="72" t="s">
        <v>1275</v>
      </c>
      <c r="M44" s="71" t="s">
        <v>1099</v>
      </c>
      <c r="N44" s="75">
        <v>2024.0</v>
      </c>
      <c r="O44" s="71" t="s">
        <v>992</v>
      </c>
      <c r="P44" s="71" t="s">
        <v>972</v>
      </c>
      <c r="Q44" s="71" t="s">
        <v>972</v>
      </c>
      <c r="R44" s="67" t="s">
        <v>993</v>
      </c>
      <c r="S44" s="26" t="s">
        <v>1055</v>
      </c>
      <c r="T44" s="26" t="s">
        <v>1276</v>
      </c>
      <c r="V44" s="39" t="s">
        <v>1277</v>
      </c>
      <c r="W44" s="76" t="s">
        <v>931</v>
      </c>
    </row>
    <row r="45">
      <c r="A45" s="71" t="s">
        <v>181</v>
      </c>
      <c r="B45" s="71" t="s">
        <v>218</v>
      </c>
      <c r="C45" s="71" t="s">
        <v>219</v>
      </c>
      <c r="D45" s="113" t="s">
        <v>1278</v>
      </c>
      <c r="E45" s="67" t="s">
        <v>963</v>
      </c>
      <c r="F45" s="70" t="s">
        <v>49</v>
      </c>
      <c r="G45" s="71" t="s">
        <v>1273</v>
      </c>
      <c r="H45" s="72" t="s">
        <v>966</v>
      </c>
      <c r="I45" s="72" t="s">
        <v>162</v>
      </c>
      <c r="J45" s="81" t="s">
        <v>1279</v>
      </c>
      <c r="K45" s="72" t="s">
        <v>1009</v>
      </c>
      <c r="L45" s="72" t="s">
        <v>1280</v>
      </c>
      <c r="M45" s="71" t="s">
        <v>1027</v>
      </c>
      <c r="N45" s="75">
        <v>2024.0</v>
      </c>
      <c r="O45" s="71" t="s">
        <v>992</v>
      </c>
      <c r="P45" s="71" t="s">
        <v>972</v>
      </c>
      <c r="Q45" s="71" t="s">
        <v>972</v>
      </c>
      <c r="R45" s="67" t="s">
        <v>1281</v>
      </c>
      <c r="S45" s="26" t="s">
        <v>1055</v>
      </c>
      <c r="T45" s="26" t="s">
        <v>1043</v>
      </c>
      <c r="V45" s="39" t="s">
        <v>1282</v>
      </c>
      <c r="W45" s="76" t="s">
        <v>931</v>
      </c>
    </row>
    <row r="46">
      <c r="A46" s="71" t="s">
        <v>181</v>
      </c>
      <c r="B46" s="71" t="s">
        <v>222</v>
      </c>
      <c r="C46" s="71" t="s">
        <v>223</v>
      </c>
      <c r="D46" s="113" t="s">
        <v>1283</v>
      </c>
      <c r="E46" s="67" t="s">
        <v>963</v>
      </c>
      <c r="F46" s="70" t="s">
        <v>49</v>
      </c>
      <c r="G46" s="71" t="s">
        <v>162</v>
      </c>
      <c r="H46" s="71"/>
      <c r="I46" s="70" t="s">
        <v>162</v>
      </c>
      <c r="J46" s="73" t="s">
        <v>988</v>
      </c>
      <c r="K46" s="72" t="s">
        <v>1009</v>
      </c>
      <c r="L46" s="72" t="s">
        <v>1284</v>
      </c>
      <c r="M46" s="71" t="s">
        <v>1027</v>
      </c>
      <c r="N46" s="75">
        <v>2024.0</v>
      </c>
      <c r="O46" s="71" t="s">
        <v>992</v>
      </c>
      <c r="P46" s="71" t="s">
        <v>1285</v>
      </c>
      <c r="Q46" s="71" t="s">
        <v>1082</v>
      </c>
      <c r="R46" s="67" t="s">
        <v>963</v>
      </c>
      <c r="S46" s="26" t="s">
        <v>983</v>
      </c>
      <c r="T46" s="26" t="s">
        <v>1286</v>
      </c>
      <c r="V46" s="39" t="s">
        <v>1287</v>
      </c>
      <c r="W46" s="76" t="s">
        <v>1032</v>
      </c>
    </row>
    <row r="47">
      <c r="A47" s="71" t="s">
        <v>181</v>
      </c>
      <c r="B47" s="71" t="s">
        <v>225</v>
      </c>
      <c r="C47" s="71" t="s">
        <v>226</v>
      </c>
      <c r="D47" s="112" t="s">
        <v>1288</v>
      </c>
      <c r="E47" s="67" t="s">
        <v>963</v>
      </c>
      <c r="F47" s="70" t="s">
        <v>49</v>
      </c>
      <c r="G47" s="71" t="s">
        <v>987</v>
      </c>
      <c r="H47" s="71"/>
      <c r="I47" s="72" t="s">
        <v>162</v>
      </c>
      <c r="J47" s="73" t="s">
        <v>1017</v>
      </c>
      <c r="K47" s="72" t="s">
        <v>1009</v>
      </c>
      <c r="L47" s="72" t="s">
        <v>1289</v>
      </c>
      <c r="M47" s="71" t="s">
        <v>1027</v>
      </c>
      <c r="N47" s="75">
        <v>2024.0</v>
      </c>
      <c r="O47" s="71" t="s">
        <v>992</v>
      </c>
      <c r="P47" s="71" t="s">
        <v>972</v>
      </c>
      <c r="Q47" s="71" t="s">
        <v>972</v>
      </c>
      <c r="R47" s="67" t="s">
        <v>1130</v>
      </c>
      <c r="S47" s="26" t="s">
        <v>1290</v>
      </c>
      <c r="T47" s="26" t="s">
        <v>1291</v>
      </c>
      <c r="V47" s="39" t="s">
        <v>1292</v>
      </c>
      <c r="W47" s="76" t="s">
        <v>931</v>
      </c>
    </row>
    <row r="48">
      <c r="A48" s="71" t="s">
        <v>181</v>
      </c>
      <c r="B48" s="71" t="s">
        <v>229</v>
      </c>
      <c r="C48" s="71" t="s">
        <v>230</v>
      </c>
      <c r="D48" s="113" t="s">
        <v>1293</v>
      </c>
      <c r="E48" s="67" t="s">
        <v>963</v>
      </c>
      <c r="F48" s="70" t="s">
        <v>49</v>
      </c>
      <c r="G48" s="71" t="s">
        <v>1294</v>
      </c>
      <c r="H48" s="72" t="s">
        <v>966</v>
      </c>
      <c r="I48" s="72" t="s">
        <v>162</v>
      </c>
      <c r="J48" s="81" t="s">
        <v>1295</v>
      </c>
      <c r="K48" s="72" t="s">
        <v>1009</v>
      </c>
      <c r="L48" s="72" t="s">
        <v>1296</v>
      </c>
      <c r="M48" s="71" t="s">
        <v>1027</v>
      </c>
      <c r="N48" s="75">
        <v>2024.0</v>
      </c>
      <c r="O48" s="71" t="s">
        <v>992</v>
      </c>
      <c r="P48" s="71" t="s">
        <v>972</v>
      </c>
      <c r="Q48" s="71" t="s">
        <v>972</v>
      </c>
      <c r="R48" s="67" t="s">
        <v>1281</v>
      </c>
      <c r="S48" s="26" t="s">
        <v>1055</v>
      </c>
      <c r="T48" s="26" t="s">
        <v>1297</v>
      </c>
      <c r="V48" s="39" t="s">
        <v>1298</v>
      </c>
      <c r="W48" s="76" t="s">
        <v>931</v>
      </c>
    </row>
    <row r="49">
      <c r="A49" s="71" t="s">
        <v>181</v>
      </c>
      <c r="B49" s="71" t="s">
        <v>234</v>
      </c>
      <c r="C49" s="71" t="s">
        <v>235</v>
      </c>
      <c r="D49" s="113" t="s">
        <v>1299</v>
      </c>
      <c r="E49" s="67" t="s">
        <v>963</v>
      </c>
      <c r="F49" s="70" t="s">
        <v>49</v>
      </c>
      <c r="G49" s="71" t="s">
        <v>162</v>
      </c>
      <c r="H49" s="71"/>
      <c r="I49" s="70" t="s">
        <v>162</v>
      </c>
      <c r="J49" s="73" t="s">
        <v>988</v>
      </c>
      <c r="K49" s="72" t="s">
        <v>1009</v>
      </c>
      <c r="L49" s="72" t="s">
        <v>1300</v>
      </c>
      <c r="M49" s="71" t="s">
        <v>1027</v>
      </c>
      <c r="N49" s="75">
        <v>2024.0</v>
      </c>
      <c r="O49" s="71" t="s">
        <v>971</v>
      </c>
      <c r="P49" s="71" t="s">
        <v>972</v>
      </c>
      <c r="Q49" s="71" t="s">
        <v>972</v>
      </c>
      <c r="R49" s="67" t="s">
        <v>1281</v>
      </c>
      <c r="S49" s="26" t="s">
        <v>1301</v>
      </c>
      <c r="T49" s="26" t="s">
        <v>1302</v>
      </c>
      <c r="V49" s="39" t="s">
        <v>1303</v>
      </c>
      <c r="W49" s="76" t="s">
        <v>931</v>
      </c>
    </row>
    <row r="50">
      <c r="A50" s="71" t="s">
        <v>181</v>
      </c>
      <c r="B50" s="71" t="s">
        <v>238</v>
      </c>
      <c r="C50" s="71" t="s">
        <v>239</v>
      </c>
      <c r="D50" s="112" t="s">
        <v>1304</v>
      </c>
      <c r="E50" s="67" t="s">
        <v>963</v>
      </c>
      <c r="F50" s="70" t="s">
        <v>49</v>
      </c>
      <c r="G50" s="71" t="s">
        <v>1294</v>
      </c>
      <c r="H50" s="72" t="s">
        <v>966</v>
      </c>
      <c r="I50" s="70" t="s">
        <v>162</v>
      </c>
      <c r="J50" s="81" t="s">
        <v>1305</v>
      </c>
      <c r="K50" s="72" t="s">
        <v>1009</v>
      </c>
      <c r="L50" s="72" t="s">
        <v>1306</v>
      </c>
      <c r="M50" s="71" t="s">
        <v>1019</v>
      </c>
      <c r="N50" s="75">
        <v>2024.0</v>
      </c>
      <c r="O50" s="71" t="s">
        <v>992</v>
      </c>
      <c r="P50" s="71" t="s">
        <v>972</v>
      </c>
      <c r="Q50" s="71" t="s">
        <v>972</v>
      </c>
      <c r="R50" s="67" t="s">
        <v>1307</v>
      </c>
      <c r="S50" s="26" t="s">
        <v>1055</v>
      </c>
      <c r="T50" s="26" t="s">
        <v>1276</v>
      </c>
      <c r="V50" s="39" t="s">
        <v>1308</v>
      </c>
      <c r="W50" s="76" t="s">
        <v>931</v>
      </c>
    </row>
    <row r="51">
      <c r="A51" s="71" t="s">
        <v>181</v>
      </c>
      <c r="B51" s="71" t="s">
        <v>240</v>
      </c>
      <c r="C51" s="71" t="s">
        <v>241</v>
      </c>
      <c r="D51" s="113" t="s">
        <v>1309</v>
      </c>
      <c r="E51" s="67" t="s">
        <v>963</v>
      </c>
      <c r="F51" s="70" t="s">
        <v>49</v>
      </c>
      <c r="G51" s="71" t="s">
        <v>1310</v>
      </c>
      <c r="H51" s="71"/>
      <c r="I51" s="70" t="s">
        <v>1039</v>
      </c>
      <c r="J51" s="81" t="s">
        <v>1311</v>
      </c>
      <c r="K51" s="72" t="s">
        <v>1009</v>
      </c>
      <c r="L51" s="72" t="s">
        <v>1312</v>
      </c>
      <c r="M51" s="71" t="s">
        <v>1027</v>
      </c>
      <c r="N51" s="75">
        <v>2024.0</v>
      </c>
      <c r="O51" s="71" t="s">
        <v>1313</v>
      </c>
      <c r="P51" s="71" t="s">
        <v>972</v>
      </c>
      <c r="Q51" s="71" t="s">
        <v>972</v>
      </c>
      <c r="R51" s="67" t="s">
        <v>1307</v>
      </c>
      <c r="S51" s="26" t="s">
        <v>1055</v>
      </c>
      <c r="T51" s="26" t="s">
        <v>1314</v>
      </c>
      <c r="V51" s="39" t="s">
        <v>1315</v>
      </c>
      <c r="W51" s="76" t="s">
        <v>931</v>
      </c>
    </row>
    <row r="52">
      <c r="A52" s="96" t="s">
        <v>181</v>
      </c>
      <c r="B52" s="96" t="s">
        <v>245</v>
      </c>
      <c r="C52" s="96" t="s">
        <v>246</v>
      </c>
      <c r="D52" s="114" t="s">
        <v>1316</v>
      </c>
      <c r="E52" s="76" t="s">
        <v>963</v>
      </c>
      <c r="F52" s="95" t="s">
        <v>559</v>
      </c>
      <c r="G52" s="96" t="s">
        <v>1273</v>
      </c>
      <c r="H52" s="95" t="s">
        <v>966</v>
      </c>
      <c r="I52" s="115" t="s">
        <v>162</v>
      </c>
      <c r="J52" s="116" t="s">
        <v>1317</v>
      </c>
      <c r="K52" s="95" t="s">
        <v>1009</v>
      </c>
      <c r="L52" s="95" t="s">
        <v>1318</v>
      </c>
      <c r="M52" s="96" t="s">
        <v>1027</v>
      </c>
      <c r="N52" s="99">
        <v>2023.0</v>
      </c>
      <c r="O52" s="96" t="s">
        <v>992</v>
      </c>
      <c r="P52" s="96" t="s">
        <v>972</v>
      </c>
      <c r="Q52" s="96" t="s">
        <v>972</v>
      </c>
      <c r="R52" s="76" t="s">
        <v>1319</v>
      </c>
      <c r="S52" s="117" t="s">
        <v>1055</v>
      </c>
      <c r="T52" s="117" t="s">
        <v>1320</v>
      </c>
      <c r="U52" s="118"/>
      <c r="V52" s="101" t="s">
        <v>1321</v>
      </c>
      <c r="W52" s="76" t="s">
        <v>931</v>
      </c>
      <c r="X52" s="118"/>
      <c r="Y52" s="118"/>
      <c r="Z52" s="118"/>
      <c r="AA52" s="118"/>
      <c r="AB52" s="118"/>
      <c r="AC52" s="118"/>
    </row>
    <row r="53">
      <c r="A53" s="71" t="s">
        <v>181</v>
      </c>
      <c r="B53" s="71" t="s">
        <v>249</v>
      </c>
      <c r="C53" s="71" t="s">
        <v>250</v>
      </c>
      <c r="D53" s="113" t="s">
        <v>1322</v>
      </c>
      <c r="E53" s="67" t="s">
        <v>963</v>
      </c>
      <c r="F53" s="70" t="s">
        <v>49</v>
      </c>
      <c r="G53" s="71" t="s">
        <v>1186</v>
      </c>
      <c r="H53" s="71"/>
      <c r="I53" s="70" t="s">
        <v>162</v>
      </c>
      <c r="J53" s="73" t="s">
        <v>988</v>
      </c>
      <c r="K53" s="74" t="s">
        <v>1146</v>
      </c>
      <c r="L53" s="72" t="s">
        <v>1323</v>
      </c>
      <c r="M53" s="71" t="s">
        <v>1324</v>
      </c>
      <c r="N53" s="75">
        <v>2024.0</v>
      </c>
      <c r="O53" s="71" t="s">
        <v>992</v>
      </c>
      <c r="P53" s="71" t="s">
        <v>972</v>
      </c>
      <c r="Q53" s="71" t="s">
        <v>972</v>
      </c>
      <c r="R53" s="67" t="s">
        <v>1307</v>
      </c>
      <c r="S53" s="26" t="s">
        <v>1055</v>
      </c>
      <c r="T53" s="26" t="s">
        <v>1325</v>
      </c>
      <c r="V53" s="39" t="s">
        <v>1326</v>
      </c>
      <c r="W53" s="76" t="s">
        <v>931</v>
      </c>
    </row>
    <row r="54">
      <c r="A54" s="71" t="s">
        <v>181</v>
      </c>
      <c r="B54" s="71" t="s">
        <v>254</v>
      </c>
      <c r="C54" s="71" t="s">
        <v>255</v>
      </c>
      <c r="D54" s="113" t="s">
        <v>1327</v>
      </c>
      <c r="E54" s="119" t="s">
        <v>963</v>
      </c>
      <c r="F54" s="70" t="s">
        <v>49</v>
      </c>
      <c r="G54" s="71" t="s">
        <v>1113</v>
      </c>
      <c r="H54" s="72" t="s">
        <v>966</v>
      </c>
      <c r="I54" s="70" t="s">
        <v>162</v>
      </c>
      <c r="J54" s="81" t="s">
        <v>1328</v>
      </c>
      <c r="K54" s="72" t="s">
        <v>1009</v>
      </c>
      <c r="L54" s="72" t="s">
        <v>1329</v>
      </c>
      <c r="M54" s="71" t="s">
        <v>1027</v>
      </c>
      <c r="N54" s="75">
        <v>2023.0</v>
      </c>
      <c r="O54" s="71" t="s">
        <v>992</v>
      </c>
      <c r="P54" s="71" t="s">
        <v>972</v>
      </c>
      <c r="Q54" s="71" t="s">
        <v>972</v>
      </c>
      <c r="R54" s="67" t="s">
        <v>1281</v>
      </c>
      <c r="S54" s="26" t="s">
        <v>1055</v>
      </c>
      <c r="T54" s="26" t="s">
        <v>1330</v>
      </c>
      <c r="V54" s="39" t="s">
        <v>1331</v>
      </c>
      <c r="W54" s="76" t="s">
        <v>931</v>
      </c>
    </row>
    <row r="55">
      <c r="A55" s="71" t="s">
        <v>181</v>
      </c>
      <c r="B55" s="71" t="s">
        <v>652</v>
      </c>
      <c r="C55" s="71" t="s">
        <v>653</v>
      </c>
      <c r="D55" s="113" t="s">
        <v>1332</v>
      </c>
      <c r="E55" s="67" t="s">
        <v>963</v>
      </c>
      <c r="F55" s="70" t="s">
        <v>49</v>
      </c>
      <c r="G55" s="71" t="s">
        <v>1113</v>
      </c>
      <c r="H55" s="72" t="s">
        <v>966</v>
      </c>
      <c r="I55" s="70" t="s">
        <v>162</v>
      </c>
      <c r="J55" s="81" t="s">
        <v>1333</v>
      </c>
      <c r="K55" s="74" t="s">
        <v>1334</v>
      </c>
      <c r="L55" s="72" t="s">
        <v>1335</v>
      </c>
      <c r="M55" s="71" t="s">
        <v>1027</v>
      </c>
      <c r="N55" s="75">
        <v>2025.0</v>
      </c>
      <c r="O55" s="71" t="s">
        <v>992</v>
      </c>
      <c r="P55" s="71" t="s">
        <v>972</v>
      </c>
      <c r="Q55" s="71" t="s">
        <v>972</v>
      </c>
      <c r="R55" s="67" t="s">
        <v>1281</v>
      </c>
      <c r="S55" s="26" t="s">
        <v>1055</v>
      </c>
      <c r="T55" s="26" t="s">
        <v>1336</v>
      </c>
      <c r="V55" s="39" t="s">
        <v>1337</v>
      </c>
      <c r="W55" s="76" t="s">
        <v>931</v>
      </c>
    </row>
    <row r="56">
      <c r="A56" s="71" t="s">
        <v>181</v>
      </c>
      <c r="B56" s="71" t="s">
        <v>657</v>
      </c>
      <c r="C56" s="71" t="s">
        <v>658</v>
      </c>
      <c r="D56" s="113" t="s">
        <v>1338</v>
      </c>
      <c r="E56" s="67" t="s">
        <v>963</v>
      </c>
      <c r="F56" s="70" t="s">
        <v>49</v>
      </c>
      <c r="G56" s="71" t="s">
        <v>1039</v>
      </c>
      <c r="H56" s="71"/>
      <c r="I56" s="70" t="s">
        <v>162</v>
      </c>
      <c r="J56" s="73" t="s">
        <v>1040</v>
      </c>
      <c r="K56" s="72" t="s">
        <v>1339</v>
      </c>
      <c r="L56" s="72" t="s">
        <v>1340</v>
      </c>
      <c r="M56" s="71" t="s">
        <v>1341</v>
      </c>
      <c r="N56" s="75">
        <v>2025.0</v>
      </c>
      <c r="O56" s="71" t="s">
        <v>992</v>
      </c>
      <c r="P56" s="71" t="s">
        <v>972</v>
      </c>
      <c r="Q56" s="71" t="s">
        <v>972</v>
      </c>
      <c r="R56" s="67" t="s">
        <v>963</v>
      </c>
      <c r="S56" s="26" t="s">
        <v>1342</v>
      </c>
      <c r="T56" s="26" t="s">
        <v>1343</v>
      </c>
      <c r="V56" s="39" t="s">
        <v>1344</v>
      </c>
      <c r="W56" s="76" t="s">
        <v>931</v>
      </c>
    </row>
    <row r="57">
      <c r="A57" s="71" t="s">
        <v>181</v>
      </c>
      <c r="B57" s="71" t="s">
        <v>663</v>
      </c>
      <c r="C57" s="71" t="s">
        <v>664</v>
      </c>
      <c r="D57" s="113" t="s">
        <v>1345</v>
      </c>
      <c r="E57" s="67" t="s">
        <v>963</v>
      </c>
      <c r="F57" s="70" t="s">
        <v>49</v>
      </c>
      <c r="G57" s="71" t="s">
        <v>162</v>
      </c>
      <c r="H57" s="71"/>
      <c r="I57" s="70" t="s">
        <v>162</v>
      </c>
      <c r="J57" s="73" t="s">
        <v>988</v>
      </c>
      <c r="K57" s="72" t="s">
        <v>1009</v>
      </c>
      <c r="L57" s="72" t="s">
        <v>1346</v>
      </c>
      <c r="M57" s="71" t="s">
        <v>1002</v>
      </c>
      <c r="N57" s="75">
        <v>2025.0</v>
      </c>
      <c r="O57" s="71" t="s">
        <v>971</v>
      </c>
      <c r="P57" s="71" t="s">
        <v>972</v>
      </c>
      <c r="Q57" s="71" t="s">
        <v>972</v>
      </c>
      <c r="R57" s="67" t="s">
        <v>1137</v>
      </c>
      <c r="S57" s="26" t="s">
        <v>983</v>
      </c>
      <c r="T57" s="26" t="s">
        <v>1330</v>
      </c>
      <c r="V57" s="39" t="s">
        <v>1347</v>
      </c>
      <c r="W57" s="76" t="s">
        <v>931</v>
      </c>
    </row>
    <row r="58">
      <c r="A58" s="96" t="s">
        <v>181</v>
      </c>
      <c r="B58" s="96" t="s">
        <v>666</v>
      </c>
      <c r="C58" s="96" t="s">
        <v>667</v>
      </c>
      <c r="D58" s="114" t="s">
        <v>1348</v>
      </c>
      <c r="E58" s="76" t="s">
        <v>963</v>
      </c>
      <c r="F58" s="95" t="s">
        <v>559</v>
      </c>
      <c r="G58" s="96" t="s">
        <v>1264</v>
      </c>
      <c r="H58" s="96"/>
      <c r="I58" s="95" t="s">
        <v>966</v>
      </c>
      <c r="J58" s="97" t="s">
        <v>1204</v>
      </c>
      <c r="K58" s="95" t="s">
        <v>1349</v>
      </c>
      <c r="L58" s="120"/>
      <c r="M58" s="96" t="s">
        <v>1027</v>
      </c>
      <c r="N58" s="99">
        <v>2025.0</v>
      </c>
      <c r="O58" s="96" t="s">
        <v>1003</v>
      </c>
      <c r="P58" s="96" t="s">
        <v>1206</v>
      </c>
      <c r="Q58" s="96" t="s">
        <v>1207</v>
      </c>
      <c r="R58" s="76" t="s">
        <v>963</v>
      </c>
      <c r="S58" s="117" t="s">
        <v>1350</v>
      </c>
      <c r="T58" s="117" t="s">
        <v>1351</v>
      </c>
      <c r="U58" s="118"/>
      <c r="V58" s="101" t="s">
        <v>1352</v>
      </c>
      <c r="W58" s="76" t="s">
        <v>1211</v>
      </c>
      <c r="X58" s="118"/>
      <c r="Y58" s="118"/>
      <c r="Z58" s="118"/>
      <c r="AA58" s="118"/>
      <c r="AB58" s="118"/>
      <c r="AC58" s="118"/>
    </row>
    <row r="59">
      <c r="A59" s="71" t="s">
        <v>181</v>
      </c>
      <c r="B59" s="71" t="s">
        <v>703</v>
      </c>
      <c r="C59" s="71" t="s">
        <v>704</v>
      </c>
      <c r="D59" s="113" t="s">
        <v>1353</v>
      </c>
      <c r="E59" s="67" t="s">
        <v>963</v>
      </c>
      <c r="F59" s="70" t="s">
        <v>49</v>
      </c>
      <c r="G59" s="71" t="s">
        <v>987</v>
      </c>
      <c r="H59" s="72" t="s">
        <v>966</v>
      </c>
      <c r="I59" s="70" t="s">
        <v>162</v>
      </c>
      <c r="J59" s="73" t="s">
        <v>988</v>
      </c>
      <c r="K59" s="72" t="s">
        <v>1009</v>
      </c>
      <c r="L59" s="72" t="s">
        <v>1354</v>
      </c>
      <c r="M59" s="71" t="s">
        <v>1027</v>
      </c>
      <c r="N59" s="75">
        <v>2025.0</v>
      </c>
      <c r="O59" s="71" t="s">
        <v>1355</v>
      </c>
      <c r="P59" s="71" t="s">
        <v>972</v>
      </c>
      <c r="Q59" s="71" t="s">
        <v>972</v>
      </c>
      <c r="R59" s="67" t="s">
        <v>1281</v>
      </c>
      <c r="S59" s="26" t="s">
        <v>1301</v>
      </c>
      <c r="T59" s="26" t="s">
        <v>1356</v>
      </c>
      <c r="V59" s="39" t="s">
        <v>1357</v>
      </c>
      <c r="W59" s="76" t="s">
        <v>931</v>
      </c>
    </row>
    <row r="60">
      <c r="A60" s="71" t="s">
        <v>181</v>
      </c>
      <c r="B60" s="71" t="s">
        <v>709</v>
      </c>
      <c r="C60" s="71" t="s">
        <v>710</v>
      </c>
      <c r="D60" s="113" t="s">
        <v>1358</v>
      </c>
      <c r="E60" s="67" t="s">
        <v>963</v>
      </c>
      <c r="F60" s="70" t="s">
        <v>49</v>
      </c>
      <c r="G60" s="71" t="s">
        <v>1359</v>
      </c>
      <c r="H60" s="72" t="s">
        <v>966</v>
      </c>
      <c r="I60" s="70" t="s">
        <v>162</v>
      </c>
      <c r="J60" s="81" t="s">
        <v>1360</v>
      </c>
      <c r="K60" s="72" t="s">
        <v>1009</v>
      </c>
      <c r="L60" s="72" t="s">
        <v>1361</v>
      </c>
      <c r="M60" s="71" t="s">
        <v>1027</v>
      </c>
      <c r="N60" s="75">
        <v>2025.0</v>
      </c>
      <c r="O60" s="71" t="s">
        <v>980</v>
      </c>
      <c r="P60" s="71" t="s">
        <v>972</v>
      </c>
      <c r="Q60" s="71" t="s">
        <v>972</v>
      </c>
      <c r="R60" s="67" t="s">
        <v>1281</v>
      </c>
      <c r="S60" s="26" t="s">
        <v>1362</v>
      </c>
      <c r="T60" s="26" t="s">
        <v>1049</v>
      </c>
      <c r="V60" s="39" t="s">
        <v>1363</v>
      </c>
      <c r="W60" s="76" t="s">
        <v>931</v>
      </c>
    </row>
    <row r="61">
      <c r="A61" s="71" t="s">
        <v>181</v>
      </c>
      <c r="B61" s="71" t="s">
        <v>801</v>
      </c>
      <c r="C61" s="71" t="s">
        <v>802</v>
      </c>
      <c r="D61" s="113" t="s">
        <v>1364</v>
      </c>
      <c r="E61" s="67" t="s">
        <v>963</v>
      </c>
      <c r="F61" s="70" t="s">
        <v>49</v>
      </c>
      <c r="G61" s="71" t="s">
        <v>1039</v>
      </c>
      <c r="H61" s="71"/>
      <c r="I61" s="70" t="s">
        <v>1039</v>
      </c>
      <c r="J61" s="73" t="s">
        <v>1040</v>
      </c>
      <c r="K61" s="72" t="s">
        <v>1365</v>
      </c>
      <c r="L61" s="72" t="s">
        <v>1366</v>
      </c>
      <c r="M61" s="71" t="s">
        <v>1367</v>
      </c>
      <c r="N61" s="75">
        <v>2025.0</v>
      </c>
      <c r="O61" s="71" t="s">
        <v>1368</v>
      </c>
      <c r="P61" s="71" t="s">
        <v>1091</v>
      </c>
      <c r="Q61" s="71" t="s">
        <v>1021</v>
      </c>
      <c r="R61" s="67" t="s">
        <v>963</v>
      </c>
      <c r="S61" s="26" t="s">
        <v>1369</v>
      </c>
      <c r="T61" s="26" t="s">
        <v>1370</v>
      </c>
      <c r="V61" s="39" t="s">
        <v>1371</v>
      </c>
      <c r="W61" s="76" t="s">
        <v>1032</v>
      </c>
    </row>
    <row r="62">
      <c r="A62" s="71" t="s">
        <v>181</v>
      </c>
      <c r="B62" s="71" t="s">
        <v>804</v>
      </c>
      <c r="C62" s="71" t="s">
        <v>805</v>
      </c>
      <c r="D62" s="113" t="s">
        <v>1372</v>
      </c>
      <c r="E62" s="67" t="s">
        <v>963</v>
      </c>
      <c r="F62" s="70" t="s">
        <v>49</v>
      </c>
      <c r="G62" s="71" t="s">
        <v>987</v>
      </c>
      <c r="H62" s="72" t="s">
        <v>966</v>
      </c>
      <c r="I62" s="70" t="s">
        <v>162</v>
      </c>
      <c r="J62" s="73" t="s">
        <v>988</v>
      </c>
      <c r="K62" s="72" t="s">
        <v>1009</v>
      </c>
      <c r="L62" s="72" t="s">
        <v>1254</v>
      </c>
      <c r="M62" s="71" t="s">
        <v>1027</v>
      </c>
      <c r="N62" s="75">
        <v>2025.0</v>
      </c>
      <c r="O62" s="71" t="s">
        <v>992</v>
      </c>
      <c r="P62" s="71" t="s">
        <v>972</v>
      </c>
      <c r="Q62" s="71" t="s">
        <v>972</v>
      </c>
      <c r="R62" s="67" t="s">
        <v>1373</v>
      </c>
      <c r="S62" s="26" t="s">
        <v>1022</v>
      </c>
      <c r="T62" s="26" t="s">
        <v>1314</v>
      </c>
      <c r="V62" s="39" t="s">
        <v>1374</v>
      </c>
      <c r="W62" s="76" t="s">
        <v>931</v>
      </c>
      <c r="X62" s="26" t="s">
        <v>1375</v>
      </c>
    </row>
    <row r="63">
      <c r="A63" s="71" t="s">
        <v>181</v>
      </c>
      <c r="B63" s="71" t="s">
        <v>807</v>
      </c>
      <c r="C63" s="71" t="s">
        <v>808</v>
      </c>
      <c r="D63" s="113" t="s">
        <v>1376</v>
      </c>
      <c r="E63" s="67" t="s">
        <v>963</v>
      </c>
      <c r="F63" s="70" t="s">
        <v>49</v>
      </c>
      <c r="G63" s="71" t="s">
        <v>1377</v>
      </c>
      <c r="H63" s="72" t="s">
        <v>966</v>
      </c>
      <c r="I63" s="70" t="s">
        <v>162</v>
      </c>
      <c r="J63" s="81" t="s">
        <v>1378</v>
      </c>
      <c r="K63" s="72" t="s">
        <v>1009</v>
      </c>
      <c r="L63" s="72" t="s">
        <v>1379</v>
      </c>
      <c r="M63" s="71" t="s">
        <v>1027</v>
      </c>
      <c r="N63" s="75">
        <v>2025.0</v>
      </c>
      <c r="O63" s="71" t="s">
        <v>1355</v>
      </c>
      <c r="P63" s="71" t="s">
        <v>972</v>
      </c>
      <c r="Q63" s="71" t="s">
        <v>972</v>
      </c>
      <c r="R63" s="67" t="s">
        <v>963</v>
      </c>
      <c r="S63" s="26" t="s">
        <v>1055</v>
      </c>
      <c r="T63" s="26" t="s">
        <v>1356</v>
      </c>
      <c r="V63" s="39" t="s">
        <v>1380</v>
      </c>
      <c r="W63" s="76" t="s">
        <v>931</v>
      </c>
    </row>
    <row r="64">
      <c r="A64" s="71" t="s">
        <v>181</v>
      </c>
      <c r="B64" s="121" t="s">
        <v>1381</v>
      </c>
      <c r="C64" s="121" t="s">
        <v>1382</v>
      </c>
      <c r="D64" s="122" t="s">
        <v>1383</v>
      </c>
      <c r="E64" s="26" t="s">
        <v>1211</v>
      </c>
      <c r="F64" s="70" t="s">
        <v>47</v>
      </c>
      <c r="G64" s="72" t="s">
        <v>1384</v>
      </c>
      <c r="H64" s="72"/>
      <c r="I64" s="72" t="s">
        <v>966</v>
      </c>
      <c r="J64" s="67" t="s">
        <v>1204</v>
      </c>
      <c r="K64" s="123" t="s">
        <v>1009</v>
      </c>
      <c r="L64" s="72" t="s">
        <v>1385</v>
      </c>
      <c r="M64" s="71" t="s">
        <v>1386</v>
      </c>
      <c r="N64" s="75">
        <v>2024.0</v>
      </c>
      <c r="O64" s="71" t="s">
        <v>980</v>
      </c>
      <c r="P64" s="71" t="s">
        <v>1387</v>
      </c>
      <c r="Q64" s="71" t="s">
        <v>982</v>
      </c>
      <c r="R64" s="67" t="s">
        <v>963</v>
      </c>
      <c r="S64" s="26" t="s">
        <v>1388</v>
      </c>
      <c r="T64" s="26" t="s">
        <v>1389</v>
      </c>
      <c r="V64" s="39" t="s">
        <v>1390</v>
      </c>
      <c r="W64" s="76" t="s">
        <v>931</v>
      </c>
    </row>
    <row r="65">
      <c r="A65" s="71" t="s">
        <v>181</v>
      </c>
      <c r="B65" s="121" t="s">
        <v>1391</v>
      </c>
      <c r="C65" s="121" t="s">
        <v>1392</v>
      </c>
      <c r="D65" s="122" t="s">
        <v>1393</v>
      </c>
      <c r="E65" s="26" t="s">
        <v>1211</v>
      </c>
      <c r="F65" s="70" t="s">
        <v>49</v>
      </c>
      <c r="G65" s="72" t="s">
        <v>1078</v>
      </c>
      <c r="H65" s="72" t="s">
        <v>1265</v>
      </c>
      <c r="I65" s="72" t="s">
        <v>162</v>
      </c>
      <c r="J65" s="67" t="s">
        <v>1040</v>
      </c>
      <c r="K65" s="72" t="s">
        <v>1394</v>
      </c>
      <c r="L65" s="72" t="s">
        <v>1395</v>
      </c>
      <c r="M65" s="71" t="s">
        <v>1396</v>
      </c>
      <c r="N65" s="75">
        <v>2024.0</v>
      </c>
      <c r="O65" s="71" t="s">
        <v>992</v>
      </c>
      <c r="P65" s="71" t="s">
        <v>1091</v>
      </c>
      <c r="Q65" s="71" t="s">
        <v>1021</v>
      </c>
      <c r="R65" s="67" t="s">
        <v>963</v>
      </c>
      <c r="S65" s="26" t="s">
        <v>1397</v>
      </c>
      <c r="T65" s="26" t="s">
        <v>1356</v>
      </c>
      <c r="V65" s="39" t="s">
        <v>1398</v>
      </c>
      <c r="W65" s="76" t="s">
        <v>1032</v>
      </c>
      <c r="X65" s="26" t="s">
        <v>1399</v>
      </c>
    </row>
    <row r="66">
      <c r="A66" s="71" t="s">
        <v>181</v>
      </c>
      <c r="B66" s="121" t="s">
        <v>1400</v>
      </c>
      <c r="C66" s="121" t="s">
        <v>1401</v>
      </c>
      <c r="D66" s="122" t="s">
        <v>1402</v>
      </c>
      <c r="E66" s="26" t="s">
        <v>1211</v>
      </c>
      <c r="F66" s="70" t="s">
        <v>49</v>
      </c>
      <c r="G66" s="72" t="s">
        <v>964</v>
      </c>
      <c r="H66" s="72"/>
      <c r="I66" s="72" t="s">
        <v>966</v>
      </c>
      <c r="J66" s="67" t="s">
        <v>1204</v>
      </c>
      <c r="K66" s="74" t="s">
        <v>466</v>
      </c>
      <c r="L66" s="72" t="s">
        <v>1403</v>
      </c>
      <c r="M66" s="71" t="s">
        <v>1019</v>
      </c>
      <c r="N66" s="75">
        <v>2024.0</v>
      </c>
      <c r="O66" s="71" t="s">
        <v>1003</v>
      </c>
      <c r="P66" s="71" t="s">
        <v>972</v>
      </c>
      <c r="Q66" s="71" t="s">
        <v>972</v>
      </c>
      <c r="R66" s="67" t="s">
        <v>963</v>
      </c>
      <c r="S66" s="26" t="s">
        <v>1404</v>
      </c>
      <c r="T66" s="26" t="s">
        <v>1405</v>
      </c>
      <c r="V66" s="39" t="s">
        <v>1406</v>
      </c>
      <c r="W66" s="76" t="s">
        <v>931</v>
      </c>
    </row>
    <row r="67">
      <c r="A67" s="71" t="s">
        <v>181</v>
      </c>
      <c r="B67" s="121" t="s">
        <v>1407</v>
      </c>
      <c r="C67" s="121" t="s">
        <v>1408</v>
      </c>
      <c r="D67" s="122" t="s">
        <v>1409</v>
      </c>
      <c r="E67" s="26" t="s">
        <v>1211</v>
      </c>
      <c r="F67" s="70" t="s">
        <v>49</v>
      </c>
      <c r="G67" s="72" t="s">
        <v>1410</v>
      </c>
      <c r="H67" s="72"/>
      <c r="I67" s="70" t="s">
        <v>162</v>
      </c>
      <c r="J67" s="67" t="s">
        <v>988</v>
      </c>
      <c r="K67" s="123"/>
      <c r="L67" s="123"/>
      <c r="M67" s="71" t="s">
        <v>1027</v>
      </c>
      <c r="N67" s="75">
        <v>2024.0</v>
      </c>
      <c r="O67" s="71" t="s">
        <v>992</v>
      </c>
      <c r="P67" s="71" t="s">
        <v>1020</v>
      </c>
      <c r="Q67" s="71" t="s">
        <v>1021</v>
      </c>
      <c r="R67" s="67" t="s">
        <v>963</v>
      </c>
      <c r="S67" s="26" t="s">
        <v>1411</v>
      </c>
      <c r="T67" s="26" t="s">
        <v>1412</v>
      </c>
      <c r="V67" s="39" t="s">
        <v>1413</v>
      </c>
      <c r="W67" s="76" t="s">
        <v>1032</v>
      </c>
      <c r="X67" s="26" t="s">
        <v>1414</v>
      </c>
    </row>
    <row r="68" ht="15.75" customHeight="1">
      <c r="A68" s="71" t="s">
        <v>181</v>
      </c>
      <c r="B68" s="121" t="s">
        <v>1415</v>
      </c>
      <c r="C68" s="121" t="s">
        <v>1416</v>
      </c>
      <c r="D68" s="122" t="s">
        <v>1417</v>
      </c>
      <c r="E68" s="26" t="s">
        <v>1211</v>
      </c>
      <c r="F68" s="70" t="s">
        <v>49</v>
      </c>
      <c r="G68" s="72" t="s">
        <v>987</v>
      </c>
      <c r="H68" s="72"/>
      <c r="I68" s="72" t="s">
        <v>966</v>
      </c>
      <c r="J68" s="67" t="s">
        <v>988</v>
      </c>
      <c r="K68" s="124" t="s">
        <v>1121</v>
      </c>
      <c r="L68" s="74" t="s">
        <v>1418</v>
      </c>
      <c r="M68" s="71" t="s">
        <v>1027</v>
      </c>
      <c r="N68" s="75">
        <v>2023.0</v>
      </c>
      <c r="O68" s="71" t="s">
        <v>1122</v>
      </c>
      <c r="P68" s="71" t="s">
        <v>972</v>
      </c>
      <c r="Q68" s="71" t="s">
        <v>972</v>
      </c>
      <c r="R68" s="67" t="s">
        <v>963</v>
      </c>
      <c r="S68" s="26" t="s">
        <v>1419</v>
      </c>
      <c r="T68" s="26" t="s">
        <v>1420</v>
      </c>
      <c r="V68" s="39" t="s">
        <v>1421</v>
      </c>
      <c r="W68" s="76" t="s">
        <v>931</v>
      </c>
    </row>
    <row r="69" ht="15.0" customHeight="1">
      <c r="A69" s="71" t="s">
        <v>181</v>
      </c>
      <c r="B69" s="121" t="s">
        <v>1422</v>
      </c>
      <c r="C69" s="121" t="s">
        <v>1423</v>
      </c>
      <c r="D69" s="122" t="s">
        <v>1424</v>
      </c>
      <c r="E69" s="26" t="s">
        <v>1211</v>
      </c>
      <c r="F69" s="70" t="s">
        <v>49</v>
      </c>
      <c r="G69" s="72" t="s">
        <v>987</v>
      </c>
      <c r="H69" s="72"/>
      <c r="I69" s="72" t="s">
        <v>966</v>
      </c>
      <c r="J69" s="67" t="s">
        <v>988</v>
      </c>
      <c r="K69" s="124" t="s">
        <v>1425</v>
      </c>
      <c r="L69" s="79"/>
      <c r="M69" s="71" t="s">
        <v>1426</v>
      </c>
      <c r="N69" s="75">
        <v>2022.0</v>
      </c>
      <c r="O69" s="71" t="s">
        <v>992</v>
      </c>
      <c r="P69" s="71" t="s">
        <v>1020</v>
      </c>
      <c r="Q69" s="71" t="s">
        <v>1021</v>
      </c>
      <c r="R69" s="67" t="s">
        <v>963</v>
      </c>
      <c r="S69" s="26" t="s">
        <v>1427</v>
      </c>
      <c r="T69" s="26" t="s">
        <v>1428</v>
      </c>
      <c r="V69" s="39" t="s">
        <v>1429</v>
      </c>
      <c r="W69" s="76" t="s">
        <v>1032</v>
      </c>
    </row>
    <row r="70">
      <c r="A70" s="125" t="s">
        <v>181</v>
      </c>
      <c r="B70" s="126" t="s">
        <v>1430</v>
      </c>
      <c r="C70" s="126" t="s">
        <v>1431</v>
      </c>
      <c r="D70" s="127" t="s">
        <v>1432</v>
      </c>
      <c r="E70" s="20" t="s">
        <v>1211</v>
      </c>
      <c r="F70" s="128" t="s">
        <v>49</v>
      </c>
      <c r="G70" s="129" t="s">
        <v>1433</v>
      </c>
      <c r="H70" s="129"/>
      <c r="I70" s="129" t="s">
        <v>978</v>
      </c>
      <c r="J70" s="130" t="s">
        <v>1434</v>
      </c>
      <c r="K70" s="131" t="s">
        <v>1435</v>
      </c>
      <c r="L70" s="131" t="s">
        <v>1243</v>
      </c>
      <c r="M70" s="125" t="s">
        <v>1436</v>
      </c>
      <c r="N70" s="132">
        <v>2021.0</v>
      </c>
      <c r="O70" s="125" t="s">
        <v>1437</v>
      </c>
      <c r="P70" s="125" t="s">
        <v>1020</v>
      </c>
      <c r="Q70" s="125" t="s">
        <v>1021</v>
      </c>
      <c r="R70" s="130" t="s">
        <v>963</v>
      </c>
      <c r="S70" s="20" t="s">
        <v>1438</v>
      </c>
      <c r="T70" s="20" t="s">
        <v>1439</v>
      </c>
      <c r="U70" s="16"/>
      <c r="V70" s="133" t="s">
        <v>1440</v>
      </c>
      <c r="W70" s="76" t="s">
        <v>931</v>
      </c>
      <c r="X70" s="16"/>
    </row>
    <row r="71">
      <c r="A71" s="72" t="s">
        <v>347</v>
      </c>
      <c r="B71" s="123" t="s">
        <v>348</v>
      </c>
      <c r="C71" s="123" t="s">
        <v>349</v>
      </c>
      <c r="D71" s="134" t="s">
        <v>1441</v>
      </c>
      <c r="E71" s="70" t="s">
        <v>963</v>
      </c>
      <c r="F71" s="70" t="s">
        <v>49</v>
      </c>
      <c r="G71" s="26" t="s">
        <v>1442</v>
      </c>
      <c r="H71" s="26"/>
      <c r="I71" s="70" t="s">
        <v>162</v>
      </c>
      <c r="J71" s="67" t="s">
        <v>988</v>
      </c>
      <c r="K71" s="74" t="s">
        <v>1009</v>
      </c>
      <c r="L71" s="72" t="s">
        <v>1306</v>
      </c>
      <c r="M71" s="71" t="s">
        <v>1027</v>
      </c>
      <c r="N71" s="75">
        <v>2023.0</v>
      </c>
      <c r="O71" s="71" t="s">
        <v>992</v>
      </c>
      <c r="P71" s="71" t="s">
        <v>972</v>
      </c>
      <c r="Q71" s="71" t="s">
        <v>972</v>
      </c>
      <c r="R71" s="67" t="s">
        <v>1307</v>
      </c>
      <c r="S71" s="26" t="s">
        <v>1438</v>
      </c>
      <c r="T71" s="26" t="s">
        <v>1443</v>
      </c>
      <c r="V71" s="39" t="s">
        <v>1444</v>
      </c>
      <c r="W71" s="76" t="s">
        <v>931</v>
      </c>
    </row>
    <row r="72">
      <c r="A72" s="72" t="s">
        <v>347</v>
      </c>
      <c r="B72" s="123" t="s">
        <v>351</v>
      </c>
      <c r="C72" s="123" t="s">
        <v>352</v>
      </c>
      <c r="D72" s="134" t="s">
        <v>1445</v>
      </c>
      <c r="E72" s="123" t="s">
        <v>963</v>
      </c>
      <c r="F72" s="123" t="s">
        <v>49</v>
      </c>
      <c r="G72" s="26" t="s">
        <v>987</v>
      </c>
      <c r="H72" s="26"/>
      <c r="I72" s="72" t="s">
        <v>966</v>
      </c>
      <c r="J72" s="67" t="s">
        <v>988</v>
      </c>
      <c r="K72" s="74" t="s">
        <v>1146</v>
      </c>
      <c r="L72" s="72" t="s">
        <v>1446</v>
      </c>
      <c r="M72" s="71" t="s">
        <v>970</v>
      </c>
      <c r="N72" s="75">
        <v>2023.0</v>
      </c>
      <c r="O72" s="71" t="s">
        <v>971</v>
      </c>
      <c r="P72" s="71" t="s">
        <v>972</v>
      </c>
      <c r="Q72" s="71" t="s">
        <v>972</v>
      </c>
      <c r="R72" s="67" t="s">
        <v>1281</v>
      </c>
      <c r="S72" s="26" t="s">
        <v>1055</v>
      </c>
      <c r="T72" s="26" t="s">
        <v>1447</v>
      </c>
      <c r="V72" s="39" t="s">
        <v>1448</v>
      </c>
      <c r="W72" s="76" t="s">
        <v>931</v>
      </c>
    </row>
    <row r="73">
      <c r="A73" s="72" t="s">
        <v>347</v>
      </c>
      <c r="B73" s="123" t="s">
        <v>355</v>
      </c>
      <c r="C73" s="123" t="s">
        <v>356</v>
      </c>
      <c r="D73" s="134" t="s">
        <v>1449</v>
      </c>
      <c r="E73" s="123" t="s">
        <v>963</v>
      </c>
      <c r="F73" s="123" t="s">
        <v>49</v>
      </c>
      <c r="G73" s="26" t="s">
        <v>1273</v>
      </c>
      <c r="H73" s="72" t="s">
        <v>966</v>
      </c>
      <c r="I73" s="70" t="s">
        <v>162</v>
      </c>
      <c r="J73" s="69" t="s">
        <v>1450</v>
      </c>
      <c r="K73" s="74" t="s">
        <v>1009</v>
      </c>
      <c r="L73" s="72" t="s">
        <v>1451</v>
      </c>
      <c r="M73" s="71" t="s">
        <v>1452</v>
      </c>
      <c r="N73" s="75">
        <v>2023.0</v>
      </c>
      <c r="O73" s="71" t="s">
        <v>992</v>
      </c>
      <c r="P73" s="71" t="s">
        <v>972</v>
      </c>
      <c r="Q73" s="71" t="s">
        <v>972</v>
      </c>
      <c r="R73" s="67" t="s">
        <v>1130</v>
      </c>
      <c r="S73" s="26" t="s">
        <v>1055</v>
      </c>
      <c r="T73" s="26" t="s">
        <v>1453</v>
      </c>
      <c r="V73" s="39" t="s">
        <v>1454</v>
      </c>
      <c r="W73" s="76" t="s">
        <v>931</v>
      </c>
    </row>
    <row r="74">
      <c r="A74" s="72" t="s">
        <v>347</v>
      </c>
      <c r="B74" s="123" t="s">
        <v>359</v>
      </c>
      <c r="C74" s="123" t="s">
        <v>360</v>
      </c>
      <c r="D74" s="134" t="s">
        <v>1455</v>
      </c>
      <c r="E74" s="123" t="s">
        <v>963</v>
      </c>
      <c r="F74" s="123" t="s">
        <v>49</v>
      </c>
      <c r="G74" s="26" t="s">
        <v>1273</v>
      </c>
      <c r="H74" s="72" t="s">
        <v>966</v>
      </c>
      <c r="I74" s="70" t="s">
        <v>162</v>
      </c>
      <c r="J74" s="69" t="s">
        <v>1456</v>
      </c>
      <c r="K74" s="74" t="s">
        <v>1009</v>
      </c>
      <c r="L74" s="72" t="s">
        <v>1451</v>
      </c>
      <c r="M74" s="71" t="s">
        <v>1457</v>
      </c>
      <c r="N74" s="75">
        <v>2023.0</v>
      </c>
      <c r="O74" s="71" t="s">
        <v>992</v>
      </c>
      <c r="P74" s="71" t="s">
        <v>972</v>
      </c>
      <c r="Q74" s="71" t="s">
        <v>972</v>
      </c>
      <c r="R74" s="67" t="s">
        <v>1458</v>
      </c>
      <c r="S74" s="26" t="s">
        <v>1055</v>
      </c>
      <c r="T74" s="26" t="s">
        <v>1459</v>
      </c>
      <c r="V74" s="39" t="s">
        <v>1460</v>
      </c>
      <c r="W74" s="76" t="s">
        <v>931</v>
      </c>
    </row>
    <row r="75">
      <c r="A75" s="72" t="s">
        <v>347</v>
      </c>
      <c r="B75" s="123" t="s">
        <v>365</v>
      </c>
      <c r="C75" s="123" t="s">
        <v>366</v>
      </c>
      <c r="D75" s="134" t="s">
        <v>1461</v>
      </c>
      <c r="E75" s="123" t="s">
        <v>963</v>
      </c>
      <c r="F75" s="123" t="s">
        <v>49</v>
      </c>
      <c r="G75" s="26" t="s">
        <v>1240</v>
      </c>
      <c r="H75" s="26"/>
      <c r="I75" s="70" t="s">
        <v>1039</v>
      </c>
      <c r="J75" s="67" t="s">
        <v>1040</v>
      </c>
      <c r="K75" s="74" t="s">
        <v>1462</v>
      </c>
      <c r="L75" s="72" t="s">
        <v>1463</v>
      </c>
      <c r="M75" s="71" t="s">
        <v>1027</v>
      </c>
      <c r="N75" s="75">
        <v>2022.0</v>
      </c>
      <c r="O75" s="71" t="s">
        <v>980</v>
      </c>
      <c r="P75" s="71" t="s">
        <v>972</v>
      </c>
      <c r="Q75" s="71" t="s">
        <v>972</v>
      </c>
      <c r="R75" s="67" t="s">
        <v>1130</v>
      </c>
      <c r="S75" s="26" t="s">
        <v>1464</v>
      </c>
      <c r="T75" s="26" t="s">
        <v>1465</v>
      </c>
      <c r="V75" s="39" t="s">
        <v>1466</v>
      </c>
      <c r="W75" s="76" t="s">
        <v>931</v>
      </c>
    </row>
    <row r="76">
      <c r="A76" s="72" t="s">
        <v>347</v>
      </c>
      <c r="B76" s="123" t="s">
        <v>370</v>
      </c>
      <c r="C76" s="72" t="s">
        <v>1467</v>
      </c>
      <c r="D76" s="134" t="s">
        <v>1468</v>
      </c>
      <c r="E76" s="123" t="s">
        <v>963</v>
      </c>
      <c r="F76" s="123" t="s">
        <v>49</v>
      </c>
      <c r="G76" s="26" t="s">
        <v>1469</v>
      </c>
      <c r="H76" s="26"/>
      <c r="I76" s="70" t="s">
        <v>1039</v>
      </c>
      <c r="J76" s="67" t="s">
        <v>1040</v>
      </c>
      <c r="K76" s="74" t="s">
        <v>1146</v>
      </c>
      <c r="L76" s="72" t="s">
        <v>1470</v>
      </c>
      <c r="M76" s="71" t="s">
        <v>1027</v>
      </c>
      <c r="N76" s="75">
        <v>2022.0</v>
      </c>
      <c r="O76" s="71" t="s">
        <v>992</v>
      </c>
      <c r="P76" s="71" t="s">
        <v>1101</v>
      </c>
      <c r="Q76" s="71" t="s">
        <v>1082</v>
      </c>
      <c r="R76" s="67" t="s">
        <v>963</v>
      </c>
      <c r="S76" s="26" t="s">
        <v>1063</v>
      </c>
      <c r="T76" s="26" t="s">
        <v>1471</v>
      </c>
      <c r="V76" s="39" t="s">
        <v>1472</v>
      </c>
      <c r="W76" s="76" t="s">
        <v>1032</v>
      </c>
    </row>
    <row r="77">
      <c r="A77" s="72" t="s">
        <v>347</v>
      </c>
      <c r="B77" s="123" t="s">
        <v>377</v>
      </c>
      <c r="C77" s="123" t="s">
        <v>378</v>
      </c>
      <c r="D77" s="134" t="s">
        <v>1473</v>
      </c>
      <c r="E77" s="123" t="s">
        <v>963</v>
      </c>
      <c r="F77" s="123" t="s">
        <v>49</v>
      </c>
      <c r="G77" s="26" t="s">
        <v>987</v>
      </c>
      <c r="H77" s="72" t="s">
        <v>966</v>
      </c>
      <c r="I77" s="70" t="s">
        <v>162</v>
      </c>
      <c r="J77" s="67" t="s">
        <v>988</v>
      </c>
      <c r="K77" s="74" t="s">
        <v>1009</v>
      </c>
      <c r="L77" s="74" t="s">
        <v>1474</v>
      </c>
      <c r="M77" s="71" t="s">
        <v>1027</v>
      </c>
      <c r="N77" s="75">
        <v>2022.0</v>
      </c>
      <c r="O77" s="71" t="s">
        <v>992</v>
      </c>
      <c r="P77" s="71" t="s">
        <v>972</v>
      </c>
      <c r="Q77" s="71" t="s">
        <v>972</v>
      </c>
      <c r="R77" s="67" t="s">
        <v>1475</v>
      </c>
      <c r="S77" s="26" t="s">
        <v>1476</v>
      </c>
      <c r="T77" s="26" t="s">
        <v>1477</v>
      </c>
      <c r="V77" s="39" t="s">
        <v>1478</v>
      </c>
      <c r="W77" s="76" t="s">
        <v>931</v>
      </c>
      <c r="X77" s="26" t="s">
        <v>1479</v>
      </c>
    </row>
    <row r="78">
      <c r="A78" s="72" t="s">
        <v>347</v>
      </c>
      <c r="B78" s="123" t="s">
        <v>381</v>
      </c>
      <c r="C78" s="123" t="s">
        <v>382</v>
      </c>
      <c r="D78" s="134" t="s">
        <v>1480</v>
      </c>
      <c r="E78" s="123" t="s">
        <v>963</v>
      </c>
      <c r="F78" s="123" t="s">
        <v>49</v>
      </c>
      <c r="G78" s="26" t="s">
        <v>1078</v>
      </c>
      <c r="H78" s="26"/>
      <c r="I78" s="70" t="s">
        <v>162</v>
      </c>
      <c r="J78" s="67" t="s">
        <v>988</v>
      </c>
      <c r="K78" s="74" t="s">
        <v>1009</v>
      </c>
      <c r="L78" s="72" t="s">
        <v>1481</v>
      </c>
      <c r="M78" s="71" t="s">
        <v>1027</v>
      </c>
      <c r="N78" s="75">
        <v>2022.0</v>
      </c>
      <c r="O78" s="71" t="s">
        <v>1003</v>
      </c>
      <c r="P78" s="71" t="s">
        <v>972</v>
      </c>
      <c r="Q78" s="71" t="s">
        <v>972</v>
      </c>
      <c r="R78" s="67" t="s">
        <v>1482</v>
      </c>
      <c r="S78" s="26" t="s">
        <v>1055</v>
      </c>
      <c r="T78" s="26" t="s">
        <v>1483</v>
      </c>
      <c r="V78" s="39" t="s">
        <v>1484</v>
      </c>
      <c r="W78" s="76" t="s">
        <v>931</v>
      </c>
    </row>
    <row r="79">
      <c r="A79" s="72" t="s">
        <v>347</v>
      </c>
      <c r="B79" s="123" t="s">
        <v>386</v>
      </c>
      <c r="C79" s="123" t="s">
        <v>387</v>
      </c>
      <c r="D79" s="134" t="s">
        <v>1485</v>
      </c>
      <c r="E79" s="123" t="s">
        <v>963</v>
      </c>
      <c r="F79" s="123" t="s">
        <v>49</v>
      </c>
      <c r="G79" s="26" t="s">
        <v>1486</v>
      </c>
      <c r="H79" s="26"/>
      <c r="I79" s="70" t="s">
        <v>162</v>
      </c>
      <c r="J79" s="135" t="s">
        <v>1487</v>
      </c>
      <c r="K79" s="74" t="s">
        <v>1488</v>
      </c>
      <c r="L79" s="72" t="s">
        <v>1489</v>
      </c>
      <c r="M79" s="71" t="s">
        <v>1027</v>
      </c>
      <c r="N79" s="75">
        <v>2022.0</v>
      </c>
      <c r="O79" s="71" t="s">
        <v>992</v>
      </c>
      <c r="P79" s="71" t="s">
        <v>972</v>
      </c>
      <c r="Q79" s="71" t="s">
        <v>972</v>
      </c>
      <c r="R79" s="67" t="s">
        <v>1281</v>
      </c>
      <c r="S79" s="26" t="s">
        <v>1055</v>
      </c>
      <c r="T79" s="26" t="s">
        <v>1490</v>
      </c>
      <c r="V79" s="39" t="s">
        <v>1491</v>
      </c>
      <c r="W79" s="76" t="s">
        <v>931</v>
      </c>
      <c r="X79" s="26" t="s">
        <v>1492</v>
      </c>
    </row>
    <row r="80">
      <c r="A80" s="72" t="s">
        <v>347</v>
      </c>
      <c r="B80" s="123" t="s">
        <v>390</v>
      </c>
      <c r="C80" s="123" t="s">
        <v>391</v>
      </c>
      <c r="D80" s="134" t="s">
        <v>1493</v>
      </c>
      <c r="E80" s="123" t="s">
        <v>963</v>
      </c>
      <c r="F80" s="123" t="s">
        <v>49</v>
      </c>
      <c r="G80" s="26" t="s">
        <v>1410</v>
      </c>
      <c r="H80" s="26"/>
      <c r="I80" s="70" t="s">
        <v>162</v>
      </c>
      <c r="J80" s="67" t="s">
        <v>988</v>
      </c>
      <c r="K80" s="74" t="s">
        <v>1034</v>
      </c>
      <c r="L80" s="72" t="s">
        <v>1494</v>
      </c>
      <c r="M80" s="71" t="s">
        <v>991</v>
      </c>
      <c r="N80" s="75">
        <v>2022.0</v>
      </c>
      <c r="O80" s="71" t="s">
        <v>992</v>
      </c>
      <c r="P80" s="71" t="s">
        <v>972</v>
      </c>
      <c r="Q80" s="71" t="s">
        <v>972</v>
      </c>
      <c r="R80" s="67" t="s">
        <v>1482</v>
      </c>
      <c r="S80" s="26" t="s">
        <v>1495</v>
      </c>
      <c r="T80" s="26" t="s">
        <v>1496</v>
      </c>
      <c r="V80" s="39" t="s">
        <v>1497</v>
      </c>
      <c r="W80" s="76" t="s">
        <v>931</v>
      </c>
      <c r="X80" s="26" t="s">
        <v>1498</v>
      </c>
    </row>
    <row r="81">
      <c r="A81" s="95" t="s">
        <v>347</v>
      </c>
      <c r="B81" s="98" t="s">
        <v>394</v>
      </c>
      <c r="C81" s="98" t="s">
        <v>395</v>
      </c>
      <c r="D81" s="136" t="s">
        <v>1499</v>
      </c>
      <c r="E81" s="98" t="s">
        <v>963</v>
      </c>
      <c r="F81" s="95" t="s">
        <v>559</v>
      </c>
      <c r="G81" s="117" t="s">
        <v>1500</v>
      </c>
      <c r="H81" s="117"/>
      <c r="I81" s="115" t="s">
        <v>162</v>
      </c>
      <c r="J81" s="76" t="s">
        <v>1068</v>
      </c>
      <c r="K81" s="137" t="s">
        <v>1501</v>
      </c>
      <c r="L81" s="95" t="s">
        <v>1502</v>
      </c>
      <c r="M81" s="96" t="s">
        <v>1173</v>
      </c>
      <c r="N81" s="99">
        <v>2022.0</v>
      </c>
      <c r="O81" s="96" t="s">
        <v>1503</v>
      </c>
      <c r="P81" s="96" t="s">
        <v>1504</v>
      </c>
      <c r="Q81" s="96" t="s">
        <v>982</v>
      </c>
      <c r="R81" s="76" t="s">
        <v>963</v>
      </c>
      <c r="S81" s="117" t="s">
        <v>1063</v>
      </c>
      <c r="T81" s="117" t="s">
        <v>1505</v>
      </c>
      <c r="U81" s="118"/>
      <c r="V81" s="101" t="s">
        <v>1506</v>
      </c>
      <c r="W81" s="76" t="s">
        <v>1211</v>
      </c>
      <c r="X81" s="118"/>
      <c r="Y81" s="118"/>
      <c r="Z81" s="118"/>
      <c r="AA81" s="118"/>
      <c r="AB81" s="118"/>
      <c r="AC81" s="118"/>
    </row>
    <row r="82">
      <c r="A82" s="72" t="s">
        <v>347</v>
      </c>
      <c r="B82" s="123" t="s">
        <v>399</v>
      </c>
      <c r="C82" s="123" t="s">
        <v>400</v>
      </c>
      <c r="D82" s="134" t="s">
        <v>1507</v>
      </c>
      <c r="E82" s="123" t="s">
        <v>963</v>
      </c>
      <c r="F82" s="123" t="s">
        <v>49</v>
      </c>
      <c r="G82" s="26" t="s">
        <v>1039</v>
      </c>
      <c r="H82" s="26"/>
      <c r="I82" s="72" t="s">
        <v>966</v>
      </c>
      <c r="J82" s="138" t="s">
        <v>1508</v>
      </c>
      <c r="K82" s="74" t="s">
        <v>1509</v>
      </c>
      <c r="L82" s="72" t="s">
        <v>1510</v>
      </c>
      <c r="M82" s="71" t="s">
        <v>1027</v>
      </c>
      <c r="N82" s="75">
        <v>2022.0</v>
      </c>
      <c r="O82" s="71" t="s">
        <v>992</v>
      </c>
      <c r="P82" s="71" t="s">
        <v>1028</v>
      </c>
      <c r="Q82" s="71" t="s">
        <v>1029</v>
      </c>
      <c r="R82" s="67" t="s">
        <v>963</v>
      </c>
      <c r="S82" s="26" t="s">
        <v>1511</v>
      </c>
      <c r="T82" s="26" t="s">
        <v>1512</v>
      </c>
      <c r="V82" s="39" t="s">
        <v>1513</v>
      </c>
      <c r="W82" s="76" t="s">
        <v>931</v>
      </c>
    </row>
    <row r="83">
      <c r="A83" s="72" t="s">
        <v>347</v>
      </c>
      <c r="B83" s="123" t="s">
        <v>404</v>
      </c>
      <c r="C83" s="123" t="s">
        <v>405</v>
      </c>
      <c r="D83" s="134" t="s">
        <v>1514</v>
      </c>
      <c r="E83" s="123" t="s">
        <v>963</v>
      </c>
      <c r="F83" s="123" t="s">
        <v>49</v>
      </c>
      <c r="G83" s="26" t="s">
        <v>998</v>
      </c>
      <c r="H83" s="26"/>
      <c r="I83" s="70" t="s">
        <v>162</v>
      </c>
      <c r="J83" s="121" t="s">
        <v>1515</v>
      </c>
      <c r="K83" s="74" t="s">
        <v>1009</v>
      </c>
      <c r="L83" s="72" t="s">
        <v>1516</v>
      </c>
      <c r="M83" s="71" t="s">
        <v>1517</v>
      </c>
      <c r="N83" s="75">
        <v>2022.0</v>
      </c>
      <c r="O83" s="71" t="s">
        <v>971</v>
      </c>
      <c r="P83" s="71" t="s">
        <v>972</v>
      </c>
      <c r="Q83" s="71" t="s">
        <v>972</v>
      </c>
      <c r="R83" s="67" t="s">
        <v>1130</v>
      </c>
      <c r="S83" s="26" t="s">
        <v>1063</v>
      </c>
      <c r="T83" s="26" t="s">
        <v>1518</v>
      </c>
      <c r="V83" s="39" t="s">
        <v>1519</v>
      </c>
      <c r="W83" s="76" t="s">
        <v>931</v>
      </c>
    </row>
    <row r="84">
      <c r="A84" s="72" t="s">
        <v>347</v>
      </c>
      <c r="B84" s="123" t="s">
        <v>411</v>
      </c>
      <c r="C84" s="123" t="s">
        <v>412</v>
      </c>
      <c r="D84" s="139" t="s">
        <v>1520</v>
      </c>
      <c r="E84" s="123" t="s">
        <v>963</v>
      </c>
      <c r="F84" s="123" t="s">
        <v>49</v>
      </c>
      <c r="G84" s="26" t="s">
        <v>1016</v>
      </c>
      <c r="H84" s="26"/>
      <c r="I84" s="72" t="s">
        <v>966</v>
      </c>
      <c r="J84" s="121" t="s">
        <v>1515</v>
      </c>
      <c r="K84" s="74" t="s">
        <v>1334</v>
      </c>
      <c r="L84" s="72" t="s">
        <v>1300</v>
      </c>
      <c r="M84" s="71" t="s">
        <v>1027</v>
      </c>
      <c r="N84" s="75">
        <v>2022.0</v>
      </c>
      <c r="O84" s="71" t="s">
        <v>992</v>
      </c>
      <c r="P84" s="71" t="s">
        <v>972</v>
      </c>
      <c r="Q84" s="71" t="s">
        <v>972</v>
      </c>
      <c r="R84" s="67" t="s">
        <v>1137</v>
      </c>
      <c r="S84" s="26" t="s">
        <v>1521</v>
      </c>
      <c r="T84" s="26" t="s">
        <v>1522</v>
      </c>
      <c r="V84" s="39" t="s">
        <v>1523</v>
      </c>
      <c r="W84" s="76" t="s">
        <v>931</v>
      </c>
    </row>
    <row r="85">
      <c r="A85" s="72" t="s">
        <v>347</v>
      </c>
      <c r="B85" s="123" t="s">
        <v>640</v>
      </c>
      <c r="C85" s="123" t="s">
        <v>641</v>
      </c>
      <c r="D85" s="139" t="s">
        <v>1524</v>
      </c>
      <c r="E85" s="123" t="s">
        <v>963</v>
      </c>
      <c r="F85" s="123" t="s">
        <v>49</v>
      </c>
      <c r="G85" s="26" t="s">
        <v>1525</v>
      </c>
      <c r="H85" s="26"/>
      <c r="I85" s="72" t="s">
        <v>162</v>
      </c>
      <c r="J85" s="135" t="s">
        <v>1526</v>
      </c>
      <c r="K85" s="74" t="s">
        <v>1527</v>
      </c>
      <c r="L85" s="72" t="s">
        <v>1528</v>
      </c>
      <c r="M85" s="71" t="s">
        <v>1027</v>
      </c>
      <c r="N85" s="75">
        <v>2025.0</v>
      </c>
      <c r="O85" s="71" t="s">
        <v>992</v>
      </c>
      <c r="P85" s="71" t="s">
        <v>972</v>
      </c>
      <c r="Q85" s="71" t="s">
        <v>972</v>
      </c>
      <c r="R85" s="67" t="s">
        <v>1281</v>
      </c>
      <c r="S85" s="26" t="s">
        <v>1055</v>
      </c>
      <c r="T85" s="26" t="s">
        <v>1529</v>
      </c>
      <c r="V85" s="39" t="s">
        <v>1530</v>
      </c>
      <c r="W85" s="76" t="s">
        <v>931</v>
      </c>
    </row>
    <row r="86">
      <c r="A86" s="72" t="s">
        <v>347</v>
      </c>
      <c r="B86" s="123" t="s">
        <v>647</v>
      </c>
      <c r="C86" s="123" t="s">
        <v>648</v>
      </c>
      <c r="D86" s="139" t="s">
        <v>1531</v>
      </c>
      <c r="E86" s="123" t="s">
        <v>963</v>
      </c>
      <c r="F86" s="123" t="s">
        <v>49</v>
      </c>
      <c r="G86" s="26" t="s">
        <v>1525</v>
      </c>
      <c r="H86" s="26"/>
      <c r="I86" s="72" t="s">
        <v>162</v>
      </c>
      <c r="J86" s="69" t="s">
        <v>1532</v>
      </c>
      <c r="K86" s="74" t="s">
        <v>1009</v>
      </c>
      <c r="L86" s="72" t="s">
        <v>1533</v>
      </c>
      <c r="M86" s="71" t="s">
        <v>1027</v>
      </c>
      <c r="N86" s="75">
        <v>2025.0</v>
      </c>
      <c r="O86" s="71" t="s">
        <v>992</v>
      </c>
      <c r="P86" s="71" t="s">
        <v>972</v>
      </c>
      <c r="Q86" s="71" t="s">
        <v>972</v>
      </c>
      <c r="R86" s="67" t="s">
        <v>1534</v>
      </c>
      <c r="S86" s="26" t="s">
        <v>1535</v>
      </c>
      <c r="T86" s="26" t="s">
        <v>1536</v>
      </c>
      <c r="V86" s="39" t="s">
        <v>1537</v>
      </c>
      <c r="W86" s="76" t="s">
        <v>931</v>
      </c>
    </row>
    <row r="87">
      <c r="A87" s="72" t="s">
        <v>347</v>
      </c>
      <c r="B87" s="123" t="s">
        <v>649</v>
      </c>
      <c r="C87" s="123" t="s">
        <v>650</v>
      </c>
      <c r="D87" s="139" t="s">
        <v>1538</v>
      </c>
      <c r="E87" s="123" t="s">
        <v>963</v>
      </c>
      <c r="F87" s="123" t="s">
        <v>49</v>
      </c>
      <c r="G87" s="26" t="s">
        <v>162</v>
      </c>
      <c r="H87" s="26"/>
      <c r="I87" s="70" t="s">
        <v>162</v>
      </c>
      <c r="J87" s="67" t="s">
        <v>988</v>
      </c>
      <c r="K87" s="74" t="s">
        <v>1009</v>
      </c>
      <c r="L87" s="72" t="s">
        <v>1539</v>
      </c>
      <c r="M87" s="71" t="s">
        <v>1027</v>
      </c>
      <c r="N87" s="75">
        <v>2025.0</v>
      </c>
      <c r="O87" s="71" t="s">
        <v>1355</v>
      </c>
      <c r="P87" s="71" t="s">
        <v>972</v>
      </c>
      <c r="Q87" s="71" t="s">
        <v>972</v>
      </c>
      <c r="R87" s="67" t="s">
        <v>1137</v>
      </c>
      <c r="S87" s="26" t="s">
        <v>1540</v>
      </c>
      <c r="T87" s="26" t="s">
        <v>1541</v>
      </c>
      <c r="V87" s="39" t="s">
        <v>1542</v>
      </c>
      <c r="W87" s="76" t="s">
        <v>931</v>
      </c>
    </row>
    <row r="88">
      <c r="A88" s="72" t="s">
        <v>347</v>
      </c>
      <c r="B88" s="123" t="s">
        <v>722</v>
      </c>
      <c r="C88" s="123" t="s">
        <v>723</v>
      </c>
      <c r="D88" s="139" t="s">
        <v>1543</v>
      </c>
      <c r="E88" s="123" t="s">
        <v>963</v>
      </c>
      <c r="F88" s="123" t="s">
        <v>49</v>
      </c>
      <c r="G88" s="26" t="s">
        <v>162</v>
      </c>
      <c r="H88" s="26"/>
      <c r="I88" s="70" t="s">
        <v>162</v>
      </c>
      <c r="J88" s="67" t="s">
        <v>988</v>
      </c>
      <c r="K88" s="74" t="s">
        <v>1334</v>
      </c>
      <c r="L88" s="72" t="s">
        <v>1544</v>
      </c>
      <c r="M88" s="71" t="s">
        <v>1027</v>
      </c>
      <c r="N88" s="75">
        <v>2025.0</v>
      </c>
      <c r="O88" s="71" t="s">
        <v>992</v>
      </c>
      <c r="P88" s="71" t="s">
        <v>972</v>
      </c>
      <c r="Q88" s="71" t="s">
        <v>972</v>
      </c>
      <c r="R88" s="67" t="s">
        <v>1137</v>
      </c>
      <c r="S88" s="26" t="s">
        <v>1545</v>
      </c>
      <c r="T88" s="26" t="s">
        <v>1546</v>
      </c>
      <c r="V88" s="39" t="s">
        <v>1547</v>
      </c>
      <c r="W88" s="76" t="s">
        <v>931</v>
      </c>
    </row>
    <row r="89">
      <c r="A89" s="72" t="s">
        <v>347</v>
      </c>
      <c r="B89" s="123" t="s">
        <v>743</v>
      </c>
      <c r="C89" s="123" t="s">
        <v>744</v>
      </c>
      <c r="D89" s="139" t="s">
        <v>1548</v>
      </c>
      <c r="E89" s="123" t="s">
        <v>963</v>
      </c>
      <c r="F89" s="123" t="s">
        <v>49</v>
      </c>
      <c r="G89" s="26" t="s">
        <v>1016</v>
      </c>
      <c r="H89" s="26"/>
      <c r="I89" s="72" t="s">
        <v>966</v>
      </c>
      <c r="J89" s="67" t="s">
        <v>988</v>
      </c>
      <c r="K89" s="74" t="s">
        <v>1549</v>
      </c>
      <c r="L89" s="72" t="s">
        <v>1418</v>
      </c>
      <c r="M89" s="71" t="s">
        <v>1027</v>
      </c>
      <c r="N89" s="75">
        <v>2025.0</v>
      </c>
      <c r="O89" s="71" t="s">
        <v>992</v>
      </c>
      <c r="P89" s="71" t="s">
        <v>972</v>
      </c>
      <c r="Q89" s="71" t="s">
        <v>972</v>
      </c>
      <c r="R89" s="67" t="s">
        <v>1137</v>
      </c>
      <c r="S89" s="26" t="s">
        <v>1550</v>
      </c>
      <c r="T89" s="26" t="s">
        <v>1551</v>
      </c>
      <c r="V89" s="39" t="s">
        <v>1552</v>
      </c>
      <c r="W89" s="76" t="s">
        <v>931</v>
      </c>
    </row>
    <row r="90">
      <c r="A90" s="72" t="s">
        <v>347</v>
      </c>
      <c r="B90" s="123" t="s">
        <v>757</v>
      </c>
      <c r="C90" s="123" t="s">
        <v>758</v>
      </c>
      <c r="D90" s="139" t="s">
        <v>1553</v>
      </c>
      <c r="E90" s="123" t="s">
        <v>963</v>
      </c>
      <c r="F90" s="123" t="s">
        <v>49</v>
      </c>
      <c r="G90" s="26" t="s">
        <v>1273</v>
      </c>
      <c r="H90" s="26"/>
      <c r="I90" s="72" t="s">
        <v>162</v>
      </c>
      <c r="J90" s="69" t="s">
        <v>1554</v>
      </c>
      <c r="K90" s="74" t="s">
        <v>1555</v>
      </c>
      <c r="L90" s="72" t="s">
        <v>1556</v>
      </c>
      <c r="M90" s="71" t="s">
        <v>1027</v>
      </c>
      <c r="N90" s="75">
        <v>2025.0</v>
      </c>
      <c r="O90" s="71" t="s">
        <v>992</v>
      </c>
      <c r="P90" s="71" t="s">
        <v>972</v>
      </c>
      <c r="Q90" s="71" t="s">
        <v>972</v>
      </c>
      <c r="R90" s="67" t="s">
        <v>1137</v>
      </c>
      <c r="S90" s="26" t="s">
        <v>1055</v>
      </c>
      <c r="T90" s="26" t="s">
        <v>1557</v>
      </c>
      <c r="V90" s="39" t="s">
        <v>1558</v>
      </c>
      <c r="W90" s="76" t="s">
        <v>931</v>
      </c>
    </row>
    <row r="91" ht="14.25" customHeight="1">
      <c r="A91" s="95" t="s">
        <v>347</v>
      </c>
      <c r="B91" s="98" t="s">
        <v>1559</v>
      </c>
      <c r="C91" s="98" t="s">
        <v>1560</v>
      </c>
      <c r="D91" s="140" t="s">
        <v>1561</v>
      </c>
      <c r="E91" s="98" t="s">
        <v>931</v>
      </c>
      <c r="F91" s="95" t="s">
        <v>559</v>
      </c>
      <c r="G91" s="117" t="s">
        <v>964</v>
      </c>
      <c r="H91" s="117" t="s">
        <v>1562</v>
      </c>
      <c r="I91" s="141" t="s">
        <v>966</v>
      </c>
      <c r="J91" s="142" t="s">
        <v>1563</v>
      </c>
      <c r="K91" s="137" t="s">
        <v>1564</v>
      </c>
      <c r="L91" s="95" t="s">
        <v>1565</v>
      </c>
      <c r="M91" s="96" t="s">
        <v>1027</v>
      </c>
      <c r="N91" s="99">
        <v>2025.0</v>
      </c>
      <c r="O91" s="96" t="s">
        <v>1270</v>
      </c>
      <c r="P91" s="96" t="s">
        <v>1206</v>
      </c>
      <c r="Q91" s="96" t="s">
        <v>1207</v>
      </c>
      <c r="R91" s="76" t="s">
        <v>963</v>
      </c>
      <c r="S91" s="117" t="s">
        <v>1566</v>
      </c>
      <c r="T91" s="117" t="s">
        <v>1567</v>
      </c>
      <c r="U91" s="118"/>
      <c r="V91" s="101" t="s">
        <v>1568</v>
      </c>
      <c r="W91" s="76" t="s">
        <v>1211</v>
      </c>
      <c r="X91" s="118"/>
      <c r="Y91" s="118"/>
      <c r="Z91" s="118"/>
      <c r="AA91" s="118"/>
      <c r="AB91" s="118"/>
      <c r="AC91" s="118"/>
    </row>
    <row r="92">
      <c r="A92" s="143" t="s">
        <v>269</v>
      </c>
      <c r="B92" s="144" t="s">
        <v>267</v>
      </c>
      <c r="C92" s="144" t="s">
        <v>268</v>
      </c>
      <c r="D92" s="145" t="s">
        <v>1569</v>
      </c>
      <c r="E92" s="146" t="s">
        <v>963</v>
      </c>
      <c r="F92" s="144" t="s">
        <v>49</v>
      </c>
      <c r="G92" s="147" t="s">
        <v>987</v>
      </c>
      <c r="H92" s="147" t="s">
        <v>162</v>
      </c>
      <c r="I92" s="70" t="s">
        <v>162</v>
      </c>
      <c r="J92" s="147" t="s">
        <v>1017</v>
      </c>
      <c r="K92" s="148" t="s">
        <v>1009</v>
      </c>
      <c r="L92" s="148" t="s">
        <v>1570</v>
      </c>
      <c r="M92" s="149" t="s">
        <v>1027</v>
      </c>
      <c r="N92" s="150">
        <v>2024.0</v>
      </c>
      <c r="O92" s="149" t="s">
        <v>1355</v>
      </c>
      <c r="P92" s="149" t="s">
        <v>972</v>
      </c>
      <c r="Q92" s="149" t="s">
        <v>972</v>
      </c>
      <c r="R92" s="151" t="s">
        <v>1137</v>
      </c>
      <c r="S92" s="152" t="s">
        <v>1571</v>
      </c>
      <c r="T92" s="152" t="s">
        <v>1056</v>
      </c>
      <c r="U92" s="153"/>
      <c r="V92" s="154" t="s">
        <v>1572</v>
      </c>
      <c r="W92" s="76" t="s">
        <v>931</v>
      </c>
      <c r="X92" s="153"/>
    </row>
    <row r="93">
      <c r="A93" s="72" t="s">
        <v>269</v>
      </c>
      <c r="B93" s="37" t="s">
        <v>277</v>
      </c>
      <c r="C93" s="37" t="s">
        <v>278</v>
      </c>
      <c r="D93" s="155" t="s">
        <v>1573</v>
      </c>
      <c r="E93" s="39" t="s">
        <v>963</v>
      </c>
      <c r="F93" s="39" t="s">
        <v>49</v>
      </c>
      <c r="G93" s="84" t="s">
        <v>1574</v>
      </c>
      <c r="H93" s="84"/>
      <c r="I93" s="72" t="s">
        <v>966</v>
      </c>
      <c r="J93" s="156" t="s">
        <v>1575</v>
      </c>
      <c r="K93" s="157" t="s">
        <v>1224</v>
      </c>
      <c r="L93" s="157" t="s">
        <v>1576</v>
      </c>
      <c r="M93" s="71" t="s">
        <v>1577</v>
      </c>
      <c r="N93" s="75">
        <v>2024.0</v>
      </c>
      <c r="O93" s="71" t="s">
        <v>992</v>
      </c>
      <c r="P93" s="71" t="s">
        <v>972</v>
      </c>
      <c r="Q93" s="71" t="s">
        <v>972</v>
      </c>
      <c r="R93" s="67" t="s">
        <v>1281</v>
      </c>
      <c r="S93" s="26" t="s">
        <v>1022</v>
      </c>
      <c r="T93" s="26" t="s">
        <v>1276</v>
      </c>
      <c r="V93" s="39" t="s">
        <v>1578</v>
      </c>
      <c r="W93" s="76" t="s">
        <v>931</v>
      </c>
    </row>
    <row r="94">
      <c r="A94" s="95" t="s">
        <v>269</v>
      </c>
      <c r="B94" s="118" t="s">
        <v>285</v>
      </c>
      <c r="C94" s="118" t="s">
        <v>286</v>
      </c>
      <c r="D94" s="158" t="s">
        <v>1579</v>
      </c>
      <c r="E94" s="101" t="s">
        <v>963</v>
      </c>
      <c r="F94" s="101" t="s">
        <v>559</v>
      </c>
      <c r="G94" s="93" t="s">
        <v>1580</v>
      </c>
      <c r="H94" s="93"/>
      <c r="I94" s="115" t="s">
        <v>162</v>
      </c>
      <c r="J94" s="93" t="s">
        <v>1017</v>
      </c>
      <c r="K94" s="159" t="s">
        <v>1581</v>
      </c>
      <c r="L94" s="159" t="s">
        <v>1582</v>
      </c>
      <c r="M94" s="96" t="s">
        <v>1027</v>
      </c>
      <c r="N94" s="99">
        <v>2024.0</v>
      </c>
      <c r="O94" s="96" t="s">
        <v>1583</v>
      </c>
      <c r="P94" s="96" t="s">
        <v>972</v>
      </c>
      <c r="Q94" s="96" t="s">
        <v>972</v>
      </c>
      <c r="R94" s="76" t="s">
        <v>963</v>
      </c>
      <c r="S94" s="117" t="s">
        <v>1584</v>
      </c>
      <c r="T94" s="117" t="s">
        <v>1585</v>
      </c>
      <c r="U94" s="118"/>
      <c r="V94" s="101" t="s">
        <v>1586</v>
      </c>
      <c r="W94" s="76" t="s">
        <v>1211</v>
      </c>
      <c r="X94" s="118"/>
      <c r="Y94" s="118"/>
      <c r="Z94" s="118"/>
      <c r="AA94" s="118"/>
      <c r="AB94" s="118"/>
      <c r="AC94" s="118"/>
    </row>
    <row r="95">
      <c r="A95" s="72" t="s">
        <v>269</v>
      </c>
      <c r="B95" s="37" t="s">
        <v>288</v>
      </c>
      <c r="C95" s="37" t="s">
        <v>289</v>
      </c>
      <c r="D95" s="155" t="s">
        <v>1587</v>
      </c>
      <c r="E95" s="39" t="s">
        <v>963</v>
      </c>
      <c r="F95" s="39" t="s">
        <v>49</v>
      </c>
      <c r="G95" s="84" t="s">
        <v>987</v>
      </c>
      <c r="H95" s="84"/>
      <c r="I95" s="72" t="s">
        <v>162</v>
      </c>
      <c r="J95" s="84" t="s">
        <v>1017</v>
      </c>
      <c r="K95" s="157" t="s">
        <v>1009</v>
      </c>
      <c r="L95" s="157" t="s">
        <v>1588</v>
      </c>
      <c r="M95" s="71" t="s">
        <v>1027</v>
      </c>
      <c r="N95" s="75">
        <v>2024.0</v>
      </c>
      <c r="O95" s="71" t="s">
        <v>992</v>
      </c>
      <c r="P95" s="71" t="s">
        <v>972</v>
      </c>
      <c r="Q95" s="71" t="s">
        <v>972</v>
      </c>
      <c r="R95" s="67" t="s">
        <v>1281</v>
      </c>
      <c r="S95" s="26" t="s">
        <v>994</v>
      </c>
      <c r="T95" s="26" t="s">
        <v>1276</v>
      </c>
      <c r="V95" s="39" t="s">
        <v>1589</v>
      </c>
      <c r="W95" s="76" t="s">
        <v>931</v>
      </c>
    </row>
    <row r="96">
      <c r="A96" s="72" t="s">
        <v>269</v>
      </c>
      <c r="B96" s="37" t="s">
        <v>293</v>
      </c>
      <c r="C96" s="37" t="s">
        <v>294</v>
      </c>
      <c r="D96" s="160" t="s">
        <v>1590</v>
      </c>
      <c r="E96" s="39" t="s">
        <v>963</v>
      </c>
      <c r="F96" s="39" t="s">
        <v>49</v>
      </c>
      <c r="G96" s="67" t="s">
        <v>987</v>
      </c>
      <c r="H96" s="67"/>
      <c r="I96" s="72" t="s">
        <v>162</v>
      </c>
      <c r="J96" s="67" t="s">
        <v>1017</v>
      </c>
      <c r="K96" s="74" t="s">
        <v>1009</v>
      </c>
      <c r="L96" s="74" t="s">
        <v>1588</v>
      </c>
      <c r="M96" s="71" t="s">
        <v>1027</v>
      </c>
      <c r="N96" s="75">
        <v>2024.0</v>
      </c>
      <c r="O96" s="71" t="s">
        <v>992</v>
      </c>
      <c r="P96" s="71" t="s">
        <v>972</v>
      </c>
      <c r="Q96" s="71" t="s">
        <v>972</v>
      </c>
      <c r="R96" s="67" t="s">
        <v>1281</v>
      </c>
      <c r="S96" s="26" t="s">
        <v>1591</v>
      </c>
      <c r="T96" s="26" t="s">
        <v>1276</v>
      </c>
      <c r="V96" s="39" t="s">
        <v>1592</v>
      </c>
      <c r="W96" s="76" t="s">
        <v>931</v>
      </c>
    </row>
    <row r="97">
      <c r="A97" s="72" t="s">
        <v>269</v>
      </c>
      <c r="B97" s="37" t="s">
        <v>297</v>
      </c>
      <c r="C97" s="37" t="s">
        <v>298</v>
      </c>
      <c r="D97" s="160" t="s">
        <v>1593</v>
      </c>
      <c r="E97" s="39" t="s">
        <v>963</v>
      </c>
      <c r="F97" s="37" t="s">
        <v>49</v>
      </c>
      <c r="G97" s="84" t="s">
        <v>998</v>
      </c>
      <c r="H97" s="84"/>
      <c r="I97" s="70" t="s">
        <v>162</v>
      </c>
      <c r="J97" s="84" t="s">
        <v>1017</v>
      </c>
      <c r="K97" s="74" t="s">
        <v>1594</v>
      </c>
      <c r="L97" s="74" t="s">
        <v>1595</v>
      </c>
      <c r="M97" s="71" t="s">
        <v>1367</v>
      </c>
      <c r="N97" s="75">
        <v>2024.0</v>
      </c>
      <c r="O97" s="71" t="s">
        <v>992</v>
      </c>
      <c r="P97" s="71" t="s">
        <v>972</v>
      </c>
      <c r="Q97" s="71" t="s">
        <v>972</v>
      </c>
      <c r="R97" s="67" t="s">
        <v>1307</v>
      </c>
      <c r="S97" s="26" t="s">
        <v>1591</v>
      </c>
      <c r="T97" s="26" t="s">
        <v>1276</v>
      </c>
      <c r="V97" s="39" t="s">
        <v>1596</v>
      </c>
      <c r="W97" s="76" t="s">
        <v>931</v>
      </c>
    </row>
    <row r="98">
      <c r="A98" s="72" t="s">
        <v>269</v>
      </c>
      <c r="B98" s="37" t="s">
        <v>304</v>
      </c>
      <c r="C98" s="37" t="s">
        <v>305</v>
      </c>
      <c r="D98" s="155" t="s">
        <v>1597</v>
      </c>
      <c r="E98" s="39" t="s">
        <v>963</v>
      </c>
      <c r="F98" s="37" t="s">
        <v>49</v>
      </c>
      <c r="G98" s="84" t="s">
        <v>1016</v>
      </c>
      <c r="H98" s="84"/>
      <c r="I98" s="72" t="s">
        <v>162</v>
      </c>
      <c r="J98" s="84" t="s">
        <v>1017</v>
      </c>
      <c r="K98" s="74" t="s">
        <v>1248</v>
      </c>
      <c r="L98" s="74" t="s">
        <v>1598</v>
      </c>
      <c r="M98" s="71" t="s">
        <v>1027</v>
      </c>
      <c r="N98" s="75">
        <v>2024.0</v>
      </c>
      <c r="O98" s="71" t="s">
        <v>992</v>
      </c>
      <c r="P98" s="71" t="s">
        <v>972</v>
      </c>
      <c r="Q98" s="71" t="s">
        <v>972</v>
      </c>
      <c r="R98" s="67" t="s">
        <v>1137</v>
      </c>
      <c r="S98" s="26" t="s">
        <v>1438</v>
      </c>
      <c r="T98" s="26" t="s">
        <v>1276</v>
      </c>
      <c r="V98" s="39" t="s">
        <v>1599</v>
      </c>
      <c r="W98" s="76" t="s">
        <v>931</v>
      </c>
    </row>
    <row r="99">
      <c r="A99" s="72" t="s">
        <v>269</v>
      </c>
      <c r="B99" s="37" t="s">
        <v>308</v>
      </c>
      <c r="C99" s="37" t="s">
        <v>309</v>
      </c>
      <c r="D99" s="155" t="s">
        <v>1600</v>
      </c>
      <c r="E99" s="39" t="s">
        <v>963</v>
      </c>
      <c r="F99" s="37" t="s">
        <v>49</v>
      </c>
      <c r="G99" s="84" t="s">
        <v>987</v>
      </c>
      <c r="H99" s="84" t="s">
        <v>162</v>
      </c>
      <c r="I99" s="72" t="s">
        <v>162</v>
      </c>
      <c r="J99" s="84" t="s">
        <v>1017</v>
      </c>
      <c r="K99" s="74" t="s">
        <v>1009</v>
      </c>
      <c r="L99" s="74" t="s">
        <v>1601</v>
      </c>
      <c r="M99" s="71" t="s">
        <v>1027</v>
      </c>
      <c r="N99" s="75">
        <v>2024.0</v>
      </c>
      <c r="O99" s="71" t="s">
        <v>992</v>
      </c>
      <c r="P99" s="71" t="s">
        <v>972</v>
      </c>
      <c r="Q99" s="71" t="s">
        <v>972</v>
      </c>
      <c r="R99" s="67" t="s">
        <v>1281</v>
      </c>
      <c r="S99" s="26" t="s">
        <v>994</v>
      </c>
      <c r="T99" s="26" t="s">
        <v>1276</v>
      </c>
      <c r="V99" s="39" t="s">
        <v>1602</v>
      </c>
      <c r="W99" s="76" t="s">
        <v>931</v>
      </c>
    </row>
    <row r="100">
      <c r="A100" s="72" t="s">
        <v>269</v>
      </c>
      <c r="B100" s="37" t="s">
        <v>321</v>
      </c>
      <c r="C100" s="37" t="s">
        <v>322</v>
      </c>
      <c r="D100" s="160" t="s">
        <v>1603</v>
      </c>
      <c r="E100" s="39" t="s">
        <v>963</v>
      </c>
      <c r="F100" s="37" t="s">
        <v>49</v>
      </c>
      <c r="G100" s="84" t="s">
        <v>987</v>
      </c>
      <c r="H100" s="84" t="s">
        <v>162</v>
      </c>
      <c r="I100" s="72" t="s">
        <v>162</v>
      </c>
      <c r="J100" s="84" t="s">
        <v>1017</v>
      </c>
      <c r="K100" s="74" t="s">
        <v>1009</v>
      </c>
      <c r="L100" s="74" t="s">
        <v>1604</v>
      </c>
      <c r="M100" s="71" t="s">
        <v>1027</v>
      </c>
      <c r="N100" s="75">
        <v>2024.0</v>
      </c>
      <c r="O100" s="71" t="s">
        <v>992</v>
      </c>
      <c r="P100" s="71" t="s">
        <v>972</v>
      </c>
      <c r="Q100" s="71" t="s">
        <v>972</v>
      </c>
      <c r="R100" s="67" t="s">
        <v>1281</v>
      </c>
      <c r="S100" s="26" t="s">
        <v>994</v>
      </c>
      <c r="T100" s="26" t="s">
        <v>1605</v>
      </c>
      <c r="V100" s="39" t="s">
        <v>1606</v>
      </c>
      <c r="W100" s="76" t="s">
        <v>931</v>
      </c>
    </row>
    <row r="101">
      <c r="A101" s="72" t="s">
        <v>269</v>
      </c>
      <c r="B101" s="37" t="s">
        <v>324</v>
      </c>
      <c r="C101" s="37" t="s">
        <v>325</v>
      </c>
      <c r="D101" s="155" t="s">
        <v>1607</v>
      </c>
      <c r="E101" s="39" t="s">
        <v>963</v>
      </c>
      <c r="F101" s="39" t="s">
        <v>49</v>
      </c>
      <c r="G101" s="84" t="s">
        <v>1608</v>
      </c>
      <c r="H101" s="84"/>
      <c r="I101" s="72" t="s">
        <v>162</v>
      </c>
      <c r="J101" s="161" t="s">
        <v>1609</v>
      </c>
      <c r="K101" s="157" t="s">
        <v>1248</v>
      </c>
      <c r="L101" s="157" t="s">
        <v>1610</v>
      </c>
      <c r="M101" s="71" t="s">
        <v>1027</v>
      </c>
      <c r="N101" s="75">
        <v>2023.0</v>
      </c>
      <c r="O101" s="71" t="s">
        <v>1611</v>
      </c>
      <c r="P101" s="71" t="s">
        <v>972</v>
      </c>
      <c r="Q101" s="71" t="s">
        <v>972</v>
      </c>
      <c r="R101" s="67" t="s">
        <v>1137</v>
      </c>
      <c r="S101" s="26" t="s">
        <v>994</v>
      </c>
      <c r="T101" s="26" t="s">
        <v>1276</v>
      </c>
      <c r="V101" s="39" t="s">
        <v>1612</v>
      </c>
      <c r="W101" s="76" t="s">
        <v>931</v>
      </c>
    </row>
    <row r="102">
      <c r="A102" s="95" t="s">
        <v>269</v>
      </c>
      <c r="B102" s="118" t="s">
        <v>328</v>
      </c>
      <c r="C102" s="118" t="s">
        <v>329</v>
      </c>
      <c r="D102" s="158" t="s">
        <v>1613</v>
      </c>
      <c r="E102" s="101" t="s">
        <v>963</v>
      </c>
      <c r="F102" s="101" t="s">
        <v>559</v>
      </c>
      <c r="G102" s="93" t="s">
        <v>1614</v>
      </c>
      <c r="H102" s="93"/>
      <c r="I102" s="95" t="s">
        <v>162</v>
      </c>
      <c r="J102" s="93" t="s">
        <v>1615</v>
      </c>
      <c r="K102" s="159" t="s">
        <v>1009</v>
      </c>
      <c r="L102" s="159" t="s">
        <v>1616</v>
      </c>
      <c r="M102" s="96" t="s">
        <v>1027</v>
      </c>
      <c r="N102" s="99">
        <v>2023.0</v>
      </c>
      <c r="O102" s="96" t="s">
        <v>1003</v>
      </c>
      <c r="P102" s="96" t="s">
        <v>972</v>
      </c>
      <c r="Q102" s="96" t="s">
        <v>972</v>
      </c>
      <c r="R102" s="76" t="s">
        <v>1319</v>
      </c>
      <c r="S102" s="117" t="s">
        <v>994</v>
      </c>
      <c r="T102" s="117" t="s">
        <v>1276</v>
      </c>
      <c r="U102" s="118"/>
      <c r="V102" s="101" t="s">
        <v>1617</v>
      </c>
      <c r="W102" s="76" t="s">
        <v>931</v>
      </c>
      <c r="X102" s="118"/>
      <c r="Y102" s="118"/>
      <c r="Z102" s="118"/>
      <c r="AA102" s="118"/>
      <c r="AB102" s="118"/>
      <c r="AC102" s="118"/>
    </row>
    <row r="103">
      <c r="A103" s="72" t="s">
        <v>269</v>
      </c>
      <c r="B103" s="37" t="s">
        <v>331</v>
      </c>
      <c r="C103" s="37" t="s">
        <v>332</v>
      </c>
      <c r="D103" s="155" t="s">
        <v>1618</v>
      </c>
      <c r="E103" s="39" t="s">
        <v>963</v>
      </c>
      <c r="F103" s="39" t="s">
        <v>49</v>
      </c>
      <c r="G103" s="84" t="s">
        <v>1273</v>
      </c>
      <c r="H103" s="84"/>
      <c r="I103" s="72" t="s">
        <v>966</v>
      </c>
      <c r="J103" s="156" t="s">
        <v>1619</v>
      </c>
      <c r="K103" s="157" t="s">
        <v>1121</v>
      </c>
      <c r="L103" s="74" t="s">
        <v>1620</v>
      </c>
      <c r="M103" s="71" t="s">
        <v>1027</v>
      </c>
      <c r="N103" s="75">
        <v>2023.0</v>
      </c>
      <c r="O103" s="71" t="s">
        <v>992</v>
      </c>
      <c r="P103" s="71" t="s">
        <v>972</v>
      </c>
      <c r="Q103" s="71" t="s">
        <v>972</v>
      </c>
      <c r="R103" s="67" t="s">
        <v>1281</v>
      </c>
      <c r="S103" s="26" t="s">
        <v>1591</v>
      </c>
      <c r="T103" s="26" t="s">
        <v>1276</v>
      </c>
      <c r="V103" s="39" t="s">
        <v>1621</v>
      </c>
      <c r="W103" s="76" t="s">
        <v>931</v>
      </c>
    </row>
    <row r="104">
      <c r="A104" s="72" t="s">
        <v>269</v>
      </c>
      <c r="B104" s="37" t="s">
        <v>341</v>
      </c>
      <c r="C104" s="37" t="s">
        <v>342</v>
      </c>
      <c r="D104" s="155" t="s">
        <v>1622</v>
      </c>
      <c r="E104" s="39" t="s">
        <v>963</v>
      </c>
      <c r="F104" s="39" t="s">
        <v>49</v>
      </c>
      <c r="G104" s="84" t="s">
        <v>1113</v>
      </c>
      <c r="H104" s="84"/>
      <c r="I104" s="70" t="s">
        <v>162</v>
      </c>
      <c r="J104" s="161" t="s">
        <v>1623</v>
      </c>
      <c r="K104" s="157" t="s">
        <v>1009</v>
      </c>
      <c r="L104" s="157" t="s">
        <v>1624</v>
      </c>
      <c r="M104" s="71" t="s">
        <v>1027</v>
      </c>
      <c r="N104" s="75">
        <v>2023.0</v>
      </c>
      <c r="O104" s="71" t="s">
        <v>992</v>
      </c>
      <c r="P104" s="71" t="s">
        <v>972</v>
      </c>
      <c r="Q104" s="71" t="s">
        <v>972</v>
      </c>
      <c r="R104" s="67" t="s">
        <v>1281</v>
      </c>
      <c r="S104" s="26" t="s">
        <v>994</v>
      </c>
      <c r="T104" s="26" t="s">
        <v>1276</v>
      </c>
      <c r="V104" s="39" t="s">
        <v>1625</v>
      </c>
      <c r="W104" s="76" t="s">
        <v>931</v>
      </c>
    </row>
    <row r="105">
      <c r="A105" s="72" t="s">
        <v>269</v>
      </c>
      <c r="B105" s="39" t="s">
        <v>893</v>
      </c>
      <c r="C105" s="39" t="s">
        <v>894</v>
      </c>
      <c r="D105" s="155" t="s">
        <v>1626</v>
      </c>
      <c r="E105" s="39" t="s">
        <v>963</v>
      </c>
      <c r="F105" s="39" t="s">
        <v>49</v>
      </c>
      <c r="G105" s="84" t="s">
        <v>1433</v>
      </c>
      <c r="H105" s="84"/>
      <c r="I105" s="72" t="s">
        <v>966</v>
      </c>
      <c r="J105" s="162" t="s">
        <v>1204</v>
      </c>
      <c r="K105" s="74" t="s">
        <v>466</v>
      </c>
      <c r="L105" s="157" t="s">
        <v>1627</v>
      </c>
      <c r="M105" s="71" t="s">
        <v>1002</v>
      </c>
      <c r="N105" s="75">
        <v>2024.0</v>
      </c>
      <c r="O105" s="71" t="s">
        <v>980</v>
      </c>
      <c r="P105" s="71" t="s">
        <v>972</v>
      </c>
      <c r="Q105" s="71" t="s">
        <v>972</v>
      </c>
      <c r="R105" s="67" t="s">
        <v>1281</v>
      </c>
      <c r="S105" s="26" t="s">
        <v>1628</v>
      </c>
      <c r="T105" s="26" t="s">
        <v>1629</v>
      </c>
      <c r="V105" s="39" t="s">
        <v>1630</v>
      </c>
      <c r="W105" s="76" t="s">
        <v>931</v>
      </c>
    </row>
    <row r="106">
      <c r="A106" s="72" t="s">
        <v>269</v>
      </c>
      <c r="B106" s="39" t="s">
        <v>670</v>
      </c>
      <c r="C106" s="39" t="s">
        <v>671</v>
      </c>
      <c r="D106" s="155" t="s">
        <v>1631</v>
      </c>
      <c r="E106" s="39" t="s">
        <v>963</v>
      </c>
      <c r="F106" s="39" t="s">
        <v>49</v>
      </c>
      <c r="G106" s="84" t="s">
        <v>1632</v>
      </c>
      <c r="H106" s="84"/>
      <c r="I106" s="70" t="s">
        <v>162</v>
      </c>
      <c r="J106" s="161" t="s">
        <v>1633</v>
      </c>
      <c r="K106" s="157" t="s">
        <v>1634</v>
      </c>
      <c r="L106" s="157" t="s">
        <v>1635</v>
      </c>
      <c r="M106" s="71" t="s">
        <v>1027</v>
      </c>
      <c r="N106" s="75">
        <v>2025.0</v>
      </c>
      <c r="O106" s="71" t="s">
        <v>992</v>
      </c>
      <c r="P106" s="71" t="s">
        <v>972</v>
      </c>
      <c r="Q106" s="71" t="s">
        <v>972</v>
      </c>
      <c r="R106" s="67" t="s">
        <v>1281</v>
      </c>
      <c r="S106" s="26" t="s">
        <v>994</v>
      </c>
      <c r="T106" s="26" t="s">
        <v>1629</v>
      </c>
      <c r="V106" s="39" t="s">
        <v>1636</v>
      </c>
      <c r="W106" s="76" t="s">
        <v>931</v>
      </c>
    </row>
    <row r="107">
      <c r="A107" s="72" t="s">
        <v>269</v>
      </c>
      <c r="B107" s="39" t="s">
        <v>673</v>
      </c>
      <c r="C107" s="39" t="s">
        <v>674</v>
      </c>
      <c r="D107" s="155" t="s">
        <v>1637</v>
      </c>
      <c r="E107" s="39" t="s">
        <v>963</v>
      </c>
      <c r="F107" s="39" t="s">
        <v>49</v>
      </c>
      <c r="G107" s="84" t="s">
        <v>1294</v>
      </c>
      <c r="H107" s="72" t="s">
        <v>966</v>
      </c>
      <c r="I107" s="70" t="s">
        <v>162</v>
      </c>
      <c r="J107" s="161" t="s">
        <v>1638</v>
      </c>
      <c r="K107" s="157" t="s">
        <v>1009</v>
      </c>
      <c r="L107" s="157" t="s">
        <v>1639</v>
      </c>
      <c r="M107" s="71" t="s">
        <v>1027</v>
      </c>
      <c r="N107" s="75">
        <v>2025.0</v>
      </c>
      <c r="O107" s="71" t="s">
        <v>992</v>
      </c>
      <c r="P107" s="71" t="s">
        <v>972</v>
      </c>
      <c r="Q107" s="71" t="s">
        <v>972</v>
      </c>
      <c r="R107" s="67" t="s">
        <v>1281</v>
      </c>
      <c r="S107" s="26" t="s">
        <v>1640</v>
      </c>
      <c r="T107" s="26" t="s">
        <v>1629</v>
      </c>
      <c r="V107" s="39" t="s">
        <v>1641</v>
      </c>
      <c r="W107" s="76" t="s">
        <v>931</v>
      </c>
    </row>
    <row r="108">
      <c r="A108" s="72" t="s">
        <v>269</v>
      </c>
      <c r="B108" s="39" t="s">
        <v>676</v>
      </c>
      <c r="C108" s="39" t="s">
        <v>677</v>
      </c>
      <c r="D108" s="155" t="s">
        <v>1642</v>
      </c>
      <c r="E108" s="39" t="s">
        <v>963</v>
      </c>
      <c r="F108" s="39" t="s">
        <v>49</v>
      </c>
      <c r="G108" s="84" t="s">
        <v>1039</v>
      </c>
      <c r="H108" s="84"/>
      <c r="I108" s="70" t="s">
        <v>1039</v>
      </c>
      <c r="J108" s="84" t="s">
        <v>1040</v>
      </c>
      <c r="K108" s="157" t="s">
        <v>1643</v>
      </c>
      <c r="L108" s="157"/>
      <c r="M108" s="71" t="s">
        <v>1341</v>
      </c>
      <c r="N108" s="75">
        <v>2025.0</v>
      </c>
      <c r="O108" s="71" t="s">
        <v>992</v>
      </c>
      <c r="P108" s="71" t="s">
        <v>972</v>
      </c>
      <c r="Q108" s="71" t="s">
        <v>972</v>
      </c>
      <c r="R108" s="67" t="s">
        <v>963</v>
      </c>
      <c r="S108" s="26" t="s">
        <v>994</v>
      </c>
      <c r="T108" s="26" t="s">
        <v>1629</v>
      </c>
      <c r="V108" s="39" t="s">
        <v>1644</v>
      </c>
      <c r="W108" s="76" t="s">
        <v>931</v>
      </c>
    </row>
    <row r="109">
      <c r="A109" s="72" t="s">
        <v>269</v>
      </c>
      <c r="B109" s="39" t="s">
        <v>679</v>
      </c>
      <c r="C109" s="39" t="s">
        <v>680</v>
      </c>
      <c r="D109" s="155" t="s">
        <v>1645</v>
      </c>
      <c r="E109" s="39" t="s">
        <v>963</v>
      </c>
      <c r="F109" s="39" t="s">
        <v>49</v>
      </c>
      <c r="G109" s="84" t="s">
        <v>1294</v>
      </c>
      <c r="H109" s="84"/>
      <c r="I109" s="72" t="s">
        <v>162</v>
      </c>
      <c r="J109" s="161" t="s">
        <v>1646</v>
      </c>
      <c r="K109" s="157" t="s">
        <v>1009</v>
      </c>
      <c r="L109" s="157" t="s">
        <v>1647</v>
      </c>
      <c r="M109" s="71" t="s">
        <v>1027</v>
      </c>
      <c r="N109" s="75">
        <v>2025.0</v>
      </c>
      <c r="O109" s="71" t="s">
        <v>992</v>
      </c>
      <c r="P109" s="71" t="s">
        <v>972</v>
      </c>
      <c r="Q109" s="71" t="s">
        <v>972</v>
      </c>
      <c r="R109" s="67" t="s">
        <v>1281</v>
      </c>
      <c r="S109" s="26" t="s">
        <v>994</v>
      </c>
      <c r="T109" s="26" t="s">
        <v>1629</v>
      </c>
      <c r="V109" s="39" t="s">
        <v>1648</v>
      </c>
      <c r="W109" s="76" t="s">
        <v>931</v>
      </c>
    </row>
    <row r="110">
      <c r="A110" s="95" t="s">
        <v>269</v>
      </c>
      <c r="B110" s="101" t="s">
        <v>858</v>
      </c>
      <c r="C110" s="101" t="s">
        <v>859</v>
      </c>
      <c r="D110" s="158" t="s">
        <v>1649</v>
      </c>
      <c r="E110" s="101" t="s">
        <v>963</v>
      </c>
      <c r="F110" s="101" t="s">
        <v>559</v>
      </c>
      <c r="G110" s="93" t="s">
        <v>978</v>
      </c>
      <c r="H110" s="93"/>
      <c r="I110" s="95" t="s">
        <v>966</v>
      </c>
      <c r="J110" s="93" t="s">
        <v>1204</v>
      </c>
      <c r="K110" s="159" t="s">
        <v>1650</v>
      </c>
      <c r="L110" s="159" t="s">
        <v>1651</v>
      </c>
      <c r="M110" s="96" t="s">
        <v>1341</v>
      </c>
      <c r="N110" s="99">
        <v>2025.0</v>
      </c>
      <c r="O110" s="96" t="s">
        <v>1652</v>
      </c>
      <c r="P110" s="96" t="s">
        <v>1653</v>
      </c>
      <c r="Q110" s="96" t="s">
        <v>1207</v>
      </c>
      <c r="R110" s="93" t="s">
        <v>963</v>
      </c>
      <c r="S110" s="117" t="s">
        <v>1654</v>
      </c>
      <c r="T110" s="117" t="s">
        <v>1655</v>
      </c>
      <c r="U110" s="118"/>
      <c r="V110" s="101" t="s">
        <v>1656</v>
      </c>
      <c r="W110" s="76" t="s">
        <v>931</v>
      </c>
      <c r="X110" s="118"/>
      <c r="Y110" s="118"/>
      <c r="Z110" s="118"/>
      <c r="AA110" s="118"/>
      <c r="AB110" s="118"/>
      <c r="AC110" s="118"/>
    </row>
    <row r="111">
      <c r="A111" s="72" t="s">
        <v>269</v>
      </c>
      <c r="B111" s="39" t="s">
        <v>861</v>
      </c>
      <c r="C111" s="39" t="s">
        <v>862</v>
      </c>
      <c r="D111" s="155" t="s">
        <v>1657</v>
      </c>
      <c r="E111" s="39" t="s">
        <v>963</v>
      </c>
      <c r="F111" s="39" t="s">
        <v>49</v>
      </c>
      <c r="G111" s="84" t="s">
        <v>1658</v>
      </c>
      <c r="H111" s="84"/>
      <c r="I111" s="163" t="s">
        <v>162</v>
      </c>
      <c r="J111" s="84" t="s">
        <v>1204</v>
      </c>
      <c r="K111" s="157" t="s">
        <v>1659</v>
      </c>
      <c r="L111" s="157" t="s">
        <v>1660</v>
      </c>
      <c r="M111" s="71" t="s">
        <v>1027</v>
      </c>
      <c r="N111" s="75">
        <v>2025.0</v>
      </c>
      <c r="O111" s="71" t="s">
        <v>980</v>
      </c>
      <c r="P111" s="71" t="s">
        <v>972</v>
      </c>
      <c r="Q111" s="71" t="s">
        <v>972</v>
      </c>
      <c r="R111" s="84" t="s">
        <v>1281</v>
      </c>
      <c r="S111" s="26" t="s">
        <v>1661</v>
      </c>
      <c r="T111" s="26" t="s">
        <v>1662</v>
      </c>
      <c r="V111" s="39" t="s">
        <v>1663</v>
      </c>
      <c r="W111" s="76" t="s">
        <v>931</v>
      </c>
    </row>
    <row r="112">
      <c r="A112" s="72" t="s">
        <v>269</v>
      </c>
      <c r="B112" s="39" t="s">
        <v>864</v>
      </c>
      <c r="C112" s="39" t="s">
        <v>865</v>
      </c>
      <c r="D112" s="155" t="s">
        <v>1664</v>
      </c>
      <c r="E112" s="39" t="s">
        <v>963</v>
      </c>
      <c r="F112" s="39" t="s">
        <v>49</v>
      </c>
      <c r="G112" s="84" t="s">
        <v>1665</v>
      </c>
      <c r="H112" s="84"/>
      <c r="I112" s="72" t="s">
        <v>1666</v>
      </c>
      <c r="J112" s="121" t="s">
        <v>1040</v>
      </c>
      <c r="K112" s="157" t="s">
        <v>1667</v>
      </c>
      <c r="L112" s="74" t="s">
        <v>1668</v>
      </c>
      <c r="M112" s="71" t="s">
        <v>1019</v>
      </c>
      <c r="N112" s="75">
        <v>2025.0</v>
      </c>
      <c r="O112" s="71" t="s">
        <v>992</v>
      </c>
      <c r="P112" s="71" t="s">
        <v>1669</v>
      </c>
      <c r="Q112" s="71" t="s">
        <v>1029</v>
      </c>
      <c r="R112" s="84" t="s">
        <v>1458</v>
      </c>
      <c r="S112" s="164" t="s">
        <v>1669</v>
      </c>
      <c r="T112" s="39" t="s">
        <v>1670</v>
      </c>
      <c r="U112" s="165"/>
      <c r="V112" s="39" t="s">
        <v>1671</v>
      </c>
      <c r="W112" s="76" t="s">
        <v>931</v>
      </c>
    </row>
    <row r="113" ht="15.75" customHeight="1">
      <c r="A113" s="70" t="s">
        <v>269</v>
      </c>
      <c r="B113" s="70" t="s">
        <v>1672</v>
      </c>
      <c r="C113" s="70" t="s">
        <v>1673</v>
      </c>
      <c r="D113" s="166" t="s">
        <v>1674</v>
      </c>
      <c r="E113" s="70" t="s">
        <v>931</v>
      </c>
      <c r="F113" s="70" t="s">
        <v>45</v>
      </c>
      <c r="G113" s="70" t="s">
        <v>987</v>
      </c>
      <c r="H113" s="70"/>
      <c r="I113" s="72" t="s">
        <v>966</v>
      </c>
      <c r="J113" s="121" t="s">
        <v>988</v>
      </c>
      <c r="K113" s="74" t="s">
        <v>1675</v>
      </c>
      <c r="L113" s="124" t="s">
        <v>1676</v>
      </c>
      <c r="M113" s="71" t="s">
        <v>1677</v>
      </c>
      <c r="N113" s="75">
        <v>2020.0</v>
      </c>
      <c r="O113" s="71" t="s">
        <v>992</v>
      </c>
      <c r="P113" s="71" t="s">
        <v>972</v>
      </c>
      <c r="Q113" s="71" t="s">
        <v>972</v>
      </c>
      <c r="R113" s="72" t="s">
        <v>963</v>
      </c>
      <c r="S113" s="167" t="s">
        <v>1678</v>
      </c>
      <c r="T113" s="72" t="s">
        <v>1679</v>
      </c>
      <c r="U113" s="72"/>
      <c r="V113" s="39" t="s">
        <v>1680</v>
      </c>
      <c r="W113" s="76" t="s">
        <v>931</v>
      </c>
      <c r="X113" s="123"/>
      <c r="Y113" s="123"/>
      <c r="Z113" s="123"/>
      <c r="AA113" s="123"/>
      <c r="AB113" s="123"/>
      <c r="AC113" s="123"/>
    </row>
    <row r="114" ht="14.25" customHeight="1">
      <c r="A114" s="70" t="s">
        <v>269</v>
      </c>
      <c r="B114" s="123" t="s">
        <v>1681</v>
      </c>
      <c r="C114" s="123" t="s">
        <v>1682</v>
      </c>
      <c r="D114" s="166" t="s">
        <v>1683</v>
      </c>
      <c r="E114" s="70" t="s">
        <v>931</v>
      </c>
      <c r="F114" s="123" t="s">
        <v>45</v>
      </c>
      <c r="G114" s="70" t="s">
        <v>987</v>
      </c>
      <c r="H114" s="70"/>
      <c r="I114" s="72" t="s">
        <v>966</v>
      </c>
      <c r="J114" s="121" t="s">
        <v>988</v>
      </c>
      <c r="K114" s="74" t="s">
        <v>1090</v>
      </c>
      <c r="L114" s="124" t="s">
        <v>1684</v>
      </c>
      <c r="M114" s="71" t="s">
        <v>1002</v>
      </c>
      <c r="N114" s="75">
        <v>2020.0</v>
      </c>
      <c r="O114" s="71" t="s">
        <v>992</v>
      </c>
      <c r="P114" s="71" t="s">
        <v>972</v>
      </c>
      <c r="Q114" s="71" t="s">
        <v>972</v>
      </c>
      <c r="R114" s="72" t="s">
        <v>963</v>
      </c>
      <c r="S114" s="167" t="s">
        <v>1685</v>
      </c>
      <c r="T114" s="72" t="s">
        <v>1686</v>
      </c>
      <c r="U114" s="72"/>
      <c r="V114" s="39" t="s">
        <v>1687</v>
      </c>
      <c r="W114" s="76" t="s">
        <v>931</v>
      </c>
      <c r="X114" s="123"/>
      <c r="Y114" s="123"/>
      <c r="Z114" s="123"/>
      <c r="AA114" s="123"/>
      <c r="AB114" s="123"/>
      <c r="AC114" s="123"/>
    </row>
    <row r="115">
      <c r="A115" s="115" t="s">
        <v>269</v>
      </c>
      <c r="B115" s="98" t="s">
        <v>1688</v>
      </c>
      <c r="C115" s="98" t="s">
        <v>1689</v>
      </c>
      <c r="D115" s="168" t="s">
        <v>1690</v>
      </c>
      <c r="E115" s="115" t="s">
        <v>931</v>
      </c>
      <c r="F115" s="98" t="s">
        <v>559</v>
      </c>
      <c r="G115" s="115" t="s">
        <v>987</v>
      </c>
      <c r="H115" s="115"/>
      <c r="I115" s="95" t="s">
        <v>966</v>
      </c>
      <c r="J115" s="169" t="s">
        <v>988</v>
      </c>
      <c r="K115" s="98"/>
      <c r="L115" s="95" t="s">
        <v>1691</v>
      </c>
      <c r="M115" s="96" t="s">
        <v>1692</v>
      </c>
      <c r="N115" s="99">
        <v>2020.0</v>
      </c>
      <c r="O115" s="96" t="s">
        <v>992</v>
      </c>
      <c r="P115" s="96" t="s">
        <v>972</v>
      </c>
      <c r="Q115" s="96" t="s">
        <v>972</v>
      </c>
      <c r="R115" s="95" t="s">
        <v>1012</v>
      </c>
      <c r="S115" s="170" t="s">
        <v>1693</v>
      </c>
      <c r="T115" s="95" t="s">
        <v>1694</v>
      </c>
      <c r="U115" s="98"/>
      <c r="V115" s="101" t="s">
        <v>1695</v>
      </c>
      <c r="W115" s="76" t="s">
        <v>1211</v>
      </c>
      <c r="X115" s="98"/>
      <c r="Y115" s="98"/>
      <c r="Z115" s="98"/>
      <c r="AA115" s="98"/>
      <c r="AB115" s="98"/>
      <c r="AC115" s="98"/>
    </row>
    <row r="116" ht="13.5" customHeight="1">
      <c r="A116" s="70" t="s">
        <v>269</v>
      </c>
      <c r="B116" s="123" t="s">
        <v>1696</v>
      </c>
      <c r="C116" s="123" t="s">
        <v>1697</v>
      </c>
      <c r="D116" s="166" t="s">
        <v>1698</v>
      </c>
      <c r="E116" s="70" t="s">
        <v>931</v>
      </c>
      <c r="F116" s="123" t="s">
        <v>45</v>
      </c>
      <c r="G116" s="70" t="s">
        <v>987</v>
      </c>
      <c r="H116" s="70"/>
      <c r="I116" s="72" t="s">
        <v>966</v>
      </c>
      <c r="J116" s="138" t="s">
        <v>999</v>
      </c>
      <c r="K116" s="74" t="s">
        <v>1090</v>
      </c>
      <c r="L116" s="124" t="s">
        <v>1699</v>
      </c>
      <c r="M116" s="71" t="s">
        <v>1027</v>
      </c>
      <c r="N116" s="75">
        <v>2023.0</v>
      </c>
      <c r="O116" s="71" t="s">
        <v>992</v>
      </c>
      <c r="P116" s="71" t="s">
        <v>972</v>
      </c>
      <c r="Q116" s="71" t="s">
        <v>972</v>
      </c>
      <c r="R116" s="72" t="s">
        <v>963</v>
      </c>
      <c r="S116" s="167" t="s">
        <v>1700</v>
      </c>
      <c r="T116" s="72" t="s">
        <v>1701</v>
      </c>
      <c r="U116" s="72"/>
      <c r="V116" s="39" t="s">
        <v>1702</v>
      </c>
      <c r="W116" s="76" t="s">
        <v>931</v>
      </c>
      <c r="X116" s="123"/>
      <c r="Y116" s="123"/>
      <c r="Z116" s="123"/>
      <c r="AA116" s="123"/>
      <c r="AB116" s="123"/>
      <c r="AC116" s="123"/>
    </row>
    <row r="117" ht="16.5" customHeight="1">
      <c r="A117" s="70" t="s">
        <v>269</v>
      </c>
      <c r="B117" s="123" t="s">
        <v>1703</v>
      </c>
      <c r="C117" s="123" t="s">
        <v>1704</v>
      </c>
      <c r="D117" s="166" t="s">
        <v>1705</v>
      </c>
      <c r="E117" s="70" t="s">
        <v>931</v>
      </c>
      <c r="F117" s="123" t="s">
        <v>45</v>
      </c>
      <c r="G117" s="70" t="s">
        <v>987</v>
      </c>
      <c r="H117" s="70"/>
      <c r="I117" s="72" t="s">
        <v>966</v>
      </c>
      <c r="J117" s="138" t="s">
        <v>999</v>
      </c>
      <c r="K117" s="74" t="s">
        <v>1675</v>
      </c>
      <c r="L117" s="124" t="s">
        <v>1706</v>
      </c>
      <c r="M117" s="71" t="s">
        <v>1027</v>
      </c>
      <c r="N117" s="75">
        <v>2025.0</v>
      </c>
      <c r="O117" s="71" t="s">
        <v>1707</v>
      </c>
      <c r="P117" s="71" t="s">
        <v>972</v>
      </c>
      <c r="Q117" s="71" t="s">
        <v>972</v>
      </c>
      <c r="R117" s="72" t="s">
        <v>963</v>
      </c>
      <c r="S117" s="167" t="s">
        <v>1708</v>
      </c>
      <c r="T117" s="72" t="s">
        <v>1709</v>
      </c>
      <c r="U117" s="72"/>
      <c r="V117" s="39" t="s">
        <v>1710</v>
      </c>
      <c r="W117" s="76" t="s">
        <v>931</v>
      </c>
      <c r="X117" s="72" t="s">
        <v>1711</v>
      </c>
      <c r="Y117" s="123"/>
      <c r="Z117" s="123"/>
      <c r="AA117" s="123"/>
      <c r="AB117" s="123"/>
      <c r="AC117" s="123"/>
    </row>
    <row r="118" ht="14.25" customHeight="1">
      <c r="A118" s="70" t="s">
        <v>269</v>
      </c>
      <c r="B118" s="123" t="s">
        <v>1712</v>
      </c>
      <c r="C118" s="123" t="s">
        <v>1713</v>
      </c>
      <c r="D118" s="166" t="s">
        <v>1714</v>
      </c>
      <c r="E118" s="70" t="s">
        <v>931</v>
      </c>
      <c r="F118" s="123" t="s">
        <v>45</v>
      </c>
      <c r="G118" s="70" t="s">
        <v>1715</v>
      </c>
      <c r="H118" s="70"/>
      <c r="I118" s="72" t="s">
        <v>966</v>
      </c>
      <c r="J118" s="138" t="s">
        <v>999</v>
      </c>
      <c r="K118" s="74" t="s">
        <v>1675</v>
      </c>
      <c r="L118" s="124" t="s">
        <v>1716</v>
      </c>
      <c r="M118" s="71" t="s">
        <v>1367</v>
      </c>
      <c r="N118" s="75">
        <v>2025.0</v>
      </c>
      <c r="O118" s="71" t="s">
        <v>992</v>
      </c>
      <c r="P118" s="71" t="s">
        <v>972</v>
      </c>
      <c r="Q118" s="71" t="s">
        <v>972</v>
      </c>
      <c r="R118" s="72" t="s">
        <v>963</v>
      </c>
      <c r="S118" s="167" t="s">
        <v>1717</v>
      </c>
      <c r="T118" s="72" t="s">
        <v>1718</v>
      </c>
      <c r="U118" s="72"/>
      <c r="V118" s="39" t="s">
        <v>1719</v>
      </c>
      <c r="W118" s="76" t="s">
        <v>931</v>
      </c>
      <c r="X118" s="123"/>
      <c r="Y118" s="123"/>
      <c r="Z118" s="123"/>
      <c r="AA118" s="123"/>
      <c r="AB118" s="123"/>
      <c r="AC118" s="123"/>
    </row>
    <row r="119" ht="14.25" customHeight="1">
      <c r="A119" s="128" t="s">
        <v>269</v>
      </c>
      <c r="B119" s="131" t="s">
        <v>1720</v>
      </c>
      <c r="C119" s="131" t="s">
        <v>1721</v>
      </c>
      <c r="D119" s="171" t="s">
        <v>1722</v>
      </c>
      <c r="E119" s="128" t="s">
        <v>931</v>
      </c>
      <c r="F119" s="131" t="s">
        <v>45</v>
      </c>
      <c r="G119" s="128" t="s">
        <v>1106</v>
      </c>
      <c r="H119" s="129"/>
      <c r="I119" s="129" t="s">
        <v>966</v>
      </c>
      <c r="J119" s="172" t="s">
        <v>999</v>
      </c>
      <c r="K119" s="173" t="s">
        <v>1034</v>
      </c>
      <c r="L119" s="129" t="s">
        <v>1723</v>
      </c>
      <c r="M119" s="125" t="s">
        <v>1027</v>
      </c>
      <c r="N119" s="132">
        <v>2016.0</v>
      </c>
      <c r="O119" s="125" t="s">
        <v>980</v>
      </c>
      <c r="P119" s="125" t="s">
        <v>972</v>
      </c>
      <c r="Q119" s="125" t="s">
        <v>972</v>
      </c>
      <c r="R119" s="129" t="s">
        <v>963</v>
      </c>
      <c r="S119" s="174" t="s">
        <v>1700</v>
      </c>
      <c r="T119" s="129" t="s">
        <v>1718</v>
      </c>
      <c r="U119" s="129"/>
      <c r="V119" s="133" t="s">
        <v>1724</v>
      </c>
      <c r="W119" s="76" t="s">
        <v>931</v>
      </c>
      <c r="X119" s="131"/>
      <c r="Y119" s="131"/>
      <c r="Z119" s="131"/>
      <c r="AA119" s="131"/>
      <c r="AB119" s="131"/>
      <c r="AC119" s="131"/>
    </row>
    <row r="120">
      <c r="A120" s="26" t="s">
        <v>93</v>
      </c>
      <c r="B120" s="123" t="s">
        <v>86</v>
      </c>
      <c r="C120" s="123" t="s">
        <v>87</v>
      </c>
      <c r="D120" s="166" t="s">
        <v>1725</v>
      </c>
      <c r="E120" s="26" t="s">
        <v>963</v>
      </c>
      <c r="F120" s="70" t="s">
        <v>45</v>
      </c>
      <c r="G120" s="70" t="s">
        <v>998</v>
      </c>
      <c r="H120" s="70"/>
      <c r="I120" s="72" t="s">
        <v>1039</v>
      </c>
      <c r="J120" s="138" t="s">
        <v>1726</v>
      </c>
      <c r="K120" s="72" t="s">
        <v>1727</v>
      </c>
      <c r="L120" s="72" t="s">
        <v>1728</v>
      </c>
      <c r="M120" s="72" t="s">
        <v>1027</v>
      </c>
      <c r="N120" s="75">
        <v>2024.0</v>
      </c>
      <c r="O120" s="72" t="s">
        <v>992</v>
      </c>
      <c r="P120" s="71" t="s">
        <v>1729</v>
      </c>
      <c r="Q120" s="71" t="s">
        <v>1729</v>
      </c>
      <c r="R120" s="72" t="s">
        <v>963</v>
      </c>
      <c r="S120" s="167" t="s">
        <v>1063</v>
      </c>
      <c r="T120" s="72" t="s">
        <v>1730</v>
      </c>
      <c r="U120" s="123"/>
      <c r="V120" s="39" t="s">
        <v>1731</v>
      </c>
      <c r="W120" s="76" t="s">
        <v>931</v>
      </c>
      <c r="X120" s="72" t="s">
        <v>1732</v>
      </c>
      <c r="Y120" s="123"/>
      <c r="Z120" s="123"/>
      <c r="AA120" s="123"/>
    </row>
    <row r="121">
      <c r="A121" s="26" t="s">
        <v>93</v>
      </c>
      <c r="B121" s="123" t="s">
        <v>94</v>
      </c>
      <c r="C121" s="123" t="s">
        <v>95</v>
      </c>
      <c r="D121" s="166" t="s">
        <v>1733</v>
      </c>
      <c r="E121" s="26" t="s">
        <v>963</v>
      </c>
      <c r="F121" s="70" t="s">
        <v>45</v>
      </c>
      <c r="G121" s="70" t="s">
        <v>1734</v>
      </c>
      <c r="H121" s="70"/>
      <c r="I121" s="72" t="s">
        <v>1666</v>
      </c>
      <c r="J121" s="138" t="s">
        <v>1204</v>
      </c>
      <c r="K121" s="72" t="s">
        <v>1735</v>
      </c>
      <c r="L121" s="79"/>
      <c r="M121" s="72" t="s">
        <v>1736</v>
      </c>
      <c r="N121" s="75">
        <v>2024.0</v>
      </c>
      <c r="O121" s="72" t="s">
        <v>1611</v>
      </c>
      <c r="P121" s="72" t="s">
        <v>1729</v>
      </c>
      <c r="Q121" s="72" t="s">
        <v>1729</v>
      </c>
      <c r="R121" s="72" t="s">
        <v>963</v>
      </c>
      <c r="S121" s="167" t="s">
        <v>1063</v>
      </c>
      <c r="T121" s="72" t="s">
        <v>1737</v>
      </c>
      <c r="U121" s="123"/>
      <c r="V121" s="39" t="s">
        <v>1738</v>
      </c>
      <c r="W121" s="76" t="s">
        <v>931</v>
      </c>
      <c r="X121" s="123"/>
      <c r="Y121" s="123"/>
      <c r="Z121" s="123"/>
      <c r="AA121" s="123"/>
    </row>
    <row r="122">
      <c r="A122" s="26" t="s">
        <v>93</v>
      </c>
      <c r="B122" s="123" t="s">
        <v>98</v>
      </c>
      <c r="C122" s="123" t="s">
        <v>99</v>
      </c>
      <c r="D122" s="166" t="s">
        <v>1739</v>
      </c>
      <c r="E122" s="26" t="s">
        <v>963</v>
      </c>
      <c r="F122" s="70" t="s">
        <v>45</v>
      </c>
      <c r="G122" s="70" t="s">
        <v>998</v>
      </c>
      <c r="H122" s="70"/>
      <c r="I122" s="72" t="s">
        <v>162</v>
      </c>
      <c r="J122" s="138" t="s">
        <v>1068</v>
      </c>
      <c r="K122" s="123" t="s">
        <v>979</v>
      </c>
      <c r="L122" s="123"/>
      <c r="M122" s="72" t="s">
        <v>1027</v>
      </c>
      <c r="N122" s="75">
        <v>2024.0</v>
      </c>
      <c r="O122" s="72" t="s">
        <v>1611</v>
      </c>
      <c r="P122" s="72" t="s">
        <v>1740</v>
      </c>
      <c r="Q122" s="72" t="s">
        <v>1029</v>
      </c>
      <c r="R122" s="72" t="s">
        <v>963</v>
      </c>
      <c r="S122" s="167" t="s">
        <v>1741</v>
      </c>
      <c r="T122" s="72" t="s">
        <v>1742</v>
      </c>
      <c r="U122" s="123"/>
      <c r="V122" s="39" t="s">
        <v>1743</v>
      </c>
      <c r="W122" s="76" t="s">
        <v>931</v>
      </c>
      <c r="X122" s="123"/>
      <c r="Y122" s="123"/>
      <c r="Z122" s="123"/>
      <c r="AA122" s="123"/>
    </row>
    <row r="123">
      <c r="A123" s="26" t="s">
        <v>93</v>
      </c>
      <c r="B123" s="123" t="s">
        <v>103</v>
      </c>
      <c r="C123" s="123" t="s">
        <v>104</v>
      </c>
      <c r="D123" s="166" t="s">
        <v>1744</v>
      </c>
      <c r="E123" s="26" t="s">
        <v>963</v>
      </c>
      <c r="F123" s="70" t="s">
        <v>45</v>
      </c>
      <c r="G123" s="70" t="s">
        <v>1745</v>
      </c>
      <c r="H123" s="70"/>
      <c r="I123" s="72" t="s">
        <v>1039</v>
      </c>
      <c r="J123" s="138" t="s">
        <v>1040</v>
      </c>
      <c r="K123" s="72" t="s">
        <v>1746</v>
      </c>
      <c r="L123" s="74" t="s">
        <v>1747</v>
      </c>
      <c r="M123" s="72" t="s">
        <v>1748</v>
      </c>
      <c r="N123" s="75">
        <v>2023.0</v>
      </c>
      <c r="O123" s="72" t="s">
        <v>1611</v>
      </c>
      <c r="P123" s="72" t="s">
        <v>1749</v>
      </c>
      <c r="Q123" s="72" t="s">
        <v>1021</v>
      </c>
      <c r="R123" s="72" t="s">
        <v>963</v>
      </c>
      <c r="S123" s="167" t="s">
        <v>1750</v>
      </c>
      <c r="T123" s="72" t="s">
        <v>1751</v>
      </c>
      <c r="U123" s="123"/>
      <c r="V123" s="39" t="s">
        <v>1752</v>
      </c>
      <c r="W123" s="76" t="s">
        <v>931</v>
      </c>
      <c r="X123" s="123"/>
      <c r="Y123" s="123"/>
      <c r="Z123" s="123"/>
      <c r="AA123" s="123"/>
    </row>
    <row r="124" ht="13.5" customHeight="1">
      <c r="A124" s="26" t="s">
        <v>93</v>
      </c>
      <c r="B124" s="175" t="s">
        <v>111</v>
      </c>
      <c r="C124" s="175" t="s">
        <v>112</v>
      </c>
      <c r="D124" s="176" t="s">
        <v>1753</v>
      </c>
      <c r="E124" s="26" t="s">
        <v>963</v>
      </c>
      <c r="F124" s="163" t="s">
        <v>45</v>
      </c>
      <c r="G124" s="163" t="s">
        <v>998</v>
      </c>
      <c r="H124" s="163"/>
      <c r="I124" s="87" t="s">
        <v>162</v>
      </c>
      <c r="J124" s="177" t="s">
        <v>988</v>
      </c>
      <c r="K124" s="124" t="s">
        <v>1754</v>
      </c>
      <c r="L124" s="87" t="s">
        <v>1755</v>
      </c>
      <c r="M124" s="87" t="s">
        <v>1341</v>
      </c>
      <c r="N124" s="75">
        <v>2022.0</v>
      </c>
      <c r="O124" s="87" t="s">
        <v>992</v>
      </c>
      <c r="P124" s="87" t="s">
        <v>972</v>
      </c>
      <c r="Q124" s="87" t="s">
        <v>972</v>
      </c>
      <c r="R124" s="87" t="s">
        <v>1012</v>
      </c>
      <c r="S124" s="178" t="s">
        <v>1063</v>
      </c>
      <c r="T124" s="87" t="s">
        <v>1756</v>
      </c>
      <c r="U124" s="175"/>
      <c r="V124" s="42" t="s">
        <v>1757</v>
      </c>
      <c r="W124" s="76" t="s">
        <v>931</v>
      </c>
      <c r="X124" s="175"/>
      <c r="Y124" s="175"/>
      <c r="Z124" s="175"/>
      <c r="AA124" s="175"/>
    </row>
    <row r="125">
      <c r="A125" s="26" t="s">
        <v>93</v>
      </c>
      <c r="B125" s="123" t="s">
        <v>116</v>
      </c>
      <c r="C125" s="123" t="s">
        <v>117</v>
      </c>
      <c r="D125" s="166" t="s">
        <v>1758</v>
      </c>
      <c r="E125" s="26" t="s">
        <v>963</v>
      </c>
      <c r="F125" s="70" t="s">
        <v>45</v>
      </c>
      <c r="G125" s="70" t="s">
        <v>1759</v>
      </c>
      <c r="H125" s="70"/>
      <c r="I125" s="72" t="s">
        <v>1039</v>
      </c>
      <c r="J125" s="138" t="s">
        <v>1204</v>
      </c>
      <c r="K125" s="72" t="s">
        <v>1760</v>
      </c>
      <c r="L125" s="79"/>
      <c r="M125" s="72" t="s">
        <v>991</v>
      </c>
      <c r="N125" s="75">
        <v>2022.0</v>
      </c>
      <c r="O125" s="72" t="s">
        <v>980</v>
      </c>
      <c r="P125" s="72" t="s">
        <v>1761</v>
      </c>
      <c r="Q125" s="72" t="s">
        <v>1029</v>
      </c>
      <c r="R125" s="72" t="s">
        <v>963</v>
      </c>
      <c r="S125" s="167" t="s">
        <v>1063</v>
      </c>
      <c r="T125" s="72" t="s">
        <v>1762</v>
      </c>
      <c r="U125" s="123"/>
      <c r="V125" s="39" t="s">
        <v>1763</v>
      </c>
      <c r="W125" s="76" t="s">
        <v>931</v>
      </c>
      <c r="X125" s="123"/>
      <c r="Y125" s="123"/>
      <c r="Z125" s="123"/>
      <c r="AA125" s="123"/>
    </row>
    <row r="126">
      <c r="A126" s="26" t="s">
        <v>93</v>
      </c>
      <c r="B126" s="37" t="s">
        <v>123</v>
      </c>
      <c r="C126" s="37" t="s">
        <v>124</v>
      </c>
      <c r="D126" s="122" t="s">
        <v>1764</v>
      </c>
      <c r="E126" s="26" t="s">
        <v>963</v>
      </c>
      <c r="F126" s="37" t="s">
        <v>45</v>
      </c>
      <c r="G126" s="26" t="s">
        <v>1765</v>
      </c>
      <c r="H126" s="26"/>
      <c r="I126" s="72" t="s">
        <v>966</v>
      </c>
      <c r="J126" s="67" t="s">
        <v>1204</v>
      </c>
      <c r="K126" s="74" t="s">
        <v>1675</v>
      </c>
      <c r="L126" s="74" t="s">
        <v>1766</v>
      </c>
      <c r="M126" s="71" t="s">
        <v>1452</v>
      </c>
      <c r="N126" s="75">
        <v>2018.0</v>
      </c>
      <c r="O126" s="71" t="s">
        <v>992</v>
      </c>
      <c r="P126" s="71" t="s">
        <v>972</v>
      </c>
      <c r="Q126" s="71" t="s">
        <v>972</v>
      </c>
      <c r="R126" s="67" t="s">
        <v>963</v>
      </c>
      <c r="S126" s="26" t="s">
        <v>1767</v>
      </c>
      <c r="T126" s="26" t="s">
        <v>1768</v>
      </c>
      <c r="V126" s="39" t="s">
        <v>1769</v>
      </c>
      <c r="W126" s="76" t="s">
        <v>931</v>
      </c>
    </row>
    <row r="127">
      <c r="A127" s="26" t="s">
        <v>93</v>
      </c>
      <c r="B127" s="37" t="s">
        <v>129</v>
      </c>
      <c r="C127" s="37" t="s">
        <v>130</v>
      </c>
      <c r="D127" s="122" t="s">
        <v>1770</v>
      </c>
      <c r="E127" s="26" t="s">
        <v>963</v>
      </c>
      <c r="F127" s="37" t="s">
        <v>47</v>
      </c>
      <c r="G127" s="26" t="s">
        <v>1574</v>
      </c>
      <c r="H127" s="26"/>
      <c r="I127" s="72" t="s">
        <v>966</v>
      </c>
      <c r="J127" s="69" t="s">
        <v>1771</v>
      </c>
      <c r="K127" s="74" t="s">
        <v>1772</v>
      </c>
      <c r="L127" s="74" t="s">
        <v>1773</v>
      </c>
      <c r="M127" s="71" t="s">
        <v>1517</v>
      </c>
      <c r="N127" s="75">
        <v>2024.0</v>
      </c>
      <c r="O127" s="71" t="s">
        <v>992</v>
      </c>
      <c r="P127" s="71" t="s">
        <v>1729</v>
      </c>
      <c r="Q127" s="71" t="s">
        <v>1729</v>
      </c>
      <c r="R127" s="67" t="s">
        <v>963</v>
      </c>
      <c r="S127" s="26" t="s">
        <v>1774</v>
      </c>
      <c r="T127" s="26" t="s">
        <v>1775</v>
      </c>
      <c r="V127" s="39" t="s">
        <v>1776</v>
      </c>
      <c r="W127" s="76" t="s">
        <v>931</v>
      </c>
    </row>
    <row r="128">
      <c r="A128" s="26" t="s">
        <v>93</v>
      </c>
      <c r="B128" s="37" t="s">
        <v>134</v>
      </c>
      <c r="C128" s="37" t="s">
        <v>135</v>
      </c>
      <c r="D128" s="122" t="s">
        <v>1777</v>
      </c>
      <c r="E128" s="26" t="s">
        <v>963</v>
      </c>
      <c r="F128" s="37" t="s">
        <v>47</v>
      </c>
      <c r="G128" s="26" t="s">
        <v>964</v>
      </c>
      <c r="H128" s="26"/>
      <c r="I128" s="72" t="s">
        <v>162</v>
      </c>
      <c r="J128" s="67" t="s">
        <v>967</v>
      </c>
      <c r="K128" s="74" t="s">
        <v>1778</v>
      </c>
      <c r="L128" s="74" t="s">
        <v>1779</v>
      </c>
      <c r="M128" s="71" t="s">
        <v>1780</v>
      </c>
      <c r="N128" s="75">
        <v>2024.0</v>
      </c>
      <c r="O128" s="71" t="s">
        <v>1781</v>
      </c>
      <c r="P128" s="71" t="s">
        <v>1782</v>
      </c>
      <c r="Q128" s="71" t="s">
        <v>982</v>
      </c>
      <c r="R128" s="67" t="s">
        <v>963</v>
      </c>
      <c r="S128" s="26" t="s">
        <v>1783</v>
      </c>
      <c r="T128" s="26" t="s">
        <v>1784</v>
      </c>
      <c r="V128" s="39" t="s">
        <v>1785</v>
      </c>
      <c r="W128" s="76" t="s">
        <v>931</v>
      </c>
    </row>
    <row r="129">
      <c r="A129" s="26" t="s">
        <v>93</v>
      </c>
      <c r="B129" s="37" t="s">
        <v>139</v>
      </c>
      <c r="C129" s="37" t="s">
        <v>140</v>
      </c>
      <c r="D129" s="122" t="s">
        <v>1786</v>
      </c>
      <c r="E129" s="26" t="s">
        <v>963</v>
      </c>
      <c r="F129" s="37" t="s">
        <v>47</v>
      </c>
      <c r="G129" s="26" t="s">
        <v>987</v>
      </c>
      <c r="H129" s="26"/>
      <c r="I129" s="72" t="s">
        <v>162</v>
      </c>
      <c r="J129" s="67" t="s">
        <v>988</v>
      </c>
      <c r="K129" s="74" t="s">
        <v>1787</v>
      </c>
      <c r="L129" s="74" t="s">
        <v>1788</v>
      </c>
      <c r="M129" s="71" t="s">
        <v>1002</v>
      </c>
      <c r="N129" s="75">
        <v>2024.0</v>
      </c>
      <c r="O129" s="71" t="s">
        <v>992</v>
      </c>
      <c r="P129" s="71" t="s">
        <v>972</v>
      </c>
      <c r="Q129" s="71" t="s">
        <v>972</v>
      </c>
      <c r="R129" s="67" t="s">
        <v>963</v>
      </c>
      <c r="S129" s="26" t="s">
        <v>1055</v>
      </c>
      <c r="T129" s="26" t="s">
        <v>1789</v>
      </c>
      <c r="V129" s="39" t="s">
        <v>1790</v>
      </c>
      <c r="W129" s="76" t="s">
        <v>931</v>
      </c>
    </row>
    <row r="130">
      <c r="A130" s="26" t="s">
        <v>93</v>
      </c>
      <c r="B130" s="37" t="s">
        <v>148</v>
      </c>
      <c r="C130" s="37" t="s">
        <v>149</v>
      </c>
      <c r="D130" s="122" t="s">
        <v>1791</v>
      </c>
      <c r="E130" s="26" t="s">
        <v>963</v>
      </c>
      <c r="F130" s="26" t="s">
        <v>45</v>
      </c>
      <c r="G130" s="26" t="s">
        <v>1658</v>
      </c>
      <c r="H130" s="26"/>
      <c r="I130" s="26" t="s">
        <v>978</v>
      </c>
      <c r="J130" s="67" t="s">
        <v>967</v>
      </c>
      <c r="K130" s="74" t="s">
        <v>1792</v>
      </c>
      <c r="L130" s="79"/>
      <c r="M130" s="71" t="s">
        <v>970</v>
      </c>
      <c r="N130" s="75">
        <v>2023.0</v>
      </c>
      <c r="O130" s="71" t="s">
        <v>1793</v>
      </c>
      <c r="P130" s="71" t="s">
        <v>1794</v>
      </c>
      <c r="Q130" s="71" t="s">
        <v>1082</v>
      </c>
      <c r="R130" s="67" t="s">
        <v>963</v>
      </c>
      <c r="S130" s="26" t="s">
        <v>1063</v>
      </c>
      <c r="T130" s="26" t="s">
        <v>1795</v>
      </c>
      <c r="V130" s="39" t="s">
        <v>1796</v>
      </c>
      <c r="W130" s="76" t="s">
        <v>931</v>
      </c>
    </row>
    <row r="131">
      <c r="A131" s="26" t="s">
        <v>93</v>
      </c>
      <c r="B131" s="37" t="s">
        <v>156</v>
      </c>
      <c r="C131" s="37" t="s">
        <v>157</v>
      </c>
      <c r="D131" s="122" t="s">
        <v>1797</v>
      </c>
      <c r="E131" s="26" t="s">
        <v>963</v>
      </c>
      <c r="F131" s="37" t="s">
        <v>47</v>
      </c>
      <c r="G131" s="26" t="s">
        <v>987</v>
      </c>
      <c r="H131" s="26"/>
      <c r="I131" s="72" t="s">
        <v>966</v>
      </c>
      <c r="J131" s="67" t="s">
        <v>988</v>
      </c>
      <c r="K131" s="74" t="s">
        <v>1798</v>
      </c>
      <c r="L131" s="74" t="s">
        <v>1799</v>
      </c>
      <c r="M131" s="71" t="s">
        <v>1027</v>
      </c>
      <c r="N131" s="75">
        <v>2022.0</v>
      </c>
      <c r="O131" s="71" t="s">
        <v>1611</v>
      </c>
      <c r="P131" s="71" t="s">
        <v>972</v>
      </c>
      <c r="Q131" s="71" t="s">
        <v>972</v>
      </c>
      <c r="R131" s="67" t="s">
        <v>963</v>
      </c>
      <c r="S131" s="26" t="s">
        <v>1800</v>
      </c>
      <c r="T131" s="26" t="s">
        <v>1801</v>
      </c>
      <c r="V131" s="39" t="s">
        <v>1802</v>
      </c>
      <c r="W131" s="76" t="s">
        <v>931</v>
      </c>
    </row>
    <row r="132">
      <c r="A132" s="26" t="s">
        <v>93</v>
      </c>
      <c r="B132" s="37" t="s">
        <v>160</v>
      </c>
      <c r="C132" s="37" t="s">
        <v>161</v>
      </c>
      <c r="D132" s="179" t="s">
        <v>1803</v>
      </c>
      <c r="E132" s="26" t="s">
        <v>963</v>
      </c>
      <c r="F132" s="37" t="s">
        <v>47</v>
      </c>
      <c r="G132" s="26" t="s">
        <v>1804</v>
      </c>
      <c r="H132" s="26"/>
      <c r="I132" s="26" t="s">
        <v>1039</v>
      </c>
      <c r="J132" s="67" t="s">
        <v>1726</v>
      </c>
      <c r="K132" s="74" t="s">
        <v>1805</v>
      </c>
      <c r="L132" s="74" t="s">
        <v>1806</v>
      </c>
      <c r="M132" s="71" t="s">
        <v>1780</v>
      </c>
      <c r="N132" s="75">
        <v>2021.0</v>
      </c>
      <c r="O132" s="71" t="s">
        <v>1003</v>
      </c>
      <c r="P132" s="71" t="s">
        <v>1729</v>
      </c>
      <c r="Q132" s="71" t="s">
        <v>1729</v>
      </c>
      <c r="R132" s="67" t="s">
        <v>963</v>
      </c>
      <c r="S132" s="26" t="s">
        <v>1807</v>
      </c>
      <c r="T132" s="26" t="s">
        <v>1808</v>
      </c>
      <c r="V132" s="39" t="s">
        <v>1809</v>
      </c>
      <c r="W132" s="76" t="s">
        <v>931</v>
      </c>
    </row>
    <row r="133">
      <c r="A133" s="26" t="s">
        <v>93</v>
      </c>
      <c r="B133" s="39" t="s">
        <v>682</v>
      </c>
      <c r="C133" s="39" t="s">
        <v>683</v>
      </c>
      <c r="D133" s="180" t="s">
        <v>1810</v>
      </c>
      <c r="E133" s="26" t="s">
        <v>963</v>
      </c>
      <c r="F133" s="39" t="s">
        <v>49</v>
      </c>
      <c r="G133" s="26" t="s">
        <v>1273</v>
      </c>
      <c r="H133" s="26"/>
      <c r="I133" s="72" t="s">
        <v>966</v>
      </c>
      <c r="J133" s="69" t="s">
        <v>1811</v>
      </c>
      <c r="K133" s="157" t="s">
        <v>1009</v>
      </c>
      <c r="L133" s="157" t="s">
        <v>1616</v>
      </c>
      <c r="M133" s="71" t="s">
        <v>1027</v>
      </c>
      <c r="N133" s="75">
        <v>2025.0</v>
      </c>
      <c r="O133" s="71" t="s">
        <v>992</v>
      </c>
      <c r="P133" s="71" t="s">
        <v>972</v>
      </c>
      <c r="Q133" s="71" t="s">
        <v>972</v>
      </c>
      <c r="R133" s="67" t="s">
        <v>1812</v>
      </c>
      <c r="S133" s="26" t="s">
        <v>1813</v>
      </c>
      <c r="T133" s="26" t="s">
        <v>1814</v>
      </c>
      <c r="V133" s="39" t="s">
        <v>1815</v>
      </c>
      <c r="W133" s="76" t="s">
        <v>931</v>
      </c>
    </row>
    <row r="134">
      <c r="A134" s="26" t="s">
        <v>93</v>
      </c>
      <c r="B134" s="39" t="s">
        <v>686</v>
      </c>
      <c r="C134" s="39" t="s">
        <v>687</v>
      </c>
      <c r="D134" s="180" t="s">
        <v>1816</v>
      </c>
      <c r="E134" s="26" t="s">
        <v>963</v>
      </c>
      <c r="F134" s="39" t="s">
        <v>49</v>
      </c>
      <c r="G134" s="26" t="s">
        <v>987</v>
      </c>
      <c r="H134" s="26"/>
      <c r="I134" s="26" t="s">
        <v>162</v>
      </c>
      <c r="J134" s="67" t="s">
        <v>988</v>
      </c>
      <c r="K134" s="157" t="s">
        <v>1009</v>
      </c>
      <c r="L134" s="157" t="s">
        <v>1817</v>
      </c>
      <c r="M134" s="71" t="s">
        <v>1027</v>
      </c>
      <c r="N134" s="75">
        <v>2025.0</v>
      </c>
      <c r="O134" s="71" t="s">
        <v>992</v>
      </c>
      <c r="P134" s="71" t="s">
        <v>972</v>
      </c>
      <c r="Q134" s="71" t="s">
        <v>972</v>
      </c>
      <c r="R134" s="67" t="s">
        <v>1137</v>
      </c>
      <c r="S134" s="26" t="s">
        <v>1055</v>
      </c>
      <c r="T134" s="26" t="s">
        <v>1818</v>
      </c>
      <c r="V134" s="39" t="s">
        <v>1819</v>
      </c>
      <c r="W134" s="76" t="s">
        <v>931</v>
      </c>
    </row>
    <row r="135">
      <c r="A135" s="26" t="s">
        <v>93</v>
      </c>
      <c r="B135" s="39" t="s">
        <v>689</v>
      </c>
      <c r="C135" s="39" t="s">
        <v>690</v>
      </c>
      <c r="D135" s="180" t="s">
        <v>1820</v>
      </c>
      <c r="E135" s="26" t="s">
        <v>963</v>
      </c>
      <c r="F135" s="39" t="s">
        <v>49</v>
      </c>
      <c r="G135" s="26" t="s">
        <v>987</v>
      </c>
      <c r="H135" s="26"/>
      <c r="I135" s="26" t="s">
        <v>162</v>
      </c>
      <c r="J135" s="67" t="s">
        <v>988</v>
      </c>
      <c r="K135" s="157" t="s">
        <v>1009</v>
      </c>
      <c r="L135" s="157" t="s">
        <v>1821</v>
      </c>
      <c r="M135" s="71" t="s">
        <v>1027</v>
      </c>
      <c r="N135" s="75">
        <v>2025.0</v>
      </c>
      <c r="O135" s="71" t="s">
        <v>1611</v>
      </c>
      <c r="P135" s="71" t="s">
        <v>972</v>
      </c>
      <c r="Q135" s="71" t="s">
        <v>972</v>
      </c>
      <c r="R135" s="67" t="s">
        <v>1822</v>
      </c>
      <c r="S135" s="26" t="s">
        <v>1063</v>
      </c>
      <c r="T135" s="26" t="s">
        <v>1823</v>
      </c>
      <c r="V135" s="39" t="s">
        <v>1824</v>
      </c>
      <c r="W135" s="76" t="s">
        <v>931</v>
      </c>
    </row>
    <row r="136">
      <c r="A136" s="26" t="s">
        <v>93</v>
      </c>
      <c r="B136" s="39" t="s">
        <v>831</v>
      </c>
      <c r="C136" s="39" t="s">
        <v>832</v>
      </c>
      <c r="D136" s="181" t="s">
        <v>1825</v>
      </c>
      <c r="E136" s="26" t="s">
        <v>1458</v>
      </c>
      <c r="F136" s="39" t="s">
        <v>49</v>
      </c>
      <c r="G136" s="26" t="s">
        <v>1273</v>
      </c>
      <c r="I136" s="26" t="s">
        <v>162</v>
      </c>
      <c r="J136" s="69" t="s">
        <v>1826</v>
      </c>
      <c r="K136" s="157" t="s">
        <v>1787</v>
      </c>
      <c r="L136" s="157" t="s">
        <v>1300</v>
      </c>
      <c r="M136" s="71" t="s">
        <v>1027</v>
      </c>
      <c r="N136" s="75">
        <v>2025.0</v>
      </c>
      <c r="O136" s="71" t="s">
        <v>992</v>
      </c>
      <c r="P136" s="71" t="s">
        <v>972</v>
      </c>
      <c r="Q136" s="71" t="s">
        <v>972</v>
      </c>
      <c r="R136" s="67" t="s">
        <v>963</v>
      </c>
      <c r="S136" s="26" t="s">
        <v>1827</v>
      </c>
      <c r="T136" s="26" t="s">
        <v>1828</v>
      </c>
      <c r="V136" s="39" t="s">
        <v>1829</v>
      </c>
      <c r="W136" s="76" t="s">
        <v>931</v>
      </c>
    </row>
    <row r="137">
      <c r="A137" s="26" t="s">
        <v>93</v>
      </c>
      <c r="B137" s="39" t="s">
        <v>834</v>
      </c>
      <c r="C137" s="39" t="s">
        <v>835</v>
      </c>
      <c r="D137" s="180" t="s">
        <v>1830</v>
      </c>
      <c r="E137" s="26" t="s">
        <v>963</v>
      </c>
      <c r="F137" s="39" t="s">
        <v>49</v>
      </c>
      <c r="G137" s="26" t="s">
        <v>987</v>
      </c>
      <c r="H137" s="72" t="s">
        <v>966</v>
      </c>
      <c r="I137" s="26" t="s">
        <v>162</v>
      </c>
      <c r="J137" s="67" t="s">
        <v>988</v>
      </c>
      <c r="K137" s="157" t="s">
        <v>1009</v>
      </c>
      <c r="L137" s="157" t="s">
        <v>1831</v>
      </c>
      <c r="M137" s="71" t="s">
        <v>1027</v>
      </c>
      <c r="N137" s="75">
        <v>2025.0</v>
      </c>
      <c r="O137" s="71" t="s">
        <v>992</v>
      </c>
      <c r="P137" s="71" t="s">
        <v>972</v>
      </c>
      <c r="Q137" s="71" t="s">
        <v>972</v>
      </c>
      <c r="R137" s="67" t="s">
        <v>1281</v>
      </c>
      <c r="S137" s="26" t="s">
        <v>1055</v>
      </c>
      <c r="T137" s="26" t="s">
        <v>1832</v>
      </c>
      <c r="V137" s="39" t="s">
        <v>1833</v>
      </c>
      <c r="W137" s="76" t="s">
        <v>931</v>
      </c>
    </row>
    <row r="138">
      <c r="A138" s="26" t="s">
        <v>93</v>
      </c>
      <c r="B138" s="39" t="s">
        <v>913</v>
      </c>
      <c r="C138" s="39" t="s">
        <v>914</v>
      </c>
      <c r="D138" s="180" t="s">
        <v>1834</v>
      </c>
      <c r="E138" s="26" t="s">
        <v>963</v>
      </c>
      <c r="F138" s="39" t="s">
        <v>49</v>
      </c>
      <c r="G138" s="39" t="s">
        <v>1835</v>
      </c>
      <c r="H138" s="39"/>
      <c r="I138" s="72" t="s">
        <v>966</v>
      </c>
      <c r="J138" s="69" t="s">
        <v>1836</v>
      </c>
      <c r="K138" s="74" t="s">
        <v>1675</v>
      </c>
      <c r="L138" s="157" t="s">
        <v>1837</v>
      </c>
      <c r="M138" s="71" t="s">
        <v>1261</v>
      </c>
      <c r="N138" s="75">
        <v>2021.0</v>
      </c>
      <c r="O138" s="71" t="s">
        <v>992</v>
      </c>
      <c r="P138" s="71" t="s">
        <v>972</v>
      </c>
      <c r="Q138" s="71" t="s">
        <v>972</v>
      </c>
      <c r="R138" s="67" t="s">
        <v>1281</v>
      </c>
      <c r="S138" s="26" t="s">
        <v>1838</v>
      </c>
      <c r="T138" s="26" t="s">
        <v>1839</v>
      </c>
      <c r="V138" s="39" t="s">
        <v>1840</v>
      </c>
      <c r="W138" s="76" t="s">
        <v>931</v>
      </c>
    </row>
    <row r="139">
      <c r="A139" s="28" t="s">
        <v>93</v>
      </c>
      <c r="B139" s="121" t="s">
        <v>1841</v>
      </c>
      <c r="C139" s="121" t="s">
        <v>1842</v>
      </c>
      <c r="D139" s="182" t="s">
        <v>1843</v>
      </c>
      <c r="E139" s="72" t="s">
        <v>931</v>
      </c>
      <c r="F139" s="72" t="s">
        <v>49</v>
      </c>
      <c r="G139" s="72" t="s">
        <v>1186</v>
      </c>
      <c r="H139" s="72"/>
      <c r="I139" s="72" t="s">
        <v>966</v>
      </c>
      <c r="J139" s="138" t="s">
        <v>988</v>
      </c>
      <c r="K139" s="72" t="s">
        <v>466</v>
      </c>
      <c r="L139" s="72" t="s">
        <v>1844</v>
      </c>
      <c r="M139" s="71" t="s">
        <v>1027</v>
      </c>
      <c r="N139" s="75">
        <v>2025.0</v>
      </c>
      <c r="O139" s="71" t="s">
        <v>992</v>
      </c>
      <c r="P139" s="71" t="s">
        <v>972</v>
      </c>
      <c r="Q139" s="71" t="s">
        <v>972</v>
      </c>
      <c r="R139" s="138" t="s">
        <v>1012</v>
      </c>
      <c r="S139" s="167" t="s">
        <v>1845</v>
      </c>
      <c r="T139" s="72" t="s">
        <v>1846</v>
      </c>
      <c r="U139" s="123"/>
      <c r="V139" s="39" t="s">
        <v>1847</v>
      </c>
      <c r="W139" s="76" t="s">
        <v>931</v>
      </c>
      <c r="X139" s="123"/>
      <c r="Y139" s="183"/>
      <c r="Z139" s="183"/>
      <c r="AA139" s="183"/>
      <c r="AB139" s="183"/>
      <c r="AC139" s="183"/>
    </row>
    <row r="140">
      <c r="A140" s="28" t="s">
        <v>93</v>
      </c>
      <c r="B140" s="121" t="s">
        <v>1848</v>
      </c>
      <c r="C140" s="121" t="s">
        <v>1849</v>
      </c>
      <c r="D140" s="182" t="s">
        <v>1850</v>
      </c>
      <c r="E140" s="72" t="s">
        <v>931</v>
      </c>
      <c r="F140" s="72" t="s">
        <v>47</v>
      </c>
      <c r="G140" s="72" t="s">
        <v>1186</v>
      </c>
      <c r="H140" s="72"/>
      <c r="I140" s="72" t="s">
        <v>162</v>
      </c>
      <c r="J140" s="138" t="s">
        <v>999</v>
      </c>
      <c r="K140" s="72" t="s">
        <v>1527</v>
      </c>
      <c r="L140" s="72" t="s">
        <v>1851</v>
      </c>
      <c r="M140" s="71" t="s">
        <v>1780</v>
      </c>
      <c r="N140" s="75">
        <v>2025.0</v>
      </c>
      <c r="O140" s="71" t="s">
        <v>1781</v>
      </c>
      <c r="P140" s="71" t="s">
        <v>1020</v>
      </c>
      <c r="Q140" s="71" t="s">
        <v>1021</v>
      </c>
      <c r="R140" s="121" t="s">
        <v>931</v>
      </c>
      <c r="S140" s="167" t="s">
        <v>1852</v>
      </c>
      <c r="T140" s="72" t="s">
        <v>1853</v>
      </c>
      <c r="U140" s="123"/>
      <c r="V140" s="39" t="s">
        <v>1854</v>
      </c>
      <c r="W140" s="76" t="s">
        <v>931</v>
      </c>
      <c r="X140" s="72" t="s">
        <v>1855</v>
      </c>
      <c r="Y140" s="183"/>
      <c r="Z140" s="183"/>
      <c r="AA140" s="183"/>
      <c r="AB140" s="183"/>
      <c r="AC140" s="183"/>
    </row>
    <row r="141" ht="16.5" customHeight="1">
      <c r="A141" s="152" t="s">
        <v>507</v>
      </c>
      <c r="B141" s="184" t="s">
        <v>503</v>
      </c>
      <c r="C141" s="184" t="s">
        <v>504</v>
      </c>
      <c r="D141" s="185" t="s">
        <v>1856</v>
      </c>
      <c r="E141" s="186" t="s">
        <v>1458</v>
      </c>
      <c r="F141" s="184" t="s">
        <v>49</v>
      </c>
      <c r="G141" s="143" t="s">
        <v>1039</v>
      </c>
      <c r="H141" s="143"/>
      <c r="I141" s="143" t="s">
        <v>1039</v>
      </c>
      <c r="J141" s="151" t="s">
        <v>1040</v>
      </c>
      <c r="K141" s="187"/>
      <c r="L141" s="188"/>
      <c r="M141" s="189" t="s">
        <v>1027</v>
      </c>
      <c r="N141" s="150">
        <v>2020.0</v>
      </c>
      <c r="O141" s="189" t="s">
        <v>1355</v>
      </c>
      <c r="P141" s="189" t="s">
        <v>1101</v>
      </c>
      <c r="Q141" s="189" t="s">
        <v>1082</v>
      </c>
      <c r="R141" s="190" t="s">
        <v>963</v>
      </c>
      <c r="S141" s="191" t="s">
        <v>1063</v>
      </c>
      <c r="T141" s="192" t="s">
        <v>1857</v>
      </c>
      <c r="U141" s="184"/>
      <c r="V141" s="154" t="s">
        <v>1858</v>
      </c>
      <c r="W141" s="76" t="s">
        <v>1032</v>
      </c>
      <c r="X141" s="184"/>
      <c r="Y141" s="184"/>
      <c r="Z141" s="184"/>
      <c r="AA141" s="184"/>
      <c r="AB141" s="123"/>
      <c r="AC141" s="123"/>
    </row>
    <row r="142" ht="15.0" customHeight="1">
      <c r="A142" s="26" t="s">
        <v>507</v>
      </c>
      <c r="B142" s="123" t="s">
        <v>508</v>
      </c>
      <c r="C142" s="123" t="s">
        <v>509</v>
      </c>
      <c r="D142" s="193" t="s">
        <v>1859</v>
      </c>
      <c r="E142" s="194" t="s">
        <v>1458</v>
      </c>
      <c r="F142" s="123" t="s">
        <v>49</v>
      </c>
      <c r="G142" s="72" t="s">
        <v>1113</v>
      </c>
      <c r="H142" s="72"/>
      <c r="I142" s="72" t="s">
        <v>162</v>
      </c>
      <c r="J142" s="69" t="s">
        <v>1860</v>
      </c>
      <c r="K142" s="72" t="s">
        <v>1009</v>
      </c>
      <c r="L142" s="72" t="s">
        <v>1861</v>
      </c>
      <c r="M142" s="71" t="s">
        <v>1027</v>
      </c>
      <c r="N142" s="75">
        <v>2020.0</v>
      </c>
      <c r="O142" s="71" t="s">
        <v>992</v>
      </c>
      <c r="P142" s="71" t="s">
        <v>972</v>
      </c>
      <c r="Q142" s="71" t="s">
        <v>972</v>
      </c>
      <c r="R142" s="195" t="s">
        <v>1862</v>
      </c>
      <c r="S142" s="167" t="s">
        <v>1055</v>
      </c>
      <c r="T142" s="124" t="s">
        <v>1863</v>
      </c>
      <c r="U142" s="123"/>
      <c r="V142" s="39" t="s">
        <v>1864</v>
      </c>
      <c r="W142" s="76" t="s">
        <v>931</v>
      </c>
      <c r="X142" s="123"/>
      <c r="Y142" s="123"/>
      <c r="Z142" s="123"/>
      <c r="AA142" s="123"/>
      <c r="AB142" s="123"/>
      <c r="AC142" s="123"/>
    </row>
    <row r="143" ht="15.75" customHeight="1">
      <c r="A143" s="26" t="s">
        <v>507</v>
      </c>
      <c r="B143" s="123" t="s">
        <v>512</v>
      </c>
      <c r="C143" s="123" t="s">
        <v>513</v>
      </c>
      <c r="D143" s="139" t="s">
        <v>1865</v>
      </c>
      <c r="E143" s="194" t="s">
        <v>1458</v>
      </c>
      <c r="F143" s="123" t="s">
        <v>49</v>
      </c>
      <c r="G143" s="72" t="s">
        <v>1410</v>
      </c>
      <c r="H143" s="72"/>
      <c r="I143" s="72" t="s">
        <v>162</v>
      </c>
      <c r="J143" s="67" t="s">
        <v>988</v>
      </c>
      <c r="K143" s="72" t="s">
        <v>1866</v>
      </c>
      <c r="L143" s="72" t="s">
        <v>1418</v>
      </c>
      <c r="M143" s="71" t="s">
        <v>1099</v>
      </c>
      <c r="N143" s="75">
        <v>2020.0</v>
      </c>
      <c r="O143" s="71" t="s">
        <v>992</v>
      </c>
      <c r="P143" s="71" t="s">
        <v>1867</v>
      </c>
      <c r="Q143" s="71" t="s">
        <v>1021</v>
      </c>
      <c r="R143" s="195" t="s">
        <v>963</v>
      </c>
      <c r="S143" s="167" t="s">
        <v>1868</v>
      </c>
      <c r="T143" s="124" t="s">
        <v>1869</v>
      </c>
      <c r="U143" s="123"/>
      <c r="V143" s="39" t="s">
        <v>1870</v>
      </c>
      <c r="W143" s="76" t="s">
        <v>1032</v>
      </c>
      <c r="X143" s="123"/>
      <c r="Y143" s="123"/>
      <c r="Z143" s="123"/>
      <c r="AA143" s="123"/>
      <c r="AB143" s="123"/>
      <c r="AC143" s="123"/>
    </row>
    <row r="144" ht="12.75" customHeight="1">
      <c r="A144" s="26" t="s">
        <v>507</v>
      </c>
      <c r="B144" s="123" t="s">
        <v>516</v>
      </c>
      <c r="C144" s="123" t="s">
        <v>517</v>
      </c>
      <c r="D144" s="193" t="s">
        <v>1871</v>
      </c>
      <c r="E144" s="194" t="s">
        <v>1458</v>
      </c>
      <c r="F144" s="123" t="s">
        <v>49</v>
      </c>
      <c r="G144" s="72" t="s">
        <v>1016</v>
      </c>
      <c r="H144" s="72"/>
      <c r="I144" s="72" t="s">
        <v>162</v>
      </c>
      <c r="J144" s="67" t="s">
        <v>988</v>
      </c>
      <c r="K144" s="72" t="s">
        <v>1009</v>
      </c>
      <c r="L144" s="72" t="s">
        <v>1254</v>
      </c>
      <c r="M144" s="71" t="s">
        <v>1019</v>
      </c>
      <c r="N144" s="75">
        <v>2020.0</v>
      </c>
      <c r="O144" s="71" t="s">
        <v>992</v>
      </c>
      <c r="P144" s="71" t="s">
        <v>972</v>
      </c>
      <c r="Q144" s="71" t="s">
        <v>972</v>
      </c>
      <c r="R144" s="195" t="s">
        <v>963</v>
      </c>
      <c r="S144" s="167" t="s">
        <v>1063</v>
      </c>
      <c r="T144" s="124" t="s">
        <v>1872</v>
      </c>
      <c r="U144" s="123"/>
      <c r="V144" s="39" t="s">
        <v>1873</v>
      </c>
      <c r="W144" s="76" t="s">
        <v>1032</v>
      </c>
      <c r="X144" s="72" t="s">
        <v>1874</v>
      </c>
      <c r="Y144" s="123"/>
      <c r="Z144" s="123"/>
      <c r="AA144" s="123"/>
      <c r="AB144" s="123"/>
      <c r="AC144" s="123"/>
    </row>
    <row r="145" ht="11.25" customHeight="1">
      <c r="A145" s="26" t="s">
        <v>507</v>
      </c>
      <c r="B145" s="123" t="s">
        <v>519</v>
      </c>
      <c r="C145" s="123" t="s">
        <v>520</v>
      </c>
      <c r="D145" s="193" t="s">
        <v>1875</v>
      </c>
      <c r="E145" s="194" t="s">
        <v>1458</v>
      </c>
      <c r="F145" s="123" t="s">
        <v>49</v>
      </c>
      <c r="G145" s="72" t="s">
        <v>1410</v>
      </c>
      <c r="H145" s="72"/>
      <c r="I145" s="72" t="s">
        <v>162</v>
      </c>
      <c r="J145" s="67" t="s">
        <v>1068</v>
      </c>
      <c r="K145" s="74" t="s">
        <v>466</v>
      </c>
      <c r="L145" s="72" t="s">
        <v>1876</v>
      </c>
      <c r="M145" s="71" t="s">
        <v>1027</v>
      </c>
      <c r="N145" s="75">
        <v>2020.0</v>
      </c>
      <c r="O145" s="71" t="s">
        <v>992</v>
      </c>
      <c r="P145" s="71" t="s">
        <v>972</v>
      </c>
      <c r="Q145" s="71" t="s">
        <v>972</v>
      </c>
      <c r="R145" s="195" t="s">
        <v>1877</v>
      </c>
      <c r="S145" s="167" t="s">
        <v>1055</v>
      </c>
      <c r="T145" s="124" t="s">
        <v>1878</v>
      </c>
      <c r="U145" s="123"/>
      <c r="V145" s="39" t="s">
        <v>1879</v>
      </c>
      <c r="W145" s="76" t="s">
        <v>1032</v>
      </c>
      <c r="X145" s="123"/>
      <c r="Y145" s="123"/>
      <c r="Z145" s="123"/>
      <c r="AA145" s="123"/>
      <c r="AB145" s="123"/>
      <c r="AC145" s="123"/>
    </row>
    <row r="146" ht="12.75" customHeight="1">
      <c r="A146" s="26" t="s">
        <v>507</v>
      </c>
      <c r="B146" s="123" t="s">
        <v>524</v>
      </c>
      <c r="C146" s="123" t="s">
        <v>525</v>
      </c>
      <c r="D146" s="193" t="s">
        <v>1880</v>
      </c>
      <c r="E146" s="194" t="s">
        <v>1458</v>
      </c>
      <c r="F146" s="123" t="s">
        <v>49</v>
      </c>
      <c r="G146" s="123" t="s">
        <v>998</v>
      </c>
      <c r="H146" s="123"/>
      <c r="I146" s="72" t="s">
        <v>162</v>
      </c>
      <c r="J146" s="67" t="s">
        <v>999</v>
      </c>
      <c r="K146" s="72" t="s">
        <v>1435</v>
      </c>
      <c r="L146" s="72" t="s">
        <v>1881</v>
      </c>
      <c r="M146" s="71" t="s">
        <v>970</v>
      </c>
      <c r="N146" s="75">
        <v>2019.0</v>
      </c>
      <c r="O146" s="71" t="s">
        <v>992</v>
      </c>
      <c r="P146" s="71" t="s">
        <v>1206</v>
      </c>
      <c r="Q146" s="71" t="s">
        <v>1207</v>
      </c>
      <c r="R146" s="195" t="s">
        <v>963</v>
      </c>
      <c r="S146" s="167" t="s">
        <v>1438</v>
      </c>
      <c r="T146" s="124" t="s">
        <v>1882</v>
      </c>
      <c r="U146" s="123"/>
      <c r="V146" s="39" t="s">
        <v>1883</v>
      </c>
      <c r="W146" s="76" t="s">
        <v>931</v>
      </c>
      <c r="X146" s="123"/>
      <c r="Y146" s="123"/>
      <c r="Z146" s="123"/>
      <c r="AA146" s="123"/>
      <c r="AB146" s="123"/>
      <c r="AC146" s="123"/>
    </row>
    <row r="147" ht="14.25" customHeight="1">
      <c r="A147" s="26" t="s">
        <v>507</v>
      </c>
      <c r="B147" s="123" t="s">
        <v>531</v>
      </c>
      <c r="C147" s="123" t="s">
        <v>532</v>
      </c>
      <c r="D147" s="193" t="s">
        <v>1884</v>
      </c>
      <c r="E147" s="194" t="s">
        <v>1458</v>
      </c>
      <c r="F147" s="123" t="s">
        <v>49</v>
      </c>
      <c r="G147" s="72" t="s">
        <v>1885</v>
      </c>
      <c r="H147" s="72"/>
      <c r="I147" s="72" t="s">
        <v>966</v>
      </c>
      <c r="J147" s="69" t="s">
        <v>1886</v>
      </c>
      <c r="K147" s="74" t="s">
        <v>1675</v>
      </c>
      <c r="L147" s="72" t="s">
        <v>1887</v>
      </c>
      <c r="M147" s="71" t="s">
        <v>1019</v>
      </c>
      <c r="N147" s="75">
        <v>2019.0</v>
      </c>
      <c r="O147" s="71" t="s">
        <v>992</v>
      </c>
      <c r="P147" s="71" t="s">
        <v>972</v>
      </c>
      <c r="Q147" s="71" t="s">
        <v>972</v>
      </c>
      <c r="R147" s="195" t="s">
        <v>1888</v>
      </c>
      <c r="S147" s="167" t="s">
        <v>1055</v>
      </c>
      <c r="T147" s="124" t="s">
        <v>1889</v>
      </c>
      <c r="U147" s="123"/>
      <c r="V147" s="39" t="s">
        <v>1890</v>
      </c>
      <c r="W147" s="76" t="s">
        <v>931</v>
      </c>
      <c r="X147" s="123"/>
      <c r="Y147" s="123"/>
      <c r="Z147" s="123"/>
      <c r="AA147" s="123"/>
      <c r="AB147" s="123"/>
      <c r="AC147" s="123"/>
    </row>
    <row r="148" ht="12.0" customHeight="1">
      <c r="A148" s="26" t="s">
        <v>507</v>
      </c>
      <c r="B148" s="123" t="s">
        <v>533</v>
      </c>
      <c r="C148" s="123" t="s">
        <v>534</v>
      </c>
      <c r="D148" s="193" t="s">
        <v>1891</v>
      </c>
      <c r="E148" s="194" t="s">
        <v>1458</v>
      </c>
      <c r="F148" s="123" t="s">
        <v>49</v>
      </c>
      <c r="G148" s="72" t="s">
        <v>1273</v>
      </c>
      <c r="H148" s="72"/>
      <c r="I148" s="72" t="s">
        <v>966</v>
      </c>
      <c r="J148" s="69" t="s">
        <v>1892</v>
      </c>
      <c r="K148" s="72" t="s">
        <v>1009</v>
      </c>
      <c r="L148" s="72" t="s">
        <v>1893</v>
      </c>
      <c r="M148" s="71" t="s">
        <v>1027</v>
      </c>
      <c r="N148" s="75">
        <v>2019.0</v>
      </c>
      <c r="O148" s="71" t="s">
        <v>992</v>
      </c>
      <c r="P148" s="71" t="s">
        <v>972</v>
      </c>
      <c r="Q148" s="71" t="s">
        <v>972</v>
      </c>
      <c r="R148" s="195" t="s">
        <v>1894</v>
      </c>
      <c r="S148" s="196" t="s">
        <v>1895</v>
      </c>
      <c r="T148" s="124" t="s">
        <v>1896</v>
      </c>
      <c r="U148" s="123"/>
      <c r="V148" s="39" t="s">
        <v>1897</v>
      </c>
      <c r="W148" s="76" t="s">
        <v>931</v>
      </c>
      <c r="X148" s="123"/>
      <c r="Y148" s="123"/>
      <c r="Z148" s="123"/>
      <c r="AA148" s="123"/>
      <c r="AB148" s="123"/>
      <c r="AC148" s="123"/>
    </row>
    <row r="149" ht="12.75" customHeight="1">
      <c r="A149" s="26" t="s">
        <v>507</v>
      </c>
      <c r="B149" s="123" t="s">
        <v>537</v>
      </c>
      <c r="C149" s="123" t="s">
        <v>538</v>
      </c>
      <c r="D149" s="193" t="s">
        <v>1898</v>
      </c>
      <c r="E149" s="194" t="s">
        <v>1458</v>
      </c>
      <c r="F149" s="123" t="s">
        <v>49</v>
      </c>
      <c r="G149" s="123" t="s">
        <v>998</v>
      </c>
      <c r="H149" s="123"/>
      <c r="I149" s="72" t="s">
        <v>162</v>
      </c>
      <c r="J149" s="67" t="s">
        <v>999</v>
      </c>
      <c r="K149" s="72" t="s">
        <v>1009</v>
      </c>
      <c r="L149" s="72" t="s">
        <v>1899</v>
      </c>
      <c r="M149" s="71" t="s">
        <v>1019</v>
      </c>
      <c r="N149" s="75">
        <v>2019.0</v>
      </c>
      <c r="O149" s="71" t="s">
        <v>992</v>
      </c>
      <c r="P149" s="71" t="s">
        <v>972</v>
      </c>
      <c r="Q149" s="71" t="s">
        <v>972</v>
      </c>
      <c r="R149" s="138"/>
      <c r="S149" s="167" t="s">
        <v>1063</v>
      </c>
      <c r="T149" s="124" t="s">
        <v>1900</v>
      </c>
      <c r="U149" s="123"/>
      <c r="V149" s="39" t="s">
        <v>1901</v>
      </c>
      <c r="W149" s="76" t="s">
        <v>931</v>
      </c>
      <c r="X149" s="72" t="s">
        <v>1902</v>
      </c>
      <c r="Y149" s="123"/>
      <c r="Z149" s="123"/>
      <c r="AA149" s="123"/>
      <c r="AB149" s="123"/>
      <c r="AC149" s="123"/>
    </row>
    <row r="150" ht="12.75" customHeight="1">
      <c r="A150" s="26" t="s">
        <v>507</v>
      </c>
      <c r="B150" s="123" t="s">
        <v>539</v>
      </c>
      <c r="C150" s="123" t="s">
        <v>540</v>
      </c>
      <c r="D150" s="193" t="s">
        <v>1903</v>
      </c>
      <c r="E150" s="194" t="s">
        <v>1458</v>
      </c>
      <c r="F150" s="123" t="s">
        <v>49</v>
      </c>
      <c r="G150" s="72" t="s">
        <v>1904</v>
      </c>
      <c r="H150" s="72"/>
      <c r="I150" s="72" t="s">
        <v>162</v>
      </c>
      <c r="J150" s="67" t="s">
        <v>1204</v>
      </c>
      <c r="K150" s="72" t="s">
        <v>989</v>
      </c>
      <c r="L150" s="72" t="s">
        <v>1502</v>
      </c>
      <c r="M150" s="71" t="s">
        <v>1173</v>
      </c>
      <c r="N150" s="75">
        <v>2019.0</v>
      </c>
      <c r="O150" s="71" t="s">
        <v>992</v>
      </c>
      <c r="P150" s="71" t="s">
        <v>1504</v>
      </c>
      <c r="Q150" s="71" t="s">
        <v>982</v>
      </c>
      <c r="R150" s="195" t="s">
        <v>963</v>
      </c>
      <c r="S150" s="167" t="s">
        <v>1055</v>
      </c>
      <c r="T150" s="124" t="s">
        <v>1905</v>
      </c>
      <c r="U150" s="123"/>
      <c r="V150" s="39" t="s">
        <v>1906</v>
      </c>
      <c r="W150" s="76" t="s">
        <v>1032</v>
      </c>
      <c r="X150" s="123"/>
      <c r="Y150" s="123"/>
      <c r="Z150" s="123"/>
      <c r="AA150" s="123"/>
      <c r="AB150" s="123"/>
      <c r="AC150" s="123"/>
    </row>
    <row r="151" ht="12.75" customHeight="1">
      <c r="A151" s="26" t="s">
        <v>507</v>
      </c>
      <c r="B151" s="123" t="s">
        <v>544</v>
      </c>
      <c r="C151" s="123" t="s">
        <v>545</v>
      </c>
      <c r="D151" s="193" t="s">
        <v>1907</v>
      </c>
      <c r="E151" s="194" t="s">
        <v>1458</v>
      </c>
      <c r="F151" s="123" t="s">
        <v>49</v>
      </c>
      <c r="G151" s="72" t="s">
        <v>1904</v>
      </c>
      <c r="H151" s="72"/>
      <c r="I151" s="72" t="s">
        <v>162</v>
      </c>
      <c r="J151" s="67" t="s">
        <v>1204</v>
      </c>
      <c r="K151" s="72" t="s">
        <v>1034</v>
      </c>
      <c r="L151" s="72" t="s">
        <v>1908</v>
      </c>
      <c r="M151" s="71" t="s">
        <v>1019</v>
      </c>
      <c r="N151" s="75">
        <v>2018.0</v>
      </c>
      <c r="O151" s="71" t="s">
        <v>1003</v>
      </c>
      <c r="P151" s="71" t="s">
        <v>972</v>
      </c>
      <c r="Q151" s="71" t="s">
        <v>972</v>
      </c>
      <c r="R151" s="195" t="s">
        <v>1894</v>
      </c>
      <c r="S151" s="167" t="s">
        <v>1909</v>
      </c>
      <c r="T151" s="124" t="s">
        <v>1910</v>
      </c>
      <c r="U151" s="123"/>
      <c r="V151" s="39" t="s">
        <v>1911</v>
      </c>
      <c r="W151" s="76" t="s">
        <v>931</v>
      </c>
      <c r="X151" s="123"/>
      <c r="Y151" s="123"/>
      <c r="Z151" s="123"/>
      <c r="AA151" s="123"/>
      <c r="AB151" s="123"/>
      <c r="AC151" s="123"/>
    </row>
    <row r="152" ht="14.25" customHeight="1">
      <c r="A152" s="26" t="s">
        <v>507</v>
      </c>
      <c r="B152" s="123" t="s">
        <v>549</v>
      </c>
      <c r="C152" s="123" t="s">
        <v>550</v>
      </c>
      <c r="D152" s="193" t="s">
        <v>1912</v>
      </c>
      <c r="E152" s="194" t="s">
        <v>1458</v>
      </c>
      <c r="F152" s="123" t="s">
        <v>49</v>
      </c>
      <c r="G152" s="72" t="s">
        <v>1913</v>
      </c>
      <c r="H152" s="72"/>
      <c r="I152" s="72" t="s">
        <v>162</v>
      </c>
      <c r="J152" s="67" t="s">
        <v>1204</v>
      </c>
      <c r="K152" s="123"/>
      <c r="L152" s="79"/>
      <c r="M152" s="71" t="s">
        <v>1027</v>
      </c>
      <c r="N152" s="75">
        <v>2022.0</v>
      </c>
      <c r="O152" s="71" t="s">
        <v>1003</v>
      </c>
      <c r="P152" s="71" t="s">
        <v>1101</v>
      </c>
      <c r="Q152" s="71" t="s">
        <v>1082</v>
      </c>
      <c r="R152" s="195" t="s">
        <v>963</v>
      </c>
      <c r="S152" s="167" t="s">
        <v>1063</v>
      </c>
      <c r="T152" s="27" t="s">
        <v>1914</v>
      </c>
      <c r="U152" s="123"/>
      <c r="V152" s="39" t="s">
        <v>1915</v>
      </c>
      <c r="W152" s="76" t="s">
        <v>1032</v>
      </c>
      <c r="X152" s="72" t="s">
        <v>1916</v>
      </c>
      <c r="Y152" s="123"/>
      <c r="Z152" s="123"/>
      <c r="AA152" s="123"/>
      <c r="AB152" s="123"/>
      <c r="AC152" s="123"/>
    </row>
    <row r="153" ht="14.25" customHeight="1">
      <c r="A153" s="26" t="s">
        <v>507</v>
      </c>
      <c r="B153" s="123" t="s">
        <v>628</v>
      </c>
      <c r="C153" s="123" t="s">
        <v>629</v>
      </c>
      <c r="D153" s="193" t="s">
        <v>1917</v>
      </c>
      <c r="E153" s="194" t="s">
        <v>1458</v>
      </c>
      <c r="F153" s="123" t="s">
        <v>49</v>
      </c>
      <c r="G153" s="72" t="s">
        <v>1918</v>
      </c>
      <c r="H153" s="72"/>
      <c r="I153" s="72" t="s">
        <v>162</v>
      </c>
      <c r="J153" s="69" t="s">
        <v>1919</v>
      </c>
      <c r="K153" s="72" t="s">
        <v>1009</v>
      </c>
      <c r="L153" s="72" t="s">
        <v>1318</v>
      </c>
      <c r="M153" s="71" t="s">
        <v>1027</v>
      </c>
      <c r="N153" s="75">
        <v>2025.0</v>
      </c>
      <c r="O153" s="71" t="s">
        <v>1355</v>
      </c>
      <c r="P153" s="71" t="s">
        <v>972</v>
      </c>
      <c r="Q153" s="71" t="s">
        <v>972</v>
      </c>
      <c r="R153" s="195" t="s">
        <v>1920</v>
      </c>
      <c r="S153" s="167" t="s">
        <v>1921</v>
      </c>
      <c r="T153" s="124" t="s">
        <v>1922</v>
      </c>
      <c r="U153" s="123"/>
      <c r="V153" s="39" t="s">
        <v>1923</v>
      </c>
      <c r="W153" s="76" t="s">
        <v>931</v>
      </c>
      <c r="X153" s="123"/>
      <c r="Y153" s="123"/>
      <c r="Z153" s="123"/>
      <c r="AA153" s="123"/>
      <c r="AB153" s="123"/>
      <c r="AC153" s="123"/>
    </row>
    <row r="154" ht="12.0" customHeight="1">
      <c r="A154" s="26" t="s">
        <v>507</v>
      </c>
      <c r="B154" s="123" t="s">
        <v>712</v>
      </c>
      <c r="C154" s="123" t="s">
        <v>713</v>
      </c>
      <c r="D154" s="197" t="s">
        <v>1924</v>
      </c>
      <c r="E154" s="194" t="s">
        <v>1458</v>
      </c>
      <c r="F154" s="123" t="s">
        <v>49</v>
      </c>
      <c r="G154" s="72" t="s">
        <v>1273</v>
      </c>
      <c r="H154" s="72"/>
      <c r="I154" s="72" t="s">
        <v>162</v>
      </c>
      <c r="J154" s="69" t="s">
        <v>1925</v>
      </c>
      <c r="K154" s="72" t="s">
        <v>1009</v>
      </c>
      <c r="L154" s="72" t="s">
        <v>1588</v>
      </c>
      <c r="M154" s="71" t="s">
        <v>1027</v>
      </c>
      <c r="N154" s="75">
        <v>2025.0</v>
      </c>
      <c r="O154" s="71" t="s">
        <v>992</v>
      </c>
      <c r="P154" s="71" t="s">
        <v>972</v>
      </c>
      <c r="Q154" s="71" t="s">
        <v>972</v>
      </c>
      <c r="R154" s="195" t="s">
        <v>1894</v>
      </c>
      <c r="S154" s="167" t="s">
        <v>1921</v>
      </c>
      <c r="T154" s="124" t="s">
        <v>1926</v>
      </c>
      <c r="U154" s="123"/>
      <c r="V154" s="39" t="s">
        <v>1927</v>
      </c>
      <c r="W154" s="76" t="s">
        <v>931</v>
      </c>
      <c r="X154" s="123"/>
      <c r="Y154" s="123"/>
      <c r="Z154" s="123"/>
      <c r="AA154" s="123"/>
      <c r="AB154" s="123"/>
      <c r="AC154" s="123"/>
    </row>
    <row r="155" ht="13.5" customHeight="1">
      <c r="A155" s="26" t="s">
        <v>507</v>
      </c>
      <c r="B155" s="123" t="s">
        <v>714</v>
      </c>
      <c r="C155" s="123" t="s">
        <v>715</v>
      </c>
      <c r="D155" s="193" t="s">
        <v>1928</v>
      </c>
      <c r="E155" s="194" t="s">
        <v>1458</v>
      </c>
      <c r="F155" s="123" t="s">
        <v>49</v>
      </c>
      <c r="G155" s="123" t="s">
        <v>1154</v>
      </c>
      <c r="H155" s="123"/>
      <c r="I155" s="72" t="s">
        <v>162</v>
      </c>
      <c r="J155" s="67" t="s">
        <v>988</v>
      </c>
      <c r="K155" s="72" t="s">
        <v>1009</v>
      </c>
      <c r="L155" s="74" t="s">
        <v>1929</v>
      </c>
      <c r="M155" s="71" t="s">
        <v>1002</v>
      </c>
      <c r="N155" s="75">
        <v>2025.0</v>
      </c>
      <c r="O155" s="71" t="s">
        <v>1611</v>
      </c>
      <c r="P155" s="71" t="s">
        <v>972</v>
      </c>
      <c r="Q155" s="71" t="s">
        <v>972</v>
      </c>
      <c r="R155" s="195" t="s">
        <v>1894</v>
      </c>
      <c r="S155" s="167" t="s">
        <v>1438</v>
      </c>
      <c r="T155" s="124" t="s">
        <v>1930</v>
      </c>
      <c r="U155" s="123"/>
      <c r="V155" s="39" t="s">
        <v>1931</v>
      </c>
      <c r="W155" s="76" t="s">
        <v>931</v>
      </c>
      <c r="X155" s="123"/>
      <c r="Y155" s="123"/>
      <c r="Z155" s="123"/>
      <c r="AA155" s="123"/>
      <c r="AB155" s="123"/>
      <c r="AC155" s="123"/>
    </row>
    <row r="156" ht="12.75" customHeight="1">
      <c r="A156" s="26" t="s">
        <v>507</v>
      </c>
      <c r="B156" s="123" t="s">
        <v>769</v>
      </c>
      <c r="C156" s="123" t="s">
        <v>770</v>
      </c>
      <c r="D156" s="193" t="s">
        <v>1932</v>
      </c>
      <c r="E156" s="194" t="s">
        <v>1458</v>
      </c>
      <c r="F156" s="123" t="s">
        <v>49</v>
      </c>
      <c r="G156" s="72" t="s">
        <v>1273</v>
      </c>
      <c r="H156" s="72"/>
      <c r="I156" s="72" t="s">
        <v>162</v>
      </c>
      <c r="J156" s="69" t="s">
        <v>1933</v>
      </c>
      <c r="K156" s="72" t="s">
        <v>1009</v>
      </c>
      <c r="L156" s="72" t="s">
        <v>1318</v>
      </c>
      <c r="M156" s="71" t="s">
        <v>1324</v>
      </c>
      <c r="N156" s="75">
        <v>2025.0</v>
      </c>
      <c r="O156" s="71" t="s">
        <v>992</v>
      </c>
      <c r="P156" s="71" t="s">
        <v>972</v>
      </c>
      <c r="Q156" s="71" t="s">
        <v>972</v>
      </c>
      <c r="R156" s="195" t="s">
        <v>1877</v>
      </c>
      <c r="S156" s="196" t="s">
        <v>1895</v>
      </c>
      <c r="T156" s="124" t="s">
        <v>1934</v>
      </c>
      <c r="U156" s="123"/>
      <c r="V156" s="39" t="s">
        <v>1935</v>
      </c>
      <c r="W156" s="76" t="s">
        <v>931</v>
      </c>
      <c r="X156" s="123"/>
      <c r="Y156" s="123"/>
      <c r="Z156" s="123"/>
      <c r="AA156" s="123"/>
      <c r="AB156" s="123"/>
      <c r="AC156" s="123"/>
    </row>
    <row r="157" ht="14.25" customHeight="1">
      <c r="A157" s="26" t="s">
        <v>507</v>
      </c>
      <c r="B157" s="123" t="s">
        <v>899</v>
      </c>
      <c r="C157" s="123" t="s">
        <v>900</v>
      </c>
      <c r="D157" s="193" t="s">
        <v>1936</v>
      </c>
      <c r="E157" s="194" t="s">
        <v>1458</v>
      </c>
      <c r="F157" s="123" t="s">
        <v>49</v>
      </c>
      <c r="G157" s="123" t="s">
        <v>1016</v>
      </c>
      <c r="H157" s="123"/>
      <c r="I157" s="72" t="s">
        <v>162</v>
      </c>
      <c r="J157" s="67" t="s">
        <v>988</v>
      </c>
      <c r="K157" s="123"/>
      <c r="L157" s="72" t="s">
        <v>1243</v>
      </c>
      <c r="M157" s="71" t="s">
        <v>1070</v>
      </c>
      <c r="N157" s="75">
        <v>2024.0</v>
      </c>
      <c r="O157" s="71" t="s">
        <v>992</v>
      </c>
      <c r="P157" s="71" t="s">
        <v>1081</v>
      </c>
      <c r="Q157" s="71" t="s">
        <v>1082</v>
      </c>
      <c r="R157" s="195" t="s">
        <v>963</v>
      </c>
      <c r="S157" s="167" t="s">
        <v>1063</v>
      </c>
      <c r="T157" s="124" t="s">
        <v>1937</v>
      </c>
      <c r="U157" s="123"/>
      <c r="V157" s="39" t="s">
        <v>1938</v>
      </c>
      <c r="W157" s="76" t="s">
        <v>1032</v>
      </c>
      <c r="X157" s="123"/>
      <c r="Y157" s="123"/>
      <c r="Z157" s="123"/>
      <c r="AA157" s="123"/>
      <c r="AB157" s="123"/>
      <c r="AC157" s="123"/>
    </row>
    <row r="158" ht="15.75" customHeight="1">
      <c r="A158" s="26" t="s">
        <v>507</v>
      </c>
      <c r="B158" s="123" t="s">
        <v>854</v>
      </c>
      <c r="C158" s="123" t="s">
        <v>855</v>
      </c>
      <c r="D158" s="197" t="s">
        <v>1939</v>
      </c>
      <c r="E158" s="194" t="s">
        <v>1458</v>
      </c>
      <c r="F158" s="123" t="s">
        <v>49</v>
      </c>
      <c r="G158" s="123" t="s">
        <v>1016</v>
      </c>
      <c r="H158" s="123"/>
      <c r="I158" s="72" t="s">
        <v>966</v>
      </c>
      <c r="J158" s="67" t="s">
        <v>988</v>
      </c>
      <c r="K158" s="72" t="s">
        <v>1940</v>
      </c>
      <c r="M158" s="71" t="s">
        <v>1099</v>
      </c>
      <c r="N158" s="75">
        <v>2024.0</v>
      </c>
      <c r="O158" s="71" t="s">
        <v>992</v>
      </c>
      <c r="P158" s="71" t="s">
        <v>972</v>
      </c>
      <c r="Q158" s="71" t="s">
        <v>972</v>
      </c>
      <c r="R158" s="195" t="s">
        <v>1894</v>
      </c>
      <c r="S158" s="167" t="s">
        <v>1921</v>
      </c>
      <c r="T158" s="124" t="s">
        <v>1941</v>
      </c>
      <c r="U158" s="123"/>
      <c r="V158" s="39" t="s">
        <v>1942</v>
      </c>
      <c r="W158" s="76" t="s">
        <v>1032</v>
      </c>
      <c r="X158" s="72" t="s">
        <v>1943</v>
      </c>
      <c r="Y158" s="123"/>
      <c r="Z158" s="123"/>
      <c r="AA158" s="123"/>
      <c r="AB158" s="123"/>
      <c r="AC158" s="123"/>
    </row>
    <row r="159" ht="17.25" customHeight="1">
      <c r="A159" s="26" t="s">
        <v>507</v>
      </c>
      <c r="B159" s="123" t="s">
        <v>668</v>
      </c>
      <c r="C159" s="123" t="s">
        <v>669</v>
      </c>
      <c r="D159" s="193" t="s">
        <v>1944</v>
      </c>
      <c r="E159" s="194" t="s">
        <v>1458</v>
      </c>
      <c r="F159" s="123" t="s">
        <v>49</v>
      </c>
      <c r="G159" s="72" t="s">
        <v>1525</v>
      </c>
      <c r="H159" s="72"/>
      <c r="I159" s="72" t="s">
        <v>966</v>
      </c>
      <c r="J159" s="69" t="s">
        <v>1945</v>
      </c>
      <c r="K159" s="72" t="s">
        <v>1121</v>
      </c>
      <c r="L159" s="26" t="s">
        <v>1844</v>
      </c>
      <c r="M159" s="71" t="s">
        <v>1027</v>
      </c>
      <c r="N159" s="75">
        <v>2025.0</v>
      </c>
      <c r="O159" s="71" t="s">
        <v>992</v>
      </c>
      <c r="P159" s="71" t="s">
        <v>972</v>
      </c>
      <c r="Q159" s="71" t="s">
        <v>972</v>
      </c>
      <c r="R159" s="195" t="s">
        <v>963</v>
      </c>
      <c r="S159" s="167" t="s">
        <v>1055</v>
      </c>
      <c r="T159" s="124" t="s">
        <v>1946</v>
      </c>
      <c r="U159" s="123"/>
      <c r="V159" s="39" t="s">
        <v>1947</v>
      </c>
      <c r="W159" s="76" t="s">
        <v>1032</v>
      </c>
      <c r="X159" s="123"/>
      <c r="Y159" s="123"/>
      <c r="Z159" s="123"/>
      <c r="AA159" s="123"/>
      <c r="AB159" s="123"/>
      <c r="AC159" s="123"/>
    </row>
    <row r="160" ht="12.75" customHeight="1">
      <c r="A160" s="117" t="s">
        <v>507</v>
      </c>
      <c r="B160" s="98" t="s">
        <v>557</v>
      </c>
      <c r="C160" s="98" t="s">
        <v>558</v>
      </c>
      <c r="D160" s="198" t="s">
        <v>1948</v>
      </c>
      <c r="E160" s="199" t="s">
        <v>1458</v>
      </c>
      <c r="F160" s="98" t="s">
        <v>559</v>
      </c>
      <c r="G160" s="98" t="s">
        <v>1949</v>
      </c>
      <c r="H160" s="98"/>
      <c r="I160" s="95" t="s">
        <v>162</v>
      </c>
      <c r="J160" s="76" t="s">
        <v>988</v>
      </c>
      <c r="K160" s="95" t="s">
        <v>1009</v>
      </c>
      <c r="L160" s="95" t="s">
        <v>1018</v>
      </c>
      <c r="M160" s="96" t="s">
        <v>1027</v>
      </c>
      <c r="N160" s="99">
        <v>2024.0</v>
      </c>
      <c r="O160" s="96" t="s">
        <v>992</v>
      </c>
      <c r="P160" s="96" t="s">
        <v>972</v>
      </c>
      <c r="Q160" s="96" t="s">
        <v>972</v>
      </c>
      <c r="R160" s="200" t="s">
        <v>963</v>
      </c>
      <c r="S160" s="170" t="s">
        <v>1921</v>
      </c>
      <c r="T160" s="201" t="s">
        <v>1950</v>
      </c>
      <c r="U160" s="98"/>
      <c r="V160" s="101" t="s">
        <v>1951</v>
      </c>
      <c r="W160" s="76" t="s">
        <v>1211</v>
      </c>
      <c r="X160" s="98"/>
      <c r="Y160" s="98"/>
      <c r="Z160" s="98"/>
      <c r="AA160" s="98"/>
      <c r="AB160" s="98"/>
      <c r="AC160" s="98"/>
    </row>
    <row r="161" ht="13.5" customHeight="1">
      <c r="A161" s="117" t="s">
        <v>507</v>
      </c>
      <c r="B161" s="98" t="s">
        <v>563</v>
      </c>
      <c r="C161" s="95" t="s">
        <v>564</v>
      </c>
      <c r="D161" s="198" t="s">
        <v>1952</v>
      </c>
      <c r="E161" s="199" t="s">
        <v>1458</v>
      </c>
      <c r="F161" s="98" t="s">
        <v>559</v>
      </c>
      <c r="G161" s="95" t="s">
        <v>987</v>
      </c>
      <c r="H161" s="95"/>
      <c r="I161" s="95" t="s">
        <v>162</v>
      </c>
      <c r="J161" s="76" t="s">
        <v>988</v>
      </c>
      <c r="K161" s="95" t="s">
        <v>1953</v>
      </c>
      <c r="L161" s="95" t="s">
        <v>1954</v>
      </c>
      <c r="M161" s="96" t="s">
        <v>1027</v>
      </c>
      <c r="N161" s="99">
        <v>2024.0</v>
      </c>
      <c r="O161" s="96" t="s">
        <v>992</v>
      </c>
      <c r="P161" s="96" t="s">
        <v>972</v>
      </c>
      <c r="Q161" s="96" t="s">
        <v>972</v>
      </c>
      <c r="R161" s="200" t="s">
        <v>963</v>
      </c>
      <c r="S161" s="170" t="s">
        <v>1438</v>
      </c>
      <c r="T161" s="201" t="s">
        <v>1955</v>
      </c>
      <c r="U161" s="98"/>
      <c r="V161" s="101" t="s">
        <v>1956</v>
      </c>
      <c r="W161" s="76" t="s">
        <v>1211</v>
      </c>
      <c r="X161" s="98"/>
      <c r="Y161" s="98"/>
      <c r="Z161" s="98"/>
      <c r="AA161" s="98"/>
      <c r="AB161" s="98"/>
      <c r="AC161" s="98"/>
    </row>
    <row r="162" ht="15.75" customHeight="1">
      <c r="A162" s="117" t="s">
        <v>507</v>
      </c>
      <c r="B162" s="98" t="s">
        <v>699</v>
      </c>
      <c r="C162" s="98" t="s">
        <v>700</v>
      </c>
      <c r="D162" s="202" t="s">
        <v>1957</v>
      </c>
      <c r="E162" s="199" t="s">
        <v>1458</v>
      </c>
      <c r="F162" s="98" t="s">
        <v>559</v>
      </c>
      <c r="G162" s="98" t="s">
        <v>1154</v>
      </c>
      <c r="H162" s="98"/>
      <c r="I162" s="95" t="s">
        <v>966</v>
      </c>
      <c r="J162" s="76" t="s">
        <v>1204</v>
      </c>
      <c r="K162" s="98" t="s">
        <v>1009</v>
      </c>
      <c r="L162" s="95" t="s">
        <v>1958</v>
      </c>
      <c r="M162" s="96" t="s">
        <v>1386</v>
      </c>
      <c r="N162" s="99">
        <v>2025.0</v>
      </c>
      <c r="O162" s="96" t="s">
        <v>1003</v>
      </c>
      <c r="P162" s="96" t="s">
        <v>1959</v>
      </c>
      <c r="Q162" s="96" t="s">
        <v>982</v>
      </c>
      <c r="R162" s="200" t="s">
        <v>963</v>
      </c>
      <c r="S162" s="170" t="s">
        <v>1960</v>
      </c>
      <c r="T162" s="201" t="s">
        <v>1961</v>
      </c>
      <c r="U162" s="98"/>
      <c r="V162" s="101" t="s">
        <v>1962</v>
      </c>
      <c r="W162" s="76" t="s">
        <v>1211</v>
      </c>
      <c r="X162" s="95"/>
      <c r="Y162" s="98"/>
      <c r="Z162" s="98"/>
      <c r="AA162" s="98"/>
      <c r="AB162" s="98"/>
      <c r="AC162" s="98"/>
    </row>
    <row r="163" ht="14.25" customHeight="1">
      <c r="A163" s="117" t="s">
        <v>507</v>
      </c>
      <c r="B163" s="98" t="s">
        <v>772</v>
      </c>
      <c r="C163" s="98" t="s">
        <v>773</v>
      </c>
      <c r="D163" s="198" t="s">
        <v>1963</v>
      </c>
      <c r="E163" s="199" t="s">
        <v>1458</v>
      </c>
      <c r="F163" s="98" t="s">
        <v>559</v>
      </c>
      <c r="G163" s="95" t="s">
        <v>1273</v>
      </c>
      <c r="H163" s="95"/>
      <c r="I163" s="95" t="s">
        <v>966</v>
      </c>
      <c r="J163" s="203" t="s">
        <v>1964</v>
      </c>
      <c r="K163" s="95" t="s">
        <v>466</v>
      </c>
      <c r="L163" s="95" t="s">
        <v>1965</v>
      </c>
      <c r="M163" s="96" t="s">
        <v>1027</v>
      </c>
      <c r="N163" s="99">
        <v>2025.0</v>
      </c>
      <c r="O163" s="96" t="s">
        <v>992</v>
      </c>
      <c r="P163" s="96" t="s">
        <v>972</v>
      </c>
      <c r="Q163" s="96" t="s">
        <v>972</v>
      </c>
      <c r="R163" s="200" t="s">
        <v>1966</v>
      </c>
      <c r="S163" s="204" t="s">
        <v>1967</v>
      </c>
      <c r="T163" s="201" t="s">
        <v>1968</v>
      </c>
      <c r="U163" s="98"/>
      <c r="V163" s="101" t="s">
        <v>1969</v>
      </c>
      <c r="W163" s="76" t="s">
        <v>931</v>
      </c>
      <c r="X163" s="98"/>
      <c r="Y163" s="98"/>
      <c r="Z163" s="98"/>
      <c r="AA163" s="98"/>
      <c r="AB163" s="98"/>
      <c r="AC163" s="98"/>
    </row>
    <row r="164" ht="16.5" customHeight="1">
      <c r="A164" s="117" t="s">
        <v>507</v>
      </c>
      <c r="B164" s="98" t="s">
        <v>886</v>
      </c>
      <c r="C164" s="98" t="s">
        <v>887</v>
      </c>
      <c r="D164" s="198" t="s">
        <v>1970</v>
      </c>
      <c r="E164" s="199" t="s">
        <v>1458</v>
      </c>
      <c r="F164" s="98" t="s">
        <v>559</v>
      </c>
      <c r="G164" s="95" t="s">
        <v>1971</v>
      </c>
      <c r="H164" s="95"/>
      <c r="I164" s="95" t="s">
        <v>162</v>
      </c>
      <c r="J164" s="76" t="s">
        <v>1204</v>
      </c>
      <c r="K164" s="95" t="s">
        <v>1650</v>
      </c>
      <c r="L164" s="95" t="s">
        <v>1972</v>
      </c>
      <c r="M164" s="96" t="s">
        <v>1973</v>
      </c>
      <c r="N164" s="99">
        <v>2018.0</v>
      </c>
      <c r="O164" s="96" t="s">
        <v>992</v>
      </c>
      <c r="P164" s="96" t="s">
        <v>1504</v>
      </c>
      <c r="Q164" s="96" t="s">
        <v>982</v>
      </c>
      <c r="R164" s="200" t="s">
        <v>963</v>
      </c>
      <c r="S164" s="170" t="s">
        <v>1974</v>
      </c>
      <c r="T164" s="201" t="s">
        <v>1975</v>
      </c>
      <c r="U164" s="98"/>
      <c r="V164" s="101" t="s">
        <v>1976</v>
      </c>
      <c r="W164" s="76" t="s">
        <v>1211</v>
      </c>
      <c r="X164" s="95"/>
      <c r="Y164" s="98"/>
      <c r="Z164" s="98"/>
      <c r="AA164" s="98"/>
      <c r="AB164" s="98"/>
      <c r="AC164" s="98"/>
    </row>
    <row r="165" ht="14.25" customHeight="1">
      <c r="A165" s="26" t="s">
        <v>507</v>
      </c>
      <c r="B165" s="123" t="s">
        <v>560</v>
      </c>
      <c r="C165" s="123" t="s">
        <v>561</v>
      </c>
      <c r="D165" s="193" t="s">
        <v>1977</v>
      </c>
      <c r="E165" s="194" t="s">
        <v>1458</v>
      </c>
      <c r="F165" s="72" t="s">
        <v>49</v>
      </c>
      <c r="G165" s="72" t="s">
        <v>1433</v>
      </c>
      <c r="H165" s="72"/>
      <c r="I165" s="72" t="s">
        <v>162</v>
      </c>
      <c r="J165" s="67" t="s">
        <v>967</v>
      </c>
      <c r="K165" s="79"/>
      <c r="L165" s="123"/>
      <c r="M165" s="71" t="s">
        <v>1027</v>
      </c>
      <c r="N165" s="75">
        <v>2024.0</v>
      </c>
      <c r="O165" s="71" t="s">
        <v>1978</v>
      </c>
      <c r="P165" s="71" t="s">
        <v>1206</v>
      </c>
      <c r="Q165" s="71" t="s">
        <v>1207</v>
      </c>
      <c r="R165" s="195" t="s">
        <v>963</v>
      </c>
      <c r="S165" s="167" t="s">
        <v>1063</v>
      </c>
      <c r="T165" s="124" t="s">
        <v>1979</v>
      </c>
      <c r="U165" s="123"/>
      <c r="V165" s="39" t="s">
        <v>1980</v>
      </c>
      <c r="W165" s="76" t="s">
        <v>1032</v>
      </c>
      <c r="X165" s="123"/>
      <c r="Y165" s="123"/>
      <c r="Z165" s="123"/>
      <c r="AA165" s="123"/>
      <c r="AB165" s="123"/>
      <c r="AC165" s="123"/>
    </row>
    <row r="166" ht="14.25" customHeight="1">
      <c r="A166" s="26" t="s">
        <v>507</v>
      </c>
      <c r="B166" s="123" t="s">
        <v>566</v>
      </c>
      <c r="C166" s="123" t="s">
        <v>567</v>
      </c>
      <c r="D166" s="193" t="s">
        <v>1981</v>
      </c>
      <c r="E166" s="194" t="s">
        <v>1458</v>
      </c>
      <c r="F166" s="72" t="s">
        <v>49</v>
      </c>
      <c r="G166" s="72" t="s">
        <v>1971</v>
      </c>
      <c r="H166" s="72"/>
      <c r="I166" s="72" t="s">
        <v>966</v>
      </c>
      <c r="J166" s="67" t="s">
        <v>1068</v>
      </c>
      <c r="K166" s="124" t="s">
        <v>1009</v>
      </c>
      <c r="L166" s="74" t="s">
        <v>1982</v>
      </c>
      <c r="M166" s="71" t="s">
        <v>1426</v>
      </c>
      <c r="N166" s="75">
        <v>2023.0</v>
      </c>
      <c r="O166" s="71" t="s">
        <v>980</v>
      </c>
      <c r="P166" s="71" t="s">
        <v>972</v>
      </c>
      <c r="Q166" s="71" t="s">
        <v>972</v>
      </c>
      <c r="R166" s="195" t="s">
        <v>963</v>
      </c>
      <c r="S166" s="167" t="s">
        <v>1438</v>
      </c>
      <c r="T166" s="124" t="s">
        <v>1983</v>
      </c>
      <c r="U166" s="123"/>
      <c r="V166" s="39" t="s">
        <v>1984</v>
      </c>
      <c r="W166" s="76" t="s">
        <v>931</v>
      </c>
      <c r="X166" s="123"/>
      <c r="Y166" s="123"/>
      <c r="Z166" s="123"/>
      <c r="AA166" s="123"/>
      <c r="AB166" s="123"/>
      <c r="AC166" s="123"/>
    </row>
    <row r="167" ht="14.25" customHeight="1">
      <c r="A167" s="117" t="s">
        <v>507</v>
      </c>
      <c r="B167" s="95" t="s">
        <v>1985</v>
      </c>
      <c r="C167" s="205" t="s">
        <v>1986</v>
      </c>
      <c r="D167" s="198" t="s">
        <v>1987</v>
      </c>
      <c r="E167" s="199" t="s">
        <v>1211</v>
      </c>
      <c r="F167" s="98" t="s">
        <v>559</v>
      </c>
      <c r="G167" s="95" t="s">
        <v>1988</v>
      </c>
      <c r="H167" s="95"/>
      <c r="I167" s="95" t="s">
        <v>162</v>
      </c>
      <c r="J167" s="76" t="s">
        <v>1204</v>
      </c>
      <c r="K167" s="206" t="s">
        <v>1989</v>
      </c>
      <c r="L167" s="137" t="s">
        <v>998</v>
      </c>
      <c r="M167" s="96" t="s">
        <v>1027</v>
      </c>
      <c r="N167" s="99">
        <v>2025.0</v>
      </c>
      <c r="O167" s="96" t="s">
        <v>1990</v>
      </c>
      <c r="P167" s="96" t="s">
        <v>1991</v>
      </c>
      <c r="Q167" s="96" t="s">
        <v>1207</v>
      </c>
      <c r="R167" s="200" t="s">
        <v>963</v>
      </c>
      <c r="S167" s="170" t="s">
        <v>1992</v>
      </c>
      <c r="T167" s="201" t="s">
        <v>1993</v>
      </c>
      <c r="U167" s="98"/>
      <c r="V167" s="101" t="s">
        <v>1994</v>
      </c>
      <c r="W167" s="76" t="s">
        <v>1211</v>
      </c>
      <c r="X167" s="98"/>
      <c r="Y167" s="98"/>
      <c r="Z167" s="98"/>
      <c r="AA167" s="98"/>
      <c r="AB167" s="98"/>
      <c r="AC167" s="98"/>
    </row>
    <row r="168" ht="18.0" customHeight="1">
      <c r="A168" s="117" t="s">
        <v>507</v>
      </c>
      <c r="B168" s="95" t="s">
        <v>1995</v>
      </c>
      <c r="C168" s="205" t="s">
        <v>1996</v>
      </c>
      <c r="D168" s="198" t="s">
        <v>1997</v>
      </c>
      <c r="E168" s="199" t="s">
        <v>1211</v>
      </c>
      <c r="F168" s="98" t="s">
        <v>559</v>
      </c>
      <c r="G168" s="95" t="s">
        <v>978</v>
      </c>
      <c r="H168" s="95"/>
      <c r="I168" s="117" t="s">
        <v>978</v>
      </c>
      <c r="J168" s="76" t="s">
        <v>1204</v>
      </c>
      <c r="K168" s="95" t="s">
        <v>1998</v>
      </c>
      <c r="L168" s="137" t="s">
        <v>1999</v>
      </c>
      <c r="M168" s="96" t="s">
        <v>1027</v>
      </c>
      <c r="N168" s="99">
        <v>2025.0</v>
      </c>
      <c r="O168" s="96" t="s">
        <v>620</v>
      </c>
      <c r="P168" s="96" t="s">
        <v>1991</v>
      </c>
      <c r="Q168" s="96" t="s">
        <v>1207</v>
      </c>
      <c r="R168" s="200" t="s">
        <v>963</v>
      </c>
      <c r="S168" s="170" t="s">
        <v>1921</v>
      </c>
      <c r="T168" s="201" t="s">
        <v>2000</v>
      </c>
      <c r="U168" s="98"/>
      <c r="V168" s="101" t="s">
        <v>2001</v>
      </c>
      <c r="W168" s="76" t="s">
        <v>1211</v>
      </c>
      <c r="X168" s="98"/>
      <c r="Y168" s="98"/>
      <c r="Z168" s="98"/>
      <c r="AA168" s="98"/>
      <c r="AB168" s="98"/>
      <c r="AC168" s="98"/>
    </row>
    <row r="169" ht="17.25" customHeight="1">
      <c r="A169" s="117" t="s">
        <v>507</v>
      </c>
      <c r="B169" s="95" t="s">
        <v>2002</v>
      </c>
      <c r="C169" s="207" t="s">
        <v>2003</v>
      </c>
      <c r="D169" s="198" t="s">
        <v>2004</v>
      </c>
      <c r="E169" s="199" t="s">
        <v>1211</v>
      </c>
      <c r="F169" s="98" t="s">
        <v>559</v>
      </c>
      <c r="G169" s="95" t="s">
        <v>978</v>
      </c>
      <c r="H169" s="95"/>
      <c r="I169" s="95" t="s">
        <v>966</v>
      </c>
      <c r="J169" s="76" t="s">
        <v>1068</v>
      </c>
      <c r="K169" s="206" t="s">
        <v>979</v>
      </c>
      <c r="L169" s="137" t="s">
        <v>1418</v>
      </c>
      <c r="M169" s="96" t="s">
        <v>1027</v>
      </c>
      <c r="N169" s="99">
        <v>2025.0</v>
      </c>
      <c r="O169" s="96" t="s">
        <v>1583</v>
      </c>
      <c r="P169" s="96" t="s">
        <v>1991</v>
      </c>
      <c r="Q169" s="96" t="s">
        <v>1207</v>
      </c>
      <c r="R169" s="200" t="s">
        <v>963</v>
      </c>
      <c r="S169" s="170" t="s">
        <v>1063</v>
      </c>
      <c r="T169" s="201" t="s">
        <v>2005</v>
      </c>
      <c r="U169" s="95" t="s">
        <v>2006</v>
      </c>
      <c r="V169" s="101" t="s">
        <v>2007</v>
      </c>
      <c r="W169" s="76" t="s">
        <v>1211</v>
      </c>
      <c r="X169" s="98"/>
      <c r="Y169" s="98"/>
      <c r="Z169" s="98"/>
      <c r="AA169" s="98"/>
      <c r="AB169" s="98"/>
      <c r="AC169" s="98"/>
    </row>
    <row r="170" ht="16.5" customHeight="1">
      <c r="A170" s="152" t="s">
        <v>261</v>
      </c>
      <c r="B170" s="153" t="s">
        <v>415</v>
      </c>
      <c r="C170" s="153" t="s">
        <v>416</v>
      </c>
      <c r="D170" s="208" t="s">
        <v>2008</v>
      </c>
      <c r="E170" s="152" t="s">
        <v>1458</v>
      </c>
      <c r="F170" s="153" t="s">
        <v>49</v>
      </c>
      <c r="G170" s="152" t="s">
        <v>987</v>
      </c>
      <c r="H170" s="152"/>
      <c r="I170" s="152" t="s">
        <v>1039</v>
      </c>
      <c r="J170" s="151" t="s">
        <v>1040</v>
      </c>
      <c r="K170" s="209" t="s">
        <v>1334</v>
      </c>
      <c r="L170" s="209" t="s">
        <v>2009</v>
      </c>
      <c r="M170" s="189" t="s">
        <v>1027</v>
      </c>
      <c r="N170" s="150">
        <v>2022.0</v>
      </c>
      <c r="O170" s="189" t="s">
        <v>992</v>
      </c>
      <c r="P170" s="189" t="s">
        <v>972</v>
      </c>
      <c r="Q170" s="189" t="s">
        <v>972</v>
      </c>
      <c r="R170" s="151" t="s">
        <v>1482</v>
      </c>
      <c r="S170" s="210" t="s">
        <v>1895</v>
      </c>
      <c r="T170" s="210" t="s">
        <v>2010</v>
      </c>
      <c r="U170" s="153"/>
      <c r="V170" s="154" t="s">
        <v>2011</v>
      </c>
      <c r="W170" s="76" t="s">
        <v>931</v>
      </c>
      <c r="X170" s="153"/>
      <c r="Y170" s="37"/>
      <c r="Z170" s="37"/>
      <c r="AA170" s="37"/>
      <c r="AB170" s="37"/>
      <c r="AC170" s="37"/>
    </row>
    <row r="171" ht="14.25" customHeight="1">
      <c r="A171" s="26" t="s">
        <v>261</v>
      </c>
      <c r="B171" s="37" t="s">
        <v>424</v>
      </c>
      <c r="C171" s="37" t="s">
        <v>425</v>
      </c>
      <c r="D171" s="139" t="s">
        <v>2012</v>
      </c>
      <c r="E171" s="26" t="s">
        <v>1458</v>
      </c>
      <c r="F171" s="37" t="s">
        <v>49</v>
      </c>
      <c r="G171" s="211" t="s">
        <v>2013</v>
      </c>
      <c r="H171" s="26"/>
      <c r="I171" s="72" t="s">
        <v>966</v>
      </c>
      <c r="J171" s="212" t="s">
        <v>2014</v>
      </c>
      <c r="K171" s="74" t="s">
        <v>466</v>
      </c>
      <c r="L171" s="74" t="s">
        <v>2015</v>
      </c>
      <c r="M171" s="71" t="s">
        <v>1019</v>
      </c>
      <c r="N171" s="75">
        <v>2022.0</v>
      </c>
      <c r="O171" s="71" t="s">
        <v>992</v>
      </c>
      <c r="P171" s="71" t="s">
        <v>972</v>
      </c>
      <c r="Q171" s="71" t="s">
        <v>972</v>
      </c>
      <c r="R171" s="67" t="s">
        <v>1281</v>
      </c>
      <c r="S171" s="211" t="s">
        <v>1055</v>
      </c>
      <c r="T171" s="213" t="s">
        <v>2016</v>
      </c>
      <c r="U171" s="37"/>
      <c r="V171" s="39" t="s">
        <v>2017</v>
      </c>
      <c r="W171" s="76" t="s">
        <v>1032</v>
      </c>
      <c r="X171" s="37"/>
      <c r="Y171" s="37"/>
      <c r="Z171" s="37"/>
      <c r="AA171" s="37"/>
      <c r="AB171" s="37"/>
      <c r="AC171" s="37"/>
    </row>
    <row r="172" ht="15.0" customHeight="1">
      <c r="A172" s="26" t="s">
        <v>261</v>
      </c>
      <c r="B172" s="37" t="s">
        <v>258</v>
      </c>
      <c r="C172" s="37" t="s">
        <v>259</v>
      </c>
      <c r="D172" s="214" t="s">
        <v>2018</v>
      </c>
      <c r="E172" s="26" t="s">
        <v>1458</v>
      </c>
      <c r="F172" s="37" t="s">
        <v>49</v>
      </c>
      <c r="G172" s="211" t="s">
        <v>1433</v>
      </c>
      <c r="H172" s="26"/>
      <c r="I172" s="72" t="s">
        <v>966</v>
      </c>
      <c r="J172" s="67" t="s">
        <v>1204</v>
      </c>
      <c r="K172" s="74" t="s">
        <v>1009</v>
      </c>
      <c r="L172" s="74" t="s">
        <v>2019</v>
      </c>
      <c r="M172" s="71" t="s">
        <v>1367</v>
      </c>
      <c r="N172" s="75">
        <v>2024.0</v>
      </c>
      <c r="O172" s="71" t="s">
        <v>2020</v>
      </c>
      <c r="P172" s="71" t="s">
        <v>981</v>
      </c>
      <c r="Q172" s="71" t="s">
        <v>982</v>
      </c>
      <c r="R172" s="67" t="s">
        <v>963</v>
      </c>
      <c r="S172" s="211" t="s">
        <v>1055</v>
      </c>
      <c r="T172" s="213" t="s">
        <v>2021</v>
      </c>
      <c r="U172" s="37"/>
      <c r="V172" s="39" t="s">
        <v>2022</v>
      </c>
      <c r="W172" s="76" t="s">
        <v>1032</v>
      </c>
      <c r="X172" s="37"/>
      <c r="Y172" s="37"/>
      <c r="Z172" s="37"/>
      <c r="AA172" s="37"/>
      <c r="AB172" s="37"/>
      <c r="AC172" s="37"/>
    </row>
    <row r="173" ht="14.25" customHeight="1">
      <c r="A173" s="26" t="s">
        <v>261</v>
      </c>
      <c r="B173" s="215" t="s">
        <v>262</v>
      </c>
      <c r="C173" s="215" t="s">
        <v>263</v>
      </c>
      <c r="D173" s="216" t="s">
        <v>2023</v>
      </c>
      <c r="E173" s="28" t="s">
        <v>1458</v>
      </c>
      <c r="F173" s="215" t="s">
        <v>49</v>
      </c>
      <c r="G173" s="217" t="s">
        <v>1113</v>
      </c>
      <c r="H173" s="28"/>
      <c r="I173" s="28" t="s">
        <v>162</v>
      </c>
      <c r="J173" s="212" t="s">
        <v>2024</v>
      </c>
      <c r="K173" s="91" t="s">
        <v>1248</v>
      </c>
      <c r="L173" s="91" t="s">
        <v>2025</v>
      </c>
      <c r="M173" s="88" t="s">
        <v>1027</v>
      </c>
      <c r="N173" s="75">
        <v>2024.0</v>
      </c>
      <c r="O173" s="71" t="s">
        <v>992</v>
      </c>
      <c r="P173" s="71" t="s">
        <v>972</v>
      </c>
      <c r="Q173" s="71" t="s">
        <v>972</v>
      </c>
      <c r="R173" s="77" t="s">
        <v>1281</v>
      </c>
      <c r="S173" s="217" t="s">
        <v>1921</v>
      </c>
      <c r="T173" s="218" t="s">
        <v>1930</v>
      </c>
      <c r="U173" s="215"/>
      <c r="V173" s="39" t="s">
        <v>2026</v>
      </c>
      <c r="W173" s="76" t="s">
        <v>1032</v>
      </c>
      <c r="X173" s="37"/>
      <c r="Y173" s="37"/>
      <c r="Z173" s="37"/>
      <c r="AA173" s="37"/>
      <c r="AB173" s="37"/>
      <c r="AC173" s="37"/>
    </row>
    <row r="174" ht="14.25" customHeight="1">
      <c r="A174" s="26" t="s">
        <v>261</v>
      </c>
      <c r="B174" s="37" t="s">
        <v>479</v>
      </c>
      <c r="C174" s="37" t="s">
        <v>480</v>
      </c>
      <c r="D174" s="214" t="s">
        <v>2027</v>
      </c>
      <c r="E174" s="26" t="s">
        <v>1458</v>
      </c>
      <c r="F174" s="37" t="s">
        <v>49</v>
      </c>
      <c r="G174" s="26" t="s">
        <v>1294</v>
      </c>
      <c r="H174" s="26"/>
      <c r="I174" s="26" t="s">
        <v>162</v>
      </c>
      <c r="J174" s="212" t="s">
        <v>2028</v>
      </c>
      <c r="K174" s="74" t="s">
        <v>1009</v>
      </c>
      <c r="L174" s="74" t="s">
        <v>2029</v>
      </c>
      <c r="M174" s="71" t="s">
        <v>1011</v>
      </c>
      <c r="N174" s="75">
        <v>2021.0</v>
      </c>
      <c r="O174" s="71" t="s">
        <v>992</v>
      </c>
      <c r="P174" s="71" t="s">
        <v>972</v>
      </c>
      <c r="Q174" s="71" t="s">
        <v>972</v>
      </c>
      <c r="R174" s="67" t="s">
        <v>1281</v>
      </c>
      <c r="S174" s="211" t="s">
        <v>1640</v>
      </c>
      <c r="T174" s="213" t="s">
        <v>2030</v>
      </c>
      <c r="U174" s="37"/>
      <c r="V174" s="39" t="s">
        <v>2031</v>
      </c>
      <c r="W174" s="76" t="s">
        <v>931</v>
      </c>
      <c r="X174" s="37"/>
      <c r="Y174" s="37"/>
      <c r="Z174" s="37"/>
      <c r="AA174" s="37"/>
      <c r="AB174" s="37"/>
      <c r="AC174" s="37"/>
    </row>
    <row r="175" ht="15.0" customHeight="1">
      <c r="A175" s="26" t="s">
        <v>261</v>
      </c>
      <c r="B175" s="37" t="s">
        <v>482</v>
      </c>
      <c r="C175" s="37" t="s">
        <v>483</v>
      </c>
      <c r="D175" s="214" t="s">
        <v>2032</v>
      </c>
      <c r="E175" s="26" t="s">
        <v>1458</v>
      </c>
      <c r="F175" s="37" t="s">
        <v>49</v>
      </c>
      <c r="G175" s="26" t="s">
        <v>1273</v>
      </c>
      <c r="H175" s="26"/>
      <c r="I175" s="26" t="s">
        <v>162</v>
      </c>
      <c r="J175" s="69" t="s">
        <v>2033</v>
      </c>
      <c r="K175" s="74" t="s">
        <v>1248</v>
      </c>
      <c r="L175" s="74" t="s">
        <v>1018</v>
      </c>
      <c r="M175" s="71" t="s">
        <v>1027</v>
      </c>
      <c r="N175" s="75">
        <v>2021.0</v>
      </c>
      <c r="O175" s="71" t="s">
        <v>992</v>
      </c>
      <c r="P175" s="71" t="s">
        <v>972</v>
      </c>
      <c r="Q175" s="71" t="s">
        <v>972</v>
      </c>
      <c r="R175" s="67" t="s">
        <v>1281</v>
      </c>
      <c r="S175" s="211" t="s">
        <v>1921</v>
      </c>
      <c r="T175" s="213" t="s">
        <v>1930</v>
      </c>
      <c r="U175" s="37"/>
      <c r="V175" s="39" t="s">
        <v>2034</v>
      </c>
      <c r="W175" s="76" t="s">
        <v>1032</v>
      </c>
      <c r="X175" s="37"/>
      <c r="Y175" s="37"/>
      <c r="Z175" s="37"/>
      <c r="AA175" s="37"/>
      <c r="AB175" s="37"/>
      <c r="AC175" s="37"/>
    </row>
    <row r="176" ht="15.75" customHeight="1">
      <c r="A176" s="26" t="s">
        <v>261</v>
      </c>
      <c r="B176" s="37" t="s">
        <v>318</v>
      </c>
      <c r="C176" s="26" t="s">
        <v>319</v>
      </c>
      <c r="D176" s="139" t="s">
        <v>2035</v>
      </c>
      <c r="E176" s="26" t="s">
        <v>1458</v>
      </c>
      <c r="F176" s="37" t="s">
        <v>49</v>
      </c>
      <c r="G176" s="26" t="s">
        <v>162</v>
      </c>
      <c r="H176" s="26"/>
      <c r="I176" s="26" t="s">
        <v>162</v>
      </c>
      <c r="J176" s="67" t="s">
        <v>988</v>
      </c>
      <c r="K176" s="74"/>
      <c r="L176" s="74" t="s">
        <v>2036</v>
      </c>
      <c r="M176" s="71" t="s">
        <v>1019</v>
      </c>
      <c r="N176" s="75">
        <v>2024.0</v>
      </c>
      <c r="O176" s="71" t="s">
        <v>992</v>
      </c>
      <c r="P176" s="71" t="s">
        <v>1206</v>
      </c>
      <c r="Q176" s="71" t="s">
        <v>1207</v>
      </c>
      <c r="R176" s="67" t="s">
        <v>963</v>
      </c>
      <c r="S176" s="211" t="s">
        <v>2037</v>
      </c>
      <c r="T176" s="213" t="s">
        <v>1872</v>
      </c>
      <c r="U176" s="37"/>
      <c r="V176" s="39" t="s">
        <v>2038</v>
      </c>
      <c r="W176" s="76" t="s">
        <v>931</v>
      </c>
      <c r="X176" s="37"/>
      <c r="Y176" s="37"/>
      <c r="Z176" s="37"/>
      <c r="AA176" s="37"/>
      <c r="AB176" s="37"/>
      <c r="AC176" s="37"/>
    </row>
    <row r="177" ht="15.75" customHeight="1">
      <c r="A177" s="26" t="s">
        <v>261</v>
      </c>
      <c r="B177" s="37" t="s">
        <v>334</v>
      </c>
      <c r="C177" s="37" t="s">
        <v>335</v>
      </c>
      <c r="D177" s="214" t="s">
        <v>2039</v>
      </c>
      <c r="E177" s="26" t="s">
        <v>1458</v>
      </c>
      <c r="F177" s="26" t="s">
        <v>49</v>
      </c>
      <c r="G177" s="26" t="s">
        <v>162</v>
      </c>
      <c r="H177" s="26"/>
      <c r="I177" s="26" t="s">
        <v>162</v>
      </c>
      <c r="J177" s="67" t="s">
        <v>988</v>
      </c>
      <c r="K177" s="74" t="s">
        <v>1009</v>
      </c>
      <c r="L177" s="74" t="s">
        <v>2040</v>
      </c>
      <c r="M177" s="71" t="s">
        <v>2041</v>
      </c>
      <c r="N177" s="75">
        <v>2023.0</v>
      </c>
      <c r="O177" s="71" t="s">
        <v>992</v>
      </c>
      <c r="P177" s="71" t="s">
        <v>972</v>
      </c>
      <c r="Q177" s="71" t="s">
        <v>972</v>
      </c>
      <c r="R177" s="67" t="s">
        <v>1534</v>
      </c>
      <c r="S177" s="211" t="s">
        <v>1063</v>
      </c>
      <c r="T177" s="213" t="s">
        <v>1889</v>
      </c>
      <c r="U177" s="37"/>
      <c r="V177" s="39" t="s">
        <v>2042</v>
      </c>
      <c r="W177" s="76" t="s">
        <v>931</v>
      </c>
      <c r="X177" s="37"/>
      <c r="Y177" s="37"/>
      <c r="Z177" s="37"/>
      <c r="AA177" s="37"/>
      <c r="AB177" s="37"/>
      <c r="AC177" s="37"/>
    </row>
    <row r="178" ht="12.75" customHeight="1">
      <c r="A178" s="26" t="s">
        <v>261</v>
      </c>
      <c r="B178" s="37" t="s">
        <v>339</v>
      </c>
      <c r="C178" s="37" t="s">
        <v>340</v>
      </c>
      <c r="D178" s="214" t="s">
        <v>2043</v>
      </c>
      <c r="E178" s="26" t="s">
        <v>1458</v>
      </c>
      <c r="F178" s="26" t="s">
        <v>49</v>
      </c>
      <c r="G178" s="26" t="s">
        <v>1433</v>
      </c>
      <c r="H178" s="26"/>
      <c r="I178" s="72" t="s">
        <v>966</v>
      </c>
      <c r="J178" s="67" t="s">
        <v>1204</v>
      </c>
      <c r="K178" s="74" t="s">
        <v>2044</v>
      </c>
      <c r="L178" s="79"/>
      <c r="M178" s="71" t="s">
        <v>2045</v>
      </c>
      <c r="N178" s="75">
        <v>2023.0</v>
      </c>
      <c r="O178" s="71" t="s">
        <v>980</v>
      </c>
      <c r="P178" s="71" t="s">
        <v>2046</v>
      </c>
      <c r="Q178" s="71" t="s">
        <v>972</v>
      </c>
      <c r="R178" s="67" t="s">
        <v>963</v>
      </c>
      <c r="S178" s="211" t="s">
        <v>1921</v>
      </c>
      <c r="T178" s="213" t="s">
        <v>2047</v>
      </c>
      <c r="U178" s="37"/>
      <c r="V178" s="39" t="s">
        <v>2048</v>
      </c>
      <c r="W178" s="76" t="s">
        <v>931</v>
      </c>
      <c r="X178" s="37"/>
      <c r="Y178" s="37"/>
      <c r="Z178" s="37"/>
      <c r="AA178" s="37"/>
      <c r="AB178" s="37"/>
      <c r="AC178" s="37"/>
    </row>
    <row r="179" ht="12.75" customHeight="1">
      <c r="A179" s="26" t="s">
        <v>261</v>
      </c>
      <c r="B179" s="26" t="s">
        <v>759</v>
      </c>
      <c r="C179" s="26" t="s">
        <v>760</v>
      </c>
      <c r="D179" s="219" t="s">
        <v>2049</v>
      </c>
      <c r="E179" s="26" t="s">
        <v>1458</v>
      </c>
      <c r="F179" s="37" t="s">
        <v>49</v>
      </c>
      <c r="G179" s="26" t="s">
        <v>1215</v>
      </c>
      <c r="H179" s="26"/>
      <c r="I179" s="26" t="s">
        <v>162</v>
      </c>
      <c r="J179" s="67" t="s">
        <v>999</v>
      </c>
      <c r="K179" s="74" t="s">
        <v>1224</v>
      </c>
      <c r="L179" s="74" t="s">
        <v>2050</v>
      </c>
      <c r="M179" s="71" t="s">
        <v>1019</v>
      </c>
      <c r="N179" s="75">
        <v>2025.0</v>
      </c>
      <c r="O179" s="71" t="s">
        <v>1611</v>
      </c>
      <c r="P179" s="71" t="s">
        <v>972</v>
      </c>
      <c r="Q179" s="71" t="s">
        <v>972</v>
      </c>
      <c r="R179" s="67" t="s">
        <v>963</v>
      </c>
      <c r="S179" s="211" t="s">
        <v>1640</v>
      </c>
      <c r="T179" s="213" t="s">
        <v>2051</v>
      </c>
      <c r="U179" s="37"/>
      <c r="V179" s="39" t="s">
        <v>2052</v>
      </c>
      <c r="W179" s="76" t="s">
        <v>1032</v>
      </c>
      <c r="X179" s="37"/>
      <c r="Y179" s="37"/>
      <c r="Z179" s="37"/>
      <c r="AA179" s="37"/>
      <c r="AB179" s="37"/>
      <c r="AC179" s="37"/>
    </row>
    <row r="180" ht="12.75" customHeight="1">
      <c r="A180" s="26" t="s">
        <v>261</v>
      </c>
      <c r="B180" s="26" t="s">
        <v>762</v>
      </c>
      <c r="C180" s="26" t="s">
        <v>763</v>
      </c>
      <c r="D180" s="214" t="s">
        <v>2053</v>
      </c>
      <c r="E180" s="26" t="s">
        <v>1458</v>
      </c>
      <c r="F180" s="37" t="s">
        <v>49</v>
      </c>
      <c r="G180" s="26" t="s">
        <v>987</v>
      </c>
      <c r="H180" s="26"/>
      <c r="I180" s="26" t="s">
        <v>162</v>
      </c>
      <c r="J180" s="67" t="s">
        <v>988</v>
      </c>
      <c r="K180" s="74" t="s">
        <v>1146</v>
      </c>
      <c r="L180" s="74" t="s">
        <v>1300</v>
      </c>
      <c r="M180" s="71" t="s">
        <v>1457</v>
      </c>
      <c r="N180" s="75">
        <v>2025.0</v>
      </c>
      <c r="O180" s="71" t="s">
        <v>992</v>
      </c>
      <c r="P180" s="71" t="s">
        <v>972</v>
      </c>
      <c r="Q180" s="71" t="s">
        <v>972</v>
      </c>
      <c r="R180" s="67" t="s">
        <v>1281</v>
      </c>
      <c r="S180" s="211" t="s">
        <v>1921</v>
      </c>
      <c r="T180" s="27" t="s">
        <v>2054</v>
      </c>
      <c r="U180" s="37"/>
      <c r="V180" s="39" t="s">
        <v>2055</v>
      </c>
      <c r="W180" s="76" t="s">
        <v>931</v>
      </c>
      <c r="X180" s="37"/>
      <c r="Y180" s="37"/>
      <c r="Z180" s="37"/>
      <c r="AA180" s="37"/>
      <c r="AB180" s="37"/>
      <c r="AC180" s="37"/>
    </row>
    <row r="181" ht="13.5" customHeight="1">
      <c r="A181" s="26" t="s">
        <v>261</v>
      </c>
      <c r="B181" s="26" t="s">
        <v>765</v>
      </c>
      <c r="C181" s="26" t="s">
        <v>766</v>
      </c>
      <c r="D181" s="214" t="s">
        <v>2056</v>
      </c>
      <c r="E181" s="26" t="s">
        <v>1458</v>
      </c>
      <c r="F181" s="26" t="s">
        <v>49</v>
      </c>
      <c r="G181" s="26" t="s">
        <v>2057</v>
      </c>
      <c r="H181" s="26"/>
      <c r="I181" s="26" t="s">
        <v>162</v>
      </c>
      <c r="J181" s="67" t="s">
        <v>2058</v>
      </c>
      <c r="K181" s="79" t="s">
        <v>979</v>
      </c>
      <c r="L181" s="74" t="s">
        <v>2059</v>
      </c>
      <c r="M181" s="71" t="s">
        <v>2041</v>
      </c>
      <c r="N181" s="75">
        <v>2025.0</v>
      </c>
      <c r="O181" s="71" t="s">
        <v>1611</v>
      </c>
      <c r="P181" s="71" t="s">
        <v>1020</v>
      </c>
      <c r="Q181" s="71" t="s">
        <v>1021</v>
      </c>
      <c r="R181" s="67" t="s">
        <v>963</v>
      </c>
      <c r="S181" s="211" t="s">
        <v>1921</v>
      </c>
      <c r="T181" s="213" t="s">
        <v>2060</v>
      </c>
      <c r="U181" s="37"/>
      <c r="V181" s="39" t="s">
        <v>2061</v>
      </c>
      <c r="W181" s="76" t="s">
        <v>931</v>
      </c>
      <c r="X181" s="37"/>
      <c r="Y181" s="37"/>
      <c r="Z181" s="37"/>
      <c r="AA181" s="37"/>
      <c r="AB181" s="37"/>
      <c r="AC181" s="37"/>
    </row>
    <row r="182" ht="15.0" customHeight="1">
      <c r="A182" s="26" t="s">
        <v>261</v>
      </c>
      <c r="B182" s="220" t="s">
        <v>812</v>
      </c>
      <c r="C182" s="220" t="s">
        <v>813</v>
      </c>
      <c r="D182" s="221" t="s">
        <v>2062</v>
      </c>
      <c r="E182" s="26" t="s">
        <v>1458</v>
      </c>
      <c r="F182" s="37" t="s">
        <v>49</v>
      </c>
      <c r="G182" s="26" t="s">
        <v>978</v>
      </c>
      <c r="H182" s="26"/>
      <c r="I182" s="72" t="s">
        <v>966</v>
      </c>
      <c r="J182" s="67" t="s">
        <v>1204</v>
      </c>
      <c r="K182" s="74" t="s">
        <v>1121</v>
      </c>
      <c r="L182" s="74" t="s">
        <v>2063</v>
      </c>
      <c r="M182" s="71" t="s">
        <v>1027</v>
      </c>
      <c r="N182" s="75">
        <v>2025.0</v>
      </c>
      <c r="O182" s="71" t="s">
        <v>1003</v>
      </c>
      <c r="P182" s="71" t="s">
        <v>972</v>
      </c>
      <c r="Q182" s="71" t="s">
        <v>972</v>
      </c>
      <c r="R182" s="67" t="s">
        <v>1281</v>
      </c>
      <c r="S182" s="211" t="s">
        <v>1967</v>
      </c>
      <c r="T182" s="27" t="s">
        <v>2064</v>
      </c>
      <c r="U182" s="37"/>
      <c r="V182" s="39" t="s">
        <v>2065</v>
      </c>
      <c r="W182" s="76" t="s">
        <v>931</v>
      </c>
      <c r="X182" s="37"/>
      <c r="Y182" s="37"/>
      <c r="Z182" s="37"/>
      <c r="AA182" s="37"/>
      <c r="AB182" s="37"/>
      <c r="AC182" s="37"/>
    </row>
    <row r="183" ht="12.75" customHeight="1">
      <c r="A183" s="26" t="s">
        <v>261</v>
      </c>
      <c r="B183" s="220" t="s">
        <v>814</v>
      </c>
      <c r="C183" s="220" t="s">
        <v>815</v>
      </c>
      <c r="D183" s="221" t="s">
        <v>2066</v>
      </c>
      <c r="E183" s="26" t="s">
        <v>1458</v>
      </c>
      <c r="F183" s="37" t="s">
        <v>49</v>
      </c>
      <c r="G183" s="26" t="s">
        <v>1294</v>
      </c>
      <c r="H183" s="26"/>
      <c r="I183" s="26" t="s">
        <v>162</v>
      </c>
      <c r="J183" s="212" t="s">
        <v>2067</v>
      </c>
      <c r="K183" s="74" t="s">
        <v>1009</v>
      </c>
      <c r="L183" s="74" t="s">
        <v>2068</v>
      </c>
      <c r="M183" s="71" t="s">
        <v>1027</v>
      </c>
      <c r="N183" s="75">
        <v>2025.0</v>
      </c>
      <c r="O183" s="71" t="s">
        <v>992</v>
      </c>
      <c r="P183" s="71" t="s">
        <v>972</v>
      </c>
      <c r="Q183" s="71" t="s">
        <v>972</v>
      </c>
      <c r="R183" s="67" t="s">
        <v>1281</v>
      </c>
      <c r="S183" s="211" t="s">
        <v>1921</v>
      </c>
      <c r="T183" s="213" t="s">
        <v>1889</v>
      </c>
      <c r="U183" s="37"/>
      <c r="V183" s="39" t="s">
        <v>2069</v>
      </c>
      <c r="W183" s="76" t="s">
        <v>931</v>
      </c>
      <c r="X183" s="37"/>
      <c r="Y183" s="37"/>
      <c r="Z183" s="37"/>
      <c r="AA183" s="37"/>
      <c r="AB183" s="37"/>
      <c r="AC183" s="37"/>
    </row>
    <row r="184" ht="15.75" customHeight="1">
      <c r="A184" s="117" t="s">
        <v>261</v>
      </c>
      <c r="B184" s="222" t="s">
        <v>817</v>
      </c>
      <c r="C184" s="222" t="s">
        <v>818</v>
      </c>
      <c r="D184" s="223" t="s">
        <v>2070</v>
      </c>
      <c r="E184" s="117" t="s">
        <v>1458</v>
      </c>
      <c r="F184" s="224" t="s">
        <v>559</v>
      </c>
      <c r="G184" s="117" t="s">
        <v>2071</v>
      </c>
      <c r="H184" s="117"/>
      <c r="I184" s="117" t="s">
        <v>162</v>
      </c>
      <c r="J184" s="76" t="s">
        <v>1068</v>
      </c>
      <c r="K184" s="137" t="s">
        <v>1650</v>
      </c>
      <c r="L184" s="137" t="s">
        <v>2072</v>
      </c>
      <c r="M184" s="96" t="s">
        <v>2073</v>
      </c>
      <c r="N184" s="99">
        <v>2025.0</v>
      </c>
      <c r="O184" s="96" t="s">
        <v>992</v>
      </c>
      <c r="P184" s="96" t="s">
        <v>1504</v>
      </c>
      <c r="Q184" s="96" t="s">
        <v>982</v>
      </c>
      <c r="R184" s="76" t="s">
        <v>963</v>
      </c>
      <c r="S184" s="224" t="s">
        <v>1063</v>
      </c>
      <c r="T184" s="225" t="s">
        <v>2074</v>
      </c>
      <c r="U184" s="118"/>
      <c r="V184" s="101" t="s">
        <v>2075</v>
      </c>
      <c r="W184" s="76" t="s">
        <v>931</v>
      </c>
      <c r="X184" s="224" t="s">
        <v>2076</v>
      </c>
      <c r="Y184" s="118"/>
      <c r="Z184" s="118"/>
      <c r="AA184" s="118"/>
      <c r="AB184" s="118"/>
      <c r="AC184" s="118"/>
    </row>
    <row r="185" ht="12.75" customHeight="1">
      <c r="A185" s="26" t="s">
        <v>261</v>
      </c>
      <c r="B185" s="220" t="s">
        <v>821</v>
      </c>
      <c r="C185" s="220" t="s">
        <v>822</v>
      </c>
      <c r="D185" s="221" t="s">
        <v>2077</v>
      </c>
      <c r="E185" s="211" t="s">
        <v>1458</v>
      </c>
      <c r="F185" s="37" t="s">
        <v>49</v>
      </c>
      <c r="G185" s="26" t="s">
        <v>987</v>
      </c>
      <c r="H185" s="211"/>
      <c r="I185" s="26" t="s">
        <v>162</v>
      </c>
      <c r="J185" s="67" t="s">
        <v>988</v>
      </c>
      <c r="K185" s="74" t="s">
        <v>1009</v>
      </c>
      <c r="L185" s="74" t="s">
        <v>2078</v>
      </c>
      <c r="M185" s="71" t="s">
        <v>1027</v>
      </c>
      <c r="N185" s="75">
        <v>2025.0</v>
      </c>
      <c r="O185" s="71" t="s">
        <v>992</v>
      </c>
      <c r="P185" s="71" t="s">
        <v>972</v>
      </c>
      <c r="Q185" s="71" t="s">
        <v>972</v>
      </c>
      <c r="R185" s="67" t="s">
        <v>1137</v>
      </c>
      <c r="S185" s="213" t="s">
        <v>2079</v>
      </c>
      <c r="T185" s="213" t="s">
        <v>2080</v>
      </c>
      <c r="U185" s="37"/>
      <c r="V185" s="39" t="s">
        <v>2081</v>
      </c>
      <c r="W185" s="76" t="s">
        <v>931</v>
      </c>
      <c r="X185" s="37"/>
      <c r="Y185" s="71" t="s">
        <v>2082</v>
      </c>
      <c r="Z185" s="37"/>
      <c r="AA185" s="37"/>
      <c r="AB185" s="37"/>
      <c r="AC185" s="37"/>
    </row>
    <row r="186" ht="15.75" customHeight="1">
      <c r="A186" s="26" t="s">
        <v>261</v>
      </c>
      <c r="B186" s="220" t="s">
        <v>840</v>
      </c>
      <c r="C186" s="220" t="s">
        <v>841</v>
      </c>
      <c r="D186" s="221" t="s">
        <v>2083</v>
      </c>
      <c r="E186" s="26" t="s">
        <v>1458</v>
      </c>
      <c r="F186" s="37" t="s">
        <v>49</v>
      </c>
      <c r="G186" s="26" t="s">
        <v>987</v>
      </c>
      <c r="H186" s="26"/>
      <c r="I186" s="26" t="s">
        <v>162</v>
      </c>
      <c r="J186" s="67" t="s">
        <v>988</v>
      </c>
      <c r="K186" s="74" t="s">
        <v>1009</v>
      </c>
      <c r="L186" s="74" t="s">
        <v>2084</v>
      </c>
      <c r="M186" s="71" t="s">
        <v>1027</v>
      </c>
      <c r="N186" s="75">
        <v>2025.0</v>
      </c>
      <c r="O186" s="71" t="s">
        <v>992</v>
      </c>
      <c r="P186" s="71" t="s">
        <v>972</v>
      </c>
      <c r="Q186" s="71" t="s">
        <v>972</v>
      </c>
      <c r="R186" s="67" t="s">
        <v>1137</v>
      </c>
      <c r="S186" s="211" t="s">
        <v>1063</v>
      </c>
      <c r="T186" s="213" t="s">
        <v>2085</v>
      </c>
      <c r="U186" s="37"/>
      <c r="V186" s="39" t="s">
        <v>2086</v>
      </c>
      <c r="W186" s="76" t="s">
        <v>1032</v>
      </c>
      <c r="X186" s="37"/>
      <c r="Y186" s="226">
        <f>COUNTIF($I:$I,"simulation")</f>
        <v>129</v>
      </c>
      <c r="Z186" s="37"/>
      <c r="AA186" s="37"/>
      <c r="AB186" s="37"/>
      <c r="AC186" s="37"/>
    </row>
    <row r="187" ht="13.5" customHeight="1">
      <c r="A187" s="26" t="s">
        <v>261</v>
      </c>
      <c r="B187" s="220" t="s">
        <v>848</v>
      </c>
      <c r="C187" s="220" t="s">
        <v>849</v>
      </c>
      <c r="D187" s="221" t="s">
        <v>2087</v>
      </c>
      <c r="E187" s="26" t="s">
        <v>1458</v>
      </c>
      <c r="F187" s="37" t="s">
        <v>49</v>
      </c>
      <c r="G187" s="26" t="s">
        <v>2088</v>
      </c>
      <c r="H187" s="26"/>
      <c r="I187" s="26" t="s">
        <v>162</v>
      </c>
      <c r="J187" s="212" t="s">
        <v>2089</v>
      </c>
      <c r="K187" s="74" t="s">
        <v>1009</v>
      </c>
      <c r="L187" s="74" t="s">
        <v>2090</v>
      </c>
      <c r="M187" s="71" t="s">
        <v>1027</v>
      </c>
      <c r="N187" s="75">
        <v>2025.0</v>
      </c>
      <c r="O187" s="71" t="s">
        <v>2091</v>
      </c>
      <c r="P187" s="71" t="s">
        <v>972</v>
      </c>
      <c r="Q187" s="71" t="s">
        <v>972</v>
      </c>
      <c r="R187" s="67" t="s">
        <v>2092</v>
      </c>
      <c r="S187" s="227" t="s">
        <v>1921</v>
      </c>
      <c r="T187" s="27" t="s">
        <v>2093</v>
      </c>
      <c r="U187" s="220"/>
      <c r="V187" s="39" t="s">
        <v>2094</v>
      </c>
      <c r="W187" s="76" t="s">
        <v>931</v>
      </c>
      <c r="X187" s="37"/>
      <c r="Y187" s="226"/>
      <c r="Z187" s="37"/>
      <c r="AA187" s="37"/>
      <c r="AB187" s="37"/>
      <c r="AC187" s="37"/>
    </row>
    <row r="188" ht="14.25" customHeight="1">
      <c r="A188" s="26" t="s">
        <v>261</v>
      </c>
      <c r="B188" s="26" t="s">
        <v>851</v>
      </c>
      <c r="C188" s="26" t="s">
        <v>852</v>
      </c>
      <c r="D188" s="122" t="s">
        <v>2095</v>
      </c>
      <c r="E188" s="26" t="s">
        <v>1458</v>
      </c>
      <c r="F188" s="37" t="s">
        <v>49</v>
      </c>
      <c r="G188" s="26" t="s">
        <v>987</v>
      </c>
      <c r="H188" s="26"/>
      <c r="I188" s="26" t="s">
        <v>162</v>
      </c>
      <c r="J188" s="67" t="s">
        <v>988</v>
      </c>
      <c r="K188" s="74" t="s">
        <v>1009</v>
      </c>
      <c r="L188" s="74" t="s">
        <v>2096</v>
      </c>
      <c r="M188" s="71" t="s">
        <v>1027</v>
      </c>
      <c r="N188" s="75">
        <v>2025.0</v>
      </c>
      <c r="O188" s="71" t="s">
        <v>992</v>
      </c>
      <c r="P188" s="71" t="s">
        <v>972</v>
      </c>
      <c r="Q188" s="71" t="s">
        <v>972</v>
      </c>
      <c r="R188" s="67" t="s">
        <v>1281</v>
      </c>
      <c r="S188" s="26" t="s">
        <v>1921</v>
      </c>
      <c r="T188" s="27" t="s">
        <v>2097</v>
      </c>
      <c r="V188" s="39" t="s">
        <v>2098</v>
      </c>
      <c r="W188" s="76" t="s">
        <v>1032</v>
      </c>
      <c r="Y188" s="226"/>
    </row>
    <row r="189" ht="14.25" customHeight="1">
      <c r="A189" s="26" t="s">
        <v>261</v>
      </c>
      <c r="B189" s="26" t="s">
        <v>896</v>
      </c>
      <c r="C189" s="26" t="s">
        <v>897</v>
      </c>
      <c r="D189" s="122" t="s">
        <v>2099</v>
      </c>
      <c r="E189" s="26" t="s">
        <v>1458</v>
      </c>
      <c r="F189" s="26" t="s">
        <v>49</v>
      </c>
      <c r="G189" s="26" t="s">
        <v>1186</v>
      </c>
      <c r="H189" s="26"/>
      <c r="I189" s="26" t="s">
        <v>162</v>
      </c>
      <c r="J189" s="67" t="s">
        <v>988</v>
      </c>
      <c r="K189" s="74" t="s">
        <v>1090</v>
      </c>
      <c r="L189" s="74" t="s">
        <v>2100</v>
      </c>
      <c r="M189" s="71" t="s">
        <v>1070</v>
      </c>
      <c r="N189" s="75">
        <v>2024.0</v>
      </c>
      <c r="O189" s="71" t="s">
        <v>992</v>
      </c>
      <c r="P189" s="71" t="s">
        <v>972</v>
      </c>
      <c r="Q189" s="71" t="s">
        <v>972</v>
      </c>
      <c r="R189" s="67" t="s">
        <v>963</v>
      </c>
      <c r="S189" s="26" t="s">
        <v>1967</v>
      </c>
      <c r="T189" s="27" t="s">
        <v>2101</v>
      </c>
      <c r="V189" s="39" t="s">
        <v>2102</v>
      </c>
      <c r="W189" s="76" t="s">
        <v>931</v>
      </c>
      <c r="Y189" s="226"/>
    </row>
    <row r="190" ht="13.5" customHeight="1">
      <c r="A190" s="28" t="s">
        <v>261</v>
      </c>
      <c r="B190" s="82" t="s">
        <v>2103</v>
      </c>
      <c r="C190" s="82" t="s">
        <v>2104</v>
      </c>
      <c r="D190" s="228" t="s">
        <v>2105</v>
      </c>
      <c r="E190" s="229" t="s">
        <v>1211</v>
      </c>
      <c r="F190" s="178" t="s">
        <v>47</v>
      </c>
      <c r="G190" s="230" t="s">
        <v>2106</v>
      </c>
      <c r="H190" s="230"/>
      <c r="I190" s="72" t="s">
        <v>966</v>
      </c>
      <c r="J190" s="177" t="s">
        <v>2107</v>
      </c>
      <c r="K190" s="229" t="s">
        <v>2108</v>
      </c>
      <c r="L190" s="87" t="s">
        <v>2109</v>
      </c>
      <c r="M190" s="88" t="s">
        <v>2110</v>
      </c>
      <c r="N190" s="92">
        <v>2026.0</v>
      </c>
      <c r="O190" s="88" t="s">
        <v>1003</v>
      </c>
      <c r="P190" s="231" t="s">
        <v>1729</v>
      </c>
      <c r="Q190" s="231" t="s">
        <v>1729</v>
      </c>
      <c r="R190" s="177" t="s">
        <v>2111</v>
      </c>
      <c r="S190" s="178" t="s">
        <v>1063</v>
      </c>
      <c r="T190" s="232" t="s">
        <v>2112</v>
      </c>
      <c r="U190" s="87" t="s">
        <v>2113</v>
      </c>
      <c r="V190" s="42" t="s">
        <v>2114</v>
      </c>
      <c r="W190" s="76" t="s">
        <v>931</v>
      </c>
      <c r="X190" s="87"/>
      <c r="Y190" s="226"/>
      <c r="Z190" s="215"/>
      <c r="AA190" s="215"/>
      <c r="AB190" s="215"/>
      <c r="AC190" s="215"/>
    </row>
    <row r="191" ht="12.0" customHeight="1">
      <c r="A191" s="28" t="s">
        <v>261</v>
      </c>
      <c r="B191" s="82" t="s">
        <v>2115</v>
      </c>
      <c r="C191" s="82" t="s">
        <v>2116</v>
      </c>
      <c r="D191" s="233" t="s">
        <v>2117</v>
      </c>
      <c r="E191" s="230" t="s">
        <v>931</v>
      </c>
      <c r="F191" s="178" t="s">
        <v>47</v>
      </c>
      <c r="G191" s="229" t="s">
        <v>2118</v>
      </c>
      <c r="H191" s="229"/>
      <c r="I191" s="229" t="s">
        <v>162</v>
      </c>
      <c r="J191" s="177" t="s">
        <v>988</v>
      </c>
      <c r="K191" s="229" t="s">
        <v>1009</v>
      </c>
      <c r="L191" s="229" t="s">
        <v>2119</v>
      </c>
      <c r="M191" s="88" t="s">
        <v>1002</v>
      </c>
      <c r="N191" s="234">
        <v>2025.0</v>
      </c>
      <c r="O191" s="231" t="s">
        <v>971</v>
      </c>
      <c r="P191" s="231" t="s">
        <v>972</v>
      </c>
      <c r="Q191" s="231" t="s">
        <v>972</v>
      </c>
      <c r="R191" s="177" t="s">
        <v>963</v>
      </c>
      <c r="S191" s="178" t="s">
        <v>1921</v>
      </c>
      <c r="T191" s="27" t="s">
        <v>2120</v>
      </c>
      <c r="U191" s="87" t="s">
        <v>2121</v>
      </c>
      <c r="V191" s="42" t="s">
        <v>2122</v>
      </c>
      <c r="W191" s="76" t="s">
        <v>931</v>
      </c>
      <c r="X191" s="87"/>
      <c r="Y191" s="226"/>
      <c r="Z191" s="215"/>
      <c r="AA191" s="215"/>
      <c r="AB191" s="215"/>
      <c r="AC191" s="215"/>
    </row>
    <row r="192" ht="12.75" customHeight="1">
      <c r="A192" s="26" t="s">
        <v>261</v>
      </c>
      <c r="B192" s="195" t="s">
        <v>2123</v>
      </c>
      <c r="C192" s="195" t="s">
        <v>2124</v>
      </c>
      <c r="D192" s="235" t="s">
        <v>2125</v>
      </c>
      <c r="E192" s="27" t="s">
        <v>931</v>
      </c>
      <c r="F192" s="167" t="s">
        <v>49</v>
      </c>
      <c r="G192" s="27" t="s">
        <v>2126</v>
      </c>
      <c r="H192" s="27"/>
      <c r="I192" s="27" t="s">
        <v>162</v>
      </c>
      <c r="J192" s="138" t="s">
        <v>988</v>
      </c>
      <c r="K192" s="124" t="s">
        <v>1009</v>
      </c>
      <c r="L192" s="236" t="s">
        <v>2127</v>
      </c>
      <c r="M192" s="71" t="s">
        <v>1027</v>
      </c>
      <c r="N192" s="75">
        <v>2026.0</v>
      </c>
      <c r="O192" s="157" t="s">
        <v>992</v>
      </c>
      <c r="P192" s="157" t="s">
        <v>972</v>
      </c>
      <c r="Q192" s="157" t="s">
        <v>972</v>
      </c>
      <c r="R192" s="138" t="s">
        <v>963</v>
      </c>
      <c r="S192" s="167" t="s">
        <v>1921</v>
      </c>
      <c r="T192" s="196" t="s">
        <v>2128</v>
      </c>
      <c r="U192" s="72" t="s">
        <v>2129</v>
      </c>
      <c r="V192" s="39" t="s">
        <v>2130</v>
      </c>
      <c r="W192" s="76" t="s">
        <v>1032</v>
      </c>
      <c r="X192" s="72"/>
      <c r="Y192" s="226"/>
    </row>
    <row r="193" ht="15.75" customHeight="1">
      <c r="A193" s="26" t="s">
        <v>261</v>
      </c>
      <c r="B193" s="195" t="s">
        <v>2131</v>
      </c>
      <c r="C193" s="195" t="s">
        <v>2132</v>
      </c>
      <c r="D193" s="235" t="s">
        <v>2133</v>
      </c>
      <c r="E193" s="124" t="s">
        <v>1211</v>
      </c>
      <c r="F193" s="167" t="s">
        <v>49</v>
      </c>
      <c r="G193" s="124" t="s">
        <v>2134</v>
      </c>
      <c r="H193" s="124"/>
      <c r="I193" s="124" t="s">
        <v>966</v>
      </c>
      <c r="J193" s="138" t="s">
        <v>2135</v>
      </c>
      <c r="K193" s="124" t="s">
        <v>1675</v>
      </c>
      <c r="L193" s="26" t="s">
        <v>2136</v>
      </c>
      <c r="M193" s="71" t="s">
        <v>1324</v>
      </c>
      <c r="N193" s="75">
        <v>2026.0</v>
      </c>
      <c r="O193" s="157" t="s">
        <v>1437</v>
      </c>
      <c r="P193" s="157" t="s">
        <v>972</v>
      </c>
      <c r="Q193" s="157" t="s">
        <v>972</v>
      </c>
      <c r="R193" s="138" t="s">
        <v>2137</v>
      </c>
      <c r="S193" s="167" t="s">
        <v>1921</v>
      </c>
      <c r="T193" s="196" t="s">
        <v>2138</v>
      </c>
      <c r="U193" s="72" t="s">
        <v>2129</v>
      </c>
      <c r="V193" s="39" t="s">
        <v>2139</v>
      </c>
      <c r="W193" s="76" t="s">
        <v>931</v>
      </c>
      <c r="X193" s="72"/>
      <c r="Y193" s="226"/>
    </row>
    <row r="194" ht="15.0" customHeight="1">
      <c r="A194" s="26" t="s">
        <v>261</v>
      </c>
      <c r="B194" s="195" t="s">
        <v>2140</v>
      </c>
      <c r="C194" s="195" t="s">
        <v>2141</v>
      </c>
      <c r="D194" s="237" t="s">
        <v>2142</v>
      </c>
      <c r="E194" s="124" t="s">
        <v>1211</v>
      </c>
      <c r="F194" s="167" t="s">
        <v>49</v>
      </c>
      <c r="G194" s="124" t="s">
        <v>2143</v>
      </c>
      <c r="H194" s="124"/>
      <c r="I194" s="124" t="s">
        <v>162</v>
      </c>
      <c r="J194" s="138" t="s">
        <v>1204</v>
      </c>
      <c r="K194" s="124" t="s">
        <v>2144</v>
      </c>
      <c r="L194" s="238" t="s">
        <v>998</v>
      </c>
      <c r="M194" s="71" t="s">
        <v>1002</v>
      </c>
      <c r="N194" s="75">
        <v>2025.0</v>
      </c>
      <c r="O194" s="157" t="s">
        <v>1437</v>
      </c>
      <c r="P194" s="71" t="s">
        <v>1081</v>
      </c>
      <c r="Q194" s="71" t="s">
        <v>1082</v>
      </c>
      <c r="R194" s="138" t="s">
        <v>963</v>
      </c>
      <c r="S194" s="167" t="s">
        <v>1063</v>
      </c>
      <c r="T194" s="196" t="s">
        <v>2145</v>
      </c>
      <c r="U194" s="123"/>
      <c r="V194" s="39" t="s">
        <v>2146</v>
      </c>
      <c r="W194" s="76" t="s">
        <v>1032</v>
      </c>
      <c r="X194" s="72"/>
      <c r="Y194" s="226"/>
    </row>
    <row r="195" ht="17.25" customHeight="1">
      <c r="A195" s="26" t="s">
        <v>261</v>
      </c>
      <c r="B195" s="195" t="s">
        <v>2147</v>
      </c>
      <c r="C195" s="195" t="s">
        <v>2148</v>
      </c>
      <c r="D195" s="235" t="s">
        <v>2149</v>
      </c>
      <c r="E195" s="27" t="s">
        <v>931</v>
      </c>
      <c r="F195" s="167" t="s">
        <v>49</v>
      </c>
      <c r="G195" s="124" t="s">
        <v>2150</v>
      </c>
      <c r="H195" s="124"/>
      <c r="I195" s="124" t="s">
        <v>1039</v>
      </c>
      <c r="J195" s="138" t="s">
        <v>1040</v>
      </c>
      <c r="K195" s="72" t="s">
        <v>1009</v>
      </c>
      <c r="L195" s="124" t="s">
        <v>2151</v>
      </c>
      <c r="M195" s="71" t="s">
        <v>1027</v>
      </c>
      <c r="N195" s="75">
        <v>2025.0</v>
      </c>
      <c r="O195" s="157" t="s">
        <v>1611</v>
      </c>
      <c r="P195" s="71" t="s">
        <v>2046</v>
      </c>
      <c r="Q195" s="71" t="s">
        <v>982</v>
      </c>
      <c r="R195" s="138" t="s">
        <v>2152</v>
      </c>
      <c r="S195" s="167" t="s">
        <v>2153</v>
      </c>
      <c r="T195" s="196" t="s">
        <v>1889</v>
      </c>
      <c r="U195" s="123"/>
      <c r="V195" s="39" t="s">
        <v>2154</v>
      </c>
      <c r="W195" s="76" t="s">
        <v>1032</v>
      </c>
      <c r="X195" s="72"/>
      <c r="Y195" s="226"/>
    </row>
    <row r="196" ht="16.5" customHeight="1">
      <c r="A196" s="26" t="s">
        <v>261</v>
      </c>
      <c r="B196" s="195" t="s">
        <v>2155</v>
      </c>
      <c r="C196" s="195" t="s">
        <v>2156</v>
      </c>
      <c r="D196" s="235" t="s">
        <v>2157</v>
      </c>
      <c r="E196" s="124" t="s">
        <v>1211</v>
      </c>
      <c r="F196" s="167" t="s">
        <v>49</v>
      </c>
      <c r="G196" s="27" t="s">
        <v>2158</v>
      </c>
      <c r="H196" s="27"/>
      <c r="I196" s="124" t="s">
        <v>966</v>
      </c>
      <c r="J196" s="138" t="s">
        <v>988</v>
      </c>
      <c r="K196" s="236" t="s">
        <v>1009</v>
      </c>
      <c r="L196" s="236" t="s">
        <v>2159</v>
      </c>
      <c r="M196" s="71" t="s">
        <v>2041</v>
      </c>
      <c r="N196" s="75">
        <v>2025.0</v>
      </c>
      <c r="O196" s="157" t="s">
        <v>992</v>
      </c>
      <c r="P196" s="157" t="s">
        <v>2160</v>
      </c>
      <c r="Q196" s="157" t="s">
        <v>982</v>
      </c>
      <c r="R196" s="138" t="s">
        <v>963</v>
      </c>
      <c r="S196" s="167" t="s">
        <v>1063</v>
      </c>
      <c r="T196" s="196" t="s">
        <v>2161</v>
      </c>
      <c r="U196" s="123"/>
      <c r="V196" s="39" t="s">
        <v>2162</v>
      </c>
      <c r="W196" s="76" t="s">
        <v>1032</v>
      </c>
      <c r="X196" s="72"/>
    </row>
    <row r="197" ht="15.0" customHeight="1">
      <c r="A197" s="26" t="s">
        <v>261</v>
      </c>
      <c r="B197" s="195" t="s">
        <v>2163</v>
      </c>
      <c r="C197" s="195" t="s">
        <v>2164</v>
      </c>
      <c r="D197" s="235" t="s">
        <v>2165</v>
      </c>
      <c r="E197" s="27" t="s">
        <v>931</v>
      </c>
      <c r="F197" s="167" t="s">
        <v>47</v>
      </c>
      <c r="G197" s="27" t="s">
        <v>2166</v>
      </c>
      <c r="H197" s="27"/>
      <c r="I197" s="124" t="s">
        <v>966</v>
      </c>
      <c r="J197" s="138" t="s">
        <v>1204</v>
      </c>
      <c r="K197" s="124" t="s">
        <v>1675</v>
      </c>
      <c r="L197" s="72" t="s">
        <v>2167</v>
      </c>
      <c r="M197" s="71" t="s">
        <v>1027</v>
      </c>
      <c r="N197" s="75">
        <v>2025.0</v>
      </c>
      <c r="O197" s="157" t="s">
        <v>2168</v>
      </c>
      <c r="P197" s="157" t="s">
        <v>972</v>
      </c>
      <c r="Q197" s="157" t="s">
        <v>972</v>
      </c>
      <c r="R197" s="138" t="s">
        <v>963</v>
      </c>
      <c r="S197" s="167" t="s">
        <v>1921</v>
      </c>
      <c r="T197" s="196" t="s">
        <v>2169</v>
      </c>
      <c r="U197" s="123"/>
      <c r="V197" s="39" t="s">
        <v>2170</v>
      </c>
      <c r="W197" s="76" t="s">
        <v>931</v>
      </c>
      <c r="X197" s="72" t="s">
        <v>2171</v>
      </c>
    </row>
    <row r="198" ht="15.0" customHeight="1">
      <c r="A198" s="117" t="s">
        <v>261</v>
      </c>
      <c r="B198" s="200" t="s">
        <v>2172</v>
      </c>
      <c r="C198" s="200" t="s">
        <v>2173</v>
      </c>
      <c r="D198" s="239" t="s">
        <v>2174</v>
      </c>
      <c r="E198" s="240" t="s">
        <v>931</v>
      </c>
      <c r="F198" s="170" t="s">
        <v>559</v>
      </c>
      <c r="G198" s="201" t="s">
        <v>2175</v>
      </c>
      <c r="H198" s="201"/>
      <c r="I198" s="201" t="s">
        <v>162</v>
      </c>
      <c r="J198" s="241" t="s">
        <v>988</v>
      </c>
      <c r="K198" s="137" t="s">
        <v>466</v>
      </c>
      <c r="L198" s="242" t="s">
        <v>1418</v>
      </c>
      <c r="M198" s="96" t="s">
        <v>1027</v>
      </c>
      <c r="N198" s="99">
        <v>2025.0</v>
      </c>
      <c r="O198" s="159" t="s">
        <v>1355</v>
      </c>
      <c r="P198" s="159" t="s">
        <v>2176</v>
      </c>
      <c r="Q198" s="159" t="s">
        <v>1021</v>
      </c>
      <c r="R198" s="241" t="s">
        <v>963</v>
      </c>
      <c r="S198" s="170" t="s">
        <v>2177</v>
      </c>
      <c r="T198" s="204" t="s">
        <v>2138</v>
      </c>
      <c r="U198" s="98"/>
      <c r="V198" s="101" t="s">
        <v>2178</v>
      </c>
      <c r="W198" s="76" t="s">
        <v>1211</v>
      </c>
      <c r="X198" s="95"/>
      <c r="Y198" s="118"/>
      <c r="Z198" s="118"/>
      <c r="AA198" s="118"/>
      <c r="AB198" s="118"/>
      <c r="AC198" s="118"/>
    </row>
    <row r="199" ht="13.5" customHeight="1">
      <c r="A199" s="117" t="s">
        <v>261</v>
      </c>
      <c r="B199" s="200" t="s">
        <v>2179</v>
      </c>
      <c r="C199" s="200" t="s">
        <v>2180</v>
      </c>
      <c r="D199" s="239" t="s">
        <v>2181</v>
      </c>
      <c r="E199" s="240" t="s">
        <v>931</v>
      </c>
      <c r="F199" s="170" t="s">
        <v>559</v>
      </c>
      <c r="G199" s="240" t="s">
        <v>2182</v>
      </c>
      <c r="H199" s="240"/>
      <c r="I199" s="243" t="s">
        <v>966</v>
      </c>
      <c r="J199" s="241" t="s">
        <v>1068</v>
      </c>
      <c r="K199" s="242" t="s">
        <v>2183</v>
      </c>
      <c r="L199" s="242" t="s">
        <v>2184</v>
      </c>
      <c r="M199" s="96" t="s">
        <v>1341</v>
      </c>
      <c r="N199" s="99">
        <v>2025.0</v>
      </c>
      <c r="O199" s="159" t="s">
        <v>992</v>
      </c>
      <c r="P199" s="159" t="s">
        <v>1020</v>
      </c>
      <c r="Q199" s="159" t="s">
        <v>1021</v>
      </c>
      <c r="R199" s="241" t="s">
        <v>963</v>
      </c>
      <c r="S199" s="170" t="s">
        <v>1063</v>
      </c>
      <c r="T199" s="204" t="s">
        <v>2185</v>
      </c>
      <c r="U199" s="98"/>
      <c r="V199" s="101" t="s">
        <v>2186</v>
      </c>
      <c r="W199" s="76" t="s">
        <v>1211</v>
      </c>
      <c r="X199" s="95"/>
      <c r="Y199" s="118"/>
      <c r="Z199" s="118"/>
      <c r="AA199" s="118"/>
      <c r="AB199" s="118"/>
      <c r="AC199" s="118"/>
    </row>
    <row r="200" ht="15.0" customHeight="1">
      <c r="A200" s="117" t="s">
        <v>261</v>
      </c>
      <c r="B200" s="200" t="s">
        <v>2187</v>
      </c>
      <c r="C200" s="200" t="s">
        <v>2188</v>
      </c>
      <c r="D200" s="239" t="s">
        <v>2189</v>
      </c>
      <c r="E200" s="240" t="s">
        <v>931</v>
      </c>
      <c r="F200" s="170" t="s">
        <v>559</v>
      </c>
      <c r="G200" s="240" t="s">
        <v>2190</v>
      </c>
      <c r="H200" s="240"/>
      <c r="I200" s="117" t="s">
        <v>978</v>
      </c>
      <c r="J200" s="241" t="s">
        <v>1204</v>
      </c>
      <c r="K200" s="242"/>
      <c r="L200" s="137"/>
      <c r="M200" s="96" t="s">
        <v>1070</v>
      </c>
      <c r="N200" s="99">
        <v>2025.0</v>
      </c>
      <c r="O200" s="159" t="s">
        <v>2191</v>
      </c>
      <c r="P200" s="159" t="s">
        <v>2192</v>
      </c>
      <c r="Q200" s="159" t="s">
        <v>1207</v>
      </c>
      <c r="R200" s="241" t="s">
        <v>963</v>
      </c>
      <c r="S200" s="170" t="s">
        <v>1063</v>
      </c>
      <c r="T200" s="204" t="s">
        <v>2193</v>
      </c>
      <c r="U200" s="95" t="s">
        <v>2194</v>
      </c>
      <c r="V200" s="101" t="s">
        <v>2195</v>
      </c>
      <c r="W200" s="76" t="s">
        <v>931</v>
      </c>
      <c r="X200" s="95"/>
      <c r="Y200" s="118"/>
      <c r="Z200" s="118"/>
      <c r="AA200" s="118"/>
      <c r="AB200" s="118"/>
      <c r="AC200" s="118"/>
    </row>
    <row r="201" ht="15.0" customHeight="1">
      <c r="A201" s="26" t="s">
        <v>261</v>
      </c>
      <c r="B201" s="195" t="s">
        <v>2196</v>
      </c>
      <c r="C201" s="195" t="s">
        <v>2197</v>
      </c>
      <c r="D201" s="235" t="s">
        <v>2198</v>
      </c>
      <c r="E201" s="124" t="s">
        <v>1211</v>
      </c>
      <c r="F201" s="167" t="s">
        <v>49</v>
      </c>
      <c r="G201" s="27" t="s">
        <v>2199</v>
      </c>
      <c r="H201" s="27"/>
      <c r="I201" s="27" t="s">
        <v>162</v>
      </c>
      <c r="J201" s="138" t="s">
        <v>988</v>
      </c>
      <c r="K201" s="74" t="s">
        <v>2200</v>
      </c>
      <c r="L201" s="74" t="s">
        <v>2201</v>
      </c>
      <c r="M201" s="71" t="s">
        <v>1027</v>
      </c>
      <c r="N201" s="75">
        <v>2025.0</v>
      </c>
      <c r="O201" s="157" t="s">
        <v>992</v>
      </c>
      <c r="P201" s="157" t="s">
        <v>1504</v>
      </c>
      <c r="Q201" s="157" t="s">
        <v>982</v>
      </c>
      <c r="R201" s="138" t="s">
        <v>963</v>
      </c>
      <c r="S201" s="167" t="s">
        <v>2202</v>
      </c>
      <c r="T201" s="196" t="s">
        <v>2203</v>
      </c>
      <c r="U201" s="123"/>
      <c r="V201" s="39" t="s">
        <v>2204</v>
      </c>
      <c r="W201" s="76" t="s">
        <v>1032</v>
      </c>
      <c r="X201" s="72"/>
    </row>
    <row r="202" ht="17.25" customHeight="1">
      <c r="A202" s="26" t="s">
        <v>261</v>
      </c>
      <c r="B202" s="195" t="s">
        <v>2205</v>
      </c>
      <c r="C202" s="195" t="s">
        <v>2206</v>
      </c>
      <c r="D202" s="237" t="s">
        <v>2207</v>
      </c>
      <c r="E202" s="27" t="s">
        <v>931</v>
      </c>
      <c r="F202" s="167" t="s">
        <v>47</v>
      </c>
      <c r="G202" s="27" t="s">
        <v>2208</v>
      </c>
      <c r="H202" s="27"/>
      <c r="I202" s="27" t="s">
        <v>162</v>
      </c>
      <c r="J202" s="138" t="s">
        <v>988</v>
      </c>
      <c r="K202" s="74" t="s">
        <v>1009</v>
      </c>
      <c r="L202" s="74" t="s">
        <v>2209</v>
      </c>
      <c r="M202" s="71" t="s">
        <v>1396</v>
      </c>
      <c r="N202" s="75">
        <v>2025.0</v>
      </c>
      <c r="O202" s="157" t="s">
        <v>992</v>
      </c>
      <c r="P202" s="157" t="s">
        <v>1729</v>
      </c>
      <c r="Q202" s="157" t="s">
        <v>1729</v>
      </c>
      <c r="R202" s="138" t="s">
        <v>963</v>
      </c>
      <c r="S202" s="167" t="s">
        <v>2210</v>
      </c>
      <c r="T202" s="27" t="s">
        <v>2211</v>
      </c>
      <c r="U202" s="123"/>
      <c r="V202" s="39" t="s">
        <v>2212</v>
      </c>
      <c r="W202" s="76" t="s">
        <v>931</v>
      </c>
      <c r="X202" s="72"/>
    </row>
    <row r="203" ht="15.0" customHeight="1">
      <c r="A203" s="26" t="s">
        <v>269</v>
      </c>
      <c r="B203" s="26" t="s">
        <v>2213</v>
      </c>
      <c r="C203" s="26" t="s">
        <v>2214</v>
      </c>
      <c r="D203" s="139" t="s">
        <v>2215</v>
      </c>
      <c r="E203" s="26" t="s">
        <v>931</v>
      </c>
      <c r="F203" s="26" t="s">
        <v>49</v>
      </c>
      <c r="G203" s="26" t="s">
        <v>2216</v>
      </c>
      <c r="I203" s="26" t="s">
        <v>162</v>
      </c>
      <c r="J203" s="67" t="s">
        <v>2217</v>
      </c>
      <c r="K203" s="74" t="s">
        <v>1248</v>
      </c>
      <c r="L203" s="74" t="s">
        <v>2218</v>
      </c>
      <c r="M203" s="71" t="s">
        <v>1027</v>
      </c>
      <c r="N203" s="75">
        <v>2025.0</v>
      </c>
      <c r="O203" s="71" t="s">
        <v>2219</v>
      </c>
      <c r="P203" s="71" t="s">
        <v>2220</v>
      </c>
      <c r="Q203" s="71" t="s">
        <v>2220</v>
      </c>
      <c r="R203" s="67" t="s">
        <v>2221</v>
      </c>
      <c r="S203" s="26" t="s">
        <v>2222</v>
      </c>
      <c r="T203" s="27" t="s">
        <v>2223</v>
      </c>
      <c r="U203" s="26" t="s">
        <v>2224</v>
      </c>
      <c r="V203" s="39" t="s">
        <v>2225</v>
      </c>
      <c r="W203" s="76" t="s">
        <v>1211</v>
      </c>
    </row>
    <row r="204" ht="13.5" customHeight="1">
      <c r="A204" s="26" t="s">
        <v>269</v>
      </c>
      <c r="B204" s="26" t="s">
        <v>2226</v>
      </c>
      <c r="C204" s="26" t="s">
        <v>2227</v>
      </c>
      <c r="D204" s="139" t="s">
        <v>2228</v>
      </c>
      <c r="E204" s="26" t="s">
        <v>931</v>
      </c>
      <c r="F204" s="26" t="s">
        <v>49</v>
      </c>
      <c r="G204" s="26" t="s">
        <v>2216</v>
      </c>
      <c r="I204" s="26" t="s">
        <v>162</v>
      </c>
      <c r="J204" s="67" t="s">
        <v>988</v>
      </c>
      <c r="K204" s="236" t="s">
        <v>2229</v>
      </c>
      <c r="L204" s="236" t="s">
        <v>2230</v>
      </c>
      <c r="M204" s="71" t="s">
        <v>1027</v>
      </c>
      <c r="N204" s="75">
        <v>2025.0</v>
      </c>
      <c r="O204" s="71" t="s">
        <v>1611</v>
      </c>
      <c r="P204" s="71" t="s">
        <v>2220</v>
      </c>
      <c r="Q204" s="71" t="s">
        <v>2220</v>
      </c>
      <c r="R204" s="67" t="s">
        <v>2231</v>
      </c>
      <c r="S204" s="26" t="s">
        <v>2232</v>
      </c>
      <c r="T204" s="26" t="s">
        <v>2233</v>
      </c>
      <c r="U204" s="27" t="s">
        <v>2234</v>
      </c>
      <c r="V204" s="39" t="s">
        <v>2235</v>
      </c>
      <c r="W204" s="76" t="s">
        <v>931</v>
      </c>
    </row>
    <row r="205" ht="15.0" customHeight="1">
      <c r="A205" s="117" t="s">
        <v>269</v>
      </c>
      <c r="B205" s="117" t="s">
        <v>2236</v>
      </c>
      <c r="C205" s="117" t="s">
        <v>576</v>
      </c>
      <c r="D205" s="244" t="s">
        <v>2237</v>
      </c>
      <c r="E205" s="117" t="s">
        <v>1458</v>
      </c>
      <c r="F205" s="117" t="s">
        <v>559</v>
      </c>
      <c r="G205" s="118"/>
      <c r="H205" s="118"/>
      <c r="I205" s="117" t="s">
        <v>966</v>
      </c>
      <c r="J205" s="76" t="s">
        <v>988</v>
      </c>
      <c r="K205" s="137" t="s">
        <v>1650</v>
      </c>
      <c r="L205" s="245" t="s">
        <v>2238</v>
      </c>
      <c r="M205" s="96" t="s">
        <v>1341</v>
      </c>
      <c r="N205" s="99">
        <v>2023.0</v>
      </c>
      <c r="O205" s="96" t="s">
        <v>2239</v>
      </c>
      <c r="P205" s="96" t="s">
        <v>2240</v>
      </c>
      <c r="Q205" s="96" t="s">
        <v>1207</v>
      </c>
      <c r="R205" s="76" t="s">
        <v>963</v>
      </c>
      <c r="S205" s="117" t="s">
        <v>2241</v>
      </c>
      <c r="T205" s="117" t="s">
        <v>2242</v>
      </c>
      <c r="U205" s="240" t="s">
        <v>2243</v>
      </c>
      <c r="V205" s="101" t="s">
        <v>2244</v>
      </c>
      <c r="W205" s="76" t="s">
        <v>931</v>
      </c>
      <c r="X205" s="118"/>
      <c r="Y205" s="118"/>
      <c r="Z205" s="118"/>
      <c r="AA205" s="118"/>
      <c r="AB205" s="118"/>
      <c r="AC205" s="118"/>
    </row>
    <row r="206" ht="17.25" customHeight="1">
      <c r="A206" s="117" t="s">
        <v>269</v>
      </c>
      <c r="B206" s="117" t="s">
        <v>2245</v>
      </c>
      <c r="C206" s="117" t="s">
        <v>586</v>
      </c>
      <c r="D206" s="244" t="s">
        <v>2246</v>
      </c>
      <c r="E206" s="117" t="s">
        <v>1458</v>
      </c>
      <c r="F206" s="117" t="s">
        <v>559</v>
      </c>
      <c r="G206" s="118"/>
      <c r="H206" s="118"/>
      <c r="I206" s="117" t="s">
        <v>162</v>
      </c>
      <c r="J206" s="76" t="s">
        <v>1204</v>
      </c>
      <c r="K206" s="137" t="s">
        <v>979</v>
      </c>
      <c r="L206" s="137" t="s">
        <v>1243</v>
      </c>
      <c r="M206" s="96" t="s">
        <v>1070</v>
      </c>
      <c r="N206" s="99">
        <v>2024.0</v>
      </c>
      <c r="O206" s="96" t="s">
        <v>2247</v>
      </c>
      <c r="P206" s="96" t="s">
        <v>2248</v>
      </c>
      <c r="Q206" s="96" t="s">
        <v>1207</v>
      </c>
      <c r="R206" s="76" t="s">
        <v>963</v>
      </c>
      <c r="S206" s="117" t="s">
        <v>2249</v>
      </c>
      <c r="T206" s="240" t="s">
        <v>2250</v>
      </c>
      <c r="U206" s="117" t="s">
        <v>2251</v>
      </c>
      <c r="V206" s="101" t="s">
        <v>2252</v>
      </c>
      <c r="W206" s="76" t="s">
        <v>1211</v>
      </c>
      <c r="X206" s="117" t="s">
        <v>2253</v>
      </c>
      <c r="Y206" s="118"/>
      <c r="Z206" s="118"/>
      <c r="AA206" s="118"/>
      <c r="AB206" s="118"/>
      <c r="AC206" s="118"/>
    </row>
    <row r="207">
      <c r="C207" s="246"/>
      <c r="J207" s="67"/>
      <c r="K207" s="79"/>
      <c r="L207" s="79"/>
      <c r="M207" s="71"/>
      <c r="N207" s="75"/>
      <c r="O207" s="71"/>
      <c r="P207" s="71"/>
      <c r="Q207" s="71"/>
      <c r="R207" s="67"/>
      <c r="V207" s="41"/>
    </row>
    <row r="208">
      <c r="C208" s="247"/>
      <c r="J208" s="68"/>
      <c r="K208" s="79"/>
      <c r="L208" s="79"/>
      <c r="M208" s="226"/>
      <c r="N208" s="248"/>
      <c r="O208" s="226"/>
      <c r="P208" s="226"/>
      <c r="Q208" s="226"/>
      <c r="R208" s="68"/>
      <c r="V208" s="41"/>
    </row>
    <row r="209">
      <c r="J209" s="68"/>
      <c r="K209" s="79"/>
      <c r="L209" s="79"/>
      <c r="M209" s="226"/>
      <c r="N209" s="248"/>
      <c r="O209" s="226"/>
      <c r="P209" s="226"/>
      <c r="Q209" s="226"/>
      <c r="R209" s="68"/>
      <c r="V209" s="41"/>
    </row>
    <row r="210">
      <c r="B210" s="26"/>
      <c r="C210" s="26"/>
      <c r="J210" s="68"/>
      <c r="K210" s="79"/>
      <c r="L210" s="79"/>
      <c r="M210" s="71"/>
      <c r="N210" s="248"/>
      <c r="O210" s="226"/>
      <c r="P210" s="226"/>
      <c r="Q210" s="226"/>
      <c r="R210" s="68"/>
      <c r="T210" s="27"/>
      <c r="V210" s="41"/>
    </row>
    <row r="211">
      <c r="B211" s="26"/>
      <c r="C211" s="26"/>
      <c r="J211" s="67"/>
      <c r="K211" s="79"/>
      <c r="L211" s="79"/>
      <c r="M211" s="226"/>
      <c r="N211" s="248"/>
      <c r="O211" s="226"/>
      <c r="P211" s="226"/>
      <c r="Q211" s="226"/>
      <c r="R211" s="68"/>
      <c r="T211" s="27"/>
      <c r="V211" s="41"/>
    </row>
    <row r="212">
      <c r="G212" s="28"/>
      <c r="H212" s="28"/>
      <c r="J212" s="68"/>
      <c r="K212" s="79"/>
      <c r="L212" s="79"/>
      <c r="M212" s="226"/>
      <c r="N212" s="248"/>
      <c r="O212" s="226"/>
      <c r="P212" s="226"/>
      <c r="Q212" s="226"/>
      <c r="R212" s="68"/>
      <c r="V212" s="41"/>
    </row>
    <row r="213">
      <c r="H213" s="28"/>
      <c r="J213" s="68"/>
      <c r="K213" s="79"/>
      <c r="L213" s="79"/>
      <c r="M213" s="226"/>
      <c r="N213" s="248"/>
      <c r="O213" s="226"/>
      <c r="P213" s="226"/>
      <c r="Q213" s="226"/>
      <c r="R213" s="68"/>
      <c r="V213" s="41"/>
    </row>
    <row r="214">
      <c r="J214" s="68"/>
      <c r="K214" s="79"/>
      <c r="L214" s="79"/>
      <c r="M214" s="226"/>
      <c r="N214" s="248"/>
      <c r="O214" s="226"/>
      <c r="P214" s="226"/>
      <c r="Q214" s="226"/>
      <c r="R214" s="68"/>
      <c r="V214" s="41"/>
    </row>
    <row r="215">
      <c r="J215" s="68"/>
      <c r="K215" s="79"/>
      <c r="L215" s="79"/>
      <c r="M215" s="226"/>
      <c r="N215" s="248"/>
      <c r="O215" s="226"/>
      <c r="P215" s="226"/>
      <c r="Q215" s="226"/>
      <c r="R215" s="68"/>
      <c r="V215" s="41"/>
    </row>
    <row r="216">
      <c r="J216" s="68"/>
      <c r="K216" s="79"/>
      <c r="L216" s="79"/>
      <c r="M216" s="226"/>
      <c r="N216" s="248"/>
      <c r="O216" s="226"/>
      <c r="P216" s="226"/>
      <c r="Q216" s="226"/>
      <c r="R216" s="68"/>
      <c r="V216" s="41"/>
    </row>
    <row r="217">
      <c r="K217" s="79"/>
      <c r="L217" s="79"/>
      <c r="M217" s="226"/>
      <c r="N217" s="248"/>
      <c r="O217" s="226"/>
      <c r="P217" s="226"/>
      <c r="Q217" s="226"/>
      <c r="R217" s="68"/>
      <c r="V217" s="41"/>
    </row>
    <row r="218">
      <c r="J218" s="68"/>
      <c r="K218" s="79"/>
      <c r="L218" s="79"/>
      <c r="M218" s="226"/>
      <c r="N218" s="248"/>
      <c r="O218" s="226"/>
      <c r="P218" s="226"/>
      <c r="Q218" s="226"/>
      <c r="R218" s="68"/>
      <c r="V218" s="41"/>
    </row>
    <row r="219">
      <c r="J219" s="68"/>
      <c r="K219" s="79"/>
      <c r="L219" s="79"/>
      <c r="M219" s="226"/>
      <c r="N219" s="248"/>
      <c r="O219" s="226"/>
      <c r="P219" s="226"/>
      <c r="Q219" s="226"/>
      <c r="R219" s="68"/>
      <c r="V219" s="41"/>
    </row>
    <row r="220">
      <c r="J220" s="68"/>
      <c r="K220" s="79"/>
      <c r="L220" s="79"/>
      <c r="M220" s="226"/>
      <c r="N220" s="248"/>
      <c r="O220" s="226"/>
      <c r="P220" s="226"/>
      <c r="Q220" s="226"/>
      <c r="R220" s="68"/>
      <c r="V220" s="41"/>
    </row>
    <row r="221">
      <c r="J221" s="68"/>
      <c r="K221" s="79"/>
      <c r="L221" s="79"/>
      <c r="M221" s="226"/>
      <c r="N221" s="248"/>
      <c r="O221" s="226"/>
      <c r="P221" s="226"/>
      <c r="Q221" s="226"/>
      <c r="R221" s="68"/>
      <c r="V221" s="41"/>
    </row>
    <row r="222">
      <c r="J222" s="68"/>
      <c r="K222" s="79"/>
      <c r="L222" s="79"/>
      <c r="M222" s="226"/>
      <c r="N222" s="248"/>
      <c r="O222" s="226"/>
      <c r="P222" s="226"/>
      <c r="Q222" s="226"/>
      <c r="R222" s="68"/>
      <c r="V222" s="41"/>
    </row>
    <row r="223">
      <c r="J223" s="68"/>
      <c r="K223" s="79"/>
      <c r="L223" s="79"/>
      <c r="M223" s="226"/>
      <c r="N223" s="248"/>
      <c r="O223" s="226"/>
      <c r="P223" s="226"/>
      <c r="Q223" s="226"/>
      <c r="R223" s="68"/>
      <c r="V223" s="41"/>
    </row>
    <row r="224">
      <c r="J224" s="68"/>
      <c r="K224" s="79"/>
      <c r="L224" s="79"/>
      <c r="M224" s="226"/>
      <c r="N224" s="248"/>
      <c r="O224" s="226"/>
      <c r="P224" s="226"/>
      <c r="Q224" s="226"/>
      <c r="R224" s="68"/>
      <c r="V224" s="41"/>
    </row>
    <row r="225">
      <c r="J225" s="68"/>
      <c r="K225" s="79"/>
      <c r="L225" s="79"/>
      <c r="M225" s="226"/>
      <c r="N225" s="248"/>
      <c r="O225" s="226"/>
      <c r="P225" s="226"/>
      <c r="Q225" s="226"/>
      <c r="R225" s="68"/>
      <c r="V225" s="41"/>
    </row>
    <row r="226">
      <c r="J226" s="68"/>
      <c r="K226" s="79"/>
      <c r="L226" s="79"/>
      <c r="M226" s="226"/>
      <c r="N226" s="248"/>
      <c r="O226" s="226"/>
      <c r="P226" s="226"/>
      <c r="Q226" s="226"/>
      <c r="R226" s="68"/>
      <c r="V226" s="41"/>
    </row>
    <row r="227">
      <c r="J227" s="68"/>
      <c r="K227" s="79"/>
      <c r="L227" s="79"/>
      <c r="M227" s="226"/>
      <c r="N227" s="248"/>
      <c r="O227" s="226"/>
      <c r="P227" s="226"/>
      <c r="Q227" s="226"/>
      <c r="R227" s="68"/>
      <c r="V227" s="41"/>
    </row>
    <row r="228">
      <c r="J228" s="68"/>
      <c r="K228" s="79"/>
      <c r="L228" s="79"/>
      <c r="M228" s="226"/>
      <c r="N228" s="248"/>
      <c r="O228" s="226"/>
      <c r="P228" s="226"/>
      <c r="Q228" s="226"/>
      <c r="R228" s="68"/>
      <c r="V228" s="41"/>
    </row>
    <row r="229">
      <c r="J229" s="68"/>
      <c r="K229" s="79"/>
      <c r="L229" s="79"/>
      <c r="M229" s="226"/>
      <c r="N229" s="248"/>
      <c r="O229" s="226"/>
      <c r="P229" s="226"/>
      <c r="Q229" s="226"/>
      <c r="R229" s="68"/>
      <c r="V229" s="41"/>
    </row>
    <row r="230">
      <c r="J230" s="68"/>
      <c r="K230" s="79"/>
      <c r="L230" s="79"/>
      <c r="M230" s="226"/>
      <c r="N230" s="248"/>
      <c r="O230" s="226"/>
      <c r="P230" s="226"/>
      <c r="Q230" s="226"/>
      <c r="R230" s="68"/>
      <c r="V230" s="41"/>
    </row>
    <row r="231">
      <c r="J231" s="68"/>
      <c r="K231" s="79"/>
      <c r="L231" s="79"/>
      <c r="M231" s="226"/>
      <c r="N231" s="248"/>
      <c r="O231" s="226"/>
      <c r="P231" s="226"/>
      <c r="Q231" s="226"/>
      <c r="R231" s="68"/>
      <c r="V231" s="41"/>
    </row>
    <row r="232">
      <c r="J232" s="68"/>
      <c r="K232" s="79"/>
      <c r="L232" s="79"/>
      <c r="M232" s="226"/>
      <c r="N232" s="248"/>
      <c r="O232" s="226"/>
      <c r="P232" s="226"/>
      <c r="Q232" s="226"/>
      <c r="R232" s="68"/>
      <c r="V232" s="41"/>
    </row>
    <row r="233">
      <c r="J233" s="68"/>
      <c r="K233" s="79"/>
      <c r="L233" s="79"/>
      <c r="M233" s="226"/>
      <c r="N233" s="248"/>
      <c r="O233" s="226"/>
      <c r="P233" s="226"/>
      <c r="Q233" s="226"/>
      <c r="R233" s="68"/>
      <c r="V233" s="41"/>
    </row>
    <row r="234">
      <c r="J234" s="68"/>
      <c r="K234" s="79"/>
      <c r="L234" s="79"/>
      <c r="M234" s="226"/>
      <c r="N234" s="248"/>
      <c r="O234" s="226"/>
      <c r="P234" s="226"/>
      <c r="Q234" s="226"/>
      <c r="R234" s="68"/>
      <c r="V234" s="41"/>
    </row>
    <row r="235">
      <c r="J235" s="68"/>
      <c r="K235" s="79"/>
      <c r="L235" s="79"/>
      <c r="M235" s="226"/>
      <c r="N235" s="248"/>
      <c r="O235" s="226"/>
      <c r="P235" s="226"/>
      <c r="Q235" s="226"/>
      <c r="R235" s="68"/>
      <c r="V235" s="41"/>
    </row>
    <row r="236">
      <c r="J236" s="68"/>
      <c r="K236" s="79"/>
      <c r="L236" s="79"/>
      <c r="M236" s="226"/>
      <c r="N236" s="248"/>
      <c r="O236" s="226"/>
      <c r="P236" s="226"/>
      <c r="Q236" s="226"/>
      <c r="R236" s="68"/>
      <c r="V236" s="41"/>
    </row>
    <row r="237">
      <c r="J237" s="68"/>
      <c r="K237" s="79"/>
      <c r="L237" s="79"/>
      <c r="M237" s="226"/>
      <c r="N237" s="248"/>
      <c r="O237" s="226"/>
      <c r="P237" s="226"/>
      <c r="Q237" s="226"/>
      <c r="R237" s="68"/>
      <c r="V237" s="41"/>
    </row>
    <row r="238">
      <c r="J238" s="68"/>
      <c r="K238" s="79"/>
      <c r="L238" s="79"/>
      <c r="M238" s="226"/>
      <c r="N238" s="248"/>
      <c r="O238" s="226"/>
      <c r="P238" s="226"/>
      <c r="Q238" s="226"/>
      <c r="R238" s="68"/>
      <c r="V238" s="41"/>
    </row>
    <row r="239">
      <c r="J239" s="68"/>
      <c r="K239" s="79"/>
      <c r="L239" s="79"/>
      <c r="M239" s="226"/>
      <c r="N239" s="248"/>
      <c r="O239" s="226"/>
      <c r="P239" s="226"/>
      <c r="Q239" s="226"/>
      <c r="R239" s="68"/>
      <c r="V239" s="41"/>
    </row>
    <row r="240">
      <c r="J240" s="68"/>
      <c r="K240" s="79"/>
      <c r="L240" s="79"/>
      <c r="M240" s="226"/>
      <c r="N240" s="248"/>
      <c r="O240" s="226"/>
      <c r="P240" s="226"/>
      <c r="Q240" s="226"/>
      <c r="R240" s="68"/>
      <c r="V240" s="41"/>
    </row>
    <row r="241">
      <c r="J241" s="68"/>
      <c r="K241" s="79"/>
      <c r="L241" s="79"/>
      <c r="M241" s="226"/>
      <c r="N241" s="248"/>
      <c r="O241" s="226"/>
      <c r="P241" s="226"/>
      <c r="Q241" s="226"/>
      <c r="R241" s="68"/>
      <c r="V241" s="41"/>
    </row>
    <row r="242">
      <c r="J242" s="68"/>
      <c r="K242" s="79"/>
      <c r="L242" s="79"/>
      <c r="M242" s="226"/>
      <c r="N242" s="248"/>
      <c r="O242" s="226"/>
      <c r="P242" s="226"/>
      <c r="Q242" s="226"/>
      <c r="R242" s="68"/>
      <c r="V242" s="41"/>
    </row>
    <row r="243">
      <c r="J243" s="68"/>
      <c r="K243" s="79"/>
      <c r="L243" s="79"/>
      <c r="M243" s="226"/>
      <c r="N243" s="248"/>
      <c r="O243" s="226"/>
      <c r="P243" s="226"/>
      <c r="Q243" s="226"/>
      <c r="R243" s="68"/>
      <c r="V243" s="41"/>
    </row>
    <row r="244">
      <c r="J244" s="68"/>
      <c r="K244" s="79"/>
      <c r="L244" s="79"/>
      <c r="M244" s="226"/>
      <c r="N244" s="248"/>
      <c r="O244" s="226"/>
      <c r="P244" s="226"/>
      <c r="Q244" s="226"/>
      <c r="R244" s="68"/>
      <c r="V244" s="41"/>
    </row>
    <row r="245">
      <c r="J245" s="68"/>
      <c r="K245" s="79"/>
      <c r="L245" s="79"/>
      <c r="M245" s="226"/>
      <c r="N245" s="248"/>
      <c r="O245" s="226"/>
      <c r="P245" s="226"/>
      <c r="Q245" s="226"/>
      <c r="R245" s="68"/>
      <c r="V245" s="41"/>
    </row>
    <row r="246">
      <c r="J246" s="68"/>
      <c r="K246" s="79"/>
      <c r="L246" s="79"/>
      <c r="M246" s="226"/>
      <c r="N246" s="248"/>
      <c r="O246" s="226"/>
      <c r="P246" s="226"/>
      <c r="Q246" s="226"/>
      <c r="R246" s="68"/>
      <c r="V246" s="41"/>
    </row>
    <row r="247">
      <c r="J247" s="68"/>
      <c r="K247" s="79"/>
      <c r="L247" s="79"/>
      <c r="M247" s="226"/>
      <c r="N247" s="248"/>
      <c r="O247" s="226"/>
      <c r="P247" s="226"/>
      <c r="Q247" s="226"/>
      <c r="R247" s="68"/>
      <c r="V247" s="41"/>
    </row>
    <row r="248">
      <c r="J248" s="68"/>
      <c r="K248" s="79"/>
      <c r="L248" s="79"/>
      <c r="M248" s="226"/>
      <c r="N248" s="248"/>
      <c r="O248" s="226"/>
      <c r="P248" s="226"/>
      <c r="Q248" s="226"/>
      <c r="R248" s="68"/>
      <c r="V248" s="41"/>
    </row>
    <row r="249">
      <c r="J249" s="68"/>
      <c r="K249" s="79"/>
      <c r="L249" s="79"/>
      <c r="M249" s="226"/>
      <c r="N249" s="248"/>
      <c r="O249" s="226"/>
      <c r="P249" s="226"/>
      <c r="Q249" s="226"/>
      <c r="R249" s="68"/>
      <c r="V249" s="41"/>
    </row>
    <row r="250">
      <c r="J250" s="68"/>
      <c r="K250" s="79"/>
      <c r="L250" s="79"/>
      <c r="M250" s="226"/>
      <c r="N250" s="248"/>
      <c r="O250" s="226"/>
      <c r="P250" s="226"/>
      <c r="Q250" s="226"/>
      <c r="R250" s="68"/>
      <c r="V250" s="41"/>
    </row>
    <row r="251">
      <c r="J251" s="68"/>
      <c r="K251" s="79"/>
      <c r="L251" s="79"/>
      <c r="M251" s="226"/>
      <c r="N251" s="248"/>
      <c r="O251" s="226"/>
      <c r="P251" s="226"/>
      <c r="Q251" s="226"/>
      <c r="R251" s="68"/>
      <c r="V251" s="41"/>
    </row>
    <row r="252">
      <c r="J252" s="68"/>
      <c r="K252" s="79"/>
      <c r="L252" s="79"/>
      <c r="M252" s="226"/>
      <c r="N252" s="248"/>
      <c r="O252" s="226"/>
      <c r="P252" s="226"/>
      <c r="Q252" s="226"/>
      <c r="R252" s="68"/>
      <c r="V252" s="41"/>
    </row>
    <row r="253">
      <c r="J253" s="68"/>
      <c r="K253" s="79"/>
      <c r="L253" s="79"/>
      <c r="M253" s="226"/>
      <c r="N253" s="248"/>
      <c r="O253" s="226"/>
      <c r="P253" s="226"/>
      <c r="Q253" s="226"/>
      <c r="R253" s="68"/>
      <c r="V253" s="41"/>
    </row>
    <row r="254">
      <c r="J254" s="68"/>
      <c r="K254" s="79"/>
      <c r="L254" s="79"/>
      <c r="M254" s="226"/>
      <c r="N254" s="248"/>
      <c r="O254" s="226"/>
      <c r="P254" s="226"/>
      <c r="Q254" s="226"/>
      <c r="R254" s="68"/>
      <c r="V254" s="41"/>
    </row>
    <row r="255">
      <c r="J255" s="68"/>
      <c r="K255" s="79"/>
      <c r="L255" s="79"/>
      <c r="M255" s="226"/>
      <c r="N255" s="248"/>
      <c r="O255" s="226"/>
      <c r="P255" s="226"/>
      <c r="Q255" s="226"/>
      <c r="R255" s="68"/>
      <c r="V255" s="41"/>
    </row>
    <row r="256">
      <c r="J256" s="68"/>
      <c r="K256" s="79"/>
      <c r="L256" s="79"/>
      <c r="M256" s="226"/>
      <c r="N256" s="248"/>
      <c r="O256" s="226"/>
      <c r="P256" s="226"/>
      <c r="Q256" s="226"/>
      <c r="R256" s="68"/>
      <c r="V256" s="41"/>
    </row>
    <row r="257">
      <c r="J257" s="68"/>
      <c r="K257" s="79"/>
      <c r="L257" s="79"/>
      <c r="M257" s="226"/>
      <c r="N257" s="248"/>
      <c r="O257" s="226"/>
      <c r="P257" s="226"/>
      <c r="Q257" s="226"/>
      <c r="R257" s="68"/>
      <c r="V257" s="41"/>
    </row>
    <row r="258">
      <c r="J258" s="68"/>
      <c r="K258" s="79"/>
      <c r="L258" s="79"/>
      <c r="M258" s="226"/>
      <c r="N258" s="248"/>
      <c r="O258" s="226"/>
      <c r="P258" s="226"/>
      <c r="Q258" s="226"/>
      <c r="R258" s="68"/>
      <c r="V258" s="41"/>
    </row>
    <row r="259">
      <c r="J259" s="68"/>
      <c r="K259" s="79"/>
      <c r="L259" s="79"/>
      <c r="M259" s="226"/>
      <c r="N259" s="248"/>
      <c r="O259" s="226"/>
      <c r="P259" s="226"/>
      <c r="Q259" s="226"/>
      <c r="R259" s="68"/>
      <c r="V259" s="41"/>
    </row>
    <row r="260">
      <c r="J260" s="68"/>
      <c r="K260" s="79"/>
      <c r="L260" s="79"/>
      <c r="M260" s="226"/>
      <c r="N260" s="248"/>
      <c r="O260" s="226"/>
      <c r="P260" s="226"/>
      <c r="Q260" s="226"/>
      <c r="R260" s="68"/>
      <c r="V260" s="41"/>
    </row>
    <row r="261">
      <c r="J261" s="68"/>
      <c r="K261" s="79"/>
      <c r="L261" s="79"/>
      <c r="M261" s="226"/>
      <c r="N261" s="248"/>
      <c r="O261" s="226"/>
      <c r="P261" s="226"/>
      <c r="Q261" s="226"/>
      <c r="R261" s="68"/>
      <c r="V261" s="41"/>
    </row>
    <row r="262">
      <c r="J262" s="68"/>
      <c r="K262" s="79"/>
      <c r="L262" s="79"/>
      <c r="M262" s="226"/>
      <c r="N262" s="248"/>
      <c r="O262" s="226"/>
      <c r="P262" s="226"/>
      <c r="Q262" s="226"/>
      <c r="R262" s="68"/>
      <c r="V262" s="41"/>
    </row>
    <row r="263">
      <c r="J263" s="68"/>
      <c r="K263" s="79"/>
      <c r="L263" s="79"/>
      <c r="M263" s="226"/>
      <c r="N263" s="248"/>
      <c r="O263" s="226"/>
      <c r="P263" s="226"/>
      <c r="Q263" s="226"/>
      <c r="R263" s="68"/>
      <c r="V263" s="41"/>
    </row>
    <row r="264">
      <c r="J264" s="68"/>
      <c r="K264" s="79"/>
      <c r="L264" s="79"/>
      <c r="M264" s="226"/>
      <c r="N264" s="248"/>
      <c r="O264" s="226"/>
      <c r="P264" s="226"/>
      <c r="Q264" s="226"/>
      <c r="R264" s="68"/>
      <c r="V264" s="41"/>
    </row>
    <row r="265">
      <c r="J265" s="68"/>
      <c r="K265" s="79"/>
      <c r="L265" s="79"/>
      <c r="M265" s="226"/>
      <c r="N265" s="248"/>
      <c r="O265" s="226"/>
      <c r="P265" s="226"/>
      <c r="Q265" s="226"/>
      <c r="R265" s="68"/>
      <c r="V265" s="41"/>
    </row>
    <row r="266">
      <c r="J266" s="68"/>
      <c r="K266" s="79"/>
      <c r="L266" s="79"/>
      <c r="M266" s="226"/>
      <c r="N266" s="248"/>
      <c r="O266" s="226"/>
      <c r="P266" s="226"/>
      <c r="Q266" s="226"/>
      <c r="R266" s="68"/>
      <c r="V266" s="41"/>
    </row>
    <row r="267">
      <c r="J267" s="68"/>
      <c r="K267" s="79"/>
      <c r="L267" s="79"/>
      <c r="M267" s="226"/>
      <c r="N267" s="248"/>
      <c r="O267" s="226"/>
      <c r="P267" s="226"/>
      <c r="Q267" s="226"/>
      <c r="R267" s="68"/>
      <c r="V267" s="41"/>
    </row>
    <row r="268">
      <c r="J268" s="68"/>
      <c r="K268" s="79"/>
      <c r="L268" s="79"/>
      <c r="M268" s="226"/>
      <c r="N268" s="248"/>
      <c r="O268" s="226"/>
      <c r="P268" s="226"/>
      <c r="Q268" s="226"/>
      <c r="R268" s="68"/>
      <c r="V268" s="41"/>
    </row>
    <row r="269">
      <c r="J269" s="68"/>
      <c r="K269" s="79"/>
      <c r="L269" s="79"/>
      <c r="M269" s="226"/>
      <c r="N269" s="248"/>
      <c r="O269" s="226"/>
      <c r="P269" s="226"/>
      <c r="Q269" s="226"/>
      <c r="R269" s="68"/>
      <c r="V269" s="41"/>
    </row>
    <row r="270">
      <c r="J270" s="68"/>
      <c r="K270" s="79"/>
      <c r="L270" s="79"/>
      <c r="M270" s="226"/>
      <c r="N270" s="248"/>
      <c r="O270" s="226"/>
      <c r="P270" s="226"/>
      <c r="Q270" s="226"/>
      <c r="R270" s="68"/>
      <c r="V270" s="41"/>
    </row>
    <row r="271">
      <c r="J271" s="68"/>
      <c r="K271" s="79"/>
      <c r="L271" s="79"/>
      <c r="M271" s="226"/>
      <c r="N271" s="248"/>
      <c r="O271" s="226"/>
      <c r="P271" s="226"/>
      <c r="Q271" s="226"/>
      <c r="R271" s="68"/>
      <c r="V271" s="41"/>
    </row>
    <row r="272">
      <c r="J272" s="68"/>
      <c r="K272" s="79"/>
      <c r="L272" s="79"/>
      <c r="M272" s="226"/>
      <c r="N272" s="248"/>
      <c r="O272" s="226"/>
      <c r="P272" s="226"/>
      <c r="Q272" s="226"/>
      <c r="R272" s="68"/>
      <c r="V272" s="41"/>
    </row>
    <row r="273">
      <c r="J273" s="68"/>
      <c r="K273" s="79"/>
      <c r="L273" s="79"/>
      <c r="M273" s="226"/>
      <c r="N273" s="248"/>
      <c r="O273" s="226"/>
      <c r="P273" s="226"/>
      <c r="Q273" s="226"/>
      <c r="R273" s="68"/>
      <c r="V273" s="41"/>
    </row>
    <row r="274">
      <c r="J274" s="68"/>
      <c r="K274" s="79"/>
      <c r="L274" s="79"/>
      <c r="M274" s="226"/>
      <c r="N274" s="248"/>
      <c r="O274" s="226"/>
      <c r="P274" s="226"/>
      <c r="Q274" s="226"/>
      <c r="R274" s="68"/>
      <c r="V274" s="41"/>
    </row>
    <row r="275">
      <c r="J275" s="68"/>
      <c r="K275" s="79"/>
      <c r="L275" s="79"/>
      <c r="M275" s="226"/>
      <c r="N275" s="248"/>
      <c r="O275" s="226"/>
      <c r="P275" s="226"/>
      <c r="Q275" s="226"/>
      <c r="R275" s="68"/>
      <c r="V275" s="41"/>
    </row>
    <row r="276">
      <c r="J276" s="68"/>
      <c r="K276" s="79"/>
      <c r="L276" s="79"/>
      <c r="M276" s="226"/>
      <c r="N276" s="248"/>
      <c r="O276" s="226"/>
      <c r="P276" s="226"/>
      <c r="Q276" s="226"/>
      <c r="R276" s="68"/>
      <c r="V276" s="41"/>
    </row>
    <row r="277">
      <c r="J277" s="68"/>
      <c r="K277" s="79"/>
      <c r="L277" s="79"/>
      <c r="M277" s="226"/>
      <c r="N277" s="248"/>
      <c r="O277" s="226"/>
      <c r="P277" s="226"/>
      <c r="Q277" s="226"/>
      <c r="R277" s="68"/>
      <c r="V277" s="41"/>
    </row>
    <row r="278">
      <c r="J278" s="68"/>
      <c r="K278" s="79"/>
      <c r="L278" s="79"/>
      <c r="M278" s="226"/>
      <c r="N278" s="248"/>
      <c r="O278" s="226"/>
      <c r="P278" s="226"/>
      <c r="Q278" s="226"/>
      <c r="R278" s="68"/>
      <c r="V278" s="41"/>
    </row>
    <row r="279">
      <c r="J279" s="68"/>
      <c r="K279" s="79"/>
      <c r="L279" s="79"/>
      <c r="M279" s="226"/>
      <c r="N279" s="248"/>
      <c r="O279" s="226"/>
      <c r="P279" s="226"/>
      <c r="Q279" s="226"/>
      <c r="R279" s="68"/>
      <c r="V279" s="41"/>
    </row>
    <row r="280">
      <c r="J280" s="68"/>
      <c r="K280" s="79"/>
      <c r="L280" s="79"/>
      <c r="M280" s="226"/>
      <c r="N280" s="248"/>
      <c r="O280" s="226"/>
      <c r="P280" s="226"/>
      <c r="Q280" s="226"/>
      <c r="R280" s="68"/>
      <c r="V280" s="41"/>
    </row>
    <row r="281">
      <c r="J281" s="68"/>
      <c r="K281" s="79"/>
      <c r="L281" s="79"/>
      <c r="M281" s="226"/>
      <c r="N281" s="248"/>
      <c r="O281" s="226"/>
      <c r="P281" s="226"/>
      <c r="Q281" s="226"/>
      <c r="R281" s="68"/>
      <c r="V281" s="41"/>
    </row>
    <row r="282">
      <c r="J282" s="68"/>
      <c r="K282" s="79"/>
      <c r="L282" s="79"/>
      <c r="M282" s="226"/>
      <c r="N282" s="248"/>
      <c r="O282" s="226"/>
      <c r="P282" s="226"/>
      <c r="Q282" s="226"/>
      <c r="R282" s="68"/>
      <c r="V282" s="41"/>
    </row>
    <row r="283">
      <c r="J283" s="68"/>
      <c r="K283" s="79"/>
      <c r="L283" s="79"/>
      <c r="M283" s="226"/>
      <c r="N283" s="248"/>
      <c r="O283" s="226"/>
      <c r="P283" s="226"/>
      <c r="Q283" s="226"/>
      <c r="R283" s="68"/>
      <c r="V283" s="41"/>
    </row>
    <row r="284">
      <c r="J284" s="68"/>
      <c r="K284" s="79"/>
      <c r="L284" s="79"/>
      <c r="M284" s="226"/>
      <c r="N284" s="248"/>
      <c r="O284" s="226"/>
      <c r="P284" s="226"/>
      <c r="Q284" s="226"/>
      <c r="R284" s="68"/>
      <c r="V284" s="41"/>
    </row>
    <row r="285">
      <c r="J285" s="68"/>
      <c r="K285" s="79"/>
      <c r="L285" s="79"/>
      <c r="M285" s="226"/>
      <c r="N285" s="248"/>
      <c r="O285" s="226"/>
      <c r="P285" s="226"/>
      <c r="Q285" s="226"/>
      <c r="R285" s="68"/>
      <c r="V285" s="41"/>
    </row>
    <row r="286">
      <c r="J286" s="68"/>
      <c r="K286" s="79"/>
      <c r="L286" s="79"/>
      <c r="M286" s="226"/>
      <c r="N286" s="248"/>
      <c r="O286" s="226"/>
      <c r="P286" s="226"/>
      <c r="Q286" s="226"/>
      <c r="R286" s="68"/>
      <c r="V286" s="41"/>
    </row>
    <row r="287">
      <c r="J287" s="68"/>
      <c r="K287" s="79"/>
      <c r="L287" s="79"/>
      <c r="M287" s="226"/>
      <c r="N287" s="248"/>
      <c r="O287" s="226"/>
      <c r="P287" s="226"/>
      <c r="Q287" s="226"/>
      <c r="R287" s="68"/>
      <c r="V287" s="41"/>
    </row>
    <row r="288">
      <c r="J288" s="68"/>
      <c r="K288" s="79"/>
      <c r="L288" s="79"/>
      <c r="M288" s="226"/>
      <c r="N288" s="248"/>
      <c r="O288" s="226"/>
      <c r="P288" s="226"/>
      <c r="Q288" s="226"/>
      <c r="R288" s="68"/>
      <c r="V288" s="41"/>
    </row>
    <row r="289">
      <c r="J289" s="68"/>
      <c r="K289" s="79"/>
      <c r="L289" s="79"/>
      <c r="M289" s="226"/>
      <c r="N289" s="248"/>
      <c r="O289" s="226"/>
      <c r="P289" s="226"/>
      <c r="Q289" s="226"/>
      <c r="R289" s="68"/>
      <c r="V289" s="41"/>
    </row>
    <row r="290">
      <c r="J290" s="68"/>
      <c r="K290" s="79"/>
      <c r="L290" s="79"/>
      <c r="M290" s="226"/>
      <c r="N290" s="248"/>
      <c r="O290" s="226"/>
      <c r="P290" s="226"/>
      <c r="Q290" s="226"/>
      <c r="R290" s="68"/>
      <c r="V290" s="41"/>
    </row>
    <row r="291">
      <c r="J291" s="68"/>
      <c r="K291" s="79"/>
      <c r="L291" s="79"/>
      <c r="M291" s="226"/>
      <c r="N291" s="248"/>
      <c r="O291" s="226"/>
      <c r="P291" s="226"/>
      <c r="Q291" s="226"/>
      <c r="R291" s="68"/>
      <c r="V291" s="41"/>
    </row>
    <row r="292">
      <c r="J292" s="68"/>
      <c r="K292" s="79"/>
      <c r="L292" s="79"/>
      <c r="M292" s="226"/>
      <c r="N292" s="248"/>
      <c r="O292" s="226"/>
      <c r="P292" s="226"/>
      <c r="Q292" s="226"/>
      <c r="R292" s="68"/>
      <c r="V292" s="41"/>
    </row>
    <row r="293">
      <c r="J293" s="68"/>
      <c r="K293" s="79"/>
      <c r="L293" s="79"/>
      <c r="M293" s="226"/>
      <c r="N293" s="248"/>
      <c r="O293" s="226"/>
      <c r="P293" s="226"/>
      <c r="Q293" s="226"/>
      <c r="R293" s="68"/>
      <c r="V293" s="41"/>
    </row>
    <row r="294">
      <c r="J294" s="68"/>
      <c r="K294" s="79"/>
      <c r="L294" s="79"/>
      <c r="M294" s="226"/>
      <c r="N294" s="248"/>
      <c r="O294" s="226"/>
      <c r="P294" s="226"/>
      <c r="Q294" s="226"/>
      <c r="R294" s="68"/>
      <c r="V294" s="41"/>
    </row>
    <row r="295">
      <c r="J295" s="68"/>
      <c r="K295" s="79"/>
      <c r="L295" s="79"/>
      <c r="M295" s="226"/>
      <c r="N295" s="248"/>
      <c r="O295" s="226"/>
      <c r="P295" s="226"/>
      <c r="Q295" s="226"/>
      <c r="R295" s="68"/>
      <c r="V295" s="41"/>
    </row>
    <row r="296">
      <c r="J296" s="68"/>
      <c r="K296" s="79"/>
      <c r="L296" s="79"/>
      <c r="M296" s="226"/>
      <c r="N296" s="248"/>
      <c r="O296" s="226"/>
      <c r="P296" s="226"/>
      <c r="Q296" s="226"/>
      <c r="R296" s="68"/>
      <c r="V296" s="41"/>
    </row>
    <row r="297">
      <c r="J297" s="68"/>
      <c r="K297" s="79"/>
      <c r="L297" s="79"/>
      <c r="M297" s="226"/>
      <c r="N297" s="248"/>
      <c r="O297" s="226"/>
      <c r="P297" s="226"/>
      <c r="Q297" s="226"/>
      <c r="R297" s="68"/>
      <c r="V297" s="41"/>
    </row>
    <row r="298">
      <c r="J298" s="68"/>
      <c r="K298" s="79"/>
      <c r="L298" s="79"/>
      <c r="M298" s="226"/>
      <c r="N298" s="248"/>
      <c r="O298" s="226"/>
      <c r="P298" s="226"/>
      <c r="Q298" s="226"/>
      <c r="R298" s="68"/>
      <c r="V298" s="41"/>
    </row>
    <row r="299">
      <c r="J299" s="68"/>
      <c r="K299" s="79"/>
      <c r="L299" s="79"/>
      <c r="M299" s="226"/>
      <c r="N299" s="248"/>
      <c r="O299" s="226"/>
      <c r="P299" s="226"/>
      <c r="Q299" s="226"/>
      <c r="R299" s="68"/>
      <c r="V299" s="41"/>
    </row>
    <row r="300">
      <c r="J300" s="68"/>
      <c r="K300" s="79"/>
      <c r="L300" s="79"/>
      <c r="M300" s="226"/>
      <c r="N300" s="248"/>
      <c r="O300" s="226"/>
      <c r="P300" s="226"/>
      <c r="Q300" s="226"/>
      <c r="R300" s="68"/>
      <c r="V300" s="41"/>
    </row>
    <row r="301">
      <c r="J301" s="68"/>
      <c r="K301" s="79"/>
      <c r="L301" s="79"/>
      <c r="M301" s="226"/>
      <c r="N301" s="248"/>
      <c r="O301" s="226"/>
      <c r="P301" s="226"/>
      <c r="Q301" s="226"/>
      <c r="R301" s="68"/>
      <c r="V301" s="41"/>
    </row>
    <row r="302">
      <c r="J302" s="68"/>
      <c r="K302" s="79"/>
      <c r="L302" s="79"/>
      <c r="M302" s="226"/>
      <c r="N302" s="248"/>
      <c r="O302" s="226"/>
      <c r="P302" s="226"/>
      <c r="Q302" s="226"/>
      <c r="R302" s="68"/>
      <c r="V302" s="41"/>
    </row>
    <row r="303">
      <c r="J303" s="68"/>
      <c r="K303" s="79"/>
      <c r="L303" s="79"/>
      <c r="M303" s="226"/>
      <c r="N303" s="248"/>
      <c r="O303" s="226"/>
      <c r="P303" s="226"/>
      <c r="Q303" s="226"/>
      <c r="R303" s="68"/>
      <c r="V303" s="41"/>
    </row>
    <row r="304">
      <c r="J304" s="68"/>
      <c r="K304" s="79"/>
      <c r="L304" s="79"/>
      <c r="M304" s="226"/>
      <c r="N304" s="248"/>
      <c r="O304" s="226"/>
      <c r="P304" s="226"/>
      <c r="Q304" s="226"/>
      <c r="R304" s="68"/>
      <c r="V304" s="41"/>
    </row>
    <row r="305">
      <c r="J305" s="68"/>
      <c r="K305" s="79"/>
      <c r="L305" s="79"/>
      <c r="M305" s="226"/>
      <c r="N305" s="248"/>
      <c r="O305" s="226"/>
      <c r="P305" s="226"/>
      <c r="Q305" s="226"/>
      <c r="R305" s="68"/>
      <c r="V305" s="41"/>
    </row>
    <row r="306">
      <c r="J306" s="68"/>
      <c r="K306" s="79"/>
      <c r="L306" s="79"/>
      <c r="M306" s="226"/>
      <c r="N306" s="248"/>
      <c r="O306" s="226"/>
      <c r="P306" s="226"/>
      <c r="Q306" s="226"/>
      <c r="R306" s="68"/>
      <c r="V306" s="41"/>
    </row>
    <row r="307">
      <c r="J307" s="68"/>
      <c r="K307" s="79"/>
      <c r="L307" s="79"/>
      <c r="M307" s="226"/>
      <c r="N307" s="248"/>
      <c r="O307" s="226"/>
      <c r="P307" s="226"/>
      <c r="Q307" s="226"/>
      <c r="R307" s="68"/>
      <c r="V307" s="41"/>
    </row>
    <row r="308">
      <c r="J308" s="68"/>
      <c r="K308" s="79"/>
      <c r="L308" s="79"/>
      <c r="M308" s="226"/>
      <c r="N308" s="248"/>
      <c r="O308" s="226"/>
      <c r="P308" s="226"/>
      <c r="Q308" s="226"/>
      <c r="R308" s="68"/>
      <c r="V308" s="41"/>
    </row>
    <row r="309">
      <c r="J309" s="68"/>
      <c r="K309" s="79"/>
      <c r="L309" s="79"/>
      <c r="M309" s="226"/>
      <c r="N309" s="248"/>
      <c r="O309" s="226"/>
      <c r="P309" s="226"/>
      <c r="Q309" s="226"/>
      <c r="R309" s="68"/>
      <c r="V309" s="41"/>
    </row>
    <row r="310">
      <c r="J310" s="68"/>
      <c r="K310" s="79"/>
      <c r="L310" s="79"/>
      <c r="M310" s="226"/>
      <c r="N310" s="248"/>
      <c r="O310" s="226"/>
      <c r="P310" s="226"/>
      <c r="Q310" s="226"/>
      <c r="R310" s="68"/>
      <c r="V310" s="41"/>
    </row>
    <row r="311">
      <c r="J311" s="68"/>
      <c r="K311" s="79"/>
      <c r="L311" s="79"/>
      <c r="M311" s="226"/>
      <c r="N311" s="248"/>
      <c r="O311" s="226"/>
      <c r="P311" s="226"/>
      <c r="Q311" s="226"/>
      <c r="R311" s="68"/>
      <c r="V311" s="41"/>
    </row>
    <row r="312">
      <c r="J312" s="68"/>
      <c r="K312" s="79"/>
      <c r="L312" s="79"/>
      <c r="M312" s="226"/>
      <c r="N312" s="248"/>
      <c r="O312" s="226"/>
      <c r="P312" s="226"/>
      <c r="Q312" s="226"/>
      <c r="R312" s="68"/>
      <c r="V312" s="41"/>
    </row>
    <row r="313">
      <c r="J313" s="68"/>
      <c r="K313" s="79"/>
      <c r="L313" s="79"/>
      <c r="M313" s="226"/>
      <c r="N313" s="248"/>
      <c r="O313" s="226"/>
      <c r="P313" s="226"/>
      <c r="Q313" s="226"/>
      <c r="R313" s="68"/>
      <c r="V313" s="41"/>
    </row>
    <row r="314">
      <c r="J314" s="68"/>
      <c r="K314" s="79"/>
      <c r="L314" s="79"/>
      <c r="M314" s="226"/>
      <c r="N314" s="248"/>
      <c r="O314" s="226"/>
      <c r="P314" s="226"/>
      <c r="Q314" s="226"/>
      <c r="R314" s="68"/>
      <c r="V314" s="41"/>
    </row>
    <row r="315">
      <c r="J315" s="68"/>
      <c r="K315" s="79"/>
      <c r="L315" s="79"/>
      <c r="M315" s="226"/>
      <c r="N315" s="248"/>
      <c r="O315" s="226"/>
      <c r="P315" s="226"/>
      <c r="Q315" s="226"/>
      <c r="R315" s="68"/>
      <c r="V315" s="41"/>
    </row>
    <row r="316">
      <c r="J316" s="68"/>
      <c r="K316" s="79"/>
      <c r="L316" s="79"/>
      <c r="M316" s="226"/>
      <c r="N316" s="248"/>
      <c r="O316" s="226"/>
      <c r="P316" s="226"/>
      <c r="Q316" s="226"/>
      <c r="R316" s="68"/>
      <c r="V316" s="41"/>
    </row>
    <row r="317">
      <c r="J317" s="68"/>
      <c r="K317" s="79"/>
      <c r="L317" s="79"/>
      <c r="M317" s="226"/>
      <c r="N317" s="248"/>
      <c r="O317" s="226"/>
      <c r="P317" s="226"/>
      <c r="Q317" s="226"/>
      <c r="R317" s="68"/>
      <c r="V317" s="41"/>
    </row>
    <row r="318">
      <c r="J318" s="68"/>
      <c r="K318" s="79"/>
      <c r="L318" s="79"/>
      <c r="M318" s="226"/>
      <c r="N318" s="248"/>
      <c r="O318" s="226"/>
      <c r="P318" s="226"/>
      <c r="Q318" s="226"/>
      <c r="R318" s="68"/>
      <c r="V318" s="41"/>
    </row>
    <row r="319">
      <c r="J319" s="68"/>
      <c r="K319" s="79"/>
      <c r="L319" s="79"/>
      <c r="M319" s="226"/>
      <c r="N319" s="248"/>
      <c r="O319" s="226"/>
      <c r="P319" s="226"/>
      <c r="Q319" s="226"/>
      <c r="R319" s="68"/>
      <c r="V319" s="41"/>
    </row>
    <row r="320">
      <c r="J320" s="68"/>
      <c r="K320" s="79"/>
      <c r="L320" s="79"/>
      <c r="M320" s="226"/>
      <c r="N320" s="248"/>
      <c r="O320" s="226"/>
      <c r="P320" s="226"/>
      <c r="Q320" s="226"/>
      <c r="R320" s="68"/>
      <c r="V320" s="41"/>
    </row>
    <row r="321">
      <c r="J321" s="68"/>
      <c r="K321" s="79"/>
      <c r="L321" s="79"/>
      <c r="M321" s="226"/>
      <c r="N321" s="248"/>
      <c r="O321" s="226"/>
      <c r="P321" s="226"/>
      <c r="Q321" s="226"/>
      <c r="R321" s="68"/>
      <c r="V321" s="41"/>
    </row>
    <row r="322">
      <c r="J322" s="68"/>
      <c r="K322" s="79"/>
      <c r="L322" s="79"/>
      <c r="M322" s="226"/>
      <c r="N322" s="248"/>
      <c r="O322" s="226"/>
      <c r="P322" s="226"/>
      <c r="Q322" s="226"/>
      <c r="R322" s="68"/>
      <c r="V322" s="41"/>
    </row>
    <row r="323">
      <c r="J323" s="68"/>
      <c r="K323" s="79"/>
      <c r="L323" s="79"/>
      <c r="M323" s="226"/>
      <c r="N323" s="248"/>
      <c r="O323" s="226"/>
      <c r="P323" s="226"/>
      <c r="Q323" s="226"/>
      <c r="R323" s="68"/>
      <c r="V323" s="41"/>
    </row>
    <row r="324">
      <c r="J324" s="68"/>
      <c r="K324" s="79"/>
      <c r="L324" s="79"/>
      <c r="M324" s="226"/>
      <c r="N324" s="248"/>
      <c r="O324" s="226"/>
      <c r="P324" s="226"/>
      <c r="Q324" s="226"/>
      <c r="R324" s="68"/>
      <c r="V324" s="41"/>
    </row>
    <row r="325">
      <c r="J325" s="68"/>
      <c r="K325" s="79"/>
      <c r="L325" s="79"/>
      <c r="M325" s="226"/>
      <c r="N325" s="248"/>
      <c r="O325" s="226"/>
      <c r="P325" s="226"/>
      <c r="Q325" s="226"/>
      <c r="R325" s="68"/>
      <c r="V325" s="41"/>
    </row>
    <row r="326">
      <c r="J326" s="68"/>
      <c r="K326" s="79"/>
      <c r="L326" s="79"/>
      <c r="M326" s="226"/>
      <c r="N326" s="248"/>
      <c r="O326" s="226"/>
      <c r="P326" s="226"/>
      <c r="Q326" s="226"/>
      <c r="R326" s="68"/>
      <c r="V326" s="41"/>
    </row>
    <row r="327">
      <c r="J327" s="68"/>
      <c r="K327" s="79"/>
      <c r="L327" s="79"/>
      <c r="M327" s="226"/>
      <c r="N327" s="248"/>
      <c r="O327" s="226"/>
      <c r="P327" s="226"/>
      <c r="Q327" s="226"/>
      <c r="R327" s="68"/>
      <c r="V327" s="41"/>
    </row>
    <row r="328">
      <c r="J328" s="68"/>
      <c r="K328" s="79"/>
      <c r="L328" s="79"/>
      <c r="M328" s="226"/>
      <c r="N328" s="248"/>
      <c r="O328" s="226"/>
      <c r="P328" s="226"/>
      <c r="Q328" s="226"/>
      <c r="R328" s="68"/>
      <c r="V328" s="41"/>
    </row>
    <row r="329">
      <c r="J329" s="68"/>
      <c r="K329" s="79"/>
      <c r="L329" s="79"/>
      <c r="M329" s="226"/>
      <c r="N329" s="248"/>
      <c r="O329" s="226"/>
      <c r="P329" s="226"/>
      <c r="Q329" s="226"/>
      <c r="R329" s="68"/>
      <c r="V329" s="41"/>
    </row>
    <row r="330">
      <c r="J330" s="68"/>
      <c r="K330" s="79"/>
      <c r="L330" s="79"/>
      <c r="M330" s="226"/>
      <c r="N330" s="248"/>
      <c r="O330" s="226"/>
      <c r="P330" s="226"/>
      <c r="Q330" s="226"/>
      <c r="R330" s="68"/>
      <c r="V330" s="41"/>
    </row>
    <row r="331">
      <c r="J331" s="68"/>
      <c r="K331" s="79"/>
      <c r="L331" s="79"/>
      <c r="M331" s="226"/>
      <c r="N331" s="248"/>
      <c r="O331" s="226"/>
      <c r="P331" s="226"/>
      <c r="Q331" s="226"/>
      <c r="R331" s="68"/>
      <c r="V331" s="41"/>
    </row>
    <row r="332">
      <c r="J332" s="68"/>
      <c r="K332" s="79"/>
      <c r="L332" s="79"/>
      <c r="M332" s="226"/>
      <c r="N332" s="248"/>
      <c r="O332" s="226"/>
      <c r="P332" s="226"/>
      <c r="Q332" s="226"/>
      <c r="R332" s="68"/>
      <c r="V332" s="41"/>
    </row>
    <row r="333">
      <c r="J333" s="68"/>
      <c r="K333" s="79"/>
      <c r="L333" s="79"/>
      <c r="M333" s="226"/>
      <c r="N333" s="248"/>
      <c r="O333" s="226"/>
      <c r="P333" s="226"/>
      <c r="Q333" s="226"/>
      <c r="R333" s="68"/>
      <c r="V333" s="41"/>
    </row>
    <row r="334">
      <c r="J334" s="68"/>
      <c r="K334" s="79"/>
      <c r="L334" s="79"/>
      <c r="M334" s="226"/>
      <c r="N334" s="248"/>
      <c r="O334" s="226"/>
      <c r="P334" s="226"/>
      <c r="Q334" s="226"/>
      <c r="R334" s="68"/>
      <c r="V334" s="41"/>
    </row>
    <row r="335">
      <c r="J335" s="68"/>
      <c r="K335" s="79"/>
      <c r="L335" s="79"/>
      <c r="M335" s="226"/>
      <c r="N335" s="248"/>
      <c r="O335" s="226"/>
      <c r="P335" s="226"/>
      <c r="Q335" s="226"/>
      <c r="R335" s="68"/>
      <c r="V335" s="41"/>
    </row>
    <row r="336">
      <c r="J336" s="68"/>
      <c r="K336" s="79"/>
      <c r="L336" s="79"/>
      <c r="M336" s="226"/>
      <c r="N336" s="248"/>
      <c r="O336" s="226"/>
      <c r="P336" s="226"/>
      <c r="Q336" s="226"/>
      <c r="R336" s="68"/>
      <c r="V336" s="41"/>
    </row>
    <row r="337">
      <c r="J337" s="68"/>
      <c r="K337" s="79"/>
      <c r="L337" s="79"/>
      <c r="M337" s="226"/>
      <c r="N337" s="248"/>
      <c r="O337" s="226"/>
      <c r="P337" s="226"/>
      <c r="Q337" s="226"/>
      <c r="R337" s="68"/>
      <c r="V337" s="41"/>
    </row>
    <row r="338">
      <c r="J338" s="68"/>
      <c r="K338" s="79"/>
      <c r="L338" s="79"/>
      <c r="M338" s="226"/>
      <c r="N338" s="248"/>
      <c r="O338" s="226"/>
      <c r="P338" s="226"/>
      <c r="Q338" s="226"/>
      <c r="R338" s="68"/>
      <c r="V338" s="41"/>
    </row>
    <row r="339">
      <c r="J339" s="68"/>
      <c r="K339" s="79"/>
      <c r="L339" s="79"/>
      <c r="M339" s="226"/>
      <c r="N339" s="248"/>
      <c r="O339" s="226"/>
      <c r="P339" s="226"/>
      <c r="Q339" s="226"/>
      <c r="R339" s="68"/>
      <c r="V339" s="41"/>
    </row>
    <row r="340">
      <c r="J340" s="68"/>
      <c r="K340" s="79"/>
      <c r="L340" s="79"/>
      <c r="M340" s="226"/>
      <c r="N340" s="248"/>
      <c r="O340" s="226"/>
      <c r="P340" s="226"/>
      <c r="Q340" s="226"/>
      <c r="R340" s="68"/>
      <c r="V340" s="41"/>
    </row>
    <row r="341">
      <c r="J341" s="68"/>
      <c r="K341" s="79"/>
      <c r="L341" s="79"/>
      <c r="M341" s="226"/>
      <c r="N341" s="248"/>
      <c r="O341" s="226"/>
      <c r="P341" s="226"/>
      <c r="Q341" s="226"/>
      <c r="R341" s="68"/>
      <c r="V341" s="41"/>
    </row>
    <row r="342">
      <c r="J342" s="68"/>
      <c r="K342" s="79"/>
      <c r="L342" s="79"/>
      <c r="M342" s="226"/>
      <c r="N342" s="248"/>
      <c r="O342" s="226"/>
      <c r="P342" s="226"/>
      <c r="Q342" s="226"/>
      <c r="R342" s="68"/>
      <c r="V342" s="41"/>
    </row>
    <row r="343">
      <c r="J343" s="68"/>
      <c r="K343" s="79"/>
      <c r="L343" s="79"/>
      <c r="M343" s="226"/>
      <c r="N343" s="248"/>
      <c r="O343" s="226"/>
      <c r="P343" s="226"/>
      <c r="Q343" s="226"/>
      <c r="R343" s="68"/>
      <c r="V343" s="41"/>
    </row>
    <row r="344">
      <c r="J344" s="68"/>
      <c r="K344" s="79"/>
      <c r="L344" s="79"/>
      <c r="M344" s="226"/>
      <c r="N344" s="248"/>
      <c r="O344" s="226"/>
      <c r="P344" s="226"/>
      <c r="Q344" s="226"/>
      <c r="R344" s="68"/>
      <c r="V344" s="41"/>
    </row>
    <row r="345">
      <c r="J345" s="68"/>
      <c r="K345" s="79"/>
      <c r="L345" s="79"/>
      <c r="M345" s="226"/>
      <c r="N345" s="248"/>
      <c r="O345" s="226"/>
      <c r="P345" s="226"/>
      <c r="Q345" s="226"/>
      <c r="R345" s="68"/>
      <c r="V345" s="41"/>
    </row>
    <row r="346">
      <c r="J346" s="68"/>
      <c r="K346" s="79"/>
      <c r="L346" s="79"/>
      <c r="M346" s="226"/>
      <c r="N346" s="248"/>
      <c r="O346" s="226"/>
      <c r="P346" s="226"/>
      <c r="Q346" s="226"/>
      <c r="R346" s="68"/>
      <c r="V346" s="41"/>
    </row>
    <row r="347">
      <c r="J347" s="68"/>
      <c r="K347" s="79"/>
      <c r="L347" s="79"/>
      <c r="M347" s="226"/>
      <c r="N347" s="248"/>
      <c r="O347" s="226"/>
      <c r="P347" s="226"/>
      <c r="Q347" s="226"/>
      <c r="R347" s="68"/>
      <c r="V347" s="41"/>
    </row>
    <row r="348">
      <c r="J348" s="68"/>
      <c r="K348" s="79"/>
      <c r="L348" s="79"/>
      <c r="M348" s="226"/>
      <c r="N348" s="248"/>
      <c r="O348" s="226"/>
      <c r="P348" s="226"/>
      <c r="Q348" s="226"/>
      <c r="R348" s="68"/>
      <c r="V348" s="41"/>
    </row>
    <row r="349">
      <c r="J349" s="68"/>
      <c r="K349" s="79"/>
      <c r="L349" s="79"/>
      <c r="M349" s="226"/>
      <c r="N349" s="248"/>
      <c r="O349" s="226"/>
      <c r="P349" s="226"/>
      <c r="Q349" s="226"/>
      <c r="R349" s="68"/>
      <c r="V349" s="41"/>
    </row>
    <row r="350">
      <c r="J350" s="68"/>
      <c r="K350" s="79"/>
      <c r="L350" s="79"/>
      <c r="M350" s="226"/>
      <c r="N350" s="248"/>
      <c r="O350" s="226"/>
      <c r="P350" s="226"/>
      <c r="Q350" s="226"/>
      <c r="R350" s="68"/>
      <c r="V350" s="41"/>
    </row>
    <row r="351">
      <c r="J351" s="68"/>
      <c r="K351" s="79"/>
      <c r="L351" s="79"/>
      <c r="M351" s="226"/>
      <c r="N351" s="248"/>
      <c r="O351" s="226"/>
      <c r="P351" s="226"/>
      <c r="Q351" s="226"/>
      <c r="R351" s="68"/>
      <c r="V351" s="41"/>
    </row>
    <row r="352">
      <c r="J352" s="68"/>
      <c r="K352" s="79"/>
      <c r="L352" s="79"/>
      <c r="M352" s="226"/>
      <c r="N352" s="248"/>
      <c r="O352" s="226"/>
      <c r="P352" s="226"/>
      <c r="Q352" s="226"/>
      <c r="R352" s="68"/>
      <c r="V352" s="41"/>
    </row>
    <row r="353">
      <c r="J353" s="68"/>
      <c r="K353" s="79"/>
      <c r="L353" s="79"/>
      <c r="M353" s="226"/>
      <c r="N353" s="248"/>
      <c r="O353" s="226"/>
      <c r="P353" s="226"/>
      <c r="Q353" s="226"/>
      <c r="R353" s="68"/>
      <c r="V353" s="41"/>
    </row>
    <row r="354">
      <c r="J354" s="68"/>
      <c r="K354" s="79"/>
      <c r="L354" s="79"/>
      <c r="M354" s="226"/>
      <c r="N354" s="248"/>
      <c r="O354" s="226"/>
      <c r="P354" s="226"/>
      <c r="Q354" s="226"/>
      <c r="R354" s="68"/>
      <c r="V354" s="41"/>
    </row>
    <row r="355">
      <c r="J355" s="68"/>
      <c r="K355" s="79"/>
      <c r="L355" s="79"/>
      <c r="M355" s="226"/>
      <c r="N355" s="248"/>
      <c r="O355" s="226"/>
      <c r="P355" s="226"/>
      <c r="Q355" s="226"/>
      <c r="R355" s="68"/>
      <c r="V355" s="41"/>
    </row>
    <row r="356">
      <c r="J356" s="68"/>
      <c r="K356" s="79"/>
      <c r="L356" s="79"/>
      <c r="M356" s="226"/>
      <c r="N356" s="248"/>
      <c r="O356" s="226"/>
      <c r="P356" s="226"/>
      <c r="Q356" s="226"/>
      <c r="R356" s="68"/>
      <c r="V356" s="41"/>
    </row>
    <row r="357">
      <c r="J357" s="68"/>
      <c r="K357" s="79"/>
      <c r="L357" s="79"/>
      <c r="M357" s="226"/>
      <c r="N357" s="248"/>
      <c r="O357" s="226"/>
      <c r="P357" s="226"/>
      <c r="Q357" s="226"/>
      <c r="R357" s="68"/>
      <c r="V357" s="41"/>
    </row>
    <row r="358">
      <c r="J358" s="68"/>
      <c r="K358" s="79"/>
      <c r="L358" s="79"/>
      <c r="M358" s="226"/>
      <c r="N358" s="248"/>
      <c r="O358" s="226"/>
      <c r="P358" s="226"/>
      <c r="Q358" s="226"/>
      <c r="R358" s="68"/>
      <c r="V358" s="41"/>
    </row>
    <row r="359">
      <c r="J359" s="68"/>
      <c r="K359" s="79"/>
      <c r="L359" s="79"/>
      <c r="M359" s="226"/>
      <c r="N359" s="248"/>
      <c r="O359" s="226"/>
      <c r="P359" s="226"/>
      <c r="Q359" s="226"/>
      <c r="R359" s="68"/>
      <c r="V359" s="41"/>
    </row>
    <row r="360">
      <c r="J360" s="68"/>
      <c r="K360" s="79"/>
      <c r="L360" s="79"/>
      <c r="M360" s="226"/>
      <c r="N360" s="248"/>
      <c r="O360" s="226"/>
      <c r="P360" s="226"/>
      <c r="Q360" s="226"/>
      <c r="R360" s="68"/>
      <c r="V360" s="41"/>
    </row>
    <row r="361">
      <c r="J361" s="68"/>
      <c r="K361" s="79"/>
      <c r="L361" s="79"/>
      <c r="M361" s="226"/>
      <c r="N361" s="248"/>
      <c r="O361" s="226"/>
      <c r="P361" s="226"/>
      <c r="Q361" s="226"/>
      <c r="R361" s="68"/>
      <c r="V361" s="41"/>
    </row>
    <row r="362">
      <c r="J362" s="68"/>
      <c r="K362" s="79"/>
      <c r="L362" s="79"/>
      <c r="M362" s="226"/>
      <c r="N362" s="248"/>
      <c r="O362" s="226"/>
      <c r="P362" s="226"/>
      <c r="Q362" s="226"/>
      <c r="R362" s="68"/>
      <c r="V362" s="41"/>
    </row>
    <row r="363">
      <c r="J363" s="68"/>
      <c r="K363" s="79"/>
      <c r="L363" s="79"/>
      <c r="M363" s="226"/>
      <c r="N363" s="248"/>
      <c r="O363" s="226"/>
      <c r="P363" s="226"/>
      <c r="Q363" s="226"/>
      <c r="R363" s="68"/>
      <c r="V363" s="41"/>
    </row>
    <row r="364">
      <c r="J364" s="68"/>
      <c r="K364" s="79"/>
      <c r="L364" s="79"/>
      <c r="M364" s="226"/>
      <c r="N364" s="248"/>
      <c r="O364" s="226"/>
      <c r="P364" s="226"/>
      <c r="Q364" s="226"/>
      <c r="R364" s="68"/>
      <c r="V364" s="41"/>
    </row>
    <row r="365">
      <c r="J365" s="68"/>
      <c r="K365" s="79"/>
      <c r="L365" s="79"/>
      <c r="M365" s="226"/>
      <c r="N365" s="248"/>
      <c r="O365" s="226"/>
      <c r="P365" s="226"/>
      <c r="Q365" s="226"/>
      <c r="R365" s="68"/>
      <c r="V365" s="41"/>
    </row>
    <row r="366">
      <c r="J366" s="68"/>
      <c r="K366" s="79"/>
      <c r="L366" s="79"/>
      <c r="M366" s="226"/>
      <c r="N366" s="248"/>
      <c r="O366" s="226"/>
      <c r="P366" s="226"/>
      <c r="Q366" s="226"/>
      <c r="R366" s="68"/>
      <c r="V366" s="41"/>
    </row>
    <row r="367">
      <c r="J367" s="68"/>
      <c r="K367" s="79"/>
      <c r="L367" s="79"/>
      <c r="M367" s="226"/>
      <c r="N367" s="248"/>
      <c r="O367" s="226"/>
      <c r="P367" s="226"/>
      <c r="Q367" s="226"/>
      <c r="R367" s="68"/>
      <c r="V367" s="41"/>
    </row>
    <row r="368">
      <c r="J368" s="68"/>
      <c r="K368" s="79"/>
      <c r="L368" s="79"/>
      <c r="M368" s="226"/>
      <c r="N368" s="248"/>
      <c r="O368" s="226"/>
      <c r="P368" s="226"/>
      <c r="Q368" s="226"/>
      <c r="R368" s="68"/>
      <c r="V368" s="41"/>
    </row>
    <row r="369">
      <c r="J369" s="68"/>
      <c r="K369" s="79"/>
      <c r="L369" s="79"/>
      <c r="M369" s="226"/>
      <c r="N369" s="248"/>
      <c r="O369" s="226"/>
      <c r="P369" s="226"/>
      <c r="Q369" s="226"/>
      <c r="R369" s="68"/>
      <c r="V369" s="41"/>
    </row>
    <row r="370">
      <c r="J370" s="68"/>
      <c r="K370" s="79"/>
      <c r="L370" s="79"/>
      <c r="M370" s="226"/>
      <c r="N370" s="248"/>
      <c r="O370" s="226"/>
      <c r="P370" s="226"/>
      <c r="Q370" s="226"/>
      <c r="R370" s="68"/>
      <c r="V370" s="41"/>
    </row>
    <row r="371">
      <c r="J371" s="68"/>
      <c r="K371" s="79"/>
      <c r="L371" s="79"/>
      <c r="M371" s="226"/>
      <c r="N371" s="248"/>
      <c r="O371" s="226"/>
      <c r="P371" s="226"/>
      <c r="Q371" s="226"/>
      <c r="R371" s="68"/>
      <c r="V371" s="41"/>
    </row>
    <row r="372">
      <c r="J372" s="68"/>
      <c r="K372" s="79"/>
      <c r="L372" s="79"/>
      <c r="M372" s="226"/>
      <c r="N372" s="248"/>
      <c r="O372" s="226"/>
      <c r="P372" s="226"/>
      <c r="Q372" s="226"/>
      <c r="R372" s="68"/>
      <c r="V372" s="41"/>
    </row>
    <row r="373">
      <c r="J373" s="68"/>
      <c r="K373" s="79"/>
      <c r="L373" s="79"/>
      <c r="M373" s="226"/>
      <c r="N373" s="248"/>
      <c r="O373" s="226"/>
      <c r="P373" s="226"/>
      <c r="Q373" s="226"/>
      <c r="R373" s="68"/>
      <c r="V373" s="41"/>
    </row>
    <row r="374">
      <c r="J374" s="68"/>
      <c r="K374" s="79"/>
      <c r="L374" s="79"/>
      <c r="M374" s="226"/>
      <c r="N374" s="248"/>
      <c r="O374" s="226"/>
      <c r="P374" s="226"/>
      <c r="Q374" s="226"/>
      <c r="R374" s="68"/>
      <c r="V374" s="41"/>
    </row>
    <row r="375">
      <c r="J375" s="68"/>
      <c r="K375" s="79"/>
      <c r="L375" s="79"/>
      <c r="M375" s="226"/>
      <c r="N375" s="248"/>
      <c r="O375" s="226"/>
      <c r="P375" s="226"/>
      <c r="Q375" s="226"/>
      <c r="R375" s="68"/>
      <c r="V375" s="41"/>
    </row>
    <row r="376">
      <c r="J376" s="68"/>
      <c r="K376" s="79"/>
      <c r="L376" s="79"/>
      <c r="M376" s="226"/>
      <c r="N376" s="248"/>
      <c r="O376" s="226"/>
      <c r="P376" s="226"/>
      <c r="Q376" s="226"/>
      <c r="R376" s="68"/>
      <c r="V376" s="41"/>
    </row>
    <row r="377">
      <c r="J377" s="68"/>
      <c r="K377" s="79"/>
      <c r="L377" s="79"/>
      <c r="M377" s="226"/>
      <c r="N377" s="248"/>
      <c r="O377" s="226"/>
      <c r="P377" s="226"/>
      <c r="Q377" s="226"/>
      <c r="R377" s="68"/>
      <c r="V377" s="41"/>
    </row>
    <row r="378">
      <c r="J378" s="68"/>
      <c r="K378" s="79"/>
      <c r="L378" s="79"/>
      <c r="M378" s="226"/>
      <c r="N378" s="248"/>
      <c r="O378" s="226"/>
      <c r="P378" s="226"/>
      <c r="Q378" s="226"/>
      <c r="R378" s="68"/>
      <c r="V378" s="41"/>
    </row>
    <row r="379">
      <c r="J379" s="68"/>
      <c r="K379" s="79"/>
      <c r="L379" s="79"/>
      <c r="M379" s="226"/>
      <c r="N379" s="248"/>
      <c r="O379" s="226"/>
      <c r="P379" s="226"/>
      <c r="Q379" s="226"/>
      <c r="R379" s="68"/>
      <c r="V379" s="41"/>
    </row>
    <row r="380">
      <c r="J380" s="68"/>
      <c r="K380" s="79"/>
      <c r="L380" s="79"/>
      <c r="M380" s="226"/>
      <c r="N380" s="248"/>
      <c r="O380" s="226"/>
      <c r="P380" s="226"/>
      <c r="Q380" s="226"/>
      <c r="R380" s="68"/>
      <c r="V380" s="41"/>
    </row>
    <row r="381">
      <c r="J381" s="68"/>
      <c r="K381" s="79"/>
      <c r="L381" s="79"/>
      <c r="M381" s="226"/>
      <c r="N381" s="248"/>
      <c r="O381" s="226"/>
      <c r="P381" s="226"/>
      <c r="Q381" s="226"/>
      <c r="R381" s="68"/>
      <c r="V381" s="41"/>
    </row>
    <row r="382">
      <c r="J382" s="68"/>
      <c r="K382" s="79"/>
      <c r="L382" s="79"/>
      <c r="M382" s="226"/>
      <c r="N382" s="248"/>
      <c r="O382" s="226"/>
      <c r="P382" s="226"/>
      <c r="Q382" s="226"/>
      <c r="R382" s="68"/>
      <c r="V382" s="41"/>
    </row>
    <row r="383">
      <c r="J383" s="68"/>
      <c r="K383" s="79"/>
      <c r="L383" s="79"/>
      <c r="M383" s="226"/>
      <c r="N383" s="248"/>
      <c r="O383" s="226"/>
      <c r="P383" s="226"/>
      <c r="Q383" s="226"/>
      <c r="R383" s="68"/>
      <c r="V383" s="41"/>
    </row>
    <row r="384">
      <c r="J384" s="68"/>
      <c r="K384" s="79"/>
      <c r="L384" s="79"/>
      <c r="M384" s="226"/>
      <c r="N384" s="248"/>
      <c r="O384" s="226"/>
      <c r="P384" s="226"/>
      <c r="Q384" s="226"/>
      <c r="R384" s="68"/>
      <c r="V384" s="41"/>
    </row>
    <row r="385">
      <c r="J385" s="68"/>
      <c r="K385" s="79"/>
      <c r="L385" s="79"/>
      <c r="M385" s="226"/>
      <c r="N385" s="248"/>
      <c r="O385" s="226"/>
      <c r="P385" s="226"/>
      <c r="Q385" s="226"/>
      <c r="R385" s="68"/>
      <c r="V385" s="41"/>
    </row>
    <row r="386">
      <c r="J386" s="68"/>
      <c r="K386" s="79"/>
      <c r="L386" s="79"/>
      <c r="M386" s="226"/>
      <c r="N386" s="248"/>
      <c r="O386" s="226"/>
      <c r="P386" s="226"/>
      <c r="Q386" s="226"/>
      <c r="R386" s="68"/>
      <c r="V386" s="41"/>
    </row>
    <row r="387">
      <c r="J387" s="68"/>
      <c r="K387" s="79"/>
      <c r="L387" s="79"/>
      <c r="M387" s="226"/>
      <c r="N387" s="248"/>
      <c r="O387" s="226"/>
      <c r="P387" s="226"/>
      <c r="Q387" s="226"/>
      <c r="R387" s="68"/>
      <c r="V387" s="41"/>
    </row>
    <row r="388">
      <c r="J388" s="68"/>
      <c r="K388" s="79"/>
      <c r="L388" s="79"/>
      <c r="M388" s="226"/>
      <c r="N388" s="248"/>
      <c r="O388" s="226"/>
      <c r="P388" s="226"/>
      <c r="Q388" s="226"/>
      <c r="R388" s="68"/>
      <c r="V388" s="41"/>
    </row>
    <row r="389">
      <c r="J389" s="68"/>
      <c r="K389" s="79"/>
      <c r="L389" s="79"/>
      <c r="M389" s="226"/>
      <c r="N389" s="248"/>
      <c r="O389" s="226"/>
      <c r="P389" s="226"/>
      <c r="Q389" s="226"/>
      <c r="R389" s="68"/>
      <c r="V389" s="41"/>
    </row>
    <row r="390">
      <c r="J390" s="68"/>
      <c r="K390" s="79"/>
      <c r="L390" s="79"/>
      <c r="M390" s="226"/>
      <c r="N390" s="248"/>
      <c r="O390" s="226"/>
      <c r="P390" s="226"/>
      <c r="Q390" s="226"/>
      <c r="R390" s="68"/>
      <c r="V390" s="41"/>
    </row>
    <row r="391">
      <c r="J391" s="68"/>
      <c r="K391" s="79"/>
      <c r="L391" s="79"/>
      <c r="M391" s="226"/>
      <c r="N391" s="248"/>
      <c r="O391" s="226"/>
      <c r="P391" s="226"/>
      <c r="Q391" s="226"/>
      <c r="R391" s="68"/>
      <c r="V391" s="41"/>
    </row>
    <row r="392">
      <c r="J392" s="68"/>
      <c r="K392" s="79"/>
      <c r="L392" s="79"/>
      <c r="M392" s="226"/>
      <c r="N392" s="248"/>
      <c r="O392" s="226"/>
      <c r="P392" s="226"/>
      <c r="Q392" s="226"/>
      <c r="R392" s="68"/>
      <c r="V392" s="41"/>
    </row>
    <row r="393">
      <c r="J393" s="68"/>
      <c r="K393" s="79"/>
      <c r="L393" s="79"/>
      <c r="M393" s="226"/>
      <c r="N393" s="248"/>
      <c r="O393" s="226"/>
      <c r="P393" s="226"/>
      <c r="Q393" s="226"/>
      <c r="R393" s="68"/>
      <c r="V393" s="41"/>
    </row>
    <row r="394">
      <c r="J394" s="68"/>
      <c r="K394" s="79"/>
      <c r="L394" s="79"/>
      <c r="M394" s="226"/>
      <c r="N394" s="248"/>
      <c r="O394" s="226"/>
      <c r="P394" s="226"/>
      <c r="Q394" s="226"/>
      <c r="R394" s="68"/>
      <c r="V394" s="41"/>
    </row>
    <row r="395">
      <c r="J395" s="68"/>
      <c r="K395" s="79"/>
      <c r="L395" s="79"/>
      <c r="M395" s="226"/>
      <c r="N395" s="248"/>
      <c r="O395" s="226"/>
      <c r="P395" s="226"/>
      <c r="Q395" s="226"/>
      <c r="R395" s="68"/>
      <c r="V395" s="41"/>
    </row>
    <row r="396">
      <c r="J396" s="68"/>
      <c r="K396" s="79"/>
      <c r="L396" s="79"/>
      <c r="M396" s="226"/>
      <c r="N396" s="248"/>
      <c r="O396" s="226"/>
      <c r="P396" s="226"/>
      <c r="Q396" s="226"/>
      <c r="R396" s="68"/>
      <c r="V396" s="41"/>
    </row>
    <row r="397">
      <c r="J397" s="68"/>
      <c r="K397" s="79"/>
      <c r="L397" s="79"/>
      <c r="M397" s="226"/>
      <c r="N397" s="248"/>
      <c r="O397" s="226"/>
      <c r="P397" s="226"/>
      <c r="Q397" s="226"/>
      <c r="R397" s="68"/>
      <c r="V397" s="41"/>
    </row>
    <row r="398">
      <c r="J398" s="68"/>
      <c r="K398" s="79"/>
      <c r="L398" s="79"/>
      <c r="M398" s="226"/>
      <c r="N398" s="248"/>
      <c r="O398" s="226"/>
      <c r="P398" s="226"/>
      <c r="Q398" s="226"/>
      <c r="R398" s="68"/>
      <c r="V398" s="41"/>
    </row>
    <row r="399">
      <c r="J399" s="68"/>
      <c r="K399" s="79"/>
      <c r="L399" s="79"/>
      <c r="M399" s="226"/>
      <c r="N399" s="248"/>
      <c r="O399" s="226"/>
      <c r="P399" s="226"/>
      <c r="Q399" s="226"/>
      <c r="R399" s="68"/>
      <c r="V399" s="41"/>
    </row>
    <row r="400">
      <c r="J400" s="68"/>
      <c r="K400" s="79"/>
      <c r="L400" s="79"/>
      <c r="M400" s="226"/>
      <c r="N400" s="248"/>
      <c r="O400" s="226"/>
      <c r="P400" s="226"/>
      <c r="Q400" s="226"/>
      <c r="R400" s="68"/>
      <c r="V400" s="41"/>
    </row>
    <row r="401">
      <c r="J401" s="68"/>
      <c r="K401" s="79"/>
      <c r="L401" s="79"/>
      <c r="M401" s="226"/>
      <c r="N401" s="248"/>
      <c r="O401" s="226"/>
      <c r="P401" s="226"/>
      <c r="Q401" s="226"/>
      <c r="R401" s="68"/>
      <c r="V401" s="41"/>
    </row>
    <row r="402">
      <c r="J402" s="68"/>
      <c r="K402" s="79"/>
      <c r="L402" s="79"/>
      <c r="M402" s="226"/>
      <c r="N402" s="248"/>
      <c r="O402" s="226"/>
      <c r="P402" s="226"/>
      <c r="Q402" s="226"/>
      <c r="R402" s="68"/>
      <c r="V402" s="41"/>
    </row>
    <row r="403">
      <c r="J403" s="68"/>
      <c r="K403" s="79"/>
      <c r="L403" s="79"/>
      <c r="M403" s="226"/>
      <c r="N403" s="248"/>
      <c r="O403" s="226"/>
      <c r="P403" s="226"/>
      <c r="Q403" s="226"/>
      <c r="R403" s="68"/>
      <c r="V403" s="41"/>
    </row>
    <row r="404">
      <c r="J404" s="68"/>
      <c r="K404" s="79"/>
      <c r="L404" s="79"/>
      <c r="M404" s="226"/>
      <c r="N404" s="248"/>
      <c r="O404" s="226"/>
      <c r="P404" s="226"/>
      <c r="Q404" s="226"/>
      <c r="R404" s="68"/>
      <c r="V404" s="41"/>
    </row>
    <row r="405">
      <c r="J405" s="68"/>
      <c r="K405" s="79"/>
      <c r="L405" s="79"/>
      <c r="M405" s="226"/>
      <c r="N405" s="248"/>
      <c r="O405" s="226"/>
      <c r="P405" s="226"/>
      <c r="Q405" s="226"/>
      <c r="R405" s="68"/>
      <c r="V405" s="41"/>
    </row>
    <row r="406">
      <c r="J406" s="68"/>
      <c r="K406" s="79"/>
      <c r="L406" s="79"/>
      <c r="M406" s="226"/>
      <c r="N406" s="248"/>
      <c r="O406" s="226"/>
      <c r="P406" s="226"/>
      <c r="Q406" s="226"/>
      <c r="R406" s="68"/>
      <c r="V406" s="41"/>
    </row>
    <row r="407">
      <c r="J407" s="68"/>
      <c r="K407" s="79"/>
      <c r="L407" s="79"/>
      <c r="M407" s="226"/>
      <c r="N407" s="248"/>
      <c r="O407" s="226"/>
      <c r="P407" s="226"/>
      <c r="Q407" s="226"/>
      <c r="R407" s="68"/>
      <c r="V407" s="41"/>
    </row>
    <row r="408">
      <c r="J408" s="68"/>
      <c r="K408" s="79"/>
      <c r="L408" s="79"/>
      <c r="M408" s="226"/>
      <c r="N408" s="248"/>
      <c r="O408" s="226"/>
      <c r="P408" s="226"/>
      <c r="Q408" s="226"/>
      <c r="R408" s="68"/>
      <c r="V408" s="41"/>
    </row>
    <row r="409">
      <c r="J409" s="68"/>
      <c r="K409" s="79"/>
      <c r="L409" s="79"/>
      <c r="M409" s="226"/>
      <c r="N409" s="248"/>
      <c r="O409" s="226"/>
      <c r="P409" s="226"/>
      <c r="Q409" s="226"/>
      <c r="R409" s="68"/>
      <c r="V409" s="41"/>
    </row>
    <row r="410">
      <c r="J410" s="68"/>
      <c r="K410" s="79"/>
      <c r="L410" s="79"/>
      <c r="M410" s="226"/>
      <c r="N410" s="248"/>
      <c r="O410" s="226"/>
      <c r="P410" s="226"/>
      <c r="Q410" s="226"/>
      <c r="R410" s="68"/>
      <c r="V410" s="41"/>
    </row>
    <row r="411">
      <c r="J411" s="68"/>
      <c r="K411" s="79"/>
      <c r="L411" s="79"/>
      <c r="M411" s="226"/>
      <c r="N411" s="248"/>
      <c r="O411" s="226"/>
      <c r="P411" s="226"/>
      <c r="Q411" s="226"/>
      <c r="R411" s="68"/>
      <c r="V411" s="41"/>
    </row>
    <row r="412">
      <c r="J412" s="68"/>
      <c r="K412" s="79"/>
      <c r="L412" s="79"/>
      <c r="M412" s="226"/>
      <c r="N412" s="248"/>
      <c r="O412" s="226"/>
      <c r="P412" s="226"/>
      <c r="Q412" s="226"/>
      <c r="R412" s="68"/>
      <c r="V412" s="41"/>
    </row>
    <row r="413">
      <c r="J413" s="68"/>
      <c r="K413" s="79"/>
      <c r="L413" s="79"/>
      <c r="M413" s="226"/>
      <c r="N413" s="248"/>
      <c r="O413" s="226"/>
      <c r="P413" s="226"/>
      <c r="Q413" s="226"/>
      <c r="R413" s="68"/>
      <c r="V413" s="41"/>
    </row>
    <row r="414">
      <c r="J414" s="68"/>
      <c r="K414" s="79"/>
      <c r="L414" s="79"/>
      <c r="M414" s="226"/>
      <c r="N414" s="248"/>
      <c r="O414" s="226"/>
      <c r="P414" s="226"/>
      <c r="Q414" s="226"/>
      <c r="R414" s="68"/>
      <c r="V414" s="41"/>
    </row>
    <row r="415">
      <c r="J415" s="68"/>
      <c r="K415" s="79"/>
      <c r="L415" s="79"/>
      <c r="M415" s="226"/>
      <c r="N415" s="248"/>
      <c r="O415" s="226"/>
      <c r="P415" s="226"/>
      <c r="Q415" s="226"/>
      <c r="R415" s="68"/>
      <c r="V415" s="41"/>
    </row>
    <row r="416">
      <c r="J416" s="68"/>
      <c r="K416" s="79"/>
      <c r="L416" s="79"/>
      <c r="M416" s="226"/>
      <c r="N416" s="248"/>
      <c r="O416" s="226"/>
      <c r="P416" s="226"/>
      <c r="Q416" s="226"/>
      <c r="R416" s="68"/>
      <c r="V416" s="41"/>
    </row>
    <row r="417">
      <c r="J417" s="68"/>
      <c r="K417" s="79"/>
      <c r="L417" s="79"/>
      <c r="M417" s="226"/>
      <c r="N417" s="248"/>
      <c r="O417" s="226"/>
      <c r="P417" s="226"/>
      <c r="Q417" s="226"/>
      <c r="R417" s="68"/>
      <c r="V417" s="41"/>
    </row>
    <row r="418">
      <c r="J418" s="68"/>
      <c r="K418" s="79"/>
      <c r="L418" s="79"/>
      <c r="M418" s="226"/>
      <c r="N418" s="248"/>
      <c r="O418" s="226"/>
      <c r="P418" s="226"/>
      <c r="Q418" s="226"/>
      <c r="R418" s="68"/>
      <c r="V418" s="41"/>
    </row>
    <row r="419">
      <c r="J419" s="68"/>
      <c r="K419" s="79"/>
      <c r="L419" s="79"/>
      <c r="M419" s="226"/>
      <c r="N419" s="248"/>
      <c r="O419" s="226"/>
      <c r="P419" s="226"/>
      <c r="Q419" s="226"/>
      <c r="R419" s="68"/>
      <c r="V419" s="41"/>
    </row>
    <row r="420">
      <c r="J420" s="68"/>
      <c r="K420" s="79"/>
      <c r="L420" s="79"/>
      <c r="M420" s="226"/>
      <c r="N420" s="248"/>
      <c r="O420" s="226"/>
      <c r="P420" s="226"/>
      <c r="Q420" s="226"/>
      <c r="R420" s="68"/>
      <c r="V420" s="41"/>
    </row>
    <row r="421">
      <c r="J421" s="68"/>
      <c r="K421" s="79"/>
      <c r="L421" s="79"/>
      <c r="M421" s="226"/>
      <c r="N421" s="248"/>
      <c r="O421" s="226"/>
      <c r="P421" s="226"/>
      <c r="Q421" s="226"/>
      <c r="R421" s="68"/>
      <c r="V421" s="41"/>
    </row>
    <row r="422">
      <c r="J422" s="68"/>
      <c r="K422" s="79"/>
      <c r="L422" s="79"/>
      <c r="M422" s="226"/>
      <c r="N422" s="248"/>
      <c r="O422" s="226"/>
      <c r="P422" s="226"/>
      <c r="Q422" s="226"/>
      <c r="R422" s="68"/>
      <c r="V422" s="41"/>
    </row>
    <row r="423">
      <c r="J423" s="68"/>
      <c r="K423" s="79"/>
      <c r="L423" s="79"/>
      <c r="M423" s="226"/>
      <c r="N423" s="248"/>
      <c r="O423" s="226"/>
      <c r="P423" s="226"/>
      <c r="Q423" s="226"/>
      <c r="R423" s="68"/>
      <c r="V423" s="41"/>
    </row>
    <row r="424">
      <c r="J424" s="68"/>
      <c r="K424" s="79"/>
      <c r="L424" s="79"/>
      <c r="M424" s="226"/>
      <c r="N424" s="248"/>
      <c r="O424" s="226"/>
      <c r="P424" s="226"/>
      <c r="Q424" s="226"/>
      <c r="R424" s="68"/>
      <c r="V424" s="41"/>
    </row>
    <row r="425">
      <c r="J425" s="68"/>
      <c r="K425" s="79"/>
      <c r="L425" s="79"/>
      <c r="M425" s="226"/>
      <c r="N425" s="248"/>
      <c r="O425" s="226"/>
      <c r="P425" s="226"/>
      <c r="Q425" s="226"/>
      <c r="R425" s="68"/>
      <c r="V425" s="41"/>
    </row>
    <row r="426">
      <c r="J426" s="68"/>
      <c r="K426" s="79"/>
      <c r="L426" s="79"/>
      <c r="M426" s="226"/>
      <c r="N426" s="248"/>
      <c r="O426" s="226"/>
      <c r="P426" s="226"/>
      <c r="Q426" s="226"/>
      <c r="R426" s="68"/>
      <c r="V426" s="41"/>
    </row>
    <row r="427">
      <c r="J427" s="68"/>
      <c r="K427" s="79"/>
      <c r="L427" s="79"/>
      <c r="M427" s="226"/>
      <c r="N427" s="248"/>
      <c r="O427" s="226"/>
      <c r="P427" s="226"/>
      <c r="Q427" s="226"/>
      <c r="R427" s="68"/>
      <c r="V427" s="41"/>
    </row>
    <row r="428">
      <c r="J428" s="68"/>
      <c r="K428" s="79"/>
      <c r="L428" s="79"/>
      <c r="M428" s="226"/>
      <c r="N428" s="248"/>
      <c r="O428" s="226"/>
      <c r="P428" s="226"/>
      <c r="Q428" s="226"/>
      <c r="R428" s="68"/>
      <c r="V428" s="41"/>
    </row>
    <row r="429">
      <c r="J429" s="68"/>
      <c r="K429" s="79"/>
      <c r="L429" s="79"/>
      <c r="M429" s="226"/>
      <c r="N429" s="248"/>
      <c r="O429" s="226"/>
      <c r="P429" s="226"/>
      <c r="Q429" s="226"/>
      <c r="R429" s="68"/>
      <c r="V429" s="41"/>
    </row>
    <row r="430">
      <c r="J430" s="68"/>
      <c r="K430" s="79"/>
      <c r="L430" s="79"/>
      <c r="M430" s="226"/>
      <c r="N430" s="248"/>
      <c r="O430" s="226"/>
      <c r="P430" s="226"/>
      <c r="Q430" s="226"/>
      <c r="R430" s="68"/>
      <c r="V430" s="41"/>
    </row>
    <row r="431">
      <c r="J431" s="68"/>
      <c r="K431" s="79"/>
      <c r="L431" s="79"/>
      <c r="M431" s="226"/>
      <c r="N431" s="248"/>
      <c r="O431" s="226"/>
      <c r="P431" s="226"/>
      <c r="Q431" s="226"/>
      <c r="R431" s="68"/>
      <c r="V431" s="41"/>
    </row>
    <row r="432">
      <c r="J432" s="68"/>
      <c r="K432" s="79"/>
      <c r="L432" s="79"/>
      <c r="M432" s="226"/>
      <c r="N432" s="248"/>
      <c r="O432" s="226"/>
      <c r="P432" s="226"/>
      <c r="Q432" s="226"/>
      <c r="R432" s="68"/>
      <c r="V432" s="41"/>
    </row>
    <row r="433">
      <c r="J433" s="68"/>
      <c r="K433" s="79"/>
      <c r="L433" s="79"/>
      <c r="M433" s="226"/>
      <c r="N433" s="248"/>
      <c r="O433" s="226"/>
      <c r="P433" s="226"/>
      <c r="Q433" s="226"/>
      <c r="R433" s="68"/>
      <c r="V433" s="41"/>
    </row>
    <row r="434">
      <c r="J434" s="68"/>
      <c r="K434" s="79"/>
      <c r="L434" s="79"/>
      <c r="M434" s="226"/>
      <c r="N434" s="248"/>
      <c r="O434" s="226"/>
      <c r="P434" s="226"/>
      <c r="Q434" s="226"/>
      <c r="R434" s="68"/>
      <c r="V434" s="41"/>
    </row>
    <row r="435">
      <c r="J435" s="68"/>
      <c r="K435" s="79"/>
      <c r="L435" s="79"/>
      <c r="M435" s="226"/>
      <c r="N435" s="248"/>
      <c r="O435" s="226"/>
      <c r="P435" s="226"/>
      <c r="Q435" s="226"/>
      <c r="R435" s="68"/>
      <c r="V435" s="41"/>
    </row>
    <row r="436">
      <c r="J436" s="68"/>
      <c r="K436" s="79"/>
      <c r="L436" s="79"/>
      <c r="M436" s="226"/>
      <c r="N436" s="248"/>
      <c r="O436" s="226"/>
      <c r="P436" s="226"/>
      <c r="Q436" s="226"/>
      <c r="R436" s="68"/>
      <c r="V436" s="41"/>
    </row>
    <row r="437">
      <c r="J437" s="68"/>
      <c r="K437" s="79"/>
      <c r="L437" s="79"/>
      <c r="M437" s="226"/>
      <c r="N437" s="248"/>
      <c r="O437" s="226"/>
      <c r="P437" s="226"/>
      <c r="Q437" s="226"/>
      <c r="R437" s="68"/>
      <c r="V437" s="41"/>
    </row>
    <row r="438">
      <c r="J438" s="68"/>
      <c r="K438" s="79"/>
      <c r="L438" s="79"/>
      <c r="M438" s="226"/>
      <c r="N438" s="248"/>
      <c r="O438" s="226"/>
      <c r="P438" s="226"/>
      <c r="Q438" s="226"/>
      <c r="R438" s="68"/>
      <c r="V438" s="41"/>
    </row>
    <row r="439">
      <c r="J439" s="68"/>
      <c r="K439" s="79"/>
      <c r="L439" s="79"/>
      <c r="M439" s="226"/>
      <c r="N439" s="248"/>
      <c r="O439" s="226"/>
      <c r="P439" s="226"/>
      <c r="Q439" s="226"/>
      <c r="R439" s="68"/>
      <c r="V439" s="41"/>
    </row>
    <row r="440">
      <c r="J440" s="68"/>
      <c r="K440" s="79"/>
      <c r="L440" s="79"/>
      <c r="M440" s="226"/>
      <c r="N440" s="248"/>
      <c r="O440" s="226"/>
      <c r="P440" s="226"/>
      <c r="Q440" s="226"/>
      <c r="R440" s="68"/>
      <c r="V440" s="41"/>
    </row>
    <row r="441">
      <c r="J441" s="68"/>
      <c r="K441" s="79"/>
      <c r="L441" s="79"/>
      <c r="M441" s="226"/>
      <c r="N441" s="248"/>
      <c r="O441" s="226"/>
      <c r="P441" s="226"/>
      <c r="Q441" s="226"/>
      <c r="R441" s="68"/>
      <c r="V441" s="41"/>
    </row>
    <row r="442">
      <c r="J442" s="68"/>
      <c r="K442" s="79"/>
      <c r="L442" s="79"/>
      <c r="M442" s="226"/>
      <c r="N442" s="248"/>
      <c r="O442" s="226"/>
      <c r="P442" s="226"/>
      <c r="Q442" s="226"/>
      <c r="R442" s="68"/>
      <c r="V442" s="41"/>
    </row>
    <row r="443">
      <c r="J443" s="68"/>
      <c r="K443" s="79"/>
      <c r="L443" s="79"/>
      <c r="M443" s="226"/>
      <c r="N443" s="248"/>
      <c r="O443" s="226"/>
      <c r="P443" s="226"/>
      <c r="Q443" s="226"/>
      <c r="R443" s="68"/>
      <c r="V443" s="41"/>
    </row>
    <row r="444">
      <c r="J444" s="68"/>
      <c r="K444" s="79"/>
      <c r="L444" s="79"/>
      <c r="M444" s="226"/>
      <c r="N444" s="248"/>
      <c r="O444" s="226"/>
      <c r="P444" s="226"/>
      <c r="Q444" s="226"/>
      <c r="R444" s="68"/>
      <c r="V444" s="41"/>
    </row>
    <row r="445">
      <c r="J445" s="68"/>
      <c r="K445" s="79"/>
      <c r="L445" s="79"/>
      <c r="M445" s="226"/>
      <c r="N445" s="248"/>
      <c r="O445" s="226"/>
      <c r="P445" s="226"/>
      <c r="Q445" s="226"/>
      <c r="R445" s="68"/>
      <c r="V445" s="41"/>
    </row>
    <row r="446">
      <c r="J446" s="68"/>
      <c r="K446" s="79"/>
      <c r="L446" s="79"/>
      <c r="M446" s="226"/>
      <c r="N446" s="248"/>
      <c r="O446" s="226"/>
      <c r="P446" s="226"/>
      <c r="Q446" s="226"/>
      <c r="R446" s="68"/>
      <c r="V446" s="41"/>
    </row>
    <row r="447">
      <c r="J447" s="68"/>
      <c r="K447" s="79"/>
      <c r="L447" s="79"/>
      <c r="M447" s="226"/>
      <c r="N447" s="248"/>
      <c r="O447" s="226"/>
      <c r="P447" s="226"/>
      <c r="Q447" s="226"/>
      <c r="R447" s="68"/>
      <c r="V447" s="41"/>
    </row>
    <row r="448">
      <c r="J448" s="68"/>
      <c r="K448" s="79"/>
      <c r="L448" s="79"/>
      <c r="M448" s="226"/>
      <c r="N448" s="248"/>
      <c r="O448" s="226"/>
      <c r="P448" s="226"/>
      <c r="Q448" s="226"/>
      <c r="R448" s="68"/>
      <c r="V448" s="41"/>
    </row>
    <row r="449">
      <c r="J449" s="68"/>
      <c r="K449" s="79"/>
      <c r="L449" s="79"/>
      <c r="M449" s="226"/>
      <c r="N449" s="248"/>
      <c r="O449" s="226"/>
      <c r="P449" s="226"/>
      <c r="Q449" s="226"/>
      <c r="R449" s="68"/>
      <c r="V449" s="41"/>
    </row>
    <row r="450">
      <c r="J450" s="68"/>
      <c r="K450" s="79"/>
      <c r="L450" s="79"/>
      <c r="M450" s="226"/>
      <c r="N450" s="248"/>
      <c r="O450" s="226"/>
      <c r="P450" s="226"/>
      <c r="Q450" s="226"/>
      <c r="R450" s="68"/>
      <c r="V450" s="41"/>
    </row>
    <row r="451">
      <c r="J451" s="68"/>
      <c r="K451" s="79"/>
      <c r="L451" s="79"/>
      <c r="M451" s="226"/>
      <c r="N451" s="248"/>
      <c r="O451" s="226"/>
      <c r="P451" s="226"/>
      <c r="Q451" s="226"/>
      <c r="R451" s="68"/>
      <c r="V451" s="41"/>
    </row>
    <row r="452">
      <c r="J452" s="68"/>
      <c r="K452" s="79"/>
      <c r="L452" s="79"/>
      <c r="M452" s="226"/>
      <c r="N452" s="248"/>
      <c r="O452" s="226"/>
      <c r="P452" s="226"/>
      <c r="Q452" s="226"/>
      <c r="R452" s="68"/>
      <c r="V452" s="41"/>
    </row>
    <row r="453">
      <c r="J453" s="68"/>
      <c r="K453" s="79"/>
      <c r="L453" s="79"/>
      <c r="M453" s="226"/>
      <c r="N453" s="248"/>
      <c r="O453" s="226"/>
      <c r="P453" s="226"/>
      <c r="Q453" s="226"/>
      <c r="R453" s="68"/>
      <c r="V453" s="41"/>
    </row>
    <row r="454">
      <c r="J454" s="68"/>
      <c r="K454" s="79"/>
      <c r="L454" s="79"/>
      <c r="M454" s="226"/>
      <c r="N454" s="248"/>
      <c r="O454" s="226"/>
      <c r="P454" s="226"/>
      <c r="Q454" s="226"/>
      <c r="R454" s="68"/>
      <c r="V454" s="41"/>
    </row>
    <row r="455">
      <c r="J455" s="68"/>
      <c r="K455" s="79"/>
      <c r="L455" s="79"/>
      <c r="M455" s="226"/>
      <c r="N455" s="248"/>
      <c r="O455" s="226"/>
      <c r="P455" s="226"/>
      <c r="Q455" s="226"/>
      <c r="R455" s="68"/>
      <c r="V455" s="41"/>
    </row>
    <row r="456">
      <c r="J456" s="68"/>
      <c r="K456" s="79"/>
      <c r="L456" s="79"/>
      <c r="M456" s="226"/>
      <c r="N456" s="248"/>
      <c r="O456" s="226"/>
      <c r="P456" s="226"/>
      <c r="Q456" s="226"/>
      <c r="R456" s="68"/>
      <c r="V456" s="41"/>
    </row>
    <row r="457">
      <c r="J457" s="68"/>
      <c r="K457" s="79"/>
      <c r="L457" s="79"/>
      <c r="M457" s="226"/>
      <c r="N457" s="248"/>
      <c r="O457" s="226"/>
      <c r="P457" s="226"/>
      <c r="Q457" s="226"/>
      <c r="R457" s="68"/>
      <c r="V457" s="41"/>
    </row>
    <row r="458">
      <c r="J458" s="68"/>
      <c r="K458" s="79"/>
      <c r="L458" s="79"/>
      <c r="M458" s="226"/>
      <c r="N458" s="248"/>
      <c r="O458" s="226"/>
      <c r="P458" s="226"/>
      <c r="Q458" s="226"/>
      <c r="R458" s="68"/>
      <c r="V458" s="41"/>
    </row>
    <row r="459">
      <c r="J459" s="68"/>
      <c r="K459" s="79"/>
      <c r="L459" s="79"/>
      <c r="M459" s="226"/>
      <c r="N459" s="248"/>
      <c r="O459" s="226"/>
      <c r="P459" s="226"/>
      <c r="Q459" s="226"/>
      <c r="R459" s="68"/>
      <c r="V459" s="41"/>
    </row>
    <row r="460">
      <c r="J460" s="68"/>
      <c r="K460" s="79"/>
      <c r="L460" s="79"/>
      <c r="M460" s="226"/>
      <c r="N460" s="248"/>
      <c r="O460" s="226"/>
      <c r="P460" s="226"/>
      <c r="Q460" s="226"/>
      <c r="R460" s="68"/>
      <c r="V460" s="41"/>
    </row>
    <row r="461">
      <c r="J461" s="68"/>
      <c r="K461" s="79"/>
      <c r="L461" s="79"/>
      <c r="M461" s="226"/>
      <c r="N461" s="248"/>
      <c r="O461" s="226"/>
      <c r="P461" s="226"/>
      <c r="Q461" s="226"/>
      <c r="R461" s="68"/>
      <c r="V461" s="41"/>
    </row>
    <row r="462">
      <c r="J462" s="68"/>
      <c r="K462" s="79"/>
      <c r="L462" s="79"/>
      <c r="M462" s="226"/>
      <c r="N462" s="248"/>
      <c r="O462" s="226"/>
      <c r="P462" s="226"/>
      <c r="Q462" s="226"/>
      <c r="R462" s="68"/>
      <c r="V462" s="41"/>
    </row>
    <row r="463">
      <c r="J463" s="68"/>
      <c r="K463" s="79"/>
      <c r="L463" s="79"/>
      <c r="M463" s="226"/>
      <c r="N463" s="248"/>
      <c r="O463" s="226"/>
      <c r="P463" s="226"/>
      <c r="Q463" s="226"/>
      <c r="R463" s="68"/>
      <c r="V463" s="41"/>
    </row>
    <row r="464">
      <c r="J464" s="68"/>
      <c r="K464" s="79"/>
      <c r="L464" s="79"/>
      <c r="M464" s="226"/>
      <c r="N464" s="248"/>
      <c r="O464" s="226"/>
      <c r="P464" s="226"/>
      <c r="Q464" s="226"/>
      <c r="R464" s="68"/>
      <c r="V464" s="41"/>
    </row>
    <row r="465">
      <c r="J465" s="68"/>
      <c r="K465" s="79"/>
      <c r="L465" s="79"/>
      <c r="M465" s="226"/>
      <c r="N465" s="248"/>
      <c r="O465" s="226"/>
      <c r="P465" s="226"/>
      <c r="Q465" s="226"/>
      <c r="R465" s="68"/>
      <c r="V465" s="41"/>
    </row>
    <row r="466">
      <c r="J466" s="68"/>
      <c r="K466" s="79"/>
      <c r="L466" s="79"/>
      <c r="M466" s="226"/>
      <c r="N466" s="248"/>
      <c r="O466" s="226"/>
      <c r="P466" s="226"/>
      <c r="Q466" s="226"/>
      <c r="R466" s="68"/>
      <c r="V466" s="41"/>
    </row>
    <row r="467">
      <c r="J467" s="68"/>
      <c r="K467" s="79"/>
      <c r="L467" s="79"/>
      <c r="M467" s="226"/>
      <c r="N467" s="248"/>
      <c r="O467" s="226"/>
      <c r="P467" s="226"/>
      <c r="Q467" s="226"/>
      <c r="R467" s="68"/>
      <c r="V467" s="41"/>
    </row>
    <row r="468">
      <c r="J468" s="68"/>
      <c r="K468" s="79"/>
      <c r="L468" s="79"/>
      <c r="M468" s="226"/>
      <c r="N468" s="248"/>
      <c r="O468" s="226"/>
      <c r="P468" s="226"/>
      <c r="Q468" s="226"/>
      <c r="R468" s="68"/>
      <c r="V468" s="41"/>
    </row>
    <row r="469">
      <c r="J469" s="68"/>
      <c r="K469" s="79"/>
      <c r="L469" s="79"/>
      <c r="M469" s="226"/>
      <c r="N469" s="248"/>
      <c r="O469" s="226"/>
      <c r="P469" s="226"/>
      <c r="Q469" s="226"/>
      <c r="R469" s="68"/>
      <c r="V469" s="41"/>
    </row>
    <row r="470">
      <c r="J470" s="68"/>
      <c r="K470" s="79"/>
      <c r="L470" s="79"/>
      <c r="M470" s="226"/>
      <c r="N470" s="248"/>
      <c r="O470" s="226"/>
      <c r="P470" s="226"/>
      <c r="Q470" s="226"/>
      <c r="R470" s="68"/>
      <c r="V470" s="41"/>
    </row>
    <row r="471">
      <c r="J471" s="68"/>
      <c r="K471" s="79"/>
      <c r="L471" s="79"/>
      <c r="M471" s="226"/>
      <c r="N471" s="248"/>
      <c r="O471" s="226"/>
      <c r="P471" s="226"/>
      <c r="Q471" s="226"/>
      <c r="R471" s="68"/>
      <c r="V471" s="41"/>
    </row>
    <row r="472">
      <c r="J472" s="68"/>
      <c r="K472" s="79"/>
      <c r="L472" s="79"/>
      <c r="M472" s="226"/>
      <c r="N472" s="248"/>
      <c r="O472" s="226"/>
      <c r="P472" s="226"/>
      <c r="Q472" s="226"/>
      <c r="R472" s="68"/>
      <c r="V472" s="41"/>
    </row>
    <row r="473">
      <c r="J473" s="68"/>
      <c r="K473" s="79"/>
      <c r="L473" s="79"/>
      <c r="M473" s="226"/>
      <c r="N473" s="248"/>
      <c r="O473" s="226"/>
      <c r="P473" s="226"/>
      <c r="Q473" s="226"/>
      <c r="R473" s="68"/>
      <c r="V473" s="41"/>
    </row>
    <row r="474">
      <c r="J474" s="68"/>
      <c r="K474" s="79"/>
      <c r="L474" s="79"/>
      <c r="M474" s="226"/>
      <c r="N474" s="248"/>
      <c r="O474" s="226"/>
      <c r="P474" s="226"/>
      <c r="Q474" s="226"/>
      <c r="R474" s="68"/>
      <c r="V474" s="41"/>
    </row>
    <row r="475">
      <c r="J475" s="68"/>
      <c r="K475" s="79"/>
      <c r="L475" s="79"/>
      <c r="M475" s="226"/>
      <c r="N475" s="248"/>
      <c r="O475" s="226"/>
      <c r="P475" s="226"/>
      <c r="Q475" s="226"/>
      <c r="R475" s="68"/>
      <c r="V475" s="41"/>
    </row>
    <row r="476">
      <c r="J476" s="68"/>
      <c r="K476" s="79"/>
      <c r="L476" s="79"/>
      <c r="M476" s="226"/>
      <c r="N476" s="248"/>
      <c r="O476" s="226"/>
      <c r="P476" s="226"/>
      <c r="Q476" s="226"/>
      <c r="R476" s="68"/>
      <c r="V476" s="41"/>
    </row>
    <row r="477">
      <c r="J477" s="68"/>
      <c r="K477" s="79"/>
      <c r="L477" s="79"/>
      <c r="M477" s="226"/>
      <c r="N477" s="248"/>
      <c r="O477" s="226"/>
      <c r="P477" s="226"/>
      <c r="Q477" s="226"/>
      <c r="R477" s="68"/>
      <c r="V477" s="41"/>
    </row>
    <row r="478">
      <c r="J478" s="68"/>
      <c r="K478" s="79"/>
      <c r="L478" s="79"/>
      <c r="M478" s="226"/>
      <c r="N478" s="248"/>
      <c r="O478" s="226"/>
      <c r="P478" s="226"/>
      <c r="Q478" s="226"/>
      <c r="R478" s="68"/>
      <c r="V478" s="41"/>
    </row>
    <row r="479">
      <c r="J479" s="68"/>
      <c r="K479" s="79"/>
      <c r="L479" s="79"/>
      <c r="M479" s="226"/>
      <c r="N479" s="248"/>
      <c r="O479" s="226"/>
      <c r="P479" s="226"/>
      <c r="Q479" s="226"/>
      <c r="R479" s="68"/>
      <c r="V479" s="41"/>
    </row>
    <row r="480">
      <c r="J480" s="68"/>
      <c r="K480" s="79"/>
      <c r="L480" s="79"/>
      <c r="M480" s="226"/>
      <c r="N480" s="248"/>
      <c r="O480" s="226"/>
      <c r="P480" s="226"/>
      <c r="Q480" s="226"/>
      <c r="R480" s="68"/>
      <c r="V480" s="41"/>
    </row>
    <row r="481">
      <c r="J481" s="68"/>
      <c r="K481" s="79"/>
      <c r="L481" s="79"/>
      <c r="M481" s="226"/>
      <c r="N481" s="248"/>
      <c r="O481" s="226"/>
      <c r="P481" s="226"/>
      <c r="Q481" s="226"/>
      <c r="R481" s="68"/>
      <c r="V481" s="41"/>
    </row>
    <row r="482">
      <c r="J482" s="68"/>
      <c r="K482" s="79"/>
      <c r="L482" s="79"/>
      <c r="M482" s="226"/>
      <c r="N482" s="248"/>
      <c r="O482" s="226"/>
      <c r="P482" s="226"/>
      <c r="Q482" s="226"/>
      <c r="R482" s="68"/>
      <c r="V482" s="41"/>
    </row>
    <row r="483">
      <c r="J483" s="68"/>
      <c r="K483" s="79"/>
      <c r="L483" s="79"/>
      <c r="M483" s="226"/>
      <c r="N483" s="248"/>
      <c r="O483" s="226"/>
      <c r="P483" s="226"/>
      <c r="Q483" s="226"/>
      <c r="R483" s="68"/>
      <c r="V483" s="41"/>
    </row>
    <row r="484">
      <c r="J484" s="68"/>
      <c r="K484" s="79"/>
      <c r="L484" s="79"/>
      <c r="M484" s="226"/>
      <c r="N484" s="248"/>
      <c r="O484" s="226"/>
      <c r="P484" s="226"/>
      <c r="Q484" s="226"/>
      <c r="R484" s="68"/>
      <c r="V484" s="41"/>
    </row>
    <row r="485">
      <c r="J485" s="68"/>
      <c r="K485" s="79"/>
      <c r="L485" s="79"/>
      <c r="M485" s="226"/>
      <c r="N485" s="248"/>
      <c r="O485" s="226"/>
      <c r="P485" s="226"/>
      <c r="Q485" s="226"/>
      <c r="R485" s="68"/>
      <c r="V485" s="41"/>
    </row>
    <row r="486">
      <c r="J486" s="68"/>
      <c r="K486" s="79"/>
      <c r="L486" s="79"/>
      <c r="M486" s="226"/>
      <c r="N486" s="248"/>
      <c r="O486" s="226"/>
      <c r="P486" s="226"/>
      <c r="Q486" s="226"/>
      <c r="R486" s="68"/>
      <c r="V486" s="41"/>
    </row>
    <row r="487">
      <c r="J487" s="68"/>
      <c r="K487" s="79"/>
      <c r="L487" s="79"/>
      <c r="M487" s="226"/>
      <c r="N487" s="248"/>
      <c r="O487" s="226"/>
      <c r="P487" s="226"/>
      <c r="Q487" s="226"/>
      <c r="R487" s="68"/>
      <c r="V487" s="41"/>
    </row>
    <row r="488">
      <c r="J488" s="68"/>
      <c r="K488" s="79"/>
      <c r="L488" s="79"/>
      <c r="M488" s="226"/>
      <c r="N488" s="248"/>
      <c r="O488" s="226"/>
      <c r="P488" s="226"/>
      <c r="Q488" s="226"/>
      <c r="R488" s="68"/>
      <c r="V488" s="41"/>
    </row>
    <row r="489">
      <c r="J489" s="68"/>
      <c r="K489" s="79"/>
      <c r="L489" s="79"/>
      <c r="M489" s="226"/>
      <c r="N489" s="248"/>
      <c r="O489" s="226"/>
      <c r="P489" s="226"/>
      <c r="Q489" s="226"/>
      <c r="R489" s="68"/>
      <c r="V489" s="41"/>
    </row>
    <row r="490">
      <c r="J490" s="68"/>
      <c r="K490" s="79"/>
      <c r="L490" s="79"/>
      <c r="M490" s="226"/>
      <c r="N490" s="248"/>
      <c r="O490" s="226"/>
      <c r="P490" s="226"/>
      <c r="Q490" s="226"/>
      <c r="R490" s="68"/>
      <c r="V490" s="41"/>
    </row>
    <row r="491">
      <c r="J491" s="68"/>
      <c r="K491" s="79"/>
      <c r="L491" s="79"/>
      <c r="M491" s="226"/>
      <c r="N491" s="248"/>
      <c r="O491" s="226"/>
      <c r="P491" s="226"/>
      <c r="Q491" s="226"/>
      <c r="R491" s="68"/>
      <c r="V491" s="41"/>
    </row>
    <row r="492">
      <c r="J492" s="68"/>
      <c r="K492" s="79"/>
      <c r="L492" s="79"/>
      <c r="M492" s="226"/>
      <c r="N492" s="248"/>
      <c r="O492" s="226"/>
      <c r="P492" s="226"/>
      <c r="Q492" s="226"/>
      <c r="R492" s="68"/>
      <c r="V492" s="41"/>
    </row>
    <row r="493">
      <c r="J493" s="68"/>
      <c r="K493" s="79"/>
      <c r="L493" s="79"/>
      <c r="M493" s="226"/>
      <c r="N493" s="248"/>
      <c r="O493" s="226"/>
      <c r="P493" s="226"/>
      <c r="Q493" s="226"/>
      <c r="R493" s="68"/>
      <c r="V493" s="41"/>
    </row>
    <row r="494">
      <c r="J494" s="68"/>
      <c r="K494" s="79"/>
      <c r="L494" s="79"/>
      <c r="M494" s="226"/>
      <c r="N494" s="248"/>
      <c r="O494" s="226"/>
      <c r="P494" s="226"/>
      <c r="Q494" s="226"/>
      <c r="R494" s="68"/>
      <c r="V494" s="41"/>
    </row>
    <row r="495">
      <c r="J495" s="68"/>
      <c r="K495" s="79"/>
      <c r="L495" s="79"/>
      <c r="M495" s="226"/>
      <c r="N495" s="248"/>
      <c r="O495" s="226"/>
      <c r="P495" s="226"/>
      <c r="Q495" s="226"/>
      <c r="R495" s="68"/>
      <c r="V495" s="41"/>
    </row>
    <row r="496">
      <c r="J496" s="68"/>
      <c r="K496" s="79"/>
      <c r="L496" s="79"/>
      <c r="M496" s="226"/>
      <c r="N496" s="248"/>
      <c r="O496" s="226"/>
      <c r="P496" s="226"/>
      <c r="Q496" s="226"/>
      <c r="R496" s="68"/>
      <c r="V496" s="41"/>
    </row>
    <row r="497">
      <c r="J497" s="68"/>
      <c r="K497" s="79"/>
      <c r="L497" s="79"/>
      <c r="M497" s="226"/>
      <c r="N497" s="248"/>
      <c r="O497" s="226"/>
      <c r="P497" s="226"/>
      <c r="Q497" s="226"/>
      <c r="R497" s="68"/>
      <c r="V497" s="41"/>
    </row>
    <row r="498">
      <c r="J498" s="68"/>
      <c r="K498" s="79"/>
      <c r="L498" s="79"/>
      <c r="M498" s="226"/>
      <c r="N498" s="248"/>
      <c r="O498" s="226"/>
      <c r="P498" s="226"/>
      <c r="Q498" s="226"/>
      <c r="R498" s="68"/>
      <c r="V498" s="41"/>
    </row>
    <row r="499">
      <c r="J499" s="68"/>
      <c r="K499" s="79"/>
      <c r="L499" s="79"/>
      <c r="M499" s="226"/>
      <c r="N499" s="248"/>
      <c r="O499" s="226"/>
      <c r="P499" s="226"/>
      <c r="Q499" s="226"/>
      <c r="R499" s="68"/>
      <c r="V499" s="41"/>
    </row>
    <row r="500">
      <c r="J500" s="68"/>
      <c r="K500" s="79"/>
      <c r="L500" s="79"/>
      <c r="M500" s="226"/>
      <c r="N500" s="248"/>
      <c r="O500" s="226"/>
      <c r="P500" s="226"/>
      <c r="Q500" s="226"/>
      <c r="R500" s="68"/>
      <c r="V500" s="41"/>
    </row>
    <row r="501">
      <c r="J501" s="68"/>
      <c r="K501" s="79"/>
      <c r="L501" s="79"/>
      <c r="M501" s="226"/>
      <c r="N501" s="248"/>
      <c r="O501" s="226"/>
      <c r="P501" s="226"/>
      <c r="Q501" s="226"/>
      <c r="R501" s="68"/>
      <c r="V501" s="41"/>
    </row>
    <row r="502">
      <c r="J502" s="68"/>
      <c r="K502" s="79"/>
      <c r="L502" s="79"/>
      <c r="M502" s="226"/>
      <c r="N502" s="248"/>
      <c r="O502" s="226"/>
      <c r="P502" s="226"/>
      <c r="Q502" s="226"/>
      <c r="R502" s="68"/>
      <c r="V502" s="41"/>
    </row>
    <row r="503">
      <c r="J503" s="68"/>
      <c r="K503" s="79"/>
      <c r="L503" s="79"/>
      <c r="M503" s="226"/>
      <c r="N503" s="248"/>
      <c r="O503" s="226"/>
      <c r="P503" s="226"/>
      <c r="Q503" s="226"/>
      <c r="R503" s="68"/>
      <c r="V503" s="41"/>
    </row>
    <row r="504">
      <c r="J504" s="68"/>
      <c r="K504" s="79"/>
      <c r="L504" s="79"/>
      <c r="M504" s="226"/>
      <c r="N504" s="248"/>
      <c r="O504" s="226"/>
      <c r="P504" s="226"/>
      <c r="Q504" s="226"/>
      <c r="R504" s="68"/>
      <c r="V504" s="41"/>
    </row>
    <row r="505">
      <c r="J505" s="68"/>
      <c r="K505" s="79"/>
      <c r="L505" s="79"/>
      <c r="M505" s="226"/>
      <c r="N505" s="248"/>
      <c r="O505" s="226"/>
      <c r="P505" s="226"/>
      <c r="Q505" s="226"/>
      <c r="R505" s="68"/>
      <c r="V505" s="41"/>
    </row>
    <row r="506">
      <c r="J506" s="68"/>
      <c r="K506" s="79"/>
      <c r="L506" s="79"/>
      <c r="M506" s="226"/>
      <c r="N506" s="248"/>
      <c r="O506" s="226"/>
      <c r="P506" s="226"/>
      <c r="Q506" s="226"/>
      <c r="R506" s="68"/>
      <c r="V506" s="41"/>
    </row>
    <row r="507">
      <c r="J507" s="68"/>
      <c r="K507" s="79"/>
      <c r="L507" s="79"/>
      <c r="M507" s="226"/>
      <c r="N507" s="248"/>
      <c r="O507" s="226"/>
      <c r="P507" s="226"/>
      <c r="Q507" s="226"/>
      <c r="R507" s="68"/>
      <c r="V507" s="41"/>
    </row>
    <row r="508">
      <c r="J508" s="68"/>
      <c r="K508" s="79"/>
      <c r="L508" s="79"/>
      <c r="M508" s="226"/>
      <c r="N508" s="248"/>
      <c r="O508" s="226"/>
      <c r="P508" s="226"/>
      <c r="Q508" s="226"/>
      <c r="R508" s="68"/>
      <c r="V508" s="41"/>
    </row>
    <row r="509">
      <c r="J509" s="68"/>
      <c r="K509" s="79"/>
      <c r="L509" s="79"/>
      <c r="M509" s="226"/>
      <c r="N509" s="248"/>
      <c r="O509" s="226"/>
      <c r="P509" s="226"/>
      <c r="Q509" s="226"/>
      <c r="R509" s="68"/>
      <c r="V509" s="41"/>
    </row>
    <row r="510">
      <c r="J510" s="68"/>
      <c r="K510" s="79"/>
      <c r="L510" s="79"/>
      <c r="M510" s="226"/>
      <c r="N510" s="248"/>
      <c r="O510" s="226"/>
      <c r="P510" s="226"/>
      <c r="Q510" s="226"/>
      <c r="R510" s="68"/>
      <c r="V510" s="41"/>
    </row>
    <row r="511">
      <c r="J511" s="68"/>
      <c r="K511" s="79"/>
      <c r="L511" s="79"/>
      <c r="M511" s="226"/>
      <c r="N511" s="248"/>
      <c r="O511" s="226"/>
      <c r="P511" s="226"/>
      <c r="Q511" s="226"/>
      <c r="R511" s="68"/>
      <c r="V511" s="41"/>
    </row>
    <row r="512">
      <c r="J512" s="68"/>
      <c r="K512" s="79"/>
      <c r="L512" s="79"/>
      <c r="M512" s="226"/>
      <c r="N512" s="248"/>
      <c r="O512" s="226"/>
      <c r="P512" s="226"/>
      <c r="Q512" s="226"/>
      <c r="R512" s="68"/>
      <c r="V512" s="41"/>
    </row>
    <row r="513">
      <c r="J513" s="68"/>
      <c r="K513" s="79"/>
      <c r="L513" s="79"/>
      <c r="M513" s="226"/>
      <c r="N513" s="248"/>
      <c r="O513" s="226"/>
      <c r="P513" s="226"/>
      <c r="Q513" s="226"/>
      <c r="R513" s="68"/>
      <c r="V513" s="41"/>
    </row>
    <row r="514">
      <c r="J514" s="68"/>
      <c r="K514" s="79"/>
      <c r="L514" s="79"/>
      <c r="M514" s="226"/>
      <c r="N514" s="248"/>
      <c r="O514" s="226"/>
      <c r="P514" s="226"/>
      <c r="Q514" s="226"/>
      <c r="R514" s="68"/>
      <c r="V514" s="41"/>
    </row>
    <row r="515">
      <c r="J515" s="68"/>
      <c r="K515" s="79"/>
      <c r="L515" s="79"/>
      <c r="M515" s="226"/>
      <c r="N515" s="248"/>
      <c r="O515" s="226"/>
      <c r="P515" s="226"/>
      <c r="Q515" s="226"/>
      <c r="R515" s="68"/>
      <c r="V515" s="41"/>
    </row>
    <row r="516">
      <c r="J516" s="68"/>
      <c r="K516" s="79"/>
      <c r="L516" s="79"/>
      <c r="M516" s="226"/>
      <c r="N516" s="248"/>
      <c r="O516" s="226"/>
      <c r="P516" s="226"/>
      <c r="Q516" s="226"/>
      <c r="R516" s="68"/>
      <c r="V516" s="41"/>
    </row>
    <row r="517">
      <c r="J517" s="68"/>
      <c r="K517" s="79"/>
      <c r="L517" s="79"/>
      <c r="M517" s="226"/>
      <c r="N517" s="248"/>
      <c r="O517" s="226"/>
      <c r="P517" s="226"/>
      <c r="Q517" s="226"/>
      <c r="R517" s="68"/>
      <c r="V517" s="41"/>
    </row>
    <row r="518">
      <c r="J518" s="68"/>
      <c r="K518" s="79"/>
      <c r="L518" s="79"/>
      <c r="M518" s="226"/>
      <c r="N518" s="248"/>
      <c r="O518" s="226"/>
      <c r="P518" s="226"/>
      <c r="Q518" s="226"/>
      <c r="R518" s="68"/>
      <c r="V518" s="41"/>
    </row>
    <row r="519">
      <c r="J519" s="68"/>
      <c r="K519" s="79"/>
      <c r="L519" s="79"/>
      <c r="M519" s="226"/>
      <c r="N519" s="248"/>
      <c r="O519" s="226"/>
      <c r="P519" s="226"/>
      <c r="Q519" s="226"/>
      <c r="R519" s="68"/>
      <c r="V519" s="41"/>
    </row>
    <row r="520">
      <c r="J520" s="68"/>
      <c r="K520" s="79"/>
      <c r="L520" s="79"/>
      <c r="M520" s="226"/>
      <c r="N520" s="248"/>
      <c r="O520" s="226"/>
      <c r="P520" s="226"/>
      <c r="Q520" s="226"/>
      <c r="R520" s="68"/>
      <c r="V520" s="41"/>
    </row>
    <row r="521">
      <c r="J521" s="68"/>
      <c r="K521" s="79"/>
      <c r="L521" s="79"/>
      <c r="M521" s="226"/>
      <c r="N521" s="248"/>
      <c r="O521" s="226"/>
      <c r="P521" s="226"/>
      <c r="Q521" s="226"/>
      <c r="R521" s="68"/>
      <c r="V521" s="41"/>
    </row>
    <row r="522">
      <c r="J522" s="68"/>
      <c r="K522" s="79"/>
      <c r="L522" s="79"/>
      <c r="M522" s="226"/>
      <c r="N522" s="248"/>
      <c r="O522" s="226"/>
      <c r="P522" s="226"/>
      <c r="Q522" s="226"/>
      <c r="R522" s="68"/>
      <c r="V522" s="41"/>
    </row>
    <row r="523">
      <c r="J523" s="68"/>
      <c r="K523" s="79"/>
      <c r="L523" s="79"/>
      <c r="M523" s="226"/>
      <c r="N523" s="248"/>
      <c r="O523" s="226"/>
      <c r="P523" s="226"/>
      <c r="Q523" s="226"/>
      <c r="R523" s="68"/>
      <c r="V523" s="41"/>
    </row>
    <row r="524">
      <c r="J524" s="68"/>
      <c r="K524" s="79"/>
      <c r="L524" s="79"/>
      <c r="M524" s="226"/>
      <c r="N524" s="248"/>
      <c r="O524" s="226"/>
      <c r="P524" s="226"/>
      <c r="Q524" s="226"/>
      <c r="R524" s="68"/>
      <c r="V524" s="41"/>
    </row>
    <row r="525">
      <c r="J525" s="68"/>
      <c r="K525" s="79"/>
      <c r="L525" s="79"/>
      <c r="M525" s="226"/>
      <c r="N525" s="248"/>
      <c r="O525" s="226"/>
      <c r="P525" s="226"/>
      <c r="Q525" s="226"/>
      <c r="R525" s="68"/>
      <c r="V525" s="41"/>
    </row>
    <row r="526">
      <c r="J526" s="68"/>
      <c r="K526" s="79"/>
      <c r="L526" s="79"/>
      <c r="M526" s="226"/>
      <c r="N526" s="248"/>
      <c r="O526" s="226"/>
      <c r="P526" s="226"/>
      <c r="Q526" s="226"/>
      <c r="R526" s="68"/>
      <c r="V526" s="41"/>
    </row>
    <row r="527">
      <c r="J527" s="68"/>
      <c r="K527" s="79"/>
      <c r="L527" s="79"/>
      <c r="M527" s="226"/>
      <c r="N527" s="248"/>
      <c r="O527" s="226"/>
      <c r="P527" s="226"/>
      <c r="Q527" s="226"/>
      <c r="R527" s="68"/>
      <c r="V527" s="41"/>
    </row>
    <row r="528">
      <c r="J528" s="68"/>
      <c r="K528" s="79"/>
      <c r="L528" s="79"/>
      <c r="M528" s="226"/>
      <c r="N528" s="248"/>
      <c r="O528" s="226"/>
      <c r="P528" s="226"/>
      <c r="Q528" s="226"/>
      <c r="R528" s="68"/>
      <c r="V528" s="41"/>
    </row>
    <row r="529">
      <c r="J529" s="68"/>
      <c r="K529" s="79"/>
      <c r="L529" s="79"/>
      <c r="M529" s="226"/>
      <c r="N529" s="248"/>
      <c r="O529" s="226"/>
      <c r="P529" s="226"/>
      <c r="Q529" s="226"/>
      <c r="R529" s="68"/>
      <c r="V529" s="41"/>
    </row>
    <row r="530">
      <c r="J530" s="68"/>
      <c r="K530" s="79"/>
      <c r="L530" s="79"/>
      <c r="M530" s="226"/>
      <c r="N530" s="248"/>
      <c r="O530" s="226"/>
      <c r="P530" s="226"/>
      <c r="Q530" s="226"/>
      <c r="R530" s="68"/>
      <c r="V530" s="41"/>
    </row>
    <row r="531">
      <c r="J531" s="68"/>
      <c r="K531" s="79"/>
      <c r="L531" s="79"/>
      <c r="M531" s="226"/>
      <c r="N531" s="248"/>
      <c r="O531" s="226"/>
      <c r="P531" s="226"/>
      <c r="Q531" s="226"/>
      <c r="R531" s="68"/>
      <c r="V531" s="41"/>
    </row>
    <row r="532">
      <c r="J532" s="68"/>
      <c r="K532" s="79"/>
      <c r="L532" s="79"/>
      <c r="M532" s="226"/>
      <c r="N532" s="248"/>
      <c r="O532" s="226"/>
      <c r="P532" s="226"/>
      <c r="Q532" s="226"/>
      <c r="R532" s="68"/>
      <c r="V532" s="41"/>
    </row>
    <row r="533">
      <c r="J533" s="68"/>
      <c r="K533" s="79"/>
      <c r="L533" s="79"/>
      <c r="M533" s="226"/>
      <c r="N533" s="248"/>
      <c r="O533" s="226"/>
      <c r="P533" s="226"/>
      <c r="Q533" s="226"/>
      <c r="R533" s="68"/>
      <c r="V533" s="41"/>
    </row>
    <row r="534">
      <c r="J534" s="68"/>
      <c r="K534" s="79"/>
      <c r="L534" s="79"/>
      <c r="M534" s="226"/>
      <c r="N534" s="248"/>
      <c r="O534" s="226"/>
      <c r="P534" s="226"/>
      <c r="Q534" s="226"/>
      <c r="R534" s="68"/>
      <c r="V534" s="41"/>
    </row>
    <row r="535">
      <c r="J535" s="68"/>
      <c r="K535" s="79"/>
      <c r="L535" s="79"/>
      <c r="M535" s="226"/>
      <c r="N535" s="248"/>
      <c r="O535" s="226"/>
      <c r="P535" s="226"/>
      <c r="Q535" s="226"/>
      <c r="R535" s="68"/>
      <c r="V535" s="41"/>
    </row>
    <row r="536">
      <c r="J536" s="68"/>
      <c r="K536" s="79"/>
      <c r="L536" s="79"/>
      <c r="M536" s="226"/>
      <c r="N536" s="248"/>
      <c r="O536" s="226"/>
      <c r="P536" s="226"/>
      <c r="Q536" s="226"/>
      <c r="R536" s="68"/>
      <c r="V536" s="41"/>
    </row>
    <row r="537">
      <c r="J537" s="68"/>
      <c r="K537" s="79"/>
      <c r="L537" s="79"/>
      <c r="M537" s="226"/>
      <c r="N537" s="248"/>
      <c r="O537" s="226"/>
      <c r="P537" s="226"/>
      <c r="Q537" s="226"/>
      <c r="R537" s="68"/>
      <c r="V537" s="41"/>
    </row>
    <row r="538">
      <c r="J538" s="68"/>
      <c r="K538" s="79"/>
      <c r="L538" s="79"/>
      <c r="M538" s="226"/>
      <c r="N538" s="248"/>
      <c r="O538" s="226"/>
      <c r="P538" s="226"/>
      <c r="Q538" s="226"/>
      <c r="R538" s="68"/>
      <c r="V538" s="41"/>
    </row>
    <row r="539">
      <c r="J539" s="68"/>
      <c r="K539" s="79"/>
      <c r="L539" s="79"/>
      <c r="M539" s="226"/>
      <c r="N539" s="248"/>
      <c r="O539" s="226"/>
      <c r="P539" s="226"/>
      <c r="Q539" s="226"/>
      <c r="R539" s="68"/>
      <c r="V539" s="41"/>
    </row>
    <row r="540">
      <c r="J540" s="68"/>
      <c r="K540" s="79"/>
      <c r="L540" s="79"/>
      <c r="M540" s="226"/>
      <c r="N540" s="248"/>
      <c r="O540" s="226"/>
      <c r="P540" s="226"/>
      <c r="Q540" s="226"/>
      <c r="R540" s="68"/>
      <c r="V540" s="41"/>
    </row>
    <row r="541">
      <c r="J541" s="68"/>
      <c r="K541" s="79"/>
      <c r="L541" s="79"/>
      <c r="M541" s="226"/>
      <c r="N541" s="248"/>
      <c r="O541" s="226"/>
      <c r="P541" s="226"/>
      <c r="Q541" s="226"/>
      <c r="R541" s="68"/>
      <c r="V541" s="41"/>
    </row>
    <row r="542">
      <c r="J542" s="68"/>
      <c r="K542" s="79"/>
      <c r="L542" s="79"/>
      <c r="M542" s="226"/>
      <c r="N542" s="248"/>
      <c r="O542" s="226"/>
      <c r="P542" s="226"/>
      <c r="Q542" s="226"/>
      <c r="R542" s="68"/>
      <c r="V542" s="41"/>
    </row>
    <row r="543">
      <c r="J543" s="68"/>
      <c r="K543" s="79"/>
      <c r="L543" s="79"/>
      <c r="M543" s="226"/>
      <c r="N543" s="248"/>
      <c r="O543" s="226"/>
      <c r="P543" s="226"/>
      <c r="Q543" s="226"/>
      <c r="R543" s="68"/>
      <c r="V543" s="41"/>
    </row>
    <row r="544">
      <c r="J544" s="68"/>
      <c r="K544" s="79"/>
      <c r="L544" s="79"/>
      <c r="M544" s="226"/>
      <c r="N544" s="248"/>
      <c r="O544" s="226"/>
      <c r="P544" s="226"/>
      <c r="Q544" s="226"/>
      <c r="R544" s="68"/>
      <c r="V544" s="41"/>
    </row>
    <row r="545">
      <c r="J545" s="68"/>
      <c r="K545" s="79"/>
      <c r="L545" s="79"/>
      <c r="M545" s="226"/>
      <c r="N545" s="248"/>
      <c r="O545" s="226"/>
      <c r="P545" s="226"/>
      <c r="Q545" s="226"/>
      <c r="R545" s="68"/>
      <c r="V545" s="41"/>
    </row>
    <row r="546">
      <c r="J546" s="68"/>
      <c r="K546" s="79"/>
      <c r="L546" s="79"/>
      <c r="M546" s="226"/>
      <c r="N546" s="248"/>
      <c r="O546" s="226"/>
      <c r="P546" s="226"/>
      <c r="Q546" s="226"/>
      <c r="R546" s="68"/>
      <c r="V546" s="41"/>
    </row>
    <row r="547">
      <c r="J547" s="68"/>
      <c r="K547" s="79"/>
      <c r="L547" s="79"/>
      <c r="M547" s="226"/>
      <c r="N547" s="248"/>
      <c r="O547" s="226"/>
      <c r="P547" s="226"/>
      <c r="Q547" s="226"/>
      <c r="R547" s="68"/>
      <c r="V547" s="41"/>
    </row>
    <row r="548">
      <c r="J548" s="68"/>
      <c r="K548" s="79"/>
      <c r="L548" s="79"/>
      <c r="M548" s="226"/>
      <c r="N548" s="248"/>
      <c r="O548" s="226"/>
      <c r="P548" s="226"/>
      <c r="Q548" s="226"/>
      <c r="R548" s="68"/>
      <c r="V548" s="41"/>
    </row>
    <row r="549">
      <c r="J549" s="68"/>
      <c r="K549" s="79"/>
      <c r="L549" s="79"/>
      <c r="M549" s="226"/>
      <c r="N549" s="248"/>
      <c r="O549" s="226"/>
      <c r="P549" s="226"/>
      <c r="Q549" s="226"/>
      <c r="R549" s="68"/>
      <c r="V549" s="41"/>
    </row>
    <row r="550">
      <c r="J550" s="68"/>
      <c r="K550" s="79"/>
      <c r="L550" s="79"/>
      <c r="M550" s="226"/>
      <c r="N550" s="248"/>
      <c r="O550" s="226"/>
      <c r="P550" s="226"/>
      <c r="Q550" s="226"/>
      <c r="R550" s="68"/>
      <c r="V550" s="41"/>
    </row>
    <row r="551">
      <c r="J551" s="68"/>
      <c r="K551" s="79"/>
      <c r="L551" s="79"/>
      <c r="M551" s="226"/>
      <c r="N551" s="248"/>
      <c r="O551" s="226"/>
      <c r="P551" s="226"/>
      <c r="Q551" s="226"/>
      <c r="R551" s="68"/>
      <c r="V551" s="41"/>
    </row>
    <row r="552">
      <c r="J552" s="68"/>
      <c r="K552" s="79"/>
      <c r="L552" s="79"/>
      <c r="M552" s="226"/>
      <c r="N552" s="248"/>
      <c r="O552" s="226"/>
      <c r="P552" s="226"/>
      <c r="Q552" s="226"/>
      <c r="R552" s="68"/>
      <c r="V552" s="41"/>
    </row>
    <row r="553">
      <c r="J553" s="68"/>
      <c r="K553" s="79"/>
      <c r="L553" s="79"/>
      <c r="M553" s="226"/>
      <c r="N553" s="248"/>
      <c r="O553" s="226"/>
      <c r="P553" s="226"/>
      <c r="Q553" s="226"/>
      <c r="R553" s="68"/>
      <c r="V553" s="41"/>
    </row>
    <row r="554">
      <c r="J554" s="68"/>
      <c r="K554" s="79"/>
      <c r="L554" s="79"/>
      <c r="M554" s="226"/>
      <c r="N554" s="248"/>
      <c r="O554" s="226"/>
      <c r="P554" s="226"/>
      <c r="Q554" s="226"/>
      <c r="R554" s="68"/>
      <c r="V554" s="41"/>
    </row>
    <row r="555">
      <c r="J555" s="68"/>
      <c r="K555" s="79"/>
      <c r="L555" s="79"/>
      <c r="M555" s="226"/>
      <c r="N555" s="248"/>
      <c r="O555" s="226"/>
      <c r="P555" s="226"/>
      <c r="Q555" s="226"/>
      <c r="R555" s="68"/>
      <c r="V555" s="41"/>
    </row>
    <row r="556">
      <c r="J556" s="68"/>
      <c r="K556" s="79"/>
      <c r="L556" s="79"/>
      <c r="M556" s="226"/>
      <c r="N556" s="248"/>
      <c r="O556" s="226"/>
      <c r="P556" s="226"/>
      <c r="Q556" s="226"/>
      <c r="R556" s="68"/>
      <c r="V556" s="41"/>
    </row>
    <row r="557">
      <c r="J557" s="68"/>
      <c r="K557" s="79"/>
      <c r="L557" s="79"/>
      <c r="M557" s="226"/>
      <c r="N557" s="248"/>
      <c r="O557" s="226"/>
      <c r="P557" s="226"/>
      <c r="Q557" s="226"/>
      <c r="R557" s="68"/>
      <c r="V557" s="41"/>
    </row>
    <row r="558">
      <c r="J558" s="68"/>
      <c r="K558" s="79"/>
      <c r="L558" s="79"/>
      <c r="M558" s="226"/>
      <c r="N558" s="248"/>
      <c r="O558" s="226"/>
      <c r="P558" s="226"/>
      <c r="Q558" s="226"/>
      <c r="R558" s="68"/>
      <c r="V558" s="41"/>
    </row>
    <row r="559">
      <c r="J559" s="68"/>
      <c r="K559" s="79"/>
      <c r="L559" s="79"/>
      <c r="M559" s="226"/>
      <c r="N559" s="248"/>
      <c r="O559" s="226"/>
      <c r="P559" s="226"/>
      <c r="Q559" s="226"/>
      <c r="R559" s="68"/>
      <c r="V559" s="41"/>
    </row>
    <row r="560">
      <c r="J560" s="68"/>
      <c r="K560" s="79"/>
      <c r="L560" s="79"/>
      <c r="M560" s="226"/>
      <c r="N560" s="248"/>
      <c r="O560" s="226"/>
      <c r="P560" s="226"/>
      <c r="Q560" s="226"/>
      <c r="R560" s="68"/>
      <c r="V560" s="41"/>
    </row>
    <row r="561">
      <c r="J561" s="68"/>
      <c r="K561" s="79"/>
      <c r="L561" s="79"/>
      <c r="M561" s="226"/>
      <c r="N561" s="248"/>
      <c r="O561" s="226"/>
      <c r="P561" s="226"/>
      <c r="Q561" s="226"/>
      <c r="R561" s="68"/>
      <c r="V561" s="41"/>
    </row>
    <row r="562">
      <c r="J562" s="68"/>
      <c r="K562" s="79"/>
      <c r="L562" s="79"/>
      <c r="M562" s="226"/>
      <c r="N562" s="248"/>
      <c r="O562" s="226"/>
      <c r="P562" s="226"/>
      <c r="Q562" s="226"/>
      <c r="R562" s="68"/>
      <c r="V562" s="41"/>
    </row>
    <row r="563">
      <c r="J563" s="68"/>
      <c r="K563" s="79"/>
      <c r="L563" s="79"/>
      <c r="M563" s="226"/>
      <c r="N563" s="248"/>
      <c r="O563" s="226"/>
      <c r="P563" s="226"/>
      <c r="Q563" s="226"/>
      <c r="R563" s="68"/>
      <c r="V563" s="41"/>
    </row>
    <row r="564">
      <c r="J564" s="68"/>
      <c r="K564" s="79"/>
      <c r="L564" s="79"/>
      <c r="M564" s="226"/>
      <c r="N564" s="248"/>
      <c r="O564" s="226"/>
      <c r="P564" s="226"/>
      <c r="Q564" s="226"/>
      <c r="R564" s="68"/>
      <c r="V564" s="41"/>
    </row>
    <row r="565">
      <c r="J565" s="68"/>
      <c r="K565" s="79"/>
      <c r="L565" s="79"/>
      <c r="M565" s="226"/>
      <c r="N565" s="248"/>
      <c r="O565" s="226"/>
      <c r="P565" s="226"/>
      <c r="Q565" s="226"/>
      <c r="R565" s="68"/>
      <c r="V565" s="41"/>
    </row>
    <row r="566">
      <c r="J566" s="68"/>
      <c r="K566" s="79"/>
      <c r="L566" s="79"/>
      <c r="M566" s="226"/>
      <c r="N566" s="248"/>
      <c r="O566" s="226"/>
      <c r="P566" s="226"/>
      <c r="Q566" s="226"/>
      <c r="R566" s="68"/>
      <c r="V566" s="41"/>
    </row>
    <row r="567">
      <c r="J567" s="68"/>
      <c r="K567" s="79"/>
      <c r="L567" s="79"/>
      <c r="M567" s="226"/>
      <c r="N567" s="248"/>
      <c r="O567" s="226"/>
      <c r="P567" s="226"/>
      <c r="Q567" s="226"/>
      <c r="R567" s="68"/>
      <c r="V567" s="41"/>
    </row>
    <row r="568">
      <c r="J568" s="68"/>
      <c r="K568" s="79"/>
      <c r="L568" s="79"/>
      <c r="M568" s="226"/>
      <c r="N568" s="248"/>
      <c r="O568" s="226"/>
      <c r="P568" s="226"/>
      <c r="Q568" s="226"/>
      <c r="R568" s="68"/>
      <c r="V568" s="41"/>
    </row>
    <row r="569">
      <c r="J569" s="68"/>
      <c r="K569" s="79"/>
      <c r="L569" s="79"/>
      <c r="M569" s="226"/>
      <c r="N569" s="248"/>
      <c r="O569" s="226"/>
      <c r="P569" s="226"/>
      <c r="Q569" s="226"/>
      <c r="R569" s="68"/>
      <c r="V569" s="41"/>
    </row>
    <row r="570">
      <c r="J570" s="68"/>
      <c r="K570" s="79"/>
      <c r="L570" s="79"/>
      <c r="M570" s="226"/>
      <c r="N570" s="248"/>
      <c r="O570" s="226"/>
      <c r="P570" s="226"/>
      <c r="Q570" s="226"/>
      <c r="R570" s="68"/>
      <c r="V570" s="41"/>
    </row>
    <row r="571">
      <c r="J571" s="68"/>
      <c r="K571" s="79"/>
      <c r="L571" s="79"/>
      <c r="M571" s="226"/>
      <c r="N571" s="248"/>
      <c r="O571" s="226"/>
      <c r="P571" s="226"/>
      <c r="Q571" s="226"/>
      <c r="R571" s="68"/>
      <c r="V571" s="41"/>
    </row>
    <row r="572">
      <c r="J572" s="68"/>
      <c r="K572" s="79"/>
      <c r="L572" s="79"/>
      <c r="M572" s="226"/>
      <c r="N572" s="248"/>
      <c r="O572" s="226"/>
      <c r="P572" s="226"/>
      <c r="Q572" s="226"/>
      <c r="R572" s="68"/>
      <c r="V572" s="41"/>
    </row>
    <row r="573">
      <c r="J573" s="68"/>
      <c r="K573" s="79"/>
      <c r="L573" s="79"/>
      <c r="M573" s="226"/>
      <c r="N573" s="248"/>
      <c r="O573" s="226"/>
      <c r="P573" s="226"/>
      <c r="Q573" s="226"/>
      <c r="R573" s="68"/>
      <c r="V573" s="41"/>
    </row>
    <row r="574">
      <c r="J574" s="68"/>
      <c r="K574" s="79"/>
      <c r="L574" s="79"/>
      <c r="M574" s="226"/>
      <c r="N574" s="248"/>
      <c r="O574" s="226"/>
      <c r="P574" s="226"/>
      <c r="Q574" s="226"/>
      <c r="R574" s="68"/>
      <c r="V574" s="41"/>
    </row>
    <row r="575">
      <c r="J575" s="68"/>
      <c r="K575" s="79"/>
      <c r="L575" s="79"/>
      <c r="M575" s="226"/>
      <c r="N575" s="248"/>
      <c r="O575" s="226"/>
      <c r="P575" s="226"/>
      <c r="Q575" s="226"/>
      <c r="R575" s="68"/>
      <c r="V575" s="41"/>
    </row>
    <row r="576">
      <c r="J576" s="68"/>
      <c r="K576" s="79"/>
      <c r="L576" s="79"/>
      <c r="M576" s="226"/>
      <c r="N576" s="248"/>
      <c r="O576" s="226"/>
      <c r="P576" s="226"/>
      <c r="Q576" s="226"/>
      <c r="R576" s="68"/>
      <c r="V576" s="41"/>
    </row>
    <row r="577">
      <c r="J577" s="68"/>
      <c r="K577" s="79"/>
      <c r="L577" s="79"/>
      <c r="M577" s="226"/>
      <c r="N577" s="248"/>
      <c r="O577" s="226"/>
      <c r="P577" s="226"/>
      <c r="Q577" s="226"/>
      <c r="R577" s="68"/>
      <c r="V577" s="41"/>
    </row>
    <row r="578">
      <c r="J578" s="68"/>
      <c r="K578" s="79"/>
      <c r="L578" s="79"/>
      <c r="M578" s="226"/>
      <c r="N578" s="248"/>
      <c r="O578" s="226"/>
      <c r="P578" s="226"/>
      <c r="Q578" s="226"/>
      <c r="R578" s="68"/>
      <c r="V578" s="41"/>
    </row>
    <row r="579">
      <c r="J579" s="68"/>
      <c r="K579" s="79"/>
      <c r="L579" s="79"/>
      <c r="M579" s="226"/>
      <c r="N579" s="248"/>
      <c r="O579" s="226"/>
      <c r="P579" s="226"/>
      <c r="Q579" s="226"/>
      <c r="R579" s="68"/>
      <c r="V579" s="41"/>
    </row>
    <row r="580">
      <c r="J580" s="68"/>
      <c r="K580" s="79"/>
      <c r="L580" s="79"/>
      <c r="M580" s="226"/>
      <c r="N580" s="248"/>
      <c r="O580" s="226"/>
      <c r="P580" s="226"/>
      <c r="Q580" s="226"/>
      <c r="R580" s="68"/>
      <c r="V580" s="41"/>
    </row>
    <row r="581">
      <c r="J581" s="68"/>
      <c r="K581" s="79"/>
      <c r="L581" s="79"/>
      <c r="M581" s="226"/>
      <c r="N581" s="248"/>
      <c r="O581" s="226"/>
      <c r="P581" s="226"/>
      <c r="Q581" s="226"/>
      <c r="R581" s="68"/>
      <c r="V581" s="41"/>
    </row>
    <row r="582">
      <c r="J582" s="68"/>
      <c r="K582" s="79"/>
      <c r="L582" s="79"/>
      <c r="M582" s="226"/>
      <c r="N582" s="248"/>
      <c r="O582" s="226"/>
      <c r="P582" s="226"/>
      <c r="Q582" s="226"/>
      <c r="R582" s="68"/>
      <c r="V582" s="41"/>
    </row>
    <row r="583">
      <c r="J583" s="68"/>
      <c r="K583" s="79"/>
      <c r="L583" s="79"/>
      <c r="M583" s="226"/>
      <c r="N583" s="248"/>
      <c r="O583" s="226"/>
      <c r="P583" s="226"/>
      <c r="Q583" s="226"/>
      <c r="R583" s="68"/>
      <c r="V583" s="41"/>
    </row>
    <row r="584">
      <c r="J584" s="68"/>
      <c r="K584" s="79"/>
      <c r="L584" s="79"/>
      <c r="M584" s="226"/>
      <c r="N584" s="248"/>
      <c r="O584" s="226"/>
      <c r="P584" s="226"/>
      <c r="Q584" s="226"/>
      <c r="R584" s="68"/>
      <c r="V584" s="41"/>
    </row>
    <row r="585">
      <c r="J585" s="68"/>
      <c r="K585" s="79"/>
      <c r="L585" s="79"/>
      <c r="M585" s="226"/>
      <c r="N585" s="248"/>
      <c r="O585" s="226"/>
      <c r="P585" s="226"/>
      <c r="Q585" s="226"/>
      <c r="R585" s="68"/>
      <c r="V585" s="41"/>
    </row>
    <row r="586">
      <c r="J586" s="68"/>
      <c r="K586" s="79"/>
      <c r="L586" s="79"/>
      <c r="M586" s="226"/>
      <c r="N586" s="248"/>
      <c r="O586" s="226"/>
      <c r="P586" s="226"/>
      <c r="Q586" s="226"/>
      <c r="R586" s="68"/>
      <c r="V586" s="41"/>
    </row>
    <row r="587">
      <c r="J587" s="68"/>
      <c r="K587" s="79"/>
      <c r="L587" s="79"/>
      <c r="M587" s="226"/>
      <c r="N587" s="248"/>
      <c r="O587" s="226"/>
      <c r="P587" s="226"/>
      <c r="Q587" s="226"/>
      <c r="R587" s="68"/>
      <c r="V587" s="41"/>
    </row>
    <row r="588">
      <c r="J588" s="68"/>
      <c r="K588" s="79"/>
      <c r="L588" s="79"/>
      <c r="M588" s="226"/>
      <c r="N588" s="248"/>
      <c r="O588" s="226"/>
      <c r="P588" s="226"/>
      <c r="Q588" s="226"/>
      <c r="R588" s="68"/>
      <c r="V588" s="41"/>
    </row>
    <row r="589">
      <c r="J589" s="68"/>
      <c r="K589" s="79"/>
      <c r="L589" s="79"/>
      <c r="M589" s="226"/>
      <c r="N589" s="248"/>
      <c r="O589" s="226"/>
      <c r="P589" s="226"/>
      <c r="Q589" s="226"/>
      <c r="R589" s="68"/>
      <c r="V589" s="41"/>
    </row>
    <row r="590">
      <c r="J590" s="68"/>
      <c r="K590" s="79"/>
      <c r="L590" s="79"/>
      <c r="M590" s="226"/>
      <c r="N590" s="248"/>
      <c r="O590" s="226"/>
      <c r="P590" s="226"/>
      <c r="Q590" s="226"/>
      <c r="R590" s="68"/>
      <c r="V590" s="41"/>
    </row>
    <row r="591">
      <c r="J591" s="68"/>
      <c r="K591" s="79"/>
      <c r="L591" s="79"/>
      <c r="M591" s="226"/>
      <c r="N591" s="248"/>
      <c r="O591" s="226"/>
      <c r="P591" s="226"/>
      <c r="Q591" s="226"/>
      <c r="R591" s="68"/>
      <c r="V591" s="41"/>
    </row>
    <row r="592">
      <c r="J592" s="68"/>
      <c r="K592" s="79"/>
      <c r="L592" s="79"/>
      <c r="M592" s="226"/>
      <c r="N592" s="248"/>
      <c r="O592" s="226"/>
      <c r="P592" s="226"/>
      <c r="Q592" s="226"/>
      <c r="R592" s="68"/>
      <c r="V592" s="41"/>
    </row>
    <row r="593">
      <c r="J593" s="68"/>
      <c r="K593" s="79"/>
      <c r="L593" s="79"/>
      <c r="M593" s="226"/>
      <c r="N593" s="248"/>
      <c r="O593" s="226"/>
      <c r="P593" s="226"/>
      <c r="Q593" s="226"/>
      <c r="R593" s="68"/>
      <c r="V593" s="41"/>
    </row>
    <row r="594">
      <c r="J594" s="68"/>
      <c r="K594" s="79"/>
      <c r="L594" s="79"/>
      <c r="M594" s="226"/>
      <c r="N594" s="248"/>
      <c r="O594" s="226"/>
      <c r="P594" s="226"/>
      <c r="Q594" s="226"/>
      <c r="R594" s="68"/>
      <c r="V594" s="41"/>
    </row>
    <row r="595">
      <c r="J595" s="68"/>
      <c r="K595" s="79"/>
      <c r="L595" s="79"/>
      <c r="M595" s="226"/>
      <c r="N595" s="248"/>
      <c r="O595" s="226"/>
      <c r="P595" s="226"/>
      <c r="Q595" s="226"/>
      <c r="R595" s="68"/>
      <c r="V595" s="41"/>
    </row>
    <row r="596">
      <c r="J596" s="68"/>
      <c r="K596" s="79"/>
      <c r="L596" s="79"/>
      <c r="M596" s="226"/>
      <c r="N596" s="248"/>
      <c r="O596" s="226"/>
      <c r="P596" s="226"/>
      <c r="Q596" s="226"/>
      <c r="R596" s="68"/>
      <c r="V596" s="41"/>
    </row>
    <row r="597">
      <c r="J597" s="68"/>
      <c r="K597" s="79"/>
      <c r="L597" s="79"/>
      <c r="M597" s="226"/>
      <c r="N597" s="248"/>
      <c r="O597" s="226"/>
      <c r="P597" s="226"/>
      <c r="Q597" s="226"/>
      <c r="R597" s="68"/>
      <c r="V597" s="41"/>
    </row>
    <row r="598">
      <c r="J598" s="68"/>
      <c r="K598" s="79"/>
      <c r="L598" s="79"/>
      <c r="M598" s="226"/>
      <c r="N598" s="248"/>
      <c r="O598" s="226"/>
      <c r="P598" s="226"/>
      <c r="Q598" s="226"/>
      <c r="R598" s="68"/>
      <c r="V598" s="41"/>
    </row>
    <row r="599">
      <c r="J599" s="68"/>
      <c r="K599" s="79"/>
      <c r="L599" s="79"/>
      <c r="M599" s="226"/>
      <c r="N599" s="248"/>
      <c r="O599" s="226"/>
      <c r="P599" s="226"/>
      <c r="Q599" s="226"/>
      <c r="R599" s="68"/>
      <c r="V599" s="41"/>
    </row>
    <row r="600">
      <c r="J600" s="68"/>
      <c r="K600" s="79"/>
      <c r="L600" s="79"/>
      <c r="M600" s="226"/>
      <c r="N600" s="248"/>
      <c r="O600" s="226"/>
      <c r="P600" s="226"/>
      <c r="Q600" s="226"/>
      <c r="R600" s="68"/>
      <c r="V600" s="41"/>
    </row>
    <row r="601">
      <c r="J601" s="68"/>
      <c r="K601" s="79"/>
      <c r="L601" s="79"/>
      <c r="M601" s="226"/>
      <c r="N601" s="248"/>
      <c r="O601" s="226"/>
      <c r="P601" s="226"/>
      <c r="Q601" s="226"/>
      <c r="R601" s="68"/>
      <c r="V601" s="41"/>
    </row>
    <row r="602">
      <c r="J602" s="68"/>
      <c r="K602" s="79"/>
      <c r="L602" s="79"/>
      <c r="M602" s="226"/>
      <c r="N602" s="248"/>
      <c r="O602" s="226"/>
      <c r="P602" s="226"/>
      <c r="Q602" s="226"/>
      <c r="R602" s="68"/>
      <c r="V602" s="41"/>
    </row>
    <row r="603">
      <c r="J603" s="68"/>
      <c r="K603" s="79"/>
      <c r="L603" s="79"/>
      <c r="M603" s="226"/>
      <c r="N603" s="248"/>
      <c r="O603" s="226"/>
      <c r="P603" s="226"/>
      <c r="Q603" s="226"/>
      <c r="R603" s="68"/>
      <c r="V603" s="41"/>
    </row>
    <row r="604">
      <c r="J604" s="68"/>
      <c r="K604" s="79"/>
      <c r="L604" s="79"/>
      <c r="M604" s="226"/>
      <c r="N604" s="248"/>
      <c r="O604" s="226"/>
      <c r="P604" s="226"/>
      <c r="Q604" s="226"/>
      <c r="R604" s="68"/>
      <c r="V604" s="41"/>
    </row>
    <row r="605">
      <c r="J605" s="68"/>
      <c r="K605" s="79"/>
      <c r="L605" s="79"/>
      <c r="M605" s="226"/>
      <c r="N605" s="248"/>
      <c r="O605" s="226"/>
      <c r="P605" s="226"/>
      <c r="Q605" s="226"/>
      <c r="R605" s="68"/>
      <c r="V605" s="41"/>
    </row>
    <row r="606">
      <c r="J606" s="68"/>
      <c r="K606" s="79"/>
      <c r="L606" s="79"/>
      <c r="M606" s="226"/>
      <c r="N606" s="248"/>
      <c r="O606" s="226"/>
      <c r="P606" s="226"/>
      <c r="Q606" s="226"/>
      <c r="R606" s="68"/>
      <c r="V606" s="41"/>
    </row>
    <row r="607">
      <c r="J607" s="68"/>
      <c r="K607" s="79"/>
      <c r="L607" s="79"/>
      <c r="M607" s="226"/>
      <c r="N607" s="248"/>
      <c r="O607" s="226"/>
      <c r="P607" s="226"/>
      <c r="Q607" s="226"/>
      <c r="R607" s="68"/>
      <c r="V607" s="41"/>
    </row>
    <row r="608">
      <c r="J608" s="68"/>
      <c r="K608" s="79"/>
      <c r="L608" s="79"/>
      <c r="M608" s="226"/>
      <c r="N608" s="248"/>
      <c r="O608" s="226"/>
      <c r="P608" s="226"/>
      <c r="Q608" s="226"/>
      <c r="R608" s="68"/>
      <c r="V608" s="41"/>
    </row>
    <row r="609">
      <c r="J609" s="68"/>
      <c r="K609" s="79"/>
      <c r="L609" s="79"/>
      <c r="M609" s="226"/>
      <c r="N609" s="248"/>
      <c r="O609" s="226"/>
      <c r="P609" s="226"/>
      <c r="Q609" s="226"/>
      <c r="R609" s="68"/>
      <c r="V609" s="41"/>
    </row>
    <row r="610">
      <c r="J610" s="68"/>
      <c r="K610" s="79"/>
      <c r="L610" s="79"/>
      <c r="M610" s="226"/>
      <c r="N610" s="248"/>
      <c r="O610" s="226"/>
      <c r="P610" s="226"/>
      <c r="Q610" s="226"/>
      <c r="R610" s="68"/>
      <c r="V610" s="41"/>
    </row>
    <row r="611">
      <c r="J611" s="68"/>
      <c r="K611" s="79"/>
      <c r="L611" s="79"/>
      <c r="M611" s="226"/>
      <c r="N611" s="248"/>
      <c r="O611" s="226"/>
      <c r="P611" s="226"/>
      <c r="Q611" s="226"/>
      <c r="R611" s="68"/>
      <c r="V611" s="41"/>
    </row>
    <row r="612">
      <c r="J612" s="68"/>
      <c r="K612" s="79"/>
      <c r="L612" s="79"/>
      <c r="M612" s="226"/>
      <c r="N612" s="248"/>
      <c r="O612" s="226"/>
      <c r="P612" s="226"/>
      <c r="Q612" s="226"/>
      <c r="R612" s="68"/>
      <c r="V612" s="41"/>
    </row>
    <row r="613">
      <c r="J613" s="68"/>
      <c r="K613" s="79"/>
      <c r="L613" s="79"/>
      <c r="M613" s="226"/>
      <c r="N613" s="248"/>
      <c r="O613" s="226"/>
      <c r="P613" s="226"/>
      <c r="Q613" s="226"/>
      <c r="R613" s="68"/>
      <c r="V613" s="41"/>
    </row>
    <row r="614">
      <c r="J614" s="68"/>
      <c r="K614" s="79"/>
      <c r="L614" s="79"/>
      <c r="M614" s="226"/>
      <c r="N614" s="248"/>
      <c r="O614" s="226"/>
      <c r="P614" s="226"/>
      <c r="Q614" s="226"/>
      <c r="R614" s="68"/>
      <c r="V614" s="41"/>
    </row>
    <row r="615">
      <c r="J615" s="68"/>
      <c r="K615" s="79"/>
      <c r="L615" s="79"/>
      <c r="M615" s="226"/>
      <c r="N615" s="248"/>
      <c r="O615" s="226"/>
      <c r="P615" s="226"/>
      <c r="Q615" s="226"/>
      <c r="R615" s="68"/>
      <c r="V615" s="41"/>
    </row>
    <row r="616">
      <c r="J616" s="68"/>
      <c r="K616" s="79"/>
      <c r="L616" s="79"/>
      <c r="M616" s="226"/>
      <c r="N616" s="248"/>
      <c r="O616" s="226"/>
      <c r="P616" s="226"/>
      <c r="Q616" s="226"/>
      <c r="R616" s="68"/>
      <c r="V616" s="41"/>
    </row>
    <row r="617">
      <c r="J617" s="68"/>
      <c r="K617" s="79"/>
      <c r="L617" s="79"/>
      <c r="M617" s="226"/>
      <c r="N617" s="248"/>
      <c r="O617" s="226"/>
      <c r="P617" s="226"/>
      <c r="Q617" s="226"/>
      <c r="R617" s="68"/>
      <c r="V617" s="41"/>
    </row>
    <row r="618">
      <c r="J618" s="68"/>
      <c r="K618" s="79"/>
      <c r="L618" s="79"/>
      <c r="M618" s="226"/>
      <c r="N618" s="248"/>
      <c r="O618" s="226"/>
      <c r="P618" s="226"/>
      <c r="Q618" s="226"/>
      <c r="R618" s="68"/>
      <c r="V618" s="41"/>
    </row>
    <row r="619">
      <c r="J619" s="68"/>
      <c r="K619" s="79"/>
      <c r="L619" s="79"/>
      <c r="M619" s="226"/>
      <c r="N619" s="248"/>
      <c r="O619" s="226"/>
      <c r="P619" s="226"/>
      <c r="Q619" s="226"/>
      <c r="R619" s="68"/>
      <c r="V619" s="41"/>
    </row>
    <row r="620">
      <c r="J620" s="68"/>
      <c r="K620" s="79"/>
      <c r="L620" s="79"/>
      <c r="M620" s="226"/>
      <c r="N620" s="248"/>
      <c r="O620" s="226"/>
      <c r="P620" s="226"/>
      <c r="Q620" s="226"/>
      <c r="R620" s="68"/>
      <c r="V620" s="41"/>
    </row>
    <row r="621">
      <c r="J621" s="68"/>
      <c r="K621" s="79"/>
      <c r="L621" s="79"/>
      <c r="M621" s="226"/>
      <c r="N621" s="248"/>
      <c r="O621" s="226"/>
      <c r="P621" s="226"/>
      <c r="Q621" s="226"/>
      <c r="R621" s="68"/>
      <c r="V621" s="41"/>
    </row>
    <row r="622">
      <c r="J622" s="68"/>
      <c r="K622" s="79"/>
      <c r="L622" s="79"/>
      <c r="M622" s="226"/>
      <c r="N622" s="248"/>
      <c r="O622" s="226"/>
      <c r="P622" s="226"/>
      <c r="Q622" s="226"/>
      <c r="R622" s="68"/>
      <c r="V622" s="41"/>
    </row>
    <row r="623">
      <c r="J623" s="68"/>
      <c r="K623" s="79"/>
      <c r="L623" s="79"/>
      <c r="M623" s="226"/>
      <c r="N623" s="248"/>
      <c r="O623" s="226"/>
      <c r="P623" s="226"/>
      <c r="Q623" s="226"/>
      <c r="R623" s="68"/>
      <c r="V623" s="41"/>
    </row>
    <row r="624">
      <c r="J624" s="68"/>
      <c r="K624" s="79"/>
      <c r="L624" s="79"/>
      <c r="M624" s="226"/>
      <c r="N624" s="248"/>
      <c r="O624" s="226"/>
      <c r="P624" s="226"/>
      <c r="Q624" s="226"/>
      <c r="R624" s="68"/>
      <c r="V624" s="41"/>
    </row>
    <row r="625">
      <c r="J625" s="68"/>
      <c r="K625" s="79"/>
      <c r="L625" s="79"/>
      <c r="M625" s="226"/>
      <c r="N625" s="248"/>
      <c r="O625" s="226"/>
      <c r="P625" s="226"/>
      <c r="Q625" s="226"/>
      <c r="R625" s="68"/>
      <c r="V625" s="41"/>
    </row>
    <row r="626">
      <c r="J626" s="68"/>
      <c r="K626" s="79"/>
      <c r="L626" s="79"/>
      <c r="M626" s="226"/>
      <c r="N626" s="248"/>
      <c r="O626" s="226"/>
      <c r="P626" s="226"/>
      <c r="Q626" s="226"/>
      <c r="R626" s="68"/>
      <c r="V626" s="41"/>
    </row>
    <row r="627">
      <c r="J627" s="68"/>
      <c r="K627" s="79"/>
      <c r="L627" s="79"/>
      <c r="M627" s="226"/>
      <c r="N627" s="248"/>
      <c r="O627" s="226"/>
      <c r="P627" s="226"/>
      <c r="Q627" s="226"/>
      <c r="R627" s="68"/>
      <c r="V627" s="41"/>
    </row>
    <row r="628">
      <c r="J628" s="68"/>
      <c r="K628" s="79"/>
      <c r="L628" s="79"/>
      <c r="M628" s="226"/>
      <c r="N628" s="248"/>
      <c r="O628" s="226"/>
      <c r="P628" s="226"/>
      <c r="Q628" s="226"/>
      <c r="R628" s="68"/>
      <c r="V628" s="41"/>
    </row>
    <row r="629">
      <c r="J629" s="68"/>
      <c r="K629" s="79"/>
      <c r="L629" s="79"/>
      <c r="M629" s="226"/>
      <c r="N629" s="248"/>
      <c r="O629" s="226"/>
      <c r="P629" s="226"/>
      <c r="Q629" s="226"/>
      <c r="R629" s="68"/>
      <c r="V629" s="41"/>
    </row>
    <row r="630">
      <c r="J630" s="68"/>
      <c r="K630" s="79"/>
      <c r="L630" s="79"/>
      <c r="M630" s="226"/>
      <c r="N630" s="248"/>
      <c r="O630" s="226"/>
      <c r="P630" s="226"/>
      <c r="Q630" s="226"/>
      <c r="R630" s="68"/>
      <c r="V630" s="41"/>
    </row>
    <row r="631">
      <c r="J631" s="68"/>
      <c r="K631" s="79"/>
      <c r="L631" s="79"/>
      <c r="M631" s="226"/>
      <c r="N631" s="248"/>
      <c r="O631" s="226"/>
      <c r="P631" s="226"/>
      <c r="Q631" s="226"/>
      <c r="R631" s="68"/>
      <c r="V631" s="41"/>
    </row>
    <row r="632">
      <c r="J632" s="68"/>
      <c r="K632" s="79"/>
      <c r="L632" s="79"/>
      <c r="M632" s="226"/>
      <c r="N632" s="248"/>
      <c r="O632" s="226"/>
      <c r="P632" s="226"/>
      <c r="Q632" s="226"/>
      <c r="R632" s="68"/>
      <c r="V632" s="41"/>
    </row>
    <row r="633">
      <c r="J633" s="68"/>
      <c r="K633" s="79"/>
      <c r="L633" s="79"/>
      <c r="M633" s="226"/>
      <c r="N633" s="248"/>
      <c r="O633" s="226"/>
      <c r="P633" s="226"/>
      <c r="Q633" s="226"/>
      <c r="R633" s="68"/>
      <c r="V633" s="41"/>
    </row>
    <row r="634">
      <c r="J634" s="68"/>
      <c r="K634" s="79"/>
      <c r="L634" s="79"/>
      <c r="M634" s="226"/>
      <c r="N634" s="248"/>
      <c r="O634" s="226"/>
      <c r="P634" s="226"/>
      <c r="Q634" s="226"/>
      <c r="R634" s="68"/>
      <c r="V634" s="41"/>
    </row>
    <row r="635">
      <c r="J635" s="68"/>
      <c r="K635" s="79"/>
      <c r="L635" s="79"/>
      <c r="M635" s="226"/>
      <c r="N635" s="248"/>
      <c r="O635" s="226"/>
      <c r="P635" s="226"/>
      <c r="Q635" s="226"/>
      <c r="R635" s="68"/>
      <c r="V635" s="41"/>
    </row>
    <row r="636">
      <c r="J636" s="68"/>
      <c r="K636" s="79"/>
      <c r="L636" s="79"/>
      <c r="M636" s="226"/>
      <c r="N636" s="248"/>
      <c r="O636" s="226"/>
      <c r="P636" s="226"/>
      <c r="Q636" s="226"/>
      <c r="R636" s="68"/>
      <c r="V636" s="41"/>
    </row>
    <row r="637">
      <c r="J637" s="68"/>
      <c r="K637" s="79"/>
      <c r="L637" s="79"/>
      <c r="M637" s="226"/>
      <c r="N637" s="248"/>
      <c r="O637" s="226"/>
      <c r="P637" s="226"/>
      <c r="Q637" s="226"/>
      <c r="R637" s="68"/>
      <c r="V637" s="41"/>
    </row>
    <row r="638">
      <c r="J638" s="68"/>
      <c r="K638" s="79"/>
      <c r="L638" s="79"/>
      <c r="M638" s="226"/>
      <c r="N638" s="248"/>
      <c r="O638" s="226"/>
      <c r="P638" s="226"/>
      <c r="Q638" s="226"/>
      <c r="R638" s="68"/>
      <c r="V638" s="41"/>
    </row>
    <row r="639">
      <c r="J639" s="68"/>
      <c r="K639" s="79"/>
      <c r="L639" s="79"/>
      <c r="M639" s="226"/>
      <c r="N639" s="248"/>
      <c r="O639" s="226"/>
      <c r="P639" s="226"/>
      <c r="Q639" s="226"/>
      <c r="R639" s="68"/>
      <c r="V639" s="41"/>
    </row>
    <row r="640">
      <c r="J640" s="68"/>
      <c r="K640" s="79"/>
      <c r="L640" s="79"/>
      <c r="M640" s="226"/>
      <c r="N640" s="248"/>
      <c r="O640" s="226"/>
      <c r="P640" s="226"/>
      <c r="Q640" s="226"/>
      <c r="R640" s="68"/>
      <c r="V640" s="41"/>
    </row>
    <row r="641">
      <c r="J641" s="68"/>
      <c r="K641" s="79"/>
      <c r="L641" s="79"/>
      <c r="M641" s="226"/>
      <c r="N641" s="248"/>
      <c r="O641" s="226"/>
      <c r="P641" s="226"/>
      <c r="Q641" s="226"/>
      <c r="R641" s="68"/>
      <c r="V641" s="41"/>
    </row>
    <row r="642">
      <c r="J642" s="68"/>
      <c r="K642" s="79"/>
      <c r="L642" s="79"/>
      <c r="M642" s="226"/>
      <c r="N642" s="248"/>
      <c r="O642" s="226"/>
      <c r="P642" s="226"/>
      <c r="Q642" s="226"/>
      <c r="R642" s="68"/>
      <c r="V642" s="41"/>
    </row>
    <row r="643">
      <c r="J643" s="68"/>
      <c r="K643" s="79"/>
      <c r="L643" s="79"/>
      <c r="M643" s="226"/>
      <c r="N643" s="248"/>
      <c r="O643" s="226"/>
      <c r="P643" s="226"/>
      <c r="Q643" s="226"/>
      <c r="R643" s="68"/>
      <c r="V643" s="41"/>
    </row>
    <row r="644">
      <c r="J644" s="68"/>
      <c r="K644" s="79"/>
      <c r="L644" s="79"/>
      <c r="M644" s="226"/>
      <c r="N644" s="248"/>
      <c r="O644" s="226"/>
      <c r="P644" s="226"/>
      <c r="Q644" s="226"/>
      <c r="R644" s="68"/>
      <c r="V644" s="41"/>
    </row>
    <row r="645">
      <c r="J645" s="68"/>
      <c r="K645" s="79"/>
      <c r="L645" s="79"/>
      <c r="M645" s="226"/>
      <c r="N645" s="248"/>
      <c r="O645" s="226"/>
      <c r="P645" s="226"/>
      <c r="Q645" s="226"/>
      <c r="R645" s="68"/>
      <c r="V645" s="41"/>
    </row>
    <row r="646">
      <c r="J646" s="68"/>
      <c r="K646" s="79"/>
      <c r="L646" s="79"/>
      <c r="M646" s="226"/>
      <c r="N646" s="248"/>
      <c r="O646" s="226"/>
      <c r="P646" s="226"/>
      <c r="Q646" s="226"/>
      <c r="R646" s="68"/>
      <c r="V646" s="41"/>
    </row>
    <row r="647">
      <c r="J647" s="68"/>
      <c r="K647" s="79"/>
      <c r="L647" s="79"/>
      <c r="M647" s="226"/>
      <c r="N647" s="248"/>
      <c r="O647" s="226"/>
      <c r="P647" s="226"/>
      <c r="Q647" s="226"/>
      <c r="R647" s="68"/>
      <c r="V647" s="41"/>
    </row>
    <row r="648">
      <c r="J648" s="68"/>
      <c r="K648" s="79"/>
      <c r="L648" s="79"/>
      <c r="M648" s="226"/>
      <c r="N648" s="248"/>
      <c r="O648" s="226"/>
      <c r="P648" s="226"/>
      <c r="Q648" s="226"/>
      <c r="R648" s="68"/>
      <c r="V648" s="41"/>
    </row>
    <row r="649">
      <c r="J649" s="68"/>
      <c r="K649" s="79"/>
      <c r="L649" s="79"/>
      <c r="M649" s="226"/>
      <c r="N649" s="248"/>
      <c r="O649" s="226"/>
      <c r="P649" s="226"/>
      <c r="Q649" s="226"/>
      <c r="R649" s="68"/>
      <c r="V649" s="41"/>
    </row>
    <row r="650">
      <c r="J650" s="68"/>
      <c r="K650" s="79"/>
      <c r="L650" s="79"/>
      <c r="M650" s="226"/>
      <c r="N650" s="248"/>
      <c r="O650" s="226"/>
      <c r="P650" s="226"/>
      <c r="Q650" s="226"/>
      <c r="R650" s="68"/>
      <c r="V650" s="41"/>
    </row>
    <row r="651">
      <c r="J651" s="68"/>
      <c r="K651" s="79"/>
      <c r="L651" s="79"/>
      <c r="M651" s="226"/>
      <c r="N651" s="248"/>
      <c r="O651" s="226"/>
      <c r="P651" s="226"/>
      <c r="Q651" s="226"/>
      <c r="R651" s="68"/>
      <c r="V651" s="41"/>
    </row>
    <row r="652">
      <c r="J652" s="68"/>
      <c r="K652" s="79"/>
      <c r="L652" s="79"/>
      <c r="M652" s="226"/>
      <c r="N652" s="248"/>
      <c r="O652" s="226"/>
      <c r="P652" s="226"/>
      <c r="Q652" s="226"/>
      <c r="R652" s="68"/>
      <c r="V652" s="41"/>
    </row>
    <row r="653">
      <c r="J653" s="68"/>
      <c r="K653" s="79"/>
      <c r="L653" s="79"/>
      <c r="M653" s="226"/>
      <c r="N653" s="248"/>
      <c r="O653" s="226"/>
      <c r="P653" s="226"/>
      <c r="Q653" s="226"/>
      <c r="R653" s="68"/>
      <c r="V653" s="41"/>
    </row>
    <row r="654">
      <c r="J654" s="68"/>
      <c r="K654" s="79"/>
      <c r="L654" s="79"/>
      <c r="M654" s="226"/>
      <c r="N654" s="248"/>
      <c r="O654" s="226"/>
      <c r="P654" s="226"/>
      <c r="Q654" s="226"/>
      <c r="R654" s="68"/>
      <c r="V654" s="41"/>
    </row>
    <row r="655">
      <c r="J655" s="68"/>
      <c r="K655" s="79"/>
      <c r="L655" s="79"/>
      <c r="M655" s="226"/>
      <c r="N655" s="248"/>
      <c r="O655" s="226"/>
      <c r="P655" s="226"/>
      <c r="Q655" s="226"/>
      <c r="R655" s="68"/>
      <c r="V655" s="41"/>
    </row>
    <row r="656">
      <c r="J656" s="68"/>
      <c r="K656" s="79"/>
      <c r="L656" s="79"/>
      <c r="M656" s="226"/>
      <c r="N656" s="248"/>
      <c r="O656" s="226"/>
      <c r="P656" s="226"/>
      <c r="Q656" s="226"/>
      <c r="R656" s="68"/>
      <c r="V656" s="41"/>
    </row>
    <row r="657">
      <c r="J657" s="68"/>
      <c r="K657" s="79"/>
      <c r="L657" s="79"/>
      <c r="M657" s="226"/>
      <c r="N657" s="248"/>
      <c r="O657" s="226"/>
      <c r="P657" s="226"/>
      <c r="Q657" s="226"/>
      <c r="R657" s="68"/>
      <c r="V657" s="41"/>
    </row>
    <row r="658">
      <c r="J658" s="68"/>
      <c r="K658" s="79"/>
      <c r="L658" s="79"/>
      <c r="M658" s="226"/>
      <c r="N658" s="248"/>
      <c r="O658" s="226"/>
      <c r="P658" s="226"/>
      <c r="Q658" s="226"/>
      <c r="R658" s="68"/>
      <c r="V658" s="41"/>
    </row>
    <row r="659">
      <c r="J659" s="68"/>
      <c r="K659" s="79"/>
      <c r="L659" s="79"/>
      <c r="M659" s="226"/>
      <c r="N659" s="248"/>
      <c r="O659" s="226"/>
      <c r="P659" s="226"/>
      <c r="Q659" s="226"/>
      <c r="R659" s="68"/>
      <c r="V659" s="41"/>
    </row>
    <row r="660">
      <c r="J660" s="68"/>
      <c r="K660" s="79"/>
      <c r="L660" s="79"/>
      <c r="M660" s="226"/>
      <c r="N660" s="248"/>
      <c r="O660" s="226"/>
      <c r="P660" s="226"/>
      <c r="Q660" s="226"/>
      <c r="R660" s="68"/>
      <c r="V660" s="41"/>
    </row>
    <row r="661">
      <c r="J661" s="68"/>
      <c r="K661" s="79"/>
      <c r="L661" s="79"/>
      <c r="M661" s="226"/>
      <c r="N661" s="248"/>
      <c r="O661" s="226"/>
      <c r="P661" s="226"/>
      <c r="Q661" s="226"/>
      <c r="R661" s="68"/>
      <c r="V661" s="41"/>
    </row>
    <row r="662">
      <c r="J662" s="68"/>
      <c r="K662" s="79"/>
      <c r="L662" s="79"/>
      <c r="M662" s="226"/>
      <c r="N662" s="248"/>
      <c r="O662" s="226"/>
      <c r="P662" s="226"/>
      <c r="Q662" s="226"/>
      <c r="R662" s="68"/>
      <c r="V662" s="41"/>
    </row>
    <row r="663">
      <c r="J663" s="68"/>
      <c r="K663" s="79"/>
      <c r="L663" s="79"/>
      <c r="M663" s="226"/>
      <c r="N663" s="248"/>
      <c r="O663" s="226"/>
      <c r="P663" s="226"/>
      <c r="Q663" s="226"/>
      <c r="R663" s="68"/>
      <c r="V663" s="41"/>
    </row>
    <row r="664">
      <c r="J664" s="68"/>
      <c r="K664" s="79"/>
      <c r="L664" s="79"/>
      <c r="M664" s="226"/>
      <c r="N664" s="248"/>
      <c r="O664" s="226"/>
      <c r="P664" s="226"/>
      <c r="Q664" s="226"/>
      <c r="R664" s="68"/>
      <c r="V664" s="41"/>
    </row>
    <row r="665">
      <c r="J665" s="68"/>
      <c r="K665" s="79"/>
      <c r="L665" s="79"/>
      <c r="M665" s="226"/>
      <c r="N665" s="248"/>
      <c r="O665" s="226"/>
      <c r="P665" s="226"/>
      <c r="Q665" s="226"/>
      <c r="R665" s="68"/>
      <c r="V665" s="41"/>
    </row>
    <row r="666">
      <c r="J666" s="68"/>
      <c r="K666" s="79"/>
      <c r="L666" s="79"/>
      <c r="M666" s="226"/>
      <c r="N666" s="248"/>
      <c r="O666" s="226"/>
      <c r="P666" s="226"/>
      <c r="Q666" s="226"/>
      <c r="R666" s="68"/>
      <c r="V666" s="41"/>
    </row>
    <row r="667">
      <c r="J667" s="68"/>
      <c r="K667" s="79"/>
      <c r="L667" s="79"/>
      <c r="M667" s="226"/>
      <c r="N667" s="248"/>
      <c r="O667" s="226"/>
      <c r="P667" s="226"/>
      <c r="Q667" s="226"/>
      <c r="R667" s="68"/>
      <c r="V667" s="41"/>
    </row>
    <row r="668">
      <c r="J668" s="68"/>
      <c r="K668" s="79"/>
      <c r="L668" s="79"/>
      <c r="M668" s="226"/>
      <c r="N668" s="248"/>
      <c r="O668" s="226"/>
      <c r="P668" s="226"/>
      <c r="Q668" s="226"/>
      <c r="R668" s="68"/>
      <c r="V668" s="41"/>
    </row>
    <row r="669">
      <c r="J669" s="68"/>
      <c r="K669" s="79"/>
      <c r="L669" s="79"/>
      <c r="M669" s="226"/>
      <c r="N669" s="248"/>
      <c r="O669" s="226"/>
      <c r="P669" s="226"/>
      <c r="Q669" s="226"/>
      <c r="R669" s="68"/>
      <c r="V669" s="41"/>
    </row>
    <row r="670">
      <c r="J670" s="68"/>
      <c r="K670" s="79"/>
      <c r="L670" s="79"/>
      <c r="M670" s="226"/>
      <c r="N670" s="248"/>
      <c r="O670" s="226"/>
      <c r="P670" s="226"/>
      <c r="Q670" s="226"/>
      <c r="R670" s="68"/>
      <c r="V670" s="41"/>
    </row>
    <row r="671">
      <c r="J671" s="68"/>
      <c r="K671" s="79"/>
      <c r="L671" s="79"/>
      <c r="M671" s="226"/>
      <c r="N671" s="248"/>
      <c r="O671" s="226"/>
      <c r="P671" s="226"/>
      <c r="Q671" s="226"/>
      <c r="R671" s="68"/>
      <c r="V671" s="41"/>
    </row>
    <row r="672">
      <c r="J672" s="68"/>
      <c r="K672" s="79"/>
      <c r="L672" s="79"/>
      <c r="M672" s="226"/>
      <c r="N672" s="248"/>
      <c r="O672" s="226"/>
      <c r="P672" s="226"/>
      <c r="Q672" s="226"/>
      <c r="R672" s="68"/>
      <c r="V672" s="41"/>
    </row>
    <row r="673">
      <c r="J673" s="68"/>
      <c r="K673" s="79"/>
      <c r="L673" s="79"/>
      <c r="M673" s="226"/>
      <c r="N673" s="248"/>
      <c r="O673" s="226"/>
      <c r="P673" s="226"/>
      <c r="Q673" s="226"/>
      <c r="R673" s="68"/>
      <c r="V673" s="41"/>
    </row>
    <row r="674">
      <c r="J674" s="68"/>
      <c r="K674" s="79"/>
      <c r="L674" s="79"/>
      <c r="M674" s="226"/>
      <c r="N674" s="248"/>
      <c r="O674" s="226"/>
      <c r="P674" s="226"/>
      <c r="Q674" s="226"/>
      <c r="R674" s="68"/>
      <c r="V674" s="41"/>
    </row>
    <row r="675">
      <c r="J675" s="68"/>
      <c r="K675" s="79"/>
      <c r="L675" s="79"/>
      <c r="M675" s="226"/>
      <c r="N675" s="248"/>
      <c r="O675" s="226"/>
      <c r="P675" s="226"/>
      <c r="Q675" s="226"/>
      <c r="R675" s="68"/>
      <c r="V675" s="41"/>
    </row>
    <row r="676">
      <c r="J676" s="68"/>
      <c r="K676" s="79"/>
      <c r="L676" s="79"/>
      <c r="M676" s="226"/>
      <c r="N676" s="248"/>
      <c r="O676" s="226"/>
      <c r="P676" s="226"/>
      <c r="Q676" s="226"/>
      <c r="R676" s="68"/>
      <c r="V676" s="41"/>
    </row>
    <row r="677">
      <c r="J677" s="68"/>
      <c r="K677" s="79"/>
      <c r="L677" s="79"/>
      <c r="M677" s="226"/>
      <c r="N677" s="248"/>
      <c r="O677" s="226"/>
      <c r="P677" s="226"/>
      <c r="Q677" s="226"/>
      <c r="R677" s="68"/>
      <c r="V677" s="41"/>
    </row>
    <row r="678">
      <c r="J678" s="68"/>
      <c r="K678" s="79"/>
      <c r="L678" s="79"/>
      <c r="M678" s="226"/>
      <c r="N678" s="248"/>
      <c r="O678" s="226"/>
      <c r="P678" s="226"/>
      <c r="Q678" s="226"/>
      <c r="R678" s="68"/>
      <c r="V678" s="41"/>
    </row>
    <row r="679">
      <c r="J679" s="68"/>
      <c r="K679" s="79"/>
      <c r="L679" s="79"/>
      <c r="M679" s="226"/>
      <c r="N679" s="248"/>
      <c r="O679" s="226"/>
      <c r="P679" s="226"/>
      <c r="Q679" s="226"/>
      <c r="R679" s="68"/>
      <c r="V679" s="41"/>
    </row>
    <row r="680">
      <c r="J680" s="68"/>
      <c r="K680" s="79"/>
      <c r="L680" s="79"/>
      <c r="M680" s="226"/>
      <c r="N680" s="248"/>
      <c r="O680" s="226"/>
      <c r="P680" s="226"/>
      <c r="Q680" s="226"/>
      <c r="R680" s="68"/>
      <c r="V680" s="41"/>
    </row>
    <row r="681">
      <c r="J681" s="68"/>
      <c r="K681" s="79"/>
      <c r="L681" s="79"/>
      <c r="M681" s="226"/>
      <c r="N681" s="248"/>
      <c r="O681" s="226"/>
      <c r="P681" s="226"/>
      <c r="Q681" s="226"/>
      <c r="R681" s="68"/>
      <c r="V681" s="41"/>
    </row>
    <row r="682">
      <c r="J682" s="68"/>
      <c r="K682" s="79"/>
      <c r="L682" s="79"/>
      <c r="M682" s="226"/>
      <c r="N682" s="248"/>
      <c r="O682" s="226"/>
      <c r="P682" s="226"/>
      <c r="Q682" s="226"/>
      <c r="R682" s="68"/>
      <c r="V682" s="41"/>
    </row>
    <row r="683">
      <c r="J683" s="68"/>
      <c r="K683" s="79"/>
      <c r="L683" s="79"/>
      <c r="M683" s="226"/>
      <c r="N683" s="248"/>
      <c r="O683" s="226"/>
      <c r="P683" s="226"/>
      <c r="Q683" s="226"/>
      <c r="R683" s="68"/>
      <c r="V683" s="41"/>
    </row>
    <row r="684">
      <c r="J684" s="68"/>
      <c r="K684" s="79"/>
      <c r="L684" s="79"/>
      <c r="M684" s="226"/>
      <c r="N684" s="248"/>
      <c r="O684" s="226"/>
      <c r="P684" s="226"/>
      <c r="Q684" s="226"/>
      <c r="R684" s="68"/>
      <c r="V684" s="41"/>
    </row>
    <row r="685">
      <c r="J685" s="68"/>
      <c r="K685" s="79"/>
      <c r="L685" s="79"/>
      <c r="M685" s="226"/>
      <c r="N685" s="248"/>
      <c r="O685" s="226"/>
      <c r="P685" s="226"/>
      <c r="Q685" s="226"/>
      <c r="R685" s="68"/>
      <c r="V685" s="41"/>
    </row>
    <row r="686">
      <c r="J686" s="68"/>
      <c r="K686" s="79"/>
      <c r="L686" s="79"/>
      <c r="M686" s="226"/>
      <c r="N686" s="248"/>
      <c r="O686" s="226"/>
      <c r="P686" s="226"/>
      <c r="Q686" s="226"/>
      <c r="R686" s="68"/>
      <c r="V686" s="41"/>
    </row>
    <row r="687">
      <c r="J687" s="68"/>
      <c r="K687" s="79"/>
      <c r="L687" s="79"/>
      <c r="M687" s="226"/>
      <c r="N687" s="248"/>
      <c r="O687" s="226"/>
      <c r="P687" s="226"/>
      <c r="Q687" s="226"/>
      <c r="R687" s="68"/>
      <c r="V687" s="41"/>
    </row>
    <row r="688">
      <c r="J688" s="68"/>
      <c r="K688" s="79"/>
      <c r="L688" s="79"/>
      <c r="M688" s="226"/>
      <c r="N688" s="248"/>
      <c r="O688" s="226"/>
      <c r="P688" s="226"/>
      <c r="Q688" s="226"/>
      <c r="R688" s="68"/>
      <c r="V688" s="41"/>
    </row>
    <row r="689">
      <c r="J689" s="68"/>
      <c r="K689" s="79"/>
      <c r="L689" s="79"/>
      <c r="M689" s="226"/>
      <c r="N689" s="248"/>
      <c r="O689" s="226"/>
      <c r="P689" s="226"/>
      <c r="Q689" s="226"/>
      <c r="R689" s="68"/>
      <c r="V689" s="41"/>
    </row>
    <row r="690">
      <c r="J690" s="68"/>
      <c r="K690" s="79"/>
      <c r="L690" s="79"/>
      <c r="M690" s="226"/>
      <c r="N690" s="248"/>
      <c r="O690" s="226"/>
      <c r="P690" s="226"/>
      <c r="Q690" s="226"/>
      <c r="R690" s="68"/>
      <c r="V690" s="41"/>
    </row>
    <row r="691">
      <c r="J691" s="68"/>
      <c r="K691" s="79"/>
      <c r="L691" s="79"/>
      <c r="M691" s="226"/>
      <c r="N691" s="248"/>
      <c r="O691" s="226"/>
      <c r="P691" s="226"/>
      <c r="Q691" s="226"/>
      <c r="R691" s="68"/>
      <c r="V691" s="41"/>
    </row>
    <row r="692">
      <c r="J692" s="68"/>
      <c r="K692" s="79"/>
      <c r="L692" s="79"/>
      <c r="M692" s="226"/>
      <c r="N692" s="248"/>
      <c r="O692" s="226"/>
      <c r="P692" s="226"/>
      <c r="Q692" s="226"/>
      <c r="R692" s="68"/>
      <c r="V692" s="41"/>
    </row>
    <row r="693">
      <c r="J693" s="68"/>
      <c r="K693" s="79"/>
      <c r="L693" s="79"/>
      <c r="M693" s="226"/>
      <c r="N693" s="248"/>
      <c r="O693" s="226"/>
      <c r="P693" s="226"/>
      <c r="Q693" s="226"/>
      <c r="R693" s="68"/>
      <c r="V693" s="41"/>
    </row>
    <row r="694">
      <c r="J694" s="68"/>
      <c r="K694" s="79"/>
      <c r="L694" s="79"/>
      <c r="M694" s="226"/>
      <c r="N694" s="248"/>
      <c r="O694" s="226"/>
      <c r="P694" s="226"/>
      <c r="Q694" s="226"/>
      <c r="R694" s="68"/>
      <c r="V694" s="41"/>
    </row>
    <row r="695">
      <c r="J695" s="68"/>
      <c r="K695" s="79"/>
      <c r="L695" s="79"/>
      <c r="M695" s="226"/>
      <c r="N695" s="248"/>
      <c r="O695" s="226"/>
      <c r="P695" s="226"/>
      <c r="Q695" s="226"/>
      <c r="R695" s="68"/>
      <c r="V695" s="41"/>
    </row>
    <row r="696">
      <c r="J696" s="68"/>
      <c r="K696" s="79"/>
      <c r="L696" s="79"/>
      <c r="M696" s="226"/>
      <c r="N696" s="248"/>
      <c r="O696" s="226"/>
      <c r="P696" s="226"/>
      <c r="Q696" s="226"/>
      <c r="R696" s="68"/>
      <c r="V696" s="41"/>
    </row>
    <row r="697">
      <c r="J697" s="68"/>
      <c r="K697" s="79"/>
      <c r="L697" s="79"/>
      <c r="M697" s="226"/>
      <c r="N697" s="248"/>
      <c r="O697" s="226"/>
      <c r="P697" s="226"/>
      <c r="Q697" s="226"/>
      <c r="R697" s="68"/>
      <c r="V697" s="41"/>
    </row>
    <row r="698">
      <c r="J698" s="68"/>
      <c r="K698" s="79"/>
      <c r="L698" s="79"/>
      <c r="M698" s="226"/>
      <c r="N698" s="248"/>
      <c r="O698" s="226"/>
      <c r="P698" s="226"/>
      <c r="Q698" s="226"/>
      <c r="R698" s="68"/>
      <c r="V698" s="41"/>
    </row>
    <row r="699">
      <c r="J699" s="68"/>
      <c r="K699" s="79"/>
      <c r="L699" s="79"/>
      <c r="M699" s="226"/>
      <c r="N699" s="248"/>
      <c r="O699" s="226"/>
      <c r="P699" s="226"/>
      <c r="Q699" s="226"/>
      <c r="R699" s="68"/>
      <c r="V699" s="41"/>
    </row>
    <row r="700">
      <c r="J700" s="68"/>
      <c r="K700" s="79"/>
      <c r="L700" s="79"/>
      <c r="M700" s="226"/>
      <c r="N700" s="248"/>
      <c r="O700" s="226"/>
      <c r="P700" s="226"/>
      <c r="Q700" s="226"/>
      <c r="R700" s="68"/>
      <c r="V700" s="41"/>
    </row>
    <row r="701">
      <c r="J701" s="68"/>
      <c r="K701" s="79"/>
      <c r="L701" s="79"/>
      <c r="M701" s="226"/>
      <c r="N701" s="248"/>
      <c r="O701" s="226"/>
      <c r="P701" s="226"/>
      <c r="Q701" s="226"/>
      <c r="R701" s="68"/>
      <c r="V701" s="41"/>
    </row>
    <row r="702">
      <c r="J702" s="68"/>
      <c r="K702" s="79"/>
      <c r="L702" s="79"/>
      <c r="M702" s="226"/>
      <c r="N702" s="248"/>
      <c r="O702" s="226"/>
      <c r="P702" s="226"/>
      <c r="Q702" s="226"/>
      <c r="R702" s="68"/>
      <c r="V702" s="41"/>
    </row>
    <row r="703">
      <c r="J703" s="68"/>
      <c r="K703" s="79"/>
      <c r="L703" s="79"/>
      <c r="M703" s="226"/>
      <c r="N703" s="248"/>
      <c r="O703" s="226"/>
      <c r="P703" s="226"/>
      <c r="Q703" s="226"/>
      <c r="R703" s="68"/>
      <c r="V703" s="41"/>
    </row>
    <row r="704">
      <c r="J704" s="68"/>
      <c r="K704" s="79"/>
      <c r="L704" s="79"/>
      <c r="M704" s="226"/>
      <c r="N704" s="248"/>
      <c r="O704" s="226"/>
      <c r="P704" s="226"/>
      <c r="Q704" s="226"/>
      <c r="R704" s="68"/>
      <c r="V704" s="41"/>
    </row>
    <row r="705">
      <c r="J705" s="68"/>
      <c r="K705" s="79"/>
      <c r="L705" s="79"/>
      <c r="M705" s="226"/>
      <c r="N705" s="248"/>
      <c r="O705" s="226"/>
      <c r="P705" s="226"/>
      <c r="Q705" s="226"/>
      <c r="R705" s="68"/>
      <c r="V705" s="41"/>
    </row>
    <row r="706">
      <c r="J706" s="68"/>
      <c r="K706" s="79"/>
      <c r="L706" s="79"/>
      <c r="M706" s="226"/>
      <c r="N706" s="248"/>
      <c r="O706" s="226"/>
      <c r="P706" s="226"/>
      <c r="Q706" s="226"/>
      <c r="R706" s="68"/>
      <c r="V706" s="41"/>
    </row>
    <row r="707">
      <c r="J707" s="68"/>
      <c r="K707" s="79"/>
      <c r="L707" s="79"/>
      <c r="M707" s="226"/>
      <c r="N707" s="248"/>
      <c r="O707" s="226"/>
      <c r="P707" s="226"/>
      <c r="Q707" s="226"/>
      <c r="R707" s="68"/>
      <c r="V707" s="41"/>
    </row>
    <row r="708">
      <c r="J708" s="68"/>
      <c r="K708" s="79"/>
      <c r="L708" s="79"/>
      <c r="M708" s="226"/>
      <c r="N708" s="248"/>
      <c r="O708" s="226"/>
      <c r="P708" s="226"/>
      <c r="Q708" s="226"/>
      <c r="R708" s="68"/>
      <c r="V708" s="41"/>
    </row>
    <row r="709">
      <c r="J709" s="68"/>
      <c r="K709" s="79"/>
      <c r="L709" s="79"/>
      <c r="M709" s="226"/>
      <c r="N709" s="248"/>
      <c r="O709" s="226"/>
      <c r="P709" s="226"/>
      <c r="Q709" s="226"/>
      <c r="R709" s="68"/>
      <c r="V709" s="41"/>
    </row>
    <row r="710">
      <c r="J710" s="68"/>
      <c r="K710" s="79"/>
      <c r="L710" s="79"/>
      <c r="M710" s="226"/>
      <c r="N710" s="248"/>
      <c r="O710" s="226"/>
      <c r="P710" s="226"/>
      <c r="Q710" s="226"/>
      <c r="R710" s="68"/>
      <c r="V710" s="41"/>
    </row>
    <row r="711">
      <c r="J711" s="68"/>
      <c r="K711" s="79"/>
      <c r="L711" s="79"/>
      <c r="M711" s="226"/>
      <c r="N711" s="248"/>
      <c r="O711" s="226"/>
      <c r="P711" s="226"/>
      <c r="Q711" s="226"/>
      <c r="R711" s="68"/>
      <c r="V711" s="41"/>
    </row>
    <row r="712">
      <c r="J712" s="68"/>
      <c r="K712" s="79"/>
      <c r="L712" s="79"/>
      <c r="M712" s="226"/>
      <c r="N712" s="248"/>
      <c r="O712" s="226"/>
      <c r="P712" s="226"/>
      <c r="Q712" s="226"/>
      <c r="R712" s="68"/>
      <c r="V712" s="41"/>
    </row>
    <row r="713">
      <c r="J713" s="68"/>
      <c r="K713" s="79"/>
      <c r="L713" s="79"/>
      <c r="M713" s="226"/>
      <c r="N713" s="248"/>
      <c r="O713" s="226"/>
      <c r="P713" s="226"/>
      <c r="Q713" s="226"/>
      <c r="R713" s="68"/>
      <c r="V713" s="41"/>
    </row>
    <row r="714">
      <c r="J714" s="68"/>
      <c r="K714" s="79"/>
      <c r="L714" s="79"/>
      <c r="M714" s="226"/>
      <c r="N714" s="248"/>
      <c r="O714" s="226"/>
      <c r="P714" s="226"/>
      <c r="Q714" s="226"/>
      <c r="R714" s="68"/>
      <c r="V714" s="41"/>
    </row>
    <row r="715">
      <c r="J715" s="68"/>
      <c r="K715" s="79"/>
      <c r="L715" s="79"/>
      <c r="M715" s="226"/>
      <c r="N715" s="248"/>
      <c r="O715" s="226"/>
      <c r="P715" s="226"/>
      <c r="Q715" s="226"/>
      <c r="R715" s="68"/>
      <c r="V715" s="41"/>
    </row>
    <row r="716">
      <c r="J716" s="68"/>
      <c r="K716" s="79"/>
      <c r="L716" s="79"/>
      <c r="M716" s="226"/>
      <c r="N716" s="248"/>
      <c r="O716" s="226"/>
      <c r="P716" s="226"/>
      <c r="Q716" s="226"/>
      <c r="R716" s="68"/>
      <c r="V716" s="41"/>
    </row>
    <row r="717">
      <c r="J717" s="68"/>
      <c r="K717" s="79"/>
      <c r="L717" s="79"/>
      <c r="M717" s="226"/>
      <c r="N717" s="248"/>
      <c r="O717" s="226"/>
      <c r="P717" s="226"/>
      <c r="Q717" s="226"/>
      <c r="R717" s="68"/>
      <c r="V717" s="41"/>
    </row>
    <row r="718">
      <c r="J718" s="68"/>
      <c r="K718" s="79"/>
      <c r="L718" s="79"/>
      <c r="M718" s="226"/>
      <c r="N718" s="248"/>
      <c r="O718" s="226"/>
      <c r="P718" s="226"/>
      <c r="Q718" s="226"/>
      <c r="R718" s="68"/>
      <c r="V718" s="41"/>
    </row>
    <row r="719">
      <c r="J719" s="68"/>
      <c r="K719" s="79"/>
      <c r="L719" s="79"/>
      <c r="M719" s="226"/>
      <c r="N719" s="248"/>
      <c r="O719" s="226"/>
      <c r="P719" s="226"/>
      <c r="Q719" s="226"/>
      <c r="R719" s="68"/>
      <c r="V719" s="41"/>
    </row>
    <row r="720">
      <c r="J720" s="68"/>
      <c r="K720" s="79"/>
      <c r="L720" s="79"/>
      <c r="M720" s="226"/>
      <c r="N720" s="248"/>
      <c r="O720" s="226"/>
      <c r="P720" s="226"/>
      <c r="Q720" s="226"/>
      <c r="R720" s="68"/>
      <c r="V720" s="41"/>
    </row>
    <row r="721">
      <c r="J721" s="68"/>
      <c r="K721" s="79"/>
      <c r="L721" s="79"/>
      <c r="M721" s="226"/>
      <c r="N721" s="248"/>
      <c r="O721" s="226"/>
      <c r="P721" s="226"/>
      <c r="Q721" s="226"/>
      <c r="R721" s="68"/>
      <c r="V721" s="41"/>
    </row>
    <row r="722">
      <c r="J722" s="68"/>
      <c r="K722" s="79"/>
      <c r="L722" s="79"/>
      <c r="M722" s="226"/>
      <c r="N722" s="248"/>
      <c r="O722" s="226"/>
      <c r="P722" s="226"/>
      <c r="Q722" s="226"/>
      <c r="R722" s="68"/>
      <c r="V722" s="41"/>
    </row>
    <row r="723">
      <c r="J723" s="68"/>
      <c r="K723" s="79"/>
      <c r="L723" s="79"/>
      <c r="M723" s="226"/>
      <c r="N723" s="248"/>
      <c r="O723" s="226"/>
      <c r="P723" s="226"/>
      <c r="Q723" s="226"/>
      <c r="R723" s="68"/>
      <c r="V723" s="41"/>
    </row>
    <row r="724">
      <c r="J724" s="68"/>
      <c r="K724" s="79"/>
      <c r="L724" s="79"/>
      <c r="M724" s="226"/>
      <c r="N724" s="248"/>
      <c r="O724" s="226"/>
      <c r="P724" s="226"/>
      <c r="Q724" s="226"/>
      <c r="R724" s="68"/>
      <c r="V724" s="41"/>
    </row>
    <row r="725">
      <c r="J725" s="68"/>
      <c r="K725" s="79"/>
      <c r="L725" s="79"/>
      <c r="M725" s="226"/>
      <c r="N725" s="248"/>
      <c r="O725" s="226"/>
      <c r="P725" s="226"/>
      <c r="Q725" s="226"/>
      <c r="R725" s="68"/>
      <c r="V725" s="41"/>
    </row>
    <row r="726">
      <c r="J726" s="68"/>
      <c r="K726" s="79"/>
      <c r="L726" s="79"/>
      <c r="M726" s="226"/>
      <c r="N726" s="248"/>
      <c r="O726" s="226"/>
      <c r="P726" s="226"/>
      <c r="Q726" s="226"/>
      <c r="R726" s="68"/>
      <c r="V726" s="41"/>
    </row>
    <row r="727">
      <c r="J727" s="68"/>
      <c r="K727" s="79"/>
      <c r="L727" s="79"/>
      <c r="M727" s="226"/>
      <c r="N727" s="248"/>
      <c r="O727" s="226"/>
      <c r="P727" s="226"/>
      <c r="Q727" s="226"/>
      <c r="R727" s="68"/>
      <c r="V727" s="41"/>
    </row>
    <row r="728">
      <c r="J728" s="68"/>
      <c r="K728" s="79"/>
      <c r="L728" s="79"/>
      <c r="M728" s="226"/>
      <c r="N728" s="248"/>
      <c r="O728" s="226"/>
      <c r="P728" s="226"/>
      <c r="Q728" s="226"/>
      <c r="R728" s="68"/>
      <c r="V728" s="41"/>
    </row>
    <row r="729">
      <c r="J729" s="68"/>
      <c r="K729" s="79"/>
      <c r="L729" s="79"/>
      <c r="M729" s="226"/>
      <c r="N729" s="248"/>
      <c r="O729" s="226"/>
      <c r="P729" s="226"/>
      <c r="Q729" s="226"/>
      <c r="R729" s="68"/>
      <c r="V729" s="41"/>
    </row>
    <row r="730">
      <c r="J730" s="68"/>
      <c r="K730" s="79"/>
      <c r="L730" s="79"/>
      <c r="M730" s="226"/>
      <c r="N730" s="248"/>
      <c r="O730" s="226"/>
      <c r="P730" s="226"/>
      <c r="Q730" s="226"/>
      <c r="R730" s="68"/>
      <c r="V730" s="41"/>
    </row>
    <row r="731">
      <c r="J731" s="68"/>
      <c r="K731" s="79"/>
      <c r="L731" s="79"/>
      <c r="M731" s="226"/>
      <c r="N731" s="248"/>
      <c r="O731" s="226"/>
      <c r="P731" s="226"/>
      <c r="Q731" s="226"/>
      <c r="R731" s="68"/>
      <c r="V731" s="41"/>
    </row>
    <row r="732">
      <c r="J732" s="68"/>
      <c r="K732" s="79"/>
      <c r="L732" s="79"/>
      <c r="M732" s="226"/>
      <c r="N732" s="248"/>
      <c r="O732" s="226"/>
      <c r="P732" s="226"/>
      <c r="Q732" s="226"/>
      <c r="R732" s="68"/>
      <c r="V732" s="41"/>
    </row>
    <row r="733">
      <c r="J733" s="68"/>
      <c r="K733" s="79"/>
      <c r="L733" s="79"/>
      <c r="M733" s="226"/>
      <c r="N733" s="248"/>
      <c r="O733" s="226"/>
      <c r="P733" s="226"/>
      <c r="Q733" s="226"/>
      <c r="R733" s="68"/>
      <c r="V733" s="41"/>
    </row>
    <row r="734">
      <c r="J734" s="68"/>
      <c r="K734" s="79"/>
      <c r="L734" s="79"/>
      <c r="M734" s="226"/>
      <c r="N734" s="248"/>
      <c r="O734" s="226"/>
      <c r="P734" s="226"/>
      <c r="Q734" s="226"/>
      <c r="R734" s="68"/>
      <c r="V734" s="41"/>
    </row>
    <row r="735">
      <c r="J735" s="68"/>
      <c r="K735" s="79"/>
      <c r="L735" s="79"/>
      <c r="M735" s="226"/>
      <c r="N735" s="248"/>
      <c r="O735" s="226"/>
      <c r="P735" s="226"/>
      <c r="Q735" s="226"/>
      <c r="R735" s="68"/>
      <c r="V735" s="41"/>
    </row>
    <row r="736">
      <c r="J736" s="68"/>
      <c r="K736" s="79"/>
      <c r="L736" s="79"/>
      <c r="M736" s="226"/>
      <c r="N736" s="248"/>
      <c r="O736" s="226"/>
      <c r="P736" s="226"/>
      <c r="Q736" s="226"/>
      <c r="R736" s="68"/>
      <c r="V736" s="41"/>
    </row>
    <row r="737">
      <c r="J737" s="68"/>
      <c r="K737" s="79"/>
      <c r="L737" s="79"/>
      <c r="M737" s="226"/>
      <c r="N737" s="248"/>
      <c r="O737" s="226"/>
      <c r="P737" s="226"/>
      <c r="Q737" s="226"/>
      <c r="R737" s="68"/>
      <c r="V737" s="41"/>
    </row>
    <row r="738">
      <c r="J738" s="68"/>
      <c r="K738" s="79"/>
      <c r="L738" s="79"/>
      <c r="M738" s="226"/>
      <c r="N738" s="248"/>
      <c r="O738" s="226"/>
      <c r="P738" s="226"/>
      <c r="Q738" s="226"/>
      <c r="R738" s="68"/>
      <c r="V738" s="41"/>
    </row>
    <row r="739">
      <c r="J739" s="68"/>
      <c r="K739" s="79"/>
      <c r="L739" s="79"/>
      <c r="M739" s="226"/>
      <c r="N739" s="248"/>
      <c r="O739" s="226"/>
      <c r="P739" s="226"/>
      <c r="Q739" s="226"/>
      <c r="R739" s="68"/>
      <c r="V739" s="41"/>
    </row>
    <row r="740">
      <c r="J740" s="68"/>
      <c r="K740" s="79"/>
      <c r="L740" s="79"/>
      <c r="M740" s="226"/>
      <c r="N740" s="248"/>
      <c r="O740" s="226"/>
      <c r="P740" s="226"/>
      <c r="Q740" s="226"/>
      <c r="R740" s="68"/>
      <c r="V740" s="41"/>
    </row>
    <row r="741">
      <c r="J741" s="68"/>
      <c r="K741" s="79"/>
      <c r="L741" s="79"/>
      <c r="M741" s="226"/>
      <c r="N741" s="248"/>
      <c r="O741" s="226"/>
      <c r="P741" s="226"/>
      <c r="Q741" s="226"/>
      <c r="R741" s="68"/>
      <c r="V741" s="41"/>
    </row>
    <row r="742">
      <c r="J742" s="68"/>
      <c r="K742" s="79"/>
      <c r="L742" s="79"/>
      <c r="M742" s="226"/>
      <c r="N742" s="248"/>
      <c r="O742" s="226"/>
      <c r="P742" s="226"/>
      <c r="Q742" s="226"/>
      <c r="R742" s="68"/>
      <c r="V742" s="41"/>
    </row>
    <row r="743">
      <c r="J743" s="68"/>
      <c r="K743" s="79"/>
      <c r="L743" s="79"/>
      <c r="M743" s="226"/>
      <c r="N743" s="248"/>
      <c r="O743" s="226"/>
      <c r="P743" s="226"/>
      <c r="Q743" s="226"/>
      <c r="R743" s="68"/>
      <c r="V743" s="41"/>
    </row>
    <row r="744">
      <c r="J744" s="68"/>
      <c r="K744" s="79"/>
      <c r="L744" s="79"/>
      <c r="M744" s="226"/>
      <c r="N744" s="248"/>
      <c r="O744" s="226"/>
      <c r="P744" s="226"/>
      <c r="Q744" s="226"/>
      <c r="R744" s="68"/>
      <c r="V744" s="41"/>
    </row>
    <row r="745">
      <c r="J745" s="68"/>
      <c r="K745" s="79"/>
      <c r="L745" s="79"/>
      <c r="M745" s="226"/>
      <c r="N745" s="248"/>
      <c r="O745" s="226"/>
      <c r="P745" s="226"/>
      <c r="Q745" s="226"/>
      <c r="R745" s="68"/>
      <c r="V745" s="41"/>
    </row>
    <row r="746">
      <c r="J746" s="68"/>
      <c r="K746" s="79"/>
      <c r="L746" s="79"/>
      <c r="M746" s="226"/>
      <c r="N746" s="248"/>
      <c r="O746" s="226"/>
      <c r="P746" s="226"/>
      <c r="Q746" s="226"/>
      <c r="R746" s="68"/>
      <c r="V746" s="41"/>
    </row>
    <row r="747">
      <c r="J747" s="68"/>
      <c r="K747" s="79"/>
      <c r="L747" s="79"/>
      <c r="M747" s="226"/>
      <c r="N747" s="248"/>
      <c r="O747" s="226"/>
      <c r="P747" s="226"/>
      <c r="Q747" s="226"/>
      <c r="R747" s="68"/>
      <c r="V747" s="41"/>
    </row>
    <row r="748">
      <c r="J748" s="68"/>
      <c r="K748" s="79"/>
      <c r="L748" s="79"/>
      <c r="M748" s="226"/>
      <c r="N748" s="248"/>
      <c r="O748" s="226"/>
      <c r="P748" s="226"/>
      <c r="Q748" s="226"/>
      <c r="R748" s="68"/>
      <c r="V748" s="41"/>
    </row>
    <row r="749">
      <c r="J749" s="68"/>
      <c r="K749" s="79"/>
      <c r="L749" s="79"/>
      <c r="M749" s="226"/>
      <c r="N749" s="248"/>
      <c r="O749" s="226"/>
      <c r="P749" s="226"/>
      <c r="Q749" s="226"/>
      <c r="R749" s="68"/>
      <c r="V749" s="41"/>
    </row>
    <row r="750">
      <c r="J750" s="68"/>
      <c r="K750" s="79"/>
      <c r="L750" s="79"/>
      <c r="M750" s="226"/>
      <c r="N750" s="248"/>
      <c r="O750" s="226"/>
      <c r="P750" s="226"/>
      <c r="Q750" s="226"/>
      <c r="R750" s="68"/>
      <c r="V750" s="41"/>
    </row>
    <row r="751">
      <c r="J751" s="68"/>
      <c r="K751" s="79"/>
      <c r="L751" s="79"/>
      <c r="M751" s="226"/>
      <c r="N751" s="248"/>
      <c r="O751" s="226"/>
      <c r="P751" s="226"/>
      <c r="Q751" s="226"/>
      <c r="R751" s="68"/>
      <c r="V751" s="41"/>
    </row>
    <row r="752">
      <c r="J752" s="68"/>
      <c r="K752" s="79"/>
      <c r="L752" s="79"/>
      <c r="M752" s="226"/>
      <c r="N752" s="248"/>
      <c r="O752" s="226"/>
      <c r="P752" s="226"/>
      <c r="Q752" s="226"/>
      <c r="R752" s="68"/>
      <c r="V752" s="41"/>
    </row>
    <row r="753">
      <c r="J753" s="68"/>
      <c r="K753" s="79"/>
      <c r="L753" s="79"/>
      <c r="M753" s="226"/>
      <c r="N753" s="248"/>
      <c r="O753" s="226"/>
      <c r="P753" s="226"/>
      <c r="Q753" s="226"/>
      <c r="R753" s="68"/>
      <c r="V753" s="41"/>
    </row>
    <row r="754">
      <c r="J754" s="68"/>
      <c r="K754" s="79"/>
      <c r="L754" s="79"/>
      <c r="M754" s="226"/>
      <c r="N754" s="248"/>
      <c r="O754" s="226"/>
      <c r="P754" s="226"/>
      <c r="Q754" s="226"/>
      <c r="R754" s="68"/>
      <c r="V754" s="41"/>
    </row>
    <row r="755">
      <c r="J755" s="68"/>
      <c r="K755" s="79"/>
      <c r="L755" s="79"/>
      <c r="M755" s="226"/>
      <c r="N755" s="248"/>
      <c r="O755" s="226"/>
      <c r="P755" s="226"/>
      <c r="Q755" s="226"/>
      <c r="R755" s="68"/>
      <c r="V755" s="41"/>
    </row>
    <row r="756">
      <c r="J756" s="68"/>
      <c r="K756" s="79"/>
      <c r="L756" s="79"/>
      <c r="M756" s="226"/>
      <c r="N756" s="248"/>
      <c r="O756" s="226"/>
      <c r="P756" s="226"/>
      <c r="Q756" s="226"/>
      <c r="R756" s="68"/>
      <c r="V756" s="41"/>
    </row>
    <row r="757">
      <c r="J757" s="68"/>
      <c r="K757" s="79"/>
      <c r="L757" s="79"/>
      <c r="M757" s="226"/>
      <c r="N757" s="248"/>
      <c r="O757" s="226"/>
      <c r="P757" s="226"/>
      <c r="Q757" s="226"/>
      <c r="R757" s="68"/>
      <c r="V757" s="41"/>
    </row>
    <row r="758">
      <c r="J758" s="68"/>
      <c r="K758" s="79"/>
      <c r="L758" s="79"/>
      <c r="M758" s="226"/>
      <c r="N758" s="248"/>
      <c r="O758" s="226"/>
      <c r="P758" s="226"/>
      <c r="Q758" s="226"/>
      <c r="R758" s="68"/>
      <c r="V758" s="41"/>
    </row>
    <row r="759">
      <c r="J759" s="68"/>
      <c r="K759" s="79"/>
      <c r="L759" s="79"/>
      <c r="M759" s="226"/>
      <c r="N759" s="248"/>
      <c r="O759" s="226"/>
      <c r="P759" s="226"/>
      <c r="Q759" s="226"/>
      <c r="R759" s="68"/>
      <c r="V759" s="41"/>
    </row>
    <row r="760">
      <c r="J760" s="68"/>
      <c r="K760" s="79"/>
      <c r="L760" s="79"/>
      <c r="M760" s="226"/>
      <c r="N760" s="248"/>
      <c r="O760" s="226"/>
      <c r="P760" s="226"/>
      <c r="Q760" s="226"/>
      <c r="R760" s="68"/>
      <c r="V760" s="41"/>
    </row>
    <row r="761">
      <c r="J761" s="68"/>
      <c r="K761" s="79"/>
      <c r="L761" s="79"/>
      <c r="M761" s="226"/>
      <c r="N761" s="248"/>
      <c r="O761" s="226"/>
      <c r="P761" s="226"/>
      <c r="Q761" s="226"/>
      <c r="R761" s="68"/>
      <c r="V761" s="41"/>
    </row>
    <row r="762">
      <c r="J762" s="68"/>
      <c r="K762" s="79"/>
      <c r="L762" s="79"/>
      <c r="M762" s="226"/>
      <c r="N762" s="248"/>
      <c r="O762" s="226"/>
      <c r="P762" s="226"/>
      <c r="Q762" s="226"/>
      <c r="R762" s="68"/>
      <c r="V762" s="41"/>
    </row>
    <row r="763">
      <c r="J763" s="68"/>
      <c r="K763" s="79"/>
      <c r="L763" s="79"/>
      <c r="M763" s="226"/>
      <c r="N763" s="248"/>
      <c r="O763" s="226"/>
      <c r="P763" s="226"/>
      <c r="Q763" s="226"/>
      <c r="R763" s="68"/>
      <c r="V763" s="41"/>
    </row>
    <row r="764">
      <c r="J764" s="68"/>
      <c r="K764" s="79"/>
      <c r="L764" s="79"/>
      <c r="M764" s="226"/>
      <c r="N764" s="248"/>
      <c r="O764" s="226"/>
      <c r="P764" s="226"/>
      <c r="Q764" s="226"/>
      <c r="R764" s="68"/>
      <c r="V764" s="41"/>
    </row>
    <row r="765">
      <c r="J765" s="68"/>
      <c r="K765" s="79"/>
      <c r="L765" s="79"/>
      <c r="M765" s="226"/>
      <c r="N765" s="248"/>
      <c r="O765" s="226"/>
      <c r="P765" s="226"/>
      <c r="Q765" s="226"/>
      <c r="R765" s="68"/>
      <c r="V765" s="41"/>
    </row>
    <row r="766">
      <c r="J766" s="68"/>
      <c r="K766" s="79"/>
      <c r="L766" s="79"/>
      <c r="M766" s="226"/>
      <c r="N766" s="248"/>
      <c r="O766" s="226"/>
      <c r="P766" s="226"/>
      <c r="Q766" s="226"/>
      <c r="R766" s="68"/>
      <c r="V766" s="41"/>
    </row>
    <row r="767">
      <c r="J767" s="68"/>
      <c r="K767" s="79"/>
      <c r="L767" s="79"/>
      <c r="M767" s="226"/>
      <c r="N767" s="248"/>
      <c r="O767" s="226"/>
      <c r="P767" s="226"/>
      <c r="Q767" s="226"/>
      <c r="R767" s="68"/>
      <c r="V767" s="41"/>
    </row>
    <row r="768">
      <c r="J768" s="68"/>
      <c r="K768" s="79"/>
      <c r="L768" s="79"/>
      <c r="M768" s="226"/>
      <c r="N768" s="248"/>
      <c r="O768" s="226"/>
      <c r="P768" s="226"/>
      <c r="Q768" s="226"/>
      <c r="R768" s="68"/>
      <c r="V768" s="41"/>
    </row>
    <row r="769">
      <c r="J769" s="68"/>
      <c r="K769" s="79"/>
      <c r="L769" s="79"/>
      <c r="M769" s="226"/>
      <c r="N769" s="248"/>
      <c r="O769" s="226"/>
      <c r="P769" s="226"/>
      <c r="Q769" s="226"/>
      <c r="R769" s="68"/>
      <c r="V769" s="41"/>
    </row>
    <row r="770">
      <c r="J770" s="68"/>
      <c r="K770" s="79"/>
      <c r="L770" s="79"/>
      <c r="M770" s="226"/>
      <c r="N770" s="248"/>
      <c r="O770" s="226"/>
      <c r="P770" s="226"/>
      <c r="Q770" s="226"/>
      <c r="R770" s="68"/>
      <c r="V770" s="41"/>
    </row>
    <row r="771">
      <c r="J771" s="68"/>
      <c r="K771" s="79"/>
      <c r="L771" s="79"/>
      <c r="M771" s="226"/>
      <c r="N771" s="248"/>
      <c r="O771" s="226"/>
      <c r="P771" s="226"/>
      <c r="Q771" s="226"/>
      <c r="R771" s="68"/>
      <c r="V771" s="41"/>
    </row>
    <row r="772">
      <c r="J772" s="68"/>
      <c r="K772" s="79"/>
      <c r="L772" s="79"/>
      <c r="M772" s="226"/>
      <c r="N772" s="248"/>
      <c r="O772" s="226"/>
      <c r="P772" s="226"/>
      <c r="Q772" s="226"/>
      <c r="R772" s="68"/>
      <c r="V772" s="41"/>
    </row>
    <row r="773">
      <c r="J773" s="68"/>
      <c r="K773" s="79"/>
      <c r="L773" s="79"/>
      <c r="M773" s="226"/>
      <c r="N773" s="248"/>
      <c r="O773" s="226"/>
      <c r="P773" s="226"/>
      <c r="Q773" s="226"/>
      <c r="R773" s="68"/>
      <c r="V773" s="41"/>
    </row>
    <row r="774">
      <c r="J774" s="68"/>
      <c r="K774" s="79"/>
      <c r="L774" s="79"/>
      <c r="M774" s="226"/>
      <c r="N774" s="248"/>
      <c r="O774" s="226"/>
      <c r="P774" s="226"/>
      <c r="Q774" s="226"/>
      <c r="R774" s="68"/>
      <c r="V774" s="41"/>
    </row>
    <row r="775">
      <c r="J775" s="68"/>
      <c r="K775" s="79"/>
      <c r="L775" s="79"/>
      <c r="M775" s="226"/>
      <c r="N775" s="248"/>
      <c r="O775" s="226"/>
      <c r="P775" s="226"/>
      <c r="Q775" s="226"/>
      <c r="R775" s="68"/>
      <c r="V775" s="41"/>
    </row>
    <row r="776">
      <c r="J776" s="68"/>
      <c r="K776" s="79"/>
      <c r="L776" s="79"/>
      <c r="M776" s="226"/>
      <c r="N776" s="248"/>
      <c r="O776" s="226"/>
      <c r="P776" s="226"/>
      <c r="Q776" s="226"/>
      <c r="R776" s="68"/>
      <c r="V776" s="41"/>
    </row>
    <row r="777">
      <c r="J777" s="68"/>
      <c r="K777" s="79"/>
      <c r="L777" s="79"/>
      <c r="M777" s="226"/>
      <c r="N777" s="248"/>
      <c r="O777" s="226"/>
      <c r="P777" s="226"/>
      <c r="Q777" s="226"/>
      <c r="R777" s="68"/>
      <c r="V777" s="41"/>
    </row>
    <row r="778">
      <c r="J778" s="68"/>
      <c r="K778" s="79"/>
      <c r="L778" s="79"/>
      <c r="M778" s="226"/>
      <c r="N778" s="248"/>
      <c r="O778" s="226"/>
      <c r="P778" s="226"/>
      <c r="Q778" s="226"/>
      <c r="R778" s="68"/>
      <c r="V778" s="41"/>
    </row>
    <row r="779">
      <c r="J779" s="68"/>
      <c r="K779" s="79"/>
      <c r="L779" s="79"/>
      <c r="M779" s="226"/>
      <c r="N779" s="248"/>
      <c r="O779" s="226"/>
      <c r="P779" s="226"/>
      <c r="Q779" s="226"/>
      <c r="R779" s="68"/>
      <c r="V779" s="41"/>
    </row>
    <row r="780">
      <c r="J780" s="68"/>
      <c r="K780" s="79"/>
      <c r="L780" s="79"/>
      <c r="M780" s="226"/>
      <c r="N780" s="248"/>
      <c r="O780" s="226"/>
      <c r="P780" s="226"/>
      <c r="Q780" s="226"/>
      <c r="R780" s="68"/>
      <c r="V780" s="41"/>
    </row>
    <row r="781">
      <c r="J781" s="68"/>
      <c r="K781" s="79"/>
      <c r="L781" s="79"/>
      <c r="M781" s="226"/>
      <c r="N781" s="248"/>
      <c r="O781" s="226"/>
      <c r="P781" s="226"/>
      <c r="Q781" s="226"/>
      <c r="R781" s="68"/>
      <c r="V781" s="41"/>
    </row>
    <row r="782">
      <c r="J782" s="68"/>
      <c r="K782" s="79"/>
      <c r="L782" s="79"/>
      <c r="M782" s="226"/>
      <c r="N782" s="248"/>
      <c r="O782" s="226"/>
      <c r="P782" s="226"/>
      <c r="Q782" s="226"/>
      <c r="R782" s="68"/>
      <c r="V782" s="41"/>
    </row>
    <row r="783">
      <c r="J783" s="68"/>
      <c r="K783" s="79"/>
      <c r="L783" s="79"/>
      <c r="M783" s="226"/>
      <c r="N783" s="248"/>
      <c r="O783" s="226"/>
      <c r="P783" s="226"/>
      <c r="Q783" s="226"/>
      <c r="R783" s="68"/>
      <c r="V783" s="41"/>
    </row>
    <row r="784">
      <c r="J784" s="68"/>
      <c r="K784" s="79"/>
      <c r="L784" s="79"/>
      <c r="M784" s="226"/>
      <c r="N784" s="248"/>
      <c r="O784" s="226"/>
      <c r="P784" s="226"/>
      <c r="Q784" s="226"/>
      <c r="R784" s="68"/>
      <c r="V784" s="41"/>
    </row>
    <row r="785">
      <c r="J785" s="68"/>
      <c r="K785" s="79"/>
      <c r="L785" s="79"/>
      <c r="M785" s="226"/>
      <c r="N785" s="248"/>
      <c r="O785" s="226"/>
      <c r="P785" s="226"/>
      <c r="Q785" s="226"/>
      <c r="R785" s="68"/>
      <c r="V785" s="41"/>
    </row>
    <row r="786">
      <c r="J786" s="68"/>
      <c r="K786" s="79"/>
      <c r="L786" s="79"/>
      <c r="M786" s="226"/>
      <c r="N786" s="248"/>
      <c r="O786" s="226"/>
      <c r="P786" s="226"/>
      <c r="Q786" s="226"/>
      <c r="R786" s="68"/>
      <c r="V786" s="41"/>
    </row>
    <row r="787">
      <c r="J787" s="68"/>
      <c r="K787" s="79"/>
      <c r="L787" s="79"/>
      <c r="M787" s="226"/>
      <c r="N787" s="248"/>
      <c r="O787" s="226"/>
      <c r="P787" s="226"/>
      <c r="Q787" s="226"/>
      <c r="R787" s="68"/>
      <c r="V787" s="41"/>
    </row>
    <row r="788">
      <c r="J788" s="68"/>
      <c r="K788" s="79"/>
      <c r="L788" s="79"/>
      <c r="M788" s="226"/>
      <c r="N788" s="248"/>
      <c r="O788" s="226"/>
      <c r="P788" s="226"/>
      <c r="Q788" s="226"/>
      <c r="R788" s="68"/>
      <c r="V788" s="41"/>
    </row>
    <row r="789">
      <c r="J789" s="68"/>
      <c r="K789" s="79"/>
      <c r="L789" s="79"/>
      <c r="M789" s="226"/>
      <c r="N789" s="248"/>
      <c r="O789" s="226"/>
      <c r="P789" s="226"/>
      <c r="Q789" s="226"/>
      <c r="R789" s="68"/>
      <c r="V789" s="41"/>
    </row>
    <row r="790">
      <c r="J790" s="68"/>
      <c r="K790" s="79"/>
      <c r="L790" s="79"/>
      <c r="M790" s="226"/>
      <c r="N790" s="248"/>
      <c r="O790" s="226"/>
      <c r="P790" s="226"/>
      <c r="Q790" s="226"/>
      <c r="R790" s="68"/>
      <c r="V790" s="41"/>
    </row>
    <row r="791">
      <c r="J791" s="68"/>
      <c r="K791" s="79"/>
      <c r="L791" s="79"/>
      <c r="M791" s="226"/>
      <c r="N791" s="248"/>
      <c r="O791" s="226"/>
      <c r="P791" s="226"/>
      <c r="Q791" s="226"/>
      <c r="R791" s="68"/>
      <c r="V791" s="41"/>
    </row>
    <row r="792">
      <c r="J792" s="68"/>
      <c r="K792" s="79"/>
      <c r="L792" s="79"/>
      <c r="M792" s="226"/>
      <c r="N792" s="248"/>
      <c r="O792" s="226"/>
      <c r="P792" s="226"/>
      <c r="Q792" s="226"/>
      <c r="R792" s="68"/>
      <c r="V792" s="41"/>
    </row>
    <row r="793">
      <c r="J793" s="68"/>
      <c r="K793" s="79"/>
      <c r="L793" s="79"/>
      <c r="M793" s="226"/>
      <c r="N793" s="248"/>
      <c r="O793" s="226"/>
      <c r="P793" s="226"/>
      <c r="Q793" s="226"/>
      <c r="R793" s="68"/>
      <c r="V793" s="41"/>
    </row>
    <row r="794">
      <c r="J794" s="68"/>
      <c r="K794" s="79"/>
      <c r="L794" s="79"/>
      <c r="M794" s="226"/>
      <c r="N794" s="248"/>
      <c r="O794" s="226"/>
      <c r="P794" s="226"/>
      <c r="Q794" s="226"/>
      <c r="R794" s="68"/>
      <c r="V794" s="41"/>
    </row>
    <row r="795">
      <c r="J795" s="68"/>
      <c r="K795" s="79"/>
      <c r="L795" s="79"/>
      <c r="M795" s="226"/>
      <c r="N795" s="248"/>
      <c r="O795" s="226"/>
      <c r="P795" s="226"/>
      <c r="Q795" s="226"/>
      <c r="R795" s="68"/>
      <c r="V795" s="41"/>
    </row>
    <row r="796">
      <c r="J796" s="68"/>
      <c r="K796" s="79"/>
      <c r="L796" s="79"/>
      <c r="M796" s="226"/>
      <c r="N796" s="248"/>
      <c r="O796" s="226"/>
      <c r="P796" s="226"/>
      <c r="Q796" s="226"/>
      <c r="R796" s="68"/>
      <c r="V796" s="41"/>
    </row>
    <row r="797">
      <c r="J797" s="68"/>
      <c r="K797" s="79"/>
      <c r="L797" s="79"/>
      <c r="M797" s="226"/>
      <c r="N797" s="248"/>
      <c r="O797" s="226"/>
      <c r="P797" s="226"/>
      <c r="Q797" s="226"/>
      <c r="R797" s="68"/>
      <c r="V797" s="41"/>
    </row>
    <row r="798">
      <c r="J798" s="68"/>
      <c r="K798" s="79"/>
      <c r="L798" s="79"/>
      <c r="M798" s="226"/>
      <c r="N798" s="248"/>
      <c r="O798" s="226"/>
      <c r="P798" s="226"/>
      <c r="Q798" s="226"/>
      <c r="R798" s="68"/>
      <c r="V798" s="41"/>
    </row>
    <row r="799">
      <c r="J799" s="68"/>
      <c r="K799" s="79"/>
      <c r="L799" s="79"/>
      <c r="M799" s="226"/>
      <c r="N799" s="248"/>
      <c r="O799" s="226"/>
      <c r="P799" s="226"/>
      <c r="Q799" s="226"/>
      <c r="R799" s="68"/>
      <c r="V799" s="41"/>
    </row>
    <row r="800">
      <c r="J800" s="68"/>
      <c r="K800" s="79"/>
      <c r="L800" s="79"/>
      <c r="M800" s="226"/>
      <c r="N800" s="248"/>
      <c r="O800" s="226"/>
      <c r="P800" s="226"/>
      <c r="Q800" s="226"/>
      <c r="R800" s="68"/>
      <c r="V800" s="41"/>
    </row>
    <row r="801">
      <c r="J801" s="68"/>
      <c r="K801" s="79"/>
      <c r="L801" s="79"/>
      <c r="M801" s="226"/>
      <c r="N801" s="248"/>
      <c r="O801" s="226"/>
      <c r="P801" s="226"/>
      <c r="Q801" s="226"/>
      <c r="R801" s="68"/>
      <c r="V801" s="41"/>
    </row>
    <row r="802">
      <c r="J802" s="68"/>
      <c r="K802" s="79"/>
      <c r="L802" s="79"/>
      <c r="M802" s="226"/>
      <c r="N802" s="248"/>
      <c r="O802" s="226"/>
      <c r="P802" s="226"/>
      <c r="Q802" s="226"/>
      <c r="R802" s="68"/>
      <c r="V802" s="41"/>
    </row>
    <row r="803">
      <c r="J803" s="68"/>
      <c r="K803" s="79"/>
      <c r="L803" s="79"/>
      <c r="M803" s="226"/>
      <c r="N803" s="248"/>
      <c r="O803" s="226"/>
      <c r="P803" s="226"/>
      <c r="Q803" s="226"/>
      <c r="R803" s="68"/>
      <c r="V803" s="41"/>
    </row>
    <row r="804">
      <c r="J804" s="68"/>
      <c r="K804" s="79"/>
      <c r="L804" s="79"/>
      <c r="M804" s="226"/>
      <c r="N804" s="248"/>
      <c r="O804" s="226"/>
      <c r="P804" s="226"/>
      <c r="Q804" s="226"/>
      <c r="R804" s="68"/>
      <c r="V804" s="41"/>
    </row>
    <row r="805">
      <c r="J805" s="68"/>
      <c r="K805" s="79"/>
      <c r="L805" s="79"/>
      <c r="M805" s="226"/>
      <c r="N805" s="248"/>
      <c r="O805" s="226"/>
      <c r="P805" s="226"/>
      <c r="Q805" s="226"/>
      <c r="R805" s="68"/>
      <c r="V805" s="41"/>
    </row>
    <row r="806">
      <c r="J806" s="68"/>
      <c r="K806" s="79"/>
      <c r="L806" s="79"/>
      <c r="M806" s="226"/>
      <c r="N806" s="248"/>
      <c r="O806" s="226"/>
      <c r="P806" s="226"/>
      <c r="Q806" s="226"/>
      <c r="R806" s="68"/>
      <c r="V806" s="41"/>
    </row>
    <row r="807">
      <c r="J807" s="68"/>
      <c r="K807" s="79"/>
      <c r="L807" s="79"/>
      <c r="M807" s="226"/>
      <c r="N807" s="248"/>
      <c r="O807" s="226"/>
      <c r="P807" s="226"/>
      <c r="Q807" s="226"/>
      <c r="R807" s="68"/>
      <c r="V807" s="41"/>
    </row>
    <row r="808">
      <c r="J808" s="68"/>
      <c r="K808" s="79"/>
      <c r="L808" s="79"/>
      <c r="M808" s="226"/>
      <c r="N808" s="248"/>
      <c r="O808" s="226"/>
      <c r="P808" s="226"/>
      <c r="Q808" s="226"/>
      <c r="R808" s="68"/>
      <c r="V808" s="41"/>
    </row>
    <row r="809">
      <c r="J809" s="68"/>
      <c r="K809" s="79"/>
      <c r="L809" s="79"/>
      <c r="M809" s="226"/>
      <c r="N809" s="248"/>
      <c r="O809" s="226"/>
      <c r="P809" s="226"/>
      <c r="Q809" s="226"/>
      <c r="R809" s="68"/>
      <c r="V809" s="41"/>
    </row>
    <row r="810">
      <c r="J810" s="68"/>
      <c r="K810" s="79"/>
      <c r="L810" s="79"/>
      <c r="M810" s="226"/>
      <c r="N810" s="248"/>
      <c r="O810" s="226"/>
      <c r="P810" s="226"/>
      <c r="Q810" s="226"/>
      <c r="R810" s="68"/>
      <c r="V810" s="41"/>
    </row>
    <row r="811">
      <c r="J811" s="68"/>
      <c r="K811" s="79"/>
      <c r="L811" s="79"/>
      <c r="M811" s="226"/>
      <c r="N811" s="248"/>
      <c r="O811" s="226"/>
      <c r="P811" s="226"/>
      <c r="Q811" s="226"/>
      <c r="R811" s="68"/>
      <c r="V811" s="41"/>
    </row>
    <row r="812">
      <c r="J812" s="68"/>
      <c r="K812" s="79"/>
      <c r="L812" s="79"/>
      <c r="M812" s="226"/>
      <c r="N812" s="248"/>
      <c r="O812" s="226"/>
      <c r="P812" s="226"/>
      <c r="Q812" s="226"/>
      <c r="R812" s="68"/>
      <c r="V812" s="41"/>
    </row>
    <row r="813">
      <c r="J813" s="68"/>
      <c r="K813" s="79"/>
      <c r="L813" s="79"/>
      <c r="M813" s="226"/>
      <c r="N813" s="248"/>
      <c r="O813" s="226"/>
      <c r="P813" s="226"/>
      <c r="Q813" s="226"/>
      <c r="R813" s="68"/>
      <c r="V813" s="41"/>
    </row>
    <row r="814">
      <c r="J814" s="68"/>
      <c r="K814" s="79"/>
      <c r="L814" s="79"/>
      <c r="M814" s="226"/>
      <c r="N814" s="248"/>
      <c r="O814" s="226"/>
      <c r="P814" s="226"/>
      <c r="Q814" s="226"/>
      <c r="R814" s="68"/>
      <c r="V814" s="41"/>
    </row>
    <row r="815">
      <c r="J815" s="68"/>
      <c r="K815" s="79"/>
      <c r="L815" s="79"/>
      <c r="M815" s="226"/>
      <c r="N815" s="248"/>
      <c r="O815" s="226"/>
      <c r="P815" s="226"/>
      <c r="Q815" s="226"/>
      <c r="R815" s="68"/>
      <c r="V815" s="41"/>
    </row>
    <row r="816">
      <c r="J816" s="68"/>
      <c r="K816" s="79"/>
      <c r="L816" s="79"/>
      <c r="M816" s="226"/>
      <c r="N816" s="248"/>
      <c r="O816" s="226"/>
      <c r="P816" s="226"/>
      <c r="Q816" s="226"/>
      <c r="R816" s="68"/>
      <c r="V816" s="41"/>
    </row>
    <row r="817">
      <c r="J817" s="68"/>
      <c r="K817" s="79"/>
      <c r="L817" s="79"/>
      <c r="M817" s="226"/>
      <c r="N817" s="248"/>
      <c r="O817" s="226"/>
      <c r="P817" s="226"/>
      <c r="Q817" s="226"/>
      <c r="R817" s="68"/>
      <c r="V817" s="41"/>
    </row>
    <row r="818">
      <c r="J818" s="68"/>
      <c r="K818" s="79"/>
      <c r="L818" s="79"/>
      <c r="M818" s="226"/>
      <c r="N818" s="248"/>
      <c r="O818" s="226"/>
      <c r="P818" s="226"/>
      <c r="Q818" s="226"/>
      <c r="R818" s="68"/>
      <c r="V818" s="41"/>
    </row>
    <row r="819">
      <c r="J819" s="68"/>
      <c r="K819" s="79"/>
      <c r="L819" s="79"/>
      <c r="M819" s="226"/>
      <c r="N819" s="248"/>
      <c r="O819" s="226"/>
      <c r="P819" s="226"/>
      <c r="Q819" s="226"/>
      <c r="R819" s="68"/>
      <c r="V819" s="41"/>
    </row>
    <row r="820">
      <c r="J820" s="68"/>
      <c r="K820" s="79"/>
      <c r="L820" s="79"/>
      <c r="M820" s="226"/>
      <c r="N820" s="248"/>
      <c r="O820" s="226"/>
      <c r="P820" s="226"/>
      <c r="Q820" s="226"/>
      <c r="R820" s="68"/>
      <c r="V820" s="41"/>
    </row>
    <row r="821">
      <c r="J821" s="68"/>
      <c r="K821" s="79"/>
      <c r="L821" s="79"/>
      <c r="M821" s="226"/>
      <c r="N821" s="248"/>
      <c r="O821" s="226"/>
      <c r="P821" s="226"/>
      <c r="Q821" s="226"/>
      <c r="R821" s="68"/>
      <c r="V821" s="41"/>
    </row>
    <row r="822">
      <c r="J822" s="68"/>
      <c r="K822" s="79"/>
      <c r="L822" s="79"/>
      <c r="M822" s="226"/>
      <c r="N822" s="248"/>
      <c r="O822" s="226"/>
      <c r="P822" s="226"/>
      <c r="Q822" s="226"/>
      <c r="R822" s="68"/>
      <c r="V822" s="41"/>
    </row>
    <row r="823">
      <c r="J823" s="68"/>
      <c r="K823" s="79"/>
      <c r="L823" s="79"/>
      <c r="M823" s="226"/>
      <c r="N823" s="248"/>
      <c r="O823" s="226"/>
      <c r="P823" s="226"/>
      <c r="Q823" s="226"/>
      <c r="R823" s="68"/>
      <c r="V823" s="41"/>
    </row>
    <row r="824">
      <c r="J824" s="68"/>
      <c r="K824" s="79"/>
      <c r="L824" s="79"/>
      <c r="M824" s="226"/>
      <c r="N824" s="248"/>
      <c r="O824" s="226"/>
      <c r="P824" s="226"/>
      <c r="Q824" s="226"/>
      <c r="R824" s="68"/>
      <c r="V824" s="41"/>
    </row>
    <row r="825">
      <c r="J825" s="68"/>
      <c r="K825" s="79"/>
      <c r="L825" s="79"/>
      <c r="M825" s="226"/>
      <c r="N825" s="248"/>
      <c r="O825" s="226"/>
      <c r="P825" s="226"/>
      <c r="Q825" s="226"/>
      <c r="R825" s="68"/>
      <c r="V825" s="41"/>
    </row>
    <row r="826">
      <c r="J826" s="68"/>
      <c r="K826" s="79"/>
      <c r="L826" s="79"/>
      <c r="M826" s="226"/>
      <c r="N826" s="248"/>
      <c r="O826" s="226"/>
      <c r="P826" s="226"/>
      <c r="Q826" s="226"/>
      <c r="R826" s="68"/>
      <c r="V826" s="41"/>
    </row>
    <row r="827">
      <c r="J827" s="68"/>
      <c r="K827" s="79"/>
      <c r="L827" s="79"/>
      <c r="M827" s="226"/>
      <c r="N827" s="248"/>
      <c r="O827" s="226"/>
      <c r="P827" s="226"/>
      <c r="Q827" s="226"/>
      <c r="R827" s="68"/>
      <c r="V827" s="41"/>
    </row>
    <row r="828">
      <c r="J828" s="68"/>
      <c r="K828" s="79"/>
      <c r="L828" s="79"/>
      <c r="M828" s="226"/>
      <c r="N828" s="248"/>
      <c r="O828" s="226"/>
      <c r="P828" s="226"/>
      <c r="Q828" s="226"/>
      <c r="R828" s="68"/>
      <c r="V828" s="41"/>
    </row>
    <row r="829">
      <c r="J829" s="68"/>
      <c r="K829" s="79"/>
      <c r="L829" s="79"/>
      <c r="M829" s="226"/>
      <c r="N829" s="248"/>
      <c r="O829" s="226"/>
      <c r="P829" s="226"/>
      <c r="Q829" s="226"/>
      <c r="R829" s="68"/>
      <c r="V829" s="41"/>
    </row>
    <row r="830">
      <c r="J830" s="68"/>
      <c r="K830" s="79"/>
      <c r="L830" s="79"/>
      <c r="M830" s="226"/>
      <c r="N830" s="248"/>
      <c r="O830" s="226"/>
      <c r="P830" s="226"/>
      <c r="Q830" s="226"/>
      <c r="R830" s="68"/>
      <c r="V830" s="41"/>
    </row>
    <row r="831">
      <c r="J831" s="68"/>
      <c r="K831" s="79"/>
      <c r="L831" s="79"/>
      <c r="M831" s="226"/>
      <c r="N831" s="248"/>
      <c r="O831" s="226"/>
      <c r="P831" s="226"/>
      <c r="Q831" s="226"/>
      <c r="R831" s="68"/>
      <c r="V831" s="41"/>
    </row>
    <row r="832">
      <c r="J832" s="68"/>
      <c r="K832" s="79"/>
      <c r="L832" s="79"/>
      <c r="M832" s="226"/>
      <c r="N832" s="248"/>
      <c r="O832" s="226"/>
      <c r="P832" s="226"/>
      <c r="Q832" s="226"/>
      <c r="R832" s="68"/>
      <c r="V832" s="41"/>
    </row>
    <row r="833">
      <c r="J833" s="68"/>
      <c r="K833" s="79"/>
      <c r="L833" s="79"/>
      <c r="M833" s="226"/>
      <c r="N833" s="248"/>
      <c r="O833" s="226"/>
      <c r="P833" s="226"/>
      <c r="Q833" s="226"/>
      <c r="R833" s="68"/>
      <c r="V833" s="41"/>
    </row>
    <row r="834">
      <c r="J834" s="68"/>
      <c r="K834" s="79"/>
      <c r="L834" s="79"/>
      <c r="M834" s="226"/>
      <c r="N834" s="248"/>
      <c r="O834" s="226"/>
      <c r="P834" s="226"/>
      <c r="Q834" s="226"/>
      <c r="R834" s="68"/>
      <c r="V834" s="41"/>
    </row>
    <row r="835">
      <c r="J835" s="68"/>
      <c r="K835" s="79"/>
      <c r="L835" s="79"/>
      <c r="M835" s="226"/>
      <c r="N835" s="248"/>
      <c r="O835" s="226"/>
      <c r="P835" s="226"/>
      <c r="Q835" s="226"/>
      <c r="R835" s="68"/>
      <c r="V835" s="41"/>
    </row>
    <row r="836">
      <c r="J836" s="68"/>
      <c r="K836" s="79"/>
      <c r="L836" s="79"/>
      <c r="M836" s="226"/>
      <c r="N836" s="248"/>
      <c r="O836" s="226"/>
      <c r="P836" s="226"/>
      <c r="Q836" s="226"/>
      <c r="R836" s="68"/>
      <c r="V836" s="41"/>
    </row>
    <row r="837">
      <c r="J837" s="68"/>
      <c r="K837" s="79"/>
      <c r="L837" s="79"/>
      <c r="M837" s="226"/>
      <c r="N837" s="248"/>
      <c r="O837" s="226"/>
      <c r="P837" s="226"/>
      <c r="Q837" s="226"/>
      <c r="R837" s="68"/>
      <c r="V837" s="41"/>
    </row>
    <row r="838">
      <c r="J838" s="68"/>
      <c r="K838" s="79"/>
      <c r="L838" s="79"/>
      <c r="M838" s="226"/>
      <c r="N838" s="248"/>
      <c r="O838" s="226"/>
      <c r="P838" s="226"/>
      <c r="Q838" s="226"/>
      <c r="R838" s="68"/>
      <c r="V838" s="41"/>
    </row>
    <row r="839">
      <c r="J839" s="68"/>
      <c r="K839" s="79"/>
      <c r="L839" s="79"/>
      <c r="M839" s="226"/>
      <c r="N839" s="248"/>
      <c r="O839" s="226"/>
      <c r="P839" s="226"/>
      <c r="Q839" s="226"/>
      <c r="R839" s="68"/>
      <c r="V839" s="41"/>
    </row>
    <row r="840">
      <c r="J840" s="68"/>
      <c r="K840" s="79"/>
      <c r="L840" s="79"/>
      <c r="M840" s="226"/>
      <c r="N840" s="248"/>
      <c r="O840" s="226"/>
      <c r="P840" s="226"/>
      <c r="Q840" s="226"/>
      <c r="R840" s="68"/>
      <c r="V840" s="41"/>
    </row>
    <row r="841">
      <c r="J841" s="68"/>
      <c r="K841" s="79"/>
      <c r="L841" s="79"/>
      <c r="M841" s="226"/>
      <c r="N841" s="248"/>
      <c r="O841" s="226"/>
      <c r="P841" s="226"/>
      <c r="Q841" s="226"/>
      <c r="R841" s="68"/>
      <c r="V841" s="41"/>
    </row>
    <row r="842">
      <c r="J842" s="68"/>
      <c r="K842" s="79"/>
      <c r="L842" s="79"/>
      <c r="M842" s="226"/>
      <c r="N842" s="248"/>
      <c r="O842" s="226"/>
      <c r="P842" s="226"/>
      <c r="Q842" s="226"/>
      <c r="R842" s="68"/>
      <c r="V842" s="41"/>
    </row>
    <row r="843">
      <c r="J843" s="68"/>
      <c r="K843" s="79"/>
      <c r="L843" s="79"/>
      <c r="M843" s="226"/>
      <c r="N843" s="248"/>
      <c r="O843" s="226"/>
      <c r="P843" s="226"/>
      <c r="Q843" s="226"/>
      <c r="R843" s="68"/>
      <c r="V843" s="41"/>
    </row>
    <row r="844">
      <c r="J844" s="68"/>
      <c r="K844" s="79"/>
      <c r="L844" s="79"/>
      <c r="M844" s="226"/>
      <c r="N844" s="248"/>
      <c r="O844" s="226"/>
      <c r="P844" s="226"/>
      <c r="Q844" s="226"/>
      <c r="R844" s="68"/>
      <c r="V844" s="41"/>
    </row>
    <row r="845">
      <c r="J845" s="68"/>
      <c r="K845" s="79"/>
      <c r="L845" s="79"/>
      <c r="M845" s="226"/>
      <c r="N845" s="248"/>
      <c r="O845" s="226"/>
      <c r="P845" s="226"/>
      <c r="Q845" s="226"/>
      <c r="R845" s="68"/>
      <c r="V845" s="41"/>
    </row>
    <row r="846">
      <c r="J846" s="68"/>
      <c r="K846" s="79"/>
      <c r="L846" s="79"/>
      <c r="M846" s="226"/>
      <c r="N846" s="248"/>
      <c r="O846" s="226"/>
      <c r="P846" s="226"/>
      <c r="Q846" s="226"/>
      <c r="R846" s="68"/>
      <c r="V846" s="41"/>
    </row>
    <row r="847">
      <c r="J847" s="68"/>
      <c r="K847" s="79"/>
      <c r="L847" s="79"/>
      <c r="M847" s="226"/>
      <c r="N847" s="248"/>
      <c r="O847" s="226"/>
      <c r="P847" s="226"/>
      <c r="Q847" s="226"/>
      <c r="R847" s="68"/>
      <c r="V847" s="41"/>
    </row>
    <row r="848">
      <c r="J848" s="68"/>
      <c r="K848" s="79"/>
      <c r="L848" s="79"/>
      <c r="M848" s="226"/>
      <c r="N848" s="248"/>
      <c r="O848" s="226"/>
      <c r="P848" s="226"/>
      <c r="Q848" s="226"/>
      <c r="R848" s="68"/>
      <c r="V848" s="41"/>
    </row>
    <row r="849">
      <c r="J849" s="68"/>
      <c r="K849" s="79"/>
      <c r="L849" s="79"/>
      <c r="M849" s="226"/>
      <c r="N849" s="248"/>
      <c r="O849" s="226"/>
      <c r="P849" s="226"/>
      <c r="Q849" s="226"/>
      <c r="R849" s="68"/>
      <c r="V849" s="41"/>
    </row>
    <row r="850">
      <c r="J850" s="68"/>
      <c r="K850" s="79"/>
      <c r="L850" s="79"/>
      <c r="M850" s="226"/>
      <c r="N850" s="248"/>
      <c r="O850" s="226"/>
      <c r="P850" s="226"/>
      <c r="Q850" s="226"/>
      <c r="R850" s="68"/>
      <c r="V850" s="41"/>
    </row>
    <row r="851">
      <c r="J851" s="68"/>
      <c r="K851" s="79"/>
      <c r="L851" s="79"/>
      <c r="M851" s="226"/>
      <c r="N851" s="248"/>
      <c r="O851" s="226"/>
      <c r="P851" s="226"/>
      <c r="Q851" s="226"/>
      <c r="R851" s="68"/>
      <c r="V851" s="41"/>
    </row>
    <row r="852">
      <c r="J852" s="68"/>
      <c r="K852" s="79"/>
      <c r="L852" s="79"/>
      <c r="M852" s="226"/>
      <c r="N852" s="248"/>
      <c r="O852" s="226"/>
      <c r="P852" s="226"/>
      <c r="Q852" s="226"/>
      <c r="R852" s="68"/>
      <c r="V852" s="41"/>
    </row>
    <row r="853">
      <c r="J853" s="68"/>
      <c r="K853" s="79"/>
      <c r="L853" s="79"/>
      <c r="M853" s="226"/>
      <c r="N853" s="248"/>
      <c r="O853" s="226"/>
      <c r="P853" s="226"/>
      <c r="Q853" s="226"/>
      <c r="R853" s="68"/>
      <c r="V853" s="41"/>
    </row>
    <row r="854">
      <c r="J854" s="68"/>
      <c r="K854" s="79"/>
      <c r="L854" s="79"/>
      <c r="M854" s="226"/>
      <c r="N854" s="248"/>
      <c r="O854" s="226"/>
      <c r="P854" s="226"/>
      <c r="Q854" s="226"/>
      <c r="R854" s="68"/>
      <c r="V854" s="41"/>
    </row>
    <row r="855">
      <c r="J855" s="68"/>
      <c r="K855" s="79"/>
      <c r="L855" s="79"/>
      <c r="M855" s="226"/>
      <c r="N855" s="248"/>
      <c r="O855" s="226"/>
      <c r="P855" s="226"/>
      <c r="Q855" s="226"/>
      <c r="R855" s="68"/>
      <c r="V855" s="41"/>
    </row>
    <row r="856">
      <c r="J856" s="68"/>
      <c r="K856" s="79"/>
      <c r="L856" s="79"/>
      <c r="M856" s="226"/>
      <c r="N856" s="248"/>
      <c r="O856" s="226"/>
      <c r="P856" s="226"/>
      <c r="Q856" s="226"/>
      <c r="R856" s="68"/>
      <c r="V856" s="41"/>
    </row>
    <row r="857">
      <c r="J857" s="68"/>
      <c r="K857" s="79"/>
      <c r="L857" s="79"/>
      <c r="M857" s="226"/>
      <c r="N857" s="248"/>
      <c r="O857" s="226"/>
      <c r="P857" s="226"/>
      <c r="Q857" s="226"/>
      <c r="R857" s="68"/>
      <c r="V857" s="41"/>
    </row>
    <row r="858">
      <c r="J858" s="68"/>
      <c r="K858" s="79"/>
      <c r="L858" s="79"/>
      <c r="M858" s="226"/>
      <c r="N858" s="248"/>
      <c r="O858" s="226"/>
      <c r="P858" s="226"/>
      <c r="Q858" s="226"/>
      <c r="R858" s="68"/>
      <c r="V858" s="41"/>
    </row>
    <row r="859">
      <c r="J859" s="68"/>
      <c r="K859" s="79"/>
      <c r="L859" s="79"/>
      <c r="M859" s="226"/>
      <c r="N859" s="248"/>
      <c r="O859" s="226"/>
      <c r="P859" s="226"/>
      <c r="Q859" s="226"/>
      <c r="R859" s="68"/>
      <c r="V859" s="41"/>
    </row>
    <row r="860">
      <c r="J860" s="68"/>
      <c r="K860" s="79"/>
      <c r="L860" s="79"/>
      <c r="M860" s="226"/>
      <c r="N860" s="248"/>
      <c r="O860" s="226"/>
      <c r="P860" s="226"/>
      <c r="Q860" s="226"/>
      <c r="R860" s="68"/>
      <c r="V860" s="41"/>
    </row>
    <row r="861">
      <c r="J861" s="68"/>
      <c r="K861" s="79"/>
      <c r="L861" s="79"/>
      <c r="M861" s="226"/>
      <c r="N861" s="248"/>
      <c r="O861" s="226"/>
      <c r="P861" s="226"/>
      <c r="Q861" s="226"/>
      <c r="R861" s="68"/>
      <c r="V861" s="41"/>
    </row>
    <row r="862">
      <c r="J862" s="68"/>
      <c r="K862" s="79"/>
      <c r="L862" s="79"/>
      <c r="M862" s="226"/>
      <c r="N862" s="248"/>
      <c r="O862" s="226"/>
      <c r="P862" s="226"/>
      <c r="Q862" s="226"/>
      <c r="R862" s="68"/>
      <c r="V862" s="41"/>
    </row>
    <row r="863">
      <c r="J863" s="68"/>
      <c r="K863" s="79"/>
      <c r="L863" s="79"/>
      <c r="M863" s="226"/>
      <c r="N863" s="248"/>
      <c r="O863" s="226"/>
      <c r="P863" s="226"/>
      <c r="Q863" s="226"/>
      <c r="R863" s="68"/>
      <c r="V863" s="41"/>
    </row>
    <row r="864">
      <c r="J864" s="68"/>
      <c r="K864" s="79"/>
      <c r="L864" s="79"/>
      <c r="M864" s="226"/>
      <c r="N864" s="248"/>
      <c r="O864" s="226"/>
      <c r="P864" s="226"/>
      <c r="Q864" s="226"/>
      <c r="R864" s="68"/>
      <c r="V864" s="41"/>
    </row>
    <row r="865">
      <c r="J865" s="68"/>
      <c r="K865" s="79"/>
      <c r="L865" s="79"/>
      <c r="M865" s="226"/>
      <c r="N865" s="248"/>
      <c r="O865" s="226"/>
      <c r="P865" s="226"/>
      <c r="Q865" s="226"/>
      <c r="R865" s="68"/>
      <c r="V865" s="41"/>
    </row>
    <row r="866">
      <c r="J866" s="68"/>
      <c r="K866" s="79"/>
      <c r="L866" s="79"/>
      <c r="M866" s="226"/>
      <c r="N866" s="248"/>
      <c r="O866" s="226"/>
      <c r="P866" s="226"/>
      <c r="Q866" s="226"/>
      <c r="R866" s="68"/>
      <c r="V866" s="41"/>
    </row>
    <row r="867">
      <c r="J867" s="68"/>
      <c r="K867" s="79"/>
      <c r="L867" s="79"/>
      <c r="M867" s="226"/>
      <c r="N867" s="248"/>
      <c r="O867" s="226"/>
      <c r="P867" s="226"/>
      <c r="Q867" s="226"/>
      <c r="R867" s="68"/>
      <c r="V867" s="41"/>
    </row>
    <row r="868">
      <c r="J868" s="68"/>
      <c r="K868" s="79"/>
      <c r="L868" s="79"/>
      <c r="M868" s="226"/>
      <c r="N868" s="248"/>
      <c r="O868" s="226"/>
      <c r="P868" s="226"/>
      <c r="Q868" s="226"/>
      <c r="R868" s="68"/>
      <c r="V868" s="41"/>
    </row>
    <row r="869">
      <c r="J869" s="68"/>
      <c r="K869" s="79"/>
      <c r="L869" s="79"/>
      <c r="M869" s="226"/>
      <c r="N869" s="248"/>
      <c r="O869" s="226"/>
      <c r="P869" s="226"/>
      <c r="Q869" s="226"/>
      <c r="R869" s="68"/>
      <c r="V869" s="41"/>
    </row>
    <row r="870">
      <c r="J870" s="68"/>
      <c r="K870" s="79"/>
      <c r="L870" s="79"/>
      <c r="M870" s="226"/>
      <c r="N870" s="248"/>
      <c r="O870" s="226"/>
      <c r="P870" s="226"/>
      <c r="Q870" s="226"/>
      <c r="R870" s="68"/>
      <c r="V870" s="41"/>
    </row>
    <row r="871">
      <c r="J871" s="68"/>
      <c r="K871" s="79"/>
      <c r="L871" s="79"/>
      <c r="M871" s="226"/>
      <c r="N871" s="248"/>
      <c r="O871" s="226"/>
      <c r="P871" s="226"/>
      <c r="Q871" s="226"/>
      <c r="R871" s="68"/>
      <c r="V871" s="41"/>
    </row>
    <row r="872">
      <c r="J872" s="68"/>
      <c r="K872" s="79"/>
      <c r="L872" s="79"/>
      <c r="M872" s="226"/>
      <c r="N872" s="248"/>
      <c r="O872" s="226"/>
      <c r="P872" s="226"/>
      <c r="Q872" s="226"/>
      <c r="R872" s="68"/>
      <c r="V872" s="41"/>
    </row>
    <row r="873">
      <c r="J873" s="68"/>
      <c r="K873" s="79"/>
      <c r="L873" s="79"/>
      <c r="M873" s="226"/>
      <c r="N873" s="248"/>
      <c r="O873" s="226"/>
      <c r="P873" s="226"/>
      <c r="Q873" s="226"/>
      <c r="R873" s="68"/>
      <c r="V873" s="41"/>
    </row>
    <row r="874">
      <c r="J874" s="68"/>
      <c r="K874" s="79"/>
      <c r="L874" s="79"/>
      <c r="M874" s="226"/>
      <c r="N874" s="248"/>
      <c r="O874" s="226"/>
      <c r="P874" s="226"/>
      <c r="Q874" s="226"/>
      <c r="R874" s="68"/>
      <c r="V874" s="41"/>
    </row>
    <row r="875">
      <c r="J875" s="68"/>
      <c r="K875" s="79"/>
      <c r="L875" s="79"/>
      <c r="M875" s="226"/>
      <c r="N875" s="248"/>
      <c r="O875" s="226"/>
      <c r="P875" s="226"/>
      <c r="Q875" s="226"/>
      <c r="R875" s="68"/>
      <c r="V875" s="41"/>
    </row>
    <row r="876">
      <c r="J876" s="68"/>
      <c r="K876" s="79"/>
      <c r="L876" s="79"/>
      <c r="M876" s="226"/>
      <c r="N876" s="248"/>
      <c r="O876" s="226"/>
      <c r="P876" s="226"/>
      <c r="Q876" s="226"/>
      <c r="R876" s="68"/>
      <c r="V876" s="41"/>
    </row>
    <row r="877">
      <c r="J877" s="68"/>
      <c r="K877" s="79"/>
      <c r="L877" s="79"/>
      <c r="M877" s="226"/>
      <c r="N877" s="248"/>
      <c r="O877" s="226"/>
      <c r="P877" s="226"/>
      <c r="Q877" s="226"/>
      <c r="R877" s="68"/>
      <c r="V877" s="41"/>
    </row>
    <row r="878">
      <c r="J878" s="68"/>
      <c r="K878" s="79"/>
      <c r="L878" s="79"/>
      <c r="M878" s="226"/>
      <c r="N878" s="248"/>
      <c r="O878" s="226"/>
      <c r="P878" s="226"/>
      <c r="Q878" s="226"/>
      <c r="R878" s="68"/>
      <c r="V878" s="41"/>
    </row>
    <row r="879">
      <c r="J879" s="68"/>
      <c r="K879" s="79"/>
      <c r="L879" s="79"/>
      <c r="M879" s="226"/>
      <c r="N879" s="248"/>
      <c r="O879" s="226"/>
      <c r="P879" s="226"/>
      <c r="Q879" s="226"/>
      <c r="R879" s="68"/>
      <c r="V879" s="41"/>
    </row>
    <row r="880">
      <c r="J880" s="68"/>
      <c r="K880" s="79"/>
      <c r="L880" s="79"/>
      <c r="M880" s="226"/>
      <c r="N880" s="248"/>
      <c r="O880" s="226"/>
      <c r="P880" s="226"/>
      <c r="Q880" s="226"/>
      <c r="R880" s="68"/>
      <c r="V880" s="41"/>
    </row>
    <row r="881">
      <c r="J881" s="68"/>
      <c r="K881" s="79"/>
      <c r="L881" s="79"/>
      <c r="M881" s="226"/>
      <c r="N881" s="248"/>
      <c r="O881" s="226"/>
      <c r="P881" s="226"/>
      <c r="Q881" s="226"/>
      <c r="R881" s="68"/>
      <c r="V881" s="41"/>
    </row>
    <row r="882">
      <c r="J882" s="68"/>
      <c r="K882" s="79"/>
      <c r="L882" s="79"/>
      <c r="M882" s="226"/>
      <c r="N882" s="248"/>
      <c r="O882" s="226"/>
      <c r="P882" s="226"/>
      <c r="Q882" s="226"/>
      <c r="R882" s="68"/>
      <c r="V882" s="41"/>
    </row>
    <row r="883">
      <c r="J883" s="68"/>
      <c r="K883" s="79"/>
      <c r="L883" s="79"/>
      <c r="M883" s="226"/>
      <c r="N883" s="248"/>
      <c r="O883" s="226"/>
      <c r="P883" s="226"/>
      <c r="Q883" s="226"/>
      <c r="R883" s="68"/>
      <c r="V883" s="41"/>
    </row>
    <row r="884">
      <c r="J884" s="68"/>
      <c r="K884" s="79"/>
      <c r="L884" s="79"/>
      <c r="M884" s="226"/>
      <c r="N884" s="248"/>
      <c r="O884" s="226"/>
      <c r="P884" s="226"/>
      <c r="Q884" s="226"/>
      <c r="R884" s="68"/>
      <c r="V884" s="41"/>
    </row>
    <row r="885">
      <c r="J885" s="68"/>
      <c r="K885" s="79"/>
      <c r="L885" s="79"/>
      <c r="M885" s="226"/>
      <c r="N885" s="248"/>
      <c r="O885" s="226"/>
      <c r="P885" s="226"/>
      <c r="Q885" s="226"/>
      <c r="R885" s="68"/>
      <c r="V885" s="41"/>
    </row>
    <row r="886">
      <c r="J886" s="68"/>
      <c r="K886" s="79"/>
      <c r="L886" s="79"/>
      <c r="M886" s="226"/>
      <c r="N886" s="248"/>
      <c r="O886" s="226"/>
      <c r="P886" s="226"/>
      <c r="Q886" s="226"/>
      <c r="R886" s="68"/>
      <c r="V886" s="41"/>
    </row>
    <row r="887">
      <c r="J887" s="68"/>
      <c r="K887" s="79"/>
      <c r="L887" s="79"/>
      <c r="M887" s="226"/>
      <c r="N887" s="248"/>
      <c r="O887" s="226"/>
      <c r="P887" s="226"/>
      <c r="Q887" s="226"/>
      <c r="R887" s="68"/>
      <c r="V887" s="41"/>
    </row>
    <row r="888">
      <c r="J888" s="68"/>
      <c r="K888" s="79"/>
      <c r="L888" s="79"/>
      <c r="M888" s="226"/>
      <c r="N888" s="248"/>
      <c r="O888" s="226"/>
      <c r="P888" s="226"/>
      <c r="Q888" s="226"/>
      <c r="R888" s="68"/>
      <c r="V888" s="41"/>
    </row>
    <row r="889">
      <c r="J889" s="68"/>
      <c r="K889" s="79"/>
      <c r="L889" s="79"/>
      <c r="M889" s="226"/>
      <c r="N889" s="248"/>
      <c r="O889" s="226"/>
      <c r="P889" s="226"/>
      <c r="Q889" s="226"/>
      <c r="R889" s="68"/>
      <c r="V889" s="41"/>
    </row>
    <row r="890">
      <c r="J890" s="68"/>
      <c r="K890" s="79"/>
      <c r="L890" s="79"/>
      <c r="M890" s="226"/>
      <c r="N890" s="248"/>
      <c r="O890" s="226"/>
      <c r="P890" s="226"/>
      <c r="Q890" s="226"/>
      <c r="R890" s="68"/>
      <c r="V890" s="41"/>
    </row>
    <row r="891">
      <c r="J891" s="68"/>
      <c r="K891" s="79"/>
      <c r="L891" s="79"/>
      <c r="M891" s="226"/>
      <c r="N891" s="248"/>
      <c r="O891" s="226"/>
      <c r="P891" s="226"/>
      <c r="Q891" s="226"/>
      <c r="R891" s="68"/>
      <c r="V891" s="41"/>
    </row>
    <row r="892">
      <c r="J892" s="68"/>
      <c r="K892" s="79"/>
      <c r="L892" s="79"/>
      <c r="M892" s="226"/>
      <c r="N892" s="248"/>
      <c r="O892" s="226"/>
      <c r="P892" s="226"/>
      <c r="Q892" s="226"/>
      <c r="R892" s="68"/>
      <c r="V892" s="41"/>
    </row>
    <row r="893">
      <c r="J893" s="68"/>
      <c r="K893" s="79"/>
      <c r="L893" s="79"/>
      <c r="M893" s="226"/>
      <c r="N893" s="248"/>
      <c r="O893" s="226"/>
      <c r="P893" s="226"/>
      <c r="Q893" s="226"/>
      <c r="R893" s="68"/>
      <c r="V893" s="41"/>
    </row>
    <row r="894">
      <c r="J894" s="68"/>
      <c r="K894" s="79"/>
      <c r="L894" s="79"/>
      <c r="M894" s="226"/>
      <c r="N894" s="248"/>
      <c r="O894" s="226"/>
      <c r="P894" s="226"/>
      <c r="Q894" s="226"/>
      <c r="R894" s="68"/>
      <c r="V894" s="41"/>
    </row>
    <row r="895">
      <c r="J895" s="68"/>
      <c r="K895" s="79"/>
      <c r="L895" s="79"/>
      <c r="M895" s="226"/>
      <c r="N895" s="248"/>
      <c r="O895" s="226"/>
      <c r="P895" s="226"/>
      <c r="Q895" s="226"/>
      <c r="R895" s="68"/>
      <c r="V895" s="41"/>
    </row>
    <row r="896">
      <c r="J896" s="68"/>
      <c r="K896" s="79"/>
      <c r="L896" s="79"/>
      <c r="M896" s="226"/>
      <c r="N896" s="248"/>
      <c r="O896" s="226"/>
      <c r="P896" s="226"/>
      <c r="Q896" s="226"/>
      <c r="R896" s="68"/>
      <c r="V896" s="41"/>
    </row>
    <row r="897">
      <c r="J897" s="68"/>
      <c r="K897" s="79"/>
      <c r="L897" s="79"/>
      <c r="M897" s="226"/>
      <c r="N897" s="248"/>
      <c r="O897" s="226"/>
      <c r="P897" s="226"/>
      <c r="Q897" s="226"/>
      <c r="R897" s="68"/>
      <c r="V897" s="41"/>
    </row>
    <row r="898">
      <c r="J898" s="68"/>
      <c r="K898" s="79"/>
      <c r="L898" s="79"/>
      <c r="M898" s="226"/>
      <c r="N898" s="248"/>
      <c r="O898" s="226"/>
      <c r="P898" s="226"/>
      <c r="Q898" s="226"/>
      <c r="R898" s="68"/>
      <c r="V898" s="41"/>
    </row>
    <row r="899">
      <c r="J899" s="68"/>
      <c r="K899" s="79"/>
      <c r="L899" s="79"/>
      <c r="M899" s="226"/>
      <c r="N899" s="248"/>
      <c r="O899" s="226"/>
      <c r="P899" s="226"/>
      <c r="Q899" s="226"/>
      <c r="R899" s="68"/>
      <c r="V899" s="41"/>
    </row>
    <row r="900">
      <c r="J900" s="68"/>
      <c r="K900" s="79"/>
      <c r="L900" s="79"/>
      <c r="M900" s="226"/>
      <c r="N900" s="248"/>
      <c r="O900" s="226"/>
      <c r="P900" s="226"/>
      <c r="Q900" s="226"/>
      <c r="R900" s="68"/>
      <c r="V900" s="41"/>
    </row>
    <row r="901">
      <c r="J901" s="68"/>
      <c r="K901" s="79"/>
      <c r="L901" s="79"/>
      <c r="M901" s="226"/>
      <c r="N901" s="248"/>
      <c r="O901" s="226"/>
      <c r="P901" s="226"/>
      <c r="Q901" s="226"/>
      <c r="R901" s="68"/>
      <c r="V901" s="41"/>
    </row>
    <row r="902">
      <c r="J902" s="68"/>
      <c r="K902" s="79"/>
      <c r="L902" s="79"/>
      <c r="M902" s="226"/>
      <c r="N902" s="248"/>
      <c r="O902" s="226"/>
      <c r="P902" s="226"/>
      <c r="Q902" s="226"/>
      <c r="R902" s="68"/>
      <c r="V902" s="41"/>
    </row>
    <row r="903">
      <c r="J903" s="68"/>
      <c r="K903" s="79"/>
      <c r="L903" s="79"/>
      <c r="M903" s="226"/>
      <c r="N903" s="248"/>
      <c r="O903" s="226"/>
      <c r="P903" s="226"/>
      <c r="Q903" s="226"/>
      <c r="R903" s="68"/>
      <c r="V903" s="41"/>
    </row>
    <row r="904">
      <c r="J904" s="68"/>
      <c r="K904" s="79"/>
      <c r="L904" s="79"/>
      <c r="M904" s="226"/>
      <c r="N904" s="248"/>
      <c r="O904" s="226"/>
      <c r="P904" s="226"/>
      <c r="Q904" s="226"/>
      <c r="R904" s="68"/>
      <c r="V904" s="41"/>
    </row>
    <row r="905">
      <c r="J905" s="68"/>
      <c r="K905" s="79"/>
      <c r="L905" s="79"/>
      <c r="M905" s="226"/>
      <c r="N905" s="248"/>
      <c r="O905" s="226"/>
      <c r="P905" s="226"/>
      <c r="Q905" s="226"/>
      <c r="R905" s="68"/>
      <c r="V905" s="41"/>
    </row>
    <row r="906">
      <c r="J906" s="68"/>
      <c r="K906" s="79"/>
      <c r="L906" s="79"/>
      <c r="M906" s="226"/>
      <c r="N906" s="248"/>
      <c r="O906" s="226"/>
      <c r="P906" s="226"/>
      <c r="Q906" s="226"/>
      <c r="R906" s="68"/>
      <c r="V906" s="41"/>
    </row>
    <row r="907">
      <c r="J907" s="68"/>
      <c r="K907" s="79"/>
      <c r="L907" s="79"/>
      <c r="M907" s="226"/>
      <c r="N907" s="248"/>
      <c r="O907" s="226"/>
      <c r="P907" s="226"/>
      <c r="Q907" s="226"/>
      <c r="R907" s="68"/>
      <c r="V907" s="41"/>
    </row>
    <row r="908">
      <c r="J908" s="68"/>
      <c r="K908" s="79"/>
      <c r="L908" s="79"/>
      <c r="M908" s="226"/>
      <c r="N908" s="248"/>
      <c r="O908" s="226"/>
      <c r="P908" s="226"/>
      <c r="Q908" s="226"/>
      <c r="R908" s="68"/>
      <c r="V908" s="41"/>
    </row>
    <row r="909">
      <c r="J909" s="68"/>
      <c r="K909" s="79"/>
      <c r="L909" s="79"/>
      <c r="M909" s="226"/>
      <c r="N909" s="248"/>
      <c r="O909" s="226"/>
      <c r="P909" s="226"/>
      <c r="Q909" s="226"/>
      <c r="R909" s="68"/>
      <c r="V909" s="41"/>
    </row>
    <row r="910">
      <c r="J910" s="68"/>
      <c r="K910" s="79"/>
      <c r="L910" s="79"/>
      <c r="M910" s="226"/>
      <c r="N910" s="248"/>
      <c r="O910" s="226"/>
      <c r="P910" s="226"/>
      <c r="Q910" s="226"/>
      <c r="R910" s="68"/>
      <c r="V910" s="41"/>
    </row>
    <row r="911">
      <c r="J911" s="68"/>
      <c r="K911" s="79"/>
      <c r="L911" s="79"/>
      <c r="M911" s="226"/>
      <c r="N911" s="248"/>
      <c r="O911" s="226"/>
      <c r="P911" s="226"/>
      <c r="Q911" s="226"/>
      <c r="R911" s="68"/>
      <c r="V911" s="41"/>
    </row>
    <row r="912">
      <c r="J912" s="68"/>
      <c r="K912" s="79"/>
      <c r="L912" s="79"/>
      <c r="M912" s="226"/>
      <c r="N912" s="248"/>
      <c r="O912" s="226"/>
      <c r="P912" s="226"/>
      <c r="Q912" s="226"/>
      <c r="R912" s="68"/>
      <c r="V912" s="41"/>
    </row>
    <row r="913">
      <c r="J913" s="68"/>
      <c r="K913" s="79"/>
      <c r="L913" s="79"/>
      <c r="M913" s="226"/>
      <c r="N913" s="248"/>
      <c r="O913" s="226"/>
      <c r="P913" s="226"/>
      <c r="Q913" s="226"/>
      <c r="R913" s="68"/>
      <c r="V913" s="41"/>
    </row>
    <row r="914">
      <c r="J914" s="68"/>
      <c r="K914" s="79"/>
      <c r="L914" s="79"/>
      <c r="M914" s="226"/>
      <c r="N914" s="248"/>
      <c r="O914" s="226"/>
      <c r="P914" s="226"/>
      <c r="Q914" s="226"/>
      <c r="R914" s="68"/>
      <c r="V914" s="41"/>
    </row>
    <row r="915">
      <c r="J915" s="68"/>
      <c r="K915" s="79"/>
      <c r="L915" s="79"/>
      <c r="M915" s="226"/>
      <c r="N915" s="248"/>
      <c r="O915" s="226"/>
      <c r="P915" s="226"/>
      <c r="Q915" s="226"/>
      <c r="R915" s="68"/>
      <c r="V915" s="41"/>
    </row>
    <row r="916">
      <c r="J916" s="68"/>
      <c r="K916" s="79"/>
      <c r="L916" s="79"/>
      <c r="M916" s="226"/>
      <c r="N916" s="248"/>
      <c r="O916" s="226"/>
      <c r="P916" s="226"/>
      <c r="Q916" s="226"/>
      <c r="R916" s="68"/>
      <c r="V916" s="41"/>
    </row>
    <row r="917">
      <c r="J917" s="68"/>
      <c r="K917" s="79"/>
      <c r="L917" s="79"/>
      <c r="M917" s="226"/>
      <c r="N917" s="248"/>
      <c r="O917" s="226"/>
      <c r="P917" s="226"/>
      <c r="Q917" s="226"/>
      <c r="R917" s="68"/>
      <c r="V917" s="41"/>
    </row>
    <row r="918">
      <c r="J918" s="68"/>
      <c r="K918" s="79"/>
      <c r="L918" s="79"/>
      <c r="M918" s="226"/>
      <c r="N918" s="248"/>
      <c r="O918" s="226"/>
      <c r="P918" s="226"/>
      <c r="Q918" s="226"/>
      <c r="R918" s="68"/>
      <c r="V918" s="41"/>
    </row>
    <row r="919">
      <c r="J919" s="68"/>
      <c r="K919" s="79"/>
      <c r="L919" s="79"/>
      <c r="M919" s="226"/>
      <c r="N919" s="248"/>
      <c r="O919" s="226"/>
      <c r="P919" s="226"/>
      <c r="Q919" s="226"/>
      <c r="R919" s="68"/>
      <c r="V919" s="41"/>
    </row>
    <row r="920">
      <c r="J920" s="68"/>
      <c r="K920" s="79"/>
      <c r="L920" s="79"/>
      <c r="M920" s="226"/>
      <c r="N920" s="248"/>
      <c r="O920" s="226"/>
      <c r="P920" s="226"/>
      <c r="Q920" s="226"/>
      <c r="R920" s="68"/>
      <c r="V920" s="41"/>
    </row>
    <row r="921">
      <c r="J921" s="68"/>
      <c r="K921" s="79"/>
      <c r="L921" s="79"/>
      <c r="M921" s="226"/>
      <c r="N921" s="248"/>
      <c r="O921" s="226"/>
      <c r="P921" s="226"/>
      <c r="Q921" s="226"/>
      <c r="R921" s="68"/>
      <c r="V921" s="41"/>
    </row>
    <row r="922">
      <c r="J922" s="68"/>
      <c r="K922" s="79"/>
      <c r="L922" s="79"/>
      <c r="M922" s="226"/>
      <c r="N922" s="248"/>
      <c r="O922" s="226"/>
      <c r="P922" s="226"/>
      <c r="Q922" s="226"/>
      <c r="R922" s="68"/>
      <c r="V922" s="41"/>
    </row>
    <row r="923">
      <c r="J923" s="68"/>
      <c r="K923" s="79"/>
      <c r="L923" s="79"/>
      <c r="M923" s="226"/>
      <c r="N923" s="248"/>
      <c r="O923" s="226"/>
      <c r="P923" s="226"/>
      <c r="Q923" s="226"/>
      <c r="R923" s="68"/>
      <c r="V923" s="41"/>
    </row>
    <row r="924">
      <c r="J924" s="68"/>
      <c r="K924" s="79"/>
      <c r="L924" s="79"/>
      <c r="M924" s="226"/>
      <c r="N924" s="248"/>
      <c r="O924" s="226"/>
      <c r="P924" s="226"/>
      <c r="Q924" s="226"/>
      <c r="R924" s="68"/>
      <c r="V924" s="41"/>
    </row>
    <row r="925">
      <c r="J925" s="68"/>
      <c r="K925" s="79"/>
      <c r="L925" s="79"/>
      <c r="M925" s="226"/>
      <c r="N925" s="248"/>
      <c r="O925" s="226"/>
      <c r="P925" s="226"/>
      <c r="Q925" s="226"/>
      <c r="R925" s="68"/>
      <c r="V925" s="41"/>
    </row>
    <row r="926">
      <c r="J926" s="68"/>
      <c r="K926" s="79"/>
      <c r="L926" s="79"/>
      <c r="M926" s="226"/>
      <c r="N926" s="248"/>
      <c r="O926" s="226"/>
      <c r="P926" s="226"/>
      <c r="Q926" s="226"/>
      <c r="R926" s="68"/>
      <c r="V926" s="41"/>
    </row>
    <row r="927">
      <c r="J927" s="68"/>
      <c r="K927" s="79"/>
      <c r="L927" s="79"/>
      <c r="M927" s="226"/>
      <c r="N927" s="248"/>
      <c r="O927" s="226"/>
      <c r="P927" s="226"/>
      <c r="Q927" s="226"/>
      <c r="R927" s="68"/>
      <c r="V927" s="41"/>
    </row>
    <row r="928">
      <c r="J928" s="68"/>
      <c r="K928" s="79"/>
      <c r="L928" s="79"/>
      <c r="M928" s="226"/>
      <c r="N928" s="248"/>
      <c r="O928" s="226"/>
      <c r="P928" s="226"/>
      <c r="Q928" s="226"/>
      <c r="R928" s="68"/>
      <c r="V928" s="41"/>
    </row>
    <row r="929">
      <c r="J929" s="68"/>
      <c r="K929" s="79"/>
      <c r="L929" s="79"/>
      <c r="M929" s="226"/>
      <c r="N929" s="248"/>
      <c r="O929" s="226"/>
      <c r="P929" s="226"/>
      <c r="Q929" s="226"/>
      <c r="R929" s="68"/>
      <c r="V929" s="41"/>
    </row>
    <row r="930">
      <c r="J930" s="68"/>
      <c r="K930" s="79"/>
      <c r="L930" s="79"/>
      <c r="M930" s="226"/>
      <c r="N930" s="248"/>
      <c r="O930" s="226"/>
      <c r="P930" s="226"/>
      <c r="Q930" s="226"/>
      <c r="R930" s="68"/>
      <c r="V930" s="41"/>
    </row>
    <row r="931">
      <c r="J931" s="68"/>
      <c r="K931" s="79"/>
      <c r="L931" s="79"/>
      <c r="M931" s="226"/>
      <c r="N931" s="248"/>
      <c r="O931" s="226"/>
      <c r="P931" s="226"/>
      <c r="Q931" s="226"/>
      <c r="R931" s="68"/>
      <c r="V931" s="41"/>
    </row>
    <row r="932">
      <c r="J932" s="68"/>
      <c r="K932" s="79"/>
      <c r="L932" s="79"/>
      <c r="M932" s="226"/>
      <c r="N932" s="248"/>
      <c r="O932" s="226"/>
      <c r="P932" s="226"/>
      <c r="Q932" s="226"/>
      <c r="R932" s="68"/>
      <c r="V932" s="41"/>
    </row>
    <row r="933">
      <c r="J933" s="68"/>
      <c r="K933" s="79"/>
      <c r="L933" s="79"/>
      <c r="M933" s="226"/>
      <c r="N933" s="248"/>
      <c r="O933" s="226"/>
      <c r="P933" s="226"/>
      <c r="Q933" s="226"/>
      <c r="R933" s="68"/>
      <c r="V933" s="41"/>
    </row>
    <row r="934">
      <c r="J934" s="68"/>
      <c r="K934" s="79"/>
      <c r="L934" s="79"/>
      <c r="M934" s="226"/>
      <c r="N934" s="248"/>
      <c r="O934" s="226"/>
      <c r="P934" s="226"/>
      <c r="Q934" s="226"/>
      <c r="R934" s="68"/>
      <c r="V934" s="41"/>
    </row>
    <row r="935">
      <c r="J935" s="68"/>
      <c r="K935" s="79"/>
      <c r="L935" s="79"/>
      <c r="M935" s="226"/>
      <c r="N935" s="248"/>
      <c r="O935" s="226"/>
      <c r="P935" s="226"/>
      <c r="Q935" s="226"/>
      <c r="R935" s="68"/>
      <c r="V935" s="41"/>
    </row>
    <row r="936">
      <c r="J936" s="68"/>
      <c r="K936" s="79"/>
      <c r="L936" s="79"/>
      <c r="M936" s="226"/>
      <c r="N936" s="248"/>
      <c r="O936" s="226"/>
      <c r="P936" s="226"/>
      <c r="Q936" s="226"/>
      <c r="R936" s="68"/>
      <c r="V936" s="41"/>
    </row>
    <row r="937">
      <c r="J937" s="68"/>
      <c r="K937" s="79"/>
      <c r="L937" s="79"/>
      <c r="M937" s="226"/>
      <c r="N937" s="248"/>
      <c r="O937" s="226"/>
      <c r="P937" s="226"/>
      <c r="Q937" s="226"/>
      <c r="R937" s="68"/>
      <c r="V937" s="41"/>
    </row>
    <row r="938">
      <c r="J938" s="68"/>
      <c r="K938" s="79"/>
      <c r="L938" s="79"/>
      <c r="M938" s="226"/>
      <c r="N938" s="248"/>
      <c r="O938" s="226"/>
      <c r="P938" s="226"/>
      <c r="Q938" s="226"/>
      <c r="R938" s="68"/>
      <c r="V938" s="41"/>
    </row>
    <row r="939">
      <c r="J939" s="68"/>
      <c r="K939" s="79"/>
      <c r="L939" s="79"/>
      <c r="M939" s="226"/>
      <c r="N939" s="248"/>
      <c r="O939" s="226"/>
      <c r="P939" s="226"/>
      <c r="Q939" s="226"/>
      <c r="R939" s="68"/>
      <c r="V939" s="41"/>
    </row>
    <row r="940">
      <c r="J940" s="68"/>
      <c r="K940" s="79"/>
      <c r="L940" s="79"/>
      <c r="M940" s="226"/>
      <c r="N940" s="248"/>
      <c r="O940" s="226"/>
      <c r="P940" s="226"/>
      <c r="Q940" s="226"/>
      <c r="R940" s="68"/>
      <c r="V940" s="41"/>
    </row>
    <row r="941">
      <c r="J941" s="68"/>
      <c r="K941" s="79"/>
      <c r="L941" s="79"/>
      <c r="M941" s="226"/>
      <c r="N941" s="248"/>
      <c r="O941" s="226"/>
      <c r="P941" s="226"/>
      <c r="Q941" s="226"/>
      <c r="R941" s="68"/>
      <c r="V941" s="41"/>
    </row>
    <row r="942">
      <c r="J942" s="68"/>
      <c r="K942" s="79"/>
      <c r="L942" s="79"/>
      <c r="M942" s="226"/>
      <c r="N942" s="248"/>
      <c r="O942" s="226"/>
      <c r="P942" s="226"/>
      <c r="Q942" s="226"/>
      <c r="R942" s="68"/>
      <c r="V942" s="41"/>
    </row>
    <row r="943">
      <c r="J943" s="68"/>
      <c r="K943" s="79"/>
      <c r="L943" s="79"/>
      <c r="M943" s="226"/>
      <c r="N943" s="248"/>
      <c r="O943" s="226"/>
      <c r="P943" s="226"/>
      <c r="Q943" s="226"/>
      <c r="R943" s="68"/>
      <c r="V943" s="41"/>
    </row>
    <row r="944">
      <c r="J944" s="68"/>
      <c r="K944" s="79"/>
      <c r="L944" s="79"/>
      <c r="M944" s="226"/>
      <c r="N944" s="248"/>
      <c r="O944" s="226"/>
      <c r="P944" s="226"/>
      <c r="Q944" s="226"/>
      <c r="R944" s="68"/>
      <c r="V944" s="41"/>
    </row>
    <row r="945">
      <c r="J945" s="68"/>
      <c r="K945" s="79"/>
      <c r="L945" s="79"/>
      <c r="M945" s="226"/>
      <c r="N945" s="248"/>
      <c r="O945" s="226"/>
      <c r="P945" s="226"/>
      <c r="Q945" s="226"/>
      <c r="R945" s="68"/>
      <c r="V945" s="41"/>
    </row>
    <row r="946">
      <c r="J946" s="68"/>
      <c r="K946" s="79"/>
      <c r="L946" s="79"/>
      <c r="M946" s="226"/>
      <c r="N946" s="248"/>
      <c r="O946" s="226"/>
      <c r="P946" s="226"/>
      <c r="Q946" s="226"/>
      <c r="R946" s="68"/>
      <c r="V946" s="41"/>
    </row>
    <row r="947">
      <c r="J947" s="68"/>
      <c r="K947" s="79"/>
      <c r="L947" s="79"/>
      <c r="M947" s="226"/>
      <c r="N947" s="248"/>
      <c r="O947" s="226"/>
      <c r="P947" s="226"/>
      <c r="Q947" s="226"/>
      <c r="R947" s="68"/>
      <c r="V947" s="41"/>
    </row>
    <row r="948">
      <c r="J948" s="68"/>
      <c r="K948" s="79"/>
      <c r="L948" s="79"/>
      <c r="M948" s="226"/>
      <c r="N948" s="248"/>
      <c r="O948" s="226"/>
      <c r="P948" s="226"/>
      <c r="Q948" s="226"/>
      <c r="R948" s="68"/>
      <c r="V948" s="41"/>
    </row>
    <row r="949">
      <c r="J949" s="68"/>
      <c r="K949" s="79"/>
      <c r="L949" s="79"/>
      <c r="M949" s="226"/>
      <c r="N949" s="248"/>
      <c r="O949" s="226"/>
      <c r="P949" s="226"/>
      <c r="Q949" s="226"/>
      <c r="R949" s="68"/>
      <c r="V949" s="41"/>
    </row>
    <row r="950">
      <c r="J950" s="68"/>
      <c r="K950" s="79"/>
      <c r="L950" s="79"/>
      <c r="M950" s="226"/>
      <c r="N950" s="248"/>
      <c r="O950" s="226"/>
      <c r="P950" s="226"/>
      <c r="Q950" s="226"/>
      <c r="R950" s="68"/>
      <c r="V950" s="41"/>
    </row>
    <row r="951">
      <c r="J951" s="68"/>
      <c r="K951" s="79"/>
      <c r="L951" s="79"/>
      <c r="M951" s="226"/>
      <c r="N951" s="248"/>
      <c r="O951" s="226"/>
      <c r="P951" s="226"/>
      <c r="Q951" s="226"/>
      <c r="R951" s="68"/>
      <c r="V951" s="41"/>
    </row>
    <row r="952">
      <c r="J952" s="68"/>
      <c r="K952" s="79"/>
      <c r="L952" s="79"/>
      <c r="M952" s="226"/>
      <c r="N952" s="248"/>
      <c r="O952" s="226"/>
      <c r="P952" s="226"/>
      <c r="Q952" s="226"/>
      <c r="R952" s="68"/>
      <c r="V952" s="41"/>
    </row>
    <row r="953">
      <c r="J953" s="68"/>
      <c r="K953" s="79"/>
      <c r="L953" s="79"/>
      <c r="M953" s="226"/>
      <c r="N953" s="248"/>
      <c r="O953" s="226"/>
      <c r="P953" s="226"/>
      <c r="Q953" s="226"/>
      <c r="R953" s="68"/>
      <c r="V953" s="41"/>
    </row>
    <row r="954">
      <c r="J954" s="68"/>
      <c r="K954" s="79"/>
      <c r="L954" s="79"/>
      <c r="M954" s="226"/>
      <c r="N954" s="248"/>
      <c r="O954" s="226"/>
      <c r="P954" s="226"/>
      <c r="Q954" s="226"/>
      <c r="R954" s="68"/>
      <c r="V954" s="41"/>
    </row>
    <row r="955">
      <c r="J955" s="68"/>
      <c r="K955" s="79"/>
      <c r="L955" s="79"/>
      <c r="M955" s="226"/>
      <c r="N955" s="248"/>
      <c r="O955" s="226"/>
      <c r="P955" s="226"/>
      <c r="Q955" s="226"/>
      <c r="R955" s="68"/>
      <c r="V955" s="41"/>
    </row>
    <row r="956">
      <c r="J956" s="68"/>
      <c r="K956" s="79"/>
      <c r="L956" s="79"/>
      <c r="M956" s="226"/>
      <c r="N956" s="248"/>
      <c r="O956" s="226"/>
      <c r="P956" s="226"/>
      <c r="Q956" s="226"/>
      <c r="R956" s="68"/>
      <c r="V956" s="41"/>
    </row>
    <row r="957">
      <c r="J957" s="68"/>
      <c r="K957" s="79"/>
      <c r="L957" s="79"/>
      <c r="M957" s="226"/>
      <c r="N957" s="248"/>
      <c r="O957" s="226"/>
      <c r="P957" s="226"/>
      <c r="Q957" s="226"/>
      <c r="R957" s="68"/>
      <c r="V957" s="41"/>
    </row>
    <row r="958">
      <c r="J958" s="68"/>
      <c r="K958" s="79"/>
      <c r="L958" s="79"/>
      <c r="M958" s="226"/>
      <c r="N958" s="248"/>
      <c r="O958" s="226"/>
      <c r="P958" s="226"/>
      <c r="Q958" s="226"/>
      <c r="R958" s="68"/>
      <c r="V958" s="41"/>
    </row>
    <row r="959">
      <c r="J959" s="68"/>
      <c r="K959" s="79"/>
      <c r="L959" s="79"/>
      <c r="M959" s="226"/>
      <c r="N959" s="248"/>
      <c r="O959" s="226"/>
      <c r="P959" s="226"/>
      <c r="Q959" s="226"/>
      <c r="R959" s="68"/>
      <c r="V959" s="41"/>
    </row>
    <row r="960">
      <c r="J960" s="68"/>
      <c r="K960" s="79"/>
      <c r="L960" s="79"/>
      <c r="M960" s="226"/>
      <c r="N960" s="248"/>
      <c r="O960" s="226"/>
      <c r="P960" s="226"/>
      <c r="Q960" s="226"/>
      <c r="R960" s="68"/>
      <c r="V960" s="41"/>
    </row>
    <row r="961">
      <c r="J961" s="68"/>
      <c r="K961" s="79"/>
      <c r="L961" s="79"/>
      <c r="M961" s="226"/>
      <c r="N961" s="248"/>
      <c r="O961" s="226"/>
      <c r="P961" s="226"/>
      <c r="Q961" s="226"/>
      <c r="R961" s="68"/>
      <c r="V961" s="41"/>
    </row>
    <row r="962">
      <c r="J962" s="68"/>
      <c r="K962" s="79"/>
      <c r="L962" s="79"/>
      <c r="M962" s="226"/>
      <c r="N962" s="248"/>
      <c r="O962" s="226"/>
      <c r="P962" s="226"/>
      <c r="Q962" s="226"/>
      <c r="R962" s="68"/>
      <c r="V962" s="41"/>
    </row>
    <row r="963">
      <c r="J963" s="68"/>
      <c r="K963" s="79"/>
      <c r="L963" s="79"/>
      <c r="M963" s="226"/>
      <c r="N963" s="248"/>
      <c r="O963" s="226"/>
      <c r="P963" s="226"/>
      <c r="Q963" s="226"/>
      <c r="R963" s="68"/>
      <c r="V963" s="41"/>
    </row>
    <row r="964">
      <c r="J964" s="68"/>
      <c r="K964" s="79"/>
      <c r="L964" s="79"/>
      <c r="M964" s="226"/>
      <c r="N964" s="248"/>
      <c r="O964" s="226"/>
      <c r="P964" s="226"/>
      <c r="Q964" s="226"/>
      <c r="R964" s="68"/>
      <c r="V964" s="41"/>
    </row>
    <row r="965">
      <c r="J965" s="68"/>
      <c r="K965" s="79"/>
      <c r="L965" s="79"/>
      <c r="M965" s="226"/>
      <c r="N965" s="248"/>
      <c r="O965" s="226"/>
      <c r="P965" s="226"/>
      <c r="Q965" s="226"/>
      <c r="R965" s="68"/>
      <c r="V965" s="41"/>
    </row>
    <row r="966">
      <c r="J966" s="68"/>
      <c r="K966" s="79"/>
      <c r="L966" s="79"/>
      <c r="M966" s="226"/>
      <c r="N966" s="248"/>
      <c r="O966" s="226"/>
      <c r="P966" s="226"/>
      <c r="Q966" s="226"/>
      <c r="R966" s="68"/>
      <c r="V966" s="41"/>
    </row>
    <row r="967">
      <c r="J967" s="68"/>
      <c r="K967" s="79"/>
      <c r="L967" s="79"/>
      <c r="M967" s="226"/>
      <c r="N967" s="248"/>
      <c r="O967" s="226"/>
      <c r="P967" s="226"/>
      <c r="Q967" s="226"/>
      <c r="R967" s="68"/>
      <c r="V967" s="41"/>
    </row>
    <row r="968">
      <c r="J968" s="68"/>
      <c r="K968" s="79"/>
      <c r="L968" s="79"/>
      <c r="M968" s="226"/>
      <c r="N968" s="248"/>
      <c r="O968" s="226"/>
      <c r="P968" s="226"/>
      <c r="Q968" s="226"/>
      <c r="R968" s="68"/>
      <c r="V968" s="41"/>
    </row>
    <row r="969">
      <c r="J969" s="68"/>
      <c r="K969" s="79"/>
      <c r="L969" s="79"/>
      <c r="M969" s="226"/>
      <c r="N969" s="248"/>
      <c r="O969" s="226"/>
      <c r="P969" s="226"/>
      <c r="Q969" s="226"/>
      <c r="R969" s="68"/>
      <c r="V969" s="41"/>
    </row>
    <row r="970">
      <c r="J970" s="68"/>
      <c r="K970" s="79"/>
      <c r="L970" s="79"/>
      <c r="M970" s="226"/>
      <c r="N970" s="248"/>
      <c r="O970" s="226"/>
      <c r="P970" s="226"/>
      <c r="Q970" s="226"/>
      <c r="R970" s="68"/>
      <c r="V970" s="41"/>
    </row>
    <row r="971">
      <c r="J971" s="68"/>
      <c r="K971" s="79"/>
      <c r="L971" s="79"/>
      <c r="M971" s="226"/>
      <c r="N971" s="248"/>
      <c r="O971" s="226"/>
      <c r="P971" s="226"/>
      <c r="Q971" s="226"/>
      <c r="R971" s="68"/>
      <c r="V971" s="41"/>
    </row>
    <row r="972">
      <c r="J972" s="68"/>
      <c r="K972" s="79"/>
      <c r="L972" s="79"/>
      <c r="M972" s="226"/>
      <c r="N972" s="248"/>
      <c r="O972" s="226"/>
      <c r="P972" s="226"/>
      <c r="Q972" s="226"/>
      <c r="R972" s="68"/>
      <c r="V972" s="41"/>
    </row>
    <row r="973">
      <c r="J973" s="68"/>
      <c r="K973" s="79"/>
      <c r="L973" s="79"/>
      <c r="M973" s="226"/>
      <c r="N973" s="248"/>
      <c r="O973" s="226"/>
      <c r="P973" s="226"/>
      <c r="Q973" s="226"/>
      <c r="R973" s="68"/>
      <c r="V973" s="41"/>
    </row>
    <row r="974">
      <c r="J974" s="68"/>
      <c r="K974" s="79"/>
      <c r="L974" s="79"/>
      <c r="M974" s="226"/>
      <c r="N974" s="248"/>
      <c r="O974" s="226"/>
      <c r="P974" s="226"/>
      <c r="Q974" s="226"/>
      <c r="R974" s="68"/>
      <c r="V974" s="41"/>
    </row>
    <row r="975">
      <c r="J975" s="68"/>
      <c r="K975" s="79"/>
      <c r="L975" s="79"/>
      <c r="M975" s="226"/>
      <c r="N975" s="248"/>
      <c r="O975" s="226"/>
      <c r="P975" s="226"/>
      <c r="Q975" s="226"/>
      <c r="R975" s="68"/>
      <c r="V975" s="41"/>
    </row>
    <row r="976">
      <c r="J976" s="68"/>
      <c r="K976" s="79"/>
      <c r="L976" s="79"/>
      <c r="M976" s="226"/>
      <c r="N976" s="248"/>
      <c r="O976" s="226"/>
      <c r="P976" s="226"/>
      <c r="Q976" s="226"/>
      <c r="R976" s="68"/>
      <c r="V976" s="41"/>
    </row>
    <row r="977">
      <c r="J977" s="68"/>
      <c r="K977" s="79"/>
      <c r="L977" s="79"/>
      <c r="M977" s="226"/>
      <c r="N977" s="248"/>
      <c r="O977" s="226"/>
      <c r="P977" s="226"/>
      <c r="Q977" s="226"/>
      <c r="R977" s="68"/>
      <c r="V977" s="41"/>
    </row>
    <row r="978">
      <c r="J978" s="68"/>
      <c r="K978" s="79"/>
      <c r="L978" s="79"/>
      <c r="M978" s="226"/>
      <c r="N978" s="248"/>
      <c r="O978" s="226"/>
      <c r="P978" s="226"/>
      <c r="Q978" s="226"/>
      <c r="R978" s="68"/>
      <c r="V978" s="41"/>
    </row>
    <row r="979">
      <c r="J979" s="68"/>
      <c r="K979" s="79"/>
      <c r="L979" s="79"/>
      <c r="M979" s="226"/>
      <c r="N979" s="248"/>
      <c r="O979" s="226"/>
      <c r="P979" s="226"/>
      <c r="Q979" s="226"/>
      <c r="R979" s="68"/>
      <c r="V979" s="41"/>
    </row>
    <row r="980">
      <c r="J980" s="68"/>
      <c r="K980" s="79"/>
      <c r="L980" s="79"/>
      <c r="M980" s="226"/>
      <c r="N980" s="248"/>
      <c r="O980" s="226"/>
      <c r="P980" s="226"/>
      <c r="Q980" s="226"/>
      <c r="R980" s="68"/>
      <c r="V980" s="41"/>
    </row>
    <row r="981">
      <c r="J981" s="68"/>
      <c r="K981" s="79"/>
      <c r="L981" s="79"/>
      <c r="M981" s="226"/>
      <c r="N981" s="248"/>
      <c r="O981" s="226"/>
      <c r="P981" s="226"/>
      <c r="Q981" s="226"/>
      <c r="R981" s="68"/>
      <c r="V981" s="41"/>
    </row>
    <row r="982">
      <c r="J982" s="68"/>
      <c r="K982" s="79"/>
      <c r="L982" s="79"/>
      <c r="M982" s="226"/>
      <c r="N982" s="248"/>
      <c r="O982" s="226"/>
      <c r="P982" s="226"/>
      <c r="Q982" s="226"/>
      <c r="R982" s="68"/>
      <c r="V982" s="41"/>
    </row>
    <row r="983">
      <c r="J983" s="68"/>
      <c r="K983" s="79"/>
      <c r="L983" s="79"/>
      <c r="M983" s="226"/>
      <c r="N983" s="248"/>
      <c r="O983" s="226"/>
      <c r="P983" s="226"/>
      <c r="Q983" s="226"/>
      <c r="R983" s="68"/>
      <c r="V983" s="41"/>
    </row>
    <row r="984">
      <c r="J984" s="68"/>
      <c r="K984" s="79"/>
      <c r="L984" s="79"/>
      <c r="M984" s="226"/>
      <c r="N984" s="248"/>
      <c r="O984" s="226"/>
      <c r="P984" s="226"/>
      <c r="Q984" s="226"/>
      <c r="R984" s="68"/>
      <c r="V984" s="41"/>
    </row>
    <row r="985">
      <c r="J985" s="68"/>
      <c r="K985" s="79"/>
      <c r="L985" s="79"/>
      <c r="M985" s="226"/>
      <c r="N985" s="248"/>
      <c r="O985" s="226"/>
      <c r="P985" s="226"/>
      <c r="Q985" s="226"/>
      <c r="R985" s="68"/>
      <c r="V985" s="41"/>
    </row>
    <row r="986">
      <c r="J986" s="68"/>
      <c r="K986" s="79"/>
      <c r="L986" s="79"/>
      <c r="M986" s="226"/>
      <c r="N986" s="248"/>
      <c r="O986" s="226"/>
      <c r="P986" s="226"/>
      <c r="Q986" s="226"/>
      <c r="R986" s="68"/>
      <c r="V986" s="41"/>
    </row>
    <row r="987">
      <c r="J987" s="68"/>
      <c r="K987" s="79"/>
      <c r="L987" s="79"/>
      <c r="M987" s="226"/>
      <c r="N987" s="248"/>
      <c r="O987" s="226"/>
      <c r="P987" s="226"/>
      <c r="Q987" s="226"/>
      <c r="R987" s="68"/>
      <c r="V987" s="41"/>
    </row>
    <row r="988">
      <c r="J988" s="68"/>
      <c r="K988" s="79"/>
      <c r="L988" s="79"/>
      <c r="M988" s="226"/>
      <c r="N988" s="248"/>
      <c r="O988" s="226"/>
      <c r="P988" s="226"/>
      <c r="Q988" s="226"/>
      <c r="R988" s="68"/>
      <c r="V988" s="41"/>
    </row>
    <row r="989">
      <c r="J989" s="68"/>
      <c r="K989" s="79"/>
      <c r="L989" s="79"/>
      <c r="M989" s="226"/>
      <c r="N989" s="248"/>
      <c r="O989" s="226"/>
      <c r="P989" s="226"/>
      <c r="Q989" s="226"/>
      <c r="R989" s="68"/>
      <c r="V989" s="41"/>
    </row>
    <row r="990">
      <c r="J990" s="68"/>
      <c r="K990" s="79"/>
      <c r="L990" s="79"/>
      <c r="M990" s="226"/>
      <c r="N990" s="248"/>
      <c r="O990" s="226"/>
      <c r="P990" s="226"/>
      <c r="Q990" s="226"/>
      <c r="R990" s="68"/>
      <c r="V990" s="41"/>
    </row>
    <row r="991">
      <c r="J991" s="68"/>
      <c r="K991" s="79"/>
      <c r="L991" s="79"/>
      <c r="M991" s="226"/>
      <c r="N991" s="248"/>
      <c r="O991" s="226"/>
      <c r="P991" s="226"/>
      <c r="Q991" s="226"/>
      <c r="R991" s="68"/>
      <c r="V991" s="41"/>
    </row>
    <row r="992">
      <c r="J992" s="68"/>
      <c r="K992" s="79"/>
      <c r="L992" s="79"/>
      <c r="M992" s="226"/>
      <c r="N992" s="248"/>
      <c r="O992" s="226"/>
      <c r="P992" s="226"/>
      <c r="Q992" s="226"/>
      <c r="R992" s="68"/>
      <c r="V992" s="41"/>
    </row>
    <row r="993">
      <c r="J993" s="68"/>
      <c r="K993" s="79"/>
      <c r="L993" s="79"/>
      <c r="M993" s="226"/>
      <c r="N993" s="248"/>
      <c r="O993" s="226"/>
      <c r="P993" s="226"/>
      <c r="Q993" s="226"/>
      <c r="R993" s="68"/>
      <c r="V993" s="41"/>
    </row>
    <row r="994">
      <c r="J994" s="68"/>
      <c r="K994" s="79"/>
      <c r="L994" s="79"/>
      <c r="M994" s="226"/>
      <c r="N994" s="248"/>
      <c r="O994" s="226"/>
      <c r="P994" s="226"/>
      <c r="Q994" s="226"/>
      <c r="R994" s="68"/>
      <c r="V994" s="41"/>
    </row>
    <row r="995">
      <c r="J995" s="68"/>
      <c r="K995" s="79"/>
      <c r="L995" s="79"/>
      <c r="M995" s="226"/>
      <c r="N995" s="248"/>
      <c r="O995" s="226"/>
      <c r="P995" s="226"/>
      <c r="Q995" s="226"/>
      <c r="R995" s="68"/>
      <c r="V995" s="41"/>
    </row>
    <row r="996">
      <c r="J996" s="68"/>
      <c r="K996" s="79"/>
      <c r="L996" s="79"/>
      <c r="M996" s="226"/>
      <c r="N996" s="248"/>
      <c r="O996" s="226"/>
      <c r="P996" s="226"/>
      <c r="Q996" s="226"/>
      <c r="R996" s="68"/>
      <c r="V996" s="41"/>
    </row>
    <row r="997">
      <c r="J997" s="68"/>
      <c r="K997" s="79"/>
      <c r="L997" s="79"/>
      <c r="M997" s="226"/>
      <c r="N997" s="248"/>
      <c r="O997" s="226"/>
      <c r="P997" s="226"/>
      <c r="Q997" s="226"/>
      <c r="R997" s="68"/>
      <c r="V997" s="41"/>
    </row>
    <row r="998">
      <c r="J998" s="68"/>
      <c r="K998" s="79"/>
      <c r="L998" s="79"/>
      <c r="M998" s="226"/>
      <c r="N998" s="248"/>
      <c r="O998" s="226"/>
      <c r="P998" s="226"/>
      <c r="Q998" s="226"/>
      <c r="R998" s="68"/>
      <c r="V998" s="41"/>
    </row>
    <row r="999">
      <c r="J999" s="68"/>
      <c r="K999" s="79"/>
      <c r="L999" s="79"/>
      <c r="M999" s="226"/>
      <c r="N999" s="248"/>
      <c r="O999" s="226"/>
      <c r="P999" s="226"/>
      <c r="Q999" s="226"/>
      <c r="R999" s="68"/>
      <c r="V999" s="41"/>
    </row>
    <row r="1000">
      <c r="J1000" s="68"/>
      <c r="K1000" s="79"/>
      <c r="L1000" s="79"/>
      <c r="M1000" s="226"/>
      <c r="N1000" s="248"/>
      <c r="O1000" s="226"/>
      <c r="P1000" s="226"/>
      <c r="Q1000" s="226"/>
      <c r="R1000" s="68"/>
      <c r="V1000" s="41"/>
    </row>
    <row r="1001">
      <c r="J1001" s="68"/>
      <c r="K1001" s="79"/>
      <c r="L1001" s="79"/>
      <c r="M1001" s="226"/>
      <c r="N1001" s="248"/>
      <c r="O1001" s="226"/>
      <c r="P1001" s="226"/>
      <c r="Q1001" s="226"/>
      <c r="R1001" s="68"/>
      <c r="V1001" s="41"/>
    </row>
    <row r="1002">
      <c r="J1002" s="68"/>
      <c r="K1002" s="79"/>
      <c r="L1002" s="79"/>
      <c r="M1002" s="226"/>
      <c r="N1002" s="248"/>
      <c r="O1002" s="226"/>
      <c r="P1002" s="226"/>
      <c r="Q1002" s="226"/>
      <c r="R1002" s="68"/>
      <c r="V1002" s="41"/>
    </row>
    <row r="1003">
      <c r="J1003" s="68"/>
      <c r="K1003" s="79"/>
      <c r="L1003" s="79"/>
      <c r="M1003" s="226"/>
      <c r="N1003" s="248"/>
      <c r="O1003" s="226"/>
      <c r="P1003" s="226"/>
      <c r="Q1003" s="226"/>
      <c r="R1003" s="68"/>
      <c r="V1003" s="41"/>
    </row>
    <row r="1004">
      <c r="J1004" s="68"/>
      <c r="K1004" s="79"/>
      <c r="L1004" s="79"/>
      <c r="M1004" s="226"/>
      <c r="N1004" s="248"/>
      <c r="O1004" s="226"/>
      <c r="P1004" s="226"/>
      <c r="Q1004" s="226"/>
      <c r="R1004" s="68"/>
      <c r="V1004" s="41"/>
    </row>
    <row r="1005">
      <c r="J1005" s="68"/>
      <c r="K1005" s="79"/>
      <c r="L1005" s="79"/>
      <c r="M1005" s="226"/>
      <c r="N1005" s="248"/>
      <c r="O1005" s="226"/>
      <c r="P1005" s="226"/>
      <c r="Q1005" s="226"/>
      <c r="R1005" s="68"/>
      <c r="V1005" s="41"/>
    </row>
    <row r="1006">
      <c r="J1006" s="68"/>
      <c r="K1006" s="79"/>
      <c r="L1006" s="79"/>
      <c r="M1006" s="226"/>
      <c r="N1006" s="248"/>
      <c r="O1006" s="226"/>
      <c r="P1006" s="226"/>
      <c r="Q1006" s="226"/>
      <c r="R1006" s="68"/>
      <c r="V1006" s="41"/>
    </row>
    <row r="1007">
      <c r="J1007" s="68"/>
      <c r="K1007" s="79"/>
      <c r="L1007" s="79"/>
      <c r="M1007" s="226"/>
      <c r="N1007" s="248"/>
      <c r="O1007" s="226"/>
      <c r="P1007" s="226"/>
      <c r="Q1007" s="226"/>
      <c r="R1007" s="68"/>
      <c r="V1007" s="41"/>
    </row>
    <row r="1008">
      <c r="J1008" s="68"/>
      <c r="K1008" s="79"/>
      <c r="L1008" s="79"/>
      <c r="M1008" s="226"/>
      <c r="N1008" s="248"/>
      <c r="O1008" s="226"/>
      <c r="P1008" s="226"/>
      <c r="Q1008" s="226"/>
      <c r="R1008" s="68"/>
      <c r="V1008" s="41"/>
    </row>
    <row r="1009">
      <c r="J1009" s="68"/>
      <c r="K1009" s="79"/>
      <c r="L1009" s="79"/>
      <c r="M1009" s="226"/>
      <c r="N1009" s="248"/>
      <c r="O1009" s="226"/>
      <c r="P1009" s="226"/>
      <c r="Q1009" s="226"/>
      <c r="R1009" s="68"/>
      <c r="V1009" s="41"/>
    </row>
    <row r="1010">
      <c r="J1010" s="68"/>
      <c r="K1010" s="79"/>
      <c r="L1010" s="79"/>
      <c r="M1010" s="226"/>
      <c r="N1010" s="248"/>
      <c r="O1010" s="226"/>
      <c r="P1010" s="226"/>
      <c r="Q1010" s="226"/>
      <c r="R1010" s="68"/>
      <c r="V1010" s="41"/>
    </row>
    <row r="1011">
      <c r="J1011" s="68"/>
      <c r="K1011" s="79"/>
      <c r="L1011" s="79"/>
      <c r="M1011" s="226"/>
      <c r="N1011" s="248"/>
      <c r="O1011" s="226"/>
      <c r="P1011" s="226"/>
      <c r="Q1011" s="226"/>
      <c r="R1011" s="68"/>
      <c r="V1011" s="41"/>
    </row>
    <row r="1012">
      <c r="J1012" s="68"/>
      <c r="K1012" s="79"/>
      <c r="L1012" s="79"/>
      <c r="M1012" s="226"/>
      <c r="N1012" s="248"/>
      <c r="O1012" s="226"/>
      <c r="P1012" s="226"/>
      <c r="Q1012" s="226"/>
      <c r="R1012" s="68"/>
      <c r="V1012" s="41"/>
    </row>
    <row r="1013">
      <c r="J1013" s="68"/>
      <c r="K1013" s="79"/>
      <c r="L1013" s="79"/>
      <c r="M1013" s="226"/>
      <c r="N1013" s="248"/>
      <c r="O1013" s="226"/>
      <c r="P1013" s="226"/>
      <c r="Q1013" s="226"/>
      <c r="R1013" s="68"/>
      <c r="V1013" s="41"/>
    </row>
    <row r="1014">
      <c r="J1014" s="68"/>
      <c r="K1014" s="79"/>
      <c r="L1014" s="79"/>
      <c r="M1014" s="226"/>
      <c r="N1014" s="248"/>
      <c r="O1014" s="226"/>
      <c r="P1014" s="226"/>
      <c r="Q1014" s="226"/>
      <c r="R1014" s="68"/>
      <c r="V1014" s="41"/>
    </row>
    <row r="1015">
      <c r="J1015" s="68"/>
      <c r="K1015" s="79"/>
      <c r="L1015" s="79"/>
      <c r="M1015" s="226"/>
      <c r="N1015" s="248"/>
      <c r="O1015" s="226"/>
      <c r="P1015" s="226"/>
      <c r="Q1015" s="226"/>
      <c r="R1015" s="68"/>
      <c r="V1015" s="41"/>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M170:M187 N170:N188 O170:U187 I173:I177 C177:C187 I179:I181 I183:I187 P195:Q195">
    <cfRule type="expression" dxfId="0" priority="3">
      <formula>$U170="No"</formula>
    </cfRule>
  </conditionalFormatting>
  <conditionalFormatting sqref="I3 B114:G140 H114:H136 M114:M140 O114:O140 R114:R140 J116:J140 I130 I132 I134:I137 H138:H140 I140 I168">
    <cfRule type="expression" dxfId="0" priority="4">
      <formula>$G3="No"</formula>
    </cfRule>
  </conditionalFormatting>
  <conditionalFormatting sqref="I3 B114:G140 H114:H136 M114:M140 O114:O140 R114:R140 J116:J140 I130 I132 I134:I137 H138:H140 I140 I168">
    <cfRule type="expression" dxfId="1" priority="5">
      <formula>$G3=""</formula>
    </cfRule>
  </conditionalFormatting>
  <conditionalFormatting sqref="W1:W1015">
    <cfRule type="cellIs" dxfId="2" priority="6" operator="equal">
      <formula>"No"</formula>
    </cfRule>
  </conditionalFormatting>
  <conditionalFormatting sqref="W1:W1015">
    <cfRule type="cellIs" dxfId="3" priority="7" operator="equal">
      <formula>"Yes"</formula>
    </cfRule>
  </conditionalFormatting>
  <conditionalFormatting sqref="W1">
    <cfRule type="notContainsBlanks" dxfId="4" priority="8">
      <formula>LEN(TRIM(W1))&gt;0</formula>
    </cfRule>
  </conditionalFormatting>
  <conditionalFormatting sqref="W1:W1015">
    <cfRule type="cellIs" dxfId="5" priority="9" operator="equal">
      <formula>"YesNo"</formula>
    </cfRule>
  </conditionalFormatting>
  <hyperlinks>
    <hyperlink r:id="rId1" ref="D2"/>
    <hyperlink r:id="rId2" ref="D3"/>
    <hyperlink r:id="rId3" ref="D4"/>
    <hyperlink r:id="rId4" ref="D5"/>
    <hyperlink r:id="rId5" ref="D6"/>
    <hyperlink r:id="rId6" ref="J6"/>
    <hyperlink r:id="rId7" ref="D7"/>
    <hyperlink r:id="rId8" ref="D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J20"/>
    <hyperlink r:id="rId22" ref="D21"/>
    <hyperlink r:id="rId23" ref="D22"/>
    <hyperlink r:id="rId24" ref="D23"/>
    <hyperlink r:id="rId25" ref="D24"/>
    <hyperlink r:id="rId26" ref="J24"/>
    <hyperlink r:id="rId27" ref="D25"/>
    <hyperlink r:id="rId28" ref="J25"/>
    <hyperlink r:id="rId29" ref="D26"/>
    <hyperlink r:id="rId30" ref="D27"/>
    <hyperlink r:id="rId31" ref="D28"/>
    <hyperlink r:id="rId32" ref="D29"/>
    <hyperlink r:id="rId33" ref="D30"/>
    <hyperlink r:id="rId34" ref="D31"/>
    <hyperlink r:id="rId35" ref="D32"/>
    <hyperlink r:id="rId36" ref="D33"/>
    <hyperlink r:id="rId37" ref="D34"/>
    <hyperlink r:id="rId38" ref="D35"/>
    <hyperlink r:id="rId39" ref="D36"/>
    <hyperlink r:id="rId40" ref="D37"/>
    <hyperlink r:id="rId41" ref="D38"/>
    <hyperlink r:id="rId42" ref="D39"/>
    <hyperlink r:id="rId43" ref="J39"/>
    <hyperlink r:id="rId44" ref="D40"/>
    <hyperlink r:id="rId45" ref="J40"/>
    <hyperlink r:id="rId46" ref="D41"/>
    <hyperlink r:id="rId47" ref="D42"/>
    <hyperlink r:id="rId48" ref="D43"/>
    <hyperlink r:id="rId49" ref="D44"/>
    <hyperlink r:id="rId50" ref="J44"/>
    <hyperlink r:id="rId51" ref="D45"/>
    <hyperlink r:id="rId52" ref="J45"/>
    <hyperlink r:id="rId53" ref="D46"/>
    <hyperlink r:id="rId54" ref="D47"/>
    <hyperlink r:id="rId55" ref="D48"/>
    <hyperlink r:id="rId56" ref="J48"/>
    <hyperlink r:id="rId57" ref="D49"/>
    <hyperlink r:id="rId58" ref="D50"/>
    <hyperlink r:id="rId59" ref="J50"/>
    <hyperlink r:id="rId60" ref="D51"/>
    <hyperlink r:id="rId61" ref="J51"/>
    <hyperlink r:id="rId62" ref="D52"/>
    <hyperlink r:id="rId63" ref="J52"/>
    <hyperlink r:id="rId64" ref="D53"/>
    <hyperlink r:id="rId65" ref="D54"/>
    <hyperlink r:id="rId66" ref="J54"/>
    <hyperlink r:id="rId67" ref="D55"/>
    <hyperlink r:id="rId68" ref="J55"/>
    <hyperlink r:id="rId69" ref="D56"/>
    <hyperlink r:id="rId70" ref="D57"/>
    <hyperlink r:id="rId71" ref="D58"/>
    <hyperlink r:id="rId72" ref="D59"/>
    <hyperlink r:id="rId73" ref="D60"/>
    <hyperlink r:id="rId74" ref="J60"/>
    <hyperlink r:id="rId75" ref="D61"/>
    <hyperlink r:id="rId76" ref="D62"/>
    <hyperlink r:id="rId77" ref="D63"/>
    <hyperlink r:id="rId78" ref="J63"/>
    <hyperlink r:id="rId79" ref="D64"/>
    <hyperlink r:id="rId80" ref="D65"/>
    <hyperlink r:id="rId81" ref="D66"/>
    <hyperlink r:id="rId82" ref="D67"/>
    <hyperlink r:id="rId83" ref="D68"/>
    <hyperlink r:id="rId84" ref="D69"/>
    <hyperlink r:id="rId85" ref="D70"/>
    <hyperlink r:id="rId86" ref="D71"/>
    <hyperlink r:id="rId87" ref="D72"/>
    <hyperlink r:id="rId88" ref="D73"/>
    <hyperlink r:id="rId89" ref="J73"/>
    <hyperlink r:id="rId90" ref="D74"/>
    <hyperlink r:id="rId91" ref="J74"/>
    <hyperlink r:id="rId92" ref="D75"/>
    <hyperlink r:id="rId93" ref="D76"/>
    <hyperlink r:id="rId94" ref="D77"/>
    <hyperlink r:id="rId95" ref="D78"/>
    <hyperlink r:id="rId96" ref="D79"/>
    <hyperlink r:id="rId97" ref="D80"/>
    <hyperlink r:id="rId98" ref="D81"/>
    <hyperlink r:id="rId99" ref="D82"/>
    <hyperlink r:id="rId100" ref="D83"/>
    <hyperlink r:id="rId101" ref="D84"/>
    <hyperlink r:id="rId102" ref="D85"/>
    <hyperlink r:id="rId103" ref="D86"/>
    <hyperlink r:id="rId104" ref="J86"/>
    <hyperlink r:id="rId105" ref="D87"/>
    <hyperlink r:id="rId106" ref="D88"/>
    <hyperlink r:id="rId107" ref="D89"/>
    <hyperlink r:id="rId108" ref="D90"/>
    <hyperlink r:id="rId109" ref="J90"/>
    <hyperlink r:id="rId110" ref="D91"/>
    <hyperlink r:id="rId111" ref="D92"/>
    <hyperlink r:id="rId112" ref="D93"/>
    <hyperlink r:id="rId113" ref="J93"/>
    <hyperlink r:id="rId114" ref="D94"/>
    <hyperlink r:id="rId115" ref="D95"/>
    <hyperlink r:id="rId116" ref="D96"/>
    <hyperlink r:id="rId117" ref="D97"/>
    <hyperlink r:id="rId118" ref="D98"/>
    <hyperlink r:id="rId119" ref="D99"/>
    <hyperlink r:id="rId120" ref="D100"/>
    <hyperlink r:id="rId121" ref="D101"/>
    <hyperlink r:id="rId122" ref="J101"/>
    <hyperlink r:id="rId123" ref="D102"/>
    <hyperlink r:id="rId124" ref="D103"/>
    <hyperlink r:id="rId125" ref="J103"/>
    <hyperlink r:id="rId126" ref="D104"/>
    <hyperlink r:id="rId127" ref="J104"/>
    <hyperlink r:id="rId128" ref="D105"/>
    <hyperlink r:id="rId129" ref="D106"/>
    <hyperlink r:id="rId130" ref="J106"/>
    <hyperlink r:id="rId131" ref="D107"/>
    <hyperlink r:id="rId132" ref="J107"/>
    <hyperlink r:id="rId133" ref="D108"/>
    <hyperlink r:id="rId134" ref="D109"/>
    <hyperlink r:id="rId135" ref="J109"/>
    <hyperlink r:id="rId136" ref="D110"/>
    <hyperlink r:id="rId137" ref="D111"/>
    <hyperlink r:id="rId138" ref="D112"/>
    <hyperlink r:id="rId139" ref="D113"/>
    <hyperlink r:id="rId140" ref="D114"/>
    <hyperlink r:id="rId141" ref="D115"/>
    <hyperlink r:id="rId142" ref="D116"/>
    <hyperlink r:id="rId143" ref="D117"/>
    <hyperlink r:id="rId144" ref="D118"/>
    <hyperlink r:id="rId145" ref="D119"/>
    <hyperlink r:id="rId146" ref="D120"/>
    <hyperlink r:id="rId147" ref="D121"/>
    <hyperlink r:id="rId148" ref="D122"/>
    <hyperlink r:id="rId149" ref="D123"/>
    <hyperlink r:id="rId150" ref="D124"/>
    <hyperlink r:id="rId151" ref="D125"/>
    <hyperlink r:id="rId152" ref="D126"/>
    <hyperlink r:id="rId153" ref="D127"/>
    <hyperlink r:id="rId154" ref="J127"/>
    <hyperlink r:id="rId155" ref="D128"/>
    <hyperlink r:id="rId156" ref="D129"/>
    <hyperlink r:id="rId157" ref="D130"/>
    <hyperlink r:id="rId158" ref="D131"/>
    <hyperlink r:id="rId159" ref="D132"/>
    <hyperlink r:id="rId160" ref="D133"/>
    <hyperlink r:id="rId161" ref="J133"/>
    <hyperlink r:id="rId162" ref="D134"/>
    <hyperlink r:id="rId163" ref="D135"/>
    <hyperlink r:id="rId164" ref="D136"/>
    <hyperlink r:id="rId165" ref="J136"/>
    <hyperlink r:id="rId166" ref="D137"/>
    <hyperlink r:id="rId167" ref="D138"/>
    <hyperlink r:id="rId168" ref="J138"/>
    <hyperlink r:id="rId169" ref="D139"/>
    <hyperlink r:id="rId170" ref="D140"/>
    <hyperlink r:id="rId171" ref="D141"/>
    <hyperlink r:id="rId172" ref="D142"/>
    <hyperlink r:id="rId173" ref="J142"/>
    <hyperlink r:id="rId174" ref="D143"/>
    <hyperlink r:id="rId175" ref="D144"/>
    <hyperlink r:id="rId176" ref="D145"/>
    <hyperlink r:id="rId177" ref="D146"/>
    <hyperlink r:id="rId178" ref="D147"/>
    <hyperlink r:id="rId179" ref="J147"/>
    <hyperlink r:id="rId180" ref="D148"/>
    <hyperlink r:id="rId181" ref="J148"/>
    <hyperlink r:id="rId182" ref="D149"/>
    <hyperlink r:id="rId183" ref="D150"/>
    <hyperlink r:id="rId184" ref="D151"/>
    <hyperlink r:id="rId185" ref="D152"/>
    <hyperlink r:id="rId186" ref="D153"/>
    <hyperlink r:id="rId187" ref="J153"/>
    <hyperlink r:id="rId188" ref="D154"/>
    <hyperlink r:id="rId189" ref="J154"/>
    <hyperlink r:id="rId190" ref="D155"/>
    <hyperlink r:id="rId191" ref="D156"/>
    <hyperlink r:id="rId192" ref="J156"/>
    <hyperlink r:id="rId193" ref="D157"/>
    <hyperlink r:id="rId194" ref="D158"/>
    <hyperlink r:id="rId195" ref="D159"/>
    <hyperlink r:id="rId196" ref="J159"/>
    <hyperlink r:id="rId197" ref="D160"/>
    <hyperlink r:id="rId198" ref="D161"/>
    <hyperlink r:id="rId199" ref="D162"/>
    <hyperlink r:id="rId200" ref="D163"/>
    <hyperlink r:id="rId201" ref="J163"/>
    <hyperlink r:id="rId202" ref="D164"/>
    <hyperlink r:id="rId203" ref="D165"/>
    <hyperlink r:id="rId204" ref="D166"/>
    <hyperlink r:id="rId205" ref="D167"/>
    <hyperlink r:id="rId206" ref="D168"/>
    <hyperlink r:id="rId207" ref="D169"/>
    <hyperlink r:id="rId208" ref="D170"/>
    <hyperlink r:id="rId209" ref="D171"/>
    <hyperlink r:id="rId210" ref="J171"/>
    <hyperlink r:id="rId211" ref="D172"/>
    <hyperlink r:id="rId212" ref="D173"/>
    <hyperlink r:id="rId213" ref="J173"/>
    <hyperlink r:id="rId214" ref="D174"/>
    <hyperlink r:id="rId215" ref="J174"/>
    <hyperlink r:id="rId216" ref="D175"/>
    <hyperlink r:id="rId217" ref="J175"/>
    <hyperlink r:id="rId218" ref="D176"/>
    <hyperlink r:id="rId219" ref="D177"/>
    <hyperlink r:id="rId220" ref="D178"/>
    <hyperlink r:id="rId221" ref="D179"/>
    <hyperlink r:id="rId222" ref="D180"/>
    <hyperlink r:id="rId223" ref="D181"/>
    <hyperlink r:id="rId224" ref="D182"/>
    <hyperlink r:id="rId225" ref="D183"/>
    <hyperlink r:id="rId226" ref="J183"/>
    <hyperlink r:id="rId227" ref="D184"/>
    <hyperlink r:id="rId228" ref="D185"/>
    <hyperlink r:id="rId229" ref="D186"/>
    <hyperlink r:id="rId230" ref="D187"/>
    <hyperlink r:id="rId231" ref="J187"/>
    <hyperlink r:id="rId232" ref="D188"/>
    <hyperlink r:id="rId233" ref="D189"/>
    <hyperlink r:id="rId234" ref="D190"/>
    <hyperlink r:id="rId235" ref="D191"/>
    <hyperlink r:id="rId236" ref="D192"/>
    <hyperlink r:id="rId237" ref="D193"/>
    <hyperlink r:id="rId238" ref="D194"/>
    <hyperlink r:id="rId239" ref="D195"/>
    <hyperlink r:id="rId240" ref="D196"/>
    <hyperlink r:id="rId241" ref="D197"/>
    <hyperlink r:id="rId242" ref="D198"/>
    <hyperlink r:id="rId243" ref="D199"/>
    <hyperlink r:id="rId244" ref="D200"/>
    <hyperlink r:id="rId245" ref="D201"/>
    <hyperlink r:id="rId246" ref="D202"/>
    <hyperlink r:id="rId247" ref="D203"/>
    <hyperlink r:id="rId248" ref="D204"/>
    <hyperlink r:id="rId249" ref="D205"/>
    <hyperlink r:id="rId250" ref="D206"/>
  </hyperlinks>
  <drawing r:id="rId25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6.0"/>
    <col customWidth="1" min="2" max="2" width="18.0"/>
    <col customWidth="1" min="3" max="3" width="27.11"/>
    <col customWidth="1" min="4" max="4" width="45.44"/>
    <col customWidth="1" min="5" max="5" width="13.33"/>
    <col customWidth="1" min="8" max="8" width="19.0"/>
    <col customWidth="1" min="9" max="9" width="23.22"/>
  </cols>
  <sheetData>
    <row r="1">
      <c r="A1" s="26" t="s">
        <v>2254</v>
      </c>
      <c r="B1" s="26" t="s">
        <v>2255</v>
      </c>
      <c r="D1" s="249" t="s">
        <v>2256</v>
      </c>
      <c r="E1" s="249" t="s">
        <v>2255</v>
      </c>
    </row>
    <row r="2">
      <c r="A2" s="26" t="s">
        <v>2257</v>
      </c>
      <c r="B2" s="26" t="s">
        <v>2258</v>
      </c>
      <c r="D2" s="26" t="s">
        <v>2259</v>
      </c>
      <c r="E2" s="26" t="s">
        <v>2260</v>
      </c>
    </row>
    <row r="3">
      <c r="A3" s="26" t="s">
        <v>2261</v>
      </c>
      <c r="B3" s="26" t="s">
        <v>2262</v>
      </c>
      <c r="D3" s="26" t="s">
        <v>2263</v>
      </c>
      <c r="E3" s="26" t="s">
        <v>2264</v>
      </c>
    </row>
    <row r="4">
      <c r="A4" s="26" t="s">
        <v>2265</v>
      </c>
      <c r="B4" s="26" t="s">
        <v>2266</v>
      </c>
      <c r="D4" s="26" t="s">
        <v>2267</v>
      </c>
      <c r="E4" s="26" t="s">
        <v>2268</v>
      </c>
    </row>
    <row r="5">
      <c r="A5" s="26" t="s">
        <v>2269</v>
      </c>
      <c r="B5" s="26" t="s">
        <v>2270</v>
      </c>
      <c r="D5" s="26" t="s">
        <v>2271</v>
      </c>
      <c r="E5" s="26" t="s">
        <v>2272</v>
      </c>
    </row>
    <row r="6">
      <c r="A6" s="26" t="s">
        <v>2273</v>
      </c>
      <c r="B6" s="26" t="s">
        <v>2109</v>
      </c>
      <c r="D6" s="26" t="s">
        <v>2274</v>
      </c>
      <c r="E6" s="26" t="s">
        <v>2275</v>
      </c>
    </row>
    <row r="7">
      <c r="A7" s="26" t="s">
        <v>2276</v>
      </c>
      <c r="B7" s="26" t="s">
        <v>2277</v>
      </c>
      <c r="D7" s="26" t="s">
        <v>2278</v>
      </c>
      <c r="E7" s="26" t="s">
        <v>2279</v>
      </c>
    </row>
    <row r="8">
      <c r="A8" s="26" t="s">
        <v>300</v>
      </c>
      <c r="B8" s="26" t="s">
        <v>1418</v>
      </c>
      <c r="D8" s="26" t="s">
        <v>2280</v>
      </c>
      <c r="E8" s="26" t="s">
        <v>2281</v>
      </c>
    </row>
    <row r="9">
      <c r="A9" s="26" t="s">
        <v>2282</v>
      </c>
      <c r="B9" s="26" t="s">
        <v>2283</v>
      </c>
      <c r="D9" s="26" t="s">
        <v>2284</v>
      </c>
      <c r="E9" s="26" t="s">
        <v>2285</v>
      </c>
    </row>
    <row r="10">
      <c r="A10" s="26" t="s">
        <v>2286</v>
      </c>
      <c r="B10" s="26" t="s">
        <v>2287</v>
      </c>
      <c r="D10" s="26" t="s">
        <v>2288</v>
      </c>
      <c r="E10" s="26" t="s">
        <v>2289</v>
      </c>
    </row>
    <row r="11">
      <c r="A11" s="26" t="s">
        <v>2290</v>
      </c>
      <c r="B11" s="26" t="s">
        <v>2291</v>
      </c>
      <c r="D11" s="26" t="s">
        <v>2292</v>
      </c>
      <c r="E11" s="26" t="s">
        <v>2293</v>
      </c>
    </row>
    <row r="12">
      <c r="A12" s="26" t="s">
        <v>2294</v>
      </c>
      <c r="B12" s="26" t="s">
        <v>2295</v>
      </c>
    </row>
    <row r="13">
      <c r="A13" s="26" t="s">
        <v>2296</v>
      </c>
      <c r="B13" s="26" t="s">
        <v>2297</v>
      </c>
      <c r="D13" s="249" t="s">
        <v>2298</v>
      </c>
      <c r="E13" s="249" t="s">
        <v>2255</v>
      </c>
    </row>
    <row r="14">
      <c r="A14" s="26" t="s">
        <v>2299</v>
      </c>
      <c r="B14" s="26" t="s">
        <v>2300</v>
      </c>
      <c r="D14" s="26" t="s">
        <v>2301</v>
      </c>
      <c r="E14" s="26" t="s">
        <v>2302</v>
      </c>
    </row>
    <row r="15">
      <c r="A15" s="26" t="s">
        <v>2303</v>
      </c>
      <c r="B15" s="26" t="s">
        <v>2304</v>
      </c>
      <c r="D15" s="26" t="s">
        <v>2260</v>
      </c>
      <c r="E15" s="26" t="s">
        <v>2259</v>
      </c>
    </row>
    <row r="16">
      <c r="A16" s="26" t="s">
        <v>2305</v>
      </c>
      <c r="B16" s="26" t="s">
        <v>2306</v>
      </c>
      <c r="D16" s="26" t="s">
        <v>2307</v>
      </c>
      <c r="E16" s="26" t="s">
        <v>2308</v>
      </c>
    </row>
    <row r="17">
      <c r="A17" s="26" t="s">
        <v>2309</v>
      </c>
      <c r="B17" s="26" t="s">
        <v>2310</v>
      </c>
      <c r="D17" s="26" t="s">
        <v>2311</v>
      </c>
      <c r="E17" s="26" t="s">
        <v>2312</v>
      </c>
    </row>
    <row r="18">
      <c r="A18" s="26" t="s">
        <v>2313</v>
      </c>
      <c r="B18" s="26" t="s">
        <v>2314</v>
      </c>
      <c r="D18" s="26" t="s">
        <v>2315</v>
      </c>
      <c r="E18" s="26" t="s">
        <v>2316</v>
      </c>
    </row>
    <row r="19">
      <c r="A19" s="26" t="s">
        <v>2317</v>
      </c>
      <c r="B19" s="26" t="s">
        <v>2318</v>
      </c>
      <c r="D19" s="249"/>
      <c r="E19" s="249"/>
    </row>
    <row r="20">
      <c r="A20" s="26" t="s">
        <v>2319</v>
      </c>
      <c r="B20" s="26" t="s">
        <v>2320</v>
      </c>
    </row>
    <row r="21">
      <c r="A21" s="26" t="s">
        <v>2321</v>
      </c>
      <c r="B21" s="26" t="s">
        <v>2322</v>
      </c>
      <c r="D21" s="79"/>
      <c r="E21" s="79"/>
    </row>
    <row r="22">
      <c r="A22" s="26" t="s">
        <v>2323</v>
      </c>
      <c r="B22" s="26" t="s">
        <v>2324</v>
      </c>
      <c r="D22" s="250" t="s">
        <v>2325</v>
      </c>
      <c r="E22" s="250" t="s">
        <v>2255</v>
      </c>
    </row>
    <row r="23">
      <c r="A23" s="26" t="s">
        <v>2326</v>
      </c>
      <c r="B23" s="26" t="s">
        <v>2327</v>
      </c>
      <c r="D23" s="79" t="s">
        <v>2328</v>
      </c>
      <c r="E23" s="79" t="s">
        <v>2329</v>
      </c>
    </row>
    <row r="24">
      <c r="A24" s="26" t="s">
        <v>577</v>
      </c>
      <c r="B24" s="26" t="s">
        <v>979</v>
      </c>
      <c r="D24" s="79" t="s">
        <v>2330</v>
      </c>
      <c r="E24" s="79" t="s">
        <v>2331</v>
      </c>
    </row>
    <row r="25">
      <c r="A25" s="26" t="s">
        <v>2332</v>
      </c>
      <c r="B25" s="26" t="s">
        <v>2333</v>
      </c>
      <c r="D25" s="79" t="s">
        <v>2334</v>
      </c>
      <c r="E25" s="79" t="s">
        <v>2335</v>
      </c>
    </row>
    <row r="26">
      <c r="A26" s="26" t="s">
        <v>2336</v>
      </c>
      <c r="B26" s="26" t="s">
        <v>2337</v>
      </c>
      <c r="D26" s="79" t="s">
        <v>2338</v>
      </c>
      <c r="E26" s="79" t="s">
        <v>2339</v>
      </c>
    </row>
    <row r="27">
      <c r="A27" s="26" t="s">
        <v>2340</v>
      </c>
      <c r="B27" s="26" t="s">
        <v>2341</v>
      </c>
      <c r="D27" s="79" t="s">
        <v>2342</v>
      </c>
      <c r="E27" s="79" t="s">
        <v>2343</v>
      </c>
    </row>
    <row r="28">
      <c r="A28" s="26" t="s">
        <v>2344</v>
      </c>
      <c r="B28" s="26" t="s">
        <v>2345</v>
      </c>
      <c r="D28" s="79" t="s">
        <v>2346</v>
      </c>
      <c r="E28" s="79" t="s">
        <v>2347</v>
      </c>
    </row>
    <row r="29">
      <c r="A29" s="26" t="s">
        <v>2348</v>
      </c>
      <c r="B29" s="26" t="s">
        <v>2349</v>
      </c>
      <c r="D29" s="79" t="s">
        <v>2350</v>
      </c>
      <c r="E29" s="79" t="s">
        <v>2351</v>
      </c>
    </row>
    <row r="30">
      <c r="A30" s="26" t="s">
        <v>2352</v>
      </c>
      <c r="B30" s="26" t="s">
        <v>2353</v>
      </c>
      <c r="D30" s="79" t="s">
        <v>2354</v>
      </c>
      <c r="E30" s="79" t="s">
        <v>2355</v>
      </c>
    </row>
    <row r="31">
      <c r="A31" s="26" t="s">
        <v>2356</v>
      </c>
      <c r="B31" s="26" t="s">
        <v>1243</v>
      </c>
    </row>
    <row r="32">
      <c r="A32" s="26" t="s">
        <v>2357</v>
      </c>
      <c r="B32" s="26" t="s">
        <v>2358</v>
      </c>
      <c r="D32" s="249" t="s">
        <v>2359</v>
      </c>
      <c r="E32" s="249" t="s">
        <v>2255</v>
      </c>
    </row>
    <row r="33">
      <c r="A33" s="26" t="s">
        <v>2360</v>
      </c>
      <c r="B33" s="26" t="s">
        <v>2361</v>
      </c>
      <c r="D33" s="26" t="s">
        <v>2259</v>
      </c>
      <c r="E33" s="26" t="s">
        <v>2260</v>
      </c>
    </row>
    <row r="34">
      <c r="A34" s="26" t="s">
        <v>2362</v>
      </c>
      <c r="B34" s="26" t="s">
        <v>2363</v>
      </c>
      <c r="D34" s="26" t="s">
        <v>2263</v>
      </c>
      <c r="E34" s="26" t="s">
        <v>2264</v>
      </c>
    </row>
    <row r="35">
      <c r="A35" s="26" t="s">
        <v>2364</v>
      </c>
      <c r="B35" s="26" t="s">
        <v>2365</v>
      </c>
      <c r="D35" s="26" t="s">
        <v>2302</v>
      </c>
      <c r="E35" s="26" t="s">
        <v>2301</v>
      </c>
    </row>
    <row r="36">
      <c r="A36" s="26" t="s">
        <v>2366</v>
      </c>
      <c r="B36" s="26" t="s">
        <v>2367</v>
      </c>
      <c r="D36" s="26" t="s">
        <v>2368</v>
      </c>
      <c r="E36" s="26" t="s">
        <v>2369</v>
      </c>
    </row>
    <row r="37">
      <c r="A37" s="26" t="s">
        <v>2370</v>
      </c>
      <c r="B37" s="26" t="s">
        <v>2295</v>
      </c>
      <c r="D37" s="26" t="s">
        <v>2371</v>
      </c>
      <c r="E37" s="26" t="s">
        <v>2372</v>
      </c>
    </row>
    <row r="38">
      <c r="A38" s="26" t="s">
        <v>2373</v>
      </c>
      <c r="B38" s="26" t="s">
        <v>2295</v>
      </c>
      <c r="D38" s="26" t="s">
        <v>2374</v>
      </c>
      <c r="E38" s="26" t="s">
        <v>2375</v>
      </c>
    </row>
    <row r="39">
      <c r="A39" s="26" t="s">
        <v>2376</v>
      </c>
      <c r="B39" s="26" t="s">
        <v>2295</v>
      </c>
      <c r="D39" s="26" t="s">
        <v>2377</v>
      </c>
      <c r="E39" s="26" t="s">
        <v>2378</v>
      </c>
    </row>
    <row r="40">
      <c r="A40" s="26" t="s">
        <v>2379</v>
      </c>
      <c r="B40" s="26" t="s">
        <v>2295</v>
      </c>
      <c r="D40" s="26" t="s">
        <v>2380</v>
      </c>
      <c r="E40" s="26" t="s">
        <v>2381</v>
      </c>
    </row>
    <row r="41">
      <c r="A41" s="26" t="s">
        <v>2269</v>
      </c>
      <c r="B41" s="26" t="s">
        <v>2216</v>
      </c>
      <c r="D41" s="26" t="s">
        <v>2382</v>
      </c>
      <c r="E41" s="26" t="s">
        <v>2383</v>
      </c>
    </row>
    <row r="42">
      <c r="A42" s="26" t="s">
        <v>2384</v>
      </c>
      <c r="B42" s="26" t="s">
        <v>2385</v>
      </c>
      <c r="D42" s="26" t="s">
        <v>2386</v>
      </c>
      <c r="E42" s="26" t="s">
        <v>2387</v>
      </c>
    </row>
    <row r="43">
      <c r="A43" s="251" t="s">
        <v>2388</v>
      </c>
      <c r="B43" s="26" t="s">
        <v>2389</v>
      </c>
      <c r="D43" s="26" t="s">
        <v>2390</v>
      </c>
      <c r="E43" s="26" t="s">
        <v>2391</v>
      </c>
    </row>
    <row r="44">
      <c r="A44" s="26" t="s">
        <v>2392</v>
      </c>
      <c r="B44" s="26" t="s">
        <v>1042</v>
      </c>
    </row>
    <row r="45">
      <c r="A45" s="26" t="s">
        <v>2393</v>
      </c>
      <c r="B45" s="26" t="s">
        <v>2394</v>
      </c>
    </row>
    <row r="46">
      <c r="A46" s="26" t="s">
        <v>2395</v>
      </c>
      <c r="B46" s="26" t="s">
        <v>2396</v>
      </c>
    </row>
    <row r="47">
      <c r="A47" s="26" t="s">
        <v>2397</v>
      </c>
      <c r="B47" s="26" t="s">
        <v>1394</v>
      </c>
      <c r="D47" s="252"/>
    </row>
    <row r="48">
      <c r="A48" s="26" t="s">
        <v>2398</v>
      </c>
      <c r="B48" s="26" t="s">
        <v>2399</v>
      </c>
      <c r="D48" s="252"/>
    </row>
    <row r="49">
      <c r="A49" s="26" t="s">
        <v>2400</v>
      </c>
      <c r="B49" s="26" t="s">
        <v>2401</v>
      </c>
      <c r="D49" s="252"/>
    </row>
    <row r="50">
      <c r="A50" s="26" t="s">
        <v>2402</v>
      </c>
      <c r="B50" s="26" t="s">
        <v>1349</v>
      </c>
      <c r="D50" s="252"/>
    </row>
    <row r="51">
      <c r="A51" s="26" t="s">
        <v>2403</v>
      </c>
      <c r="B51" s="26" t="s">
        <v>2404</v>
      </c>
      <c r="D51" s="252"/>
    </row>
    <row r="52">
      <c r="D52" s="252"/>
    </row>
    <row r="53">
      <c r="A53" s="26" t="s">
        <v>2405</v>
      </c>
      <c r="B53" s="26" t="s">
        <v>2304</v>
      </c>
      <c r="D53" s="252"/>
    </row>
    <row r="54">
      <c r="A54" s="26" t="s">
        <v>2406</v>
      </c>
      <c r="B54" s="26" t="s">
        <v>2320</v>
      </c>
    </row>
    <row r="55">
      <c r="A55" s="26" t="s">
        <v>2407</v>
      </c>
      <c r="B55" s="26" t="s">
        <v>2408</v>
      </c>
      <c r="D55" s="252"/>
    </row>
    <row r="56">
      <c r="A56" s="26" t="s">
        <v>2409</v>
      </c>
      <c r="B56" s="26" t="s">
        <v>2310</v>
      </c>
    </row>
    <row r="57">
      <c r="A57" s="26" t="s">
        <v>2410</v>
      </c>
      <c r="B57" s="26" t="s">
        <v>2411</v>
      </c>
      <c r="D57" s="252"/>
    </row>
    <row r="58">
      <c r="A58" s="26" t="s">
        <v>2316</v>
      </c>
      <c r="B58" s="26" t="s">
        <v>2315</v>
      </c>
      <c r="D58" s="252"/>
    </row>
    <row r="59">
      <c r="A59" s="26" t="s">
        <v>2259</v>
      </c>
      <c r="B59" s="26" t="s">
        <v>2260</v>
      </c>
      <c r="D59" s="252"/>
    </row>
    <row r="60">
      <c r="A60" s="26" t="s">
        <v>2377</v>
      </c>
      <c r="B60" s="26" t="s">
        <v>2378</v>
      </c>
      <c r="D60" s="252"/>
    </row>
    <row r="61">
      <c r="A61" s="26" t="s">
        <v>2412</v>
      </c>
      <c r="B61" s="26" t="s">
        <v>2413</v>
      </c>
      <c r="D61" s="252"/>
    </row>
    <row r="62">
      <c r="A62" s="26" t="s">
        <v>2414</v>
      </c>
      <c r="B62" s="26" t="s">
        <v>2415</v>
      </c>
      <c r="D62" s="252"/>
    </row>
    <row r="63">
      <c r="A63" s="26" t="s">
        <v>2416</v>
      </c>
      <c r="B63" s="26" t="s">
        <v>2417</v>
      </c>
      <c r="D63" s="252"/>
    </row>
    <row r="64">
      <c r="A64" s="26" t="s">
        <v>2418</v>
      </c>
      <c r="B64" s="26" t="s">
        <v>2419</v>
      </c>
      <c r="D64" s="252"/>
    </row>
    <row r="65">
      <c r="A65" s="26" t="s">
        <v>2420</v>
      </c>
      <c r="B65" s="26" t="s">
        <v>2421</v>
      </c>
      <c r="D65" s="252"/>
    </row>
    <row r="66">
      <c r="A66" s="26" t="s">
        <v>2422</v>
      </c>
      <c r="B66" s="26" t="s">
        <v>2423</v>
      </c>
      <c r="D66" s="252"/>
    </row>
    <row r="67">
      <c r="A67" s="26" t="s">
        <v>2424</v>
      </c>
      <c r="B67" s="26" t="s">
        <v>2425</v>
      </c>
      <c r="D67" s="252"/>
    </row>
    <row r="68">
      <c r="A68" s="26" t="s">
        <v>2426</v>
      </c>
      <c r="B68" s="26" t="s">
        <v>2427</v>
      </c>
      <c r="D68" s="252"/>
    </row>
    <row r="69">
      <c r="A69" s="26" t="s">
        <v>2428</v>
      </c>
      <c r="B69" s="26" t="s">
        <v>2429</v>
      </c>
      <c r="D69" s="252"/>
    </row>
    <row r="70">
      <c r="A70" s="26" t="s">
        <v>2430</v>
      </c>
      <c r="B70" s="26" t="s">
        <v>1365</v>
      </c>
      <c r="D70" s="252"/>
    </row>
    <row r="71">
      <c r="A71" s="26" t="s">
        <v>2431</v>
      </c>
      <c r="B71" s="26" t="s">
        <v>2432</v>
      </c>
      <c r="D71" s="252"/>
    </row>
    <row r="72">
      <c r="A72" s="253" t="s">
        <v>2433</v>
      </c>
      <c r="B72" s="26" t="s">
        <v>2434</v>
      </c>
      <c r="D72" s="252"/>
    </row>
    <row r="73">
      <c r="A73" s="253" t="s">
        <v>2435</v>
      </c>
      <c r="B73" s="26" t="s">
        <v>2436</v>
      </c>
      <c r="D73" s="252"/>
    </row>
    <row r="74">
      <c r="A74" s="26" t="s">
        <v>2437</v>
      </c>
      <c r="B74" s="26" t="s">
        <v>2438</v>
      </c>
    </row>
    <row r="75">
      <c r="A75" s="26" t="s">
        <v>923</v>
      </c>
      <c r="B75" s="26" t="s">
        <v>1667</v>
      </c>
    </row>
    <row r="76">
      <c r="A76" s="26" t="s">
        <v>2439</v>
      </c>
      <c r="B76" s="26" t="s">
        <v>2440</v>
      </c>
    </row>
    <row r="77">
      <c r="A77" s="26" t="s">
        <v>2441</v>
      </c>
      <c r="B77" s="26" t="s">
        <v>2442</v>
      </c>
    </row>
    <row r="78">
      <c r="A78" s="26" t="s">
        <v>2443</v>
      </c>
      <c r="B78" s="26" t="s">
        <v>2444</v>
      </c>
    </row>
    <row r="79">
      <c r="A79" s="26" t="s">
        <v>2445</v>
      </c>
      <c r="B79" s="26" t="s">
        <v>2446</v>
      </c>
    </row>
    <row r="80">
      <c r="A80" s="26" t="s">
        <v>2447</v>
      </c>
      <c r="B80" s="26" t="s">
        <v>2448</v>
      </c>
    </row>
    <row r="81">
      <c r="A81" s="26" t="s">
        <v>2449</v>
      </c>
      <c r="B81" s="26" t="s">
        <v>2450</v>
      </c>
    </row>
    <row r="82">
      <c r="A82" s="26" t="s">
        <v>2451</v>
      </c>
      <c r="B82" s="26" t="s">
        <v>2452</v>
      </c>
    </row>
    <row r="83">
      <c r="A83" s="26" t="s">
        <v>2453</v>
      </c>
      <c r="B83" s="26" t="s">
        <v>2454</v>
      </c>
    </row>
    <row r="84">
      <c r="A84" s="26" t="s">
        <v>2455</v>
      </c>
      <c r="B84" s="26" t="s">
        <v>2456</v>
      </c>
    </row>
    <row r="85">
      <c r="A85" s="26" t="s">
        <v>2457</v>
      </c>
      <c r="B85" s="26" t="s">
        <v>2458</v>
      </c>
    </row>
    <row r="86">
      <c r="A86" s="26" t="s">
        <v>2459</v>
      </c>
      <c r="B86" s="26" t="s">
        <v>2460</v>
      </c>
    </row>
    <row r="87">
      <c r="A87" s="26" t="s">
        <v>2461</v>
      </c>
      <c r="B87" s="26" t="s">
        <v>2462</v>
      </c>
    </row>
    <row r="88">
      <c r="A88" s="26" t="s">
        <v>2463</v>
      </c>
      <c r="B88" s="26" t="s">
        <v>2464</v>
      </c>
    </row>
    <row r="89">
      <c r="A89" s="26" t="s">
        <v>2465</v>
      </c>
      <c r="B89" s="26" t="s">
        <v>2466</v>
      </c>
    </row>
    <row r="90">
      <c r="A90" s="238" t="s">
        <v>2467</v>
      </c>
      <c r="B90" s="26" t="s">
        <v>2468</v>
      </c>
    </row>
    <row r="91">
      <c r="A91" s="26" t="s">
        <v>2469</v>
      </c>
      <c r="B91" s="26" t="s">
        <v>2144</v>
      </c>
    </row>
    <row r="92">
      <c r="A92" s="26" t="s">
        <v>2470</v>
      </c>
      <c r="B92" s="26" t="s">
        <v>2471</v>
      </c>
    </row>
    <row r="93">
      <c r="A93" s="26" t="s">
        <v>2472</v>
      </c>
      <c r="B93" s="26" t="s">
        <v>2473</v>
      </c>
    </row>
    <row r="94">
      <c r="A94" s="26" t="s">
        <v>2474</v>
      </c>
      <c r="B94" s="26" t="s">
        <v>2475</v>
      </c>
    </row>
    <row r="95">
      <c r="A95" s="26" t="s">
        <v>2476</v>
      </c>
      <c r="B95" s="26" t="s">
        <v>2477</v>
      </c>
    </row>
    <row r="96">
      <c r="A96" s="26" t="s">
        <v>2478</v>
      </c>
      <c r="B96" s="26" t="s">
        <v>2479</v>
      </c>
    </row>
    <row r="97">
      <c r="A97" s="26" t="s">
        <v>2480</v>
      </c>
      <c r="B97" s="26" t="s">
        <v>2481</v>
      </c>
    </row>
    <row r="98">
      <c r="A98" s="26" t="s">
        <v>2482</v>
      </c>
      <c r="B98" s="26" t="s">
        <v>2483</v>
      </c>
    </row>
    <row r="99">
      <c r="A99" s="26" t="s">
        <v>2484</v>
      </c>
      <c r="B99" s="26" t="s">
        <v>2485</v>
      </c>
    </row>
    <row r="100">
      <c r="A100" s="26" t="s">
        <v>2486</v>
      </c>
      <c r="B100" s="26" t="s">
        <v>2487</v>
      </c>
      <c r="D100" s="252"/>
    </row>
    <row r="101">
      <c r="A101" s="26" t="s">
        <v>2488</v>
      </c>
      <c r="B101" s="26" t="s">
        <v>2489</v>
      </c>
      <c r="D101" s="252"/>
    </row>
    <row r="102">
      <c r="A102" s="26" t="s">
        <v>2490</v>
      </c>
      <c r="B102" s="26" t="s">
        <v>2491</v>
      </c>
      <c r="D102" s="252"/>
    </row>
    <row r="103">
      <c r="A103" s="26" t="s">
        <v>2492</v>
      </c>
      <c r="B103" s="26" t="s">
        <v>2493</v>
      </c>
      <c r="D103" s="252"/>
    </row>
    <row r="104">
      <c r="A104" s="26" t="s">
        <v>2494</v>
      </c>
      <c r="B104" s="26" t="s">
        <v>2495</v>
      </c>
      <c r="D104" s="252"/>
    </row>
    <row r="105">
      <c r="A105" s="26" t="s">
        <v>2496</v>
      </c>
      <c r="B105" s="26" t="s">
        <v>2361</v>
      </c>
    </row>
    <row r="106">
      <c r="A106" s="26" t="s">
        <v>2497</v>
      </c>
      <c r="B106" s="26" t="s">
        <v>1799</v>
      </c>
    </row>
    <row r="107">
      <c r="A107" s="26" t="s">
        <v>2498</v>
      </c>
      <c r="B107" s="26" t="s">
        <v>2499</v>
      </c>
    </row>
    <row r="108">
      <c r="A108" s="26" t="s">
        <v>2500</v>
      </c>
      <c r="B108" s="26" t="s">
        <v>2501</v>
      </c>
    </row>
    <row r="109">
      <c r="A109" s="26" t="s">
        <v>2502</v>
      </c>
      <c r="B109" s="26" t="s">
        <v>2503</v>
      </c>
    </row>
    <row r="110">
      <c r="A110" s="26" t="s">
        <v>2504</v>
      </c>
      <c r="B110" s="26" t="s">
        <v>2505</v>
      </c>
      <c r="D110" s="252"/>
    </row>
    <row r="111">
      <c r="D111" s="252"/>
    </row>
    <row r="112">
      <c r="D112" s="252"/>
    </row>
    <row r="113">
      <c r="D113" s="252"/>
    </row>
    <row r="114">
      <c r="D114" s="252"/>
    </row>
    <row r="115">
      <c r="D115" s="252"/>
    </row>
    <row r="116">
      <c r="D116" s="252"/>
    </row>
    <row r="117">
      <c r="D117" s="252"/>
    </row>
    <row r="118">
      <c r="D118" s="252"/>
    </row>
    <row r="119">
      <c r="D119" s="252"/>
    </row>
    <row r="120">
      <c r="D120" s="252"/>
    </row>
    <row r="121">
      <c r="D121" s="252"/>
    </row>
    <row r="122">
      <c r="D122" s="252"/>
    </row>
    <row r="123">
      <c r="D123" s="252"/>
    </row>
    <row r="125">
      <c r="D125" s="252"/>
    </row>
    <row r="126">
      <c r="D126" s="252"/>
    </row>
    <row r="127">
      <c r="D127" s="252"/>
    </row>
    <row r="128">
      <c r="D128" s="252"/>
    </row>
    <row r="137">
      <c r="D137" s="252"/>
    </row>
    <row r="138">
      <c r="D138" s="252"/>
    </row>
    <row r="139">
      <c r="D139" s="252"/>
    </row>
    <row r="140">
      <c r="D140" s="252"/>
    </row>
    <row r="141">
      <c r="D141" s="252"/>
    </row>
    <row r="142">
      <c r="D142" s="252"/>
    </row>
    <row r="143">
      <c r="D143" s="252"/>
    </row>
    <row r="144">
      <c r="D144" s="252"/>
    </row>
    <row r="146">
      <c r="D146" s="252"/>
    </row>
    <row r="147">
      <c r="D147" s="252"/>
    </row>
    <row r="148">
      <c r="D148" s="252"/>
    </row>
    <row r="150">
      <c r="D150" s="252"/>
    </row>
    <row r="152">
      <c r="D152" s="252"/>
    </row>
    <row r="153">
      <c r="D153" s="252"/>
    </row>
    <row r="154">
      <c r="D154" s="252"/>
    </row>
    <row r="155">
      <c r="D155" s="252"/>
    </row>
    <row r="156">
      <c r="D156" s="252"/>
    </row>
    <row r="157">
      <c r="D157" s="252"/>
    </row>
    <row r="158">
      <c r="D158" s="252"/>
    </row>
    <row r="159">
      <c r="D159" s="252"/>
    </row>
    <row r="160">
      <c r="D160" s="252"/>
    </row>
    <row r="161">
      <c r="D161" s="252"/>
    </row>
    <row r="162">
      <c r="D162" s="252"/>
    </row>
    <row r="163">
      <c r="D163" s="252"/>
    </row>
    <row r="165">
      <c r="D165" s="252"/>
    </row>
    <row r="166">
      <c r="D166" s="252"/>
    </row>
    <row r="167">
      <c r="D167" s="252"/>
    </row>
    <row r="168">
      <c r="D168" s="252"/>
    </row>
    <row r="172">
      <c r="D172" s="252"/>
    </row>
    <row r="173">
      <c r="D173" s="252"/>
    </row>
    <row r="174">
      <c r="D174" s="252"/>
    </row>
    <row r="175">
      <c r="D175" s="252"/>
    </row>
    <row r="176">
      <c r="D176" s="252"/>
    </row>
    <row r="177">
      <c r="D177" s="252"/>
    </row>
    <row r="178">
      <c r="D178" s="252"/>
    </row>
    <row r="180">
      <c r="D180" s="252"/>
    </row>
    <row r="181">
      <c r="D181" s="252"/>
    </row>
    <row r="182">
      <c r="D182" s="252"/>
    </row>
    <row r="183">
      <c r="D183" s="252"/>
    </row>
    <row r="184">
      <c r="D184" s="252"/>
    </row>
    <row r="185">
      <c r="D185" s="252"/>
    </row>
    <row r="186">
      <c r="D186" s="252"/>
    </row>
    <row r="187">
      <c r="D187" s="252"/>
    </row>
    <row r="188">
      <c r="D188" s="252"/>
    </row>
    <row r="189">
      <c r="D189" s="252"/>
    </row>
    <row r="190">
      <c r="D190" s="252"/>
    </row>
    <row r="191">
      <c r="D191" s="252"/>
    </row>
    <row r="192">
      <c r="D192" s="252"/>
    </row>
    <row r="193">
      <c r="D193" s="252"/>
    </row>
    <row r="196">
      <c r="D196" s="252"/>
    </row>
    <row r="197">
      <c r="D197" s="252"/>
    </row>
    <row r="198">
      <c r="D198" s="252"/>
    </row>
    <row r="199">
      <c r="D199" s="252"/>
    </row>
    <row r="200">
      <c r="D200" s="252"/>
    </row>
    <row r="201">
      <c r="D201" s="252"/>
    </row>
    <row r="202">
      <c r="D202" s="252"/>
    </row>
    <row r="203">
      <c r="D203" s="252"/>
    </row>
    <row r="204">
      <c r="D204" s="252"/>
    </row>
    <row r="205">
      <c r="D205" s="252"/>
    </row>
    <row r="206">
      <c r="D206" s="252"/>
    </row>
    <row r="207">
      <c r="D207" s="252"/>
    </row>
    <row r="208">
      <c r="D208" s="252"/>
    </row>
  </sheetData>
  <autoFilter ref="$A$1:$B$110">
    <sortState ref="A1:B110">
      <sortCondition descending="1" ref="B1:B110"/>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34.11"/>
  </cols>
  <sheetData>
    <row r="1">
      <c r="A1" s="254" t="s">
        <v>2506</v>
      </c>
      <c r="B1" s="254" t="s">
        <v>2507</v>
      </c>
      <c r="C1" s="254" t="s">
        <v>2508</v>
      </c>
      <c r="H1" s="254" t="s">
        <v>2506</v>
      </c>
      <c r="I1" s="254" t="s">
        <v>2507</v>
      </c>
      <c r="J1" s="254" t="s">
        <v>2508</v>
      </c>
    </row>
    <row r="2">
      <c r="A2" s="254"/>
      <c r="B2" s="254"/>
      <c r="C2" s="254"/>
      <c r="H2" s="26" t="s">
        <v>2509</v>
      </c>
    </row>
    <row r="3">
      <c r="A3" s="254" t="s">
        <v>2510</v>
      </c>
      <c r="B3" s="254"/>
      <c r="C3" s="254"/>
      <c r="H3" s="26" t="s">
        <v>2511</v>
      </c>
      <c r="J3" s="37">
        <f>COUNTIF('Cleaned Master sheet'!P2:P206, "*scheduling*")</f>
        <v>142</v>
      </c>
    </row>
    <row r="4">
      <c r="A4" s="255" t="s">
        <v>2512</v>
      </c>
      <c r="B4" s="255" t="s">
        <v>2513</v>
      </c>
      <c r="C4" s="255">
        <v>373.0</v>
      </c>
      <c r="H4" s="26" t="s">
        <v>2514</v>
      </c>
      <c r="J4" s="37">
        <f>COUNTIF('Cleaned Master sheet'!P2:P206, "&lt;&gt;*scheduling*")</f>
        <v>63</v>
      </c>
    </row>
    <row r="5">
      <c r="A5" s="255" t="s">
        <v>2515</v>
      </c>
      <c r="B5" s="255" t="s">
        <v>2516</v>
      </c>
      <c r="C5" s="255">
        <v>36.0</v>
      </c>
      <c r="H5" s="26" t="s">
        <v>2517</v>
      </c>
      <c r="J5" s="37">
        <f>(J3)/(J4+J3)*100</f>
        <v>69.26829268</v>
      </c>
    </row>
    <row r="6">
      <c r="A6" s="255" t="s">
        <v>2518</v>
      </c>
      <c r="B6" s="255" t="s">
        <v>2519</v>
      </c>
      <c r="C6" s="255">
        <v>337.0</v>
      </c>
      <c r="H6" s="26" t="s">
        <v>2520</v>
      </c>
      <c r="J6" s="37">
        <f>(J4)/(J3+J4)*100</f>
        <v>30.73170732</v>
      </c>
    </row>
    <row r="7">
      <c r="A7" s="254" t="s">
        <v>2521</v>
      </c>
      <c r="B7" s="254" t="s">
        <v>2522</v>
      </c>
      <c r="C7" s="256">
        <f>COUNTA('Cleaned Master sheet'!C2:C1000)</f>
        <v>205</v>
      </c>
      <c r="H7" s="26" t="s">
        <v>2523</v>
      </c>
    </row>
    <row r="8">
      <c r="A8" s="254" t="s">
        <v>2524</v>
      </c>
      <c r="B8" s="255" t="s">
        <v>2525</v>
      </c>
      <c r="C8" s="256">
        <v>616.0</v>
      </c>
    </row>
    <row r="9">
      <c r="A9" s="254"/>
      <c r="B9" s="254"/>
      <c r="C9" s="254"/>
    </row>
    <row r="10">
      <c r="A10" s="254" t="s">
        <v>2526</v>
      </c>
      <c r="B10" s="254"/>
      <c r="C10" s="254"/>
    </row>
    <row r="11">
      <c r="A11" s="254" t="s">
        <v>2527</v>
      </c>
      <c r="B11" s="255" t="s">
        <v>2528</v>
      </c>
      <c r="C11" s="256">
        <f>COUNTIF('Cleaned Master sheet'!F2:F1000,"L0")</f>
        <v>14</v>
      </c>
    </row>
    <row r="12">
      <c r="A12" s="254" t="s">
        <v>2529</v>
      </c>
      <c r="B12" s="255" t="s">
        <v>2530</v>
      </c>
      <c r="C12" s="256">
        <f>COUNTIF('Cleaned Master sheet'!F2:F1000,"L1")</f>
        <v>13</v>
      </c>
    </row>
    <row r="13">
      <c r="A13" s="254" t="s">
        <v>2531</v>
      </c>
      <c r="B13" s="255" t="s">
        <v>2532</v>
      </c>
      <c r="C13" s="256">
        <f>COUNTIF('Cleaned Master sheet'!F2:F1000,"L2")</f>
        <v>154</v>
      </c>
    </row>
    <row r="14">
      <c r="A14" s="254" t="s">
        <v>2533</v>
      </c>
      <c r="B14" s="255" t="s">
        <v>2534</v>
      </c>
      <c r="C14" s="256">
        <f>COUNTIF('Cleaned Master sheet'!F2:F1000,"L3*")</f>
        <v>24</v>
      </c>
    </row>
    <row r="15">
      <c r="A15" s="254"/>
      <c r="B15" s="254"/>
      <c r="C15" s="254"/>
    </row>
    <row r="16">
      <c r="A16" s="254" t="s">
        <v>2535</v>
      </c>
      <c r="B16" s="254"/>
      <c r="C16" s="254"/>
    </row>
    <row r="17">
      <c r="A17" s="254" t="s">
        <v>2536</v>
      </c>
      <c r="B17" s="254" t="s">
        <v>2537</v>
      </c>
      <c r="C17" s="256">
        <f>COUNTIF('Cleaned Master sheet'!O2:O1000,"Not specified")+COUNTIF('Cleaned Master sheet'!O2:O1000,"None")</f>
        <v>124</v>
      </c>
    </row>
    <row r="18">
      <c r="A18" s="254" t="s">
        <v>2538</v>
      </c>
      <c r="B18" s="254" t="s">
        <v>2539</v>
      </c>
      <c r="C18" s="256">
        <f>COUNTA('Cleaned Master sheet'!C2:C1000)-COUNTIF('Cleaned Master sheet'!O2:O1000,"Not specified")-COUNTIF('Cleaned Master sheet'!O2:O1000,"None")</f>
        <v>81</v>
      </c>
    </row>
    <row r="19">
      <c r="A19" s="254" t="s">
        <v>2540</v>
      </c>
      <c r="B19" s="254" t="s">
        <v>2541</v>
      </c>
      <c r="C19" s="256">
        <f>COUNTIF('Cleaned Master sheet'!O2:O1000,"Electronics")+COUNTIF('Cleaned Master sheet'!O2:O1000,"Semiconductor")</f>
        <v>20</v>
      </c>
    </row>
    <row r="20">
      <c r="A20" s="254" t="s">
        <v>2542</v>
      </c>
      <c r="B20" s="254" t="s">
        <v>980</v>
      </c>
      <c r="C20" s="256">
        <f>COUNTIF('Cleaned Master sheet'!O2:O1000,"Metal*")</f>
        <v>12</v>
      </c>
    </row>
    <row r="21">
      <c r="A21" s="254" t="s">
        <v>2543</v>
      </c>
      <c r="B21" s="254" t="s">
        <v>1003</v>
      </c>
      <c r="C21" s="256">
        <f>COUNTIF('Cleaned Master sheet'!O2:O1000,"Automotive")</f>
        <v>13</v>
      </c>
    </row>
    <row r="22">
      <c r="A22" s="254" t="s">
        <v>2544</v>
      </c>
      <c r="B22" s="254" t="s">
        <v>2545</v>
      </c>
      <c r="C22" s="256">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54" t="s">
        <v>2546</v>
      </c>
      <c r="B23" s="254" t="s">
        <v>2547</v>
      </c>
      <c r="C23" s="256">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54" t="s">
        <v>2548</v>
      </c>
      <c r="B24" s="254" t="s">
        <v>1355</v>
      </c>
      <c r="C24" s="256">
        <f>COUNTIF('Cleaned Master sheet'!O2:O1000,"Aerospace")</f>
        <v>7</v>
      </c>
    </row>
    <row r="25">
      <c r="A25" s="254"/>
      <c r="B25" s="254"/>
      <c r="C25" s="254"/>
    </row>
    <row r="26">
      <c r="A26" s="254" t="s">
        <v>2549</v>
      </c>
      <c r="B26" s="254"/>
      <c r="C26" s="254"/>
    </row>
    <row r="27">
      <c r="A27" s="254" t="s">
        <v>2550</v>
      </c>
      <c r="B27" s="254" t="s">
        <v>972</v>
      </c>
      <c r="C27" s="256">
        <f>COUNTIF('Cleaned Master sheet'!P2:P1000,"scheduling")</f>
        <v>142</v>
      </c>
    </row>
    <row r="28">
      <c r="A28" s="254" t="s">
        <v>2551</v>
      </c>
      <c r="B28" s="254" t="s">
        <v>2552</v>
      </c>
      <c r="C28" s="256">
        <f>COUNTIF('Cleaned Master sheet'!P2:P1000,"Logistics")+COUNTIF('Cleaned Master sheet'!P2:P1000,"Supply chain")+COUNTIF('Cleaned Master sheet'!P2:P1000,"Safe materials transportation")+COUNTIF('Cleaned Master sheet'!P2:P1000,"Material flow control")</f>
        <v>11</v>
      </c>
    </row>
    <row r="29">
      <c r="A29" s="254" t="s">
        <v>2553</v>
      </c>
      <c r="B29" s="254" t="s">
        <v>1021</v>
      </c>
      <c r="C29" s="256">
        <f>COUNTIF('Cleaned Master sheet'!P2:P1000,"Plant layout")+COUNTIF('Cleaned Master sheet'!P2:P1000,"Reconfigur*")+COUNTIF('Cleaned Master sheet'!P2:P1000,"Combined design*")</f>
        <v>12</v>
      </c>
    </row>
    <row r="30">
      <c r="A30" s="254" t="s">
        <v>2554</v>
      </c>
      <c r="B30" s="254" t="s">
        <v>982</v>
      </c>
      <c r="C30" s="256">
        <f>COUNTIF('Cleaned Master sheet'!P2:P1000,"Demand forecasting")+COUNTIF('Cleaned Master sheet'!P2:P1000,"Lead time prediction")+COUNTIF('Cleaned Master sheet'!P2:P1000,"Bottleneck prediction")+COUNTIF('Cleaned Master sheet'!P2:P1000,"Customization level prediction")</f>
        <v>9</v>
      </c>
    </row>
    <row r="31">
      <c r="A31" s="254" t="s">
        <v>2555</v>
      </c>
      <c r="B31" s="254" t="s">
        <v>1082</v>
      </c>
      <c r="C31" s="256">
        <f>COUNTIF('Cleaned Master sheet'!P2:P1000,"Data collection*")+COUNTIF('Cleaned Master sheet'!P2:P1000,"Simulation*")+COUNTIF('Cleaned Master sheet'!P2:P1000,"3D simulation")+COUNTIF('Cleaned Master sheet'!P2:P1000,"Dashboard*")</f>
        <v>9</v>
      </c>
    </row>
    <row r="32">
      <c r="A32" s="254" t="s">
        <v>2556</v>
      </c>
      <c r="B32" s="254" t="s">
        <v>2557</v>
      </c>
      <c r="C32" s="256">
        <f>COUNTIF('Cleaned Master sheet'!P2:P1000,"Predictive maintenance")+COUNTIF('Cleaned Master sheet'!P2:P1000,"Product quality")+COUNTIF('Cleaned Master sheet'!P2:P1000,"Fault detection")+COUNTIF('Cleaned Master sheet'!P2:P1000,"Process monitoring")+COUNTIF('Cleaned Master sheet'!P2:P1000,"Defect*")</f>
        <v>6</v>
      </c>
    </row>
    <row r="33">
      <c r="A33" s="254" t="s">
        <v>2558</v>
      </c>
      <c r="B33" s="254" t="s">
        <v>1729</v>
      </c>
      <c r="C33" s="256">
        <f>COUNTIF('Cleaned Master sheet'!P2:P1000,"Human-robot*")</f>
        <v>6</v>
      </c>
    </row>
    <row r="34">
      <c r="A34" s="254"/>
      <c r="B34" s="254"/>
      <c r="C34" s="254"/>
    </row>
    <row r="35">
      <c r="A35" s="254" t="s">
        <v>2559</v>
      </c>
      <c r="B35" s="254"/>
      <c r="C35" s="254"/>
    </row>
    <row r="36">
      <c r="A36" s="254" t="s">
        <v>2560</v>
      </c>
      <c r="B36" s="254" t="s">
        <v>2561</v>
      </c>
      <c r="C36" s="256">
        <f>COUNTIF('Cleaned Master sheet'!N2:N1000,2020)+COUNTIF('Cleaned Master sheet'!N2:N1000,2019)+COUNTIF('Cleaned Master sheet'!N2:N1000,2018)+COUNTIF('Cleaned Master sheet'!N2:N1000,2016)</f>
        <v>19</v>
      </c>
    </row>
    <row r="37">
      <c r="A37" s="254" t="s">
        <v>2562</v>
      </c>
      <c r="B37" s="254" t="s">
        <v>2563</v>
      </c>
      <c r="C37" s="256">
        <f>COUNTIF('Cleaned Master sheet'!N2:N1000,"2021")</f>
        <v>12</v>
      </c>
    </row>
    <row r="38">
      <c r="A38" s="254" t="s">
        <v>2564</v>
      </c>
      <c r="B38" s="254" t="s">
        <v>2565</v>
      </c>
      <c r="C38" s="256">
        <f>COUNTIF('Cleaned Master sheet'!N2:N1000,"2022")</f>
        <v>26</v>
      </c>
    </row>
    <row r="39">
      <c r="A39" s="254" t="s">
        <v>2566</v>
      </c>
      <c r="B39" s="254" t="s">
        <v>2567</v>
      </c>
      <c r="C39" s="256">
        <f>COUNTIF('Cleaned Master sheet'!N2:N1000,"2023")</f>
        <v>19</v>
      </c>
    </row>
    <row r="40">
      <c r="A40" s="254" t="s">
        <v>2568</v>
      </c>
      <c r="B40" s="254" t="s">
        <v>2569</v>
      </c>
      <c r="C40" s="256">
        <f>COUNTIF('Cleaned Master sheet'!N2:N1000,"2024")</f>
        <v>45</v>
      </c>
    </row>
    <row r="41">
      <c r="A41" s="254" t="s">
        <v>2570</v>
      </c>
      <c r="B41" s="254" t="s">
        <v>2571</v>
      </c>
      <c r="C41" s="256">
        <f>COUNTIF('Cleaned Master sheet'!N2:N1000,"2025")</f>
        <v>81</v>
      </c>
    </row>
    <row r="42">
      <c r="A42" s="254" t="s">
        <v>2572</v>
      </c>
      <c r="B42" s="254" t="s">
        <v>2573</v>
      </c>
      <c r="C42" s="256">
        <f>COUNTIF('Cleaned Master sheet'!N2:N1000,"2026")</f>
        <v>3</v>
      </c>
    </row>
    <row r="43">
      <c r="A43" s="254"/>
      <c r="B43" s="254"/>
      <c r="C43" s="254"/>
    </row>
    <row r="44">
      <c r="A44" s="254" t="s">
        <v>2574</v>
      </c>
      <c r="B44" s="254"/>
      <c r="C44" s="254"/>
    </row>
    <row r="45">
      <c r="A45" s="254" t="s">
        <v>2575</v>
      </c>
      <c r="B45" s="254" t="s">
        <v>1027</v>
      </c>
      <c r="C45" s="256">
        <f>COUNTIF('Cleaned Master sheet'!M2:M1000,"China")</f>
        <v>111</v>
      </c>
    </row>
    <row r="46">
      <c r="A46" s="254" t="s">
        <v>2576</v>
      </c>
      <c r="B46" s="254" t="s">
        <v>1019</v>
      </c>
      <c r="C46" s="256">
        <f>COUNTIF('Cleaned Master sheet'!M2:M1000,"Germany")</f>
        <v>14</v>
      </c>
    </row>
    <row r="47">
      <c r="A47" s="254"/>
      <c r="B47" s="254"/>
      <c r="C47" s="254"/>
    </row>
    <row r="48">
      <c r="A48" s="254" t="s">
        <v>2577</v>
      </c>
      <c r="B48" s="254"/>
      <c r="C48" s="254"/>
    </row>
    <row r="49">
      <c r="A49" s="254" t="s">
        <v>2578</v>
      </c>
      <c r="B49" s="254" t="s">
        <v>998</v>
      </c>
      <c r="C49" s="256">
        <f>COUNTIF('Cleaned Master sheet'!I2:I1000,"simulation")</f>
        <v>129</v>
      </c>
    </row>
    <row r="50">
      <c r="A50" s="254" t="s">
        <v>2579</v>
      </c>
      <c r="B50" s="254" t="s">
        <v>2580</v>
      </c>
      <c r="C50" s="256">
        <f>COUNTIF('Cleaned Master sheet'!I2:I1000,"static evaluation")</f>
        <v>53</v>
      </c>
    </row>
    <row r="51">
      <c r="A51" s="254" t="s">
        <v>2581</v>
      </c>
      <c r="B51" s="254" t="s">
        <v>2582</v>
      </c>
      <c r="C51" s="256">
        <f>COUNTIF('Cleaned Master sheet'!I2:I1000,"lab case study")</f>
        <v>16</v>
      </c>
    </row>
    <row r="52">
      <c r="A52" s="254" t="s">
        <v>2583</v>
      </c>
      <c r="B52" s="254" t="s">
        <v>2584</v>
      </c>
      <c r="C52" s="256">
        <f>COUNTIF('Cleaned Master sheet'!I2:I1000,"industrial*")</f>
        <v>5</v>
      </c>
    </row>
    <row r="53">
      <c r="A53" s="254" t="s">
        <v>2585</v>
      </c>
      <c r="B53" s="254" t="s">
        <v>1666</v>
      </c>
      <c r="C53" s="256">
        <f>COUNTIF('Cleaned Master sheet'!I2:I1000,"Other")</f>
        <v>2</v>
      </c>
    </row>
    <row r="54">
      <c r="A54" s="254"/>
      <c r="B54" s="254"/>
      <c r="C54" s="254"/>
    </row>
    <row r="55">
      <c r="A55" s="254" t="s">
        <v>2586</v>
      </c>
      <c r="B55" s="254"/>
      <c r="C55" s="254"/>
    </row>
    <row r="56">
      <c r="A56" s="254" t="s">
        <v>2587</v>
      </c>
      <c r="B56" s="254" t="s">
        <v>2588</v>
      </c>
      <c r="C56" s="256">
        <f>COUNTIF('Cleaned Master sheet'!J2:J1000,"*synthetic*")</f>
        <v>143</v>
      </c>
    </row>
    <row r="57">
      <c r="A57" s="254" t="s">
        <v>2589</v>
      </c>
      <c r="B57" s="254" t="s">
        <v>2590</v>
      </c>
      <c r="C57" s="256">
        <f>COUNTIF('Cleaned Master sheet'!J2:J1000,"*industrial*")</f>
        <v>65</v>
      </c>
    </row>
    <row r="58">
      <c r="A58" s="254" t="s">
        <v>2591</v>
      </c>
      <c r="B58" s="254" t="s">
        <v>2592</v>
      </c>
      <c r="C58" s="256">
        <f>IFERROR(__xludf.DUMMYFUNCTION("SUM(ArrayFormula(--REGEXMATCH(
  LOWER('Cleaned Master sheet'!J2:J1000),
  ""(^|[^A-Za-z0-9_])benchmarks?([^A-Za-z0-9_]|$)""
)))"),45.0)</f>
        <v>45</v>
      </c>
    </row>
    <row r="59">
      <c r="A59" s="254" t="s">
        <v>2593</v>
      </c>
      <c r="B59" s="254" t="s">
        <v>2594</v>
      </c>
      <c r="C59" s="256">
        <f>COUNTIF('Cleaned Master sheet'!J2:J1000,"*lab**")</f>
        <v>22</v>
      </c>
    </row>
    <row r="60">
      <c r="A60" s="254"/>
      <c r="B60" s="254"/>
      <c r="C60" s="254"/>
    </row>
    <row r="61">
      <c r="A61" s="255" t="s">
        <v>2595</v>
      </c>
      <c r="B61" s="254"/>
      <c r="C61" s="254"/>
    </row>
    <row r="62">
      <c r="A62" s="254" t="s">
        <v>2596</v>
      </c>
      <c r="B62" s="254" t="s">
        <v>2597</v>
      </c>
      <c r="C62" s="256">
        <f>SUMPRODUCT(('Cleaned Master sheet'!F2:F1000="L2")*(ISNUMBER(SEARCH("scheduling",'Cleaned Master sheet'!P2:P1000))))</f>
        <v>120</v>
      </c>
    </row>
    <row r="63">
      <c r="A63" s="254" t="s">
        <v>2598</v>
      </c>
      <c r="B63" s="254" t="s">
        <v>2599</v>
      </c>
      <c r="C63" s="256">
        <f>COUNTIF('Cleaned Master sheet'!F2:F1000,"L2")-SUMPRODUCT(('Cleaned Master sheet'!F2:F1000="L2")*(ISNUMBER(SEARCH("scheduling",'Cleaned Master sheet'!P2:P1000))))</f>
        <v>34</v>
      </c>
    </row>
    <row r="64">
      <c r="A64" s="254"/>
      <c r="B64" s="254"/>
      <c r="C64" s="254"/>
    </row>
    <row r="65">
      <c r="A65" s="255" t="s">
        <v>2600</v>
      </c>
      <c r="B65" s="254"/>
      <c r="C65" s="254"/>
    </row>
    <row r="66">
      <c r="A66" s="254" t="s">
        <v>2601</v>
      </c>
      <c r="B66" s="254" t="s">
        <v>2602</v>
      </c>
      <c r="C66" s="256">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c r="A67" s="254" t="s">
        <v>2603</v>
      </c>
      <c r="B67" s="254" t="s">
        <v>2604</v>
      </c>
      <c r="C67" s="256">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c r="A68" s="254" t="s">
        <v>2605</v>
      </c>
      <c r="B68" s="254" t="s">
        <v>2606</v>
      </c>
      <c r="C68" s="256">
        <f>SUMPRODUCT(('Cleaned Master sheet'!F2:F1000="L2")*(ISNUMBER(SEARCH("dynamic",'Cleaned Master sheet'!R2:R1000)))*(ISNUMBER(SEARCH("flexible",'Cleaned Master sheet'!R2:R1000)))*(ISNUMBER(SEARCH("job",'Cleaned Master sheet'!R2:R1000)))*(NOT(ISNUMBER(SEARCH("distributed",'Cleaned Master sheet'!R2:R1000)))))</f>
        <v>16</v>
      </c>
    </row>
    <row r="69">
      <c r="A69" s="254" t="s">
        <v>2607</v>
      </c>
      <c r="B69" s="254" t="s">
        <v>2608</v>
      </c>
      <c r="C69" s="256">
        <f>SUMPRODUCT(('Cleaned Master sheet'!F2:F1000="L2")*(ISNUMBER(SEARCH("dynamic",'Cleaned Master sheet'!R2:R1000)))*(ISNUMBER(SEARCH("job",'Cleaned Master sheet'!R2:R1000)))*(NOT(ISNUMBER(SEARCH("flexible",'Cleaned Master sheet'!R2:R1000))))*(NOT(ISNUMBER(SEARCH("distributed",'Cleaned Master sheet'!R2:R1000)))))</f>
        <v>8</v>
      </c>
    </row>
    <row r="70">
      <c r="A70" s="254" t="s">
        <v>2609</v>
      </c>
      <c r="B70" s="254" t="s">
        <v>2610</v>
      </c>
      <c r="C70" s="256">
        <f>SUMPRODUCT(('Cleaned Master sheet'!F2:F1000="L2")*(ISNUMBER(SEARCH("distributed",'Cleaned Master sheet'!R2:R1000))))</f>
        <v>4</v>
      </c>
    </row>
    <row r="71">
      <c r="A71" s="254"/>
      <c r="B71" s="254"/>
      <c r="C71" s="254"/>
    </row>
    <row r="72">
      <c r="A72" s="255" t="s">
        <v>2611</v>
      </c>
      <c r="B72" s="254"/>
      <c r="C72" s="254"/>
    </row>
    <row r="73">
      <c r="A73" s="254" t="s">
        <v>2612</v>
      </c>
      <c r="B73" s="254" t="s">
        <v>2613</v>
      </c>
      <c r="C73" s="256">
        <f>SUMPRODUCT(('Cleaned Master sheet'!F2:F1000="L2")*(ISNUMBER(SEARCH("makespan",'Cleaned Master sheet'!S2:S1000))))</f>
        <v>90</v>
      </c>
    </row>
    <row r="74">
      <c r="A74" s="254" t="s">
        <v>2614</v>
      </c>
      <c r="B74" s="254" t="s">
        <v>2615</v>
      </c>
      <c r="C74" s="256">
        <f>SUMPRODUCT(('Cleaned Master sheet'!F2:F1000="L2")*(ISNUMBER(SEARCH("robust",'Cleaned Master sheet'!S2:S1000))))+SUMPRODUCT(('Cleaned Master sheet'!F2:F1000="L2")*(ISNUMBER(SEARCH("stability",'Cleaned Master sheet'!S2:S1000))))</f>
        <v>19</v>
      </c>
    </row>
    <row r="75">
      <c r="A75" s="254" t="s">
        <v>2616</v>
      </c>
      <c r="B75" s="254" t="s">
        <v>2617</v>
      </c>
      <c r="C75" s="256">
        <f>SUMPRODUCT(('Cleaned Master sheet'!F2:F1000="L2")*(ISNUMBER(SEARCH("tardiness",'Cleaned Master sheet'!S2:S1000))))</f>
        <v>29</v>
      </c>
    </row>
    <row r="76">
      <c r="A76" s="254" t="s">
        <v>2618</v>
      </c>
      <c r="B76" s="254" t="s">
        <v>2619</v>
      </c>
      <c r="C76" s="256">
        <f>SUMPRODUCT(('Cleaned Master sheet'!F2:F1000="L2")*(ISNUMBER(SEARCH("energy",'Cleaned Master sheet'!S2:S1000))))</f>
        <v>12</v>
      </c>
    </row>
    <row r="77">
      <c r="A77" s="254" t="s">
        <v>2620</v>
      </c>
      <c r="B77" s="254" t="s">
        <v>2621</v>
      </c>
      <c r="C77" s="256">
        <f>SUMPRODUCT(('Cleaned Master sheet'!F2:F1000="L2")*(ISNUMBER(SEARCH("utilisation",'Cleaned Master sheet'!S2:S1000))))+SUMPRODUCT(('Cleaned Master sheet'!F2:F1000="L2")*(ISNUMBER(SEARCH("utilization",'Cleaned Master sheet'!S2:S1000))))</f>
        <v>13</v>
      </c>
    </row>
    <row r="78">
      <c r="A78" s="254"/>
      <c r="B78" s="254"/>
      <c r="C78" s="254"/>
    </row>
    <row r="79">
      <c r="A79" s="255" t="s">
        <v>2622</v>
      </c>
      <c r="B79" s="254"/>
      <c r="C79" s="254"/>
    </row>
    <row r="80">
      <c r="A80" s="255" t="s">
        <v>2623</v>
      </c>
      <c r="B80" s="255" t="s">
        <v>2624</v>
      </c>
      <c r="C80" s="256">
        <f>SUMPRODUCT(('Cleaned Master sheet'!F2:F1000="L2")*(ISNUMBER(SEARCH("metaheuristic",'Cleaned Master sheet'!K2:K1000))))</f>
        <v>23</v>
      </c>
    </row>
    <row r="81">
      <c r="A81" s="254" t="s">
        <v>2625</v>
      </c>
      <c r="B81" s="254" t="s">
        <v>2626</v>
      </c>
      <c r="C81" s="256">
        <f>SUMPRODUCT(('Cleaned Master sheet'!F2:F1000="L2")*(ISNUMBER(SEARCH("RL",'Cleaned Master sheet'!L2:L1000))))</f>
        <v>90</v>
      </c>
    </row>
    <row r="82">
      <c r="A82" s="254" t="s">
        <v>2627</v>
      </c>
      <c r="B82" s="254" t="s">
        <v>2628</v>
      </c>
      <c r="C82" s="256">
        <f>SUMPRODUCT(('Cleaned Master sheet'!F2:F1000="L2")*(ISNUMBER(SEARCH("DL",'Cleaned Master sheet'!L2:L1000))))</f>
        <v>10</v>
      </c>
    </row>
    <row r="83">
      <c r="A83" s="255" t="s">
        <v>2629</v>
      </c>
      <c r="B83" s="255" t="s">
        <v>2630</v>
      </c>
      <c r="C83" s="37">
        <f>SUMPRODUCT(('Cleaned Master sheet'!F2:F1001="L2")*(ISNUMBER(SEARCH("classic",'Cleaned Master sheet'!K2:K1001))))</f>
        <v>4</v>
      </c>
      <c r="E83" s="37">
        <f>C84-C83-C82-C81</f>
        <v>0</v>
      </c>
    </row>
    <row r="84">
      <c r="A84" s="254" t="s">
        <v>2631</v>
      </c>
      <c r="B84" s="254" t="s">
        <v>2632</v>
      </c>
      <c r="C84" s="256">
        <f>SUMPRODUCT(('Cleaned Master sheet'!F2:F1000="L2")*(ISNUMBER(SEARCH("ML",'Cleaned Master sheet'!K2:K1000))))</f>
        <v>104</v>
      </c>
    </row>
    <row r="85">
      <c r="A85" s="254" t="s">
        <v>2633</v>
      </c>
      <c r="B85" s="254" t="s">
        <v>2634</v>
      </c>
      <c r="C85" s="256">
        <f>SUMPRODUCT(('Cleaned Master sheet'!F2:F1000="L2")*(ISNUMBER(SEARCH("AI",'Cleaned Master sheet'!K2:K1000))))</f>
        <v>4</v>
      </c>
    </row>
    <row r="86">
      <c r="A86" s="254" t="s">
        <v>2635</v>
      </c>
      <c r="B86" s="254" t="s">
        <v>2636</v>
      </c>
      <c r="C86" s="256">
        <f>SUMPRODUCT(('Cleaned Master sheet'!F2:F1000="L2")*(ISNUMBER(SEARCH("CPS",'Cleaned Master sheet'!K2:K1000))))</f>
        <v>7</v>
      </c>
    </row>
    <row r="87">
      <c r="A87" s="254" t="s">
        <v>2637</v>
      </c>
      <c r="B87" s="254" t="s">
        <v>2638</v>
      </c>
      <c r="C87" s="256">
        <f>SUMPRODUCT(('Cleaned Master sheet'!F2:F1000="L2")*(ISNUMBER(SEARCH("IoT",'Cleaned Master sheet'!K2:K1000))))</f>
        <v>7</v>
      </c>
    </row>
    <row r="88">
      <c r="A88" s="254" t="s">
        <v>2639</v>
      </c>
      <c r="B88" s="254" t="s">
        <v>2640</v>
      </c>
      <c r="C88" s="256">
        <f>SUMPRODUCT(('Cleaned Master sheet'!F2:F1000="L2")*(ISNUMBER(SEARCH("DT",'Cleaned Master sheet'!K2:K1000))))</f>
        <v>14</v>
      </c>
    </row>
    <row r="89">
      <c r="A89" s="254" t="s">
        <v>2641</v>
      </c>
      <c r="B89" s="254" t="s">
        <v>2642</v>
      </c>
      <c r="C89" s="256">
        <f>SUMPRODUCT(('Cleaned Master sheet'!F2:F1000="L2")*(ISNUMBER(SEARCH("AGV",'Cleaned Master sheet'!K2:K1000))))</f>
        <v>28</v>
      </c>
    </row>
    <row r="90">
      <c r="A90" s="254"/>
      <c r="B90" s="254"/>
      <c r="C90" s="254"/>
    </row>
    <row r="91">
      <c r="A91" s="255" t="s">
        <v>2643</v>
      </c>
      <c r="B91" s="254"/>
      <c r="C91" s="254"/>
    </row>
    <row r="92">
      <c r="A92" s="254" t="s">
        <v>2644</v>
      </c>
      <c r="B92" s="254" t="s">
        <v>2645</v>
      </c>
      <c r="C92" s="256">
        <f>SUMPRODUCT(('Cleaned Master sheet'!F2:F1000="L2")*(ISNUMBER(SEARCH("PPO",'Cleaned Master sheet'!L2:L1000))))</f>
        <v>36</v>
      </c>
    </row>
    <row r="93">
      <c r="A93" s="254" t="s">
        <v>2646</v>
      </c>
      <c r="B93" s="254" t="s">
        <v>2647</v>
      </c>
      <c r="C93" s="256">
        <f>SUMPRODUCT(('Cleaned Master sheet'!F2:F1000="L2")*(ISNUMBER(SEARCH("DQN",'Cleaned Master sheet'!L2:L1000))))</f>
        <v>23</v>
      </c>
    </row>
    <row r="94">
      <c r="A94" s="254" t="s">
        <v>2648</v>
      </c>
      <c r="B94" s="254" t="s">
        <v>2649</v>
      </c>
      <c r="C94" s="256">
        <f>SUMPRODUCT(('Cleaned Master sheet'!F2:F1000="L2")*(ISNUMBER(SEARCH("GNN",'Cleaned Master sheet'!L2:L1000))))</f>
        <v>29</v>
      </c>
    </row>
    <row r="95">
      <c r="A95" s="254" t="s">
        <v>2650</v>
      </c>
      <c r="B95" s="254" t="s">
        <v>2651</v>
      </c>
      <c r="C95" s="256">
        <f>SUMPRODUCT(('Cleaned Master sheet'!F2:F1000="L2")*(ISNUMBER(SEARCH("MARL",'Cleaned Master sheet'!L2:L1000))))</f>
        <v>0</v>
      </c>
    </row>
    <row r="96">
      <c r="A96" s="254" t="s">
        <v>2652</v>
      </c>
      <c r="B96" s="254" t="s">
        <v>2653</v>
      </c>
      <c r="C96" s="256">
        <f>SUMPRODUCT(('Cleaned Master sheet'!F2:F1000="L2")*(ISNUMBER(SEARCH("Genetic algorithm",'Cleaned Master sheet'!L2:L1000))))</f>
        <v>2</v>
      </c>
    </row>
    <row r="97">
      <c r="A97" s="254"/>
      <c r="B97" s="254"/>
      <c r="C97" s="254"/>
    </row>
    <row r="98">
      <c r="A98" s="255" t="s">
        <v>2654</v>
      </c>
      <c r="B98" s="254"/>
      <c r="C98" s="254"/>
    </row>
    <row r="99">
      <c r="A99" s="254" t="s">
        <v>2655</v>
      </c>
      <c r="B99" s="254" t="s">
        <v>2656</v>
      </c>
      <c r="C99" s="256">
        <f>SUMPRODUCT(('Cleaned Master sheet'!F2:F1000="L2")*('Cleaned Master sheet'!I2:I1000="simulation"))</f>
        <v>110</v>
      </c>
    </row>
    <row r="100">
      <c r="A100" s="254" t="s">
        <v>2657</v>
      </c>
      <c r="B100" s="254" t="s">
        <v>2658</v>
      </c>
      <c r="C100" s="256">
        <f>SUMPRODUCT(('Cleaned Master sheet'!F2:F1000="L2")*('Cleaned Master sheet'!I2:I1000="static evaluation"))</f>
        <v>29</v>
      </c>
    </row>
    <row r="101">
      <c r="A101" s="254" t="s">
        <v>2659</v>
      </c>
      <c r="B101" s="254" t="s">
        <v>2660</v>
      </c>
      <c r="C101" s="256">
        <f>SUMPRODUCT(('Cleaned Master sheet'!F2:F1000="L2")*('Cleaned Master sheet'!I2:I1000="lab case study"))</f>
        <v>12</v>
      </c>
    </row>
    <row r="102">
      <c r="A102" s="254" t="s">
        <v>2661</v>
      </c>
      <c r="B102" s="254" t="s">
        <v>2662</v>
      </c>
      <c r="C102" s="256">
        <f>SUMPRODUCT(('Cleaned Master sheet'!F2:F1000="L2")*(ISNUMBER(SEARCH("industrial",'Cleaned Master sheet'!I2:I1000))))</f>
        <v>2</v>
      </c>
    </row>
    <row r="103">
      <c r="A103" s="26" t="s">
        <v>2663</v>
      </c>
      <c r="B103" s="26" t="s">
        <v>2664</v>
      </c>
      <c r="C103" s="26">
        <f>SUMPRODUCT(('Cleaned Master sheet'!F2:F1000="L2")*(ISNUMBER(SEARCH("other",'Cleaned Master sheet'!I2:I1000))))</f>
        <v>1</v>
      </c>
    </row>
    <row r="105">
      <c r="A105" s="26" t="s">
        <v>2665</v>
      </c>
    </row>
    <row r="106">
      <c r="A106" s="26" t="s">
        <v>2666</v>
      </c>
      <c r="B106" s="255" t="s">
        <v>2667</v>
      </c>
      <c r="C106" s="256">
        <f>SUMPRODUCT(('Cleaned Master sheet'!F2:F1007="L0")*('Cleaned Master sheet'!I2:I1007="simulation"))</f>
        <v>2</v>
      </c>
    </row>
    <row r="107">
      <c r="A107" s="26" t="s">
        <v>2668</v>
      </c>
      <c r="B107" s="255" t="s">
        <v>2669</v>
      </c>
      <c r="C107" s="256">
        <f>SUMPRODUCT(('Cleaned Master sheet'!F2:F1007="L0")*('Cleaned Master sheet'!I2:I1007="static evaluation"))</f>
        <v>7</v>
      </c>
    </row>
    <row r="108">
      <c r="A108" s="26" t="s">
        <v>2670</v>
      </c>
      <c r="B108" s="255" t="s">
        <v>2671</v>
      </c>
      <c r="C108" s="256">
        <f>SUMPRODUCT(('Cleaned Master sheet'!F2:F1007="L0")*('Cleaned Master sheet'!I2:I1007="lab case study"))</f>
        <v>3</v>
      </c>
    </row>
    <row r="109">
      <c r="A109" s="26" t="s">
        <v>2672</v>
      </c>
      <c r="B109" s="255" t="s">
        <v>2673</v>
      </c>
      <c r="C109" s="256">
        <f>SUMPRODUCT(('Cleaned Master sheet'!F2:F1007="L0")*(ISNUMBER(SEARCH("industrial",'Cleaned Master sheet'!I2:I1007))))</f>
        <v>1</v>
      </c>
    </row>
    <row r="110">
      <c r="A110" s="26" t="s">
        <v>2674</v>
      </c>
      <c r="B110" s="26" t="s">
        <v>2675</v>
      </c>
      <c r="C110" s="26">
        <f>SUMPRODUCT(('Cleaned Master sheet'!F2:F1007="L0")*(ISNUMBER(SEARCH("other",'Cleaned Master sheet'!I2:I1007))))</f>
        <v>1</v>
      </c>
    </row>
    <row r="112">
      <c r="A112" s="26" t="s">
        <v>2676</v>
      </c>
    </row>
    <row r="113">
      <c r="A113" s="26" t="s">
        <v>2677</v>
      </c>
      <c r="B113" s="255" t="s">
        <v>2678</v>
      </c>
      <c r="C113" s="256">
        <f>SUMPRODUCT(('Cleaned Master sheet'!F2:F1014="L1")*('Cleaned Master sheet'!I2:I1014="simulation"))</f>
        <v>6</v>
      </c>
    </row>
    <row r="114">
      <c r="A114" s="26" t="s">
        <v>2679</v>
      </c>
      <c r="B114" s="255" t="s">
        <v>2680</v>
      </c>
      <c r="C114" s="256">
        <f>SUMPRODUCT(('Cleaned Master sheet'!F2:F1014="L1")*('Cleaned Master sheet'!I2:I1014="static evaluation"))</f>
        <v>6</v>
      </c>
    </row>
    <row r="115">
      <c r="A115" s="26" t="s">
        <v>2681</v>
      </c>
      <c r="B115" s="255" t="s">
        <v>2682</v>
      </c>
      <c r="C115" s="256">
        <f>SUMPRODUCT(('Cleaned Master sheet'!F2:F1014="L1")*('Cleaned Master sheet'!I2:I1014="lab case study"))</f>
        <v>1</v>
      </c>
    </row>
    <row r="116">
      <c r="A116" s="26" t="s">
        <v>2683</v>
      </c>
      <c r="B116" s="255" t="s">
        <v>2684</v>
      </c>
      <c r="C116" s="256">
        <f>SUMPRODUCT(('Cleaned Master sheet'!F2:F1014="L1")*(ISNUMBER(SEARCH("industrial",'Cleaned Master sheet'!I2:I1014))))</f>
        <v>0</v>
      </c>
    </row>
    <row r="117">
      <c r="A117" s="26" t="s">
        <v>2685</v>
      </c>
      <c r="B117" s="26" t="s">
        <v>2686</v>
      </c>
      <c r="C117" s="26">
        <f>SUMPRODUCT(('Cleaned Master sheet'!F2:F1014="L1")*(ISNUMBER(SEARCH("other",'Cleaned Master sheet'!I2:I1014))))</f>
        <v>0</v>
      </c>
    </row>
    <row r="119">
      <c r="A119" s="26" t="s">
        <v>2687</v>
      </c>
    </row>
    <row r="120">
      <c r="A120" s="26" t="s">
        <v>2688</v>
      </c>
      <c r="B120" s="255" t="s">
        <v>2689</v>
      </c>
      <c r="C120" s="256">
        <f>SUMPRODUCT(('Cleaned Master sheet'!F2:F1021="L3")*('Cleaned Master sheet'!I2:I1021="simulation"))</f>
        <v>11</v>
      </c>
    </row>
    <row r="121">
      <c r="A121" s="26" t="s">
        <v>2690</v>
      </c>
      <c r="B121" s="255" t="s">
        <v>2691</v>
      </c>
      <c r="C121" s="256">
        <f>SUMPRODUCT(('Cleaned Master sheet'!F2:F1021="L3")*('Cleaned Master sheet'!I2:I1021="static evaluation"))</f>
        <v>11</v>
      </c>
    </row>
    <row r="122">
      <c r="A122" s="26" t="s">
        <v>2692</v>
      </c>
      <c r="B122" s="255" t="s">
        <v>2693</v>
      </c>
      <c r="C122" s="256">
        <f>SUMPRODUCT(('Cleaned Master sheet'!F2:F1021="L3")*('Cleaned Master sheet'!I2:I1021="lab case study"))</f>
        <v>0</v>
      </c>
    </row>
    <row r="123">
      <c r="A123" s="26" t="s">
        <v>2694</v>
      </c>
      <c r="B123" s="255" t="s">
        <v>2695</v>
      </c>
      <c r="C123" s="256">
        <f>SUMPRODUCT(('Cleaned Master sheet'!F2:F1021="L3")*(ISNUMBER(SEARCH("industrial",'Cleaned Master sheet'!I2:I1021))))</f>
        <v>2</v>
      </c>
    </row>
    <row r="124">
      <c r="A124" s="26" t="s">
        <v>2696</v>
      </c>
      <c r="B124" s="26" t="s">
        <v>2697</v>
      </c>
      <c r="C124" s="26">
        <f>SUMPRODUCT(('Cleaned Master sheet'!F2:F1021="L3")*(ISNUMBER(SEARCH("other",'Cleaned Master sheet'!I2:I1021))))</f>
        <v>0</v>
      </c>
    </row>
    <row r="126">
      <c r="A126" s="255" t="s">
        <v>2698</v>
      </c>
      <c r="B126" s="254"/>
      <c r="C126" s="254"/>
    </row>
    <row r="127">
      <c r="A127" s="255" t="s">
        <v>2699</v>
      </c>
      <c r="B127" s="255" t="s">
        <v>2700</v>
      </c>
      <c r="C127" s="256">
        <f>SUMPRODUCT(('Cleaned Master sheet'!F2:F1028="L2")*('Cleaned Master sheet'!J2:J1028="Industrial data"))</f>
        <v>14</v>
      </c>
    </row>
    <row r="128">
      <c r="A128" s="255" t="s">
        <v>2701</v>
      </c>
      <c r="B128" s="255" t="s">
        <v>2702</v>
      </c>
      <c r="C128" s="256">
        <f>SUMPRODUCT(('Cleaned Master sheet'!F2:F1028="L2")*('Cleaned Master sheet'!J2:J1028="lab data"))</f>
        <v>14</v>
      </c>
    </row>
    <row r="129">
      <c r="A129" s="255" t="s">
        <v>2703</v>
      </c>
      <c r="B129" s="255" t="s">
        <v>2704</v>
      </c>
      <c r="C129" s="256">
        <f>SUMPRODUCT(('Cleaned Master sheet'!F2:F1028="L2")*('Cleaned Master sheet'!J2:J1028="synthetic"))</f>
        <v>60</v>
      </c>
    </row>
    <row r="130">
      <c r="A130" s="255" t="s">
        <v>2705</v>
      </c>
      <c r="B130" s="255" t="s">
        <v>2706</v>
      </c>
      <c r="C130" s="256">
        <f>SUMPRODUCT(('Cleaned Master sheet'!F2:F1029="L2")*('Cleaned Master sheet'!J2:J1029="benchmark"))</f>
        <v>0</v>
      </c>
    </row>
    <row r="133">
      <c r="A133" s="26" t="s">
        <v>2707</v>
      </c>
    </row>
    <row r="134">
      <c r="A134" s="26" t="s">
        <v>2708</v>
      </c>
      <c r="C134" s="26">
        <f>COUNTIF('Cleaned Master sheet'!K2:K1000,"heuristic")</f>
        <v>7</v>
      </c>
    </row>
    <row r="135">
      <c r="A135" s="26" t="s">
        <v>2709</v>
      </c>
      <c r="C135" s="256">
        <f>COUNTIF('Cleaned Master sheet'!K2:K1000,"metaheuristic")</f>
        <v>19</v>
      </c>
    </row>
    <row r="137">
      <c r="A137" s="255" t="s">
        <v>2710</v>
      </c>
      <c r="B137" s="254"/>
    </row>
    <row r="138">
      <c r="A138" s="255" t="s">
        <v>2711</v>
      </c>
      <c r="B138" s="255" t="s">
        <v>2712</v>
      </c>
      <c r="C138" s="256">
        <f>SUMPRODUCT(('Cleaned Master sheet'!F2:F1057="L3")*(ISNUMBER(SEARCH("metaheuristic",'Cleaned Master sheet'!K2:K1057))))</f>
        <v>6</v>
      </c>
    </row>
    <row r="139">
      <c r="A139" s="255" t="s">
        <v>2711</v>
      </c>
      <c r="B139" s="255" t="s">
        <v>2713</v>
      </c>
      <c r="C139" s="256">
        <f>SUMPRODUCT(('Cleaned Master sheet'!F3:F1058="L3")*
ISNUMBER(SEARCH(",heuristic,",","&amp;SUBSTITUTE(LOWER('Cleaned Master sheet'!K3:K1058)," ","")&amp;",")))</f>
        <v>1</v>
      </c>
    </row>
    <row r="140">
      <c r="A140" s="255" t="s">
        <v>2714</v>
      </c>
      <c r="B140" s="255" t="s">
        <v>2715</v>
      </c>
      <c r="C140" s="256">
        <f>SUMPRODUCT(('Cleaned Master sheet'!F2:F1057="L3")*
((ISNUMBER(SEARCH(",RL,",","&amp;SUBSTITUTE('Cleaned Master sheet'!K2:K1057," ","")&amp;",")))))</f>
        <v>0</v>
      </c>
    </row>
    <row r="141">
      <c r="A141" s="255" t="s">
        <v>2716</v>
      </c>
      <c r="B141" s="255" t="s">
        <v>2717</v>
      </c>
      <c r="C141" s="256">
        <f>SUMPRODUCT(('Cleaned Master sheet'!F2:F1057="L3")*
((ISNUMBER(SEARCH(",DL,",","&amp;SUBSTITUTE('Cleaned Master sheet'!K2:K1057," ","")&amp;",")))))</f>
        <v>0</v>
      </c>
    </row>
    <row r="142">
      <c r="A142" s="255" t="s">
        <v>2718</v>
      </c>
      <c r="B142" s="255" t="s">
        <v>2719</v>
      </c>
      <c r="C142" s="256">
        <f>SUMPRODUCT(('Cleaned Master sheet'!F2:F1057="L3")*
((ISNUMBER(SEARCH(",ML,",","&amp;SUBSTITUTE('Cleaned Master sheet'!K2:K1057," ","")&amp;",")))))</f>
        <v>7</v>
      </c>
    </row>
    <row r="143">
      <c r="A143" s="255" t="s">
        <v>2720</v>
      </c>
      <c r="B143" s="255" t="s">
        <v>2721</v>
      </c>
      <c r="C143" s="256">
        <f>SUMPRODUCT(('Cleaned Master sheet'!F2:F1057="L3")*(ISNUMBER(SEARCH("AI",'Cleaned Master sheet'!K2:K1057))))</f>
        <v>1</v>
      </c>
    </row>
    <row r="144">
      <c r="A144" s="255" t="s">
        <v>2722</v>
      </c>
      <c r="B144" s="255" t="s">
        <v>2723</v>
      </c>
      <c r="C144" s="256">
        <f>SUMPRODUCT(('Cleaned Master sheet'!F59:F1057="L3")*(ISNUMBER(SEARCH("CPS",'Cleaned Master sheet'!K59:K1057))))</f>
        <v>0</v>
      </c>
    </row>
    <row r="145">
      <c r="A145" s="255" t="s">
        <v>2724</v>
      </c>
      <c r="B145" s="255" t="s">
        <v>2725</v>
      </c>
      <c r="C145" s="256">
        <f>SUMPRODUCT(('Cleaned Master sheet'!F2:F1057="L3")*
((ISNUMBER(SEARCH(",iot,",","&amp;SUBSTITUTE('Cleaned Master sheet'!K2:K1057," ","")&amp;",")))))</f>
        <v>0</v>
      </c>
    </row>
    <row r="146">
      <c r="A146" s="255" t="s">
        <v>2726</v>
      </c>
      <c r="B146" s="255" t="s">
        <v>2727</v>
      </c>
      <c r="C146" s="256">
        <f>SUMPRODUCT(('Cleaned Master sheet'!F2:F1057="L3")*
((ISNUMBER(SEARCH(",DT,",","&amp;SUBSTITUTE('Cleaned Master sheet'!K2:K1057," ","")&amp;",")))))</f>
        <v>6</v>
      </c>
    </row>
    <row r="147">
      <c r="A147" s="255" t="s">
        <v>2728</v>
      </c>
      <c r="B147" s="255" t="s">
        <v>2729</v>
      </c>
      <c r="C147" s="256">
        <f>SUMPRODUCT(('Cleaned Master sheet'!F2:F1057="L3")*
((ISNUMBER(SEARCH(",AGV/AMR,",","&amp;SUBSTITUTE('Cleaned Master sheet'!K2:K1057," ","")&amp;",")))))</f>
        <v>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72.56"/>
    <col customWidth="1" min="3" max="3" width="39.33"/>
  </cols>
  <sheetData>
    <row r="1">
      <c r="A1" s="29" t="s">
        <v>57</v>
      </c>
      <c r="B1" s="29" t="s">
        <v>58</v>
      </c>
      <c r="C1" s="257" t="s">
        <v>943</v>
      </c>
      <c r="D1" s="30" t="s">
        <v>59</v>
      </c>
      <c r="E1" s="29" t="s">
        <v>60</v>
      </c>
      <c r="F1" s="29" t="s">
        <v>61</v>
      </c>
      <c r="G1" s="29" t="s">
        <v>62</v>
      </c>
      <c r="H1" s="29" t="s">
        <v>63</v>
      </c>
      <c r="I1" s="29" t="s">
        <v>64</v>
      </c>
      <c r="J1" s="257" t="s">
        <v>953</v>
      </c>
      <c r="K1" s="257" t="s">
        <v>2730</v>
      </c>
    </row>
    <row r="2">
      <c r="A2" s="258" t="s">
        <v>2731</v>
      </c>
      <c r="B2" s="258" t="s">
        <v>2732</v>
      </c>
      <c r="C2" s="259" t="s">
        <v>2733</v>
      </c>
      <c r="D2" s="258" t="s">
        <v>2734</v>
      </c>
      <c r="E2" s="258" t="s">
        <v>2735</v>
      </c>
      <c r="F2" s="258" t="s">
        <v>2736</v>
      </c>
      <c r="G2" s="258" t="s">
        <v>142</v>
      </c>
      <c r="H2" s="258" t="s">
        <v>115</v>
      </c>
      <c r="I2" s="258" t="s">
        <v>128</v>
      </c>
      <c r="J2" s="258" t="s">
        <v>2220</v>
      </c>
      <c r="K2" s="260">
        <v>2025.0</v>
      </c>
    </row>
    <row r="3">
      <c r="A3" s="258" t="s">
        <v>2737</v>
      </c>
      <c r="B3" s="258" t="s">
        <v>2738</v>
      </c>
      <c r="C3" s="259" t="s">
        <v>2739</v>
      </c>
      <c r="D3" s="258" t="s">
        <v>2734</v>
      </c>
      <c r="E3" s="258" t="s">
        <v>2740</v>
      </c>
      <c r="F3" s="258" t="s">
        <v>101</v>
      </c>
      <c r="G3" s="258" t="s">
        <v>2741</v>
      </c>
      <c r="H3" s="258" t="s">
        <v>115</v>
      </c>
      <c r="I3" s="258" t="s">
        <v>620</v>
      </c>
      <c r="J3" s="258" t="s">
        <v>2220</v>
      </c>
      <c r="K3" s="260">
        <v>2025.0</v>
      </c>
    </row>
    <row r="4">
      <c r="A4" s="258" t="s">
        <v>2742</v>
      </c>
      <c r="B4" s="258" t="s">
        <v>2743</v>
      </c>
      <c r="C4" s="261" t="s">
        <v>2744</v>
      </c>
      <c r="D4" s="258" t="s">
        <v>2734</v>
      </c>
      <c r="E4" s="258" t="s">
        <v>2745</v>
      </c>
      <c r="F4" s="258" t="s">
        <v>2746</v>
      </c>
      <c r="G4" s="258" t="s">
        <v>260</v>
      </c>
      <c r="H4" s="258" t="s">
        <v>115</v>
      </c>
      <c r="I4" s="258" t="s">
        <v>620</v>
      </c>
      <c r="J4" s="262" t="s">
        <v>2216</v>
      </c>
      <c r="K4" s="260">
        <v>2025.0</v>
      </c>
    </row>
    <row r="5">
      <c r="A5" s="258" t="s">
        <v>2747</v>
      </c>
      <c r="B5" s="258" t="s">
        <v>2748</v>
      </c>
      <c r="C5" s="261" t="s">
        <v>2749</v>
      </c>
      <c r="D5" s="258" t="s">
        <v>2734</v>
      </c>
      <c r="E5" s="258" t="s">
        <v>2750</v>
      </c>
      <c r="F5" s="263"/>
      <c r="G5" s="258" t="s">
        <v>217</v>
      </c>
      <c r="H5" s="258" t="s">
        <v>92</v>
      </c>
      <c r="I5" s="258" t="s">
        <v>128</v>
      </c>
      <c r="J5" s="262" t="s">
        <v>2216</v>
      </c>
      <c r="K5" s="260">
        <v>2025.0</v>
      </c>
    </row>
    <row r="6">
      <c r="A6" s="258" t="s">
        <v>2751</v>
      </c>
      <c r="B6" s="258" t="s">
        <v>2752</v>
      </c>
      <c r="C6" s="261" t="s">
        <v>2753</v>
      </c>
      <c r="D6" s="258" t="s">
        <v>2734</v>
      </c>
      <c r="E6" s="258" t="s">
        <v>2754</v>
      </c>
      <c r="F6" s="258" t="s">
        <v>2755</v>
      </c>
      <c r="G6" s="258" t="s">
        <v>142</v>
      </c>
      <c r="H6" s="258" t="s">
        <v>115</v>
      </c>
      <c r="I6" s="258" t="s">
        <v>620</v>
      </c>
      <c r="J6" s="258" t="s">
        <v>2220</v>
      </c>
      <c r="K6" s="260">
        <v>2025.0</v>
      </c>
    </row>
    <row r="7">
      <c r="A7" s="258" t="s">
        <v>2756</v>
      </c>
      <c r="B7" s="258" t="s">
        <v>2757</v>
      </c>
      <c r="C7" s="261" t="s">
        <v>2758</v>
      </c>
      <c r="D7" s="258" t="s">
        <v>2734</v>
      </c>
      <c r="E7" s="258" t="s">
        <v>2759</v>
      </c>
      <c r="F7" s="258" t="s">
        <v>514</v>
      </c>
      <c r="G7" s="258" t="s">
        <v>920</v>
      </c>
      <c r="H7" s="258" t="s">
        <v>115</v>
      </c>
      <c r="I7" s="258" t="s">
        <v>620</v>
      </c>
      <c r="J7" s="258" t="s">
        <v>2220</v>
      </c>
      <c r="K7" s="260">
        <v>2025.0</v>
      </c>
    </row>
    <row r="8">
      <c r="A8" s="258" t="s">
        <v>2760</v>
      </c>
      <c r="B8" s="258" t="s">
        <v>2761</v>
      </c>
      <c r="C8" s="261" t="s">
        <v>2762</v>
      </c>
      <c r="D8" s="258" t="s">
        <v>2734</v>
      </c>
      <c r="E8" s="258" t="s">
        <v>2750</v>
      </c>
      <c r="F8" s="263"/>
      <c r="G8" s="258" t="s">
        <v>209</v>
      </c>
      <c r="H8" s="258" t="s">
        <v>92</v>
      </c>
      <c r="I8" s="258" t="s">
        <v>620</v>
      </c>
      <c r="J8" s="262" t="s">
        <v>2216</v>
      </c>
      <c r="K8" s="260">
        <v>2025.0</v>
      </c>
    </row>
    <row r="9">
      <c r="A9" s="258" t="s">
        <v>2763</v>
      </c>
      <c r="B9" s="258" t="s">
        <v>2764</v>
      </c>
      <c r="C9" s="261" t="s">
        <v>2765</v>
      </c>
      <c r="D9" s="258" t="s">
        <v>2734</v>
      </c>
      <c r="E9" s="258" t="s">
        <v>2766</v>
      </c>
      <c r="F9" s="258" t="s">
        <v>101</v>
      </c>
      <c r="G9" s="258" t="s">
        <v>523</v>
      </c>
      <c r="H9" s="258" t="s">
        <v>92</v>
      </c>
      <c r="I9" s="258" t="s">
        <v>128</v>
      </c>
      <c r="J9" s="262" t="s">
        <v>2216</v>
      </c>
      <c r="K9" s="260">
        <v>2024.0</v>
      </c>
    </row>
    <row r="10">
      <c r="A10" s="258" t="s">
        <v>2767</v>
      </c>
      <c r="B10" s="258" t="s">
        <v>2768</v>
      </c>
      <c r="C10" s="264" t="s">
        <v>2769</v>
      </c>
      <c r="D10" s="258" t="s">
        <v>2734</v>
      </c>
      <c r="E10" s="258" t="s">
        <v>2770</v>
      </c>
      <c r="F10" s="258" t="s">
        <v>300</v>
      </c>
      <c r="G10" s="258" t="s">
        <v>127</v>
      </c>
      <c r="H10" s="258" t="s">
        <v>115</v>
      </c>
      <c r="I10" s="258" t="s">
        <v>620</v>
      </c>
      <c r="J10" s="258" t="s">
        <v>2220</v>
      </c>
      <c r="K10" s="260">
        <v>2024.0</v>
      </c>
    </row>
    <row r="11">
      <c r="A11" s="258" t="s">
        <v>2771</v>
      </c>
      <c r="B11" s="258" t="s">
        <v>2772</v>
      </c>
      <c r="C11" s="264" t="s">
        <v>2773</v>
      </c>
      <c r="D11" s="258" t="s">
        <v>2734</v>
      </c>
      <c r="E11" s="258" t="s">
        <v>2745</v>
      </c>
      <c r="F11" s="258" t="s">
        <v>162</v>
      </c>
      <c r="G11" s="258" t="s">
        <v>260</v>
      </c>
      <c r="H11" s="258" t="s">
        <v>92</v>
      </c>
      <c r="I11" s="258" t="s">
        <v>128</v>
      </c>
      <c r="J11" s="262" t="s">
        <v>2216</v>
      </c>
      <c r="K11" s="260">
        <v>2023.0</v>
      </c>
    </row>
    <row r="12">
      <c r="A12" s="258" t="s">
        <v>2774</v>
      </c>
      <c r="B12" s="258" t="s">
        <v>2775</v>
      </c>
      <c r="C12" s="261" t="s">
        <v>2776</v>
      </c>
      <c r="D12" s="258" t="s">
        <v>2734</v>
      </c>
      <c r="E12" s="258" t="s">
        <v>2759</v>
      </c>
      <c r="F12" s="263"/>
      <c r="G12" s="258" t="s">
        <v>273</v>
      </c>
      <c r="H12" s="258" t="s">
        <v>92</v>
      </c>
      <c r="I12" s="258" t="s">
        <v>128</v>
      </c>
      <c r="J12" s="262" t="s">
        <v>2216</v>
      </c>
      <c r="K12" s="260">
        <v>2023.0</v>
      </c>
    </row>
    <row r="13">
      <c r="A13" s="258" t="s">
        <v>2777</v>
      </c>
      <c r="B13" s="258" t="s">
        <v>2778</v>
      </c>
      <c r="C13" s="261" t="s">
        <v>2776</v>
      </c>
      <c r="D13" s="258" t="s">
        <v>2734</v>
      </c>
      <c r="E13" s="258" t="s">
        <v>2779</v>
      </c>
      <c r="F13" s="258" t="s">
        <v>2780</v>
      </c>
      <c r="G13" s="258" t="s">
        <v>209</v>
      </c>
      <c r="H13" s="258" t="s">
        <v>115</v>
      </c>
      <c r="I13" s="258" t="s">
        <v>620</v>
      </c>
      <c r="J13" s="262" t="s">
        <v>2216</v>
      </c>
      <c r="K13" s="260">
        <v>2023.0</v>
      </c>
    </row>
    <row r="14">
      <c r="A14" s="258" t="s">
        <v>2781</v>
      </c>
      <c r="B14" s="258" t="s">
        <v>2782</v>
      </c>
      <c r="C14" s="261" t="s">
        <v>2783</v>
      </c>
      <c r="D14" s="258" t="s">
        <v>2734</v>
      </c>
      <c r="E14" s="258" t="s">
        <v>2779</v>
      </c>
      <c r="F14" s="258" t="s">
        <v>101</v>
      </c>
      <c r="G14" s="258" t="s">
        <v>260</v>
      </c>
      <c r="H14" s="258" t="s">
        <v>115</v>
      </c>
      <c r="I14" s="258" t="s">
        <v>620</v>
      </c>
      <c r="J14" s="258" t="s">
        <v>2220</v>
      </c>
      <c r="K14" s="260">
        <v>2023.0</v>
      </c>
    </row>
    <row r="15">
      <c r="A15" s="258" t="s">
        <v>2784</v>
      </c>
      <c r="B15" s="258" t="s">
        <v>2785</v>
      </c>
      <c r="C15" s="261" t="s">
        <v>2786</v>
      </c>
      <c r="D15" s="258" t="s">
        <v>2734</v>
      </c>
      <c r="E15" s="258" t="s">
        <v>2740</v>
      </c>
      <c r="F15" s="258" t="s">
        <v>2787</v>
      </c>
      <c r="G15" s="258" t="s">
        <v>142</v>
      </c>
      <c r="H15" s="258" t="s">
        <v>115</v>
      </c>
      <c r="I15" s="258" t="s">
        <v>620</v>
      </c>
      <c r="J15" s="258" t="s">
        <v>2220</v>
      </c>
      <c r="K15" s="260">
        <v>2023.0</v>
      </c>
    </row>
    <row r="16">
      <c r="A16" s="258" t="s">
        <v>2788</v>
      </c>
      <c r="B16" s="258" t="s">
        <v>2789</v>
      </c>
      <c r="C16" s="261" t="s">
        <v>2790</v>
      </c>
      <c r="D16" s="258" t="s">
        <v>2734</v>
      </c>
      <c r="E16" s="258" t="s">
        <v>2759</v>
      </c>
      <c r="F16" s="263"/>
      <c r="G16" s="258" t="s">
        <v>260</v>
      </c>
      <c r="H16" s="258" t="s">
        <v>115</v>
      </c>
      <c r="I16" s="258" t="s">
        <v>128</v>
      </c>
      <c r="J16" s="262" t="s">
        <v>2216</v>
      </c>
      <c r="K16" s="260">
        <v>2023.0</v>
      </c>
    </row>
    <row r="17">
      <c r="A17" s="258" t="s">
        <v>2791</v>
      </c>
      <c r="B17" s="258" t="s">
        <v>2792</v>
      </c>
      <c r="C17" s="261" t="s">
        <v>2793</v>
      </c>
      <c r="D17" s="258" t="s">
        <v>2734</v>
      </c>
      <c r="E17" s="258" t="s">
        <v>2735</v>
      </c>
      <c r="F17" s="258" t="s">
        <v>126</v>
      </c>
      <c r="G17" s="258" t="s">
        <v>260</v>
      </c>
      <c r="H17" s="258" t="s">
        <v>115</v>
      </c>
      <c r="I17" s="258" t="s">
        <v>620</v>
      </c>
      <c r="J17" s="258" t="s">
        <v>2220</v>
      </c>
      <c r="K17" s="260">
        <v>2023.0</v>
      </c>
    </row>
    <row r="18">
      <c r="A18" s="258" t="s">
        <v>2794</v>
      </c>
      <c r="B18" s="258" t="s">
        <v>2795</v>
      </c>
      <c r="C18" s="261" t="s">
        <v>2796</v>
      </c>
      <c r="D18" s="258" t="s">
        <v>2734</v>
      </c>
      <c r="E18" s="258" t="s">
        <v>2745</v>
      </c>
      <c r="F18" s="263"/>
      <c r="G18" s="258" t="s">
        <v>260</v>
      </c>
      <c r="H18" s="258" t="s">
        <v>115</v>
      </c>
      <c r="I18" s="258" t="s">
        <v>620</v>
      </c>
      <c r="J18" s="262" t="s">
        <v>2216</v>
      </c>
      <c r="K18" s="260">
        <v>2023.0</v>
      </c>
    </row>
    <row r="19">
      <c r="A19" s="258" t="s">
        <v>2797</v>
      </c>
      <c r="B19" s="258" t="s">
        <v>2798</v>
      </c>
      <c r="C19" s="261" t="s">
        <v>2799</v>
      </c>
      <c r="D19" s="258" t="s">
        <v>2734</v>
      </c>
      <c r="E19" s="258" t="s">
        <v>2735</v>
      </c>
      <c r="F19" s="258" t="s">
        <v>300</v>
      </c>
      <c r="G19" s="258" t="s">
        <v>260</v>
      </c>
      <c r="H19" s="258" t="s">
        <v>92</v>
      </c>
      <c r="I19" s="258" t="s">
        <v>620</v>
      </c>
      <c r="J19" s="262" t="s">
        <v>2216</v>
      </c>
      <c r="K19" s="260">
        <v>2023.0</v>
      </c>
    </row>
    <row r="20">
      <c r="A20" s="258" t="s">
        <v>2800</v>
      </c>
      <c r="B20" s="258" t="s">
        <v>2801</v>
      </c>
      <c r="C20" s="261" t="s">
        <v>2802</v>
      </c>
      <c r="D20" s="258" t="s">
        <v>2734</v>
      </c>
      <c r="E20" s="258" t="s">
        <v>2750</v>
      </c>
      <c r="F20" s="263"/>
      <c r="G20" s="258" t="s">
        <v>260</v>
      </c>
      <c r="H20" s="258" t="s">
        <v>115</v>
      </c>
      <c r="I20" s="258" t="s">
        <v>620</v>
      </c>
      <c r="J20" s="258" t="s">
        <v>2220</v>
      </c>
      <c r="K20" s="260">
        <v>2023.0</v>
      </c>
    </row>
    <row r="21">
      <c r="A21" s="258" t="s">
        <v>2803</v>
      </c>
      <c r="B21" s="258" t="s">
        <v>2804</v>
      </c>
      <c r="C21" s="261" t="s">
        <v>2805</v>
      </c>
      <c r="D21" s="258" t="s">
        <v>2734</v>
      </c>
      <c r="E21" s="258" t="s">
        <v>2806</v>
      </c>
      <c r="F21" s="263"/>
      <c r="G21" s="258" t="s">
        <v>260</v>
      </c>
      <c r="H21" s="258" t="s">
        <v>115</v>
      </c>
      <c r="I21" s="258" t="s">
        <v>128</v>
      </c>
      <c r="J21" s="258" t="s">
        <v>2220</v>
      </c>
      <c r="K21" s="260">
        <v>2022.0</v>
      </c>
    </row>
    <row r="22">
      <c r="A22" s="258" t="s">
        <v>2807</v>
      </c>
      <c r="B22" s="258" t="s">
        <v>2808</v>
      </c>
      <c r="C22" s="261" t="s">
        <v>2809</v>
      </c>
      <c r="D22" s="258" t="s">
        <v>2734</v>
      </c>
      <c r="E22" s="258" t="s">
        <v>2750</v>
      </c>
      <c r="F22" s="258" t="s">
        <v>137</v>
      </c>
      <c r="G22" s="258" t="s">
        <v>260</v>
      </c>
      <c r="H22" s="258" t="s">
        <v>92</v>
      </c>
      <c r="I22" s="258" t="s">
        <v>620</v>
      </c>
      <c r="J22" s="262" t="s">
        <v>2216</v>
      </c>
      <c r="K22" s="260">
        <v>2022.0</v>
      </c>
    </row>
    <row r="23">
      <c r="A23" s="258" t="s">
        <v>2810</v>
      </c>
      <c r="B23" s="258" t="s">
        <v>2811</v>
      </c>
      <c r="C23" s="261" t="s">
        <v>2812</v>
      </c>
      <c r="D23" s="258" t="s">
        <v>2734</v>
      </c>
      <c r="E23" s="258" t="s">
        <v>2806</v>
      </c>
      <c r="F23" s="258" t="s">
        <v>2813</v>
      </c>
      <c r="G23" s="258" t="s">
        <v>273</v>
      </c>
      <c r="H23" s="258" t="s">
        <v>115</v>
      </c>
      <c r="I23" s="258" t="s">
        <v>128</v>
      </c>
      <c r="J23" s="258" t="s">
        <v>2220</v>
      </c>
      <c r="K23" s="260">
        <v>2022.0</v>
      </c>
    </row>
    <row r="24">
      <c r="A24" s="258" t="s">
        <v>2814</v>
      </c>
      <c r="B24" s="258" t="s">
        <v>2815</v>
      </c>
      <c r="C24" s="261" t="s">
        <v>2816</v>
      </c>
      <c r="D24" s="258" t="s">
        <v>2734</v>
      </c>
      <c r="E24" s="258" t="s">
        <v>2817</v>
      </c>
      <c r="F24" s="258" t="s">
        <v>577</v>
      </c>
      <c r="G24" s="258" t="s">
        <v>260</v>
      </c>
      <c r="H24" s="258" t="s">
        <v>92</v>
      </c>
      <c r="I24" s="258" t="s">
        <v>128</v>
      </c>
      <c r="J24" s="262" t="s">
        <v>2216</v>
      </c>
      <c r="K24" s="260">
        <v>2022.0</v>
      </c>
    </row>
    <row r="25">
      <c r="A25" s="258" t="s">
        <v>2818</v>
      </c>
      <c r="B25" s="258" t="s">
        <v>2819</v>
      </c>
      <c r="C25" s="261" t="s">
        <v>2820</v>
      </c>
      <c r="D25" s="258" t="s">
        <v>2734</v>
      </c>
      <c r="E25" s="258" t="s">
        <v>2750</v>
      </c>
      <c r="F25" s="258" t="s">
        <v>591</v>
      </c>
      <c r="G25" s="258" t="s">
        <v>260</v>
      </c>
      <c r="H25" s="258" t="s">
        <v>92</v>
      </c>
      <c r="I25" s="258" t="s">
        <v>620</v>
      </c>
      <c r="J25" s="258" t="s">
        <v>2220</v>
      </c>
      <c r="K25" s="260">
        <v>2021.0</v>
      </c>
    </row>
    <row r="26">
      <c r="A26" s="258" t="s">
        <v>2821</v>
      </c>
      <c r="B26" s="258" t="s">
        <v>2822</v>
      </c>
      <c r="C26" s="259" t="s">
        <v>2823</v>
      </c>
      <c r="D26" s="258" t="s">
        <v>2734</v>
      </c>
      <c r="E26" s="258" t="s">
        <v>2745</v>
      </c>
      <c r="F26" s="263"/>
      <c r="G26" s="258" t="s">
        <v>260</v>
      </c>
      <c r="H26" s="258" t="s">
        <v>92</v>
      </c>
      <c r="I26" s="258" t="s">
        <v>128</v>
      </c>
      <c r="J26" s="262" t="s">
        <v>2216</v>
      </c>
      <c r="K26" s="260">
        <v>2021.0</v>
      </c>
    </row>
    <row r="27">
      <c r="A27" s="258" t="s">
        <v>2824</v>
      </c>
      <c r="B27" s="258" t="s">
        <v>2825</v>
      </c>
      <c r="C27" s="261" t="s">
        <v>2826</v>
      </c>
      <c r="D27" s="258" t="s">
        <v>2734</v>
      </c>
      <c r="E27" s="258" t="s">
        <v>2759</v>
      </c>
      <c r="F27" s="263"/>
      <c r="G27" s="258" t="s">
        <v>260</v>
      </c>
      <c r="H27" s="258" t="s">
        <v>92</v>
      </c>
      <c r="I27" s="258" t="s">
        <v>128</v>
      </c>
      <c r="J27" s="262" t="s">
        <v>2216</v>
      </c>
      <c r="K27" s="260">
        <v>2021.0</v>
      </c>
    </row>
    <row r="28">
      <c r="A28" s="258" t="s">
        <v>2827</v>
      </c>
      <c r="B28" s="258" t="s">
        <v>2828</v>
      </c>
      <c r="C28" s="261" t="s">
        <v>2829</v>
      </c>
      <c r="D28" s="258" t="s">
        <v>2734</v>
      </c>
      <c r="E28" s="258" t="s">
        <v>2806</v>
      </c>
      <c r="F28" s="263"/>
      <c r="G28" s="258" t="s">
        <v>260</v>
      </c>
      <c r="H28" s="258" t="s">
        <v>92</v>
      </c>
      <c r="I28" s="258" t="s">
        <v>620</v>
      </c>
      <c r="J28" s="262" t="s">
        <v>2216</v>
      </c>
      <c r="K28" s="260">
        <v>2020.0</v>
      </c>
    </row>
    <row r="29">
      <c r="A29" s="258" t="s">
        <v>2830</v>
      </c>
      <c r="B29" s="258" t="s">
        <v>2831</v>
      </c>
      <c r="C29" s="261" t="s">
        <v>2832</v>
      </c>
      <c r="D29" s="258" t="s">
        <v>2734</v>
      </c>
      <c r="E29" s="258" t="s">
        <v>2745</v>
      </c>
      <c r="F29" s="263"/>
      <c r="G29" s="258" t="s">
        <v>260</v>
      </c>
      <c r="H29" s="258" t="s">
        <v>92</v>
      </c>
      <c r="I29" s="258" t="s">
        <v>128</v>
      </c>
      <c r="J29" s="262" t="s">
        <v>2216</v>
      </c>
      <c r="K29" s="260">
        <v>2020.0</v>
      </c>
    </row>
    <row r="30">
      <c r="A30" s="258" t="s">
        <v>2833</v>
      </c>
      <c r="B30" s="258" t="s">
        <v>2834</v>
      </c>
      <c r="C30" s="261" t="s">
        <v>2835</v>
      </c>
      <c r="D30" s="258" t="s">
        <v>2734</v>
      </c>
      <c r="E30" s="258" t="s">
        <v>2745</v>
      </c>
      <c r="F30" s="258" t="s">
        <v>101</v>
      </c>
      <c r="G30" s="258" t="s">
        <v>102</v>
      </c>
      <c r="H30" s="258" t="s">
        <v>92</v>
      </c>
      <c r="I30" s="258" t="s">
        <v>620</v>
      </c>
      <c r="J30" s="262" t="s">
        <v>2216</v>
      </c>
      <c r="K30" s="260">
        <v>2020.0</v>
      </c>
    </row>
    <row r="31">
      <c r="A31" s="258" t="s">
        <v>2836</v>
      </c>
      <c r="B31" s="258" t="s">
        <v>2837</v>
      </c>
      <c r="C31" s="261" t="s">
        <v>2838</v>
      </c>
      <c r="D31" s="258" t="s">
        <v>2734</v>
      </c>
      <c r="E31" s="258" t="s">
        <v>2735</v>
      </c>
      <c r="F31" s="258" t="s">
        <v>2839</v>
      </c>
      <c r="G31" s="258" t="s">
        <v>260</v>
      </c>
      <c r="H31" s="258" t="s">
        <v>115</v>
      </c>
      <c r="I31" s="258" t="s">
        <v>620</v>
      </c>
      <c r="J31" s="258" t="s">
        <v>2220</v>
      </c>
      <c r="K31" s="260">
        <v>2020.0</v>
      </c>
    </row>
    <row r="32">
      <c r="A32" s="258" t="s">
        <v>2840</v>
      </c>
      <c r="B32" s="258" t="s">
        <v>2841</v>
      </c>
      <c r="C32" s="261" t="s">
        <v>2842</v>
      </c>
      <c r="D32" s="258" t="s">
        <v>2734</v>
      </c>
      <c r="E32" s="258" t="s">
        <v>2754</v>
      </c>
      <c r="F32" s="258" t="s">
        <v>2746</v>
      </c>
      <c r="G32" s="258" t="s">
        <v>260</v>
      </c>
      <c r="H32" s="258" t="s">
        <v>115</v>
      </c>
      <c r="I32" s="258" t="s">
        <v>620</v>
      </c>
      <c r="J32" s="258" t="s">
        <v>2220</v>
      </c>
      <c r="K32" s="260">
        <v>2019.0</v>
      </c>
    </row>
    <row r="33">
      <c r="A33" s="258" t="s">
        <v>2843</v>
      </c>
      <c r="B33" s="258" t="s">
        <v>2844</v>
      </c>
      <c r="C33" s="261" t="s">
        <v>2845</v>
      </c>
      <c r="D33" s="258" t="s">
        <v>2734</v>
      </c>
      <c r="E33" s="258" t="s">
        <v>2759</v>
      </c>
      <c r="F33" s="263"/>
      <c r="G33" s="258" t="s">
        <v>920</v>
      </c>
      <c r="H33" s="258" t="s">
        <v>115</v>
      </c>
      <c r="I33" s="258" t="s">
        <v>620</v>
      </c>
      <c r="J33" s="262" t="s">
        <v>2216</v>
      </c>
      <c r="K33" s="260">
        <v>2019.0</v>
      </c>
    </row>
    <row r="34">
      <c r="A34" s="258" t="s">
        <v>2846</v>
      </c>
      <c r="B34" s="258" t="s">
        <v>2847</v>
      </c>
      <c r="C34" s="261" t="s">
        <v>2848</v>
      </c>
      <c r="D34" s="258" t="s">
        <v>2734</v>
      </c>
      <c r="E34" s="258" t="s">
        <v>2735</v>
      </c>
      <c r="F34" s="263"/>
      <c r="G34" s="258" t="s">
        <v>260</v>
      </c>
      <c r="H34" s="258" t="s">
        <v>92</v>
      </c>
      <c r="I34" s="258" t="s">
        <v>620</v>
      </c>
      <c r="J34" s="262" t="s">
        <v>2216</v>
      </c>
      <c r="K34" s="260">
        <v>2019.0</v>
      </c>
    </row>
    <row r="35">
      <c r="A35" s="258" t="s">
        <v>2849</v>
      </c>
      <c r="B35" s="258" t="s">
        <v>2850</v>
      </c>
      <c r="C35" s="261" t="s">
        <v>2851</v>
      </c>
      <c r="D35" s="258" t="s">
        <v>2734</v>
      </c>
      <c r="E35" s="258" t="s">
        <v>2759</v>
      </c>
      <c r="F35" s="258" t="s">
        <v>137</v>
      </c>
      <c r="G35" s="258" t="s">
        <v>260</v>
      </c>
      <c r="H35" s="258" t="s">
        <v>115</v>
      </c>
      <c r="I35" s="258" t="s">
        <v>128</v>
      </c>
      <c r="J35" s="258" t="s">
        <v>2220</v>
      </c>
      <c r="K35" s="260">
        <v>2018.0</v>
      </c>
    </row>
    <row r="36">
      <c r="A36" s="258" t="s">
        <v>2852</v>
      </c>
      <c r="B36" s="258" t="s">
        <v>2853</v>
      </c>
      <c r="C36" s="261" t="s">
        <v>2854</v>
      </c>
      <c r="D36" s="258" t="s">
        <v>2734</v>
      </c>
      <c r="E36" s="258" t="s">
        <v>2779</v>
      </c>
      <c r="F36" s="258" t="s">
        <v>216</v>
      </c>
      <c r="G36" s="258" t="s">
        <v>260</v>
      </c>
      <c r="H36" s="258" t="s">
        <v>92</v>
      </c>
      <c r="I36" s="258" t="s">
        <v>620</v>
      </c>
      <c r="J36" s="262" t="s">
        <v>2216</v>
      </c>
      <c r="K36" s="260">
        <v>2018.0</v>
      </c>
    </row>
    <row r="37">
      <c r="A37" s="258" t="s">
        <v>2855</v>
      </c>
      <c r="B37" s="258" t="s">
        <v>2856</v>
      </c>
      <c r="C37" s="261" t="s">
        <v>2857</v>
      </c>
      <c r="D37" s="258" t="s">
        <v>2734</v>
      </c>
      <c r="E37" s="258" t="s">
        <v>2858</v>
      </c>
      <c r="F37" s="258" t="s">
        <v>101</v>
      </c>
      <c r="G37" s="258" t="s">
        <v>176</v>
      </c>
      <c r="H37" s="258" t="s">
        <v>115</v>
      </c>
      <c r="I37" s="258" t="s">
        <v>620</v>
      </c>
      <c r="J37" s="262" t="s">
        <v>2216</v>
      </c>
      <c r="K37" s="260">
        <v>2018.0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3" t="s">
        <v>955</v>
      </c>
      <c r="R1" s="58" t="s">
        <v>956</v>
      </c>
      <c r="S1" s="58" t="s">
        <v>957</v>
      </c>
      <c r="T1" s="64" t="s">
        <v>958</v>
      </c>
      <c r="U1" s="65" t="s">
        <v>959</v>
      </c>
      <c r="V1" s="66" t="s">
        <v>960</v>
      </c>
      <c r="W1" s="64" t="s">
        <v>961</v>
      </c>
      <c r="X1" s="64"/>
      <c r="Y1" s="64"/>
      <c r="Z1" s="64"/>
      <c r="AA1" s="64"/>
      <c r="AB1" s="64"/>
      <c r="AC1" s="64"/>
      <c r="AD1" s="64"/>
      <c r="AE1" s="64"/>
      <c r="AF1" s="64"/>
      <c r="AG1" s="64"/>
      <c r="AH1" s="64"/>
      <c r="AI1" s="64"/>
      <c r="AJ1" s="64"/>
      <c r="AK1" s="64"/>
    </row>
    <row r="2">
      <c r="A2" s="26" t="s">
        <v>507</v>
      </c>
      <c r="C2" s="246" t="s">
        <v>2859</v>
      </c>
      <c r="D2" s="122" t="s">
        <v>2860</v>
      </c>
      <c r="E2" s="26" t="s">
        <v>2861</v>
      </c>
      <c r="F2" s="26" t="s">
        <v>2862</v>
      </c>
      <c r="I2" s="26" t="s">
        <v>1063</v>
      </c>
      <c r="J2" s="67" t="s">
        <v>1063</v>
      </c>
      <c r="K2" s="26" t="s">
        <v>1063</v>
      </c>
      <c r="L2" s="26" t="s">
        <v>1063</v>
      </c>
      <c r="M2" s="71" t="s">
        <v>2863</v>
      </c>
      <c r="N2" s="75">
        <v>2021.0</v>
      </c>
      <c r="O2" s="71" t="s">
        <v>2864</v>
      </c>
      <c r="P2" s="71" t="s">
        <v>1063</v>
      </c>
      <c r="Q2" s="67" t="s">
        <v>963</v>
      </c>
      <c r="R2" s="26" t="s">
        <v>1063</v>
      </c>
      <c r="S2" s="26" t="s">
        <v>1063</v>
      </c>
      <c r="T2" s="26" t="s">
        <v>2865</v>
      </c>
      <c r="U2" s="41"/>
      <c r="V2" s="26" t="s">
        <v>931</v>
      </c>
      <c r="W2" s="26" t="s">
        <v>2866</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65" t="s">
        <v>2867</v>
      </c>
      <c r="B1" s="265" t="s">
        <v>2868</v>
      </c>
    </row>
    <row r="2">
      <c r="A2" s="266" t="s">
        <v>2869</v>
      </c>
      <c r="B2" s="266" t="s">
        <v>2870</v>
      </c>
    </row>
    <row r="3">
      <c r="A3" s="266" t="s">
        <v>2871</v>
      </c>
      <c r="B3" s="266" t="s">
        <v>2872</v>
      </c>
    </row>
    <row r="4">
      <c r="A4" s="266" t="s">
        <v>2873</v>
      </c>
      <c r="B4" s="266" t="s">
        <v>2874</v>
      </c>
    </row>
    <row r="5" ht="15.75" customHeight="1">
      <c r="A5" s="267" t="s">
        <v>2875</v>
      </c>
      <c r="B5" s="266" t="s">
        <v>2876</v>
      </c>
    </row>
    <row r="6">
      <c r="A6" s="266"/>
      <c r="B6" s="266"/>
    </row>
    <row r="7">
      <c r="A7" s="266"/>
      <c r="B7" s="266"/>
    </row>
    <row r="8">
      <c r="A8" s="266"/>
      <c r="B8" s="266"/>
    </row>
    <row r="9">
      <c r="A9" s="266"/>
      <c r="B9" s="266"/>
    </row>
    <row r="10">
      <c r="A10" s="266"/>
      <c r="B10" s="266"/>
    </row>
    <row r="11">
      <c r="A11" s="268"/>
      <c r="B11" s="266"/>
    </row>
    <row r="12">
      <c r="A12" s="266"/>
      <c r="B12" s="266"/>
    </row>
    <row r="13">
      <c r="A13" s="266"/>
      <c r="B13" s="266"/>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69" t="s">
        <v>959</v>
      </c>
      <c r="B1" s="269" t="s">
        <v>2877</v>
      </c>
      <c r="C1" s="269" t="s">
        <v>58</v>
      </c>
      <c r="D1" s="269" t="s">
        <v>2730</v>
      </c>
      <c r="E1" s="269" t="s">
        <v>943</v>
      </c>
      <c r="F1" s="269" t="s">
        <v>2878</v>
      </c>
      <c r="G1" s="269" t="s">
        <v>2879</v>
      </c>
      <c r="H1" s="269" t="s">
        <v>2880</v>
      </c>
      <c r="I1" s="269" t="s">
        <v>2881</v>
      </c>
      <c r="J1" s="269" t="s">
        <v>2882</v>
      </c>
      <c r="K1" s="269" t="s">
        <v>2883</v>
      </c>
      <c r="L1" s="269" t="s">
        <v>2884</v>
      </c>
      <c r="M1" s="269" t="s">
        <v>2885</v>
      </c>
      <c r="N1" s="269" t="s">
        <v>2886</v>
      </c>
      <c r="O1" s="269" t="s">
        <v>2887</v>
      </c>
      <c r="P1" s="270" t="s">
        <v>2888</v>
      </c>
      <c r="Q1" s="271"/>
      <c r="R1" s="271"/>
      <c r="S1" s="271"/>
      <c r="T1" s="271"/>
      <c r="U1" s="271"/>
      <c r="V1" s="271"/>
      <c r="W1" s="271"/>
      <c r="X1" s="271"/>
      <c r="Y1" s="271"/>
      <c r="Z1" s="271"/>
      <c r="AA1" s="271"/>
      <c r="AB1" s="271"/>
      <c r="AC1" s="271"/>
      <c r="AD1" s="271"/>
      <c r="AE1" s="271"/>
      <c r="AF1" s="271"/>
      <c r="AG1" s="271"/>
      <c r="AH1" s="271"/>
      <c r="AI1" s="271"/>
    </row>
    <row r="2">
      <c r="A2" s="26" t="s">
        <v>2889</v>
      </c>
      <c r="B2" s="26" t="s">
        <v>963</v>
      </c>
      <c r="C2" s="26" t="s">
        <v>2890</v>
      </c>
      <c r="D2" s="26">
        <v>2023.0</v>
      </c>
      <c r="E2" s="122" t="s">
        <v>2891</v>
      </c>
      <c r="F2" s="26" t="s">
        <v>2892</v>
      </c>
      <c r="G2" s="26" t="s">
        <v>2893</v>
      </c>
      <c r="H2" s="26">
        <v>152.0</v>
      </c>
      <c r="I2" s="26" t="s">
        <v>2894</v>
      </c>
      <c r="J2" s="26" t="s">
        <v>2895</v>
      </c>
      <c r="K2" s="26" t="s">
        <v>2896</v>
      </c>
      <c r="L2" s="26" t="s">
        <v>2897</v>
      </c>
      <c r="M2" s="26" t="s">
        <v>2898</v>
      </c>
      <c r="N2" s="26" t="s">
        <v>2899</v>
      </c>
      <c r="O2" s="26" t="s">
        <v>2900</v>
      </c>
      <c r="P2" s="67" t="s">
        <v>2901</v>
      </c>
    </row>
    <row r="3">
      <c r="A3" s="26" t="s">
        <v>2902</v>
      </c>
      <c r="B3" s="26" t="s">
        <v>963</v>
      </c>
      <c r="C3" s="26" t="s">
        <v>2903</v>
      </c>
      <c r="D3" s="26">
        <v>2023.0</v>
      </c>
      <c r="E3" s="122" t="s">
        <v>2904</v>
      </c>
      <c r="F3" s="26" t="s">
        <v>2892</v>
      </c>
      <c r="G3" s="26" t="s">
        <v>2905</v>
      </c>
      <c r="H3" s="26" t="s">
        <v>1063</v>
      </c>
      <c r="I3" s="26" t="s">
        <v>2906</v>
      </c>
      <c r="J3" s="26" t="s">
        <v>2907</v>
      </c>
      <c r="K3" s="26" t="s">
        <v>2908</v>
      </c>
      <c r="L3" s="26" t="s">
        <v>2909</v>
      </c>
      <c r="M3" s="26" t="s">
        <v>2910</v>
      </c>
      <c r="N3" s="26" t="s">
        <v>2911</v>
      </c>
      <c r="O3" s="26" t="s">
        <v>2912</v>
      </c>
      <c r="P3" s="67" t="s">
        <v>2913</v>
      </c>
    </row>
    <row r="4">
      <c r="A4" s="26" t="s">
        <v>2914</v>
      </c>
      <c r="B4" s="26" t="s">
        <v>963</v>
      </c>
      <c r="C4" s="26" t="s">
        <v>2915</v>
      </c>
      <c r="D4" s="26">
        <v>2025.0</v>
      </c>
      <c r="E4" s="122" t="s">
        <v>2916</v>
      </c>
      <c r="F4" s="26" t="s">
        <v>2917</v>
      </c>
      <c r="G4" s="26" t="s">
        <v>2918</v>
      </c>
      <c r="H4" s="26">
        <v>93.0</v>
      </c>
      <c r="I4" s="26" t="s">
        <v>2919</v>
      </c>
      <c r="J4" s="26" t="s">
        <v>972</v>
      </c>
      <c r="K4" s="26" t="s">
        <v>2920</v>
      </c>
      <c r="L4" s="26" t="s">
        <v>49</v>
      </c>
      <c r="M4" s="26" t="s">
        <v>2921</v>
      </c>
      <c r="N4" s="26" t="s">
        <v>2922</v>
      </c>
      <c r="O4" s="26" t="s">
        <v>2923</v>
      </c>
      <c r="P4" s="67" t="s">
        <v>2924</v>
      </c>
    </row>
    <row r="5">
      <c r="A5" s="26" t="s">
        <v>2925</v>
      </c>
      <c r="B5" s="26" t="s">
        <v>963</v>
      </c>
      <c r="C5" s="26" t="s">
        <v>875</v>
      </c>
      <c r="D5" s="26">
        <v>2025.0</v>
      </c>
      <c r="E5" s="122" t="s">
        <v>2926</v>
      </c>
      <c r="F5" s="26" t="s">
        <v>2917</v>
      </c>
      <c r="G5" s="26" t="s">
        <v>2927</v>
      </c>
      <c r="H5" s="26" t="s">
        <v>1063</v>
      </c>
      <c r="I5" s="26" t="s">
        <v>2928</v>
      </c>
      <c r="J5" s="26" t="s">
        <v>2929</v>
      </c>
      <c r="K5" s="26" t="s">
        <v>2930</v>
      </c>
      <c r="L5" s="26" t="s">
        <v>49</v>
      </c>
      <c r="M5" s="26" t="s">
        <v>2931</v>
      </c>
      <c r="N5" s="26" t="s">
        <v>2932</v>
      </c>
      <c r="O5" s="26" t="s">
        <v>2933</v>
      </c>
      <c r="P5" s="67" t="s">
        <v>2934</v>
      </c>
    </row>
    <row r="6">
      <c r="A6" s="26" t="s">
        <v>2935</v>
      </c>
      <c r="B6" s="26" t="s">
        <v>963</v>
      </c>
      <c r="C6" s="26" t="s">
        <v>2936</v>
      </c>
      <c r="D6" s="26">
        <v>2025.0</v>
      </c>
      <c r="E6" s="122" t="s">
        <v>2937</v>
      </c>
      <c r="F6" s="26" t="s">
        <v>2917</v>
      </c>
      <c r="G6" s="26" t="s">
        <v>2938</v>
      </c>
      <c r="H6" s="26">
        <v>60.0</v>
      </c>
      <c r="I6" s="26" t="s">
        <v>2939</v>
      </c>
      <c r="J6" s="26" t="s">
        <v>972</v>
      </c>
      <c r="K6" s="26" t="s">
        <v>2940</v>
      </c>
      <c r="L6" s="26" t="s">
        <v>49</v>
      </c>
      <c r="M6" s="26" t="s">
        <v>2941</v>
      </c>
      <c r="N6" s="26" t="s">
        <v>2942</v>
      </c>
      <c r="O6" s="26" t="s">
        <v>2943</v>
      </c>
      <c r="P6" s="67" t="s">
        <v>2944</v>
      </c>
    </row>
    <row r="7">
      <c r="A7" s="26" t="s">
        <v>2945</v>
      </c>
      <c r="B7" s="26" t="s">
        <v>963</v>
      </c>
      <c r="C7" s="26" t="s">
        <v>2946</v>
      </c>
      <c r="D7" s="26">
        <v>2025.0</v>
      </c>
      <c r="E7" s="122" t="s">
        <v>2947</v>
      </c>
      <c r="F7" s="26" t="s">
        <v>2917</v>
      </c>
      <c r="G7" s="26" t="s">
        <v>2948</v>
      </c>
      <c r="H7" s="26" t="s">
        <v>1063</v>
      </c>
      <c r="I7" s="26" t="s">
        <v>2939</v>
      </c>
      <c r="J7" s="26" t="s">
        <v>972</v>
      </c>
      <c r="K7" s="26" t="s">
        <v>2949</v>
      </c>
      <c r="L7" s="26" t="s">
        <v>49</v>
      </c>
      <c r="M7" s="26" t="s">
        <v>2950</v>
      </c>
      <c r="N7" s="26" t="s">
        <v>2951</v>
      </c>
      <c r="O7" s="26" t="s">
        <v>2923</v>
      </c>
      <c r="P7" s="67" t="s">
        <v>2952</v>
      </c>
    </row>
    <row r="8">
      <c r="A8" s="26" t="s">
        <v>2953</v>
      </c>
      <c r="B8" s="26" t="s">
        <v>963</v>
      </c>
      <c r="C8" s="26" t="s">
        <v>2954</v>
      </c>
      <c r="D8" s="26">
        <v>2017.0</v>
      </c>
      <c r="E8" s="122" t="s">
        <v>2955</v>
      </c>
      <c r="F8" s="26" t="s">
        <v>2956</v>
      </c>
      <c r="G8" s="26" t="s">
        <v>2957</v>
      </c>
      <c r="H8" s="26" t="s">
        <v>1063</v>
      </c>
      <c r="I8" s="26" t="s">
        <v>2958</v>
      </c>
      <c r="J8" s="26" t="s">
        <v>2959</v>
      </c>
      <c r="K8" s="26" t="s">
        <v>2960</v>
      </c>
      <c r="L8" s="26" t="s">
        <v>2897</v>
      </c>
      <c r="M8" s="26" t="s">
        <v>2961</v>
      </c>
      <c r="N8" s="26" t="s">
        <v>2962</v>
      </c>
      <c r="O8" s="26" t="s">
        <v>2963</v>
      </c>
      <c r="P8" s="67" t="s">
        <v>2964</v>
      </c>
    </row>
    <row r="9">
      <c r="A9" s="26" t="s">
        <v>2965</v>
      </c>
      <c r="B9" s="26" t="s">
        <v>963</v>
      </c>
      <c r="C9" s="26" t="s">
        <v>2966</v>
      </c>
      <c r="D9" s="26">
        <v>2021.0</v>
      </c>
      <c r="E9" s="122" t="s">
        <v>2967</v>
      </c>
      <c r="F9" s="26" t="s">
        <v>2968</v>
      </c>
      <c r="G9" s="26" t="s">
        <v>2969</v>
      </c>
      <c r="H9" s="26" t="s">
        <v>1063</v>
      </c>
      <c r="I9" s="26" t="s">
        <v>2970</v>
      </c>
      <c r="J9" s="26" t="s">
        <v>2971</v>
      </c>
      <c r="K9" s="26" t="s">
        <v>2972</v>
      </c>
      <c r="L9" s="26" t="s">
        <v>49</v>
      </c>
      <c r="M9" s="26" t="s">
        <v>2973</v>
      </c>
      <c r="N9" s="26" t="s">
        <v>2974</v>
      </c>
      <c r="O9" s="26" t="s">
        <v>2912</v>
      </c>
      <c r="P9" s="67" t="s">
        <v>2975</v>
      </c>
    </row>
    <row r="10">
      <c r="A10" s="26" t="s">
        <v>2976</v>
      </c>
      <c r="B10" s="26" t="s">
        <v>963</v>
      </c>
      <c r="C10" s="26" t="s">
        <v>2977</v>
      </c>
      <c r="D10" s="26">
        <v>2021.0</v>
      </c>
      <c r="E10" s="122" t="s">
        <v>2978</v>
      </c>
      <c r="F10" s="26" t="s">
        <v>2968</v>
      </c>
      <c r="G10" s="26" t="s">
        <v>2979</v>
      </c>
      <c r="H10" s="26" t="s">
        <v>1063</v>
      </c>
      <c r="I10" s="26" t="s">
        <v>2894</v>
      </c>
      <c r="J10" s="26" t="s">
        <v>2980</v>
      </c>
      <c r="K10" s="26" t="s">
        <v>2981</v>
      </c>
      <c r="L10" s="26" t="s">
        <v>2982</v>
      </c>
      <c r="M10" s="26" t="s">
        <v>2983</v>
      </c>
      <c r="N10" s="26" t="s">
        <v>2984</v>
      </c>
      <c r="O10" s="26" t="s">
        <v>2912</v>
      </c>
      <c r="P10" s="67" t="s">
        <v>2985</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72" t="s">
        <v>66</v>
      </c>
      <c r="B1" s="272" t="s">
        <v>58</v>
      </c>
      <c r="C1" s="272" t="s">
        <v>2986</v>
      </c>
      <c r="D1" s="272" t="s">
        <v>2987</v>
      </c>
      <c r="E1" s="273" t="s">
        <v>944</v>
      </c>
      <c r="F1" s="28" t="s">
        <v>2988</v>
      </c>
      <c r="G1" s="28" t="s">
        <v>2989</v>
      </c>
      <c r="H1" s="28" t="s">
        <v>2990</v>
      </c>
      <c r="I1" s="215"/>
      <c r="J1" s="177" t="s">
        <v>2991</v>
      </c>
      <c r="K1" s="177" t="s">
        <v>2992</v>
      </c>
      <c r="L1" s="177" t="s">
        <v>2993</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c r="AU1" s="215"/>
      <c r="AV1" s="215"/>
      <c r="AW1" s="215"/>
      <c r="AX1" s="215"/>
      <c r="AY1" s="215"/>
    </row>
    <row r="2">
      <c r="A2" s="177" t="s">
        <v>347</v>
      </c>
      <c r="B2" s="177" t="s">
        <v>2994</v>
      </c>
      <c r="C2" s="177" t="s">
        <v>2992</v>
      </c>
      <c r="D2" s="177" t="s">
        <v>2995</v>
      </c>
      <c r="E2" s="28" t="s">
        <v>1211</v>
      </c>
      <c r="F2" s="28">
        <f>COUNTIF(E:E,"Yes")</f>
        <v>133</v>
      </c>
      <c r="G2" s="28">
        <f>COUNTIF(E:E,"No")</f>
        <v>79</v>
      </c>
      <c r="H2" s="28">
        <v>24.0</v>
      </c>
      <c r="I2" s="28"/>
      <c r="J2" s="28">
        <f>COUNTIF(C:C,"Title/Abstract")</f>
        <v>54</v>
      </c>
      <c r="K2" s="28">
        <f>COUNTIF(C:C,"Paper review")</f>
        <v>145</v>
      </c>
      <c r="L2" s="28">
        <f>COUNTIF(C:C,"Not recieved")</f>
        <v>13</v>
      </c>
      <c r="M2" s="28"/>
      <c r="N2" s="215"/>
      <c r="O2" s="28"/>
      <c r="P2" s="28"/>
      <c r="Q2" s="28"/>
      <c r="R2" s="215"/>
      <c r="S2" s="215"/>
      <c r="T2" s="215"/>
      <c r="U2" s="215"/>
      <c r="V2" s="215"/>
      <c r="W2" s="215"/>
      <c r="X2" s="215"/>
      <c r="Y2" s="215"/>
      <c r="Z2" s="215"/>
      <c r="AA2" s="215"/>
      <c r="AB2" s="215"/>
      <c r="AC2" s="215"/>
      <c r="AD2" s="215"/>
      <c r="AE2" s="215"/>
      <c r="AF2" s="215"/>
      <c r="AG2" s="215"/>
      <c r="AH2" s="215"/>
      <c r="AI2" s="215"/>
      <c r="AJ2" s="215"/>
      <c r="AK2" s="215"/>
      <c r="AL2" s="215"/>
      <c r="AM2" s="215"/>
      <c r="AN2" s="215"/>
      <c r="AO2" s="215"/>
      <c r="AP2" s="215"/>
      <c r="AQ2" s="215"/>
      <c r="AR2" s="215"/>
      <c r="AS2" s="215"/>
      <c r="AT2" s="215"/>
      <c r="AU2" s="215"/>
      <c r="AV2" s="215"/>
      <c r="AW2" s="215"/>
      <c r="AX2" s="215"/>
      <c r="AY2" s="215"/>
    </row>
    <row r="3">
      <c r="A3" s="177" t="s">
        <v>347</v>
      </c>
      <c r="B3" s="177" t="s">
        <v>912</v>
      </c>
      <c r="C3" s="177" t="s">
        <v>2992</v>
      </c>
      <c r="D3" s="177" t="s">
        <v>2996</v>
      </c>
      <c r="E3" s="42" t="s">
        <v>1458</v>
      </c>
      <c r="F3" s="42"/>
      <c r="G3" s="42"/>
      <c r="H3" s="28"/>
      <c r="I3" s="28"/>
      <c r="J3" s="175"/>
      <c r="K3" s="28"/>
      <c r="L3" s="274"/>
      <c r="M3" s="28"/>
      <c r="N3" s="28"/>
      <c r="O3" s="28"/>
      <c r="P3" s="28"/>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row>
    <row r="4">
      <c r="A4" s="177" t="s">
        <v>93</v>
      </c>
      <c r="B4" s="275" t="s">
        <v>925</v>
      </c>
      <c r="C4" s="177" t="s">
        <v>2992</v>
      </c>
      <c r="D4" s="82"/>
      <c r="E4" s="28" t="s">
        <v>1458</v>
      </c>
      <c r="F4" s="175"/>
      <c r="G4" s="87" t="s">
        <v>2997</v>
      </c>
      <c r="H4" s="87" t="s">
        <v>2993</v>
      </c>
      <c r="I4" s="87" t="s">
        <v>2998</v>
      </c>
      <c r="J4" s="231" t="s">
        <v>2999</v>
      </c>
      <c r="K4" s="231" t="s">
        <v>3000</v>
      </c>
      <c r="L4" s="87" t="s">
        <v>3001</v>
      </c>
      <c r="M4" s="87" t="s">
        <v>3002</v>
      </c>
      <c r="N4" s="87" t="s">
        <v>3003</v>
      </c>
      <c r="O4" s="175"/>
      <c r="P4" s="175"/>
      <c r="Q4" s="175"/>
      <c r="R4" s="175"/>
      <c r="S4" s="175"/>
      <c r="T4" s="175"/>
      <c r="U4" s="175"/>
      <c r="V4" s="175"/>
      <c r="W4" s="175"/>
      <c r="X4" s="175"/>
      <c r="Y4" s="175"/>
      <c r="Z4" s="175"/>
      <c r="AA4" s="175"/>
      <c r="AB4" s="175"/>
      <c r="AC4" s="175"/>
      <c r="AD4" s="175"/>
      <c r="AE4" s="175"/>
      <c r="AF4" s="175"/>
      <c r="AG4" s="175"/>
      <c r="AH4" s="175"/>
      <c r="AI4" s="175"/>
      <c r="AJ4" s="175"/>
      <c r="AK4" s="175"/>
      <c r="AL4" s="175"/>
      <c r="AM4" s="175"/>
      <c r="AN4" s="175"/>
      <c r="AO4" s="175"/>
      <c r="AP4" s="175"/>
      <c r="AQ4" s="175"/>
      <c r="AR4" s="175"/>
      <c r="AS4" s="175"/>
      <c r="AT4" s="175"/>
      <c r="AU4" s="175"/>
      <c r="AV4" s="175"/>
      <c r="AW4" s="175"/>
      <c r="AX4" s="175"/>
      <c r="AY4" s="175"/>
    </row>
    <row r="5">
      <c r="A5" s="177" t="s">
        <v>507</v>
      </c>
      <c r="B5" s="177" t="s">
        <v>573</v>
      </c>
      <c r="C5" s="177" t="s">
        <v>2992</v>
      </c>
      <c r="D5" s="177" t="s">
        <v>3004</v>
      </c>
      <c r="E5" s="42" t="s">
        <v>1458</v>
      </c>
      <c r="F5" s="175"/>
      <c r="G5" s="175"/>
      <c r="H5" s="175">
        <f>SUMPRODUCT((C:C="not recieved")*(TRIM(E:E)="no"))</f>
        <v>12</v>
      </c>
      <c r="I5" s="229">
        <f>SUMPRODUCT((C:C="Title/Abstract")*(TRIM(E:E)="no")*(TRIM(D:D)="duplicate"))</f>
        <v>3</v>
      </c>
      <c r="J5" s="37">
        <f>SUMPRODUCT((C:C="Title/Abstract")*(TRIM(E:E)="no")*(NOT(ISNUMBER(SEARCH("*review paper*",D:D))))*(NOT(ISNUMBER(SEARCH("*duplicate*",D:D)))))</f>
        <v>16</v>
      </c>
      <c r="K5" s="175">
        <f>COUNTIFS(C:C,"Title/Abstract",E:E,"no",D:D,"*review paper*")
+COUNTIFS(C:C,"Paper review",E:E,"no",D:D,"*review paper*")</f>
        <v>5</v>
      </c>
      <c r="L5" s="175">
        <f>SUMPRODUCT((C:C="Paper review")*(TRIM(E:E)="no")*(NOT(ISNUMBER(SEARCH("shallow",D:D))))*(NOT(ISNUMBER(SEARCH("*review paper*",D:D)))))</f>
        <v>36</v>
      </c>
      <c r="M5" s="175">
        <f>COUNTIFS(C:C,"Title/Abstract",E:E,"no",D:D,"*shallow*")
+COUNTIFS(C:C,"Paper review",E:E,"no",D:D,"*shallow*")</f>
        <v>7</v>
      </c>
      <c r="N5" s="175">
        <f t="shared" ref="N5:N6" si="1">H5+I5+J5+K5+L5+M5</f>
        <v>79</v>
      </c>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row>
    <row r="6">
      <c r="A6" s="177"/>
      <c r="C6" s="177"/>
      <c r="D6" s="177"/>
      <c r="E6" s="42"/>
      <c r="F6" s="87" t="s">
        <v>1458</v>
      </c>
      <c r="G6" s="87" t="s">
        <v>3005</v>
      </c>
      <c r="H6" s="175">
        <f>SUMPRODUCT((C:C="not recieved")*(TRIM(E:E)="yes"))</f>
        <v>1</v>
      </c>
      <c r="I6" s="276">
        <f>SUMPRODUCT((C:C="Title/Abstract")*(TRIM(E:E)="yes")*(TRIM(D:D)="duplicate"))</f>
        <v>4</v>
      </c>
      <c r="J6" s="175">
        <f>SUMPRODUCT((C:C="Title/Abstract")*(TRIM(E:E)="yes")*(NOT(ISNUMBER(SEARCH("*review paper*",D:D))))*(NOT(ISNUMBER(SEARCH("*duplicate*",D:D)))))</f>
        <v>17</v>
      </c>
      <c r="K6" s="175">
        <f>COUNTIFS(C:C,"Title/Abstract",E:E,"yes",D:D,"*review paper*")
+COUNTIFS(C:C,"Paper review",E:E,"no",D:D,"*review paper*")</f>
        <v>11</v>
      </c>
      <c r="L6" s="175">
        <f>SUMPRODUCT((C:C="Paper review")*(TRIM(E:E)="yes")*(NOT(ISNUMBER(SEARCH("shallow",D:D))))*(NOT(ISNUMBER(SEARCH("*review paper*",D:D)))))</f>
        <v>100</v>
      </c>
      <c r="M6" s="175">
        <f>COUNTIFS(C:C,"Title/Abstract",E:E,"yes",D:D,"*shallow*")
+COUNTIFS(C:C,"Paper review",E:E,"yes",D:D,"*shallow*")</f>
        <v>0</v>
      </c>
      <c r="N6" s="175">
        <f t="shared" si="1"/>
        <v>133</v>
      </c>
      <c r="O6" s="175"/>
      <c r="P6" s="175"/>
      <c r="Q6" s="175"/>
      <c r="R6" s="175"/>
      <c r="S6" s="175"/>
      <c r="T6" s="175"/>
      <c r="U6" s="175"/>
      <c r="V6" s="175"/>
      <c r="W6" s="175"/>
      <c r="X6" s="175"/>
      <c r="Y6" s="175"/>
      <c r="Z6" s="175"/>
      <c r="AA6" s="175"/>
      <c r="AB6" s="175"/>
      <c r="AC6" s="175"/>
      <c r="AD6" s="175"/>
      <c r="AE6" s="175"/>
      <c r="AF6" s="175"/>
      <c r="AG6" s="175"/>
      <c r="AH6" s="175"/>
      <c r="AI6" s="175"/>
      <c r="AJ6" s="175"/>
      <c r="AK6" s="175"/>
      <c r="AL6" s="175"/>
      <c r="AM6" s="175"/>
      <c r="AN6" s="175"/>
      <c r="AO6" s="175"/>
      <c r="AP6" s="175"/>
      <c r="AQ6" s="175"/>
      <c r="AR6" s="175"/>
      <c r="AS6" s="175"/>
      <c r="AT6" s="175"/>
      <c r="AU6" s="175"/>
      <c r="AV6" s="175"/>
      <c r="AW6" s="175"/>
      <c r="AX6" s="175"/>
      <c r="AY6" s="175"/>
    </row>
    <row r="7">
      <c r="A7" s="177" t="s">
        <v>261</v>
      </c>
      <c r="B7" s="177" t="s">
        <v>845</v>
      </c>
      <c r="C7" s="177" t="s">
        <v>2992</v>
      </c>
      <c r="D7" s="177" t="s">
        <v>3006</v>
      </c>
      <c r="E7" s="28" t="s">
        <v>1458</v>
      </c>
      <c r="F7" s="175"/>
      <c r="G7" s="175"/>
      <c r="H7" s="175"/>
      <c r="I7" s="175"/>
      <c r="J7" s="175"/>
      <c r="K7" s="175"/>
      <c r="L7" s="175"/>
      <c r="M7" s="175"/>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row>
    <row r="8">
      <c r="A8" s="177" t="s">
        <v>261</v>
      </c>
      <c r="B8" s="177" t="s">
        <v>919</v>
      </c>
      <c r="C8" s="177" t="s">
        <v>2999</v>
      </c>
      <c r="D8" s="177" t="s">
        <v>2995</v>
      </c>
      <c r="E8" s="42" t="s">
        <v>1458</v>
      </c>
      <c r="F8" s="175"/>
      <c r="G8" s="175"/>
      <c r="H8" s="175"/>
      <c r="I8" s="175"/>
      <c r="J8" s="175"/>
      <c r="K8" s="175"/>
      <c r="L8" s="175"/>
      <c r="M8" s="175"/>
      <c r="N8" s="175"/>
      <c r="O8" s="175"/>
      <c r="P8" s="175"/>
      <c r="Q8" s="175"/>
      <c r="R8" s="175"/>
      <c r="S8" s="175"/>
      <c r="T8" s="175"/>
      <c r="U8" s="175"/>
      <c r="V8" s="175"/>
      <c r="W8" s="175"/>
      <c r="X8" s="175"/>
      <c r="Y8" s="175"/>
      <c r="Z8" s="175"/>
      <c r="AA8" s="175"/>
      <c r="AB8" s="175"/>
      <c r="AC8" s="175"/>
      <c r="AD8" s="175"/>
      <c r="AE8" s="175"/>
      <c r="AF8" s="175"/>
      <c r="AG8" s="175"/>
      <c r="AH8" s="175"/>
      <c r="AI8" s="175"/>
      <c r="AJ8" s="175"/>
      <c r="AK8" s="175"/>
      <c r="AL8" s="175"/>
      <c r="AM8" s="175"/>
      <c r="AN8" s="175"/>
      <c r="AO8" s="175"/>
      <c r="AP8" s="175"/>
      <c r="AQ8" s="175"/>
      <c r="AR8" s="175"/>
      <c r="AS8" s="175"/>
      <c r="AT8" s="175"/>
      <c r="AU8" s="175"/>
      <c r="AV8" s="175"/>
      <c r="AW8" s="175"/>
      <c r="AX8" s="175"/>
      <c r="AY8" s="175"/>
    </row>
    <row r="9">
      <c r="A9" s="77" t="s">
        <v>261</v>
      </c>
      <c r="B9" s="177" t="s">
        <v>3007</v>
      </c>
      <c r="C9" s="177" t="s">
        <v>2999</v>
      </c>
      <c r="D9" s="177" t="s">
        <v>3008</v>
      </c>
      <c r="E9" s="28" t="s">
        <v>1211</v>
      </c>
      <c r="F9" s="175"/>
      <c r="G9" s="175"/>
      <c r="H9" s="175"/>
      <c r="I9" s="175"/>
      <c r="J9" s="175"/>
      <c r="K9" s="175"/>
      <c r="L9" s="82"/>
      <c r="M9" s="175"/>
      <c r="N9" s="175"/>
      <c r="O9" s="87"/>
      <c r="P9" s="87"/>
      <c r="Q9" s="175"/>
      <c r="R9" s="175"/>
      <c r="S9" s="175"/>
      <c r="T9" s="175"/>
      <c r="U9" s="82"/>
      <c r="V9" s="175"/>
      <c r="W9" s="175"/>
      <c r="X9" s="175"/>
      <c r="Y9" s="175"/>
      <c r="Z9" s="215"/>
      <c r="AA9" s="215"/>
      <c r="AB9" s="215"/>
      <c r="AC9" s="215"/>
      <c r="AD9" s="215"/>
      <c r="AE9" s="215"/>
      <c r="AF9" s="215"/>
      <c r="AG9" s="215"/>
      <c r="AH9" s="215"/>
      <c r="AI9" s="215"/>
      <c r="AJ9" s="215"/>
      <c r="AK9" s="215"/>
      <c r="AL9" s="215"/>
      <c r="AM9" s="215"/>
      <c r="AN9" s="215"/>
      <c r="AO9" s="215"/>
      <c r="AP9" s="215"/>
      <c r="AQ9" s="215"/>
      <c r="AR9" s="215"/>
      <c r="AS9" s="215"/>
      <c r="AT9" s="215"/>
      <c r="AU9" s="215"/>
      <c r="AV9" s="215"/>
      <c r="AW9" s="215"/>
      <c r="AX9" s="215"/>
      <c r="AY9" s="215"/>
    </row>
    <row r="10">
      <c r="A10" s="77" t="s">
        <v>261</v>
      </c>
      <c r="B10" s="77" t="s">
        <v>3009</v>
      </c>
      <c r="C10" s="177" t="s">
        <v>2999</v>
      </c>
      <c r="D10" s="77" t="s">
        <v>3000</v>
      </c>
      <c r="E10" s="42" t="s">
        <v>1211</v>
      </c>
      <c r="F10" s="215"/>
      <c r="G10" s="215"/>
      <c r="H10" s="215"/>
      <c r="I10" s="215"/>
      <c r="J10" s="215"/>
      <c r="K10" s="215"/>
      <c r="L10" s="215"/>
      <c r="M10" s="215"/>
      <c r="N10" s="215"/>
      <c r="O10" s="215"/>
      <c r="P10" s="215"/>
      <c r="Q10" s="215"/>
      <c r="R10" s="215"/>
      <c r="S10" s="215"/>
      <c r="T10" s="215"/>
      <c r="U10" s="215"/>
      <c r="V10" s="215"/>
      <c r="W10" s="215"/>
      <c r="X10" s="215"/>
      <c r="Y10" s="215"/>
      <c r="Z10" s="215"/>
      <c r="AA10" s="215"/>
      <c r="AB10" s="215"/>
      <c r="AC10" s="215"/>
      <c r="AD10" s="215"/>
      <c r="AE10" s="215"/>
      <c r="AF10" s="215"/>
      <c r="AG10" s="215"/>
      <c r="AH10" s="215"/>
      <c r="AI10" s="215"/>
      <c r="AJ10" s="215"/>
      <c r="AK10" s="215"/>
      <c r="AL10" s="215"/>
      <c r="AM10" s="215"/>
      <c r="AN10" s="215"/>
      <c r="AO10" s="215"/>
      <c r="AP10" s="215"/>
      <c r="AQ10" s="215"/>
      <c r="AR10" s="215"/>
      <c r="AS10" s="215"/>
      <c r="AT10" s="215"/>
      <c r="AU10" s="215"/>
      <c r="AV10" s="215"/>
      <c r="AW10" s="215"/>
      <c r="AX10" s="215"/>
      <c r="AY10" s="215"/>
    </row>
    <row r="11">
      <c r="A11" s="177" t="s">
        <v>261</v>
      </c>
      <c r="B11" s="177" t="s">
        <v>3010</v>
      </c>
      <c r="C11" s="177" t="s">
        <v>2999</v>
      </c>
      <c r="D11" s="177" t="s">
        <v>3011</v>
      </c>
      <c r="E11" s="28" t="s">
        <v>1211</v>
      </c>
      <c r="F11" s="175"/>
      <c r="G11" s="175"/>
      <c r="H11" s="175"/>
      <c r="I11" s="175"/>
      <c r="J11" s="175"/>
      <c r="K11" s="175"/>
      <c r="L11" s="82"/>
      <c r="M11" s="175"/>
      <c r="N11" s="175"/>
      <c r="O11" s="175"/>
      <c r="P11" s="175"/>
      <c r="Q11" s="175"/>
      <c r="R11" s="175"/>
      <c r="S11" s="175"/>
      <c r="T11" s="175"/>
      <c r="U11" s="175"/>
      <c r="V11" s="175"/>
      <c r="W11" s="175"/>
      <c r="X11" s="175"/>
      <c r="Y11" s="175"/>
      <c r="Z11" s="175"/>
      <c r="AA11" s="175"/>
      <c r="AB11" s="175"/>
      <c r="AC11" s="175"/>
      <c r="AD11" s="175"/>
      <c r="AE11" s="175"/>
      <c r="AF11" s="175"/>
      <c r="AG11" s="175"/>
      <c r="AH11" s="175"/>
      <c r="AI11" s="175"/>
      <c r="AJ11" s="175"/>
      <c r="AK11" s="175"/>
      <c r="AL11" s="175"/>
      <c r="AM11" s="175"/>
      <c r="AN11" s="175"/>
      <c r="AO11" s="175"/>
      <c r="AP11" s="175"/>
      <c r="AQ11" s="175"/>
      <c r="AR11" s="175"/>
      <c r="AS11" s="175"/>
      <c r="AT11" s="175"/>
      <c r="AU11" s="175"/>
      <c r="AV11" s="175"/>
      <c r="AW11" s="175"/>
      <c r="AX11" s="175"/>
      <c r="AY11" s="175"/>
    </row>
    <row r="12">
      <c r="A12" s="77" t="s">
        <v>261</v>
      </c>
      <c r="B12" s="77" t="s">
        <v>3012</v>
      </c>
      <c r="C12" s="177" t="s">
        <v>2999</v>
      </c>
      <c r="D12" s="77" t="s">
        <v>3013</v>
      </c>
      <c r="E12" s="42" t="s">
        <v>1211</v>
      </c>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15"/>
      <c r="AM12" s="215"/>
      <c r="AN12" s="215"/>
      <c r="AO12" s="215"/>
      <c r="AP12" s="215"/>
      <c r="AQ12" s="215"/>
      <c r="AR12" s="215"/>
      <c r="AS12" s="215"/>
      <c r="AT12" s="215"/>
      <c r="AU12" s="215"/>
      <c r="AV12" s="215"/>
      <c r="AW12" s="215"/>
      <c r="AX12" s="215"/>
      <c r="AY12" s="215"/>
    </row>
    <row r="13">
      <c r="A13" s="77" t="s">
        <v>261</v>
      </c>
      <c r="B13" s="77" t="s">
        <v>3014</v>
      </c>
      <c r="C13" s="177" t="s">
        <v>2999</v>
      </c>
      <c r="D13" s="77" t="s">
        <v>3000</v>
      </c>
      <c r="E13" s="28" t="s">
        <v>1211</v>
      </c>
      <c r="F13" s="215"/>
      <c r="G13" s="215"/>
      <c r="H13" s="215"/>
      <c r="I13" s="215"/>
      <c r="J13" s="215"/>
      <c r="K13" s="215"/>
      <c r="L13" s="215"/>
      <c r="M13" s="215"/>
      <c r="N13" s="215"/>
      <c r="O13" s="215"/>
      <c r="P13" s="215"/>
      <c r="Q13" s="215"/>
      <c r="R13" s="215"/>
      <c r="S13" s="215"/>
      <c r="T13" s="215"/>
      <c r="U13" s="215"/>
      <c r="V13" s="215"/>
      <c r="W13" s="215"/>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5"/>
      <c r="AX13" s="215"/>
      <c r="AY13" s="215"/>
    </row>
    <row r="14">
      <c r="A14" s="77" t="s">
        <v>431</v>
      </c>
      <c r="B14" s="177" t="s">
        <v>428</v>
      </c>
      <c r="C14" s="177" t="s">
        <v>2992</v>
      </c>
      <c r="D14" s="177" t="s">
        <v>3015</v>
      </c>
      <c r="E14" s="42" t="s">
        <v>1458</v>
      </c>
      <c r="F14" s="175"/>
      <c r="G14" s="175"/>
      <c r="H14" s="175"/>
      <c r="I14" s="175"/>
      <c r="J14" s="175"/>
      <c r="K14" s="175"/>
      <c r="L14" s="175"/>
      <c r="M14" s="175"/>
      <c r="N14" s="175"/>
      <c r="O14" s="175"/>
      <c r="P14" s="175"/>
      <c r="Q14" s="175"/>
      <c r="R14" s="175"/>
      <c r="S14" s="175"/>
      <c r="T14" s="175"/>
      <c r="U14" s="175"/>
      <c r="V14" s="175"/>
      <c r="W14" s="175"/>
      <c r="X14" s="175"/>
      <c r="Y14" s="175"/>
      <c r="Z14" s="175"/>
      <c r="AA14" s="175"/>
      <c r="AB14" s="175"/>
      <c r="AC14" s="175"/>
      <c r="AD14" s="215"/>
      <c r="AE14" s="215"/>
      <c r="AF14" s="215"/>
      <c r="AG14" s="215"/>
      <c r="AH14" s="215"/>
      <c r="AI14" s="215"/>
      <c r="AJ14" s="215"/>
      <c r="AK14" s="215"/>
      <c r="AL14" s="215"/>
      <c r="AM14" s="215"/>
      <c r="AN14" s="215"/>
      <c r="AO14" s="215"/>
      <c r="AP14" s="215"/>
      <c r="AQ14" s="215"/>
      <c r="AR14" s="215"/>
      <c r="AS14" s="215"/>
      <c r="AT14" s="215"/>
      <c r="AU14" s="215"/>
      <c r="AV14" s="215"/>
      <c r="AW14" s="215"/>
      <c r="AX14" s="215"/>
      <c r="AY14" s="215"/>
    </row>
    <row r="15">
      <c r="A15" s="77" t="s">
        <v>431</v>
      </c>
      <c r="B15" s="177" t="s">
        <v>468</v>
      </c>
      <c r="C15" s="177" t="s">
        <v>2992</v>
      </c>
      <c r="D15" s="177" t="s">
        <v>3016</v>
      </c>
      <c r="E15" s="28" t="s">
        <v>1458</v>
      </c>
      <c r="F15" s="175"/>
      <c r="G15" s="175"/>
      <c r="H15" s="175"/>
      <c r="I15" s="175"/>
      <c r="J15" s="175"/>
      <c r="K15" s="175"/>
      <c r="L15" s="175"/>
      <c r="M15" s="175"/>
      <c r="N15" s="175"/>
      <c r="O15" s="175"/>
      <c r="P15" s="175"/>
      <c r="Q15" s="175"/>
      <c r="R15" s="175"/>
      <c r="S15" s="175"/>
      <c r="T15" s="175"/>
      <c r="U15" s="175"/>
      <c r="V15" s="175"/>
      <c r="W15" s="175"/>
      <c r="X15" s="175"/>
      <c r="Y15" s="175"/>
      <c r="Z15" s="175"/>
      <c r="AA15" s="175"/>
      <c r="AB15" s="175"/>
      <c r="AC15" s="175"/>
      <c r="AD15" s="215"/>
      <c r="AE15" s="215"/>
      <c r="AF15" s="215"/>
      <c r="AG15" s="215"/>
      <c r="AH15" s="215"/>
      <c r="AI15" s="215"/>
      <c r="AJ15" s="215"/>
      <c r="AK15" s="215"/>
      <c r="AL15" s="215"/>
      <c r="AM15" s="215"/>
      <c r="AN15" s="215"/>
      <c r="AO15" s="215"/>
      <c r="AP15" s="215"/>
      <c r="AQ15" s="215"/>
      <c r="AR15" s="215"/>
      <c r="AS15" s="215"/>
      <c r="AT15" s="215"/>
      <c r="AU15" s="215"/>
      <c r="AV15" s="215"/>
      <c r="AW15" s="215"/>
      <c r="AX15" s="215"/>
      <c r="AY15" s="215"/>
    </row>
    <row r="16">
      <c r="A16" s="77" t="s">
        <v>431</v>
      </c>
      <c r="B16" s="177" t="s">
        <v>793</v>
      </c>
      <c r="C16" s="177" t="s">
        <v>2999</v>
      </c>
      <c r="D16" s="177" t="s">
        <v>3000</v>
      </c>
      <c r="E16" s="42" t="s">
        <v>1458</v>
      </c>
      <c r="F16" s="175"/>
      <c r="G16" s="175"/>
      <c r="H16" s="175"/>
      <c r="I16" s="175"/>
      <c r="J16" s="175"/>
      <c r="K16" s="175"/>
      <c r="L16" s="175"/>
      <c r="M16" s="175"/>
      <c r="N16" s="175"/>
      <c r="O16" s="175"/>
      <c r="P16" s="175"/>
      <c r="Q16" s="175"/>
      <c r="R16" s="175"/>
      <c r="S16" s="175"/>
      <c r="T16" s="175"/>
      <c r="U16" s="175"/>
      <c r="V16" s="175"/>
      <c r="W16" s="175"/>
      <c r="X16" s="175"/>
      <c r="Y16" s="175"/>
      <c r="Z16" s="175"/>
      <c r="AA16" s="175"/>
      <c r="AB16" s="175"/>
      <c r="AC16" s="175"/>
      <c r="AD16" s="215"/>
      <c r="AE16" s="215"/>
      <c r="AF16" s="215"/>
      <c r="AG16" s="215"/>
      <c r="AH16" s="215"/>
      <c r="AI16" s="215"/>
      <c r="AJ16" s="215"/>
      <c r="AK16" s="215"/>
      <c r="AL16" s="215"/>
      <c r="AM16" s="215"/>
      <c r="AN16" s="215"/>
      <c r="AO16" s="215"/>
      <c r="AP16" s="215"/>
      <c r="AQ16" s="215"/>
      <c r="AR16" s="215"/>
      <c r="AS16" s="215"/>
      <c r="AT16" s="215"/>
      <c r="AU16" s="215"/>
      <c r="AV16" s="215"/>
      <c r="AW16" s="215"/>
      <c r="AX16" s="215"/>
      <c r="AY16" s="215"/>
    </row>
    <row r="17">
      <c r="A17" s="77" t="s">
        <v>181</v>
      </c>
      <c r="B17" s="177" t="s">
        <v>200</v>
      </c>
      <c r="C17" s="177" t="s">
        <v>2993</v>
      </c>
      <c r="D17" s="177" t="s">
        <v>3017</v>
      </c>
      <c r="E17" s="28" t="s">
        <v>1458</v>
      </c>
      <c r="F17" s="175"/>
      <c r="G17" s="175"/>
      <c r="H17" s="175"/>
      <c r="I17" s="175"/>
      <c r="J17" s="175"/>
      <c r="K17" s="175"/>
      <c r="L17" s="175"/>
      <c r="M17" s="175"/>
      <c r="N17" s="175"/>
      <c r="O17" s="175"/>
      <c r="P17" s="175"/>
      <c r="Q17" s="175"/>
      <c r="R17" s="175"/>
      <c r="S17" s="175"/>
      <c r="T17" s="175"/>
      <c r="U17" s="175"/>
      <c r="V17" s="175"/>
      <c r="W17" s="175"/>
      <c r="X17" s="175"/>
      <c r="Y17" s="175"/>
      <c r="Z17" s="175"/>
      <c r="AA17" s="175"/>
      <c r="AB17" s="175"/>
      <c r="AC17" s="215"/>
      <c r="AD17" s="215"/>
      <c r="AE17" s="215"/>
      <c r="AF17" s="215"/>
      <c r="AG17" s="215"/>
      <c r="AH17" s="215"/>
      <c r="AI17" s="215"/>
      <c r="AJ17" s="215"/>
      <c r="AK17" s="215"/>
      <c r="AL17" s="215"/>
      <c r="AM17" s="215"/>
      <c r="AN17" s="215"/>
      <c r="AO17" s="215"/>
      <c r="AP17" s="215"/>
      <c r="AQ17" s="215"/>
      <c r="AR17" s="215"/>
      <c r="AS17" s="215"/>
      <c r="AT17" s="215"/>
      <c r="AU17" s="215"/>
      <c r="AV17" s="215"/>
      <c r="AW17" s="215"/>
      <c r="AX17" s="215"/>
      <c r="AY17" s="215"/>
    </row>
    <row r="18">
      <c r="A18" s="77" t="s">
        <v>181</v>
      </c>
      <c r="B18" s="177" t="s">
        <v>661</v>
      </c>
      <c r="C18" s="177" t="s">
        <v>2992</v>
      </c>
      <c r="D18" s="177" t="s">
        <v>3016</v>
      </c>
      <c r="E18" s="42" t="s">
        <v>1458</v>
      </c>
      <c r="F18" s="175"/>
      <c r="G18" s="175"/>
      <c r="H18" s="175"/>
      <c r="I18" s="175"/>
      <c r="J18" s="175"/>
      <c r="K18" s="175"/>
      <c r="L18" s="175"/>
      <c r="M18" s="175"/>
      <c r="N18" s="175"/>
      <c r="O18" s="175"/>
      <c r="P18" s="175"/>
      <c r="Q18" s="175"/>
      <c r="R18" s="175"/>
      <c r="S18" s="175"/>
      <c r="T18" s="175"/>
      <c r="U18" s="175"/>
      <c r="V18" s="175"/>
      <c r="W18" s="175"/>
      <c r="X18" s="175"/>
      <c r="Y18" s="175"/>
      <c r="Z18" s="175"/>
      <c r="AA18" s="175"/>
      <c r="AB18" s="175"/>
      <c r="AC18" s="215"/>
      <c r="AD18" s="215"/>
      <c r="AE18" s="215"/>
      <c r="AF18" s="215"/>
      <c r="AG18" s="215"/>
      <c r="AH18" s="215"/>
      <c r="AI18" s="215"/>
      <c r="AJ18" s="215"/>
      <c r="AK18" s="215"/>
      <c r="AL18" s="215"/>
      <c r="AM18" s="215"/>
      <c r="AN18" s="215"/>
      <c r="AO18" s="215"/>
      <c r="AP18" s="215"/>
      <c r="AQ18" s="215"/>
      <c r="AR18" s="215"/>
      <c r="AS18" s="215"/>
      <c r="AT18" s="215"/>
      <c r="AU18" s="215"/>
      <c r="AV18" s="215"/>
      <c r="AW18" s="215"/>
      <c r="AX18" s="215"/>
      <c r="AY18" s="215"/>
    </row>
    <row r="19">
      <c r="A19" s="77" t="s">
        <v>181</v>
      </c>
      <c r="B19" s="177" t="s">
        <v>797</v>
      </c>
      <c r="C19" s="177" t="s">
        <v>2993</v>
      </c>
      <c r="D19" s="177" t="s">
        <v>3017</v>
      </c>
      <c r="E19" s="28" t="s">
        <v>1458</v>
      </c>
      <c r="F19" s="175"/>
      <c r="G19" s="175"/>
      <c r="H19" s="175"/>
      <c r="I19" s="175"/>
      <c r="J19" s="175"/>
      <c r="K19" s="175"/>
      <c r="L19" s="175"/>
      <c r="M19" s="175"/>
      <c r="N19" s="175"/>
      <c r="O19" s="175"/>
      <c r="P19" s="175"/>
      <c r="Q19" s="175"/>
      <c r="R19" s="175"/>
      <c r="S19" s="175"/>
      <c r="T19" s="175"/>
      <c r="U19" s="175"/>
      <c r="V19" s="175"/>
      <c r="W19" s="175"/>
      <c r="X19" s="175"/>
      <c r="Y19" s="175"/>
      <c r="Z19" s="175"/>
      <c r="AA19" s="175"/>
      <c r="AB19" s="175"/>
      <c r="AC19" s="215"/>
      <c r="AD19" s="215"/>
      <c r="AE19" s="215"/>
      <c r="AF19" s="215"/>
      <c r="AG19" s="215"/>
      <c r="AH19" s="215"/>
      <c r="AI19" s="215"/>
      <c r="AJ19" s="215"/>
      <c r="AK19" s="215"/>
      <c r="AL19" s="215"/>
      <c r="AM19" s="215"/>
      <c r="AN19" s="215"/>
      <c r="AO19" s="215"/>
      <c r="AP19" s="215"/>
      <c r="AQ19" s="215"/>
      <c r="AR19" s="215"/>
      <c r="AS19" s="215"/>
      <c r="AT19" s="215"/>
      <c r="AU19" s="215"/>
      <c r="AV19" s="215"/>
      <c r="AW19" s="215"/>
      <c r="AX19" s="215"/>
      <c r="AY19" s="215"/>
    </row>
    <row r="20">
      <c r="A20" s="77" t="s">
        <v>181</v>
      </c>
      <c r="B20" s="177" t="s">
        <v>800</v>
      </c>
      <c r="C20" s="177" t="s">
        <v>2992</v>
      </c>
      <c r="D20" s="177" t="s">
        <v>3016</v>
      </c>
      <c r="E20" s="42" t="s">
        <v>1458</v>
      </c>
      <c r="F20" s="175"/>
      <c r="G20" s="175"/>
      <c r="H20" s="175"/>
      <c r="I20" s="175"/>
      <c r="J20" s="175"/>
      <c r="K20" s="175"/>
      <c r="L20" s="175"/>
      <c r="M20" s="175"/>
      <c r="N20" s="175"/>
      <c r="O20" s="175"/>
      <c r="P20" s="175"/>
      <c r="Q20" s="175"/>
      <c r="R20" s="175"/>
      <c r="S20" s="175"/>
      <c r="T20" s="277"/>
      <c r="U20" s="175"/>
      <c r="V20" s="175"/>
      <c r="W20" s="175"/>
      <c r="X20" s="175"/>
      <c r="Y20" s="175"/>
      <c r="Z20" s="175"/>
      <c r="AA20" s="175"/>
      <c r="AB20" s="175"/>
      <c r="AC20" s="215"/>
      <c r="AD20" s="215"/>
      <c r="AE20" s="215"/>
      <c r="AF20" s="215"/>
      <c r="AG20" s="215"/>
      <c r="AH20" s="215"/>
      <c r="AI20" s="215"/>
      <c r="AJ20" s="215"/>
      <c r="AK20" s="215"/>
      <c r="AL20" s="215"/>
      <c r="AM20" s="215"/>
      <c r="AN20" s="215"/>
      <c r="AO20" s="215"/>
      <c r="AP20" s="215"/>
      <c r="AQ20" s="215"/>
      <c r="AR20" s="215"/>
      <c r="AS20" s="215"/>
      <c r="AT20" s="215"/>
      <c r="AU20" s="215"/>
      <c r="AV20" s="215"/>
      <c r="AW20" s="215"/>
      <c r="AX20" s="215"/>
      <c r="AY20" s="215"/>
    </row>
    <row r="21">
      <c r="A21" s="77" t="s">
        <v>181</v>
      </c>
      <c r="B21" s="177" t="s">
        <v>890</v>
      </c>
      <c r="C21" s="177" t="s">
        <v>2993</v>
      </c>
      <c r="D21" s="177" t="s">
        <v>3017</v>
      </c>
      <c r="E21" s="28" t="s">
        <v>1458</v>
      </c>
      <c r="F21" s="175"/>
      <c r="G21" s="175"/>
      <c r="H21" s="175"/>
      <c r="I21" s="175"/>
      <c r="J21" s="175"/>
      <c r="K21" s="175"/>
      <c r="L21" s="175"/>
      <c r="M21" s="175"/>
      <c r="N21" s="175"/>
      <c r="O21" s="175"/>
      <c r="P21" s="175"/>
      <c r="Q21" s="175"/>
      <c r="R21" s="175"/>
      <c r="S21" s="175"/>
      <c r="T21" s="175"/>
      <c r="U21" s="175"/>
      <c r="V21" s="175"/>
      <c r="W21" s="175"/>
      <c r="X21" s="175"/>
      <c r="Y21" s="175"/>
      <c r="Z21" s="175"/>
      <c r="AA21" s="175"/>
      <c r="AB21" s="175"/>
      <c r="AC21" s="215"/>
      <c r="AD21" s="215"/>
      <c r="AE21" s="215"/>
      <c r="AF21" s="215"/>
      <c r="AG21" s="215"/>
      <c r="AH21" s="215"/>
      <c r="AI21" s="215"/>
      <c r="AJ21" s="215"/>
      <c r="AK21" s="215"/>
      <c r="AL21" s="215"/>
      <c r="AM21" s="215"/>
      <c r="AN21" s="215"/>
      <c r="AO21" s="215"/>
      <c r="AP21" s="215"/>
      <c r="AQ21" s="215"/>
      <c r="AR21" s="215"/>
      <c r="AS21" s="215"/>
      <c r="AT21" s="215"/>
      <c r="AU21" s="215"/>
      <c r="AV21" s="215"/>
      <c r="AW21" s="215"/>
      <c r="AX21" s="215"/>
      <c r="AY21" s="215"/>
    </row>
    <row r="22">
      <c r="A22" s="77" t="s">
        <v>181</v>
      </c>
      <c r="B22" s="177" t="s">
        <v>910</v>
      </c>
      <c r="C22" s="177" t="s">
        <v>2992</v>
      </c>
      <c r="D22" s="177" t="s">
        <v>3016</v>
      </c>
      <c r="E22" s="42" t="s">
        <v>1458</v>
      </c>
      <c r="F22" s="175"/>
      <c r="G22" s="175"/>
      <c r="I22" s="175"/>
      <c r="J22" s="175"/>
      <c r="K22" s="175"/>
      <c r="L22" s="175"/>
      <c r="M22" s="175"/>
      <c r="N22" s="175"/>
      <c r="O22" s="175"/>
      <c r="P22" s="175"/>
      <c r="Q22" s="175"/>
      <c r="R22" s="175"/>
      <c r="S22" s="175"/>
      <c r="T22" s="277"/>
      <c r="U22" s="175"/>
      <c r="V22" s="175"/>
      <c r="W22" s="175"/>
      <c r="X22" s="175"/>
      <c r="Y22" s="175"/>
      <c r="Z22" s="175"/>
      <c r="AA22" s="175"/>
      <c r="AB22" s="175"/>
      <c r="AC22" s="215"/>
      <c r="AD22" s="215"/>
      <c r="AE22" s="215"/>
      <c r="AF22" s="215"/>
      <c r="AG22" s="215"/>
      <c r="AH22" s="215"/>
      <c r="AI22" s="215"/>
      <c r="AJ22" s="215"/>
      <c r="AK22" s="215"/>
      <c r="AL22" s="215"/>
      <c r="AM22" s="215"/>
      <c r="AN22" s="215"/>
      <c r="AO22" s="215"/>
      <c r="AP22" s="215"/>
      <c r="AQ22" s="215"/>
      <c r="AR22" s="215"/>
      <c r="AS22" s="215"/>
      <c r="AT22" s="215"/>
      <c r="AU22" s="215"/>
      <c r="AV22" s="215"/>
      <c r="AW22" s="215"/>
      <c r="AX22" s="215"/>
      <c r="AY22" s="215"/>
    </row>
    <row r="23">
      <c r="A23" s="77" t="s">
        <v>269</v>
      </c>
      <c r="B23" s="177" t="s">
        <v>271</v>
      </c>
      <c r="C23" s="177" t="s">
        <v>2992</v>
      </c>
      <c r="D23" s="89" t="s">
        <v>3018</v>
      </c>
      <c r="E23" s="28" t="s">
        <v>1458</v>
      </c>
      <c r="F23" s="175"/>
      <c r="G23" s="175"/>
      <c r="H23" s="175"/>
      <c r="I23" s="175"/>
      <c r="J23" s="175"/>
      <c r="K23" s="175"/>
      <c r="L23" s="175"/>
      <c r="M23" s="175"/>
      <c r="N23" s="175"/>
      <c r="O23" s="175"/>
      <c r="P23" s="175"/>
      <c r="Q23" s="175"/>
      <c r="R23" s="175"/>
      <c r="S23" s="175"/>
      <c r="T23" s="175"/>
      <c r="U23" s="175"/>
      <c r="V23" s="175"/>
      <c r="W23" s="175"/>
      <c r="X23" s="175"/>
      <c r="Y23" s="175"/>
      <c r="Z23" s="175"/>
      <c r="AA23" s="175"/>
      <c r="AB23" s="175"/>
      <c r="AC23" s="215"/>
      <c r="AD23" s="215"/>
      <c r="AE23" s="215"/>
      <c r="AF23" s="215"/>
      <c r="AG23" s="215"/>
      <c r="AH23" s="215"/>
      <c r="AI23" s="215"/>
      <c r="AJ23" s="215"/>
      <c r="AK23" s="215"/>
      <c r="AL23" s="215"/>
      <c r="AM23" s="215"/>
      <c r="AN23" s="215"/>
      <c r="AO23" s="215"/>
      <c r="AP23" s="215"/>
      <c r="AQ23" s="215"/>
      <c r="AR23" s="215"/>
      <c r="AS23" s="215"/>
      <c r="AT23" s="215"/>
      <c r="AU23" s="215"/>
      <c r="AV23" s="215"/>
      <c r="AW23" s="215"/>
      <c r="AX23" s="215"/>
      <c r="AY23" s="215"/>
    </row>
    <row r="24">
      <c r="A24" s="77" t="s">
        <v>269</v>
      </c>
      <c r="B24" s="177" t="s">
        <v>275</v>
      </c>
      <c r="C24" s="177" t="s">
        <v>2992</v>
      </c>
      <c r="D24" s="89" t="s">
        <v>3019</v>
      </c>
      <c r="E24" s="42" t="s">
        <v>1458</v>
      </c>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215"/>
      <c r="AD24" s="215"/>
      <c r="AE24" s="215"/>
      <c r="AF24" s="215"/>
      <c r="AG24" s="215"/>
      <c r="AH24" s="215"/>
      <c r="AI24" s="215"/>
      <c r="AJ24" s="215"/>
      <c r="AK24" s="215"/>
      <c r="AL24" s="215"/>
      <c r="AM24" s="215"/>
      <c r="AN24" s="215"/>
      <c r="AO24" s="215"/>
      <c r="AP24" s="215"/>
      <c r="AQ24" s="215"/>
      <c r="AR24" s="215"/>
      <c r="AS24" s="215"/>
      <c r="AT24" s="215"/>
      <c r="AU24" s="215"/>
      <c r="AV24" s="215"/>
      <c r="AW24" s="215"/>
      <c r="AX24" s="215"/>
      <c r="AY24" s="215"/>
    </row>
    <row r="25">
      <c r="A25" s="77" t="s">
        <v>269</v>
      </c>
      <c r="B25" s="37" t="s">
        <v>275</v>
      </c>
      <c r="C25" s="177" t="s">
        <v>2999</v>
      </c>
      <c r="D25" s="177" t="s">
        <v>611</v>
      </c>
      <c r="E25" s="42" t="s">
        <v>1458</v>
      </c>
      <c r="F25" s="175"/>
      <c r="G25" s="175"/>
      <c r="H25" s="175"/>
      <c r="I25" s="175"/>
      <c r="J25" s="175"/>
      <c r="K25" s="175"/>
      <c r="L25" s="175"/>
      <c r="M25" s="175"/>
      <c r="N25" s="175"/>
      <c r="O25" s="175"/>
      <c r="P25" s="175"/>
      <c r="Q25" s="175"/>
      <c r="R25" s="175"/>
      <c r="S25" s="175"/>
      <c r="T25" s="175"/>
      <c r="U25" s="175"/>
      <c r="V25" s="175"/>
      <c r="W25" s="175"/>
      <c r="X25" s="175"/>
      <c r="Y25" s="175"/>
      <c r="Z25" s="175"/>
      <c r="AA25" s="175"/>
      <c r="AB25" s="17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row>
    <row r="26">
      <c r="A26" s="77" t="s">
        <v>269</v>
      </c>
      <c r="B26" s="177" t="s">
        <v>282</v>
      </c>
      <c r="C26" s="177" t="s">
        <v>2993</v>
      </c>
      <c r="D26" s="89" t="s">
        <v>3020</v>
      </c>
      <c r="E26" s="28" t="s">
        <v>1458</v>
      </c>
      <c r="F26" s="175"/>
      <c r="G26" s="175"/>
      <c r="H26" s="175"/>
      <c r="I26" s="175"/>
      <c r="J26" s="175"/>
      <c r="K26" s="175"/>
      <c r="L26" s="175"/>
      <c r="M26" s="175"/>
      <c r="N26" s="175"/>
      <c r="O26" s="175"/>
      <c r="P26" s="175"/>
      <c r="Q26" s="175"/>
      <c r="R26" s="175"/>
      <c r="S26" s="175"/>
      <c r="T26" s="175"/>
      <c r="U26" s="175"/>
      <c r="V26" s="175"/>
      <c r="W26" s="175"/>
      <c r="X26" s="175"/>
      <c r="Y26" s="175"/>
      <c r="Z26" s="175"/>
      <c r="AA26" s="175"/>
      <c r="AB26" s="175"/>
      <c r="AC26" s="215"/>
      <c r="AD26" s="215"/>
      <c r="AE26" s="215"/>
      <c r="AF26" s="215"/>
      <c r="AG26" s="215"/>
      <c r="AH26" s="215"/>
      <c r="AI26" s="215"/>
      <c r="AJ26" s="215"/>
      <c r="AK26" s="215"/>
      <c r="AL26" s="215"/>
      <c r="AM26" s="215"/>
      <c r="AN26" s="215"/>
      <c r="AO26" s="215"/>
      <c r="AP26" s="215"/>
      <c r="AQ26" s="215"/>
      <c r="AR26" s="215"/>
      <c r="AS26" s="215"/>
      <c r="AT26" s="215"/>
      <c r="AU26" s="215"/>
      <c r="AV26" s="215"/>
      <c r="AW26" s="215"/>
      <c r="AX26" s="215"/>
      <c r="AY26" s="215"/>
    </row>
    <row r="27">
      <c r="A27" s="77" t="s">
        <v>269</v>
      </c>
      <c r="B27" s="177" t="s">
        <v>303</v>
      </c>
      <c r="C27" s="177" t="s">
        <v>2999</v>
      </c>
      <c r="D27" s="177" t="s">
        <v>3016</v>
      </c>
      <c r="E27" s="42" t="s">
        <v>1458</v>
      </c>
      <c r="F27" s="175"/>
      <c r="G27" s="175"/>
      <c r="H27" s="175"/>
      <c r="I27" s="175"/>
      <c r="J27" s="175"/>
      <c r="K27" s="175"/>
      <c r="L27" s="175"/>
      <c r="M27" s="175"/>
      <c r="N27" s="175"/>
      <c r="O27" s="175"/>
      <c r="P27" s="175"/>
      <c r="Q27" s="175"/>
      <c r="R27" s="175"/>
      <c r="S27" s="175"/>
      <c r="T27" s="277"/>
      <c r="U27" s="175"/>
      <c r="V27" s="175"/>
      <c r="W27" s="175"/>
      <c r="X27" s="175"/>
      <c r="Y27" s="175"/>
      <c r="Z27" s="175"/>
      <c r="AA27" s="175"/>
      <c r="AB27" s="175"/>
      <c r="AC27" s="215"/>
      <c r="AD27" s="215"/>
      <c r="AE27" s="215"/>
      <c r="AF27" s="215"/>
      <c r="AG27" s="215"/>
      <c r="AH27" s="215"/>
      <c r="AI27" s="215"/>
      <c r="AJ27" s="215"/>
      <c r="AK27" s="215"/>
      <c r="AL27" s="215"/>
      <c r="AM27" s="215"/>
      <c r="AN27" s="215"/>
      <c r="AO27" s="215"/>
      <c r="AP27" s="215"/>
      <c r="AQ27" s="215"/>
      <c r="AR27" s="215"/>
      <c r="AS27" s="215"/>
      <c r="AT27" s="215"/>
      <c r="AU27" s="215"/>
      <c r="AV27" s="215"/>
      <c r="AW27" s="215"/>
      <c r="AX27" s="215"/>
      <c r="AY27" s="215"/>
    </row>
    <row r="28">
      <c r="A28" s="77" t="s">
        <v>269</v>
      </c>
      <c r="B28" s="177" t="s">
        <v>313</v>
      </c>
      <c r="C28" s="177" t="s">
        <v>2999</v>
      </c>
      <c r="D28" s="89" t="s">
        <v>3021</v>
      </c>
      <c r="E28" s="28" t="s">
        <v>1458</v>
      </c>
      <c r="F28" s="175"/>
      <c r="G28" s="175"/>
      <c r="H28" s="175"/>
      <c r="I28" s="175"/>
      <c r="J28" s="175"/>
      <c r="K28" s="175"/>
      <c r="L28" s="175"/>
      <c r="M28" s="175"/>
      <c r="N28" s="175"/>
      <c r="O28" s="175"/>
      <c r="P28" s="175"/>
      <c r="Q28" s="175"/>
      <c r="R28" s="175"/>
      <c r="S28" s="175"/>
      <c r="T28" s="175"/>
      <c r="U28" s="175"/>
      <c r="V28" s="175"/>
      <c r="W28" s="175"/>
      <c r="X28" s="175"/>
      <c r="Y28" s="175"/>
      <c r="Z28" s="175"/>
      <c r="AA28" s="175"/>
      <c r="AB28" s="175"/>
      <c r="AC28" s="215"/>
      <c r="AD28" s="215"/>
      <c r="AE28" s="215"/>
      <c r="AF28" s="215"/>
      <c r="AG28" s="215"/>
      <c r="AH28" s="215"/>
      <c r="AI28" s="215"/>
      <c r="AJ28" s="215"/>
      <c r="AK28" s="215"/>
      <c r="AL28" s="215"/>
      <c r="AM28" s="215"/>
      <c r="AN28" s="215"/>
      <c r="AO28" s="215"/>
      <c r="AP28" s="215"/>
      <c r="AQ28" s="215"/>
      <c r="AR28" s="215"/>
      <c r="AS28" s="215"/>
      <c r="AT28" s="215"/>
      <c r="AU28" s="215"/>
      <c r="AV28" s="215"/>
      <c r="AW28" s="215"/>
      <c r="AX28" s="215"/>
      <c r="AY28" s="215"/>
    </row>
    <row r="29">
      <c r="A29" s="77" t="s">
        <v>269</v>
      </c>
      <c r="B29" s="177" t="s">
        <v>316</v>
      </c>
      <c r="C29" s="177" t="s">
        <v>2992</v>
      </c>
      <c r="D29" s="89" t="s">
        <v>3022</v>
      </c>
      <c r="E29" s="42" t="s">
        <v>1458</v>
      </c>
      <c r="F29" s="175"/>
      <c r="G29" s="175"/>
      <c r="I29" s="175"/>
      <c r="J29" s="175"/>
      <c r="K29" s="175"/>
      <c r="L29" s="175"/>
      <c r="M29" s="175"/>
      <c r="N29" s="175"/>
      <c r="O29" s="175"/>
      <c r="P29" s="175"/>
      <c r="Q29" s="175"/>
      <c r="R29" s="175"/>
      <c r="S29" s="175"/>
      <c r="T29" s="277"/>
      <c r="U29" s="175"/>
      <c r="V29" s="175"/>
      <c r="W29" s="175"/>
      <c r="X29" s="175"/>
      <c r="Y29" s="175"/>
      <c r="Z29" s="175"/>
      <c r="AA29" s="175"/>
      <c r="AB29" s="175"/>
      <c r="AC29" s="215"/>
      <c r="AD29" s="215"/>
      <c r="AE29" s="215"/>
      <c r="AF29" s="215"/>
      <c r="AG29" s="215"/>
      <c r="AH29" s="215"/>
      <c r="AI29" s="215"/>
      <c r="AJ29" s="215"/>
      <c r="AK29" s="215"/>
      <c r="AL29" s="215"/>
      <c r="AM29" s="215"/>
      <c r="AN29" s="215"/>
      <c r="AO29" s="215"/>
      <c r="AP29" s="215"/>
      <c r="AQ29" s="215"/>
      <c r="AR29" s="215"/>
      <c r="AS29" s="215"/>
      <c r="AT29" s="215"/>
      <c r="AU29" s="215"/>
      <c r="AV29" s="215"/>
      <c r="AW29" s="215"/>
      <c r="AX29" s="215"/>
      <c r="AY29" s="215"/>
    </row>
    <row r="30">
      <c r="A30" s="77" t="s">
        <v>269</v>
      </c>
      <c r="B30" s="177" t="s">
        <v>877</v>
      </c>
      <c r="C30" s="177" t="s">
        <v>2992</v>
      </c>
      <c r="D30" s="278" t="s">
        <v>3023</v>
      </c>
      <c r="E30" s="28" t="s">
        <v>1458</v>
      </c>
      <c r="F30" s="175"/>
      <c r="G30" s="175"/>
      <c r="H30" s="175"/>
      <c r="I30" s="175"/>
      <c r="J30" s="175"/>
      <c r="K30" s="82"/>
      <c r="L30" s="175"/>
      <c r="M30" s="82"/>
      <c r="N30" s="82"/>
      <c r="O30" s="175"/>
      <c r="P30" s="175"/>
      <c r="Q30" s="175"/>
      <c r="R30" s="175"/>
      <c r="S30" s="175"/>
      <c r="T30" s="175"/>
      <c r="U30" s="175"/>
      <c r="V30" s="175"/>
      <c r="W30" s="82"/>
      <c r="X30" s="82"/>
      <c r="Y30" s="175"/>
      <c r="Z30" s="175"/>
      <c r="AA30" s="175"/>
      <c r="AB30" s="175"/>
      <c r="AC30" s="82"/>
      <c r="AD30" s="82"/>
      <c r="AE30" s="175"/>
      <c r="AF30" s="175"/>
      <c r="AG30" s="175"/>
      <c r="AH30" s="175"/>
      <c r="AI30" s="175"/>
      <c r="AJ30" s="175"/>
      <c r="AK30" s="175"/>
      <c r="AL30" s="175"/>
      <c r="AM30" s="175"/>
      <c r="AN30" s="175"/>
      <c r="AO30" s="175"/>
      <c r="AP30" s="175"/>
      <c r="AQ30" s="175"/>
      <c r="AR30" s="175"/>
      <c r="AS30" s="175"/>
      <c r="AT30" s="175"/>
      <c r="AU30" s="175"/>
      <c r="AV30" s="175"/>
      <c r="AW30" s="175"/>
      <c r="AX30" s="175"/>
      <c r="AY30" s="175"/>
    </row>
    <row r="31">
      <c r="A31" s="77" t="s">
        <v>269</v>
      </c>
      <c r="B31" s="177" t="s">
        <v>903</v>
      </c>
      <c r="C31" s="177" t="s">
        <v>2992</v>
      </c>
      <c r="D31" s="279" t="s">
        <v>3024</v>
      </c>
      <c r="E31" s="42" t="s">
        <v>1458</v>
      </c>
      <c r="F31" s="175"/>
      <c r="G31" s="175"/>
      <c r="H31" s="280"/>
      <c r="I31" s="175"/>
      <c r="J31" s="175"/>
      <c r="K31" s="82"/>
      <c r="L31" s="82"/>
      <c r="M31" s="82"/>
      <c r="N31" s="82"/>
      <c r="O31" s="175"/>
      <c r="P31" s="175"/>
      <c r="Q31" s="175"/>
      <c r="R31" s="175"/>
      <c r="S31" s="175"/>
      <c r="T31" s="175"/>
      <c r="U31" s="175"/>
      <c r="V31" s="175"/>
      <c r="W31" s="82"/>
      <c r="X31" s="82"/>
      <c r="Z31" s="175"/>
      <c r="AA31" s="82"/>
      <c r="AB31" s="82"/>
      <c r="AC31" s="82"/>
      <c r="AD31" s="82"/>
      <c r="AE31" s="175"/>
      <c r="AF31" s="175"/>
      <c r="AG31" s="175"/>
      <c r="AH31" s="175"/>
      <c r="AI31" s="175"/>
      <c r="AJ31" s="175"/>
      <c r="AK31" s="175"/>
      <c r="AL31" s="175"/>
      <c r="AM31" s="175"/>
      <c r="AN31" s="175"/>
      <c r="AO31" s="175"/>
      <c r="AP31" s="175"/>
      <c r="AQ31" s="175"/>
      <c r="AR31" s="175"/>
      <c r="AS31" s="175"/>
      <c r="AT31" s="175"/>
      <c r="AU31" s="175"/>
      <c r="AV31" s="175"/>
      <c r="AW31" s="175"/>
      <c r="AX31" s="175"/>
      <c r="AY31" s="175"/>
    </row>
    <row r="32">
      <c r="A32" s="77" t="s">
        <v>269</v>
      </c>
      <c r="B32" s="177" t="s">
        <v>869</v>
      </c>
      <c r="C32" s="177" t="s">
        <v>2992</v>
      </c>
      <c r="D32" s="279" t="s">
        <v>3025</v>
      </c>
      <c r="E32" s="28" t="s">
        <v>1458</v>
      </c>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82"/>
      <c r="AD32" s="82"/>
      <c r="AE32" s="175"/>
      <c r="AF32" s="175"/>
      <c r="AG32" s="175"/>
      <c r="AH32" s="175"/>
      <c r="AI32" s="175"/>
      <c r="AJ32" s="175"/>
      <c r="AK32" s="175"/>
      <c r="AL32" s="175"/>
      <c r="AM32" s="175"/>
      <c r="AN32" s="175"/>
      <c r="AO32" s="175"/>
      <c r="AP32" s="175"/>
      <c r="AQ32" s="175"/>
      <c r="AR32" s="175"/>
      <c r="AS32" s="175"/>
      <c r="AT32" s="175"/>
      <c r="AU32" s="175"/>
      <c r="AV32" s="175"/>
      <c r="AW32" s="175"/>
      <c r="AX32" s="175"/>
      <c r="AY32" s="175"/>
    </row>
    <row r="33">
      <c r="A33" s="77" t="s">
        <v>269</v>
      </c>
      <c r="B33" s="177" t="s">
        <v>872</v>
      </c>
      <c r="C33" s="177" t="s">
        <v>2999</v>
      </c>
      <c r="D33" s="279" t="s">
        <v>3026</v>
      </c>
      <c r="E33" s="42" t="s">
        <v>1458</v>
      </c>
      <c r="F33" s="175"/>
      <c r="G33" s="175"/>
      <c r="H33" s="175"/>
      <c r="I33" s="175"/>
      <c r="J33" s="175"/>
      <c r="K33" s="175"/>
      <c r="L33" s="175"/>
      <c r="M33" s="82"/>
      <c r="N33" s="175"/>
      <c r="O33" s="175"/>
      <c r="P33" s="175"/>
      <c r="Q33" s="175"/>
      <c r="R33" s="175"/>
      <c r="S33" s="175"/>
      <c r="T33" s="175"/>
      <c r="U33" s="175"/>
      <c r="V33" s="175"/>
      <c r="W33" s="175"/>
      <c r="X33" s="175"/>
      <c r="Y33" s="175"/>
      <c r="Z33" s="175"/>
      <c r="AA33" s="175"/>
      <c r="AB33" s="175"/>
      <c r="AC33" s="82"/>
      <c r="AD33" s="82"/>
      <c r="AE33" s="175"/>
      <c r="AF33" s="175"/>
      <c r="AG33" s="175"/>
      <c r="AH33" s="175"/>
      <c r="AI33" s="175"/>
      <c r="AJ33" s="175"/>
      <c r="AK33" s="175"/>
      <c r="AL33" s="175"/>
      <c r="AM33" s="175"/>
      <c r="AN33" s="175"/>
      <c r="AO33" s="175"/>
      <c r="AP33" s="175"/>
      <c r="AQ33" s="175"/>
      <c r="AR33" s="175"/>
      <c r="AS33" s="175"/>
      <c r="AT33" s="175"/>
      <c r="AU33" s="175"/>
      <c r="AV33" s="175"/>
      <c r="AW33" s="175"/>
      <c r="AX33" s="175"/>
      <c r="AY33" s="175"/>
    </row>
    <row r="34">
      <c r="A34" s="77" t="s">
        <v>269</v>
      </c>
      <c r="B34" s="39" t="s">
        <v>872</v>
      </c>
      <c r="C34" s="177" t="s">
        <v>2999</v>
      </c>
      <c r="D34" s="177" t="s">
        <v>611</v>
      </c>
      <c r="E34" s="42" t="s">
        <v>1458</v>
      </c>
      <c r="F34" s="175"/>
      <c r="G34" s="175"/>
      <c r="H34" s="175"/>
      <c r="I34" s="175"/>
      <c r="J34" s="175"/>
      <c r="K34" s="175"/>
      <c r="L34" s="175"/>
      <c r="M34" s="82"/>
      <c r="N34" s="175"/>
      <c r="O34" s="175"/>
      <c r="P34" s="175"/>
      <c r="Q34" s="175"/>
      <c r="R34" s="175"/>
      <c r="S34" s="175"/>
      <c r="T34" s="175"/>
      <c r="U34" s="175"/>
      <c r="V34" s="175"/>
      <c r="W34" s="175"/>
      <c r="X34" s="175"/>
      <c r="Y34" s="175"/>
      <c r="Z34" s="175"/>
      <c r="AA34" s="175"/>
      <c r="AB34" s="175"/>
      <c r="AC34" s="82"/>
      <c r="AD34" s="82"/>
      <c r="AE34" s="175"/>
      <c r="AF34" s="175"/>
      <c r="AG34" s="175"/>
      <c r="AH34" s="175"/>
      <c r="AI34" s="175"/>
      <c r="AJ34" s="175"/>
      <c r="AK34" s="175"/>
      <c r="AL34" s="175"/>
      <c r="AM34" s="175"/>
      <c r="AN34" s="175"/>
      <c r="AO34" s="175"/>
      <c r="AP34" s="175"/>
      <c r="AQ34" s="175"/>
      <c r="AR34" s="175"/>
      <c r="AS34" s="175"/>
      <c r="AT34" s="175"/>
      <c r="AU34" s="175"/>
      <c r="AV34" s="175"/>
      <c r="AW34" s="175"/>
      <c r="AX34" s="175"/>
      <c r="AY34" s="175"/>
    </row>
    <row r="35">
      <c r="A35" s="77" t="s">
        <v>269</v>
      </c>
      <c r="B35" s="177" t="s">
        <v>875</v>
      </c>
      <c r="C35" s="177" t="s">
        <v>2999</v>
      </c>
      <c r="D35" s="279" t="s">
        <v>3027</v>
      </c>
      <c r="E35" s="28" t="s">
        <v>1458</v>
      </c>
      <c r="F35" s="175"/>
      <c r="G35" s="175"/>
      <c r="H35" s="82" t="s">
        <v>261</v>
      </c>
      <c r="I35" s="79" t="s">
        <v>822</v>
      </c>
      <c r="J35" s="82" t="s">
        <v>2999</v>
      </c>
      <c r="K35" s="82" t="s">
        <v>611</v>
      </c>
      <c r="L35" s="281" t="s">
        <v>1458</v>
      </c>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175"/>
      <c r="AN35" s="175"/>
      <c r="AO35" s="175"/>
      <c r="AP35" s="175"/>
      <c r="AQ35" s="175"/>
      <c r="AR35" s="175"/>
      <c r="AS35" s="175"/>
      <c r="AT35" s="175"/>
      <c r="AU35" s="175"/>
      <c r="AV35" s="175"/>
      <c r="AW35" s="175"/>
      <c r="AX35" s="175"/>
      <c r="AY35" s="175"/>
    </row>
    <row r="36">
      <c r="A36" s="77" t="s">
        <v>269</v>
      </c>
      <c r="B36" s="177" t="s">
        <v>882</v>
      </c>
      <c r="C36" s="177" t="s">
        <v>2992</v>
      </c>
      <c r="D36" s="279" t="s">
        <v>3028</v>
      </c>
      <c r="E36" s="42" t="s">
        <v>1458</v>
      </c>
      <c r="F36" s="175"/>
      <c r="G36" s="175"/>
      <c r="H36" s="79" t="s">
        <v>93</v>
      </c>
      <c r="I36" s="282" t="s">
        <v>832</v>
      </c>
      <c r="J36" s="82" t="s">
        <v>2999</v>
      </c>
      <c r="K36" s="283" t="s">
        <v>611</v>
      </c>
      <c r="L36" s="90" t="s">
        <v>1458</v>
      </c>
      <c r="M36" s="175"/>
      <c r="N36" s="175"/>
      <c r="O36" s="175"/>
      <c r="P36" s="175"/>
      <c r="R36" s="175"/>
      <c r="S36" s="175"/>
      <c r="T36" s="82"/>
      <c r="U36" s="175"/>
      <c r="V36" s="175"/>
      <c r="W36" s="175"/>
      <c r="X36" s="175"/>
      <c r="Y36" s="175"/>
      <c r="Z36" s="175"/>
      <c r="AA36" s="175"/>
      <c r="AB36" s="82"/>
      <c r="AC36" s="82"/>
      <c r="AD36" s="82"/>
      <c r="AF36" s="175"/>
      <c r="AG36" s="175"/>
      <c r="AH36" s="175"/>
      <c r="AI36" s="175"/>
      <c r="AJ36" s="175"/>
      <c r="AK36" s="175"/>
      <c r="AL36" s="175"/>
      <c r="AM36" s="175"/>
      <c r="AN36" s="175"/>
      <c r="AO36" s="175"/>
      <c r="AP36" s="175"/>
      <c r="AQ36" s="175"/>
      <c r="AR36" s="175"/>
      <c r="AS36" s="175"/>
      <c r="AT36" s="175"/>
      <c r="AU36" s="175"/>
      <c r="AV36" s="175"/>
      <c r="AW36" s="175"/>
      <c r="AX36" s="175"/>
      <c r="AY36" s="175"/>
    </row>
    <row r="37">
      <c r="A37" s="77" t="s">
        <v>269</v>
      </c>
      <c r="B37" s="177" t="s">
        <v>580</v>
      </c>
      <c r="C37" s="177" t="s">
        <v>2999</v>
      </c>
      <c r="D37" s="284" t="s">
        <v>3029</v>
      </c>
      <c r="E37" s="28" t="s">
        <v>1458</v>
      </c>
      <c r="F37" s="175"/>
      <c r="G37" s="175"/>
      <c r="H37" s="175"/>
      <c r="I37" s="82"/>
      <c r="J37" s="82"/>
      <c r="K37" s="82"/>
      <c r="L37" s="82"/>
      <c r="M37" s="82"/>
      <c r="N37" s="82"/>
      <c r="O37" s="82"/>
      <c r="P37" s="175"/>
      <c r="Q37" s="175"/>
      <c r="R37" s="175"/>
      <c r="S37" s="175"/>
      <c r="T37" s="82"/>
      <c r="U37" s="82"/>
      <c r="V37" s="82"/>
      <c r="W37" s="82"/>
      <c r="X37" s="175"/>
      <c r="Y37" s="175"/>
      <c r="Z37" s="82"/>
      <c r="AA37" s="82"/>
      <c r="AB37" s="82"/>
      <c r="AC37" s="82"/>
      <c r="AD37" s="82"/>
      <c r="AG37" s="175"/>
      <c r="AH37" s="175"/>
      <c r="AI37" s="175"/>
      <c r="AJ37" s="175"/>
      <c r="AK37" s="175"/>
      <c r="AL37" s="175"/>
      <c r="AM37" s="175"/>
      <c r="AN37" s="175"/>
      <c r="AO37" s="175"/>
      <c r="AP37" s="175"/>
      <c r="AQ37" s="175"/>
      <c r="AR37" s="175"/>
      <c r="AS37" s="175"/>
      <c r="AT37" s="175"/>
      <c r="AU37" s="175"/>
      <c r="AV37" s="175"/>
      <c r="AW37" s="175"/>
      <c r="AX37" s="175"/>
      <c r="AY37" s="175"/>
    </row>
    <row r="38">
      <c r="A38" s="77" t="s">
        <v>269</v>
      </c>
      <c r="B38" s="177" t="s">
        <v>584</v>
      </c>
      <c r="C38" s="177" t="s">
        <v>2999</v>
      </c>
      <c r="D38" s="284" t="s">
        <v>3030</v>
      </c>
      <c r="E38" s="42" t="s">
        <v>1458</v>
      </c>
      <c r="F38" s="175"/>
      <c r="G38" s="175"/>
      <c r="H38" s="175"/>
      <c r="I38" s="82"/>
      <c r="J38" s="82"/>
      <c r="K38" s="82"/>
      <c r="L38" s="82"/>
      <c r="M38" s="82"/>
      <c r="N38" s="82"/>
      <c r="O38" s="82"/>
      <c r="P38" s="175"/>
      <c r="Q38" s="175"/>
      <c r="R38" s="175"/>
      <c r="S38" s="175"/>
      <c r="T38" s="82"/>
      <c r="U38" s="82"/>
      <c r="V38" s="175"/>
      <c r="W38" s="82"/>
      <c r="X38" s="175"/>
      <c r="Y38" s="175"/>
      <c r="Z38" s="175"/>
      <c r="AA38" s="175"/>
      <c r="AB38" s="175"/>
      <c r="AC38" s="82"/>
      <c r="AD38" s="82"/>
      <c r="AE38" s="82"/>
      <c r="AG38" s="175"/>
      <c r="AH38" s="175"/>
      <c r="AI38" s="175"/>
      <c r="AJ38" s="175"/>
      <c r="AK38" s="175"/>
      <c r="AL38" s="175"/>
      <c r="AM38" s="175"/>
      <c r="AN38" s="175"/>
      <c r="AO38" s="175"/>
      <c r="AP38" s="175"/>
      <c r="AQ38" s="175"/>
      <c r="AR38" s="175"/>
      <c r="AS38" s="175"/>
      <c r="AT38" s="175"/>
      <c r="AU38" s="175"/>
      <c r="AV38" s="175"/>
      <c r="AW38" s="175"/>
      <c r="AX38" s="175"/>
      <c r="AY38" s="175"/>
    </row>
    <row r="39">
      <c r="A39" s="77" t="s">
        <v>269</v>
      </c>
      <c r="B39" s="177" t="s">
        <v>590</v>
      </c>
      <c r="C39" s="177" t="s">
        <v>2999</v>
      </c>
      <c r="D39" s="279" t="s">
        <v>3031</v>
      </c>
      <c r="E39" s="28" t="s">
        <v>1458</v>
      </c>
      <c r="F39" s="175"/>
      <c r="G39" s="175"/>
      <c r="H39" s="175"/>
      <c r="I39" s="82"/>
      <c r="J39" s="82"/>
      <c r="K39" s="82"/>
      <c r="L39" s="82"/>
      <c r="O39" s="82"/>
      <c r="P39" s="175"/>
      <c r="Q39" s="175"/>
      <c r="R39" s="175"/>
      <c r="S39" s="175"/>
      <c r="T39" s="82"/>
      <c r="U39" s="82"/>
      <c r="V39" s="82"/>
      <c r="W39" s="82"/>
      <c r="AA39" s="175"/>
      <c r="AB39" s="175"/>
      <c r="AC39" s="82"/>
      <c r="AD39" s="82"/>
      <c r="AE39" s="82"/>
      <c r="AG39" s="175"/>
      <c r="AH39" s="175"/>
      <c r="AI39" s="175"/>
      <c r="AJ39" s="175"/>
      <c r="AK39" s="175"/>
      <c r="AL39" s="175"/>
      <c r="AM39" s="175"/>
      <c r="AN39" s="175"/>
      <c r="AO39" s="175"/>
      <c r="AP39" s="175"/>
      <c r="AQ39" s="175"/>
      <c r="AR39" s="175"/>
      <c r="AS39" s="175"/>
      <c r="AT39" s="175"/>
      <c r="AU39" s="175"/>
      <c r="AV39" s="175"/>
      <c r="AW39" s="175"/>
      <c r="AX39" s="175"/>
      <c r="AY39" s="175"/>
    </row>
    <row r="40">
      <c r="A40" s="77" t="s">
        <v>269</v>
      </c>
      <c r="B40" s="177" t="s">
        <v>593</v>
      </c>
      <c r="C40" s="177" t="s">
        <v>2992</v>
      </c>
      <c r="D40" s="279" t="s">
        <v>3022</v>
      </c>
      <c r="E40" s="42" t="s">
        <v>1458</v>
      </c>
      <c r="F40" s="175"/>
      <c r="G40" s="175"/>
      <c r="H40" s="175"/>
      <c r="I40" s="175"/>
      <c r="J40" s="175"/>
      <c r="K40" s="175"/>
      <c r="L40" s="175"/>
      <c r="M40" s="175"/>
      <c r="N40" s="175"/>
      <c r="O40" s="82"/>
      <c r="P40" s="175"/>
      <c r="Q40" s="175"/>
      <c r="R40" s="175"/>
      <c r="S40" s="175"/>
      <c r="T40" s="175"/>
      <c r="U40" s="82"/>
      <c r="Y40" s="175"/>
      <c r="Z40" s="175"/>
      <c r="AA40" s="175"/>
      <c r="AB40" s="175"/>
      <c r="AC40" s="175"/>
      <c r="AD40" s="175"/>
      <c r="AE40" s="82"/>
      <c r="AG40" s="175"/>
      <c r="AH40" s="175"/>
      <c r="AI40" s="175"/>
      <c r="AJ40" s="175"/>
      <c r="AK40" s="175"/>
      <c r="AL40" s="175"/>
      <c r="AM40" s="175"/>
      <c r="AN40" s="175"/>
      <c r="AO40" s="175"/>
      <c r="AP40" s="175"/>
      <c r="AQ40" s="175"/>
      <c r="AR40" s="175"/>
      <c r="AS40" s="175"/>
      <c r="AT40" s="175"/>
      <c r="AU40" s="175"/>
      <c r="AV40" s="175"/>
      <c r="AW40" s="175"/>
      <c r="AX40" s="175"/>
      <c r="AY40" s="175"/>
    </row>
    <row r="41">
      <c r="A41" s="77" t="s">
        <v>269</v>
      </c>
      <c r="B41" s="177" t="s">
        <v>596</v>
      </c>
      <c r="C41" s="177" t="s">
        <v>2999</v>
      </c>
      <c r="D41" s="279" t="s">
        <v>3031</v>
      </c>
      <c r="E41" s="28" t="s">
        <v>1458</v>
      </c>
      <c r="F41" s="175"/>
      <c r="G41" s="175"/>
      <c r="H41" s="175"/>
      <c r="I41" s="82"/>
      <c r="J41" s="82"/>
      <c r="K41" s="82"/>
      <c r="L41" s="175"/>
      <c r="M41" s="175"/>
      <c r="N41" s="175"/>
      <c r="O41" s="82"/>
      <c r="P41" s="175"/>
      <c r="Q41" s="175"/>
      <c r="R41" s="175"/>
      <c r="S41" s="175"/>
      <c r="T41" s="82"/>
      <c r="U41" s="82"/>
      <c r="X41" s="175"/>
      <c r="Y41" s="175"/>
      <c r="Z41" s="175"/>
      <c r="AA41" s="175"/>
      <c r="AB41" s="175"/>
      <c r="AC41" s="82"/>
      <c r="AD41" s="82"/>
      <c r="AG41" s="175"/>
      <c r="AH41" s="175"/>
      <c r="AI41" s="175"/>
      <c r="AJ41" s="175"/>
      <c r="AK41" s="175"/>
      <c r="AL41" s="175"/>
      <c r="AM41" s="175"/>
      <c r="AN41" s="175"/>
      <c r="AO41" s="175"/>
      <c r="AP41" s="175"/>
      <c r="AQ41" s="175"/>
      <c r="AR41" s="175"/>
      <c r="AS41" s="175"/>
      <c r="AT41" s="175"/>
      <c r="AU41" s="175"/>
      <c r="AV41" s="175"/>
      <c r="AW41" s="175"/>
      <c r="AX41" s="175"/>
      <c r="AY41" s="175"/>
    </row>
    <row r="42">
      <c r="A42" s="77" t="s">
        <v>269</v>
      </c>
      <c r="B42" s="177" t="s">
        <v>598</v>
      </c>
      <c r="C42" s="177" t="s">
        <v>2992</v>
      </c>
      <c r="D42" s="279" t="s">
        <v>3032</v>
      </c>
      <c r="E42" s="42" t="s">
        <v>1458</v>
      </c>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c r="AI42" s="175"/>
      <c r="AJ42" s="175"/>
      <c r="AK42" s="175"/>
      <c r="AL42" s="175"/>
      <c r="AM42" s="175"/>
      <c r="AN42" s="175"/>
      <c r="AO42" s="175"/>
      <c r="AP42" s="175"/>
      <c r="AQ42" s="175"/>
      <c r="AR42" s="175"/>
      <c r="AS42" s="175"/>
      <c r="AT42" s="175"/>
      <c r="AU42" s="175"/>
      <c r="AV42" s="175"/>
      <c r="AW42" s="175"/>
      <c r="AX42" s="175"/>
      <c r="AY42" s="175"/>
    </row>
    <row r="43">
      <c r="A43" s="77" t="s">
        <v>269</v>
      </c>
      <c r="B43" s="177" t="s">
        <v>602</v>
      </c>
      <c r="C43" s="177" t="s">
        <v>2993</v>
      </c>
      <c r="D43" s="89" t="s">
        <v>3020</v>
      </c>
      <c r="E43" s="28" t="s">
        <v>1458</v>
      </c>
      <c r="F43" s="175"/>
      <c r="G43" s="175"/>
      <c r="H43" s="175"/>
      <c r="I43" s="82"/>
      <c r="J43" s="82"/>
      <c r="K43" s="82"/>
      <c r="L43" s="82"/>
      <c r="M43" s="82"/>
      <c r="N43" s="175"/>
      <c r="O43" s="82"/>
      <c r="P43" s="175"/>
      <c r="Q43" s="175"/>
      <c r="R43" s="175"/>
      <c r="S43" s="175"/>
      <c r="T43" s="82"/>
      <c r="U43" s="82"/>
      <c r="V43" s="82"/>
      <c r="W43" s="82"/>
      <c r="X43" s="82"/>
      <c r="AA43" s="82"/>
      <c r="AC43" s="82"/>
      <c r="AD43" s="175"/>
      <c r="AE43" s="175"/>
      <c r="AF43" s="175"/>
      <c r="AG43" s="175"/>
      <c r="AH43" s="175"/>
      <c r="AI43" s="175"/>
      <c r="AJ43" s="175"/>
      <c r="AK43" s="175"/>
      <c r="AL43" s="175"/>
      <c r="AM43" s="175"/>
      <c r="AN43" s="175"/>
      <c r="AO43" s="175"/>
      <c r="AP43" s="175"/>
      <c r="AQ43" s="175"/>
      <c r="AR43" s="175"/>
      <c r="AS43" s="175"/>
      <c r="AT43" s="175"/>
      <c r="AU43" s="175"/>
      <c r="AV43" s="175"/>
      <c r="AW43" s="175"/>
      <c r="AX43" s="175"/>
      <c r="AY43" s="175"/>
    </row>
    <row r="44">
      <c r="A44" s="77" t="s">
        <v>269</v>
      </c>
      <c r="B44" s="177" t="s">
        <v>605</v>
      </c>
      <c r="C44" s="177" t="s">
        <v>2999</v>
      </c>
      <c r="D44" s="279" t="s">
        <v>3033</v>
      </c>
      <c r="E44" s="42" t="s">
        <v>1458</v>
      </c>
      <c r="F44" s="82"/>
      <c r="G44" s="82"/>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c r="AI44" s="175"/>
      <c r="AJ44" s="175"/>
      <c r="AK44" s="175"/>
      <c r="AL44" s="175"/>
      <c r="AM44" s="175"/>
      <c r="AN44" s="175"/>
      <c r="AO44" s="175"/>
      <c r="AP44" s="175"/>
      <c r="AQ44" s="175"/>
      <c r="AR44" s="175"/>
      <c r="AS44" s="175"/>
      <c r="AT44" s="175"/>
      <c r="AU44" s="175"/>
      <c r="AV44" s="175"/>
      <c r="AW44" s="175"/>
      <c r="AX44" s="175"/>
      <c r="AY44" s="175"/>
    </row>
    <row r="45">
      <c r="A45" s="77" t="s">
        <v>93</v>
      </c>
      <c r="B45" s="177" t="s">
        <v>108</v>
      </c>
      <c r="C45" s="177" t="s">
        <v>2992</v>
      </c>
      <c r="D45" s="279" t="s">
        <v>3034</v>
      </c>
      <c r="E45" s="28" t="s">
        <v>1458</v>
      </c>
      <c r="F45" s="175"/>
      <c r="G45" s="82"/>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c r="AI45" s="175"/>
      <c r="AJ45" s="175"/>
      <c r="AK45" s="175"/>
      <c r="AL45" s="175"/>
      <c r="AM45" s="175"/>
      <c r="AN45" s="175"/>
      <c r="AO45" s="175"/>
      <c r="AP45" s="175"/>
      <c r="AQ45" s="175"/>
      <c r="AR45" s="175"/>
      <c r="AS45" s="175"/>
      <c r="AT45" s="175"/>
      <c r="AU45" s="175"/>
      <c r="AV45" s="175"/>
      <c r="AW45" s="175"/>
      <c r="AX45" s="175"/>
      <c r="AY45" s="175"/>
    </row>
    <row r="46">
      <c r="B46" s="39"/>
      <c r="C46" s="177"/>
      <c r="D46" s="279"/>
      <c r="E46" s="28"/>
      <c r="F46" s="87" t="s">
        <v>1458</v>
      </c>
      <c r="G46" s="82"/>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5"/>
      <c r="AN46" s="175"/>
      <c r="AO46" s="175"/>
      <c r="AP46" s="175"/>
      <c r="AQ46" s="175"/>
      <c r="AR46" s="175"/>
      <c r="AS46" s="175"/>
      <c r="AT46" s="175"/>
      <c r="AU46" s="175"/>
      <c r="AV46" s="175"/>
      <c r="AW46" s="175"/>
      <c r="AX46" s="175"/>
      <c r="AY46" s="175"/>
    </row>
    <row r="47">
      <c r="A47" s="77" t="s">
        <v>93</v>
      </c>
      <c r="B47" s="177" t="s">
        <v>121</v>
      </c>
      <c r="C47" s="177" t="s">
        <v>2992</v>
      </c>
      <c r="D47" s="279" t="s">
        <v>3034</v>
      </c>
      <c r="E47" s="42" t="s">
        <v>1458</v>
      </c>
      <c r="F47" s="82"/>
      <c r="G47" s="82"/>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c r="AI47" s="175"/>
      <c r="AJ47" s="175"/>
      <c r="AK47" s="175"/>
      <c r="AL47" s="175"/>
      <c r="AM47" s="175"/>
      <c r="AN47" s="175"/>
      <c r="AO47" s="175"/>
      <c r="AP47" s="175"/>
      <c r="AQ47" s="175"/>
      <c r="AR47" s="175"/>
      <c r="AS47" s="175"/>
      <c r="AT47" s="175"/>
      <c r="AU47" s="175"/>
      <c r="AV47" s="175"/>
      <c r="AW47" s="175"/>
      <c r="AX47" s="175"/>
      <c r="AY47" s="175"/>
    </row>
    <row r="48">
      <c r="A48" s="77" t="s">
        <v>93</v>
      </c>
      <c r="B48" s="177" t="s">
        <v>145</v>
      </c>
      <c r="C48" s="177" t="s">
        <v>2992</v>
      </c>
      <c r="D48" s="279" t="s">
        <v>3035</v>
      </c>
      <c r="E48" s="28" t="s">
        <v>1458</v>
      </c>
      <c r="F48" s="175"/>
      <c r="G48" s="82"/>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c r="AI48" s="175"/>
      <c r="AJ48" s="175"/>
      <c r="AK48" s="175"/>
      <c r="AL48" s="175"/>
      <c r="AM48" s="175"/>
      <c r="AN48" s="175"/>
      <c r="AO48" s="175"/>
      <c r="AP48" s="175"/>
      <c r="AQ48" s="175"/>
      <c r="AR48" s="175"/>
      <c r="AS48" s="175"/>
      <c r="AT48" s="175"/>
      <c r="AU48" s="175"/>
      <c r="AV48" s="175"/>
      <c r="AW48" s="175"/>
      <c r="AX48" s="175"/>
      <c r="AY48" s="175"/>
    </row>
    <row r="49">
      <c r="A49" s="77" t="s">
        <v>93</v>
      </c>
      <c r="B49" s="177" t="s">
        <v>153</v>
      </c>
      <c r="C49" s="177" t="s">
        <v>2993</v>
      </c>
      <c r="D49" s="89" t="s">
        <v>3036</v>
      </c>
      <c r="E49" s="42" t="s">
        <v>1458</v>
      </c>
      <c r="F49" s="82"/>
      <c r="G49" s="82"/>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c r="AI49" s="175"/>
      <c r="AJ49" s="175"/>
      <c r="AK49" s="175"/>
      <c r="AL49" s="175"/>
      <c r="AM49" s="175"/>
      <c r="AN49" s="175"/>
      <c r="AO49" s="175"/>
      <c r="AP49" s="175"/>
      <c r="AQ49" s="175"/>
      <c r="AR49" s="175"/>
      <c r="AS49" s="175"/>
      <c r="AT49" s="175"/>
      <c r="AU49" s="175"/>
      <c r="AV49" s="175"/>
      <c r="AW49" s="175"/>
      <c r="AX49" s="175"/>
      <c r="AY49" s="175"/>
    </row>
    <row r="50">
      <c r="A50" s="77" t="s">
        <v>93</v>
      </c>
      <c r="B50" s="177" t="s">
        <v>165</v>
      </c>
      <c r="C50" s="177" t="s">
        <v>2992</v>
      </c>
      <c r="D50" s="89" t="s">
        <v>3037</v>
      </c>
      <c r="E50" s="28" t="s">
        <v>1458</v>
      </c>
      <c r="F50" s="175"/>
      <c r="G50" s="82"/>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c r="AI50" s="175"/>
      <c r="AJ50" s="175"/>
      <c r="AK50" s="175"/>
      <c r="AL50" s="175"/>
      <c r="AM50" s="175"/>
      <c r="AN50" s="175"/>
      <c r="AO50" s="175"/>
      <c r="AP50" s="175"/>
      <c r="AQ50" s="175"/>
      <c r="AR50" s="175"/>
      <c r="AS50" s="175"/>
      <c r="AT50" s="175"/>
      <c r="AU50" s="175"/>
      <c r="AV50" s="175"/>
      <c r="AW50" s="175"/>
      <c r="AX50" s="175"/>
      <c r="AY50" s="175"/>
    </row>
    <row r="51">
      <c r="A51" s="77" t="s">
        <v>93</v>
      </c>
      <c r="B51" s="177" t="s">
        <v>169</v>
      </c>
      <c r="C51" s="177" t="s">
        <v>2993</v>
      </c>
      <c r="D51" s="89" t="s">
        <v>3038</v>
      </c>
      <c r="E51" s="42" t="s">
        <v>1458</v>
      </c>
      <c r="F51" s="175"/>
      <c r="G51" s="82"/>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c r="AI51" s="175"/>
      <c r="AJ51" s="175"/>
      <c r="AK51" s="175"/>
      <c r="AL51" s="175"/>
      <c r="AM51" s="175"/>
      <c r="AN51" s="175"/>
      <c r="AO51" s="175"/>
      <c r="AP51" s="175"/>
      <c r="AQ51" s="175"/>
      <c r="AR51" s="175"/>
      <c r="AS51" s="175"/>
      <c r="AT51" s="175"/>
      <c r="AU51" s="175"/>
      <c r="AV51" s="175"/>
      <c r="AW51" s="175"/>
      <c r="AX51" s="175"/>
      <c r="AY51" s="175"/>
    </row>
    <row r="52">
      <c r="A52" s="77" t="s">
        <v>93</v>
      </c>
      <c r="B52" s="177" t="s">
        <v>717</v>
      </c>
      <c r="C52" s="177" t="s">
        <v>2992</v>
      </c>
      <c r="D52" s="89" t="s">
        <v>3039</v>
      </c>
      <c r="E52" s="28" t="s">
        <v>1458</v>
      </c>
      <c r="F52" s="82"/>
      <c r="G52" s="82"/>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c r="AI52" s="175"/>
      <c r="AJ52" s="175"/>
      <c r="AK52" s="175"/>
      <c r="AL52" s="175"/>
      <c r="AM52" s="175"/>
      <c r="AN52" s="175"/>
      <c r="AO52" s="175"/>
      <c r="AP52" s="175"/>
      <c r="AQ52" s="175"/>
      <c r="AR52" s="175"/>
      <c r="AS52" s="175"/>
      <c r="AT52" s="175"/>
      <c r="AU52" s="175"/>
      <c r="AV52" s="175"/>
      <c r="AW52" s="175"/>
      <c r="AX52" s="175"/>
      <c r="AY52" s="175"/>
    </row>
    <row r="53">
      <c r="A53" s="77" t="s">
        <v>93</v>
      </c>
      <c r="B53" s="285" t="s">
        <v>720</v>
      </c>
      <c r="C53" s="177" t="s">
        <v>2999</v>
      </c>
      <c r="D53" s="89" t="s">
        <v>3039</v>
      </c>
      <c r="E53" s="42" t="s">
        <v>1458</v>
      </c>
      <c r="F53" s="175"/>
      <c r="G53" s="286"/>
      <c r="H53" s="286"/>
      <c r="I53" s="175"/>
      <c r="J53" s="175"/>
      <c r="K53" s="175"/>
      <c r="L53" s="175"/>
      <c r="M53" s="175"/>
      <c r="N53" s="175"/>
      <c r="O53" s="286"/>
      <c r="P53" s="286"/>
      <c r="Q53" s="286"/>
      <c r="R53" s="175"/>
      <c r="S53" s="286"/>
      <c r="T53" s="286"/>
      <c r="U53" s="175"/>
      <c r="V53" s="175"/>
      <c r="W53" s="175"/>
      <c r="X53" s="175"/>
      <c r="Y53" s="175"/>
      <c r="Z53" s="175"/>
      <c r="AA53" s="175"/>
      <c r="AB53" s="175"/>
      <c r="AC53" s="175"/>
      <c r="AD53" s="175"/>
      <c r="AE53" s="175"/>
      <c r="AF53" s="175"/>
      <c r="AG53" s="215"/>
      <c r="AH53" s="215"/>
      <c r="AI53" s="215"/>
      <c r="AJ53" s="215"/>
      <c r="AK53" s="215"/>
      <c r="AL53" s="215"/>
      <c r="AM53" s="215"/>
      <c r="AN53" s="215"/>
      <c r="AO53" s="215"/>
      <c r="AP53" s="215"/>
      <c r="AQ53" s="215"/>
      <c r="AR53" s="215"/>
      <c r="AS53" s="215"/>
      <c r="AT53" s="215"/>
      <c r="AU53" s="215"/>
      <c r="AV53" s="215"/>
      <c r="AW53" s="215"/>
      <c r="AX53" s="215"/>
      <c r="AY53" s="215"/>
    </row>
    <row r="54">
      <c r="A54" s="77" t="s">
        <v>93</v>
      </c>
      <c r="B54" s="285" t="s">
        <v>824</v>
      </c>
      <c r="C54" s="177" t="s">
        <v>2992</v>
      </c>
      <c r="D54" s="89" t="s">
        <v>3039</v>
      </c>
      <c r="E54" s="28" t="s">
        <v>1458</v>
      </c>
      <c r="F54" s="175"/>
      <c r="G54" s="286"/>
      <c r="H54" s="286"/>
      <c r="I54" s="175"/>
      <c r="J54" s="286"/>
      <c r="K54" s="286"/>
      <c r="L54" s="175"/>
      <c r="M54" s="286"/>
      <c r="N54" s="175"/>
      <c r="O54" s="286"/>
      <c r="P54" s="286"/>
      <c r="Q54" s="286"/>
      <c r="R54" s="175"/>
      <c r="S54" s="286"/>
      <c r="T54" s="286"/>
      <c r="U54" s="175"/>
      <c r="V54" s="286"/>
      <c r="W54" s="175"/>
      <c r="X54" s="175"/>
      <c r="Y54" s="175"/>
      <c r="Z54" s="175"/>
      <c r="AA54" s="175"/>
      <c r="AB54" s="175"/>
      <c r="AC54" s="175"/>
      <c r="AD54" s="175"/>
      <c r="AE54" s="175"/>
      <c r="AF54" s="175"/>
      <c r="AG54" s="215"/>
      <c r="AH54" s="215"/>
      <c r="AI54" s="215"/>
      <c r="AJ54" s="215"/>
      <c r="AK54" s="215"/>
      <c r="AL54" s="215"/>
      <c r="AM54" s="215"/>
      <c r="AN54" s="215"/>
      <c r="AO54" s="215"/>
      <c r="AP54" s="215"/>
      <c r="AQ54" s="215"/>
      <c r="AR54" s="215"/>
      <c r="AS54" s="215"/>
      <c r="AT54" s="215"/>
      <c r="AU54" s="215"/>
      <c r="AV54" s="215"/>
      <c r="AW54" s="215"/>
      <c r="AX54" s="215"/>
      <c r="AY54" s="215"/>
    </row>
    <row r="55">
      <c r="A55" s="77" t="s">
        <v>93</v>
      </c>
      <c r="B55" s="285" t="s">
        <v>827</v>
      </c>
      <c r="C55" s="177" t="s">
        <v>2999</v>
      </c>
      <c r="D55" s="89" t="s">
        <v>3039</v>
      </c>
      <c r="E55" s="42" t="s">
        <v>1458</v>
      </c>
      <c r="F55" s="286"/>
      <c r="G55" s="286"/>
      <c r="H55" s="286"/>
      <c r="I55" s="175"/>
      <c r="J55" s="175"/>
      <c r="K55" s="175"/>
      <c r="L55" s="175"/>
      <c r="M55" s="175"/>
      <c r="N55" s="175"/>
      <c r="O55" s="286"/>
      <c r="P55" s="286"/>
      <c r="Q55" s="286"/>
      <c r="R55" s="175"/>
      <c r="S55" s="286"/>
      <c r="T55" s="175"/>
      <c r="U55" s="175"/>
      <c r="V55" s="175"/>
      <c r="W55" s="175"/>
      <c r="X55" s="175"/>
      <c r="Y55" s="175"/>
      <c r="Z55" s="175"/>
      <c r="AA55" s="175"/>
      <c r="AB55" s="175"/>
      <c r="AC55" s="175"/>
      <c r="AD55" s="175"/>
      <c r="AE55" s="175"/>
      <c r="AF55" s="175"/>
      <c r="AG55" s="215"/>
      <c r="AH55" s="215"/>
      <c r="AI55" s="215"/>
      <c r="AJ55" s="215"/>
      <c r="AK55" s="215"/>
      <c r="AL55" s="215"/>
      <c r="AM55" s="215"/>
      <c r="AN55" s="215"/>
      <c r="AO55" s="215"/>
      <c r="AP55" s="215"/>
      <c r="AQ55" s="215"/>
      <c r="AR55" s="215"/>
      <c r="AS55" s="215"/>
      <c r="AT55" s="215"/>
      <c r="AU55" s="215"/>
      <c r="AV55" s="215"/>
      <c r="AW55" s="215"/>
      <c r="AX55" s="215"/>
      <c r="AY55" s="215"/>
    </row>
    <row r="56">
      <c r="A56" s="77" t="s">
        <v>93</v>
      </c>
      <c r="B56" s="285" t="s">
        <v>922</v>
      </c>
      <c r="C56" s="177" t="s">
        <v>2992</v>
      </c>
      <c r="D56" s="89" t="s">
        <v>3040</v>
      </c>
      <c r="E56" s="28" t="s">
        <v>1458</v>
      </c>
      <c r="F56" s="175"/>
      <c r="G56" s="286"/>
      <c r="H56" s="286"/>
      <c r="I56" s="175"/>
      <c r="J56" s="175"/>
      <c r="K56" s="175"/>
      <c r="L56" s="175"/>
      <c r="M56" s="175"/>
      <c r="N56" s="175"/>
      <c r="O56" s="286"/>
      <c r="P56" s="286"/>
      <c r="Q56" s="175"/>
      <c r="R56" s="175"/>
      <c r="S56" s="286"/>
      <c r="T56" s="175"/>
      <c r="U56" s="175"/>
      <c r="V56" s="175"/>
      <c r="W56" s="175"/>
      <c r="X56" s="175"/>
      <c r="Y56" s="175"/>
      <c r="Z56" s="175"/>
      <c r="AA56" s="175"/>
      <c r="AB56" s="175"/>
      <c r="AC56" s="175"/>
      <c r="AD56" s="175"/>
      <c r="AE56" s="175"/>
      <c r="AF56" s="175"/>
      <c r="AG56" s="215"/>
      <c r="AH56" s="215"/>
      <c r="AI56" s="215"/>
      <c r="AJ56" s="215"/>
      <c r="AK56" s="215"/>
      <c r="AL56" s="215"/>
      <c r="AM56" s="215"/>
      <c r="AN56" s="215"/>
      <c r="AO56" s="215"/>
      <c r="AP56" s="215"/>
      <c r="AQ56" s="215"/>
      <c r="AR56" s="215"/>
      <c r="AS56" s="215"/>
      <c r="AT56" s="215"/>
      <c r="AU56" s="215"/>
      <c r="AV56" s="215"/>
      <c r="AW56" s="215"/>
      <c r="AX56" s="215"/>
      <c r="AY56" s="215"/>
    </row>
    <row r="57">
      <c r="A57" s="77" t="s">
        <v>93</v>
      </c>
      <c r="B57" s="285" t="s">
        <v>927</v>
      </c>
      <c r="C57" s="177" t="s">
        <v>2992</v>
      </c>
      <c r="D57" s="89" t="s">
        <v>3039</v>
      </c>
      <c r="E57" s="42" t="s">
        <v>1458</v>
      </c>
      <c r="F57" s="175"/>
      <c r="G57" s="286"/>
      <c r="H57" s="286"/>
      <c r="I57" s="175"/>
      <c r="J57" s="175"/>
      <c r="K57" s="175"/>
      <c r="L57" s="175"/>
      <c r="M57" s="175"/>
      <c r="N57" s="175"/>
      <c r="O57" s="286"/>
      <c r="P57" s="286"/>
      <c r="Q57" s="286"/>
      <c r="R57" s="175"/>
      <c r="S57" s="286"/>
      <c r="T57" s="175"/>
      <c r="U57" s="175"/>
      <c r="V57" s="175"/>
      <c r="W57" s="175"/>
      <c r="X57" s="175"/>
      <c r="Y57" s="286"/>
      <c r="Z57" s="175"/>
      <c r="AA57" s="286"/>
      <c r="AB57" s="175"/>
      <c r="AC57" s="175"/>
      <c r="AD57" s="175"/>
      <c r="AE57" s="175"/>
      <c r="AF57" s="175"/>
      <c r="AG57" s="215"/>
      <c r="AH57" s="215"/>
      <c r="AI57" s="215"/>
      <c r="AJ57" s="215"/>
      <c r="AK57" s="215"/>
      <c r="AL57" s="215"/>
      <c r="AM57" s="215"/>
      <c r="AN57" s="215"/>
      <c r="AO57" s="215"/>
      <c r="AP57" s="215"/>
      <c r="AQ57" s="215"/>
      <c r="AR57" s="215"/>
      <c r="AS57" s="215"/>
      <c r="AT57" s="215"/>
      <c r="AU57" s="215"/>
      <c r="AV57" s="215"/>
      <c r="AW57" s="215"/>
      <c r="AX57" s="215"/>
      <c r="AY57" s="215"/>
    </row>
    <row r="58">
      <c r="A58" s="77" t="s">
        <v>507</v>
      </c>
      <c r="B58" s="285" t="s">
        <v>528</v>
      </c>
      <c r="C58" s="177" t="s">
        <v>2992</v>
      </c>
      <c r="D58" s="89" t="s">
        <v>3041</v>
      </c>
      <c r="E58" s="28" t="s">
        <v>1458</v>
      </c>
      <c r="F58" s="286"/>
      <c r="G58" s="286"/>
      <c r="H58" s="286"/>
      <c r="I58" s="175"/>
      <c r="J58" s="175"/>
      <c r="K58" s="175"/>
      <c r="L58" s="175"/>
      <c r="M58" s="175"/>
      <c r="N58" s="175"/>
      <c r="O58" s="286"/>
      <c r="P58" s="286"/>
      <c r="Q58" s="175"/>
      <c r="R58" s="175"/>
      <c r="S58" s="286"/>
      <c r="T58" s="175"/>
      <c r="U58" s="175"/>
      <c r="V58" s="175"/>
      <c r="W58" s="175"/>
      <c r="X58" s="175"/>
      <c r="Y58" s="175"/>
      <c r="Z58" s="175"/>
      <c r="AA58" s="175"/>
      <c r="AB58" s="175"/>
      <c r="AC58" s="175"/>
      <c r="AD58" s="175"/>
      <c r="AE58" s="175"/>
      <c r="AF58" s="175"/>
      <c r="AG58" s="215"/>
      <c r="AH58" s="215"/>
      <c r="AI58" s="215"/>
      <c r="AJ58" s="215"/>
      <c r="AK58" s="215"/>
      <c r="AL58" s="215"/>
      <c r="AM58" s="215"/>
      <c r="AN58" s="215"/>
      <c r="AO58" s="215"/>
      <c r="AP58" s="215"/>
      <c r="AQ58" s="215"/>
      <c r="AR58" s="215"/>
      <c r="AS58" s="215"/>
      <c r="AT58" s="215"/>
      <c r="AU58" s="215"/>
      <c r="AV58" s="215"/>
      <c r="AW58" s="215"/>
      <c r="AX58" s="215"/>
      <c r="AY58" s="215"/>
    </row>
    <row r="59">
      <c r="A59" s="77" t="s">
        <v>507</v>
      </c>
      <c r="B59" s="285" t="s">
        <v>543</v>
      </c>
      <c r="C59" s="177" t="s">
        <v>2992</v>
      </c>
      <c r="D59" s="287" t="s">
        <v>3042</v>
      </c>
      <c r="E59" s="42" t="s">
        <v>1458</v>
      </c>
      <c r="F59" s="286"/>
      <c r="G59" s="286"/>
      <c r="H59" s="286"/>
      <c r="I59" s="175"/>
      <c r="J59" s="175"/>
      <c r="K59" s="175"/>
      <c r="L59" s="175"/>
      <c r="M59" s="175"/>
      <c r="N59" s="175"/>
      <c r="O59" s="286"/>
      <c r="P59" s="286"/>
      <c r="Q59" s="286"/>
      <c r="R59" s="175"/>
      <c r="S59" s="286"/>
      <c r="T59" s="175"/>
      <c r="U59" s="175"/>
      <c r="V59" s="175"/>
      <c r="W59" s="175"/>
      <c r="X59" s="175"/>
      <c r="Y59" s="286"/>
      <c r="Z59" s="175"/>
      <c r="AA59" s="175"/>
      <c r="AB59" s="175"/>
      <c r="AC59" s="175"/>
      <c r="AD59" s="175"/>
      <c r="AE59" s="175"/>
      <c r="AF59" s="175"/>
      <c r="AG59" s="215"/>
      <c r="AH59" s="215"/>
      <c r="AI59" s="215"/>
      <c r="AJ59" s="215"/>
      <c r="AK59" s="215"/>
      <c r="AL59" s="215"/>
      <c r="AM59" s="215"/>
      <c r="AN59" s="215"/>
      <c r="AO59" s="215"/>
      <c r="AP59" s="215"/>
      <c r="AQ59" s="215"/>
      <c r="AR59" s="215"/>
      <c r="AS59" s="215"/>
      <c r="AT59" s="215"/>
      <c r="AU59" s="215"/>
      <c r="AV59" s="215"/>
      <c r="AW59" s="215"/>
      <c r="AX59" s="215"/>
      <c r="AY59" s="215"/>
    </row>
    <row r="60">
      <c r="A60" s="77" t="s">
        <v>507</v>
      </c>
      <c r="B60" s="285" t="s">
        <v>547</v>
      </c>
      <c r="C60" s="177" t="s">
        <v>2993</v>
      </c>
      <c r="D60" s="287" t="s">
        <v>3043</v>
      </c>
      <c r="E60" s="28" t="s">
        <v>1458</v>
      </c>
      <c r="F60" s="286"/>
      <c r="G60" s="286"/>
      <c r="H60" s="286"/>
      <c r="I60" s="175"/>
      <c r="J60" s="175"/>
      <c r="K60" s="175"/>
      <c r="L60" s="175"/>
      <c r="M60" s="175"/>
      <c r="N60" s="175"/>
      <c r="O60" s="286"/>
      <c r="P60" s="286"/>
      <c r="Q60" s="286"/>
      <c r="R60" s="175"/>
      <c r="S60" s="286"/>
      <c r="T60" s="175"/>
      <c r="U60" s="175"/>
      <c r="V60" s="175"/>
      <c r="W60" s="175"/>
      <c r="X60" s="175"/>
      <c r="Y60" s="286"/>
      <c r="Z60" s="175"/>
      <c r="AA60" s="175"/>
      <c r="AB60" s="175"/>
      <c r="AC60" s="175"/>
      <c r="AD60" s="175"/>
      <c r="AE60" s="175"/>
      <c r="AF60" s="175"/>
      <c r="AG60" s="215"/>
      <c r="AH60" s="215"/>
      <c r="AI60" s="215"/>
      <c r="AJ60" s="215"/>
      <c r="AK60" s="215"/>
      <c r="AL60" s="215"/>
      <c r="AM60" s="215"/>
      <c r="AN60" s="215"/>
      <c r="AO60" s="215"/>
      <c r="AP60" s="215"/>
      <c r="AQ60" s="215"/>
      <c r="AR60" s="215"/>
      <c r="AS60" s="215"/>
      <c r="AT60" s="215"/>
      <c r="AU60" s="215"/>
      <c r="AV60" s="215"/>
      <c r="AW60" s="215"/>
      <c r="AX60" s="215"/>
      <c r="AY60" s="215"/>
    </row>
    <row r="61">
      <c r="A61" s="77" t="s">
        <v>507</v>
      </c>
      <c r="B61" s="37" t="s">
        <v>547</v>
      </c>
      <c r="C61" s="177" t="s">
        <v>2999</v>
      </c>
      <c r="D61" s="177" t="s">
        <v>611</v>
      </c>
      <c r="E61" s="28" t="s">
        <v>1458</v>
      </c>
      <c r="F61" s="286"/>
      <c r="G61" s="286"/>
      <c r="H61" s="286"/>
      <c r="I61" s="175"/>
      <c r="J61" s="175"/>
      <c r="K61" s="175"/>
      <c r="L61" s="175"/>
      <c r="M61" s="175"/>
      <c r="N61" s="175"/>
      <c r="O61" s="286"/>
      <c r="P61" s="286"/>
      <c r="Q61" s="286"/>
      <c r="R61" s="175"/>
      <c r="S61" s="286"/>
      <c r="T61" s="175"/>
      <c r="U61" s="175"/>
      <c r="V61" s="175"/>
      <c r="W61" s="175"/>
      <c r="X61" s="175"/>
      <c r="Y61" s="286"/>
      <c r="Z61" s="175"/>
      <c r="AA61" s="175"/>
      <c r="AB61" s="175"/>
      <c r="AC61" s="175"/>
      <c r="AD61" s="175"/>
      <c r="AE61" s="175"/>
      <c r="AF61" s="175"/>
      <c r="AG61" s="215"/>
      <c r="AH61" s="215"/>
      <c r="AI61" s="215"/>
      <c r="AJ61" s="215"/>
      <c r="AK61" s="215"/>
      <c r="AL61" s="215"/>
      <c r="AM61" s="215"/>
      <c r="AN61" s="215"/>
      <c r="AO61" s="215"/>
      <c r="AP61" s="215"/>
      <c r="AQ61" s="215"/>
      <c r="AR61" s="215"/>
      <c r="AS61" s="215"/>
      <c r="AT61" s="215"/>
      <c r="AU61" s="215"/>
      <c r="AV61" s="215"/>
      <c r="AW61" s="215"/>
      <c r="AX61" s="215"/>
      <c r="AY61" s="215"/>
    </row>
    <row r="62">
      <c r="A62" s="77" t="s">
        <v>507</v>
      </c>
      <c r="B62" s="285" t="s">
        <v>554</v>
      </c>
      <c r="C62" s="177" t="s">
        <v>2992</v>
      </c>
      <c r="D62" s="287" t="s">
        <v>3044</v>
      </c>
      <c r="E62" s="42" t="s">
        <v>1458</v>
      </c>
      <c r="F62" s="286"/>
      <c r="G62" s="286"/>
      <c r="H62" s="286"/>
      <c r="I62" s="175"/>
      <c r="J62" s="175"/>
      <c r="K62" s="175"/>
      <c r="L62" s="175"/>
      <c r="M62" s="175"/>
      <c r="N62" s="175"/>
      <c r="O62" s="286"/>
      <c r="P62" s="286"/>
      <c r="Q62" s="286"/>
      <c r="R62" s="175"/>
      <c r="S62" s="286"/>
      <c r="T62" s="175"/>
      <c r="U62" s="175"/>
      <c r="V62" s="175"/>
      <c r="W62" s="175"/>
      <c r="X62" s="175"/>
      <c r="Y62" s="286"/>
      <c r="Z62" s="175"/>
      <c r="AA62" s="286"/>
      <c r="AB62" s="175"/>
      <c r="AC62" s="175"/>
      <c r="AD62" s="175"/>
      <c r="AE62" s="175"/>
      <c r="AF62" s="175"/>
      <c r="AG62" s="215"/>
      <c r="AH62" s="215"/>
      <c r="AI62" s="215"/>
      <c r="AJ62" s="215"/>
      <c r="AK62" s="215"/>
      <c r="AL62" s="215"/>
      <c r="AM62" s="215"/>
      <c r="AN62" s="215"/>
      <c r="AO62" s="215"/>
      <c r="AP62" s="215"/>
      <c r="AQ62" s="215"/>
      <c r="AR62" s="215"/>
      <c r="AS62" s="215"/>
      <c r="AT62" s="215"/>
      <c r="AU62" s="215"/>
      <c r="AV62" s="215"/>
      <c r="AW62" s="215"/>
      <c r="AX62" s="215"/>
      <c r="AY62" s="215"/>
    </row>
    <row r="63">
      <c r="A63" s="77" t="s">
        <v>507</v>
      </c>
      <c r="B63" s="285" t="s">
        <v>697</v>
      </c>
      <c r="C63" s="177" t="s">
        <v>2992</v>
      </c>
      <c r="D63" s="287" t="s">
        <v>3045</v>
      </c>
      <c r="E63" s="28" t="s">
        <v>1458</v>
      </c>
      <c r="F63" s="286"/>
      <c r="G63" s="286"/>
      <c r="H63" s="286"/>
      <c r="I63" s="175"/>
      <c r="J63" s="175"/>
      <c r="K63" s="175"/>
      <c r="L63" s="175"/>
      <c r="M63" s="175"/>
      <c r="N63" s="175"/>
      <c r="O63" s="286"/>
      <c r="P63" s="286"/>
      <c r="Q63" s="286"/>
      <c r="R63" s="175"/>
      <c r="S63" s="286"/>
      <c r="T63" s="175"/>
      <c r="U63" s="175"/>
      <c r="V63" s="175"/>
      <c r="W63" s="175"/>
      <c r="X63" s="175"/>
      <c r="Y63" s="286"/>
      <c r="Z63" s="175"/>
      <c r="AA63" s="286"/>
      <c r="AB63" s="175"/>
      <c r="AC63" s="175"/>
      <c r="AD63" s="175"/>
      <c r="AE63" s="175"/>
      <c r="AF63" s="175"/>
      <c r="AG63" s="215"/>
      <c r="AH63" s="215"/>
      <c r="AI63" s="215"/>
      <c r="AJ63" s="215"/>
      <c r="AK63" s="215"/>
      <c r="AL63" s="215"/>
      <c r="AM63" s="215"/>
      <c r="AN63" s="215"/>
      <c r="AO63" s="215"/>
      <c r="AP63" s="215"/>
      <c r="AQ63" s="215"/>
      <c r="AR63" s="215"/>
      <c r="AS63" s="215"/>
      <c r="AT63" s="215"/>
      <c r="AU63" s="215"/>
      <c r="AV63" s="215"/>
      <c r="AW63" s="215"/>
      <c r="AX63" s="215"/>
      <c r="AY63" s="215"/>
    </row>
    <row r="64">
      <c r="A64" s="77" t="s">
        <v>507</v>
      </c>
      <c r="B64" s="285" t="s">
        <v>916</v>
      </c>
      <c r="C64" s="177" t="s">
        <v>2992</v>
      </c>
      <c r="D64" s="287" t="s">
        <v>3046</v>
      </c>
      <c r="E64" s="42" t="s">
        <v>1458</v>
      </c>
      <c r="F64" s="175"/>
      <c r="G64" s="286"/>
      <c r="H64" s="286"/>
      <c r="I64" s="175"/>
      <c r="J64" s="175"/>
      <c r="K64" s="175"/>
      <c r="L64" s="175"/>
      <c r="M64" s="286"/>
      <c r="N64" s="175"/>
      <c r="O64" s="286"/>
      <c r="P64" s="286"/>
      <c r="Q64" s="286"/>
      <c r="R64" s="175"/>
      <c r="S64" s="286"/>
      <c r="T64" s="175"/>
      <c r="U64" s="175"/>
      <c r="V64" s="175"/>
      <c r="W64" s="175"/>
      <c r="X64" s="175"/>
      <c r="Y64" s="286"/>
      <c r="Z64" s="175"/>
      <c r="AA64" s="286"/>
      <c r="AB64" s="175"/>
      <c r="AC64" s="175"/>
      <c r="AD64" s="175"/>
      <c r="AE64" s="175"/>
      <c r="AF64" s="175"/>
      <c r="AG64" s="215"/>
      <c r="AH64" s="215"/>
      <c r="AI64" s="215"/>
      <c r="AJ64" s="215"/>
      <c r="AK64" s="215"/>
      <c r="AL64" s="215"/>
      <c r="AM64" s="215"/>
      <c r="AN64" s="215"/>
      <c r="AO64" s="215"/>
      <c r="AP64" s="215"/>
      <c r="AQ64" s="215"/>
      <c r="AR64" s="215"/>
      <c r="AS64" s="215"/>
      <c r="AT64" s="215"/>
      <c r="AU64" s="215"/>
      <c r="AV64" s="215"/>
      <c r="AW64" s="215"/>
      <c r="AX64" s="215"/>
      <c r="AY64" s="215"/>
    </row>
    <row r="65">
      <c r="A65" s="77" t="s">
        <v>507</v>
      </c>
      <c r="B65" s="177" t="s">
        <v>570</v>
      </c>
      <c r="C65" s="177" t="s">
        <v>2992</v>
      </c>
      <c r="D65" s="288" t="s">
        <v>3047</v>
      </c>
      <c r="E65" s="28" t="s">
        <v>1458</v>
      </c>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215"/>
      <c r="AH65" s="215"/>
      <c r="AI65" s="215"/>
      <c r="AJ65" s="215"/>
      <c r="AK65" s="215"/>
      <c r="AL65" s="215"/>
      <c r="AM65" s="215"/>
      <c r="AN65" s="215"/>
      <c r="AO65" s="215"/>
      <c r="AP65" s="215"/>
      <c r="AQ65" s="215"/>
      <c r="AR65" s="215"/>
      <c r="AS65" s="215"/>
      <c r="AT65" s="215"/>
      <c r="AU65" s="215"/>
      <c r="AV65" s="215"/>
      <c r="AW65" s="215"/>
      <c r="AX65" s="215"/>
      <c r="AY65" s="215"/>
    </row>
    <row r="66">
      <c r="A66" s="77" t="s">
        <v>507</v>
      </c>
      <c r="B66" s="285" t="s">
        <v>884</v>
      </c>
      <c r="C66" s="177" t="s">
        <v>2992</v>
      </c>
      <c r="D66" s="287" t="s">
        <v>3048</v>
      </c>
      <c r="E66" s="42" t="s">
        <v>1458</v>
      </c>
      <c r="F66" s="286"/>
      <c r="G66" s="286"/>
      <c r="H66" s="286"/>
      <c r="I66" s="286"/>
      <c r="J66" s="175"/>
      <c r="K66" s="286"/>
      <c r="L66" s="175"/>
      <c r="M66" s="286"/>
      <c r="N66" s="175"/>
      <c r="O66" s="286"/>
      <c r="P66" s="286"/>
      <c r="Q66" s="286"/>
      <c r="R66" s="175"/>
      <c r="S66" s="286"/>
      <c r="T66" s="175"/>
      <c r="U66" s="175"/>
      <c r="V66" s="175"/>
      <c r="W66" s="175"/>
      <c r="X66" s="175"/>
      <c r="Y66" s="286"/>
      <c r="Z66" s="175"/>
      <c r="AA66" s="286"/>
      <c r="AB66" s="175"/>
      <c r="AC66" s="175"/>
      <c r="AD66" s="175"/>
      <c r="AE66" s="175"/>
      <c r="AF66" s="175"/>
      <c r="AG66" s="215"/>
      <c r="AH66" s="215"/>
      <c r="AI66" s="215"/>
      <c r="AJ66" s="215"/>
      <c r="AK66" s="215"/>
      <c r="AL66" s="215"/>
      <c r="AM66" s="215"/>
      <c r="AN66" s="215"/>
      <c r="AO66" s="215"/>
      <c r="AP66" s="215"/>
      <c r="AQ66" s="215"/>
      <c r="AR66" s="215"/>
      <c r="AS66" s="215"/>
      <c r="AT66" s="215"/>
      <c r="AU66" s="215"/>
      <c r="AV66" s="215"/>
      <c r="AW66" s="215"/>
      <c r="AX66" s="215"/>
      <c r="AY66" s="215"/>
    </row>
    <row r="67">
      <c r="A67" s="77" t="s">
        <v>261</v>
      </c>
      <c r="B67" s="177" t="s">
        <v>811</v>
      </c>
      <c r="C67" s="177" t="s">
        <v>2993</v>
      </c>
      <c r="D67" s="177" t="s">
        <v>3049</v>
      </c>
      <c r="E67" s="28" t="s">
        <v>1458</v>
      </c>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215"/>
      <c r="AG67" s="215"/>
      <c r="AH67" s="215"/>
      <c r="AI67" s="215"/>
      <c r="AJ67" s="215"/>
      <c r="AK67" s="215"/>
      <c r="AL67" s="215"/>
      <c r="AM67" s="215"/>
      <c r="AN67" s="215"/>
      <c r="AO67" s="215"/>
      <c r="AP67" s="215"/>
      <c r="AQ67" s="215"/>
      <c r="AR67" s="215"/>
      <c r="AS67" s="215"/>
      <c r="AT67" s="215"/>
      <c r="AU67" s="215"/>
      <c r="AV67" s="215"/>
      <c r="AW67" s="215"/>
      <c r="AX67" s="215"/>
      <c r="AY67" s="215"/>
    </row>
    <row r="68">
      <c r="A68" s="77" t="s">
        <v>261</v>
      </c>
      <c r="B68" s="177" t="s">
        <v>838</v>
      </c>
      <c r="C68" s="177" t="s">
        <v>2993</v>
      </c>
      <c r="D68" s="177" t="s">
        <v>3049</v>
      </c>
      <c r="E68" s="42" t="s">
        <v>1458</v>
      </c>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215"/>
      <c r="AG68" s="215"/>
      <c r="AH68" s="215"/>
      <c r="AI68" s="215"/>
      <c r="AJ68" s="215"/>
      <c r="AK68" s="215"/>
      <c r="AL68" s="215"/>
      <c r="AM68" s="215"/>
      <c r="AN68" s="215"/>
      <c r="AO68" s="215"/>
      <c r="AP68" s="215"/>
      <c r="AQ68" s="215"/>
      <c r="AR68" s="215"/>
      <c r="AS68" s="215"/>
      <c r="AT68" s="215"/>
      <c r="AU68" s="215"/>
      <c r="AV68" s="215"/>
      <c r="AW68" s="215"/>
      <c r="AX68" s="215"/>
      <c r="AY68" s="215"/>
    </row>
    <row r="69">
      <c r="A69" s="77" t="s">
        <v>269</v>
      </c>
      <c r="B69" s="177" t="s">
        <v>3050</v>
      </c>
      <c r="C69" s="177" t="s">
        <v>2992</v>
      </c>
      <c r="D69" s="177" t="s">
        <v>3051</v>
      </c>
      <c r="E69" s="28" t="s">
        <v>1211</v>
      </c>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215"/>
      <c r="AG69" s="215"/>
      <c r="AH69" s="215"/>
      <c r="AI69" s="215"/>
      <c r="AJ69" s="215"/>
      <c r="AK69" s="215"/>
      <c r="AL69" s="215"/>
      <c r="AM69" s="215"/>
      <c r="AN69" s="215"/>
      <c r="AO69" s="215"/>
      <c r="AP69" s="215"/>
      <c r="AQ69" s="215"/>
      <c r="AR69" s="215"/>
      <c r="AS69" s="215"/>
      <c r="AT69" s="215"/>
      <c r="AU69" s="215"/>
      <c r="AV69" s="215"/>
      <c r="AW69" s="215"/>
      <c r="AX69" s="215"/>
      <c r="AY69" s="215"/>
    </row>
    <row r="70">
      <c r="A70" s="77" t="s">
        <v>269</v>
      </c>
      <c r="B70" s="177" t="s">
        <v>3052</v>
      </c>
      <c r="C70" s="177" t="s">
        <v>2992</v>
      </c>
      <c r="D70" s="177" t="s">
        <v>3051</v>
      </c>
      <c r="E70" s="28" t="s">
        <v>1211</v>
      </c>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215"/>
      <c r="AG70" s="215"/>
      <c r="AH70" s="215"/>
      <c r="AI70" s="215"/>
      <c r="AJ70" s="215"/>
      <c r="AK70" s="215"/>
      <c r="AL70" s="215"/>
      <c r="AM70" s="215"/>
      <c r="AN70" s="215"/>
      <c r="AO70" s="215"/>
      <c r="AP70" s="215"/>
      <c r="AQ70" s="215"/>
      <c r="AR70" s="215"/>
      <c r="AS70" s="215"/>
      <c r="AT70" s="215"/>
      <c r="AU70" s="215"/>
      <c r="AV70" s="215"/>
      <c r="AW70" s="215"/>
      <c r="AX70" s="215"/>
      <c r="AY70" s="215"/>
    </row>
    <row r="71">
      <c r="A71" s="77" t="s">
        <v>269</v>
      </c>
      <c r="B71" s="177" t="s">
        <v>3053</v>
      </c>
      <c r="C71" s="177" t="s">
        <v>2992</v>
      </c>
      <c r="D71" s="177" t="s">
        <v>3051</v>
      </c>
      <c r="E71" s="28" t="s">
        <v>1211</v>
      </c>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215"/>
      <c r="AG71" s="215"/>
      <c r="AH71" s="215"/>
      <c r="AI71" s="215"/>
      <c r="AJ71" s="215"/>
      <c r="AK71" s="215"/>
      <c r="AL71" s="215"/>
      <c r="AM71" s="215"/>
      <c r="AN71" s="215"/>
      <c r="AO71" s="215"/>
      <c r="AP71" s="215"/>
      <c r="AQ71" s="215"/>
      <c r="AR71" s="215"/>
      <c r="AS71" s="215"/>
      <c r="AT71" s="215"/>
      <c r="AU71" s="215"/>
      <c r="AV71" s="215"/>
      <c r="AW71" s="215"/>
      <c r="AX71" s="215"/>
      <c r="AY71" s="215"/>
    </row>
    <row r="72">
      <c r="A72" s="77" t="s">
        <v>269</v>
      </c>
      <c r="B72" s="177" t="s">
        <v>3054</v>
      </c>
      <c r="C72" s="177" t="s">
        <v>2992</v>
      </c>
      <c r="D72" s="177" t="s">
        <v>3051</v>
      </c>
      <c r="E72" s="28" t="s">
        <v>1211</v>
      </c>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215"/>
      <c r="AG72" s="215"/>
      <c r="AH72" s="215"/>
      <c r="AI72" s="215"/>
      <c r="AJ72" s="215"/>
      <c r="AK72" s="215"/>
      <c r="AL72" s="215"/>
      <c r="AM72" s="215"/>
      <c r="AN72" s="215"/>
      <c r="AO72" s="215"/>
      <c r="AP72" s="215"/>
      <c r="AQ72" s="215"/>
      <c r="AR72" s="215"/>
      <c r="AS72" s="215"/>
      <c r="AT72" s="215"/>
      <c r="AU72" s="215"/>
      <c r="AV72" s="215"/>
      <c r="AW72" s="215"/>
      <c r="AX72" s="215"/>
      <c r="AY72" s="215"/>
    </row>
    <row r="73">
      <c r="A73" s="77" t="s">
        <v>269</v>
      </c>
      <c r="B73" s="177" t="s">
        <v>3055</v>
      </c>
      <c r="C73" s="177" t="s">
        <v>2992</v>
      </c>
      <c r="D73" s="177" t="s">
        <v>3051</v>
      </c>
      <c r="E73" s="28" t="s">
        <v>1211</v>
      </c>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215"/>
      <c r="AG73" s="215"/>
      <c r="AH73" s="215"/>
      <c r="AI73" s="215"/>
      <c r="AJ73" s="215"/>
      <c r="AK73" s="215"/>
      <c r="AL73" s="215"/>
      <c r="AM73" s="215"/>
      <c r="AN73" s="215"/>
      <c r="AO73" s="215"/>
      <c r="AP73" s="215"/>
      <c r="AQ73" s="215"/>
      <c r="AR73" s="215"/>
      <c r="AS73" s="215"/>
      <c r="AT73" s="215"/>
      <c r="AU73" s="215"/>
      <c r="AV73" s="215"/>
      <c r="AW73" s="215"/>
      <c r="AX73" s="215"/>
      <c r="AY73" s="215"/>
    </row>
    <row r="74">
      <c r="A74" s="77" t="s">
        <v>269</v>
      </c>
      <c r="B74" s="177" t="s">
        <v>3056</v>
      </c>
      <c r="C74" s="177" t="s">
        <v>2992</v>
      </c>
      <c r="D74" s="177" t="s">
        <v>3051</v>
      </c>
      <c r="E74" s="28" t="s">
        <v>1211</v>
      </c>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215"/>
      <c r="AG74" s="215"/>
      <c r="AH74" s="215"/>
      <c r="AI74" s="215"/>
      <c r="AJ74" s="215"/>
      <c r="AK74" s="215"/>
      <c r="AL74" s="215"/>
      <c r="AM74" s="215"/>
      <c r="AN74" s="215"/>
      <c r="AO74" s="215"/>
      <c r="AP74" s="215"/>
      <c r="AQ74" s="215"/>
      <c r="AR74" s="215"/>
      <c r="AS74" s="215"/>
      <c r="AT74" s="215"/>
      <c r="AU74" s="215"/>
      <c r="AV74" s="215"/>
      <c r="AW74" s="215"/>
      <c r="AX74" s="215"/>
      <c r="AY74" s="215"/>
    </row>
    <row r="75">
      <c r="A75" s="77" t="s">
        <v>269</v>
      </c>
      <c r="B75" s="177" t="s">
        <v>3057</v>
      </c>
      <c r="C75" s="177" t="s">
        <v>2992</v>
      </c>
      <c r="D75" s="177" t="s">
        <v>3051</v>
      </c>
      <c r="E75" s="28" t="s">
        <v>1211</v>
      </c>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c r="AI75" s="175"/>
      <c r="AJ75" s="175"/>
      <c r="AK75" s="175"/>
      <c r="AL75" s="175"/>
      <c r="AM75" s="175"/>
      <c r="AN75" s="175"/>
      <c r="AO75" s="175"/>
      <c r="AP75" s="175"/>
      <c r="AQ75" s="175"/>
      <c r="AR75" s="175"/>
      <c r="AS75" s="175"/>
      <c r="AT75" s="175"/>
      <c r="AU75" s="175"/>
      <c r="AV75" s="175"/>
      <c r="AW75" s="175"/>
      <c r="AX75" s="175"/>
      <c r="AY75" s="175"/>
    </row>
    <row r="76">
      <c r="A76" s="77" t="s">
        <v>269</v>
      </c>
      <c r="B76" s="177" t="s">
        <v>3058</v>
      </c>
      <c r="C76" s="177" t="s">
        <v>2992</v>
      </c>
      <c r="D76" s="177" t="s">
        <v>3051</v>
      </c>
      <c r="E76" s="28" t="s">
        <v>1211</v>
      </c>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c r="AI76" s="175"/>
      <c r="AJ76" s="175"/>
      <c r="AK76" s="175"/>
      <c r="AL76" s="175"/>
      <c r="AM76" s="175"/>
      <c r="AN76" s="175"/>
      <c r="AO76" s="175"/>
      <c r="AP76" s="175"/>
      <c r="AQ76" s="175"/>
      <c r="AR76" s="175"/>
      <c r="AS76" s="175"/>
      <c r="AT76" s="175"/>
      <c r="AU76" s="175"/>
      <c r="AV76" s="175"/>
      <c r="AW76" s="175"/>
      <c r="AX76" s="175"/>
      <c r="AY76" s="175"/>
    </row>
    <row r="77">
      <c r="A77" s="77" t="s">
        <v>269</v>
      </c>
      <c r="B77" s="289" t="s">
        <v>3059</v>
      </c>
      <c r="C77" s="177" t="s">
        <v>2992</v>
      </c>
      <c r="D77" s="177" t="s">
        <v>3051</v>
      </c>
      <c r="E77" s="28" t="s">
        <v>1211</v>
      </c>
      <c r="F77" s="175"/>
      <c r="G77" s="175"/>
      <c r="H77" s="175"/>
      <c r="I77" s="175"/>
      <c r="J77" s="175"/>
      <c r="K77" s="175"/>
      <c r="L77" s="175"/>
      <c r="M77" s="175"/>
      <c r="N77" s="175"/>
      <c r="O77" s="175"/>
      <c r="P77" s="286"/>
      <c r="Q77" s="286"/>
      <c r="R77" s="286"/>
      <c r="S77" s="175"/>
      <c r="T77" s="290"/>
      <c r="U77" s="175"/>
      <c r="V77" s="175"/>
      <c r="W77" s="175"/>
      <c r="X77" s="175"/>
      <c r="Y77" s="175"/>
      <c r="Z77" s="175"/>
      <c r="AA77" s="175"/>
      <c r="AB77" s="175"/>
      <c r="AC77" s="175"/>
      <c r="AD77" s="175"/>
      <c r="AE77" s="175"/>
      <c r="AF77" s="175"/>
      <c r="AG77" s="215"/>
      <c r="AH77" s="215"/>
      <c r="AI77" s="215"/>
      <c r="AJ77" s="215"/>
      <c r="AK77" s="215"/>
      <c r="AL77" s="215"/>
      <c r="AM77" s="215"/>
      <c r="AN77" s="215"/>
      <c r="AO77" s="215"/>
      <c r="AP77" s="215"/>
      <c r="AQ77" s="215"/>
      <c r="AR77" s="215"/>
      <c r="AS77" s="215"/>
      <c r="AT77" s="215"/>
      <c r="AU77" s="215"/>
      <c r="AV77" s="215"/>
      <c r="AW77" s="215"/>
      <c r="AX77" s="215"/>
      <c r="AY77" s="215"/>
    </row>
    <row r="78">
      <c r="A78" s="77" t="s">
        <v>269</v>
      </c>
      <c r="B78" s="289" t="s">
        <v>3060</v>
      </c>
      <c r="C78" s="177" t="s">
        <v>2992</v>
      </c>
      <c r="D78" s="177" t="s">
        <v>3051</v>
      </c>
      <c r="E78" s="28" t="s">
        <v>1211</v>
      </c>
      <c r="F78" s="175"/>
      <c r="G78" s="175"/>
      <c r="H78" s="175"/>
      <c r="I78" s="286"/>
      <c r="J78" s="286"/>
      <c r="K78" s="286"/>
      <c r="L78" s="286"/>
      <c r="M78" s="286"/>
      <c r="N78" s="286"/>
      <c r="O78" s="175"/>
      <c r="P78" s="286"/>
      <c r="Q78" s="175"/>
      <c r="R78" s="286"/>
      <c r="S78" s="286"/>
      <c r="T78" s="290"/>
      <c r="U78" s="175"/>
      <c r="V78" s="175"/>
      <c r="W78" s="175"/>
      <c r="X78" s="175"/>
      <c r="Y78" s="175"/>
      <c r="Z78" s="175"/>
      <c r="AA78" s="175"/>
      <c r="AB78" s="175"/>
      <c r="AC78" s="175"/>
      <c r="AD78" s="175"/>
      <c r="AE78" s="175"/>
      <c r="AF78" s="175"/>
      <c r="AG78" s="215"/>
      <c r="AH78" s="215"/>
      <c r="AI78" s="215"/>
      <c r="AJ78" s="215"/>
      <c r="AK78" s="215"/>
      <c r="AL78" s="215"/>
      <c r="AM78" s="215"/>
      <c r="AN78" s="215"/>
      <c r="AO78" s="215"/>
      <c r="AP78" s="215"/>
      <c r="AQ78" s="215"/>
      <c r="AR78" s="215"/>
      <c r="AS78" s="215"/>
      <c r="AT78" s="215"/>
      <c r="AU78" s="215"/>
      <c r="AV78" s="215"/>
      <c r="AW78" s="215"/>
      <c r="AX78" s="215"/>
      <c r="AY78" s="215"/>
    </row>
    <row r="79">
      <c r="A79" s="77" t="s">
        <v>93</v>
      </c>
      <c r="B79" s="289" t="s">
        <v>3061</v>
      </c>
      <c r="C79" s="177" t="s">
        <v>2992</v>
      </c>
      <c r="D79" s="177" t="s">
        <v>3051</v>
      </c>
      <c r="E79" s="28" t="s">
        <v>1211</v>
      </c>
      <c r="F79" s="175"/>
      <c r="G79" s="175"/>
      <c r="H79" s="175"/>
      <c r="I79" s="175"/>
      <c r="J79" s="175"/>
      <c r="K79" s="175"/>
      <c r="L79" s="175"/>
      <c r="M79" s="175"/>
      <c r="N79" s="175"/>
      <c r="O79" s="175"/>
      <c r="P79" s="286"/>
      <c r="Q79" s="286"/>
      <c r="R79" s="286"/>
      <c r="S79" s="286"/>
      <c r="T79" s="290"/>
      <c r="U79" s="175"/>
      <c r="V79" s="175"/>
      <c r="W79" s="175"/>
      <c r="X79" s="175"/>
      <c r="Y79" s="175"/>
      <c r="Z79" s="175"/>
      <c r="AA79" s="175"/>
      <c r="AB79" s="175"/>
      <c r="AC79" s="175"/>
      <c r="AD79" s="175"/>
      <c r="AE79" s="175"/>
      <c r="AF79" s="175"/>
      <c r="AG79" s="215"/>
      <c r="AH79" s="215"/>
      <c r="AI79" s="215"/>
      <c r="AJ79" s="215"/>
      <c r="AK79" s="215"/>
      <c r="AL79" s="215"/>
      <c r="AM79" s="215"/>
      <c r="AN79" s="215"/>
      <c r="AO79" s="215"/>
      <c r="AP79" s="215"/>
      <c r="AQ79" s="215"/>
      <c r="AR79" s="215"/>
      <c r="AS79" s="215"/>
      <c r="AT79" s="215"/>
      <c r="AU79" s="215"/>
      <c r="AV79" s="215"/>
      <c r="AW79" s="215"/>
      <c r="AX79" s="215"/>
      <c r="AY79" s="215"/>
    </row>
    <row r="80">
      <c r="A80" s="77" t="s">
        <v>93</v>
      </c>
      <c r="B80" s="289" t="s">
        <v>3062</v>
      </c>
      <c r="C80" s="177" t="s">
        <v>2992</v>
      </c>
      <c r="D80" s="177" t="s">
        <v>3051</v>
      </c>
      <c r="E80" s="28" t="s">
        <v>1211</v>
      </c>
      <c r="F80" s="175"/>
      <c r="G80" s="175"/>
      <c r="H80" s="175"/>
      <c r="I80" s="175"/>
      <c r="J80" s="175"/>
      <c r="K80" s="175"/>
      <c r="L80" s="175"/>
      <c r="M80" s="175"/>
      <c r="N80" s="175"/>
      <c r="O80" s="175"/>
      <c r="P80" s="286"/>
      <c r="Q80" s="286"/>
      <c r="R80" s="286"/>
      <c r="S80" s="175"/>
      <c r="T80" s="290"/>
      <c r="U80" s="175"/>
      <c r="V80" s="175"/>
      <c r="W80" s="175"/>
      <c r="X80" s="175"/>
      <c r="Y80" s="175"/>
      <c r="Z80" s="175"/>
      <c r="AA80" s="175"/>
      <c r="AB80" s="175"/>
      <c r="AC80" s="175"/>
      <c r="AD80" s="175"/>
      <c r="AE80" s="175"/>
      <c r="AF80" s="175"/>
      <c r="AG80" s="215"/>
      <c r="AH80" s="215"/>
      <c r="AI80" s="215"/>
      <c r="AJ80" s="215"/>
      <c r="AK80" s="215"/>
      <c r="AL80" s="215"/>
      <c r="AM80" s="215"/>
      <c r="AN80" s="215"/>
      <c r="AO80" s="215"/>
      <c r="AP80" s="215"/>
      <c r="AQ80" s="215"/>
      <c r="AR80" s="215"/>
      <c r="AS80" s="215"/>
      <c r="AT80" s="215"/>
      <c r="AU80" s="215"/>
      <c r="AV80" s="215"/>
      <c r="AW80" s="215"/>
      <c r="AX80" s="215"/>
      <c r="AY80" s="215"/>
    </row>
    <row r="81">
      <c r="A81" s="77" t="s">
        <v>93</v>
      </c>
      <c r="B81" s="289" t="s">
        <v>3063</v>
      </c>
      <c r="C81" s="177" t="s">
        <v>2992</v>
      </c>
      <c r="D81" s="177" t="s">
        <v>3051</v>
      </c>
      <c r="E81" s="28" t="s">
        <v>1211</v>
      </c>
      <c r="F81" s="175"/>
      <c r="G81" s="175"/>
      <c r="H81" s="175"/>
      <c r="I81" s="286"/>
      <c r="J81" s="175"/>
      <c r="K81" s="175"/>
      <c r="L81" s="175"/>
      <c r="M81" s="175"/>
      <c r="N81" s="175"/>
      <c r="O81" s="175"/>
      <c r="P81" s="286"/>
      <c r="Q81" s="286"/>
      <c r="R81" s="286"/>
      <c r="S81" s="175"/>
      <c r="T81" s="290"/>
      <c r="U81" s="175"/>
      <c r="V81" s="175"/>
      <c r="W81" s="175"/>
      <c r="X81" s="175"/>
      <c r="Y81" s="175"/>
      <c r="Z81" s="175"/>
      <c r="AA81" s="175"/>
      <c r="AB81" s="175"/>
      <c r="AC81" s="175"/>
      <c r="AD81" s="175"/>
      <c r="AE81" s="175"/>
      <c r="AF81" s="175"/>
      <c r="AG81" s="215"/>
      <c r="AH81" s="215"/>
      <c r="AI81" s="215"/>
      <c r="AJ81" s="215"/>
      <c r="AK81" s="215"/>
      <c r="AL81" s="215"/>
      <c r="AM81" s="215"/>
      <c r="AN81" s="215"/>
      <c r="AO81" s="215"/>
      <c r="AP81" s="215"/>
      <c r="AQ81" s="215"/>
      <c r="AR81" s="215"/>
      <c r="AS81" s="215"/>
      <c r="AT81" s="215"/>
      <c r="AU81" s="215"/>
      <c r="AV81" s="215"/>
      <c r="AW81" s="215"/>
      <c r="AX81" s="215"/>
      <c r="AY81" s="215"/>
    </row>
    <row r="82">
      <c r="A82" s="77" t="s">
        <v>93</v>
      </c>
      <c r="B82" s="289" t="s">
        <v>3064</v>
      </c>
      <c r="C82" s="177" t="s">
        <v>2992</v>
      </c>
      <c r="D82" s="177" t="s">
        <v>3051</v>
      </c>
      <c r="E82" s="28" t="s">
        <v>1211</v>
      </c>
      <c r="F82" s="175"/>
      <c r="G82" s="175"/>
      <c r="H82" s="175"/>
      <c r="I82" s="175"/>
      <c r="J82" s="175"/>
      <c r="K82" s="175"/>
      <c r="L82" s="175"/>
      <c r="M82" s="175"/>
      <c r="N82" s="175"/>
      <c r="O82" s="175"/>
      <c r="P82" s="286"/>
      <c r="Q82" s="286"/>
      <c r="R82" s="286"/>
      <c r="S82" s="286"/>
      <c r="T82" s="290"/>
      <c r="U82" s="175"/>
      <c r="V82" s="175"/>
      <c r="W82" s="175"/>
      <c r="X82" s="175"/>
      <c r="Y82" s="175"/>
      <c r="Z82" s="175"/>
      <c r="AA82" s="175"/>
      <c r="AB82" s="175"/>
      <c r="AC82" s="175"/>
      <c r="AD82" s="175"/>
      <c r="AE82" s="175"/>
      <c r="AF82" s="175"/>
      <c r="AG82" s="215"/>
      <c r="AH82" s="215"/>
      <c r="AI82" s="215"/>
      <c r="AJ82" s="215"/>
      <c r="AK82" s="215"/>
      <c r="AL82" s="215"/>
      <c r="AM82" s="215"/>
      <c r="AN82" s="215"/>
      <c r="AO82" s="215"/>
      <c r="AP82" s="215"/>
      <c r="AQ82" s="215"/>
      <c r="AR82" s="215"/>
      <c r="AS82" s="215"/>
      <c r="AT82" s="215"/>
      <c r="AU82" s="215"/>
      <c r="AV82" s="215"/>
      <c r="AW82" s="215"/>
      <c r="AX82" s="215"/>
      <c r="AY82" s="215"/>
    </row>
    <row r="83">
      <c r="A83" s="77" t="s">
        <v>93</v>
      </c>
      <c r="B83" s="289" t="s">
        <v>3065</v>
      </c>
      <c r="C83" s="177" t="s">
        <v>2992</v>
      </c>
      <c r="D83" s="177" t="s">
        <v>3051</v>
      </c>
      <c r="E83" s="28" t="s">
        <v>1211</v>
      </c>
      <c r="F83" s="175"/>
      <c r="G83" s="175"/>
      <c r="H83" s="175"/>
      <c r="I83" s="175"/>
      <c r="J83" s="175"/>
      <c r="K83" s="175"/>
      <c r="L83" s="175"/>
      <c r="M83" s="175"/>
      <c r="N83" s="175"/>
      <c r="O83" s="175"/>
      <c r="P83" s="286"/>
      <c r="Q83" s="286"/>
      <c r="R83" s="286"/>
      <c r="S83" s="175"/>
      <c r="T83" s="175"/>
      <c r="U83" s="175"/>
      <c r="V83" s="175"/>
      <c r="W83" s="175"/>
      <c r="X83" s="175"/>
      <c r="Y83" s="175"/>
      <c r="Z83" s="175"/>
      <c r="AA83" s="175"/>
      <c r="AB83" s="175"/>
      <c r="AC83" s="175"/>
      <c r="AD83" s="175"/>
      <c r="AE83" s="175"/>
      <c r="AF83" s="175"/>
      <c r="AG83" s="215"/>
      <c r="AH83" s="215"/>
      <c r="AI83" s="215"/>
      <c r="AJ83" s="215"/>
      <c r="AK83" s="215"/>
      <c r="AL83" s="215"/>
      <c r="AM83" s="215"/>
      <c r="AN83" s="215"/>
      <c r="AO83" s="215"/>
      <c r="AP83" s="215"/>
      <c r="AQ83" s="215"/>
      <c r="AR83" s="215"/>
      <c r="AS83" s="215"/>
      <c r="AT83" s="215"/>
      <c r="AU83" s="215"/>
      <c r="AV83" s="215"/>
      <c r="AW83" s="215"/>
      <c r="AX83" s="215"/>
      <c r="AY83" s="215"/>
    </row>
    <row r="84">
      <c r="A84" s="77" t="s">
        <v>93</v>
      </c>
      <c r="B84" s="177" t="s">
        <v>3066</v>
      </c>
      <c r="C84" s="177" t="s">
        <v>2992</v>
      </c>
      <c r="D84" s="177" t="s">
        <v>3051</v>
      </c>
      <c r="E84" s="28" t="s">
        <v>1211</v>
      </c>
      <c r="F84" s="175"/>
      <c r="G84" s="175"/>
      <c r="H84" s="175"/>
      <c r="I84" s="175"/>
      <c r="J84" s="175"/>
      <c r="K84" s="175"/>
      <c r="L84" s="175"/>
      <c r="M84" s="175"/>
      <c r="N84" s="175"/>
      <c r="O84" s="175"/>
      <c r="P84" s="286"/>
      <c r="Q84" s="286"/>
      <c r="R84" s="286"/>
      <c r="S84" s="175"/>
      <c r="T84" s="175"/>
      <c r="U84" s="175"/>
      <c r="V84" s="175"/>
      <c r="W84" s="175"/>
      <c r="X84" s="175"/>
      <c r="Y84" s="175"/>
      <c r="Z84" s="175"/>
      <c r="AA84" s="175"/>
      <c r="AB84" s="175"/>
      <c r="AC84" s="175"/>
      <c r="AD84" s="175"/>
      <c r="AE84" s="175"/>
      <c r="AF84" s="175"/>
      <c r="AG84" s="215"/>
      <c r="AH84" s="215"/>
      <c r="AI84" s="215"/>
      <c r="AJ84" s="215"/>
      <c r="AK84" s="215"/>
      <c r="AL84" s="215"/>
      <c r="AM84" s="215"/>
      <c r="AN84" s="215"/>
      <c r="AO84" s="215"/>
      <c r="AP84" s="215"/>
      <c r="AQ84" s="215"/>
      <c r="AR84" s="215"/>
      <c r="AS84" s="215"/>
      <c r="AT84" s="215"/>
      <c r="AU84" s="215"/>
      <c r="AV84" s="215"/>
      <c r="AW84" s="215"/>
      <c r="AX84" s="215"/>
      <c r="AY84" s="215"/>
    </row>
    <row r="85">
      <c r="A85" s="77" t="s">
        <v>93</v>
      </c>
      <c r="B85" s="177" t="s">
        <v>3067</v>
      </c>
      <c r="C85" s="177" t="s">
        <v>2992</v>
      </c>
      <c r="D85" s="177" t="s">
        <v>3051</v>
      </c>
      <c r="E85" s="28" t="s">
        <v>1211</v>
      </c>
      <c r="F85" s="175"/>
      <c r="G85" s="175"/>
      <c r="H85" s="175"/>
      <c r="I85" s="175"/>
      <c r="J85" s="175"/>
      <c r="K85" s="175"/>
      <c r="L85" s="175"/>
      <c r="M85" s="175"/>
      <c r="N85" s="175"/>
      <c r="O85" s="175"/>
      <c r="P85" s="286"/>
      <c r="Q85" s="286"/>
      <c r="R85" s="286"/>
      <c r="S85" s="175"/>
      <c r="T85" s="175"/>
      <c r="U85" s="175"/>
      <c r="V85" s="175"/>
      <c r="W85" s="175"/>
      <c r="X85" s="175"/>
      <c r="Y85" s="175"/>
      <c r="Z85" s="175"/>
      <c r="AA85" s="175"/>
      <c r="AB85" s="175"/>
      <c r="AC85" s="175"/>
      <c r="AD85" s="175"/>
      <c r="AE85" s="175"/>
      <c r="AF85" s="175"/>
      <c r="AG85" s="215"/>
      <c r="AH85" s="215"/>
      <c r="AI85" s="215"/>
      <c r="AJ85" s="215"/>
      <c r="AK85" s="215"/>
      <c r="AL85" s="215"/>
      <c r="AM85" s="215"/>
      <c r="AN85" s="215"/>
      <c r="AO85" s="215"/>
      <c r="AP85" s="215"/>
      <c r="AQ85" s="215"/>
      <c r="AR85" s="215"/>
      <c r="AS85" s="215"/>
      <c r="AT85" s="215"/>
      <c r="AU85" s="215"/>
      <c r="AV85" s="215"/>
      <c r="AW85" s="215"/>
      <c r="AX85" s="215"/>
      <c r="AY85" s="215"/>
    </row>
    <row r="86">
      <c r="A86" s="77" t="s">
        <v>93</v>
      </c>
      <c r="B86" s="177" t="s">
        <v>3068</v>
      </c>
      <c r="C86" s="177" t="s">
        <v>2992</v>
      </c>
      <c r="D86" s="177" t="s">
        <v>3051</v>
      </c>
      <c r="E86" s="28" t="s">
        <v>1211</v>
      </c>
      <c r="F86" s="175"/>
      <c r="G86" s="175"/>
      <c r="H86" s="175"/>
      <c r="I86" s="175"/>
      <c r="J86" s="175"/>
      <c r="K86" s="175"/>
      <c r="L86" s="175"/>
      <c r="M86" s="175"/>
      <c r="N86" s="175"/>
      <c r="O86" s="175"/>
      <c r="P86" s="286"/>
      <c r="Q86" s="286"/>
      <c r="R86" s="286"/>
      <c r="S86" s="175"/>
      <c r="T86" s="175"/>
      <c r="U86" s="175"/>
      <c r="V86" s="175"/>
      <c r="W86" s="175"/>
      <c r="X86" s="175"/>
      <c r="Y86" s="175"/>
      <c r="Z86" s="175"/>
      <c r="AA86" s="175"/>
      <c r="AB86" s="175"/>
      <c r="AC86" s="175"/>
      <c r="AD86" s="175"/>
      <c r="AE86" s="175"/>
      <c r="AF86" s="175"/>
      <c r="AG86" s="215"/>
      <c r="AH86" s="215"/>
      <c r="AI86" s="215"/>
      <c r="AJ86" s="215"/>
      <c r="AK86" s="215"/>
      <c r="AL86" s="215"/>
      <c r="AM86" s="215"/>
      <c r="AN86" s="215"/>
      <c r="AO86" s="215"/>
      <c r="AP86" s="215"/>
      <c r="AQ86" s="215"/>
      <c r="AR86" s="215"/>
      <c r="AS86" s="215"/>
      <c r="AT86" s="215"/>
      <c r="AU86" s="215"/>
      <c r="AV86" s="215"/>
      <c r="AW86" s="215"/>
      <c r="AX86" s="215"/>
      <c r="AY86" s="215"/>
    </row>
    <row r="87">
      <c r="A87" s="77" t="s">
        <v>93</v>
      </c>
      <c r="B87" s="177" t="s">
        <v>3069</v>
      </c>
      <c r="C87" s="177" t="s">
        <v>2992</v>
      </c>
      <c r="D87" s="177" t="s">
        <v>3051</v>
      </c>
      <c r="E87" s="28" t="s">
        <v>1211</v>
      </c>
      <c r="F87" s="175"/>
      <c r="G87" s="175"/>
      <c r="H87" s="175"/>
      <c r="I87" s="286"/>
      <c r="J87" s="175"/>
      <c r="K87" s="175"/>
      <c r="L87" s="175"/>
      <c r="M87" s="175"/>
      <c r="N87" s="175"/>
      <c r="O87" s="175"/>
      <c r="P87" s="286"/>
      <c r="Q87" s="286"/>
      <c r="R87" s="286"/>
      <c r="S87" s="175"/>
      <c r="T87" s="175"/>
      <c r="U87" s="175"/>
      <c r="V87" s="175"/>
      <c r="W87" s="175"/>
      <c r="X87" s="175"/>
      <c r="Y87" s="175"/>
      <c r="Z87" s="175"/>
      <c r="AA87" s="175"/>
      <c r="AB87" s="175"/>
      <c r="AC87" s="175"/>
      <c r="AD87" s="175"/>
      <c r="AE87" s="175"/>
      <c r="AF87" s="175"/>
      <c r="AG87" s="215"/>
      <c r="AH87" s="215"/>
      <c r="AI87" s="215"/>
      <c r="AJ87" s="215"/>
      <c r="AK87" s="215"/>
      <c r="AL87" s="215"/>
      <c r="AM87" s="215"/>
      <c r="AN87" s="215"/>
      <c r="AO87" s="215"/>
      <c r="AP87" s="215"/>
      <c r="AQ87" s="215"/>
      <c r="AR87" s="215"/>
      <c r="AS87" s="215"/>
      <c r="AT87" s="215"/>
      <c r="AU87" s="215"/>
      <c r="AV87" s="215"/>
      <c r="AW87" s="215"/>
      <c r="AX87" s="215"/>
      <c r="AY87" s="215"/>
    </row>
    <row r="88">
      <c r="A88" s="77" t="s">
        <v>93</v>
      </c>
      <c r="B88" s="177" t="s">
        <v>3070</v>
      </c>
      <c r="C88" s="177" t="s">
        <v>2992</v>
      </c>
      <c r="D88" s="177" t="s">
        <v>3051</v>
      </c>
      <c r="E88" s="28" t="s">
        <v>1211</v>
      </c>
      <c r="F88" s="175"/>
      <c r="G88" s="175"/>
      <c r="H88" s="175"/>
      <c r="I88" s="286"/>
      <c r="J88" s="175"/>
      <c r="K88" s="175"/>
      <c r="L88" s="175"/>
      <c r="M88" s="175"/>
      <c r="N88" s="175"/>
      <c r="O88" s="175"/>
      <c r="P88" s="286"/>
      <c r="Q88" s="286"/>
      <c r="R88" s="286"/>
      <c r="S88" s="175"/>
      <c r="T88" s="175"/>
      <c r="U88" s="175"/>
      <c r="V88" s="175"/>
      <c r="W88" s="175"/>
      <c r="X88" s="175"/>
      <c r="Y88" s="175"/>
      <c r="Z88" s="175"/>
      <c r="AA88" s="175"/>
      <c r="AB88" s="175"/>
      <c r="AC88" s="175"/>
      <c r="AD88" s="175"/>
      <c r="AE88" s="175"/>
      <c r="AF88" s="175"/>
      <c r="AG88" s="215"/>
      <c r="AH88" s="215"/>
      <c r="AI88" s="215"/>
      <c r="AJ88" s="215"/>
      <c r="AK88" s="215"/>
      <c r="AL88" s="215"/>
      <c r="AM88" s="215"/>
      <c r="AN88" s="215"/>
      <c r="AO88" s="215"/>
      <c r="AP88" s="215"/>
      <c r="AQ88" s="215"/>
      <c r="AR88" s="215"/>
      <c r="AS88" s="215"/>
      <c r="AT88" s="215"/>
      <c r="AU88" s="215"/>
      <c r="AV88" s="215"/>
      <c r="AW88" s="215"/>
      <c r="AX88" s="215"/>
      <c r="AY88" s="215"/>
    </row>
    <row r="89">
      <c r="A89" s="77" t="s">
        <v>347</v>
      </c>
      <c r="B89" s="77" t="s">
        <v>408</v>
      </c>
      <c r="C89" s="177" t="s">
        <v>2992</v>
      </c>
      <c r="D89" s="77" t="s">
        <v>3000</v>
      </c>
      <c r="E89" s="28" t="s">
        <v>1458</v>
      </c>
      <c r="F89" s="215"/>
      <c r="G89" s="215"/>
      <c r="H89" s="215"/>
      <c r="I89" s="215"/>
      <c r="J89" s="215"/>
      <c r="K89" s="215"/>
      <c r="L89" s="215"/>
      <c r="M89" s="215"/>
      <c r="N89" s="215"/>
      <c r="O89" s="215"/>
      <c r="P89" s="215"/>
      <c r="Q89" s="215"/>
      <c r="R89" s="215"/>
      <c r="S89" s="215"/>
      <c r="T89" s="215"/>
      <c r="U89" s="215"/>
      <c r="V89" s="215"/>
      <c r="W89" s="215"/>
      <c r="X89" s="215"/>
      <c r="Y89" s="215"/>
      <c r="Z89" s="215"/>
      <c r="AA89" s="215"/>
      <c r="AB89" s="215"/>
      <c r="AC89" s="215"/>
      <c r="AD89" s="215"/>
      <c r="AE89" s="215"/>
      <c r="AF89" s="215"/>
      <c r="AG89" s="215"/>
      <c r="AH89" s="215"/>
      <c r="AI89" s="215"/>
      <c r="AJ89" s="215"/>
      <c r="AK89" s="215"/>
      <c r="AL89" s="215"/>
      <c r="AM89" s="215"/>
      <c r="AN89" s="215"/>
      <c r="AO89" s="215"/>
      <c r="AP89" s="215"/>
      <c r="AQ89" s="215"/>
      <c r="AR89" s="215"/>
      <c r="AS89" s="215"/>
      <c r="AT89" s="215"/>
      <c r="AU89" s="215"/>
      <c r="AV89" s="215"/>
      <c r="AW89" s="215"/>
      <c r="AX89" s="215"/>
      <c r="AY89" s="215"/>
    </row>
    <row r="90">
      <c r="A90" s="77" t="s">
        <v>347</v>
      </c>
      <c r="B90" s="252" t="s">
        <v>345</v>
      </c>
      <c r="C90" s="177" t="s">
        <v>2992</v>
      </c>
      <c r="D90" s="77" t="s">
        <v>3071</v>
      </c>
      <c r="E90" s="28" t="s">
        <v>1458</v>
      </c>
      <c r="F90" s="215"/>
      <c r="G90" s="215"/>
      <c r="H90" s="215"/>
      <c r="I90" s="215"/>
      <c r="J90" s="215"/>
      <c r="K90" s="215"/>
      <c r="L90" s="215"/>
      <c r="M90" s="215"/>
      <c r="N90" s="215"/>
      <c r="O90" s="215"/>
      <c r="P90" s="215"/>
      <c r="Q90" s="215"/>
      <c r="R90" s="215"/>
      <c r="S90" s="215"/>
      <c r="T90" s="215"/>
      <c r="U90" s="215"/>
      <c r="V90" s="215"/>
      <c r="W90" s="215"/>
      <c r="X90" s="215"/>
      <c r="Y90" s="215"/>
      <c r="Z90" s="215"/>
      <c r="AA90" s="215"/>
      <c r="AB90" s="215"/>
      <c r="AC90" s="215"/>
      <c r="AD90" s="215"/>
      <c r="AE90" s="215"/>
      <c r="AF90" s="215"/>
      <c r="AG90" s="215"/>
      <c r="AH90" s="215"/>
      <c r="AI90" s="215"/>
      <c r="AJ90" s="215"/>
      <c r="AK90" s="215"/>
      <c r="AL90" s="215"/>
      <c r="AM90" s="215"/>
      <c r="AN90" s="215"/>
      <c r="AO90" s="215"/>
      <c r="AP90" s="215"/>
      <c r="AQ90" s="215"/>
      <c r="AR90" s="215"/>
      <c r="AS90" s="215"/>
      <c r="AT90" s="215"/>
      <c r="AU90" s="215"/>
      <c r="AV90" s="215"/>
      <c r="AW90" s="215"/>
      <c r="AX90" s="215"/>
      <c r="AY90" s="215"/>
    </row>
    <row r="91">
      <c r="A91" s="77" t="s">
        <v>347</v>
      </c>
      <c r="B91" s="252" t="s">
        <v>362</v>
      </c>
      <c r="C91" s="177" t="s">
        <v>2993</v>
      </c>
      <c r="D91" s="26" t="s">
        <v>3072</v>
      </c>
      <c r="E91" s="28" t="s">
        <v>1458</v>
      </c>
      <c r="F91" s="215"/>
      <c r="G91" s="215"/>
      <c r="H91" s="215"/>
      <c r="I91" s="215"/>
      <c r="J91" s="215"/>
      <c r="K91" s="215"/>
      <c r="L91" s="215"/>
      <c r="M91" s="215"/>
      <c r="N91" s="215"/>
      <c r="O91" s="215"/>
      <c r="P91" s="215"/>
      <c r="Q91" s="215"/>
      <c r="R91" s="215"/>
      <c r="S91" s="215"/>
      <c r="T91" s="215"/>
      <c r="U91" s="215"/>
      <c r="V91" s="215"/>
      <c r="W91" s="215"/>
      <c r="X91" s="215"/>
      <c r="Y91" s="215"/>
      <c r="Z91" s="215"/>
      <c r="AA91" s="215"/>
      <c r="AB91" s="215"/>
      <c r="AC91" s="215"/>
      <c r="AD91" s="215"/>
      <c r="AE91" s="215"/>
      <c r="AF91" s="215"/>
      <c r="AG91" s="215"/>
      <c r="AH91" s="215"/>
      <c r="AI91" s="215"/>
      <c r="AJ91" s="215"/>
      <c r="AK91" s="215"/>
      <c r="AL91" s="215"/>
      <c r="AM91" s="215"/>
      <c r="AN91" s="215"/>
      <c r="AO91" s="215"/>
      <c r="AP91" s="215"/>
      <c r="AQ91" s="215"/>
      <c r="AR91" s="215"/>
      <c r="AS91" s="215"/>
      <c r="AT91" s="215"/>
      <c r="AU91" s="215"/>
      <c r="AV91" s="215"/>
      <c r="AW91" s="215"/>
      <c r="AX91" s="215"/>
      <c r="AY91" s="215"/>
    </row>
    <row r="92">
      <c r="A92" s="77" t="s">
        <v>347</v>
      </c>
      <c r="B92" s="252" t="s">
        <v>375</v>
      </c>
      <c r="C92" s="177" t="s">
        <v>2992</v>
      </c>
      <c r="D92" s="77" t="s">
        <v>3071</v>
      </c>
      <c r="E92" s="28" t="s">
        <v>1458</v>
      </c>
      <c r="F92" s="215"/>
      <c r="G92" s="215"/>
      <c r="H92" s="215"/>
      <c r="I92" s="215"/>
      <c r="J92" s="215"/>
      <c r="K92" s="215"/>
      <c r="L92" s="215"/>
      <c r="M92" s="215"/>
      <c r="N92" s="215"/>
      <c r="O92" s="215"/>
      <c r="P92" s="215"/>
      <c r="Q92" s="215"/>
      <c r="R92" s="215"/>
      <c r="S92" s="215"/>
      <c r="T92" s="215"/>
      <c r="U92" s="215"/>
      <c r="V92" s="215"/>
      <c r="W92" s="215"/>
      <c r="X92" s="215"/>
      <c r="Y92" s="215"/>
      <c r="Z92" s="215"/>
      <c r="AA92" s="215"/>
      <c r="AB92" s="215"/>
      <c r="AC92" s="215"/>
      <c r="AD92" s="215"/>
      <c r="AE92" s="215"/>
      <c r="AF92" s="215"/>
      <c r="AG92" s="215"/>
      <c r="AH92" s="215"/>
      <c r="AI92" s="215"/>
      <c r="AJ92" s="215"/>
      <c r="AK92" s="215"/>
      <c r="AL92" s="215"/>
      <c r="AM92" s="215"/>
      <c r="AN92" s="215"/>
      <c r="AO92" s="215"/>
      <c r="AP92" s="215"/>
      <c r="AQ92" s="215"/>
      <c r="AR92" s="215"/>
      <c r="AS92" s="215"/>
      <c r="AT92" s="215"/>
      <c r="AU92" s="215"/>
      <c r="AV92" s="215"/>
      <c r="AW92" s="215"/>
      <c r="AX92" s="215"/>
      <c r="AY92" s="215"/>
    </row>
    <row r="93">
      <c r="A93" s="77" t="s">
        <v>347</v>
      </c>
      <c r="B93" s="39" t="s">
        <v>636</v>
      </c>
      <c r="C93" s="177" t="s">
        <v>2992</v>
      </c>
      <c r="D93" s="77" t="s">
        <v>3071</v>
      </c>
      <c r="E93" s="28" t="s">
        <v>1458</v>
      </c>
      <c r="F93" s="215"/>
      <c r="G93" s="215"/>
      <c r="H93" s="215"/>
      <c r="I93" s="215"/>
      <c r="J93" s="215"/>
      <c r="K93" s="215"/>
      <c r="L93" s="215"/>
      <c r="M93" s="215"/>
      <c r="N93" s="215"/>
      <c r="O93" s="215"/>
      <c r="P93" s="215"/>
      <c r="Q93" s="215"/>
      <c r="R93" s="215"/>
      <c r="S93" s="215"/>
      <c r="T93" s="215"/>
      <c r="U93" s="215"/>
      <c r="V93" s="215"/>
      <c r="W93" s="215"/>
      <c r="X93" s="215"/>
      <c r="Y93" s="215"/>
      <c r="Z93" s="215"/>
      <c r="AA93" s="215"/>
      <c r="AB93" s="215"/>
      <c r="AC93" s="215"/>
      <c r="AD93" s="215"/>
      <c r="AE93" s="215"/>
      <c r="AF93" s="215"/>
      <c r="AG93" s="215"/>
      <c r="AH93" s="215"/>
      <c r="AI93" s="215"/>
      <c r="AJ93" s="215"/>
      <c r="AK93" s="215"/>
      <c r="AL93" s="215"/>
      <c r="AM93" s="215"/>
      <c r="AN93" s="215"/>
      <c r="AO93" s="215"/>
      <c r="AP93" s="215"/>
      <c r="AQ93" s="215"/>
      <c r="AR93" s="215"/>
      <c r="AS93" s="215"/>
      <c r="AT93" s="215"/>
      <c r="AU93" s="215"/>
      <c r="AV93" s="215"/>
      <c r="AW93" s="215"/>
      <c r="AX93" s="215"/>
      <c r="AY93" s="215"/>
    </row>
    <row r="94">
      <c r="A94" s="77" t="s">
        <v>347</v>
      </c>
      <c r="B94" s="39" t="s">
        <v>644</v>
      </c>
      <c r="C94" s="177" t="s">
        <v>2992</v>
      </c>
      <c r="D94" s="89" t="s">
        <v>3073</v>
      </c>
      <c r="E94" s="28" t="s">
        <v>1458</v>
      </c>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215"/>
      <c r="AH94" s="215"/>
      <c r="AI94" s="215"/>
      <c r="AJ94" s="215"/>
      <c r="AK94" s="215"/>
      <c r="AL94" s="215"/>
      <c r="AM94" s="215"/>
      <c r="AN94" s="215"/>
      <c r="AO94" s="215"/>
      <c r="AP94" s="215"/>
      <c r="AQ94" s="215"/>
      <c r="AR94" s="215"/>
      <c r="AS94" s="215"/>
      <c r="AT94" s="215"/>
      <c r="AU94" s="215"/>
      <c r="AV94" s="215"/>
      <c r="AW94" s="215"/>
      <c r="AX94" s="215"/>
      <c r="AY94" s="215"/>
    </row>
    <row r="95">
      <c r="A95" s="77" t="s">
        <v>347</v>
      </c>
      <c r="B95" s="39" t="s">
        <v>725</v>
      </c>
      <c r="C95" s="77" t="s">
        <v>2992</v>
      </c>
      <c r="D95" s="77" t="s">
        <v>3071</v>
      </c>
      <c r="E95" s="28" t="s">
        <v>1458</v>
      </c>
      <c r="F95" s="215"/>
      <c r="G95" s="215"/>
      <c r="H95" s="215"/>
      <c r="I95" s="215"/>
      <c r="J95" s="215"/>
      <c r="K95" s="215"/>
      <c r="L95" s="215"/>
      <c r="M95" s="215"/>
      <c r="N95" s="215"/>
      <c r="O95" s="215"/>
      <c r="P95" s="215"/>
      <c r="Q95" s="215"/>
      <c r="R95" s="215"/>
      <c r="S95" s="215"/>
      <c r="T95" s="215"/>
      <c r="U95" s="215"/>
      <c r="V95" s="215"/>
      <c r="W95" s="215"/>
      <c r="X95" s="215"/>
      <c r="Y95" s="215"/>
      <c r="Z95" s="215"/>
      <c r="AA95" s="215"/>
      <c r="AB95" s="215"/>
      <c r="AC95" s="215"/>
      <c r="AD95" s="215"/>
      <c r="AE95" s="215"/>
      <c r="AF95" s="215"/>
      <c r="AG95" s="215"/>
      <c r="AH95" s="215"/>
      <c r="AI95" s="215"/>
      <c r="AJ95" s="215"/>
      <c r="AK95" s="215"/>
      <c r="AL95" s="215"/>
      <c r="AM95" s="215"/>
      <c r="AN95" s="215"/>
      <c r="AO95" s="215"/>
      <c r="AP95" s="215"/>
      <c r="AQ95" s="215"/>
      <c r="AR95" s="215"/>
      <c r="AS95" s="215"/>
      <c r="AT95" s="215"/>
      <c r="AU95" s="215"/>
      <c r="AV95" s="215"/>
      <c r="AW95" s="215"/>
      <c r="AX95" s="215"/>
      <c r="AY95" s="215"/>
    </row>
    <row r="96">
      <c r="A96" s="77" t="s">
        <v>347</v>
      </c>
      <c r="B96" s="39" t="s">
        <v>749</v>
      </c>
      <c r="C96" s="177" t="s">
        <v>2993</v>
      </c>
      <c r="D96" s="77" t="s">
        <v>3072</v>
      </c>
      <c r="E96" s="28" t="s">
        <v>1458</v>
      </c>
      <c r="F96" s="215"/>
      <c r="G96" s="215"/>
      <c r="H96" s="215"/>
      <c r="I96" s="215"/>
      <c r="J96" s="215"/>
      <c r="K96" s="215"/>
      <c r="L96" s="215"/>
      <c r="M96" s="215"/>
      <c r="N96" s="215"/>
      <c r="O96" s="215"/>
      <c r="P96" s="215"/>
      <c r="Q96" s="215"/>
      <c r="R96" s="215"/>
      <c r="S96" s="215"/>
      <c r="T96" s="215"/>
      <c r="U96" s="215"/>
      <c r="V96" s="215"/>
      <c r="W96" s="215"/>
      <c r="X96" s="215"/>
      <c r="Y96" s="215"/>
      <c r="Z96" s="215"/>
      <c r="AA96" s="215"/>
      <c r="AB96" s="215"/>
      <c r="AC96" s="215"/>
      <c r="AD96" s="215"/>
      <c r="AE96" s="215"/>
      <c r="AF96" s="215"/>
      <c r="AG96" s="215"/>
      <c r="AH96" s="215"/>
      <c r="AI96" s="215"/>
      <c r="AJ96" s="215"/>
      <c r="AK96" s="215"/>
      <c r="AL96" s="215"/>
      <c r="AM96" s="215"/>
      <c r="AN96" s="215"/>
      <c r="AO96" s="215"/>
      <c r="AP96" s="215"/>
      <c r="AQ96" s="215"/>
      <c r="AR96" s="215"/>
      <c r="AS96" s="215"/>
      <c r="AT96" s="215"/>
      <c r="AU96" s="215"/>
      <c r="AV96" s="215"/>
      <c r="AW96" s="215"/>
      <c r="AX96" s="215"/>
      <c r="AY96" s="215"/>
    </row>
    <row r="97">
      <c r="A97" s="77" t="s">
        <v>347</v>
      </c>
      <c r="B97" s="39" t="s">
        <v>755</v>
      </c>
      <c r="C97" s="77" t="s">
        <v>2992</v>
      </c>
      <c r="D97" s="77" t="s">
        <v>3074</v>
      </c>
      <c r="E97" s="28" t="s">
        <v>1458</v>
      </c>
      <c r="F97" s="215"/>
      <c r="G97" s="215"/>
      <c r="H97" s="215"/>
      <c r="I97" s="215"/>
      <c r="J97" s="215"/>
      <c r="K97" s="215"/>
      <c r="L97" s="215"/>
      <c r="M97" s="215"/>
      <c r="N97" s="215"/>
      <c r="O97" s="215"/>
      <c r="P97" s="215"/>
      <c r="Q97" s="215"/>
      <c r="R97" s="215"/>
      <c r="S97" s="215"/>
      <c r="T97" s="215"/>
      <c r="U97" s="215"/>
      <c r="V97" s="215"/>
      <c r="W97" s="215"/>
      <c r="X97" s="215"/>
      <c r="Y97" s="215"/>
      <c r="Z97" s="215"/>
      <c r="AA97" s="215"/>
      <c r="AB97" s="215"/>
      <c r="AC97" s="215"/>
      <c r="AD97" s="215"/>
      <c r="AE97" s="215"/>
      <c r="AF97" s="215"/>
      <c r="AG97" s="215"/>
      <c r="AH97" s="215"/>
      <c r="AI97" s="215"/>
      <c r="AJ97" s="215"/>
      <c r="AK97" s="215"/>
      <c r="AL97" s="215"/>
      <c r="AM97" s="215"/>
      <c r="AN97" s="215"/>
      <c r="AO97" s="215"/>
      <c r="AP97" s="215"/>
      <c r="AQ97" s="215"/>
      <c r="AR97" s="215"/>
      <c r="AS97" s="215"/>
      <c r="AT97" s="215"/>
      <c r="AU97" s="215"/>
      <c r="AV97" s="215"/>
      <c r="AW97" s="215"/>
      <c r="AX97" s="215"/>
      <c r="AY97" s="215"/>
    </row>
    <row r="98">
      <c r="A98" s="77" t="s">
        <v>347</v>
      </c>
      <c r="B98" s="39" t="s">
        <v>693</v>
      </c>
      <c r="C98" s="77" t="s">
        <v>2992</v>
      </c>
      <c r="D98" s="77" t="s">
        <v>3075</v>
      </c>
      <c r="E98" s="28" t="s">
        <v>1458</v>
      </c>
      <c r="F98" s="215"/>
      <c r="G98" s="215"/>
      <c r="H98" s="215"/>
      <c r="I98" s="215"/>
      <c r="J98" s="215"/>
      <c r="K98" s="215"/>
      <c r="L98" s="215"/>
      <c r="M98" s="215"/>
      <c r="N98" s="215"/>
      <c r="O98" s="215"/>
      <c r="P98" s="215"/>
      <c r="Q98" s="215"/>
      <c r="R98" s="215"/>
      <c r="S98" s="215"/>
      <c r="T98" s="215"/>
      <c r="U98" s="215"/>
      <c r="V98" s="215"/>
      <c r="W98" s="215"/>
      <c r="X98" s="215"/>
      <c r="Y98" s="215"/>
      <c r="Z98" s="215"/>
      <c r="AA98" s="215"/>
      <c r="AB98" s="215"/>
      <c r="AC98" s="215"/>
      <c r="AD98" s="215"/>
      <c r="AE98" s="215"/>
      <c r="AF98" s="215"/>
      <c r="AG98" s="215"/>
      <c r="AH98" s="215"/>
      <c r="AI98" s="215"/>
      <c r="AJ98" s="215"/>
      <c r="AK98" s="215"/>
      <c r="AL98" s="215"/>
      <c r="AM98" s="215"/>
      <c r="AN98" s="215"/>
      <c r="AO98" s="215"/>
      <c r="AP98" s="215"/>
      <c r="AQ98" s="215"/>
      <c r="AR98" s="215"/>
      <c r="AS98" s="215"/>
      <c r="AT98" s="215"/>
      <c r="AU98" s="215"/>
      <c r="AV98" s="215"/>
      <c r="AW98" s="215"/>
      <c r="AX98" s="215"/>
      <c r="AY98" s="215"/>
    </row>
    <row r="99">
      <c r="A99" s="77" t="s">
        <v>347</v>
      </c>
      <c r="B99" s="26" t="s">
        <v>788</v>
      </c>
      <c r="C99" s="177" t="s">
        <v>2999</v>
      </c>
      <c r="D99" s="77" t="s">
        <v>3076</v>
      </c>
      <c r="E99" s="28" t="s">
        <v>1211</v>
      </c>
      <c r="F99" s="215"/>
      <c r="G99" s="215"/>
      <c r="H99" s="215"/>
      <c r="I99" s="215"/>
      <c r="J99" s="215"/>
      <c r="K99" s="215"/>
      <c r="L99" s="215"/>
      <c r="M99" s="215"/>
      <c r="N99" s="215"/>
      <c r="O99" s="215"/>
      <c r="P99" s="215"/>
      <c r="Q99" s="215"/>
      <c r="R99" s="215"/>
      <c r="S99" s="215"/>
      <c r="T99" s="215"/>
      <c r="U99" s="215"/>
      <c r="V99" s="215"/>
      <c r="W99" s="215"/>
      <c r="X99" s="215"/>
      <c r="Y99" s="215"/>
      <c r="Z99" s="215"/>
      <c r="AA99" s="215"/>
      <c r="AB99" s="215"/>
      <c r="AC99" s="215"/>
      <c r="AD99" s="215"/>
      <c r="AE99" s="215"/>
      <c r="AF99" s="215"/>
      <c r="AG99" s="215"/>
      <c r="AH99" s="215"/>
      <c r="AI99" s="215"/>
      <c r="AJ99" s="215"/>
      <c r="AK99" s="215"/>
      <c r="AL99" s="215"/>
      <c r="AM99" s="215"/>
      <c r="AN99" s="215"/>
      <c r="AO99" s="215"/>
      <c r="AP99" s="215"/>
      <c r="AQ99" s="215"/>
      <c r="AR99" s="215"/>
      <c r="AS99" s="215"/>
      <c r="AT99" s="215"/>
      <c r="AU99" s="215"/>
      <c r="AV99" s="215"/>
      <c r="AW99" s="215"/>
      <c r="AX99" s="215"/>
      <c r="AY99" s="215"/>
    </row>
    <row r="100">
      <c r="A100" s="77" t="s">
        <v>347</v>
      </c>
      <c r="B100" s="26" t="s">
        <v>3077</v>
      </c>
      <c r="C100" s="177" t="s">
        <v>2993</v>
      </c>
      <c r="D100" s="77" t="s">
        <v>3072</v>
      </c>
      <c r="E100" s="28" t="s">
        <v>1211</v>
      </c>
      <c r="F100" s="215"/>
      <c r="G100" s="215"/>
      <c r="H100" s="215"/>
      <c r="I100" s="215"/>
      <c r="J100" s="215"/>
      <c r="K100" s="215"/>
      <c r="L100" s="215"/>
      <c r="M100" s="215"/>
      <c r="N100" s="215"/>
      <c r="O100" s="215"/>
      <c r="P100" s="215"/>
      <c r="Q100" s="215"/>
      <c r="R100" s="215"/>
      <c r="S100" s="215"/>
      <c r="T100" s="215"/>
      <c r="U100" s="215"/>
      <c r="V100" s="215"/>
      <c r="W100" s="215"/>
      <c r="X100" s="215"/>
      <c r="Y100" s="215"/>
      <c r="Z100" s="215"/>
      <c r="AA100" s="215"/>
      <c r="AB100" s="215"/>
      <c r="AC100" s="215"/>
      <c r="AD100" s="215"/>
      <c r="AE100" s="215"/>
      <c r="AF100" s="215"/>
      <c r="AG100" s="215"/>
      <c r="AH100" s="215"/>
      <c r="AI100" s="215"/>
      <c r="AJ100" s="215"/>
      <c r="AK100" s="215"/>
      <c r="AL100" s="215"/>
      <c r="AM100" s="215"/>
      <c r="AN100" s="215"/>
      <c r="AO100" s="215"/>
      <c r="AP100" s="215"/>
      <c r="AQ100" s="215"/>
      <c r="AR100" s="215"/>
      <c r="AS100" s="215"/>
      <c r="AT100" s="215"/>
      <c r="AU100" s="215"/>
      <c r="AV100" s="215"/>
      <c r="AW100" s="215"/>
      <c r="AX100" s="215"/>
      <c r="AY100" s="215"/>
    </row>
    <row r="101">
      <c r="A101" s="77" t="s">
        <v>261</v>
      </c>
      <c r="B101" s="177" t="s">
        <v>3078</v>
      </c>
      <c r="C101" s="77" t="s">
        <v>2992</v>
      </c>
      <c r="D101" s="177" t="s">
        <v>3079</v>
      </c>
      <c r="E101" s="28" t="s">
        <v>1211</v>
      </c>
      <c r="F101" s="175"/>
      <c r="G101" s="175"/>
      <c r="H101" s="175"/>
      <c r="I101" s="286"/>
      <c r="J101" s="175"/>
      <c r="K101" s="175"/>
      <c r="L101" s="175"/>
      <c r="M101" s="175"/>
      <c r="N101" s="175"/>
      <c r="O101" s="175"/>
      <c r="P101" s="286"/>
      <c r="Q101" s="286"/>
      <c r="R101" s="286"/>
      <c r="S101" s="175"/>
      <c r="T101" s="175"/>
      <c r="U101" s="175"/>
      <c r="V101" s="175"/>
      <c r="W101" s="175"/>
      <c r="X101" s="175"/>
      <c r="Y101" s="175"/>
      <c r="Z101" s="175"/>
      <c r="AA101" s="175"/>
      <c r="AB101" s="175"/>
      <c r="AC101" s="175"/>
      <c r="AD101" s="175"/>
      <c r="AE101" s="175"/>
      <c r="AF101" s="175"/>
      <c r="AG101" s="215"/>
      <c r="AH101" s="215"/>
      <c r="AI101" s="215"/>
      <c r="AJ101" s="215"/>
      <c r="AK101" s="215"/>
      <c r="AL101" s="215"/>
      <c r="AM101" s="215"/>
      <c r="AN101" s="215"/>
      <c r="AO101" s="215"/>
      <c r="AP101" s="215"/>
      <c r="AQ101" s="215"/>
      <c r="AR101" s="215"/>
      <c r="AS101" s="215"/>
      <c r="AT101" s="215"/>
      <c r="AU101" s="215"/>
      <c r="AV101" s="215"/>
      <c r="AW101" s="215"/>
      <c r="AX101" s="215"/>
      <c r="AY101" s="215"/>
    </row>
    <row r="102">
      <c r="A102" s="77" t="s">
        <v>261</v>
      </c>
      <c r="B102" s="177" t="s">
        <v>3080</v>
      </c>
      <c r="C102" s="77" t="s">
        <v>2992</v>
      </c>
      <c r="D102" s="177" t="s">
        <v>3081</v>
      </c>
      <c r="E102" s="28" t="s">
        <v>1211</v>
      </c>
      <c r="F102" s="175"/>
      <c r="G102" s="175"/>
      <c r="H102" s="175"/>
      <c r="I102" s="286"/>
      <c r="J102" s="175"/>
      <c r="K102" s="175"/>
      <c r="L102" s="175"/>
      <c r="M102" s="175"/>
      <c r="N102" s="175"/>
      <c r="O102" s="175"/>
      <c r="P102" s="286"/>
      <c r="Q102" s="286"/>
      <c r="R102" s="286"/>
      <c r="S102" s="175"/>
      <c r="T102" s="175"/>
      <c r="U102" s="175"/>
      <c r="V102" s="175"/>
      <c r="W102" s="175"/>
      <c r="X102" s="175"/>
      <c r="Y102" s="175"/>
      <c r="Z102" s="175"/>
      <c r="AA102" s="175"/>
      <c r="AB102" s="175"/>
      <c r="AC102" s="175"/>
      <c r="AD102" s="175"/>
      <c r="AE102" s="175"/>
      <c r="AF102" s="175"/>
      <c r="AG102" s="215"/>
      <c r="AH102" s="215"/>
      <c r="AI102" s="215"/>
      <c r="AJ102" s="215"/>
      <c r="AK102" s="215"/>
      <c r="AL102" s="215"/>
      <c r="AM102" s="215"/>
      <c r="AN102" s="215"/>
      <c r="AO102" s="215"/>
      <c r="AP102" s="215"/>
      <c r="AQ102" s="215"/>
      <c r="AR102" s="215"/>
      <c r="AS102" s="215"/>
      <c r="AT102" s="215"/>
      <c r="AU102" s="215"/>
      <c r="AV102" s="215"/>
      <c r="AW102" s="215"/>
      <c r="AX102" s="215"/>
      <c r="AY102" s="215"/>
    </row>
    <row r="103">
      <c r="A103" s="77" t="s">
        <v>261</v>
      </c>
      <c r="B103" s="177" t="s">
        <v>3082</v>
      </c>
      <c r="C103" s="77" t="s">
        <v>2992</v>
      </c>
      <c r="D103" s="177" t="s">
        <v>3051</v>
      </c>
      <c r="E103" s="28" t="s">
        <v>1211</v>
      </c>
      <c r="F103" s="175"/>
      <c r="G103" s="175"/>
      <c r="H103" s="175"/>
      <c r="I103" s="286"/>
      <c r="J103" s="175"/>
      <c r="K103" s="175"/>
      <c r="L103" s="175"/>
      <c r="M103" s="175"/>
      <c r="N103" s="175"/>
      <c r="O103" s="175"/>
      <c r="P103" s="286"/>
      <c r="Q103" s="286"/>
      <c r="R103" s="286"/>
      <c r="S103" s="175"/>
      <c r="T103" s="175"/>
      <c r="U103" s="175"/>
      <c r="V103" s="175"/>
      <c r="W103" s="175"/>
      <c r="X103" s="175"/>
      <c r="Y103" s="175"/>
      <c r="Z103" s="175"/>
      <c r="AA103" s="175"/>
      <c r="AB103" s="175"/>
      <c r="AC103" s="175"/>
      <c r="AD103" s="175"/>
      <c r="AE103" s="175"/>
      <c r="AF103" s="175"/>
      <c r="AG103" s="215"/>
      <c r="AH103" s="215"/>
      <c r="AI103" s="215"/>
      <c r="AJ103" s="215"/>
      <c r="AK103" s="215"/>
      <c r="AL103" s="215"/>
      <c r="AM103" s="215"/>
      <c r="AN103" s="215"/>
      <c r="AO103" s="215"/>
      <c r="AP103" s="215"/>
      <c r="AQ103" s="215"/>
      <c r="AR103" s="215"/>
      <c r="AS103" s="215"/>
      <c r="AT103" s="215"/>
      <c r="AU103" s="215"/>
      <c r="AV103" s="215"/>
      <c r="AW103" s="215"/>
      <c r="AX103" s="215"/>
      <c r="AY103" s="215"/>
    </row>
    <row r="104">
      <c r="A104" s="77" t="s">
        <v>261</v>
      </c>
      <c r="B104" s="177" t="s">
        <v>3083</v>
      </c>
      <c r="C104" s="77" t="s">
        <v>2992</v>
      </c>
      <c r="D104" s="177" t="s">
        <v>3084</v>
      </c>
      <c r="E104" s="28" t="s">
        <v>1211</v>
      </c>
      <c r="F104" s="175"/>
      <c r="G104" s="175"/>
      <c r="H104" s="175"/>
      <c r="I104" s="286"/>
      <c r="J104" s="175"/>
      <c r="K104" s="175"/>
      <c r="L104" s="175"/>
      <c r="M104" s="175"/>
      <c r="N104" s="175"/>
      <c r="O104" s="175"/>
      <c r="P104" s="286"/>
      <c r="Q104" s="286"/>
      <c r="R104" s="286"/>
      <c r="S104" s="175"/>
      <c r="T104" s="175"/>
      <c r="U104" s="175"/>
      <c r="V104" s="175"/>
      <c r="W104" s="175"/>
      <c r="X104" s="175"/>
      <c r="Y104" s="175"/>
      <c r="Z104" s="175"/>
      <c r="AA104" s="175"/>
      <c r="AB104" s="175"/>
      <c r="AC104" s="175"/>
      <c r="AD104" s="175"/>
      <c r="AE104" s="175"/>
      <c r="AF104" s="175"/>
      <c r="AG104" s="215"/>
      <c r="AH104" s="215"/>
      <c r="AI104" s="215"/>
      <c r="AJ104" s="215"/>
      <c r="AK104" s="215"/>
      <c r="AL104" s="215"/>
      <c r="AM104" s="215"/>
      <c r="AN104" s="215"/>
      <c r="AO104" s="215"/>
      <c r="AP104" s="215"/>
      <c r="AQ104" s="215"/>
      <c r="AR104" s="215"/>
      <c r="AS104" s="215"/>
      <c r="AT104" s="215"/>
      <c r="AU104" s="215"/>
      <c r="AV104" s="215"/>
      <c r="AW104" s="215"/>
      <c r="AX104" s="215"/>
      <c r="AY104" s="215"/>
    </row>
    <row r="105">
      <c r="A105" s="77" t="s">
        <v>261</v>
      </c>
      <c r="B105" s="177" t="s">
        <v>3085</v>
      </c>
      <c r="C105" s="77" t="s">
        <v>2992</v>
      </c>
      <c r="D105" s="177" t="s">
        <v>3086</v>
      </c>
      <c r="E105" s="28" t="s">
        <v>1211</v>
      </c>
      <c r="F105" s="175"/>
      <c r="G105" s="175"/>
      <c r="H105" s="175"/>
      <c r="I105" s="286"/>
      <c r="J105" s="175"/>
      <c r="K105" s="175"/>
      <c r="L105" s="175"/>
      <c r="M105" s="175"/>
      <c r="N105" s="175"/>
      <c r="O105" s="175"/>
      <c r="P105" s="286"/>
      <c r="Q105" s="286"/>
      <c r="R105" s="286"/>
      <c r="S105" s="175"/>
      <c r="T105" s="175"/>
      <c r="U105" s="175"/>
      <c r="V105" s="175"/>
      <c r="W105" s="175"/>
      <c r="X105" s="175"/>
      <c r="Y105" s="175"/>
      <c r="Z105" s="175"/>
      <c r="AA105" s="175"/>
      <c r="AB105" s="175"/>
      <c r="AC105" s="175"/>
      <c r="AD105" s="175"/>
      <c r="AE105" s="175"/>
      <c r="AF105" s="175"/>
      <c r="AG105" s="215"/>
      <c r="AH105" s="215"/>
      <c r="AI105" s="215"/>
      <c r="AJ105" s="215"/>
      <c r="AK105" s="215"/>
      <c r="AL105" s="215"/>
      <c r="AM105" s="215"/>
      <c r="AN105" s="215"/>
      <c r="AO105" s="215"/>
      <c r="AP105" s="215"/>
      <c r="AQ105" s="215"/>
      <c r="AR105" s="215"/>
      <c r="AS105" s="215"/>
      <c r="AT105" s="215"/>
      <c r="AU105" s="215"/>
      <c r="AV105" s="215"/>
      <c r="AW105" s="215"/>
      <c r="AX105" s="215"/>
      <c r="AY105" s="215"/>
    </row>
    <row r="106">
      <c r="A106" s="77" t="s">
        <v>261</v>
      </c>
      <c r="B106" s="177" t="s">
        <v>3087</v>
      </c>
      <c r="C106" s="77" t="s">
        <v>2992</v>
      </c>
      <c r="D106" s="177" t="s">
        <v>3088</v>
      </c>
      <c r="E106" s="28" t="s">
        <v>1211</v>
      </c>
      <c r="F106" s="175"/>
      <c r="G106" s="175"/>
      <c r="H106" s="175"/>
      <c r="I106" s="286"/>
      <c r="J106" s="175"/>
      <c r="K106" s="175"/>
      <c r="L106" s="175"/>
      <c r="M106" s="175"/>
      <c r="N106" s="175"/>
      <c r="O106" s="175"/>
      <c r="P106" s="286"/>
      <c r="Q106" s="286"/>
      <c r="R106" s="286"/>
      <c r="S106" s="175"/>
      <c r="T106" s="175"/>
      <c r="U106" s="175"/>
      <c r="V106" s="175"/>
      <c r="W106" s="175"/>
      <c r="X106" s="175"/>
      <c r="Y106" s="175"/>
      <c r="Z106" s="175"/>
      <c r="AA106" s="175"/>
      <c r="AB106" s="175"/>
      <c r="AC106" s="175"/>
      <c r="AD106" s="175"/>
      <c r="AE106" s="175"/>
      <c r="AF106" s="175"/>
      <c r="AG106" s="215"/>
      <c r="AH106" s="215"/>
      <c r="AI106" s="215"/>
      <c r="AJ106" s="215"/>
      <c r="AK106" s="215"/>
      <c r="AL106" s="215"/>
      <c r="AM106" s="215"/>
      <c r="AN106" s="215"/>
      <c r="AO106" s="215"/>
      <c r="AP106" s="215"/>
      <c r="AQ106" s="215"/>
      <c r="AR106" s="215"/>
      <c r="AS106" s="215"/>
      <c r="AT106" s="215"/>
      <c r="AU106" s="215"/>
      <c r="AV106" s="215"/>
      <c r="AW106" s="215"/>
      <c r="AX106" s="215"/>
      <c r="AY106" s="215"/>
    </row>
    <row r="107">
      <c r="A107" s="77" t="s">
        <v>261</v>
      </c>
      <c r="B107" s="177" t="s">
        <v>3089</v>
      </c>
      <c r="C107" s="77" t="s">
        <v>2992</v>
      </c>
      <c r="D107" s="177" t="s">
        <v>3090</v>
      </c>
      <c r="E107" s="28" t="s">
        <v>1211</v>
      </c>
      <c r="F107" s="175"/>
      <c r="G107" s="175"/>
      <c r="H107" s="175"/>
      <c r="I107" s="286"/>
      <c r="J107" s="175"/>
      <c r="K107" s="175"/>
      <c r="L107" s="175"/>
      <c r="M107" s="175"/>
      <c r="N107" s="175"/>
      <c r="O107" s="175"/>
      <c r="P107" s="286"/>
      <c r="Q107" s="286"/>
      <c r="R107" s="286"/>
      <c r="S107" s="175"/>
      <c r="T107" s="175"/>
      <c r="U107" s="175"/>
      <c r="V107" s="175"/>
      <c r="W107" s="175"/>
      <c r="X107" s="175"/>
      <c r="Y107" s="175"/>
      <c r="Z107" s="175"/>
      <c r="AA107" s="175"/>
      <c r="AB107" s="175"/>
      <c r="AC107" s="175"/>
      <c r="AD107" s="175"/>
      <c r="AE107" s="175"/>
      <c r="AF107" s="175"/>
      <c r="AG107" s="215"/>
      <c r="AH107" s="215"/>
      <c r="AI107" s="215"/>
      <c r="AJ107" s="215"/>
      <c r="AK107" s="215"/>
      <c r="AL107" s="215"/>
      <c r="AM107" s="215"/>
      <c r="AN107" s="215"/>
      <c r="AO107" s="215"/>
      <c r="AP107" s="215"/>
      <c r="AQ107" s="215"/>
      <c r="AR107" s="215"/>
      <c r="AS107" s="215"/>
      <c r="AT107" s="215"/>
      <c r="AU107" s="215"/>
      <c r="AV107" s="215"/>
      <c r="AW107" s="215"/>
      <c r="AX107" s="215"/>
      <c r="AY107" s="215"/>
    </row>
    <row r="108">
      <c r="A108" s="77" t="s">
        <v>261</v>
      </c>
      <c r="B108" s="177" t="s">
        <v>3091</v>
      </c>
      <c r="C108" s="77" t="s">
        <v>2992</v>
      </c>
      <c r="D108" s="177" t="s">
        <v>3092</v>
      </c>
      <c r="E108" s="28" t="s">
        <v>1211</v>
      </c>
      <c r="F108" s="175"/>
      <c r="G108" s="175"/>
      <c r="H108" s="175"/>
      <c r="I108" s="286"/>
      <c r="J108" s="175"/>
      <c r="K108" s="286"/>
      <c r="L108" s="175"/>
      <c r="M108" s="175"/>
      <c r="N108" s="175"/>
      <c r="O108" s="175"/>
      <c r="P108" s="286"/>
      <c r="Q108" s="175"/>
      <c r="R108" s="286"/>
      <c r="S108" s="175"/>
      <c r="T108" s="175"/>
      <c r="U108" s="175"/>
      <c r="V108" s="175"/>
      <c r="W108" s="175"/>
      <c r="X108" s="175"/>
      <c r="Y108" s="175"/>
      <c r="Z108" s="175"/>
      <c r="AA108" s="175"/>
      <c r="AB108" s="175"/>
      <c r="AC108" s="175"/>
      <c r="AD108" s="175"/>
      <c r="AE108" s="175"/>
      <c r="AF108" s="175"/>
      <c r="AG108" s="215"/>
      <c r="AH108" s="215"/>
      <c r="AI108" s="215"/>
      <c r="AJ108" s="215"/>
      <c r="AK108" s="215"/>
      <c r="AL108" s="215"/>
      <c r="AM108" s="215"/>
      <c r="AN108" s="215"/>
      <c r="AO108" s="215"/>
      <c r="AP108" s="215"/>
      <c r="AQ108" s="215"/>
      <c r="AR108" s="215"/>
      <c r="AS108" s="215"/>
      <c r="AT108" s="215"/>
      <c r="AU108" s="215"/>
      <c r="AV108" s="215"/>
      <c r="AW108" s="215"/>
      <c r="AX108" s="215"/>
      <c r="AY108" s="215"/>
    </row>
    <row r="109">
      <c r="A109" s="77" t="s">
        <v>93</v>
      </c>
      <c r="B109" s="77" t="s">
        <v>3093</v>
      </c>
      <c r="C109" s="77" t="s">
        <v>2992</v>
      </c>
      <c r="D109" s="177" t="s">
        <v>3051</v>
      </c>
      <c r="E109" s="28" t="s">
        <v>1211</v>
      </c>
      <c r="F109" s="215"/>
      <c r="G109" s="215"/>
      <c r="H109" s="215"/>
      <c r="I109" s="215"/>
      <c r="J109" s="215"/>
      <c r="K109" s="215"/>
      <c r="L109" s="215"/>
      <c r="M109" s="215"/>
      <c r="N109" s="215"/>
      <c r="O109" s="215"/>
      <c r="P109" s="215"/>
      <c r="Q109" s="215"/>
      <c r="R109" s="215"/>
      <c r="S109" s="215"/>
      <c r="T109" s="215"/>
      <c r="U109" s="215"/>
      <c r="V109" s="215"/>
      <c r="W109" s="215"/>
      <c r="X109" s="215"/>
      <c r="Y109" s="215"/>
      <c r="Z109" s="215"/>
      <c r="AA109" s="215"/>
      <c r="AB109" s="215"/>
      <c r="AC109" s="215"/>
      <c r="AD109" s="215"/>
      <c r="AE109" s="215"/>
      <c r="AF109" s="215"/>
      <c r="AG109" s="215"/>
      <c r="AH109" s="215"/>
      <c r="AI109" s="215"/>
      <c r="AJ109" s="215"/>
      <c r="AK109" s="215"/>
      <c r="AL109" s="215"/>
      <c r="AM109" s="215"/>
      <c r="AN109" s="215"/>
      <c r="AO109" s="215"/>
      <c r="AP109" s="215"/>
      <c r="AQ109" s="215"/>
      <c r="AR109" s="215"/>
      <c r="AS109" s="215"/>
      <c r="AT109" s="215"/>
      <c r="AU109" s="215"/>
      <c r="AV109" s="215"/>
      <c r="AW109" s="215"/>
      <c r="AX109" s="215"/>
      <c r="AY109" s="215"/>
    </row>
    <row r="110">
      <c r="A110" s="77" t="s">
        <v>93</v>
      </c>
      <c r="B110" s="77" t="s">
        <v>3094</v>
      </c>
      <c r="C110" s="77" t="s">
        <v>2992</v>
      </c>
      <c r="D110" s="177" t="s">
        <v>3051</v>
      </c>
      <c r="E110" s="28" t="s">
        <v>1211</v>
      </c>
      <c r="F110" s="215"/>
      <c r="G110" s="215"/>
      <c r="H110" s="215"/>
      <c r="I110" s="215"/>
      <c r="J110" s="215"/>
      <c r="K110" s="215"/>
      <c r="L110" s="215"/>
      <c r="M110" s="215"/>
      <c r="N110" s="215"/>
      <c r="O110" s="215"/>
      <c r="P110" s="215"/>
      <c r="Q110" s="215"/>
      <c r="R110" s="215"/>
      <c r="S110" s="215"/>
      <c r="T110" s="215"/>
      <c r="U110" s="215"/>
      <c r="V110" s="215"/>
      <c r="W110" s="215"/>
      <c r="X110" s="215"/>
      <c r="Y110" s="215"/>
      <c r="Z110" s="215"/>
      <c r="AA110" s="215"/>
      <c r="AB110" s="215"/>
      <c r="AC110" s="215"/>
      <c r="AD110" s="215"/>
      <c r="AE110" s="215"/>
      <c r="AF110" s="215"/>
      <c r="AG110" s="215"/>
      <c r="AH110" s="215"/>
      <c r="AI110" s="215"/>
      <c r="AJ110" s="215"/>
      <c r="AK110" s="215"/>
      <c r="AL110" s="215"/>
      <c r="AM110" s="215"/>
      <c r="AN110" s="215"/>
      <c r="AO110" s="215"/>
      <c r="AP110" s="215"/>
      <c r="AQ110" s="215"/>
      <c r="AR110" s="215"/>
      <c r="AS110" s="215"/>
      <c r="AT110" s="215"/>
      <c r="AU110" s="215"/>
      <c r="AV110" s="215"/>
      <c r="AW110" s="215"/>
      <c r="AX110" s="215"/>
      <c r="AY110" s="215"/>
    </row>
    <row r="111">
      <c r="A111" s="77" t="s">
        <v>93</v>
      </c>
      <c r="B111" s="77" t="s">
        <v>3095</v>
      </c>
      <c r="C111" s="77" t="s">
        <v>2992</v>
      </c>
      <c r="D111" s="177" t="s">
        <v>3051</v>
      </c>
      <c r="E111" s="28" t="s">
        <v>1211</v>
      </c>
      <c r="F111" s="215"/>
      <c r="G111" s="215"/>
      <c r="H111" s="215"/>
      <c r="I111" s="215"/>
      <c r="J111" s="215"/>
      <c r="K111" s="215"/>
      <c r="L111" s="215"/>
      <c r="M111" s="215"/>
      <c r="N111" s="215"/>
      <c r="O111" s="215"/>
      <c r="P111" s="215"/>
      <c r="Q111" s="215"/>
      <c r="R111" s="215"/>
      <c r="S111" s="215"/>
      <c r="T111" s="215"/>
      <c r="U111" s="215"/>
      <c r="V111" s="215"/>
      <c r="W111" s="215"/>
      <c r="X111" s="215"/>
      <c r="Y111" s="215"/>
      <c r="Z111" s="215"/>
      <c r="AA111" s="215"/>
      <c r="AB111" s="215"/>
      <c r="AC111" s="215"/>
      <c r="AD111" s="215"/>
      <c r="AE111" s="215"/>
      <c r="AF111" s="215"/>
      <c r="AG111" s="215"/>
      <c r="AH111" s="215"/>
      <c r="AI111" s="215"/>
      <c r="AJ111" s="215"/>
      <c r="AK111" s="215"/>
      <c r="AL111" s="215"/>
      <c r="AM111" s="215"/>
      <c r="AN111" s="215"/>
      <c r="AO111" s="215"/>
      <c r="AP111" s="215"/>
      <c r="AQ111" s="215"/>
      <c r="AR111" s="215"/>
      <c r="AS111" s="215"/>
      <c r="AT111" s="215"/>
      <c r="AU111" s="215"/>
      <c r="AV111" s="215"/>
      <c r="AW111" s="215"/>
      <c r="AX111" s="215"/>
      <c r="AY111" s="215"/>
    </row>
    <row r="112">
      <c r="A112" s="77" t="s">
        <v>93</v>
      </c>
      <c r="B112" s="77" t="s">
        <v>3096</v>
      </c>
      <c r="C112" s="77" t="s">
        <v>2992</v>
      </c>
      <c r="D112" s="177" t="s">
        <v>3051</v>
      </c>
      <c r="E112" s="28" t="s">
        <v>1211</v>
      </c>
      <c r="F112" s="215"/>
      <c r="G112" s="215"/>
      <c r="H112" s="215"/>
      <c r="I112" s="215"/>
      <c r="J112" s="215"/>
      <c r="K112" s="215"/>
      <c r="L112" s="215"/>
      <c r="M112" s="215"/>
      <c r="N112" s="215"/>
      <c r="O112" s="215"/>
      <c r="P112" s="215"/>
      <c r="Q112" s="215"/>
      <c r="R112" s="215"/>
      <c r="S112" s="215"/>
      <c r="T112" s="215"/>
      <c r="U112" s="215"/>
      <c r="V112" s="215"/>
      <c r="W112" s="215"/>
      <c r="X112" s="215"/>
      <c r="Y112" s="215"/>
      <c r="Z112" s="215"/>
      <c r="AA112" s="215"/>
      <c r="AB112" s="215"/>
      <c r="AC112" s="215"/>
      <c r="AD112" s="215"/>
      <c r="AE112" s="215"/>
      <c r="AF112" s="215"/>
      <c r="AG112" s="215"/>
      <c r="AH112" s="215"/>
      <c r="AI112" s="215"/>
      <c r="AJ112" s="215"/>
      <c r="AK112" s="215"/>
      <c r="AL112" s="215"/>
      <c r="AM112" s="215"/>
      <c r="AN112" s="215"/>
      <c r="AO112" s="215"/>
      <c r="AP112" s="215"/>
      <c r="AQ112" s="215"/>
      <c r="AR112" s="215"/>
      <c r="AS112" s="215"/>
      <c r="AT112" s="215"/>
      <c r="AU112" s="215"/>
      <c r="AV112" s="215"/>
      <c r="AW112" s="215"/>
      <c r="AX112" s="215"/>
      <c r="AY112" s="215"/>
    </row>
    <row r="113">
      <c r="A113" s="77" t="s">
        <v>93</v>
      </c>
      <c r="B113" s="77" t="s">
        <v>3097</v>
      </c>
      <c r="C113" s="77" t="s">
        <v>2992</v>
      </c>
      <c r="D113" s="177" t="s">
        <v>3051</v>
      </c>
      <c r="E113" s="28" t="s">
        <v>1211</v>
      </c>
      <c r="F113" s="215"/>
      <c r="G113" s="215"/>
      <c r="H113" s="215"/>
      <c r="I113" s="215"/>
      <c r="J113" s="215"/>
      <c r="K113" s="215"/>
      <c r="L113" s="215"/>
      <c r="M113" s="215"/>
      <c r="N113" s="215"/>
      <c r="O113" s="215"/>
      <c r="P113" s="215"/>
      <c r="Q113" s="215"/>
      <c r="R113" s="215"/>
      <c r="S113" s="215"/>
      <c r="T113" s="215"/>
      <c r="U113" s="215"/>
      <c r="V113" s="215"/>
      <c r="W113" s="215"/>
      <c r="X113" s="215"/>
      <c r="Y113" s="215"/>
      <c r="Z113" s="215"/>
      <c r="AA113" s="215"/>
      <c r="AB113" s="215"/>
      <c r="AC113" s="215"/>
      <c r="AD113" s="215"/>
      <c r="AE113" s="215"/>
      <c r="AF113" s="215"/>
      <c r="AG113" s="215"/>
      <c r="AH113" s="215"/>
      <c r="AI113" s="215"/>
      <c r="AJ113" s="215"/>
      <c r="AK113" s="215"/>
      <c r="AL113" s="215"/>
      <c r="AM113" s="215"/>
      <c r="AN113" s="215"/>
      <c r="AO113" s="215"/>
      <c r="AP113" s="215"/>
      <c r="AQ113" s="215"/>
      <c r="AR113" s="215"/>
      <c r="AS113" s="215"/>
      <c r="AT113" s="215"/>
      <c r="AU113" s="215"/>
      <c r="AV113" s="215"/>
      <c r="AW113" s="215"/>
      <c r="AX113" s="215"/>
      <c r="AY113" s="215"/>
    </row>
    <row r="114">
      <c r="A114" s="77" t="s">
        <v>93</v>
      </c>
      <c r="B114" s="77" t="s">
        <v>3098</v>
      </c>
      <c r="C114" s="77" t="s">
        <v>2992</v>
      </c>
      <c r="D114" s="177" t="s">
        <v>3051</v>
      </c>
      <c r="E114" s="28" t="s">
        <v>1211</v>
      </c>
      <c r="F114" s="215"/>
      <c r="G114" s="215"/>
      <c r="H114" s="215"/>
      <c r="I114" s="215"/>
      <c r="J114" s="215"/>
      <c r="K114" s="215"/>
      <c r="L114" s="215"/>
      <c r="M114" s="215"/>
      <c r="N114" s="215"/>
      <c r="O114" s="215"/>
      <c r="P114" s="215"/>
      <c r="Q114" s="215"/>
      <c r="R114" s="215"/>
      <c r="S114" s="215"/>
      <c r="T114" s="215"/>
      <c r="U114" s="215"/>
      <c r="V114" s="215"/>
      <c r="W114" s="215"/>
      <c r="X114" s="215"/>
      <c r="Y114" s="215"/>
      <c r="Z114" s="215"/>
      <c r="AA114" s="215"/>
      <c r="AB114" s="215"/>
      <c r="AC114" s="215"/>
      <c r="AD114" s="215"/>
      <c r="AE114" s="215"/>
      <c r="AF114" s="215"/>
      <c r="AG114" s="215"/>
      <c r="AH114" s="215"/>
      <c r="AI114" s="215"/>
      <c r="AJ114" s="215"/>
      <c r="AK114" s="215"/>
      <c r="AL114" s="215"/>
      <c r="AM114" s="215"/>
      <c r="AN114" s="215"/>
      <c r="AO114" s="215"/>
      <c r="AP114" s="215"/>
      <c r="AQ114" s="215"/>
      <c r="AR114" s="215"/>
      <c r="AS114" s="215"/>
      <c r="AT114" s="215"/>
      <c r="AU114" s="215"/>
      <c r="AV114" s="215"/>
      <c r="AW114" s="215"/>
      <c r="AX114" s="215"/>
      <c r="AY114" s="215"/>
    </row>
    <row r="115">
      <c r="A115" s="77" t="s">
        <v>93</v>
      </c>
      <c r="B115" s="77" t="s">
        <v>1408</v>
      </c>
      <c r="C115" s="77" t="s">
        <v>2992</v>
      </c>
      <c r="D115" s="177" t="s">
        <v>3051</v>
      </c>
      <c r="E115" s="28" t="s">
        <v>1211</v>
      </c>
      <c r="F115" s="215"/>
      <c r="G115" s="215"/>
      <c r="H115" s="215"/>
      <c r="I115" s="215"/>
      <c r="J115" s="215"/>
      <c r="K115" s="215"/>
      <c r="L115" s="215"/>
      <c r="M115" s="215"/>
      <c r="N115" s="215"/>
      <c r="O115" s="215"/>
      <c r="P115" s="215"/>
      <c r="Q115" s="215"/>
      <c r="R115" s="215"/>
      <c r="S115" s="215"/>
      <c r="T115" s="215"/>
      <c r="U115" s="215"/>
      <c r="V115" s="215"/>
      <c r="W115" s="215"/>
      <c r="X115" s="215"/>
      <c r="Y115" s="215"/>
      <c r="Z115" s="215"/>
      <c r="AA115" s="215"/>
      <c r="AB115" s="215"/>
      <c r="AC115" s="215"/>
      <c r="AD115" s="215"/>
      <c r="AE115" s="215"/>
      <c r="AF115" s="215"/>
      <c r="AG115" s="215"/>
      <c r="AH115" s="215"/>
      <c r="AI115" s="215"/>
      <c r="AJ115" s="215"/>
      <c r="AK115" s="215"/>
      <c r="AL115" s="215"/>
      <c r="AM115" s="215"/>
      <c r="AN115" s="215"/>
      <c r="AO115" s="215"/>
      <c r="AP115" s="215"/>
      <c r="AQ115" s="215"/>
      <c r="AR115" s="215"/>
      <c r="AS115" s="215"/>
      <c r="AT115" s="215"/>
      <c r="AU115" s="215"/>
      <c r="AV115" s="215"/>
      <c r="AW115" s="215"/>
      <c r="AX115" s="215"/>
      <c r="AY115" s="215"/>
    </row>
    <row r="116">
      <c r="A116" s="77" t="s">
        <v>93</v>
      </c>
      <c r="B116" s="77" t="s">
        <v>3099</v>
      </c>
      <c r="C116" s="77" t="s">
        <v>2992</v>
      </c>
      <c r="D116" s="177" t="s">
        <v>3051</v>
      </c>
      <c r="E116" s="28" t="s">
        <v>1211</v>
      </c>
      <c r="F116" s="215"/>
      <c r="G116" s="215"/>
      <c r="H116" s="215"/>
      <c r="I116" s="215"/>
      <c r="J116" s="215"/>
      <c r="K116" s="215"/>
      <c r="L116" s="215"/>
      <c r="M116" s="215"/>
      <c r="N116" s="215"/>
      <c r="O116" s="215"/>
      <c r="P116" s="215"/>
      <c r="Q116" s="215"/>
      <c r="R116" s="215"/>
      <c r="S116" s="215"/>
      <c r="T116" s="215"/>
      <c r="U116" s="215"/>
      <c r="V116" s="215"/>
      <c r="W116" s="215"/>
      <c r="X116" s="215"/>
      <c r="Y116" s="215"/>
      <c r="Z116" s="215"/>
      <c r="AA116" s="215"/>
      <c r="AB116" s="215"/>
      <c r="AC116" s="215"/>
      <c r="AD116" s="215"/>
      <c r="AE116" s="215"/>
      <c r="AF116" s="215"/>
      <c r="AG116" s="215"/>
      <c r="AH116" s="215"/>
      <c r="AI116" s="215"/>
      <c r="AJ116" s="215"/>
      <c r="AK116" s="215"/>
      <c r="AL116" s="215"/>
      <c r="AM116" s="215"/>
      <c r="AN116" s="215"/>
      <c r="AO116" s="215"/>
      <c r="AP116" s="215"/>
      <c r="AQ116" s="215"/>
      <c r="AR116" s="215"/>
      <c r="AS116" s="215"/>
      <c r="AT116" s="215"/>
      <c r="AU116" s="215"/>
      <c r="AV116" s="215"/>
      <c r="AW116" s="215"/>
      <c r="AX116" s="215"/>
      <c r="AY116" s="215"/>
    </row>
    <row r="117">
      <c r="A117" s="77" t="s">
        <v>93</v>
      </c>
      <c r="B117" s="77" t="s">
        <v>3100</v>
      </c>
      <c r="C117" s="77" t="s">
        <v>2992</v>
      </c>
      <c r="D117" s="177" t="s">
        <v>3051</v>
      </c>
      <c r="E117" s="28" t="s">
        <v>1211</v>
      </c>
      <c r="F117" s="215"/>
      <c r="G117" s="215"/>
      <c r="H117" s="215"/>
      <c r="I117" s="215"/>
      <c r="J117" s="215"/>
      <c r="K117" s="215"/>
      <c r="L117" s="215"/>
      <c r="M117" s="215"/>
      <c r="N117" s="215"/>
      <c r="O117" s="215"/>
      <c r="P117" s="215"/>
      <c r="Q117" s="215"/>
      <c r="R117" s="215"/>
      <c r="S117" s="215"/>
      <c r="T117" s="215"/>
      <c r="U117" s="215"/>
      <c r="V117" s="215"/>
      <c r="W117" s="215"/>
      <c r="X117" s="215"/>
      <c r="Y117" s="215"/>
      <c r="Z117" s="215"/>
      <c r="AA117" s="215"/>
      <c r="AB117" s="215"/>
      <c r="AC117" s="215"/>
      <c r="AD117" s="215"/>
      <c r="AE117" s="215"/>
      <c r="AF117" s="215"/>
      <c r="AG117" s="215"/>
      <c r="AH117" s="215"/>
      <c r="AI117" s="215"/>
      <c r="AJ117" s="215"/>
      <c r="AK117" s="215"/>
      <c r="AL117" s="215"/>
      <c r="AM117" s="215"/>
      <c r="AN117" s="215"/>
      <c r="AO117" s="215"/>
      <c r="AP117" s="215"/>
      <c r="AQ117" s="215"/>
      <c r="AR117" s="215"/>
      <c r="AS117" s="215"/>
      <c r="AT117" s="215"/>
      <c r="AU117" s="215"/>
      <c r="AV117" s="215"/>
      <c r="AW117" s="215"/>
      <c r="AX117" s="215"/>
      <c r="AY117" s="215"/>
    </row>
    <row r="118">
      <c r="A118" s="77" t="s">
        <v>93</v>
      </c>
      <c r="B118" s="77" t="s">
        <v>3101</v>
      </c>
      <c r="C118" s="77" t="s">
        <v>2992</v>
      </c>
      <c r="D118" s="177" t="s">
        <v>3051</v>
      </c>
      <c r="E118" s="28" t="s">
        <v>1211</v>
      </c>
      <c r="F118" s="215"/>
      <c r="G118" s="215"/>
      <c r="H118" s="215"/>
      <c r="I118" s="215"/>
      <c r="J118" s="215"/>
      <c r="K118" s="215"/>
      <c r="L118" s="215"/>
      <c r="M118" s="215"/>
      <c r="N118" s="215"/>
      <c r="O118" s="215"/>
      <c r="P118" s="215"/>
      <c r="Q118" s="215"/>
      <c r="R118" s="215"/>
      <c r="S118" s="215"/>
      <c r="T118" s="215"/>
      <c r="U118" s="215"/>
      <c r="V118" s="215"/>
      <c r="W118" s="215"/>
      <c r="X118" s="215"/>
      <c r="Y118" s="215"/>
      <c r="Z118" s="215"/>
      <c r="AA118" s="215"/>
      <c r="AB118" s="215"/>
      <c r="AC118" s="215"/>
      <c r="AD118" s="215"/>
      <c r="AE118" s="215"/>
      <c r="AF118" s="215"/>
      <c r="AG118" s="215"/>
      <c r="AH118" s="215"/>
      <c r="AI118" s="215"/>
      <c r="AJ118" s="215"/>
      <c r="AK118" s="215"/>
      <c r="AL118" s="215"/>
      <c r="AM118" s="215"/>
      <c r="AN118" s="215"/>
      <c r="AO118" s="215"/>
      <c r="AP118" s="215"/>
      <c r="AQ118" s="215"/>
      <c r="AR118" s="215"/>
      <c r="AS118" s="215"/>
      <c r="AT118" s="215"/>
      <c r="AU118" s="215"/>
      <c r="AV118" s="215"/>
      <c r="AW118" s="215"/>
      <c r="AX118" s="215"/>
      <c r="AY118" s="215"/>
    </row>
    <row r="119">
      <c r="A119" s="77" t="s">
        <v>93</v>
      </c>
      <c r="B119" s="177" t="s">
        <v>3102</v>
      </c>
      <c r="C119" s="77" t="s">
        <v>2992</v>
      </c>
      <c r="D119" s="177" t="s">
        <v>3051</v>
      </c>
      <c r="E119" s="28" t="s">
        <v>1211</v>
      </c>
      <c r="F119" s="175"/>
      <c r="G119" s="175"/>
      <c r="H119" s="175"/>
      <c r="I119" s="175"/>
      <c r="J119" s="175"/>
      <c r="K119" s="175"/>
      <c r="L119" s="175"/>
      <c r="M119" s="175"/>
      <c r="N119" s="175"/>
      <c r="O119" s="175"/>
      <c r="P119" s="175"/>
      <c r="Q119" s="175"/>
      <c r="R119" s="175"/>
      <c r="S119" s="82"/>
      <c r="T119" s="175"/>
      <c r="U119" s="175"/>
      <c r="V119" s="175"/>
      <c r="W119" s="175"/>
      <c r="X119" s="175"/>
      <c r="Y119" s="175"/>
      <c r="Z119" s="215"/>
      <c r="AA119" s="215"/>
      <c r="AB119" s="215"/>
      <c r="AC119" s="215"/>
      <c r="AD119" s="215"/>
      <c r="AE119" s="215"/>
      <c r="AF119" s="215"/>
      <c r="AG119" s="215"/>
      <c r="AH119" s="215"/>
      <c r="AI119" s="215"/>
      <c r="AJ119" s="215"/>
      <c r="AK119" s="215"/>
      <c r="AL119" s="215"/>
      <c r="AM119" s="215"/>
      <c r="AN119" s="215"/>
      <c r="AO119" s="215"/>
      <c r="AP119" s="215"/>
      <c r="AQ119" s="215"/>
      <c r="AR119" s="215"/>
      <c r="AS119" s="215"/>
      <c r="AT119" s="215"/>
      <c r="AU119" s="215"/>
      <c r="AV119" s="215"/>
      <c r="AW119" s="215"/>
      <c r="AX119" s="215"/>
      <c r="AY119" s="215"/>
    </row>
    <row r="120">
      <c r="A120" s="77" t="s">
        <v>93</v>
      </c>
      <c r="B120" s="177" t="s">
        <v>3103</v>
      </c>
      <c r="C120" s="77" t="s">
        <v>2992</v>
      </c>
      <c r="D120" s="177" t="s">
        <v>3051</v>
      </c>
      <c r="E120" s="28" t="s">
        <v>1211</v>
      </c>
      <c r="F120" s="175"/>
      <c r="G120" s="175"/>
      <c r="H120" s="175"/>
      <c r="I120" s="175"/>
      <c r="J120" s="175"/>
      <c r="K120" s="175"/>
      <c r="L120" s="175"/>
      <c r="M120" s="175"/>
      <c r="N120" s="175"/>
      <c r="O120" s="175"/>
      <c r="P120" s="175"/>
      <c r="Q120" s="175"/>
      <c r="R120" s="175"/>
      <c r="S120" s="82"/>
      <c r="T120" s="175"/>
      <c r="U120" s="175"/>
      <c r="V120" s="175"/>
      <c r="W120" s="175"/>
      <c r="X120" s="175"/>
      <c r="Y120" s="175"/>
      <c r="Z120" s="215"/>
      <c r="AA120" s="215"/>
      <c r="AB120" s="215"/>
      <c r="AC120" s="215"/>
      <c r="AD120" s="215"/>
      <c r="AE120" s="215"/>
      <c r="AF120" s="215"/>
      <c r="AG120" s="215"/>
      <c r="AH120" s="215"/>
      <c r="AI120" s="215"/>
      <c r="AJ120" s="215"/>
      <c r="AK120" s="215"/>
      <c r="AL120" s="215"/>
      <c r="AM120" s="215"/>
      <c r="AN120" s="215"/>
      <c r="AO120" s="215"/>
      <c r="AP120" s="215"/>
      <c r="AQ120" s="215"/>
      <c r="AR120" s="215"/>
      <c r="AS120" s="215"/>
      <c r="AT120" s="215"/>
      <c r="AU120" s="215"/>
      <c r="AV120" s="215"/>
      <c r="AW120" s="215"/>
      <c r="AX120" s="215"/>
      <c r="AY120" s="215"/>
    </row>
    <row r="121">
      <c r="A121" s="77" t="s">
        <v>93</v>
      </c>
      <c r="B121" s="177" t="s">
        <v>3104</v>
      </c>
      <c r="C121" s="77" t="s">
        <v>2992</v>
      </c>
      <c r="D121" s="177" t="s">
        <v>3051</v>
      </c>
      <c r="E121" s="28" t="s">
        <v>1211</v>
      </c>
      <c r="F121" s="175"/>
      <c r="G121" s="175"/>
      <c r="H121" s="175"/>
      <c r="I121" s="175"/>
      <c r="J121" s="175"/>
      <c r="K121" s="175"/>
      <c r="L121" s="175"/>
      <c r="M121" s="175"/>
      <c r="N121" s="175"/>
      <c r="O121" s="175"/>
      <c r="P121" s="175"/>
      <c r="Q121" s="175"/>
      <c r="R121" s="175"/>
      <c r="S121" s="82"/>
      <c r="T121" s="175"/>
      <c r="U121" s="175"/>
      <c r="V121" s="175"/>
      <c r="W121" s="175"/>
      <c r="X121" s="175"/>
      <c r="Y121" s="175"/>
      <c r="Z121" s="215"/>
      <c r="AA121" s="215"/>
      <c r="AB121" s="215"/>
      <c r="AC121" s="215"/>
      <c r="AD121" s="215"/>
      <c r="AE121" s="215"/>
      <c r="AF121" s="215"/>
      <c r="AG121" s="215"/>
      <c r="AH121" s="215"/>
      <c r="AI121" s="215"/>
      <c r="AJ121" s="215"/>
      <c r="AK121" s="215"/>
      <c r="AL121" s="215"/>
      <c r="AM121" s="215"/>
      <c r="AN121" s="215"/>
      <c r="AO121" s="215"/>
      <c r="AP121" s="215"/>
      <c r="AQ121" s="215"/>
      <c r="AR121" s="215"/>
      <c r="AS121" s="215"/>
      <c r="AT121" s="215"/>
      <c r="AU121" s="215"/>
      <c r="AV121" s="215"/>
      <c r="AW121" s="215"/>
      <c r="AX121" s="215"/>
      <c r="AY121" s="215"/>
    </row>
    <row r="122">
      <c r="A122" s="77" t="s">
        <v>93</v>
      </c>
      <c r="B122" s="177" t="s">
        <v>3105</v>
      </c>
      <c r="C122" s="77" t="s">
        <v>2992</v>
      </c>
      <c r="D122" s="177" t="s">
        <v>3051</v>
      </c>
      <c r="E122" s="28" t="s">
        <v>1211</v>
      </c>
      <c r="F122" s="175"/>
      <c r="G122" s="175"/>
      <c r="H122" s="175"/>
      <c r="I122" s="175"/>
      <c r="J122" s="175"/>
      <c r="K122" s="175"/>
      <c r="L122" s="175"/>
      <c r="M122" s="175"/>
      <c r="N122" s="175"/>
      <c r="O122" s="175"/>
      <c r="P122" s="175"/>
      <c r="Q122" s="175"/>
      <c r="R122" s="175"/>
      <c r="S122" s="82"/>
      <c r="T122" s="175"/>
      <c r="U122" s="175"/>
      <c r="V122" s="175"/>
      <c r="W122" s="175"/>
      <c r="X122" s="175"/>
      <c r="Y122" s="175"/>
      <c r="Z122" s="215"/>
      <c r="AA122" s="215"/>
      <c r="AB122" s="215"/>
      <c r="AC122" s="215"/>
      <c r="AD122" s="215"/>
      <c r="AE122" s="215"/>
      <c r="AF122" s="215"/>
      <c r="AG122" s="215"/>
      <c r="AH122" s="215"/>
      <c r="AI122" s="215"/>
      <c r="AJ122" s="215"/>
      <c r="AK122" s="215"/>
      <c r="AL122" s="215"/>
      <c r="AM122" s="215"/>
      <c r="AN122" s="215"/>
      <c r="AO122" s="215"/>
      <c r="AP122" s="215"/>
      <c r="AQ122" s="215"/>
      <c r="AR122" s="215"/>
      <c r="AS122" s="215"/>
      <c r="AT122" s="215"/>
      <c r="AU122" s="215"/>
      <c r="AV122" s="215"/>
      <c r="AW122" s="215"/>
      <c r="AX122" s="215"/>
      <c r="AY122" s="215"/>
    </row>
    <row r="123">
      <c r="A123" s="77" t="s">
        <v>93</v>
      </c>
      <c r="B123" s="177" t="s">
        <v>3106</v>
      </c>
      <c r="C123" s="77" t="s">
        <v>2992</v>
      </c>
      <c r="D123" s="177" t="s">
        <v>3051</v>
      </c>
      <c r="E123" s="28" t="s">
        <v>1211</v>
      </c>
      <c r="F123" s="175"/>
      <c r="G123" s="175"/>
      <c r="H123" s="175"/>
      <c r="I123" s="175"/>
      <c r="J123" s="175"/>
      <c r="K123" s="175"/>
      <c r="L123" s="175"/>
      <c r="M123" s="175"/>
      <c r="N123" s="175"/>
      <c r="O123" s="175"/>
      <c r="P123" s="175"/>
      <c r="Q123" s="175"/>
      <c r="R123" s="175"/>
      <c r="S123" s="82"/>
      <c r="T123" s="175"/>
      <c r="U123" s="175"/>
      <c r="V123" s="175"/>
      <c r="W123" s="175"/>
      <c r="X123" s="175"/>
      <c r="Y123" s="175"/>
      <c r="Z123" s="215"/>
      <c r="AA123" s="215"/>
      <c r="AB123" s="215"/>
      <c r="AC123" s="215"/>
      <c r="AD123" s="215"/>
      <c r="AE123" s="215"/>
      <c r="AF123" s="215"/>
      <c r="AG123" s="215"/>
      <c r="AH123" s="215"/>
      <c r="AI123" s="215"/>
      <c r="AJ123" s="215"/>
      <c r="AK123" s="215"/>
      <c r="AL123" s="215"/>
      <c r="AM123" s="215"/>
      <c r="AN123" s="215"/>
      <c r="AO123" s="215"/>
      <c r="AP123" s="215"/>
      <c r="AQ123" s="215"/>
      <c r="AR123" s="215"/>
      <c r="AS123" s="215"/>
      <c r="AT123" s="215"/>
      <c r="AU123" s="215"/>
      <c r="AV123" s="215"/>
      <c r="AW123" s="215"/>
      <c r="AX123" s="215"/>
      <c r="AY123" s="215"/>
    </row>
    <row r="124">
      <c r="A124" s="77" t="s">
        <v>93</v>
      </c>
      <c r="B124" s="177" t="s">
        <v>3107</v>
      </c>
      <c r="C124" s="77" t="s">
        <v>2992</v>
      </c>
      <c r="D124" s="177" t="s">
        <v>3051</v>
      </c>
      <c r="E124" s="28" t="s">
        <v>1211</v>
      </c>
      <c r="F124" s="175"/>
      <c r="G124" s="175"/>
      <c r="H124" s="175"/>
      <c r="I124" s="175"/>
      <c r="J124" s="175"/>
      <c r="K124" s="175"/>
      <c r="L124" s="175"/>
      <c r="M124" s="175"/>
      <c r="N124" s="175"/>
      <c r="O124" s="175"/>
      <c r="P124" s="175"/>
      <c r="Q124" s="175"/>
      <c r="R124" s="175"/>
      <c r="S124" s="82"/>
      <c r="T124" s="175"/>
      <c r="U124" s="175"/>
      <c r="V124" s="175"/>
      <c r="W124" s="175"/>
      <c r="X124" s="175"/>
      <c r="Y124" s="175"/>
      <c r="Z124" s="215"/>
      <c r="AA124" s="215"/>
      <c r="AB124" s="215"/>
      <c r="AC124" s="215"/>
      <c r="AD124" s="215"/>
      <c r="AE124" s="215"/>
      <c r="AF124" s="215"/>
      <c r="AG124" s="215"/>
      <c r="AH124" s="215"/>
      <c r="AI124" s="215"/>
      <c r="AJ124" s="215"/>
      <c r="AK124" s="215"/>
      <c r="AL124" s="215"/>
      <c r="AM124" s="215"/>
      <c r="AN124" s="215"/>
      <c r="AO124" s="215"/>
      <c r="AP124" s="215"/>
      <c r="AQ124" s="215"/>
      <c r="AR124" s="215"/>
      <c r="AS124" s="215"/>
      <c r="AT124" s="215"/>
      <c r="AU124" s="215"/>
      <c r="AV124" s="215"/>
      <c r="AW124" s="215"/>
      <c r="AX124" s="215"/>
      <c r="AY124" s="215"/>
    </row>
    <row r="125">
      <c r="A125" s="77" t="s">
        <v>93</v>
      </c>
      <c r="B125" s="177" t="s">
        <v>3108</v>
      </c>
      <c r="C125" s="77" t="s">
        <v>2992</v>
      </c>
      <c r="D125" s="177" t="s">
        <v>3051</v>
      </c>
      <c r="E125" s="28" t="s">
        <v>1211</v>
      </c>
      <c r="F125" s="175"/>
      <c r="G125" s="175"/>
      <c r="H125" s="175"/>
      <c r="I125" s="175"/>
      <c r="J125" s="175"/>
      <c r="K125" s="175"/>
      <c r="L125" s="175"/>
      <c r="M125" s="175"/>
      <c r="N125" s="175"/>
      <c r="O125" s="175"/>
      <c r="P125" s="175"/>
      <c r="Q125" s="175"/>
      <c r="R125" s="175"/>
      <c r="S125" s="82"/>
      <c r="T125" s="175"/>
      <c r="U125" s="175"/>
      <c r="V125" s="175"/>
      <c r="W125" s="175"/>
      <c r="X125" s="175"/>
      <c r="Y125" s="175"/>
      <c r="Z125" s="215"/>
      <c r="AA125" s="215"/>
      <c r="AB125" s="215"/>
      <c r="AC125" s="215"/>
      <c r="AD125" s="215"/>
      <c r="AE125" s="215"/>
      <c r="AF125" s="215"/>
      <c r="AG125" s="215"/>
      <c r="AH125" s="215"/>
      <c r="AI125" s="215"/>
      <c r="AJ125" s="215"/>
      <c r="AK125" s="215"/>
      <c r="AL125" s="215"/>
      <c r="AM125" s="215"/>
      <c r="AN125" s="215"/>
      <c r="AO125" s="215"/>
      <c r="AP125" s="215"/>
      <c r="AQ125" s="215"/>
      <c r="AR125" s="215"/>
      <c r="AS125" s="215"/>
      <c r="AT125" s="215"/>
      <c r="AU125" s="215"/>
      <c r="AV125" s="215"/>
      <c r="AW125" s="215"/>
      <c r="AX125" s="215"/>
      <c r="AY125" s="215"/>
    </row>
    <row r="126">
      <c r="A126" s="77" t="s">
        <v>93</v>
      </c>
      <c r="B126" s="177" t="s">
        <v>3109</v>
      </c>
      <c r="C126" s="77" t="s">
        <v>2992</v>
      </c>
      <c r="D126" s="177" t="s">
        <v>3051</v>
      </c>
      <c r="E126" s="28" t="s">
        <v>1211</v>
      </c>
      <c r="F126" s="175"/>
      <c r="G126" s="175"/>
      <c r="H126" s="175"/>
      <c r="I126" s="175"/>
      <c r="J126" s="175"/>
      <c r="K126" s="175"/>
      <c r="L126" s="175"/>
      <c r="M126" s="175"/>
      <c r="N126" s="175"/>
      <c r="O126" s="175"/>
      <c r="P126" s="175"/>
      <c r="Q126" s="175"/>
      <c r="R126" s="175"/>
      <c r="S126" s="82"/>
      <c r="T126" s="175"/>
      <c r="U126" s="175"/>
      <c r="V126" s="175"/>
      <c r="W126" s="175"/>
      <c r="X126" s="175"/>
      <c r="Y126" s="175"/>
      <c r="Z126" s="215"/>
      <c r="AA126" s="215"/>
      <c r="AB126" s="215"/>
      <c r="AC126" s="215"/>
      <c r="AD126" s="215"/>
      <c r="AE126" s="215"/>
      <c r="AF126" s="215"/>
      <c r="AG126" s="215"/>
      <c r="AH126" s="215"/>
      <c r="AI126" s="215"/>
      <c r="AJ126" s="215"/>
      <c r="AK126" s="215"/>
      <c r="AL126" s="215"/>
      <c r="AM126" s="215"/>
      <c r="AN126" s="215"/>
      <c r="AO126" s="215"/>
      <c r="AP126" s="215"/>
      <c r="AQ126" s="215"/>
      <c r="AR126" s="215"/>
      <c r="AS126" s="215"/>
      <c r="AT126" s="215"/>
      <c r="AU126" s="215"/>
      <c r="AV126" s="215"/>
      <c r="AW126" s="215"/>
      <c r="AX126" s="215"/>
      <c r="AY126" s="215"/>
    </row>
    <row r="127">
      <c r="A127" s="77" t="s">
        <v>93</v>
      </c>
      <c r="B127" s="177" t="s">
        <v>3110</v>
      </c>
      <c r="C127" s="77" t="s">
        <v>2992</v>
      </c>
      <c r="D127" s="177" t="s">
        <v>3051</v>
      </c>
      <c r="E127" s="28" t="s">
        <v>1211</v>
      </c>
      <c r="F127" s="175"/>
      <c r="G127" s="175"/>
      <c r="H127" s="175"/>
      <c r="I127" s="175"/>
      <c r="J127" s="175"/>
      <c r="K127" s="175"/>
      <c r="L127" s="175"/>
      <c r="M127" s="175"/>
      <c r="N127" s="175"/>
      <c r="O127" s="175"/>
      <c r="P127" s="175"/>
      <c r="Q127" s="175"/>
      <c r="R127" s="175"/>
      <c r="S127" s="82"/>
      <c r="T127" s="175"/>
      <c r="U127" s="175"/>
      <c r="V127" s="175"/>
      <c r="W127" s="175"/>
      <c r="X127" s="175"/>
      <c r="Y127" s="175"/>
      <c r="Z127" s="215"/>
      <c r="AA127" s="215"/>
      <c r="AB127" s="215"/>
      <c r="AC127" s="215"/>
      <c r="AD127" s="215"/>
      <c r="AE127" s="215"/>
      <c r="AF127" s="215"/>
      <c r="AG127" s="215"/>
      <c r="AH127" s="215"/>
      <c r="AI127" s="215"/>
      <c r="AJ127" s="215"/>
      <c r="AK127" s="215"/>
      <c r="AL127" s="215"/>
      <c r="AM127" s="215"/>
      <c r="AN127" s="215"/>
      <c r="AO127" s="215"/>
      <c r="AP127" s="215"/>
      <c r="AQ127" s="215"/>
      <c r="AR127" s="215"/>
      <c r="AS127" s="215"/>
      <c r="AT127" s="215"/>
      <c r="AU127" s="215"/>
      <c r="AV127" s="215"/>
      <c r="AW127" s="215"/>
      <c r="AX127" s="215"/>
      <c r="AY127" s="215"/>
    </row>
    <row r="128">
      <c r="A128" s="77" t="s">
        <v>93</v>
      </c>
      <c r="B128" s="177" t="s">
        <v>3111</v>
      </c>
      <c r="C128" s="77" t="s">
        <v>2992</v>
      </c>
      <c r="D128" s="177" t="s">
        <v>3051</v>
      </c>
      <c r="E128" s="28" t="s">
        <v>1211</v>
      </c>
      <c r="F128" s="175"/>
      <c r="G128" s="175"/>
      <c r="H128" s="175"/>
      <c r="I128" s="175"/>
      <c r="J128" s="175"/>
      <c r="K128" s="175"/>
      <c r="L128" s="175"/>
      <c r="M128" s="175"/>
      <c r="N128" s="175"/>
      <c r="O128" s="175"/>
      <c r="P128" s="175"/>
      <c r="Q128" s="175"/>
      <c r="R128" s="175"/>
      <c r="S128" s="82"/>
      <c r="T128" s="175"/>
      <c r="U128" s="175"/>
      <c r="V128" s="175"/>
      <c r="W128" s="175"/>
      <c r="X128" s="175"/>
      <c r="Y128" s="175"/>
      <c r="Z128" s="215"/>
      <c r="AA128" s="215"/>
      <c r="AB128" s="215"/>
      <c r="AC128" s="215"/>
      <c r="AD128" s="215"/>
      <c r="AE128" s="215"/>
      <c r="AF128" s="215"/>
      <c r="AG128" s="215"/>
      <c r="AH128" s="215"/>
      <c r="AI128" s="215"/>
      <c r="AJ128" s="215"/>
      <c r="AK128" s="215"/>
      <c r="AL128" s="215"/>
      <c r="AM128" s="215"/>
      <c r="AN128" s="215"/>
      <c r="AO128" s="215"/>
      <c r="AP128" s="215"/>
      <c r="AQ128" s="215"/>
      <c r="AR128" s="215"/>
      <c r="AS128" s="215"/>
      <c r="AT128" s="215"/>
      <c r="AU128" s="215"/>
      <c r="AV128" s="215"/>
      <c r="AW128" s="215"/>
      <c r="AX128" s="215"/>
      <c r="AY128" s="215"/>
    </row>
    <row r="129">
      <c r="A129" s="77" t="s">
        <v>181</v>
      </c>
      <c r="B129" s="177" t="s">
        <v>3112</v>
      </c>
      <c r="C129" s="77" t="s">
        <v>2992</v>
      </c>
      <c r="D129" s="177" t="s">
        <v>3051</v>
      </c>
      <c r="E129" s="28" t="s">
        <v>1211</v>
      </c>
      <c r="F129" s="175"/>
      <c r="G129" s="175"/>
      <c r="H129" s="175"/>
      <c r="I129" s="175"/>
      <c r="J129" s="175"/>
      <c r="K129" s="175"/>
      <c r="L129" s="175"/>
      <c r="M129" s="175"/>
      <c r="N129" s="175"/>
      <c r="O129" s="175"/>
      <c r="P129" s="175"/>
      <c r="Q129" s="175"/>
      <c r="R129" s="175"/>
      <c r="S129" s="82"/>
      <c r="T129" s="175"/>
      <c r="U129" s="175"/>
      <c r="V129" s="175"/>
      <c r="W129" s="175"/>
      <c r="X129" s="175"/>
      <c r="Y129" s="175"/>
      <c r="Z129" s="215"/>
      <c r="AA129" s="215"/>
      <c r="AB129" s="215"/>
      <c r="AC129" s="215"/>
      <c r="AD129" s="215"/>
      <c r="AE129" s="215"/>
      <c r="AF129" s="215"/>
      <c r="AG129" s="215"/>
      <c r="AH129" s="215"/>
      <c r="AI129" s="215"/>
      <c r="AJ129" s="215"/>
      <c r="AK129" s="215"/>
      <c r="AL129" s="215"/>
      <c r="AM129" s="215"/>
      <c r="AN129" s="215"/>
      <c r="AO129" s="215"/>
      <c r="AP129" s="215"/>
      <c r="AQ129" s="215"/>
      <c r="AR129" s="215"/>
      <c r="AS129" s="215"/>
      <c r="AT129" s="215"/>
      <c r="AU129" s="215"/>
      <c r="AV129" s="215"/>
      <c r="AW129" s="215"/>
      <c r="AX129" s="215"/>
      <c r="AY129" s="215"/>
    </row>
    <row r="130">
      <c r="A130" s="77" t="s">
        <v>181</v>
      </c>
      <c r="B130" s="177" t="s">
        <v>3113</v>
      </c>
      <c r="C130" s="77" t="s">
        <v>2992</v>
      </c>
      <c r="D130" s="177" t="s">
        <v>3051</v>
      </c>
      <c r="E130" s="28" t="s">
        <v>1211</v>
      </c>
      <c r="F130" s="175"/>
      <c r="G130" s="175"/>
      <c r="H130" s="175"/>
      <c r="I130" s="175"/>
      <c r="J130" s="175"/>
      <c r="K130" s="175"/>
      <c r="L130" s="175"/>
      <c r="M130" s="175"/>
      <c r="N130" s="175"/>
      <c r="O130" s="175"/>
      <c r="P130" s="175"/>
      <c r="Q130" s="175"/>
      <c r="R130" s="175"/>
      <c r="S130" s="82"/>
      <c r="T130" s="175"/>
      <c r="U130" s="175"/>
      <c r="V130" s="175"/>
      <c r="W130" s="175"/>
      <c r="X130" s="175"/>
      <c r="Y130" s="175"/>
      <c r="Z130" s="215"/>
      <c r="AA130" s="215"/>
      <c r="AB130" s="215"/>
      <c r="AC130" s="215"/>
      <c r="AD130" s="215"/>
      <c r="AE130" s="215"/>
      <c r="AF130" s="215"/>
      <c r="AG130" s="215"/>
      <c r="AH130" s="215"/>
      <c r="AI130" s="215"/>
      <c r="AJ130" s="215"/>
      <c r="AK130" s="215"/>
      <c r="AL130" s="215"/>
      <c r="AM130" s="215"/>
      <c r="AN130" s="215"/>
      <c r="AO130" s="215"/>
      <c r="AP130" s="215"/>
      <c r="AQ130" s="215"/>
      <c r="AR130" s="215"/>
      <c r="AS130" s="215"/>
      <c r="AT130" s="215"/>
      <c r="AU130" s="215"/>
      <c r="AV130" s="215"/>
      <c r="AW130" s="215"/>
      <c r="AX130" s="215"/>
      <c r="AY130" s="215"/>
    </row>
    <row r="131">
      <c r="A131" s="77" t="s">
        <v>181</v>
      </c>
      <c r="B131" s="177" t="s">
        <v>3114</v>
      </c>
      <c r="C131" s="77" t="s">
        <v>2992</v>
      </c>
      <c r="D131" s="177" t="s">
        <v>3051</v>
      </c>
      <c r="E131" s="28" t="s">
        <v>1211</v>
      </c>
      <c r="F131" s="175"/>
      <c r="G131" s="175"/>
      <c r="H131" s="175"/>
      <c r="I131" s="175"/>
      <c r="J131" s="175"/>
      <c r="K131" s="175"/>
      <c r="L131" s="175"/>
      <c r="M131" s="175"/>
      <c r="N131" s="175"/>
      <c r="O131" s="175"/>
      <c r="P131" s="175"/>
      <c r="Q131" s="175"/>
      <c r="R131" s="175"/>
      <c r="S131" s="82"/>
      <c r="T131" s="175"/>
      <c r="U131" s="175"/>
      <c r="V131" s="175"/>
      <c r="W131" s="175"/>
      <c r="X131" s="175"/>
      <c r="Y131" s="175"/>
      <c r="Z131" s="215"/>
      <c r="AA131" s="215"/>
      <c r="AB131" s="215"/>
      <c r="AC131" s="215"/>
      <c r="AD131" s="215"/>
      <c r="AE131" s="215"/>
      <c r="AF131" s="215"/>
      <c r="AG131" s="215"/>
      <c r="AH131" s="215"/>
      <c r="AI131" s="215"/>
      <c r="AJ131" s="215"/>
      <c r="AK131" s="215"/>
      <c r="AL131" s="215"/>
      <c r="AM131" s="215"/>
      <c r="AN131" s="215"/>
      <c r="AO131" s="215"/>
      <c r="AP131" s="215"/>
      <c r="AQ131" s="215"/>
      <c r="AR131" s="215"/>
      <c r="AS131" s="215"/>
      <c r="AT131" s="215"/>
      <c r="AU131" s="215"/>
      <c r="AV131" s="215"/>
      <c r="AW131" s="215"/>
      <c r="AX131" s="215"/>
      <c r="AY131" s="215"/>
    </row>
    <row r="132">
      <c r="A132" s="77" t="s">
        <v>181</v>
      </c>
      <c r="B132" s="177" t="s">
        <v>3115</v>
      </c>
      <c r="C132" s="77" t="s">
        <v>2992</v>
      </c>
      <c r="D132" s="177" t="s">
        <v>3051</v>
      </c>
      <c r="E132" s="28" t="s">
        <v>1211</v>
      </c>
      <c r="F132" s="175"/>
      <c r="G132" s="175"/>
      <c r="H132" s="175"/>
      <c r="I132" s="175"/>
      <c r="J132" s="175"/>
      <c r="K132" s="175"/>
      <c r="L132" s="175"/>
      <c r="M132" s="175"/>
      <c r="N132" s="175"/>
      <c r="O132" s="175"/>
      <c r="P132" s="175"/>
      <c r="Q132" s="175"/>
      <c r="R132" s="175"/>
      <c r="S132" s="82"/>
      <c r="T132" s="175"/>
      <c r="U132" s="175"/>
      <c r="V132" s="175"/>
      <c r="W132" s="175"/>
      <c r="X132" s="175"/>
      <c r="Y132" s="175"/>
      <c r="Z132" s="215"/>
      <c r="AA132" s="215"/>
      <c r="AB132" s="215"/>
      <c r="AC132" s="215"/>
      <c r="AD132" s="215"/>
      <c r="AE132" s="215"/>
      <c r="AF132" s="215"/>
      <c r="AG132" s="215"/>
      <c r="AH132" s="215"/>
      <c r="AI132" s="215"/>
      <c r="AJ132" s="215"/>
      <c r="AK132" s="215"/>
      <c r="AL132" s="215"/>
      <c r="AM132" s="215"/>
      <c r="AN132" s="215"/>
      <c r="AO132" s="215"/>
      <c r="AP132" s="215"/>
      <c r="AQ132" s="215"/>
      <c r="AR132" s="215"/>
      <c r="AS132" s="215"/>
      <c r="AT132" s="215"/>
      <c r="AU132" s="215"/>
      <c r="AV132" s="215"/>
      <c r="AW132" s="215"/>
      <c r="AX132" s="215"/>
      <c r="AY132" s="215"/>
    </row>
    <row r="133">
      <c r="A133" s="77" t="s">
        <v>181</v>
      </c>
      <c r="B133" s="177" t="s">
        <v>3116</v>
      </c>
      <c r="C133" s="77" t="s">
        <v>2992</v>
      </c>
      <c r="D133" s="177" t="s">
        <v>3051</v>
      </c>
      <c r="E133" s="28" t="s">
        <v>1211</v>
      </c>
      <c r="F133" s="175"/>
      <c r="G133" s="175"/>
      <c r="H133" s="175"/>
      <c r="I133" s="175"/>
      <c r="J133" s="175"/>
      <c r="K133" s="175"/>
      <c r="L133" s="175"/>
      <c r="M133" s="175"/>
      <c r="N133" s="175"/>
      <c r="O133" s="175"/>
      <c r="P133" s="175"/>
      <c r="Q133" s="175"/>
      <c r="R133" s="175"/>
      <c r="S133" s="82"/>
      <c r="T133" s="175"/>
      <c r="U133" s="175"/>
      <c r="V133" s="175"/>
      <c r="W133" s="175"/>
      <c r="X133" s="175"/>
      <c r="Y133" s="175"/>
      <c r="Z133" s="215"/>
      <c r="AA133" s="215"/>
      <c r="AB133" s="215"/>
      <c r="AC133" s="215"/>
      <c r="AD133" s="215"/>
      <c r="AE133" s="215"/>
      <c r="AF133" s="215"/>
      <c r="AG133" s="215"/>
      <c r="AH133" s="215"/>
      <c r="AI133" s="215"/>
      <c r="AJ133" s="215"/>
      <c r="AK133" s="215"/>
      <c r="AL133" s="215"/>
      <c r="AM133" s="215"/>
      <c r="AN133" s="215"/>
      <c r="AO133" s="215"/>
      <c r="AP133" s="215"/>
      <c r="AQ133" s="215"/>
      <c r="AR133" s="215"/>
      <c r="AS133" s="215"/>
      <c r="AT133" s="215"/>
      <c r="AU133" s="215"/>
      <c r="AV133" s="215"/>
      <c r="AW133" s="215"/>
      <c r="AX133" s="215"/>
      <c r="AY133" s="215"/>
    </row>
    <row r="134">
      <c r="A134" s="77" t="s">
        <v>181</v>
      </c>
      <c r="B134" s="177" t="s">
        <v>3117</v>
      </c>
      <c r="C134" s="77" t="s">
        <v>2992</v>
      </c>
      <c r="D134" s="177" t="s">
        <v>3051</v>
      </c>
      <c r="E134" s="28" t="s">
        <v>1211</v>
      </c>
      <c r="F134" s="175"/>
      <c r="G134" s="175"/>
      <c r="H134" s="175"/>
      <c r="I134" s="175"/>
      <c r="J134" s="175"/>
      <c r="K134" s="175"/>
      <c r="L134" s="175"/>
      <c r="M134" s="175"/>
      <c r="N134" s="175"/>
      <c r="O134" s="175"/>
      <c r="P134" s="175"/>
      <c r="Q134" s="175"/>
      <c r="R134" s="175"/>
      <c r="S134" s="82"/>
      <c r="T134" s="175"/>
      <c r="U134" s="175"/>
      <c r="V134" s="175"/>
      <c r="W134" s="175"/>
      <c r="X134" s="175"/>
      <c r="Y134" s="175"/>
      <c r="Z134" s="215"/>
      <c r="AA134" s="215"/>
      <c r="AB134" s="215"/>
      <c r="AC134" s="215"/>
      <c r="AD134" s="215"/>
      <c r="AE134" s="215"/>
      <c r="AF134" s="215"/>
      <c r="AG134" s="215"/>
      <c r="AH134" s="215"/>
      <c r="AI134" s="215"/>
      <c r="AJ134" s="215"/>
      <c r="AK134" s="215"/>
      <c r="AL134" s="215"/>
      <c r="AM134" s="215"/>
      <c r="AN134" s="215"/>
      <c r="AO134" s="215"/>
      <c r="AP134" s="215"/>
      <c r="AQ134" s="215"/>
      <c r="AR134" s="215"/>
      <c r="AS134" s="215"/>
      <c r="AT134" s="215"/>
      <c r="AU134" s="215"/>
      <c r="AV134" s="215"/>
      <c r="AW134" s="215"/>
      <c r="AX134" s="215"/>
      <c r="AY134" s="215"/>
    </row>
    <row r="135">
      <c r="A135" s="77" t="s">
        <v>181</v>
      </c>
      <c r="B135" s="177" t="s">
        <v>3118</v>
      </c>
      <c r="C135" s="77" t="s">
        <v>2992</v>
      </c>
      <c r="D135" s="177" t="s">
        <v>3051</v>
      </c>
      <c r="E135" s="28" t="s">
        <v>1211</v>
      </c>
      <c r="F135" s="175"/>
      <c r="G135" s="175"/>
      <c r="H135" s="175"/>
      <c r="I135" s="175"/>
      <c r="J135" s="175"/>
      <c r="K135" s="175"/>
      <c r="L135" s="175"/>
      <c r="M135" s="175"/>
      <c r="N135" s="175"/>
      <c r="O135" s="175"/>
      <c r="P135" s="175"/>
      <c r="Q135" s="175"/>
      <c r="R135" s="175"/>
      <c r="S135" s="82"/>
      <c r="T135" s="175"/>
      <c r="U135" s="175"/>
      <c r="V135" s="175"/>
      <c r="W135" s="175"/>
      <c r="X135" s="175"/>
      <c r="Y135" s="175"/>
      <c r="Z135" s="215"/>
      <c r="AA135" s="215"/>
      <c r="AB135" s="215"/>
      <c r="AC135" s="215"/>
      <c r="AD135" s="215"/>
      <c r="AE135" s="215"/>
      <c r="AF135" s="215"/>
      <c r="AG135" s="215"/>
      <c r="AH135" s="215"/>
      <c r="AI135" s="215"/>
      <c r="AJ135" s="215"/>
      <c r="AK135" s="215"/>
      <c r="AL135" s="215"/>
      <c r="AM135" s="215"/>
      <c r="AN135" s="215"/>
      <c r="AO135" s="215"/>
      <c r="AP135" s="215"/>
      <c r="AQ135" s="215"/>
      <c r="AR135" s="215"/>
      <c r="AS135" s="215"/>
      <c r="AT135" s="215"/>
      <c r="AU135" s="215"/>
      <c r="AV135" s="215"/>
      <c r="AW135" s="215"/>
      <c r="AX135" s="215"/>
      <c r="AY135" s="215"/>
    </row>
    <row r="136">
      <c r="A136" s="77" t="s">
        <v>181</v>
      </c>
      <c r="B136" s="177" t="s">
        <v>3119</v>
      </c>
      <c r="C136" s="77" t="s">
        <v>2992</v>
      </c>
      <c r="D136" s="177" t="s">
        <v>3051</v>
      </c>
      <c r="E136" s="28" t="s">
        <v>1211</v>
      </c>
      <c r="F136" s="175"/>
      <c r="G136" s="175"/>
      <c r="H136" s="175"/>
      <c r="I136" s="175"/>
      <c r="J136" s="175"/>
      <c r="K136" s="175"/>
      <c r="L136" s="175"/>
      <c r="M136" s="175"/>
      <c r="N136" s="175"/>
      <c r="O136" s="175"/>
      <c r="P136" s="175"/>
      <c r="Q136" s="175"/>
      <c r="R136" s="175"/>
      <c r="S136" s="82"/>
      <c r="T136" s="175"/>
      <c r="U136" s="175"/>
      <c r="V136" s="175"/>
      <c r="W136" s="175"/>
      <c r="X136" s="175"/>
      <c r="Y136" s="175"/>
      <c r="Z136" s="215"/>
      <c r="AA136" s="215"/>
      <c r="AB136" s="215"/>
      <c r="AC136" s="215"/>
      <c r="AD136" s="215"/>
      <c r="AE136" s="215"/>
      <c r="AF136" s="215"/>
      <c r="AG136" s="215"/>
      <c r="AH136" s="215"/>
      <c r="AI136" s="215"/>
      <c r="AJ136" s="215"/>
      <c r="AK136" s="215"/>
      <c r="AL136" s="215"/>
      <c r="AM136" s="215"/>
      <c r="AN136" s="215"/>
      <c r="AO136" s="215"/>
      <c r="AP136" s="215"/>
      <c r="AQ136" s="215"/>
      <c r="AR136" s="215"/>
      <c r="AS136" s="215"/>
      <c r="AT136" s="215"/>
      <c r="AU136" s="215"/>
      <c r="AV136" s="215"/>
      <c r="AW136" s="215"/>
      <c r="AX136" s="215"/>
      <c r="AY136" s="215"/>
    </row>
    <row r="137">
      <c r="A137" s="77" t="s">
        <v>181</v>
      </c>
      <c r="B137" s="177" t="s">
        <v>3120</v>
      </c>
      <c r="C137" s="77" t="s">
        <v>2992</v>
      </c>
      <c r="D137" s="177" t="s">
        <v>3051</v>
      </c>
      <c r="E137" s="28" t="s">
        <v>1211</v>
      </c>
      <c r="F137" s="175"/>
      <c r="G137" s="175"/>
      <c r="H137" s="175"/>
      <c r="I137" s="175"/>
      <c r="J137" s="175"/>
      <c r="K137" s="175"/>
      <c r="L137" s="175"/>
      <c r="M137" s="175"/>
      <c r="N137" s="175"/>
      <c r="O137" s="175"/>
      <c r="P137" s="175"/>
      <c r="Q137" s="175"/>
      <c r="R137" s="175"/>
      <c r="S137" s="82"/>
      <c r="T137" s="175"/>
      <c r="U137" s="175"/>
      <c r="V137" s="175"/>
      <c r="W137" s="175"/>
      <c r="X137" s="175"/>
      <c r="Y137" s="175"/>
      <c r="Z137" s="215"/>
      <c r="AA137" s="215"/>
      <c r="AB137" s="215"/>
      <c r="AC137" s="215"/>
      <c r="AD137" s="215"/>
      <c r="AE137" s="215"/>
      <c r="AF137" s="215"/>
      <c r="AG137" s="215"/>
      <c r="AH137" s="215"/>
      <c r="AI137" s="215"/>
      <c r="AJ137" s="215"/>
      <c r="AK137" s="215"/>
      <c r="AL137" s="215"/>
      <c r="AM137" s="215"/>
      <c r="AN137" s="215"/>
      <c r="AO137" s="215"/>
      <c r="AP137" s="215"/>
      <c r="AQ137" s="215"/>
      <c r="AR137" s="215"/>
      <c r="AS137" s="215"/>
      <c r="AT137" s="215"/>
      <c r="AU137" s="215"/>
      <c r="AV137" s="215"/>
      <c r="AW137" s="215"/>
      <c r="AX137" s="215"/>
      <c r="AY137" s="215"/>
    </row>
    <row r="138">
      <c r="A138" s="77" t="s">
        <v>181</v>
      </c>
      <c r="B138" s="177" t="s">
        <v>3121</v>
      </c>
      <c r="C138" s="77" t="s">
        <v>2992</v>
      </c>
      <c r="D138" s="177" t="s">
        <v>3051</v>
      </c>
      <c r="E138" s="28" t="s">
        <v>1211</v>
      </c>
      <c r="F138" s="175"/>
      <c r="G138" s="175"/>
      <c r="H138" s="175"/>
      <c r="I138" s="175"/>
      <c r="J138" s="175"/>
      <c r="K138" s="175"/>
      <c r="L138" s="175"/>
      <c r="M138" s="175"/>
      <c r="N138" s="175"/>
      <c r="O138" s="175"/>
      <c r="P138" s="175"/>
      <c r="Q138" s="175"/>
      <c r="R138" s="175"/>
      <c r="S138" s="82"/>
      <c r="T138" s="175"/>
      <c r="U138" s="175"/>
      <c r="V138" s="175"/>
      <c r="W138" s="175"/>
      <c r="X138" s="175"/>
      <c r="Y138" s="175"/>
      <c r="Z138" s="215"/>
      <c r="AA138" s="215"/>
      <c r="AB138" s="215"/>
      <c r="AC138" s="215"/>
      <c r="AD138" s="215"/>
      <c r="AE138" s="215"/>
      <c r="AF138" s="215"/>
      <c r="AG138" s="215"/>
      <c r="AH138" s="215"/>
      <c r="AI138" s="215"/>
      <c r="AJ138" s="215"/>
      <c r="AK138" s="215"/>
      <c r="AL138" s="215"/>
      <c r="AM138" s="215"/>
      <c r="AN138" s="215"/>
      <c r="AO138" s="215"/>
      <c r="AP138" s="215"/>
      <c r="AQ138" s="215"/>
      <c r="AR138" s="215"/>
      <c r="AS138" s="215"/>
      <c r="AT138" s="215"/>
      <c r="AU138" s="215"/>
      <c r="AV138" s="215"/>
      <c r="AW138" s="215"/>
      <c r="AX138" s="215"/>
      <c r="AY138" s="215"/>
    </row>
    <row r="139">
      <c r="A139" s="77" t="s">
        <v>181</v>
      </c>
      <c r="B139" s="77" t="s">
        <v>3122</v>
      </c>
      <c r="C139" s="77" t="s">
        <v>2992</v>
      </c>
      <c r="D139" s="177" t="s">
        <v>3051</v>
      </c>
      <c r="E139" s="28" t="s">
        <v>1211</v>
      </c>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15"/>
      <c r="AH139" s="215"/>
      <c r="AI139" s="215"/>
      <c r="AJ139" s="215"/>
      <c r="AK139" s="215"/>
      <c r="AL139" s="215"/>
      <c r="AM139" s="215"/>
      <c r="AN139" s="215"/>
      <c r="AO139" s="215"/>
      <c r="AP139" s="215"/>
      <c r="AQ139" s="215"/>
      <c r="AR139" s="215"/>
      <c r="AS139" s="215"/>
      <c r="AT139" s="215"/>
      <c r="AU139" s="215"/>
      <c r="AV139" s="215"/>
      <c r="AW139" s="215"/>
      <c r="AX139" s="215"/>
      <c r="AY139" s="215"/>
    </row>
    <row r="140">
      <c r="A140" s="77" t="s">
        <v>181</v>
      </c>
      <c r="B140" s="77" t="s">
        <v>3123</v>
      </c>
      <c r="C140" s="77" t="s">
        <v>2992</v>
      </c>
      <c r="D140" s="177" t="s">
        <v>3051</v>
      </c>
      <c r="E140" s="28" t="s">
        <v>1211</v>
      </c>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15"/>
      <c r="AH140" s="215"/>
      <c r="AI140" s="215"/>
      <c r="AJ140" s="215"/>
      <c r="AK140" s="215"/>
      <c r="AL140" s="215"/>
      <c r="AM140" s="215"/>
      <c r="AN140" s="215"/>
      <c r="AO140" s="215"/>
      <c r="AP140" s="215"/>
      <c r="AQ140" s="215"/>
      <c r="AR140" s="215"/>
      <c r="AS140" s="215"/>
      <c r="AT140" s="215"/>
      <c r="AU140" s="215"/>
      <c r="AV140" s="215"/>
      <c r="AW140" s="215"/>
      <c r="AX140" s="215"/>
      <c r="AY140" s="215"/>
    </row>
    <row r="141">
      <c r="A141" s="77" t="s">
        <v>181</v>
      </c>
      <c r="B141" s="77" t="s">
        <v>3124</v>
      </c>
      <c r="C141" s="77" t="s">
        <v>2992</v>
      </c>
      <c r="D141" s="177" t="s">
        <v>3051</v>
      </c>
      <c r="E141" s="28" t="s">
        <v>1211</v>
      </c>
      <c r="F141" s="215"/>
      <c r="G141" s="215"/>
      <c r="H141" s="215"/>
      <c r="I141" s="215"/>
      <c r="J141" s="215"/>
      <c r="K141" s="215"/>
      <c r="L141" s="215"/>
      <c r="M141" s="215"/>
      <c r="N141" s="215"/>
      <c r="O141" s="215"/>
      <c r="P141" s="215"/>
      <c r="Q141" s="215"/>
      <c r="R141" s="215"/>
      <c r="S141" s="215"/>
      <c r="T141" s="215"/>
      <c r="U141" s="215"/>
      <c r="V141" s="215"/>
      <c r="W141" s="215"/>
      <c r="X141" s="215"/>
      <c r="Y141" s="215"/>
      <c r="Z141" s="215"/>
      <c r="AA141" s="215"/>
      <c r="AB141" s="215"/>
      <c r="AC141" s="215"/>
      <c r="AD141" s="215"/>
      <c r="AE141" s="215"/>
      <c r="AF141" s="215"/>
      <c r="AG141" s="215"/>
      <c r="AH141" s="215"/>
      <c r="AI141" s="215"/>
      <c r="AJ141" s="215"/>
      <c r="AK141" s="215"/>
      <c r="AL141" s="215"/>
      <c r="AM141" s="215"/>
      <c r="AN141" s="215"/>
      <c r="AO141" s="215"/>
      <c r="AP141" s="215"/>
      <c r="AQ141" s="215"/>
      <c r="AR141" s="215"/>
      <c r="AS141" s="215"/>
      <c r="AT141" s="215"/>
      <c r="AU141" s="215"/>
      <c r="AV141" s="215"/>
      <c r="AW141" s="215"/>
      <c r="AX141" s="215"/>
      <c r="AY141" s="215"/>
    </row>
    <row r="142">
      <c r="A142" s="77" t="s">
        <v>181</v>
      </c>
      <c r="B142" s="77" t="s">
        <v>3125</v>
      </c>
      <c r="C142" s="77" t="s">
        <v>2992</v>
      </c>
      <c r="D142" s="177" t="s">
        <v>3051</v>
      </c>
      <c r="E142" s="28" t="s">
        <v>1211</v>
      </c>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215"/>
      <c r="AB142" s="215"/>
      <c r="AC142" s="215"/>
      <c r="AD142" s="215"/>
      <c r="AE142" s="215"/>
      <c r="AF142" s="215"/>
      <c r="AG142" s="215"/>
      <c r="AH142" s="215"/>
      <c r="AI142" s="215"/>
      <c r="AJ142" s="215"/>
      <c r="AK142" s="215"/>
      <c r="AL142" s="215"/>
      <c r="AM142" s="215"/>
      <c r="AN142" s="215"/>
      <c r="AO142" s="215"/>
      <c r="AP142" s="215"/>
      <c r="AQ142" s="215"/>
      <c r="AR142" s="215"/>
      <c r="AS142" s="215"/>
      <c r="AT142" s="215"/>
      <c r="AU142" s="215"/>
      <c r="AV142" s="215"/>
      <c r="AW142" s="215"/>
      <c r="AX142" s="215"/>
      <c r="AY142" s="215"/>
    </row>
    <row r="143">
      <c r="A143" s="77" t="s">
        <v>181</v>
      </c>
      <c r="B143" s="77" t="s">
        <v>3126</v>
      </c>
      <c r="C143" s="77" t="s">
        <v>2992</v>
      </c>
      <c r="D143" s="177" t="s">
        <v>3051</v>
      </c>
      <c r="E143" s="28" t="s">
        <v>1211</v>
      </c>
      <c r="F143" s="215"/>
      <c r="G143" s="215"/>
      <c r="H143" s="215"/>
      <c r="I143" s="215"/>
      <c r="J143" s="215"/>
      <c r="K143" s="215"/>
      <c r="L143" s="215"/>
      <c r="M143" s="215"/>
      <c r="N143" s="215"/>
      <c r="O143" s="215"/>
      <c r="P143" s="215"/>
      <c r="Q143" s="215"/>
      <c r="R143" s="215"/>
      <c r="S143" s="215"/>
      <c r="T143" s="215"/>
      <c r="U143" s="215"/>
      <c r="V143" s="215"/>
      <c r="W143" s="215"/>
      <c r="X143" s="215"/>
      <c r="Y143" s="215"/>
      <c r="Z143" s="215"/>
      <c r="AA143" s="215"/>
      <c r="AB143" s="215"/>
      <c r="AC143" s="215"/>
      <c r="AD143" s="215"/>
      <c r="AE143" s="215"/>
      <c r="AF143" s="215"/>
      <c r="AG143" s="215"/>
      <c r="AH143" s="215"/>
      <c r="AI143" s="215"/>
      <c r="AJ143" s="215"/>
      <c r="AK143" s="215"/>
      <c r="AL143" s="215"/>
      <c r="AM143" s="215"/>
      <c r="AN143" s="215"/>
      <c r="AO143" s="215"/>
      <c r="AP143" s="215"/>
      <c r="AQ143" s="215"/>
      <c r="AR143" s="215"/>
      <c r="AS143" s="215"/>
      <c r="AT143" s="215"/>
      <c r="AU143" s="215"/>
      <c r="AV143" s="215"/>
      <c r="AW143" s="215"/>
      <c r="AX143" s="215"/>
      <c r="AY143" s="215"/>
    </row>
    <row r="144">
      <c r="A144" s="77" t="s">
        <v>181</v>
      </c>
      <c r="B144" s="77" t="s">
        <v>3127</v>
      </c>
      <c r="C144" s="77" t="s">
        <v>2992</v>
      </c>
      <c r="D144" s="177" t="s">
        <v>3051</v>
      </c>
      <c r="E144" s="28" t="s">
        <v>1211</v>
      </c>
      <c r="F144" s="215"/>
      <c r="G144" s="215"/>
      <c r="H144" s="215"/>
      <c r="I144" s="215"/>
      <c r="J144" s="215"/>
      <c r="K144" s="215"/>
      <c r="L144" s="215"/>
      <c r="M144" s="215"/>
      <c r="N144" s="215"/>
      <c r="O144" s="215"/>
      <c r="P144" s="215"/>
      <c r="Q144" s="215"/>
      <c r="R144" s="215"/>
      <c r="S144" s="215"/>
      <c r="T144" s="215"/>
      <c r="U144" s="215"/>
      <c r="V144" s="215"/>
      <c r="W144" s="215"/>
      <c r="X144" s="215"/>
      <c r="Y144" s="215"/>
      <c r="Z144" s="215"/>
      <c r="AA144" s="215"/>
      <c r="AB144" s="215"/>
      <c r="AC144" s="215"/>
      <c r="AD144" s="215"/>
      <c r="AE144" s="215"/>
      <c r="AF144" s="215"/>
      <c r="AG144" s="215"/>
      <c r="AH144" s="215"/>
      <c r="AI144" s="215"/>
      <c r="AJ144" s="215"/>
      <c r="AK144" s="215"/>
      <c r="AL144" s="215"/>
      <c r="AM144" s="215"/>
      <c r="AN144" s="215"/>
      <c r="AO144" s="215"/>
      <c r="AP144" s="215"/>
      <c r="AQ144" s="215"/>
      <c r="AR144" s="215"/>
      <c r="AS144" s="215"/>
      <c r="AT144" s="215"/>
      <c r="AU144" s="215"/>
      <c r="AV144" s="215"/>
      <c r="AW144" s="215"/>
      <c r="AX144" s="215"/>
      <c r="AY144" s="215"/>
    </row>
    <row r="145">
      <c r="A145" s="77" t="s">
        <v>181</v>
      </c>
      <c r="B145" s="77" t="s">
        <v>3128</v>
      </c>
      <c r="C145" s="77" t="s">
        <v>2992</v>
      </c>
      <c r="D145" s="177" t="s">
        <v>3051</v>
      </c>
      <c r="E145" s="28" t="s">
        <v>1211</v>
      </c>
      <c r="F145" s="215"/>
      <c r="G145" s="215"/>
      <c r="H145" s="215"/>
      <c r="I145" s="215"/>
      <c r="J145" s="215"/>
      <c r="K145" s="215"/>
      <c r="L145" s="215"/>
      <c r="M145" s="215"/>
      <c r="N145" s="215"/>
      <c r="O145" s="215"/>
      <c r="P145" s="215"/>
      <c r="Q145" s="215"/>
      <c r="R145" s="215"/>
      <c r="S145" s="215"/>
      <c r="T145" s="215"/>
      <c r="U145" s="215"/>
      <c r="V145" s="215"/>
      <c r="W145" s="215"/>
      <c r="X145" s="215"/>
      <c r="Y145" s="215"/>
      <c r="Z145" s="215"/>
      <c r="AA145" s="215"/>
      <c r="AB145" s="215"/>
      <c r="AC145" s="215"/>
      <c r="AD145" s="215"/>
      <c r="AE145" s="215"/>
      <c r="AF145" s="215"/>
      <c r="AG145" s="215"/>
      <c r="AH145" s="215"/>
      <c r="AI145" s="215"/>
      <c r="AJ145" s="215"/>
      <c r="AK145" s="215"/>
      <c r="AL145" s="215"/>
      <c r="AM145" s="215"/>
      <c r="AN145" s="215"/>
      <c r="AO145" s="215"/>
      <c r="AP145" s="215"/>
      <c r="AQ145" s="215"/>
      <c r="AR145" s="215"/>
      <c r="AS145" s="215"/>
      <c r="AT145" s="215"/>
      <c r="AU145" s="215"/>
      <c r="AV145" s="215"/>
      <c r="AW145" s="215"/>
      <c r="AX145" s="215"/>
      <c r="AY145" s="215"/>
    </row>
    <row r="146">
      <c r="A146" s="77" t="s">
        <v>181</v>
      </c>
      <c r="B146" s="77" t="s">
        <v>3129</v>
      </c>
      <c r="C146" s="77" t="s">
        <v>2992</v>
      </c>
      <c r="D146" s="177" t="s">
        <v>3051</v>
      </c>
      <c r="E146" s="28" t="s">
        <v>1211</v>
      </c>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215"/>
      <c r="AB146" s="215"/>
      <c r="AC146" s="215"/>
      <c r="AD146" s="215"/>
      <c r="AE146" s="215"/>
      <c r="AF146" s="215"/>
      <c r="AG146" s="215"/>
      <c r="AH146" s="215"/>
      <c r="AI146" s="215"/>
      <c r="AJ146" s="215"/>
      <c r="AK146" s="215"/>
      <c r="AL146" s="215"/>
      <c r="AM146" s="215"/>
      <c r="AN146" s="215"/>
      <c r="AO146" s="215"/>
      <c r="AP146" s="215"/>
      <c r="AQ146" s="215"/>
      <c r="AR146" s="215"/>
      <c r="AS146" s="215"/>
      <c r="AT146" s="215"/>
      <c r="AU146" s="215"/>
      <c r="AV146" s="215"/>
      <c r="AW146" s="215"/>
      <c r="AX146" s="215"/>
      <c r="AY146" s="215"/>
    </row>
    <row r="147">
      <c r="A147" s="77" t="s">
        <v>181</v>
      </c>
      <c r="B147" s="77" t="s">
        <v>3130</v>
      </c>
      <c r="C147" s="77" t="s">
        <v>2992</v>
      </c>
      <c r="D147" s="177" t="s">
        <v>3051</v>
      </c>
      <c r="E147" s="28" t="s">
        <v>1211</v>
      </c>
      <c r="F147" s="215"/>
      <c r="G147" s="215"/>
      <c r="H147" s="215"/>
      <c r="I147" s="215"/>
      <c r="J147" s="215"/>
      <c r="K147" s="215"/>
      <c r="L147" s="215"/>
      <c r="M147" s="215"/>
      <c r="N147" s="215"/>
      <c r="O147" s="215"/>
      <c r="P147" s="215"/>
      <c r="Q147" s="215"/>
      <c r="R147" s="215"/>
      <c r="S147" s="215"/>
      <c r="T147" s="215"/>
      <c r="U147" s="215"/>
      <c r="V147" s="215"/>
      <c r="W147" s="215"/>
      <c r="X147" s="215"/>
      <c r="Y147" s="215"/>
      <c r="Z147" s="215"/>
      <c r="AA147" s="215"/>
      <c r="AB147" s="215"/>
      <c r="AC147" s="215"/>
      <c r="AD147" s="215"/>
      <c r="AE147" s="215"/>
      <c r="AF147" s="215"/>
      <c r="AG147" s="215"/>
      <c r="AH147" s="215"/>
      <c r="AI147" s="215"/>
      <c r="AJ147" s="215"/>
      <c r="AK147" s="215"/>
      <c r="AL147" s="215"/>
      <c r="AM147" s="215"/>
      <c r="AN147" s="215"/>
      <c r="AO147" s="215"/>
      <c r="AP147" s="215"/>
      <c r="AQ147" s="215"/>
      <c r="AR147" s="215"/>
      <c r="AS147" s="215"/>
      <c r="AT147" s="215"/>
      <c r="AU147" s="215"/>
      <c r="AV147" s="215"/>
      <c r="AW147" s="215"/>
      <c r="AX147" s="215"/>
      <c r="AY147" s="215"/>
    </row>
    <row r="148">
      <c r="A148" s="77" t="s">
        <v>181</v>
      </c>
      <c r="B148" s="77" t="s">
        <v>3131</v>
      </c>
      <c r="C148" s="77" t="s">
        <v>2992</v>
      </c>
      <c r="D148" s="177" t="s">
        <v>3051</v>
      </c>
      <c r="E148" s="28" t="s">
        <v>1211</v>
      </c>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215"/>
      <c r="AB148" s="215"/>
      <c r="AC148" s="215"/>
      <c r="AD148" s="215"/>
      <c r="AE148" s="215"/>
      <c r="AF148" s="215"/>
      <c r="AG148" s="215"/>
      <c r="AH148" s="215"/>
      <c r="AI148" s="215"/>
      <c r="AJ148" s="215"/>
      <c r="AK148" s="215"/>
      <c r="AL148" s="215"/>
      <c r="AM148" s="215"/>
      <c r="AN148" s="215"/>
      <c r="AO148" s="215"/>
      <c r="AP148" s="215"/>
      <c r="AQ148" s="215"/>
      <c r="AR148" s="215"/>
      <c r="AS148" s="215"/>
      <c r="AT148" s="215"/>
      <c r="AU148" s="215"/>
      <c r="AV148" s="215"/>
      <c r="AW148" s="215"/>
      <c r="AX148" s="215"/>
      <c r="AY148" s="215"/>
    </row>
    <row r="149">
      <c r="A149" s="77" t="s">
        <v>181</v>
      </c>
      <c r="B149" s="77" t="s">
        <v>3132</v>
      </c>
      <c r="C149" s="77" t="s">
        <v>2992</v>
      </c>
      <c r="D149" s="177" t="s">
        <v>3051</v>
      </c>
      <c r="E149" s="28" t="s">
        <v>1211</v>
      </c>
      <c r="F149" s="215"/>
      <c r="G149" s="215"/>
      <c r="H149" s="215"/>
      <c r="I149" s="215"/>
      <c r="J149" s="215"/>
      <c r="K149" s="215"/>
      <c r="L149" s="215"/>
      <c r="M149" s="215"/>
      <c r="N149" s="215"/>
      <c r="O149" s="215"/>
      <c r="P149" s="215"/>
      <c r="Q149" s="215"/>
      <c r="R149" s="215"/>
      <c r="S149" s="215"/>
      <c r="T149" s="215"/>
      <c r="U149" s="215"/>
      <c r="V149" s="215"/>
      <c r="W149" s="215"/>
      <c r="X149" s="215"/>
      <c r="Y149" s="215"/>
      <c r="Z149" s="215"/>
      <c r="AA149" s="215"/>
      <c r="AB149" s="215"/>
      <c r="AC149" s="215"/>
      <c r="AD149" s="215"/>
      <c r="AE149" s="215"/>
      <c r="AF149" s="215"/>
      <c r="AG149" s="215"/>
      <c r="AH149" s="215"/>
      <c r="AI149" s="215"/>
      <c r="AJ149" s="215"/>
      <c r="AK149" s="215"/>
      <c r="AL149" s="215"/>
      <c r="AM149" s="215"/>
      <c r="AN149" s="215"/>
      <c r="AO149" s="215"/>
      <c r="AP149" s="215"/>
      <c r="AQ149" s="215"/>
      <c r="AR149" s="215"/>
      <c r="AS149" s="215"/>
      <c r="AT149" s="215"/>
      <c r="AU149" s="215"/>
      <c r="AV149" s="215"/>
      <c r="AW149" s="215"/>
      <c r="AX149" s="215"/>
      <c r="AY149" s="215"/>
    </row>
    <row r="150">
      <c r="A150" s="77" t="s">
        <v>181</v>
      </c>
      <c r="B150" s="77" t="s">
        <v>3133</v>
      </c>
      <c r="C150" s="77" t="s">
        <v>2992</v>
      </c>
      <c r="D150" s="177" t="s">
        <v>3051</v>
      </c>
      <c r="E150" s="28" t="s">
        <v>1211</v>
      </c>
      <c r="F150" s="215"/>
      <c r="G150" s="215"/>
      <c r="H150" s="215"/>
      <c r="I150" s="215"/>
      <c r="J150" s="215"/>
      <c r="K150" s="215"/>
      <c r="L150" s="215"/>
      <c r="M150" s="215"/>
      <c r="N150" s="215"/>
      <c r="O150" s="215"/>
      <c r="P150" s="215"/>
      <c r="Q150" s="215"/>
      <c r="R150" s="215"/>
      <c r="S150" s="215"/>
      <c r="T150" s="215"/>
      <c r="U150" s="215"/>
      <c r="V150" s="215"/>
      <c r="W150" s="215"/>
      <c r="X150" s="215"/>
      <c r="Y150" s="215"/>
      <c r="Z150" s="215"/>
      <c r="AA150" s="215"/>
      <c r="AB150" s="215"/>
      <c r="AC150" s="215"/>
      <c r="AD150" s="215"/>
      <c r="AE150" s="215"/>
      <c r="AF150" s="215"/>
      <c r="AG150" s="215"/>
      <c r="AH150" s="215"/>
      <c r="AI150" s="215"/>
      <c r="AJ150" s="215"/>
      <c r="AK150" s="215"/>
      <c r="AL150" s="215"/>
      <c r="AM150" s="215"/>
      <c r="AN150" s="215"/>
      <c r="AO150" s="215"/>
      <c r="AP150" s="215"/>
      <c r="AQ150" s="215"/>
      <c r="AR150" s="215"/>
      <c r="AS150" s="215"/>
      <c r="AT150" s="215"/>
      <c r="AU150" s="215"/>
      <c r="AV150" s="215"/>
      <c r="AW150" s="215"/>
      <c r="AX150" s="215"/>
      <c r="AY150" s="215"/>
    </row>
    <row r="151">
      <c r="A151" s="77" t="s">
        <v>181</v>
      </c>
      <c r="B151" s="77" t="s">
        <v>3134</v>
      </c>
      <c r="C151" s="77" t="s">
        <v>2992</v>
      </c>
      <c r="D151" s="177" t="s">
        <v>3051</v>
      </c>
      <c r="E151" s="28" t="s">
        <v>1211</v>
      </c>
      <c r="F151" s="215"/>
      <c r="G151" s="215"/>
      <c r="H151" s="215"/>
      <c r="I151" s="215"/>
      <c r="J151" s="215"/>
      <c r="K151" s="215"/>
      <c r="L151" s="215"/>
      <c r="M151" s="215"/>
      <c r="N151" s="215"/>
      <c r="O151" s="215"/>
      <c r="P151" s="215"/>
      <c r="Q151" s="215"/>
      <c r="R151" s="215"/>
      <c r="S151" s="215"/>
      <c r="T151" s="215"/>
      <c r="U151" s="215"/>
      <c r="V151" s="215"/>
      <c r="W151" s="215"/>
      <c r="X151" s="215"/>
      <c r="Y151" s="215"/>
      <c r="Z151" s="215"/>
      <c r="AA151" s="215"/>
      <c r="AB151" s="215"/>
      <c r="AC151" s="215"/>
      <c r="AD151" s="215"/>
      <c r="AE151" s="215"/>
      <c r="AF151" s="215"/>
      <c r="AG151" s="215"/>
      <c r="AH151" s="215"/>
      <c r="AI151" s="215"/>
      <c r="AJ151" s="215"/>
      <c r="AK151" s="215"/>
      <c r="AL151" s="215"/>
      <c r="AM151" s="215"/>
      <c r="AN151" s="215"/>
      <c r="AO151" s="215"/>
      <c r="AP151" s="215"/>
      <c r="AQ151" s="215"/>
      <c r="AR151" s="215"/>
      <c r="AS151" s="215"/>
      <c r="AT151" s="215"/>
      <c r="AU151" s="215"/>
      <c r="AV151" s="215"/>
      <c r="AW151" s="215"/>
      <c r="AX151" s="215"/>
      <c r="AY151" s="215"/>
    </row>
    <row r="152">
      <c r="A152" s="77" t="s">
        <v>181</v>
      </c>
      <c r="B152" s="77" t="s">
        <v>3135</v>
      </c>
      <c r="C152" s="77" t="s">
        <v>2992</v>
      </c>
      <c r="D152" s="177" t="s">
        <v>3051</v>
      </c>
      <c r="E152" s="28" t="s">
        <v>1211</v>
      </c>
      <c r="F152" s="215"/>
      <c r="G152" s="215"/>
      <c r="H152" s="215"/>
      <c r="I152" s="215"/>
      <c r="J152" s="215"/>
      <c r="K152" s="215"/>
      <c r="L152" s="215"/>
      <c r="M152" s="215"/>
      <c r="N152" s="215"/>
      <c r="O152" s="215"/>
      <c r="P152" s="215"/>
      <c r="Q152" s="215"/>
      <c r="R152" s="215"/>
      <c r="S152" s="215"/>
      <c r="T152" s="215"/>
      <c r="U152" s="215"/>
      <c r="V152" s="215"/>
      <c r="W152" s="215"/>
      <c r="X152" s="215"/>
      <c r="Y152" s="215"/>
      <c r="Z152" s="215"/>
      <c r="AA152" s="215"/>
      <c r="AB152" s="215"/>
      <c r="AC152" s="215"/>
      <c r="AD152" s="215"/>
      <c r="AE152" s="215"/>
      <c r="AF152" s="215"/>
      <c r="AG152" s="215"/>
      <c r="AH152" s="215"/>
      <c r="AI152" s="215"/>
      <c r="AJ152" s="215"/>
      <c r="AK152" s="215"/>
      <c r="AL152" s="215"/>
      <c r="AM152" s="215"/>
      <c r="AN152" s="215"/>
      <c r="AO152" s="215"/>
      <c r="AP152" s="215"/>
      <c r="AQ152" s="215"/>
      <c r="AR152" s="215"/>
      <c r="AS152" s="215"/>
      <c r="AT152" s="215"/>
      <c r="AU152" s="215"/>
      <c r="AV152" s="215"/>
      <c r="AW152" s="215"/>
      <c r="AX152" s="215"/>
      <c r="AY152" s="215"/>
    </row>
    <row r="153">
      <c r="A153" s="77" t="s">
        <v>181</v>
      </c>
      <c r="B153" s="77" t="s">
        <v>3136</v>
      </c>
      <c r="C153" s="77" t="s">
        <v>2992</v>
      </c>
      <c r="D153" s="177" t="s">
        <v>3051</v>
      </c>
      <c r="E153" s="28" t="s">
        <v>1211</v>
      </c>
      <c r="F153" s="215"/>
      <c r="G153" s="215"/>
      <c r="H153" s="215"/>
      <c r="I153" s="215"/>
      <c r="J153" s="215"/>
      <c r="K153" s="215"/>
      <c r="L153" s="215"/>
      <c r="M153" s="215"/>
      <c r="N153" s="215"/>
      <c r="O153" s="215"/>
      <c r="P153" s="215"/>
      <c r="Q153" s="215"/>
      <c r="R153" s="215"/>
      <c r="S153" s="215"/>
      <c r="T153" s="215"/>
      <c r="U153" s="215"/>
      <c r="V153" s="215"/>
      <c r="W153" s="215"/>
      <c r="X153" s="215"/>
      <c r="Y153" s="215"/>
      <c r="Z153" s="215"/>
      <c r="AA153" s="215"/>
      <c r="AB153" s="215"/>
      <c r="AC153" s="215"/>
      <c r="AD153" s="215"/>
      <c r="AE153" s="215"/>
      <c r="AF153" s="215"/>
      <c r="AG153" s="215"/>
      <c r="AH153" s="215"/>
      <c r="AI153" s="215"/>
      <c r="AJ153" s="215"/>
      <c r="AK153" s="215"/>
      <c r="AL153" s="215"/>
      <c r="AM153" s="215"/>
      <c r="AN153" s="215"/>
      <c r="AO153" s="215"/>
      <c r="AP153" s="215"/>
      <c r="AQ153" s="215"/>
      <c r="AR153" s="215"/>
      <c r="AS153" s="215"/>
      <c r="AT153" s="215"/>
      <c r="AU153" s="215"/>
      <c r="AV153" s="215"/>
      <c r="AW153" s="215"/>
      <c r="AX153" s="215"/>
      <c r="AY153" s="215"/>
    </row>
    <row r="154">
      <c r="A154" s="77" t="s">
        <v>181</v>
      </c>
      <c r="B154" s="77" t="s">
        <v>3137</v>
      </c>
      <c r="C154" s="77" t="s">
        <v>2992</v>
      </c>
      <c r="D154" s="177" t="s">
        <v>3051</v>
      </c>
      <c r="E154" s="28" t="s">
        <v>1211</v>
      </c>
      <c r="F154" s="215"/>
      <c r="G154" s="215"/>
      <c r="H154" s="215"/>
      <c r="I154" s="215"/>
      <c r="J154" s="215"/>
      <c r="K154" s="215"/>
      <c r="L154" s="215"/>
      <c r="M154" s="215"/>
      <c r="N154" s="215"/>
      <c r="O154" s="215"/>
      <c r="P154" s="215"/>
      <c r="Q154" s="215"/>
      <c r="R154" s="215"/>
      <c r="S154" s="215"/>
      <c r="T154" s="215"/>
      <c r="U154" s="215"/>
      <c r="V154" s="215"/>
      <c r="W154" s="215"/>
      <c r="X154" s="215"/>
      <c r="Y154" s="215"/>
      <c r="Z154" s="215"/>
      <c r="AA154" s="215"/>
      <c r="AB154" s="215"/>
      <c r="AC154" s="215"/>
      <c r="AD154" s="215"/>
      <c r="AE154" s="215"/>
      <c r="AF154" s="215"/>
      <c r="AG154" s="215"/>
      <c r="AH154" s="215"/>
      <c r="AI154" s="215"/>
      <c r="AJ154" s="215"/>
      <c r="AK154" s="215"/>
      <c r="AL154" s="215"/>
      <c r="AM154" s="215"/>
      <c r="AN154" s="215"/>
      <c r="AO154" s="215"/>
      <c r="AP154" s="215"/>
      <c r="AQ154" s="215"/>
      <c r="AR154" s="215"/>
      <c r="AS154" s="215"/>
      <c r="AT154" s="215"/>
      <c r="AU154" s="215"/>
      <c r="AV154" s="215"/>
      <c r="AW154" s="215"/>
      <c r="AX154" s="215"/>
      <c r="AY154" s="215"/>
    </row>
    <row r="155">
      <c r="A155" s="77" t="s">
        <v>181</v>
      </c>
      <c r="B155" s="77" t="s">
        <v>3138</v>
      </c>
      <c r="C155" s="77" t="s">
        <v>2992</v>
      </c>
      <c r="D155" s="177" t="s">
        <v>3051</v>
      </c>
      <c r="E155" s="28" t="s">
        <v>1211</v>
      </c>
      <c r="F155" s="215"/>
      <c r="G155" s="215"/>
      <c r="H155" s="215"/>
      <c r="I155" s="215"/>
      <c r="J155" s="215"/>
      <c r="K155" s="215"/>
      <c r="L155" s="215"/>
      <c r="M155" s="215"/>
      <c r="N155" s="215"/>
      <c r="O155" s="215"/>
      <c r="P155" s="215"/>
      <c r="Q155" s="215"/>
      <c r="R155" s="215"/>
      <c r="S155" s="215"/>
      <c r="T155" s="215"/>
      <c r="U155" s="215"/>
      <c r="V155" s="215"/>
      <c r="W155" s="215"/>
      <c r="X155" s="215"/>
      <c r="Y155" s="215"/>
      <c r="Z155" s="215"/>
      <c r="AA155" s="215"/>
      <c r="AB155" s="215"/>
      <c r="AC155" s="215"/>
      <c r="AD155" s="215"/>
      <c r="AE155" s="215"/>
      <c r="AF155" s="215"/>
      <c r="AG155" s="215"/>
      <c r="AH155" s="215"/>
      <c r="AI155" s="215"/>
      <c r="AJ155" s="215"/>
      <c r="AK155" s="215"/>
      <c r="AL155" s="215"/>
      <c r="AM155" s="215"/>
      <c r="AN155" s="215"/>
      <c r="AO155" s="215"/>
      <c r="AP155" s="215"/>
      <c r="AQ155" s="215"/>
      <c r="AR155" s="215"/>
      <c r="AS155" s="215"/>
      <c r="AT155" s="215"/>
      <c r="AU155" s="215"/>
      <c r="AV155" s="215"/>
      <c r="AW155" s="215"/>
      <c r="AX155" s="215"/>
      <c r="AY155" s="215"/>
    </row>
    <row r="156">
      <c r="A156" s="77" t="s">
        <v>181</v>
      </c>
      <c r="B156" s="77" t="s">
        <v>3139</v>
      </c>
      <c r="C156" s="77" t="s">
        <v>2992</v>
      </c>
      <c r="D156" s="177" t="s">
        <v>3051</v>
      </c>
      <c r="E156" s="28" t="s">
        <v>1211</v>
      </c>
      <c r="F156" s="215"/>
      <c r="G156" s="215"/>
      <c r="H156" s="215"/>
      <c r="I156" s="215"/>
      <c r="J156" s="215"/>
      <c r="K156" s="215"/>
      <c r="L156" s="215"/>
      <c r="M156" s="215"/>
      <c r="N156" s="215"/>
      <c r="O156" s="215"/>
      <c r="P156" s="215"/>
      <c r="Q156" s="215"/>
      <c r="R156" s="215"/>
      <c r="S156" s="215"/>
      <c r="T156" s="215"/>
      <c r="U156" s="215"/>
      <c r="V156" s="215"/>
      <c r="W156" s="215"/>
      <c r="X156" s="215"/>
      <c r="Y156" s="215"/>
      <c r="Z156" s="215"/>
      <c r="AA156" s="215"/>
      <c r="AB156" s="215"/>
      <c r="AC156" s="215"/>
      <c r="AD156" s="215"/>
      <c r="AE156" s="215"/>
      <c r="AF156" s="215"/>
      <c r="AG156" s="215"/>
      <c r="AH156" s="215"/>
      <c r="AI156" s="215"/>
      <c r="AJ156" s="215"/>
      <c r="AK156" s="215"/>
      <c r="AL156" s="215"/>
      <c r="AM156" s="215"/>
      <c r="AN156" s="215"/>
      <c r="AO156" s="215"/>
      <c r="AP156" s="215"/>
      <c r="AQ156" s="215"/>
      <c r="AR156" s="215"/>
      <c r="AS156" s="215"/>
      <c r="AT156" s="215"/>
      <c r="AU156" s="215"/>
      <c r="AV156" s="215"/>
      <c r="AW156" s="215"/>
      <c r="AX156" s="215"/>
      <c r="AY156" s="215"/>
    </row>
    <row r="157">
      <c r="A157" s="77" t="s">
        <v>181</v>
      </c>
      <c r="B157" s="77" t="s">
        <v>3140</v>
      </c>
      <c r="C157" s="77" t="s">
        <v>2992</v>
      </c>
      <c r="D157" s="177" t="s">
        <v>3051</v>
      </c>
      <c r="E157" s="28" t="s">
        <v>1211</v>
      </c>
      <c r="F157" s="215"/>
      <c r="G157" s="215"/>
      <c r="H157" s="215"/>
      <c r="I157" s="215"/>
      <c r="J157" s="215"/>
      <c r="K157" s="215"/>
      <c r="L157" s="215"/>
      <c r="M157" s="215"/>
      <c r="N157" s="215"/>
      <c r="O157" s="215"/>
      <c r="P157" s="215"/>
      <c r="Q157" s="215"/>
      <c r="R157" s="215"/>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215"/>
      <c r="AN157" s="215"/>
      <c r="AO157" s="215"/>
      <c r="AP157" s="215"/>
      <c r="AQ157" s="215"/>
      <c r="AR157" s="215"/>
      <c r="AS157" s="215"/>
      <c r="AT157" s="215"/>
      <c r="AU157" s="215"/>
      <c r="AV157" s="215"/>
      <c r="AW157" s="215"/>
      <c r="AX157" s="215"/>
      <c r="AY157" s="215"/>
    </row>
    <row r="158">
      <c r="A158" s="77" t="s">
        <v>181</v>
      </c>
      <c r="B158" s="77" t="s">
        <v>3141</v>
      </c>
      <c r="C158" s="77" t="s">
        <v>2992</v>
      </c>
      <c r="D158" s="177" t="s">
        <v>3051</v>
      </c>
      <c r="E158" s="28" t="s">
        <v>1211</v>
      </c>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215"/>
      <c r="AB158" s="215"/>
      <c r="AC158" s="215"/>
      <c r="AD158" s="215"/>
      <c r="AE158" s="215"/>
      <c r="AF158" s="215"/>
      <c r="AG158" s="215"/>
      <c r="AH158" s="215"/>
      <c r="AI158" s="215"/>
      <c r="AJ158" s="215"/>
      <c r="AK158" s="215"/>
      <c r="AL158" s="215"/>
      <c r="AM158" s="215"/>
      <c r="AN158" s="215"/>
      <c r="AO158" s="215"/>
      <c r="AP158" s="215"/>
      <c r="AQ158" s="215"/>
      <c r="AR158" s="215"/>
      <c r="AS158" s="215"/>
      <c r="AT158" s="215"/>
      <c r="AU158" s="215"/>
      <c r="AV158" s="215"/>
      <c r="AW158" s="215"/>
      <c r="AX158" s="215"/>
      <c r="AY158" s="215"/>
    </row>
    <row r="159">
      <c r="A159" s="77" t="s">
        <v>181</v>
      </c>
      <c r="B159" s="77" t="s">
        <v>3142</v>
      </c>
      <c r="C159" s="77" t="s">
        <v>2992</v>
      </c>
      <c r="D159" s="177" t="s">
        <v>3051</v>
      </c>
      <c r="E159" s="28" t="s">
        <v>1211</v>
      </c>
      <c r="F159" s="215"/>
      <c r="G159" s="215"/>
      <c r="H159" s="215"/>
      <c r="I159" s="215"/>
      <c r="J159" s="215"/>
      <c r="K159" s="215"/>
      <c r="L159" s="215"/>
      <c r="M159" s="215"/>
      <c r="N159" s="215"/>
      <c r="O159" s="215"/>
      <c r="P159" s="215"/>
      <c r="Q159" s="215"/>
      <c r="R159" s="215"/>
      <c r="S159" s="215"/>
      <c r="T159" s="215"/>
      <c r="U159" s="215"/>
      <c r="V159" s="215"/>
      <c r="W159" s="215"/>
      <c r="X159" s="215"/>
      <c r="Y159" s="215"/>
      <c r="Z159" s="215"/>
      <c r="AA159" s="215"/>
      <c r="AB159" s="215"/>
      <c r="AC159" s="215"/>
      <c r="AD159" s="215"/>
      <c r="AE159" s="215"/>
      <c r="AF159" s="215"/>
      <c r="AG159" s="215"/>
      <c r="AH159" s="215"/>
      <c r="AI159" s="215"/>
      <c r="AJ159" s="215"/>
      <c r="AK159" s="215"/>
      <c r="AL159" s="215"/>
      <c r="AM159" s="215"/>
      <c r="AN159" s="215"/>
      <c r="AO159" s="215"/>
      <c r="AP159" s="215"/>
      <c r="AQ159" s="215"/>
      <c r="AR159" s="215"/>
      <c r="AS159" s="215"/>
      <c r="AT159" s="215"/>
      <c r="AU159" s="215"/>
      <c r="AV159" s="215"/>
      <c r="AW159" s="215"/>
      <c r="AX159" s="215"/>
      <c r="AY159" s="215"/>
    </row>
    <row r="160">
      <c r="A160" s="77" t="s">
        <v>181</v>
      </c>
      <c r="B160" s="77" t="s">
        <v>3143</v>
      </c>
      <c r="C160" s="77" t="s">
        <v>2992</v>
      </c>
      <c r="D160" s="177" t="s">
        <v>3051</v>
      </c>
      <c r="E160" s="28" t="s">
        <v>1211</v>
      </c>
      <c r="F160" s="215"/>
      <c r="G160" s="215"/>
      <c r="H160" s="215"/>
      <c r="I160" s="215"/>
      <c r="J160" s="215"/>
      <c r="K160" s="215"/>
      <c r="L160" s="215"/>
      <c r="M160" s="215"/>
      <c r="N160" s="215"/>
      <c r="O160" s="215"/>
      <c r="P160" s="215"/>
      <c r="Q160" s="215"/>
      <c r="R160" s="215"/>
      <c r="S160" s="215"/>
      <c r="T160" s="215"/>
      <c r="U160" s="215"/>
      <c r="V160" s="215"/>
      <c r="W160" s="215"/>
      <c r="X160" s="215"/>
      <c r="Y160" s="215"/>
      <c r="Z160" s="215"/>
      <c r="AA160" s="215"/>
      <c r="AB160" s="215"/>
      <c r="AC160" s="215"/>
      <c r="AD160" s="215"/>
      <c r="AE160" s="215"/>
      <c r="AF160" s="215"/>
      <c r="AG160" s="215"/>
      <c r="AH160" s="215"/>
      <c r="AI160" s="215"/>
      <c r="AJ160" s="215"/>
      <c r="AK160" s="215"/>
      <c r="AL160" s="215"/>
      <c r="AM160" s="215"/>
      <c r="AN160" s="215"/>
      <c r="AO160" s="215"/>
      <c r="AP160" s="215"/>
      <c r="AQ160" s="215"/>
      <c r="AR160" s="215"/>
      <c r="AS160" s="215"/>
      <c r="AT160" s="215"/>
      <c r="AU160" s="215"/>
      <c r="AV160" s="215"/>
      <c r="AW160" s="215"/>
      <c r="AX160" s="215"/>
      <c r="AY160" s="215"/>
    </row>
    <row r="161">
      <c r="A161" s="77" t="s">
        <v>181</v>
      </c>
      <c r="B161" s="77" t="s">
        <v>3144</v>
      </c>
      <c r="C161" s="77" t="s">
        <v>2992</v>
      </c>
      <c r="D161" s="177" t="s">
        <v>3051</v>
      </c>
      <c r="E161" s="28" t="s">
        <v>1211</v>
      </c>
      <c r="F161" s="215"/>
      <c r="G161" s="215"/>
      <c r="H161" s="215"/>
      <c r="I161" s="215"/>
      <c r="J161" s="215"/>
      <c r="K161" s="215"/>
      <c r="L161" s="215"/>
      <c r="M161" s="215"/>
      <c r="N161" s="215"/>
      <c r="O161" s="215"/>
      <c r="P161" s="215"/>
      <c r="Q161" s="215"/>
      <c r="R161" s="215"/>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215"/>
      <c r="AN161" s="215"/>
      <c r="AO161" s="215"/>
      <c r="AP161" s="215"/>
      <c r="AQ161" s="215"/>
      <c r="AR161" s="215"/>
      <c r="AS161" s="215"/>
      <c r="AT161" s="215"/>
      <c r="AU161" s="215"/>
      <c r="AV161" s="215"/>
      <c r="AW161" s="215"/>
      <c r="AX161" s="215"/>
      <c r="AY161" s="215"/>
    </row>
    <row r="162">
      <c r="A162" s="77" t="s">
        <v>181</v>
      </c>
      <c r="B162" s="77" t="s">
        <v>408</v>
      </c>
      <c r="C162" s="77" t="s">
        <v>2999</v>
      </c>
      <c r="D162" s="77" t="s">
        <v>3076</v>
      </c>
      <c r="E162" s="28" t="s">
        <v>1211</v>
      </c>
      <c r="F162" s="215"/>
      <c r="G162" s="215"/>
      <c r="H162" s="215"/>
      <c r="I162" s="215"/>
      <c r="J162" s="215"/>
      <c r="K162" s="215"/>
      <c r="L162" s="215"/>
      <c r="M162" s="215"/>
      <c r="N162" s="215"/>
      <c r="O162" s="215"/>
      <c r="P162" s="215"/>
      <c r="Q162" s="215"/>
      <c r="R162" s="215"/>
      <c r="S162" s="215"/>
      <c r="T162" s="215"/>
      <c r="U162" s="215"/>
      <c r="V162" s="215"/>
      <c r="W162" s="215"/>
      <c r="X162" s="215"/>
      <c r="Y162" s="215"/>
      <c r="Z162" s="215"/>
      <c r="AA162" s="215"/>
      <c r="AB162" s="215"/>
      <c r="AC162" s="215"/>
      <c r="AD162" s="215"/>
      <c r="AE162" s="215"/>
      <c r="AF162" s="215"/>
      <c r="AG162" s="215"/>
      <c r="AH162" s="215"/>
      <c r="AI162" s="215"/>
      <c r="AJ162" s="215"/>
      <c r="AK162" s="215"/>
      <c r="AL162" s="215"/>
      <c r="AM162" s="215"/>
      <c r="AN162" s="215"/>
      <c r="AO162" s="215"/>
      <c r="AP162" s="215"/>
      <c r="AQ162" s="215"/>
      <c r="AR162" s="215"/>
      <c r="AS162" s="215"/>
      <c r="AT162" s="215"/>
      <c r="AU162" s="215"/>
      <c r="AV162" s="215"/>
      <c r="AW162" s="215"/>
      <c r="AX162" s="215"/>
      <c r="AY162" s="215"/>
    </row>
    <row r="163">
      <c r="A163" s="77" t="s">
        <v>181</v>
      </c>
      <c r="B163" s="77" t="s">
        <v>3145</v>
      </c>
      <c r="C163" s="77" t="s">
        <v>2992</v>
      </c>
      <c r="D163" s="177" t="s">
        <v>3051</v>
      </c>
      <c r="E163" s="28" t="s">
        <v>1211</v>
      </c>
      <c r="F163" s="215"/>
      <c r="G163" s="215"/>
      <c r="H163" s="215"/>
      <c r="I163" s="215"/>
      <c r="J163" s="215"/>
      <c r="K163" s="215"/>
      <c r="L163" s="215"/>
      <c r="M163" s="215"/>
      <c r="N163" s="215"/>
      <c r="O163" s="215"/>
      <c r="P163" s="215"/>
      <c r="Q163" s="215"/>
      <c r="R163" s="215"/>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215"/>
      <c r="AN163" s="215"/>
      <c r="AO163" s="215"/>
      <c r="AP163" s="215"/>
      <c r="AQ163" s="215"/>
      <c r="AR163" s="215"/>
      <c r="AS163" s="215"/>
      <c r="AT163" s="215"/>
      <c r="AU163" s="215"/>
      <c r="AV163" s="215"/>
      <c r="AW163" s="215"/>
      <c r="AX163" s="215"/>
      <c r="AY163" s="215"/>
    </row>
    <row r="164">
      <c r="A164" s="77" t="s">
        <v>181</v>
      </c>
      <c r="B164" s="77" t="s">
        <v>3146</v>
      </c>
      <c r="C164" s="77" t="s">
        <v>2992</v>
      </c>
      <c r="D164" s="177" t="s">
        <v>3051</v>
      </c>
      <c r="E164" s="28" t="s">
        <v>1211</v>
      </c>
      <c r="F164" s="215"/>
      <c r="G164" s="215"/>
      <c r="H164" s="215"/>
      <c r="I164" s="215"/>
      <c r="J164" s="215"/>
      <c r="K164" s="215"/>
      <c r="L164" s="215"/>
      <c r="M164" s="215"/>
      <c r="N164" s="215"/>
      <c r="O164" s="215"/>
      <c r="P164" s="215"/>
      <c r="Q164" s="215"/>
      <c r="R164" s="215"/>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215"/>
      <c r="AN164" s="215"/>
      <c r="AO164" s="215"/>
      <c r="AP164" s="215"/>
      <c r="AQ164" s="215"/>
      <c r="AR164" s="215"/>
      <c r="AS164" s="215"/>
      <c r="AT164" s="215"/>
      <c r="AU164" s="215"/>
      <c r="AV164" s="215"/>
      <c r="AW164" s="215"/>
      <c r="AX164" s="215"/>
      <c r="AY164" s="215"/>
    </row>
    <row r="165">
      <c r="A165" s="77" t="s">
        <v>181</v>
      </c>
      <c r="B165" s="77" t="s">
        <v>3147</v>
      </c>
      <c r="C165" s="77" t="s">
        <v>2992</v>
      </c>
      <c r="D165" s="177" t="s">
        <v>3051</v>
      </c>
      <c r="E165" s="28" t="s">
        <v>1211</v>
      </c>
      <c r="F165" s="215"/>
      <c r="G165" s="215"/>
      <c r="H165" s="215"/>
      <c r="I165" s="215"/>
      <c r="J165" s="215"/>
      <c r="K165" s="215"/>
      <c r="L165" s="215"/>
      <c r="M165" s="215"/>
      <c r="N165" s="215"/>
      <c r="O165" s="215"/>
      <c r="P165" s="215"/>
      <c r="Q165" s="215"/>
      <c r="R165" s="215"/>
      <c r="S165" s="215"/>
      <c r="T165" s="215"/>
      <c r="U165" s="215"/>
      <c r="V165" s="215"/>
      <c r="W165" s="215"/>
      <c r="X165" s="215"/>
      <c r="Y165" s="215"/>
      <c r="Z165" s="215"/>
      <c r="AA165" s="215"/>
      <c r="AB165" s="215"/>
      <c r="AC165" s="215"/>
      <c r="AD165" s="215"/>
      <c r="AE165" s="215"/>
      <c r="AF165" s="215"/>
      <c r="AG165" s="215"/>
      <c r="AH165" s="215"/>
      <c r="AI165" s="215"/>
      <c r="AJ165" s="215"/>
      <c r="AK165" s="215"/>
      <c r="AL165" s="215"/>
      <c r="AM165" s="215"/>
      <c r="AN165" s="215"/>
      <c r="AO165" s="215"/>
      <c r="AP165" s="215"/>
      <c r="AQ165" s="215"/>
      <c r="AR165" s="215"/>
      <c r="AS165" s="215"/>
      <c r="AT165" s="215"/>
      <c r="AU165" s="215"/>
      <c r="AV165" s="215"/>
      <c r="AW165" s="215"/>
      <c r="AX165" s="215"/>
      <c r="AY165" s="215"/>
    </row>
    <row r="166">
      <c r="A166" s="77" t="s">
        <v>181</v>
      </c>
      <c r="B166" s="77" t="s">
        <v>3148</v>
      </c>
      <c r="C166" s="77" t="s">
        <v>2992</v>
      </c>
      <c r="D166" s="177" t="s">
        <v>3051</v>
      </c>
      <c r="E166" s="28" t="s">
        <v>1211</v>
      </c>
      <c r="F166" s="215"/>
      <c r="G166" s="215"/>
      <c r="H166" s="215"/>
      <c r="I166" s="215"/>
      <c r="J166" s="215"/>
      <c r="K166" s="215"/>
      <c r="L166" s="215"/>
      <c r="M166" s="215"/>
      <c r="N166" s="215"/>
      <c r="O166" s="215"/>
      <c r="P166" s="215"/>
      <c r="Q166" s="215"/>
      <c r="R166" s="215"/>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215"/>
      <c r="AN166" s="215"/>
      <c r="AO166" s="215"/>
      <c r="AP166" s="215"/>
      <c r="AQ166" s="215"/>
      <c r="AR166" s="215"/>
      <c r="AS166" s="215"/>
      <c r="AT166" s="215"/>
      <c r="AU166" s="215"/>
      <c r="AV166" s="215"/>
      <c r="AW166" s="215"/>
      <c r="AX166" s="215"/>
      <c r="AY166" s="215"/>
    </row>
    <row r="167">
      <c r="A167" s="77" t="s">
        <v>181</v>
      </c>
      <c r="B167" s="77" t="s">
        <v>3149</v>
      </c>
      <c r="C167" s="77" t="s">
        <v>2992</v>
      </c>
      <c r="D167" s="177" t="s">
        <v>3051</v>
      </c>
      <c r="E167" s="28" t="s">
        <v>1211</v>
      </c>
      <c r="F167" s="215"/>
      <c r="G167" s="215"/>
      <c r="H167" s="215"/>
      <c r="I167" s="215"/>
      <c r="J167" s="215"/>
      <c r="K167" s="215"/>
      <c r="L167" s="215"/>
      <c r="M167" s="215"/>
      <c r="N167" s="215"/>
      <c r="O167" s="215"/>
      <c r="P167" s="215"/>
      <c r="Q167" s="215"/>
      <c r="R167" s="215"/>
      <c r="S167" s="215"/>
      <c r="T167" s="215"/>
      <c r="U167" s="215"/>
      <c r="V167" s="215"/>
      <c r="W167" s="215"/>
      <c r="X167" s="215"/>
      <c r="Y167" s="215"/>
      <c r="Z167" s="215"/>
      <c r="AA167" s="215"/>
      <c r="AB167" s="215"/>
      <c r="AC167" s="215"/>
      <c r="AD167" s="215"/>
      <c r="AE167" s="215"/>
      <c r="AF167" s="215"/>
      <c r="AG167" s="215"/>
      <c r="AH167" s="215"/>
      <c r="AI167" s="215"/>
      <c r="AJ167" s="215"/>
      <c r="AK167" s="215"/>
      <c r="AL167" s="215"/>
      <c r="AM167" s="215"/>
      <c r="AN167" s="215"/>
      <c r="AO167" s="215"/>
      <c r="AP167" s="215"/>
      <c r="AQ167" s="215"/>
      <c r="AR167" s="215"/>
      <c r="AS167" s="215"/>
      <c r="AT167" s="215"/>
      <c r="AU167" s="215"/>
      <c r="AV167" s="215"/>
      <c r="AW167" s="215"/>
      <c r="AX167" s="215"/>
      <c r="AY167" s="215"/>
    </row>
    <row r="168">
      <c r="A168" s="77" t="s">
        <v>181</v>
      </c>
      <c r="B168" s="77" t="s">
        <v>3150</v>
      </c>
      <c r="C168" s="77" t="s">
        <v>2992</v>
      </c>
      <c r="D168" s="177" t="s">
        <v>3051</v>
      </c>
      <c r="E168" s="28" t="s">
        <v>1211</v>
      </c>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215"/>
      <c r="AB168" s="215"/>
      <c r="AC168" s="215"/>
      <c r="AD168" s="215"/>
      <c r="AE168" s="215"/>
      <c r="AF168" s="215"/>
      <c r="AG168" s="215"/>
      <c r="AH168" s="215"/>
      <c r="AI168" s="215"/>
      <c r="AJ168" s="215"/>
      <c r="AK168" s="215"/>
      <c r="AL168" s="215"/>
      <c r="AM168" s="215"/>
      <c r="AN168" s="215"/>
      <c r="AO168" s="215"/>
      <c r="AP168" s="215"/>
      <c r="AQ168" s="215"/>
      <c r="AR168" s="215"/>
      <c r="AS168" s="215"/>
      <c r="AT168" s="215"/>
      <c r="AU168" s="215"/>
      <c r="AV168" s="215"/>
      <c r="AW168" s="215"/>
      <c r="AX168" s="215"/>
      <c r="AY168" s="215"/>
    </row>
    <row r="169">
      <c r="A169" s="77" t="s">
        <v>181</v>
      </c>
      <c r="B169" s="77" t="s">
        <v>3151</v>
      </c>
      <c r="C169" s="77" t="s">
        <v>2992</v>
      </c>
      <c r="D169" s="177" t="s">
        <v>3051</v>
      </c>
      <c r="E169" s="28" t="s">
        <v>1211</v>
      </c>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15"/>
      <c r="AH169" s="215"/>
      <c r="AI169" s="215"/>
      <c r="AJ169" s="215"/>
      <c r="AK169" s="215"/>
      <c r="AL169" s="215"/>
      <c r="AM169" s="215"/>
      <c r="AN169" s="215"/>
      <c r="AO169" s="215"/>
      <c r="AP169" s="215"/>
      <c r="AQ169" s="215"/>
      <c r="AR169" s="215"/>
      <c r="AS169" s="215"/>
      <c r="AT169" s="215"/>
      <c r="AU169" s="215"/>
      <c r="AV169" s="215"/>
      <c r="AW169" s="215"/>
      <c r="AX169" s="215"/>
      <c r="AY169" s="215"/>
    </row>
    <row r="170">
      <c r="A170" s="77" t="s">
        <v>181</v>
      </c>
      <c r="B170" s="77" t="s">
        <v>3152</v>
      </c>
      <c r="C170" s="77" t="s">
        <v>2992</v>
      </c>
      <c r="D170" s="177" t="s">
        <v>3051</v>
      </c>
      <c r="E170" s="28" t="s">
        <v>1211</v>
      </c>
      <c r="F170" s="215"/>
      <c r="G170" s="215"/>
      <c r="H170" s="215"/>
      <c r="I170" s="215"/>
      <c r="J170" s="215"/>
      <c r="K170" s="215"/>
      <c r="L170" s="215"/>
      <c r="M170" s="215"/>
      <c r="N170" s="215"/>
      <c r="O170" s="215"/>
      <c r="P170" s="215"/>
      <c r="Q170" s="215"/>
      <c r="R170" s="215"/>
      <c r="S170" s="215"/>
      <c r="T170" s="215"/>
      <c r="U170" s="215"/>
      <c r="V170" s="215"/>
      <c r="W170" s="215"/>
      <c r="X170" s="215"/>
      <c r="Y170" s="215"/>
      <c r="Z170" s="215"/>
      <c r="AA170" s="215"/>
      <c r="AB170" s="215"/>
      <c r="AC170" s="215"/>
      <c r="AD170" s="215"/>
      <c r="AE170" s="215"/>
      <c r="AF170" s="215"/>
      <c r="AG170" s="215"/>
      <c r="AH170" s="215"/>
      <c r="AI170" s="215"/>
      <c r="AJ170" s="215"/>
      <c r="AK170" s="215"/>
      <c r="AL170" s="215"/>
      <c r="AM170" s="215"/>
      <c r="AN170" s="215"/>
      <c r="AO170" s="215"/>
      <c r="AP170" s="215"/>
      <c r="AQ170" s="215"/>
      <c r="AR170" s="215"/>
      <c r="AS170" s="215"/>
      <c r="AT170" s="215"/>
      <c r="AU170" s="215"/>
      <c r="AV170" s="215"/>
      <c r="AW170" s="215"/>
      <c r="AX170" s="215"/>
      <c r="AY170" s="215"/>
    </row>
    <row r="171">
      <c r="A171" s="77" t="s">
        <v>181</v>
      </c>
      <c r="B171" s="77" t="s">
        <v>3153</v>
      </c>
      <c r="C171" s="77" t="s">
        <v>2992</v>
      </c>
      <c r="D171" s="177" t="s">
        <v>3051</v>
      </c>
      <c r="E171" s="28" t="s">
        <v>1211</v>
      </c>
      <c r="F171" s="215"/>
      <c r="G171" s="215"/>
      <c r="H171" s="215"/>
      <c r="I171" s="215"/>
      <c r="J171" s="215"/>
      <c r="K171" s="215"/>
      <c r="L171" s="215"/>
      <c r="M171" s="215"/>
      <c r="N171" s="215"/>
      <c r="O171" s="215"/>
      <c r="P171" s="215"/>
      <c r="Q171" s="215"/>
      <c r="R171" s="215"/>
      <c r="S171" s="215"/>
      <c r="T171" s="215"/>
      <c r="U171" s="215"/>
      <c r="V171" s="215"/>
      <c r="W171" s="215"/>
      <c r="X171" s="215"/>
      <c r="Y171" s="215"/>
      <c r="Z171" s="215"/>
      <c r="AA171" s="215"/>
      <c r="AB171" s="215"/>
      <c r="AC171" s="215"/>
      <c r="AD171" s="215"/>
      <c r="AE171" s="215"/>
      <c r="AF171" s="215"/>
      <c r="AG171" s="215"/>
      <c r="AH171" s="215"/>
      <c r="AI171" s="215"/>
      <c r="AJ171" s="215"/>
      <c r="AK171" s="215"/>
      <c r="AL171" s="215"/>
      <c r="AM171" s="215"/>
      <c r="AN171" s="215"/>
      <c r="AO171" s="215"/>
      <c r="AP171" s="215"/>
      <c r="AQ171" s="215"/>
      <c r="AR171" s="215"/>
      <c r="AS171" s="215"/>
      <c r="AT171" s="215"/>
      <c r="AU171" s="215"/>
      <c r="AV171" s="215"/>
      <c r="AW171" s="215"/>
      <c r="AX171" s="215"/>
      <c r="AY171" s="215"/>
    </row>
    <row r="172">
      <c r="A172" s="77" t="s">
        <v>181</v>
      </c>
      <c r="B172" s="77" t="s">
        <v>3154</v>
      </c>
      <c r="C172" s="77" t="s">
        <v>2992</v>
      </c>
      <c r="D172" s="177" t="s">
        <v>3051</v>
      </c>
      <c r="E172" s="28" t="s">
        <v>1211</v>
      </c>
      <c r="F172" s="215"/>
      <c r="G172" s="215"/>
      <c r="H172" s="215"/>
      <c r="I172" s="215"/>
      <c r="J172" s="215"/>
      <c r="K172" s="215"/>
      <c r="L172" s="215"/>
      <c r="M172" s="215"/>
      <c r="N172" s="215"/>
      <c r="O172" s="215"/>
      <c r="P172" s="215"/>
      <c r="Q172" s="215"/>
      <c r="R172" s="215"/>
      <c r="S172" s="215"/>
      <c r="T172" s="215"/>
      <c r="U172" s="215"/>
      <c r="V172" s="215"/>
      <c r="W172" s="215"/>
      <c r="X172" s="215"/>
      <c r="Y172" s="215"/>
      <c r="Z172" s="215"/>
      <c r="AA172" s="215"/>
      <c r="AB172" s="215"/>
      <c r="AC172" s="215"/>
      <c r="AD172" s="215"/>
      <c r="AE172" s="215"/>
      <c r="AF172" s="215"/>
      <c r="AG172" s="215"/>
      <c r="AH172" s="215"/>
      <c r="AI172" s="215"/>
      <c r="AJ172" s="215"/>
      <c r="AK172" s="215"/>
      <c r="AL172" s="215"/>
      <c r="AM172" s="215"/>
      <c r="AN172" s="215"/>
      <c r="AO172" s="215"/>
      <c r="AP172" s="215"/>
      <c r="AQ172" s="215"/>
      <c r="AR172" s="215"/>
      <c r="AS172" s="215"/>
      <c r="AT172" s="215"/>
      <c r="AU172" s="215"/>
      <c r="AV172" s="215"/>
      <c r="AW172" s="215"/>
      <c r="AX172" s="215"/>
      <c r="AY172" s="215"/>
    </row>
    <row r="173">
      <c r="A173" s="77" t="s">
        <v>181</v>
      </c>
      <c r="B173" s="77" t="s">
        <v>3155</v>
      </c>
      <c r="C173" s="77" t="s">
        <v>2992</v>
      </c>
      <c r="D173" s="177" t="s">
        <v>3051</v>
      </c>
      <c r="E173" s="28" t="s">
        <v>1211</v>
      </c>
      <c r="F173" s="215"/>
      <c r="G173" s="215"/>
      <c r="H173" s="215"/>
      <c r="I173" s="215"/>
      <c r="J173" s="215"/>
      <c r="K173" s="215"/>
      <c r="L173" s="215"/>
      <c r="M173" s="215"/>
      <c r="N173" s="215"/>
      <c r="O173" s="215"/>
      <c r="P173" s="215"/>
      <c r="Q173" s="215"/>
      <c r="R173" s="215"/>
      <c r="S173" s="215"/>
      <c r="T173" s="215"/>
      <c r="U173" s="215"/>
      <c r="V173" s="215"/>
      <c r="W173" s="215"/>
      <c r="X173" s="215"/>
      <c r="Y173" s="215"/>
      <c r="Z173" s="215"/>
      <c r="AA173" s="215"/>
      <c r="AB173" s="215"/>
      <c r="AC173" s="215"/>
      <c r="AD173" s="215"/>
      <c r="AE173" s="215"/>
      <c r="AF173" s="215"/>
      <c r="AG173" s="215"/>
      <c r="AH173" s="215"/>
      <c r="AI173" s="215"/>
      <c r="AJ173" s="215"/>
      <c r="AK173" s="215"/>
      <c r="AL173" s="215"/>
      <c r="AM173" s="215"/>
      <c r="AN173" s="215"/>
      <c r="AO173" s="215"/>
      <c r="AP173" s="215"/>
      <c r="AQ173" s="215"/>
      <c r="AR173" s="215"/>
      <c r="AS173" s="215"/>
      <c r="AT173" s="215"/>
      <c r="AU173" s="215"/>
      <c r="AV173" s="215"/>
      <c r="AW173" s="215"/>
      <c r="AX173" s="215"/>
      <c r="AY173" s="215"/>
    </row>
    <row r="174">
      <c r="A174" s="77" t="s">
        <v>181</v>
      </c>
      <c r="B174" s="77" t="s">
        <v>3156</v>
      </c>
      <c r="C174" s="77" t="s">
        <v>2992</v>
      </c>
      <c r="D174" s="177" t="s">
        <v>3051</v>
      </c>
      <c r="E174" s="28" t="s">
        <v>1211</v>
      </c>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215"/>
      <c r="AB174" s="215"/>
      <c r="AC174" s="215"/>
      <c r="AD174" s="215"/>
      <c r="AE174" s="215"/>
      <c r="AF174" s="215"/>
      <c r="AG174" s="215"/>
      <c r="AH174" s="215"/>
      <c r="AI174" s="215"/>
      <c r="AJ174" s="215"/>
      <c r="AK174" s="215"/>
      <c r="AL174" s="215"/>
      <c r="AM174" s="215"/>
      <c r="AN174" s="215"/>
      <c r="AO174" s="215"/>
      <c r="AP174" s="215"/>
      <c r="AQ174" s="215"/>
      <c r="AR174" s="215"/>
      <c r="AS174" s="215"/>
      <c r="AT174" s="215"/>
      <c r="AU174" s="215"/>
      <c r="AV174" s="215"/>
      <c r="AW174" s="215"/>
      <c r="AX174" s="215"/>
      <c r="AY174" s="215"/>
    </row>
    <row r="175">
      <c r="A175" s="77" t="s">
        <v>181</v>
      </c>
      <c r="B175" s="77" t="s">
        <v>3157</v>
      </c>
      <c r="C175" s="77" t="s">
        <v>2992</v>
      </c>
      <c r="D175" s="177" t="s">
        <v>3051</v>
      </c>
      <c r="E175" s="28" t="s">
        <v>1211</v>
      </c>
      <c r="F175" s="215"/>
      <c r="G175" s="215"/>
      <c r="H175" s="215"/>
      <c r="I175" s="215"/>
      <c r="J175" s="215"/>
      <c r="K175" s="215"/>
      <c r="L175" s="215"/>
      <c r="M175" s="215"/>
      <c r="N175" s="215"/>
      <c r="O175" s="215"/>
      <c r="P175" s="215"/>
      <c r="Q175" s="215"/>
      <c r="R175" s="215"/>
      <c r="S175" s="215"/>
      <c r="T175" s="215"/>
      <c r="U175" s="215"/>
      <c r="V175" s="215"/>
      <c r="W175" s="215"/>
      <c r="X175" s="215"/>
      <c r="Y175" s="215"/>
      <c r="Z175" s="215"/>
      <c r="AA175" s="215"/>
      <c r="AB175" s="215"/>
      <c r="AC175" s="215"/>
      <c r="AD175" s="215"/>
      <c r="AE175" s="215"/>
      <c r="AF175" s="215"/>
      <c r="AG175" s="215"/>
      <c r="AH175" s="215"/>
      <c r="AI175" s="215"/>
      <c r="AJ175" s="215"/>
      <c r="AK175" s="215"/>
      <c r="AL175" s="215"/>
      <c r="AM175" s="215"/>
      <c r="AN175" s="215"/>
      <c r="AO175" s="215"/>
      <c r="AP175" s="215"/>
      <c r="AQ175" s="215"/>
      <c r="AR175" s="215"/>
      <c r="AS175" s="215"/>
      <c r="AT175" s="215"/>
      <c r="AU175" s="215"/>
      <c r="AV175" s="215"/>
      <c r="AW175" s="215"/>
      <c r="AX175" s="215"/>
      <c r="AY175" s="215"/>
    </row>
    <row r="176">
      <c r="A176" s="88" t="s">
        <v>181</v>
      </c>
      <c r="B176" s="89" t="s">
        <v>206</v>
      </c>
      <c r="C176" s="177" t="s">
        <v>2999</v>
      </c>
      <c r="D176" s="28" t="s">
        <v>3158</v>
      </c>
      <c r="E176" s="28" t="s">
        <v>1458</v>
      </c>
      <c r="F176" s="163"/>
      <c r="G176" s="88"/>
      <c r="H176" s="88"/>
      <c r="I176" s="88"/>
      <c r="J176" s="88"/>
      <c r="K176" s="87"/>
      <c r="L176" s="87"/>
      <c r="M176" s="175"/>
      <c r="N176" s="291"/>
      <c r="O176" s="175"/>
      <c r="P176" s="175"/>
      <c r="Q176" s="215"/>
      <c r="R176" s="28"/>
      <c r="S176" s="215"/>
      <c r="T176" s="215"/>
      <c r="U176" s="215"/>
      <c r="V176" s="215"/>
      <c r="W176" s="215"/>
      <c r="X176" s="215"/>
      <c r="Y176" s="215"/>
      <c r="Z176" s="215"/>
      <c r="AA176" s="215"/>
      <c r="AB176" s="215"/>
      <c r="AC176" s="215"/>
      <c r="AD176" s="215"/>
      <c r="AE176" s="215"/>
      <c r="AF176" s="215"/>
      <c r="AG176" s="215"/>
      <c r="AH176" s="215"/>
      <c r="AI176" s="215"/>
      <c r="AJ176" s="215"/>
      <c r="AK176" s="215"/>
      <c r="AL176" s="215"/>
      <c r="AM176" s="215"/>
      <c r="AN176" s="215"/>
      <c r="AO176" s="215"/>
      <c r="AP176" s="215"/>
      <c r="AQ176" s="215"/>
      <c r="AR176" s="215"/>
      <c r="AS176" s="215"/>
      <c r="AT176" s="215"/>
      <c r="AU176" s="215"/>
      <c r="AV176" s="215"/>
      <c r="AW176" s="215"/>
      <c r="AX176" s="215"/>
      <c r="AY176" s="215"/>
    </row>
    <row r="177">
      <c r="A177" s="215" t="s">
        <v>261</v>
      </c>
      <c r="B177" s="80" t="s">
        <v>3159</v>
      </c>
      <c r="C177" s="77" t="s">
        <v>2992</v>
      </c>
      <c r="D177" s="215" t="s">
        <v>3160</v>
      </c>
      <c r="E177" s="28" t="s">
        <v>1211</v>
      </c>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c r="AD177" s="215"/>
      <c r="AE177" s="215"/>
      <c r="AF177" s="215"/>
      <c r="AG177" s="215"/>
      <c r="AH177" s="215"/>
      <c r="AI177" s="215"/>
      <c r="AJ177" s="215"/>
      <c r="AK177" s="215"/>
      <c r="AL177" s="215"/>
      <c r="AM177" s="215"/>
      <c r="AN177" s="215"/>
      <c r="AO177" s="215"/>
      <c r="AP177" s="215"/>
      <c r="AQ177" s="215"/>
      <c r="AR177" s="215"/>
      <c r="AS177" s="215"/>
      <c r="AT177" s="215"/>
      <c r="AU177" s="215"/>
      <c r="AV177" s="215"/>
      <c r="AW177" s="215"/>
      <c r="AX177" s="215"/>
      <c r="AY177" s="215"/>
    </row>
    <row r="178" ht="15.0" customHeight="1">
      <c r="A178" s="26" t="s">
        <v>261</v>
      </c>
      <c r="B178" s="195" t="s">
        <v>3161</v>
      </c>
      <c r="C178" s="77" t="s">
        <v>2992</v>
      </c>
      <c r="D178" s="72" t="s">
        <v>3162</v>
      </c>
      <c r="E178" s="28" t="s">
        <v>1211</v>
      </c>
      <c r="F178" s="72"/>
      <c r="G178" s="27"/>
      <c r="H178" s="27"/>
      <c r="I178" s="27"/>
      <c r="J178" s="72"/>
      <c r="K178" s="124"/>
      <c r="L178" s="27"/>
      <c r="M178" s="72"/>
      <c r="N178" s="195"/>
      <c r="O178" s="72"/>
      <c r="P178" s="27"/>
      <c r="Q178" s="72"/>
      <c r="R178" s="72"/>
      <c r="S178" s="123"/>
      <c r="T178" s="72"/>
      <c r="U178" s="27"/>
      <c r="V178" s="72"/>
      <c r="W178" s="195"/>
      <c r="X178" s="72"/>
      <c r="Y178" s="27"/>
      <c r="Z178" s="27"/>
      <c r="AA178" s="27"/>
      <c r="AI178" s="215"/>
      <c r="AJ178" s="215"/>
      <c r="AK178" s="215"/>
      <c r="AL178" s="215"/>
      <c r="AM178" s="215"/>
      <c r="AN178" s="215"/>
      <c r="AO178" s="215"/>
      <c r="AP178" s="215"/>
      <c r="AQ178" s="215"/>
      <c r="AR178" s="215"/>
      <c r="AS178" s="215"/>
      <c r="AT178" s="215"/>
      <c r="AU178" s="215"/>
      <c r="AV178" s="215"/>
      <c r="AW178" s="215"/>
      <c r="AX178" s="215"/>
      <c r="AY178" s="215"/>
    </row>
    <row r="179">
      <c r="A179" s="80" t="s">
        <v>261</v>
      </c>
      <c r="B179" s="80" t="s">
        <v>3163</v>
      </c>
      <c r="C179" s="77" t="s">
        <v>2992</v>
      </c>
      <c r="D179" s="77" t="s">
        <v>3164</v>
      </c>
      <c r="E179" s="28" t="s">
        <v>1211</v>
      </c>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c r="AD179" s="215"/>
      <c r="AE179" s="215"/>
      <c r="AF179" s="215"/>
      <c r="AG179" s="215"/>
      <c r="AH179" s="215"/>
      <c r="AI179" s="215"/>
      <c r="AJ179" s="215"/>
      <c r="AK179" s="215"/>
      <c r="AL179" s="215"/>
      <c r="AM179" s="215"/>
      <c r="AN179" s="215"/>
      <c r="AO179" s="215"/>
      <c r="AP179" s="215"/>
      <c r="AQ179" s="215"/>
      <c r="AR179" s="215"/>
      <c r="AS179" s="215"/>
      <c r="AT179" s="215"/>
      <c r="AU179" s="215"/>
      <c r="AV179" s="215"/>
      <c r="AW179" s="215"/>
      <c r="AX179" s="215"/>
      <c r="AY179" s="215"/>
    </row>
    <row r="180">
      <c r="A180" s="123" t="s">
        <v>181</v>
      </c>
      <c r="B180" s="195" t="s">
        <v>214</v>
      </c>
      <c r="C180" s="177" t="s">
        <v>2992</v>
      </c>
      <c r="D180" s="292" t="s">
        <v>3165</v>
      </c>
      <c r="E180" s="28" t="s">
        <v>1458</v>
      </c>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215"/>
      <c r="AJ180" s="215"/>
      <c r="AK180" s="215"/>
      <c r="AL180" s="215"/>
      <c r="AM180" s="215"/>
      <c r="AN180" s="215"/>
      <c r="AO180" s="215"/>
      <c r="AP180" s="215"/>
      <c r="AQ180" s="215"/>
      <c r="AR180" s="215"/>
      <c r="AS180" s="215"/>
      <c r="AT180" s="215"/>
      <c r="AU180" s="215"/>
      <c r="AV180" s="215"/>
      <c r="AW180" s="215"/>
      <c r="AX180" s="215"/>
      <c r="AY180" s="215"/>
    </row>
    <row r="181">
      <c r="A181" s="28" t="s">
        <v>93</v>
      </c>
      <c r="B181" s="85" t="s">
        <v>830</v>
      </c>
      <c r="C181" s="177" t="s">
        <v>2999</v>
      </c>
      <c r="D181" s="293" t="s">
        <v>3166</v>
      </c>
      <c r="E181" s="28" t="s">
        <v>1458</v>
      </c>
      <c r="F181" s="42"/>
      <c r="G181" s="28"/>
      <c r="H181" s="28"/>
      <c r="I181" s="28"/>
      <c r="J181" s="28"/>
      <c r="K181" s="42"/>
      <c r="L181" s="42"/>
      <c r="M181" s="88"/>
      <c r="N181" s="92"/>
      <c r="O181" s="88"/>
      <c r="P181" s="88"/>
      <c r="Q181" s="77"/>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c r="AQ181" s="215"/>
      <c r="AR181" s="215"/>
      <c r="AS181" s="215"/>
      <c r="AT181" s="215"/>
      <c r="AU181" s="215"/>
      <c r="AV181" s="215"/>
      <c r="AW181" s="215"/>
      <c r="AX181" s="215"/>
      <c r="AY181" s="215"/>
    </row>
    <row r="182">
      <c r="A182" s="28" t="s">
        <v>261</v>
      </c>
      <c r="B182" s="80" t="s">
        <v>421</v>
      </c>
      <c r="C182" s="177" t="s">
        <v>2999</v>
      </c>
      <c r="D182" s="294" t="s">
        <v>3166</v>
      </c>
      <c r="E182" s="28" t="s">
        <v>1458</v>
      </c>
      <c r="F182" s="215"/>
      <c r="G182" s="28"/>
      <c r="H182" s="28"/>
      <c r="I182" s="28"/>
      <c r="J182" s="295"/>
      <c r="K182" s="28"/>
      <c r="L182" s="28"/>
      <c r="M182" s="88"/>
      <c r="N182" s="92"/>
      <c r="O182" s="88"/>
      <c r="P182" s="88"/>
      <c r="Q182" s="77"/>
      <c r="R182" s="215"/>
      <c r="S182" s="215"/>
      <c r="T182" s="215"/>
      <c r="U182" s="215"/>
      <c r="V182" s="215"/>
      <c r="W182" s="215"/>
      <c r="X182" s="215"/>
      <c r="Y182" s="215"/>
      <c r="Z182" s="215"/>
      <c r="AA182" s="215"/>
      <c r="AB182" s="215"/>
      <c r="AC182" s="215"/>
      <c r="AD182" s="215"/>
      <c r="AE182" s="215"/>
      <c r="AF182" s="215"/>
      <c r="AG182" s="215"/>
      <c r="AH182" s="215"/>
      <c r="AI182" s="215"/>
      <c r="AJ182" s="215"/>
      <c r="AK182" s="215"/>
      <c r="AL182" s="215"/>
      <c r="AM182" s="215"/>
      <c r="AN182" s="215"/>
      <c r="AO182" s="215"/>
      <c r="AP182" s="215"/>
      <c r="AQ182" s="215"/>
      <c r="AR182" s="215"/>
      <c r="AS182" s="215"/>
      <c r="AT182" s="215"/>
      <c r="AU182" s="215"/>
      <c r="AV182" s="215"/>
      <c r="AW182" s="215"/>
      <c r="AX182" s="215"/>
      <c r="AY182" s="215"/>
    </row>
    <row r="183" ht="15.0" customHeight="1">
      <c r="A183" s="26" t="s">
        <v>261</v>
      </c>
      <c r="B183" s="195" t="s">
        <v>3167</v>
      </c>
      <c r="C183" s="177" t="s">
        <v>2992</v>
      </c>
      <c r="D183" s="292" t="s">
        <v>3168</v>
      </c>
      <c r="E183" s="28" t="s">
        <v>1211</v>
      </c>
      <c r="F183" s="72" t="s">
        <v>559</v>
      </c>
      <c r="G183" s="27" t="s">
        <v>3169</v>
      </c>
      <c r="H183" s="27"/>
      <c r="I183" s="27" t="s">
        <v>620</v>
      </c>
      <c r="J183" s="72" t="s">
        <v>620</v>
      </c>
      <c r="K183" s="27" t="s">
        <v>3170</v>
      </c>
      <c r="L183" s="27" t="s">
        <v>3171</v>
      </c>
      <c r="M183" s="71" t="s">
        <v>3172</v>
      </c>
      <c r="N183" s="75">
        <v>2025.0</v>
      </c>
      <c r="O183" s="157" t="s">
        <v>992</v>
      </c>
      <c r="P183" s="157" t="s">
        <v>972</v>
      </c>
      <c r="Q183" s="138" t="s">
        <v>963</v>
      </c>
      <c r="R183" s="123"/>
      <c r="S183" s="123"/>
      <c r="T183" s="72"/>
      <c r="U183" s="27"/>
      <c r="V183" s="72"/>
      <c r="W183" s="195"/>
      <c r="X183" s="124"/>
      <c r="Y183" s="27"/>
      <c r="Z183" s="27"/>
      <c r="AA183" s="27"/>
      <c r="AK183" s="215"/>
      <c r="AL183" s="215"/>
      <c r="AM183" s="215"/>
      <c r="AN183" s="215"/>
      <c r="AO183" s="215"/>
      <c r="AP183" s="215"/>
      <c r="AQ183" s="215"/>
      <c r="AR183" s="215"/>
      <c r="AS183" s="215"/>
      <c r="AT183" s="215"/>
      <c r="AU183" s="215"/>
      <c r="AV183" s="215"/>
      <c r="AW183" s="215"/>
      <c r="AX183" s="215"/>
      <c r="AY183" s="215"/>
    </row>
    <row r="184">
      <c r="A184" s="71" t="s">
        <v>181</v>
      </c>
      <c r="B184" s="73" t="s">
        <v>707</v>
      </c>
      <c r="C184" s="177" t="s">
        <v>2999</v>
      </c>
      <c r="D184" s="71" t="s">
        <v>3166</v>
      </c>
      <c r="E184" s="28" t="s">
        <v>1458</v>
      </c>
      <c r="F184" s="70"/>
      <c r="G184" s="71"/>
      <c r="H184" s="71"/>
      <c r="I184" s="72"/>
      <c r="J184" s="296"/>
      <c r="K184" s="72"/>
      <c r="L184" s="72"/>
      <c r="M184" s="71"/>
      <c r="N184" s="75"/>
      <c r="O184" s="71"/>
      <c r="P184" s="71"/>
      <c r="Q184" s="67"/>
      <c r="AK184" s="215"/>
      <c r="AL184" s="215"/>
      <c r="AM184" s="215"/>
      <c r="AN184" s="215"/>
      <c r="AO184" s="215"/>
      <c r="AP184" s="215"/>
      <c r="AQ184" s="215"/>
      <c r="AR184" s="215"/>
      <c r="AS184" s="215"/>
      <c r="AT184" s="215"/>
      <c r="AU184" s="215"/>
      <c r="AV184" s="215"/>
      <c r="AW184" s="215"/>
      <c r="AX184" s="215"/>
      <c r="AY184" s="215"/>
    </row>
    <row r="185">
      <c r="A185" s="72" t="s">
        <v>347</v>
      </c>
      <c r="B185" s="195" t="s">
        <v>752</v>
      </c>
      <c r="C185" s="177" t="s">
        <v>2999</v>
      </c>
      <c r="D185" s="297" t="s">
        <v>3166</v>
      </c>
      <c r="E185" s="28" t="s">
        <v>1458</v>
      </c>
      <c r="F185" s="123"/>
      <c r="I185" s="70"/>
      <c r="J185" s="298"/>
      <c r="L185" s="123"/>
      <c r="M185" s="71"/>
      <c r="N185" s="75"/>
      <c r="O185" s="71"/>
      <c r="P185" s="71"/>
      <c r="Q185" s="67"/>
      <c r="AK185" s="215"/>
      <c r="AL185" s="215"/>
      <c r="AM185" s="215"/>
      <c r="AN185" s="215"/>
      <c r="AO185" s="215"/>
      <c r="AP185" s="215"/>
      <c r="AQ185" s="215"/>
      <c r="AR185" s="215"/>
      <c r="AS185" s="215"/>
      <c r="AT185" s="215"/>
      <c r="AU185" s="215"/>
      <c r="AV185" s="215"/>
      <c r="AW185" s="215"/>
      <c r="AX185" s="215"/>
      <c r="AY185" s="215"/>
    </row>
    <row r="186">
      <c r="A186" s="26" t="s">
        <v>507</v>
      </c>
      <c r="B186" s="195" t="s">
        <v>633</v>
      </c>
      <c r="C186" s="177" t="s">
        <v>2999</v>
      </c>
      <c r="D186" s="299" t="s">
        <v>3166</v>
      </c>
      <c r="E186" s="28" t="s">
        <v>1458</v>
      </c>
      <c r="F186" s="123"/>
      <c r="G186" s="72"/>
      <c r="H186" s="72"/>
      <c r="I186" s="72"/>
      <c r="K186" s="72"/>
      <c r="L186" s="72"/>
      <c r="M186" s="71"/>
      <c r="N186" s="75"/>
      <c r="O186" s="71"/>
      <c r="P186" s="71"/>
      <c r="Q186" s="195"/>
      <c r="R186" s="123"/>
      <c r="S186" s="123"/>
      <c r="T186" s="123"/>
      <c r="U186" s="123"/>
      <c r="V186" s="123"/>
      <c r="W186" s="123"/>
      <c r="X186" s="123"/>
      <c r="Y186" s="123"/>
      <c r="Z186" s="123"/>
      <c r="AA186" s="123"/>
      <c r="AC186" s="123"/>
      <c r="AD186" s="123"/>
      <c r="AE186" s="123"/>
      <c r="AF186" s="123"/>
      <c r="AG186" s="123"/>
      <c r="AH186" s="123"/>
      <c r="AI186" s="123"/>
      <c r="AJ186" s="123"/>
      <c r="AK186" s="215"/>
      <c r="AL186" s="215"/>
      <c r="AM186" s="215"/>
      <c r="AN186" s="215"/>
      <c r="AO186" s="215"/>
      <c r="AP186" s="215"/>
      <c r="AQ186" s="215"/>
      <c r="AR186" s="215"/>
      <c r="AS186" s="215"/>
      <c r="AT186" s="215"/>
      <c r="AU186" s="215"/>
      <c r="AV186" s="215"/>
      <c r="AW186" s="215"/>
      <c r="AX186" s="215"/>
      <c r="AY186" s="215"/>
    </row>
    <row r="187">
      <c r="A187" s="89" t="s">
        <v>431</v>
      </c>
      <c r="B187" s="39" t="s">
        <v>540</v>
      </c>
      <c r="C187" s="177" t="s">
        <v>2999</v>
      </c>
      <c r="D187" s="177" t="s">
        <v>3076</v>
      </c>
      <c r="E187" s="88" t="s">
        <v>1211</v>
      </c>
      <c r="F187" s="88"/>
      <c r="G187" s="88"/>
      <c r="H187" s="88"/>
      <c r="I187" s="87"/>
      <c r="J187" s="87"/>
      <c r="K187" s="175"/>
      <c r="L187" s="291"/>
      <c r="M187" s="175"/>
      <c r="N187" s="175"/>
      <c r="O187" s="28"/>
      <c r="P187" s="28"/>
      <c r="Q187" s="215"/>
      <c r="R187" s="215"/>
      <c r="S187" s="215"/>
      <c r="T187" s="215"/>
      <c r="U187" s="215"/>
      <c r="V187" s="215"/>
      <c r="W187" s="215"/>
      <c r="X187" s="215"/>
      <c r="Y187" s="215"/>
      <c r="Z187" s="215"/>
      <c r="AA187" s="215"/>
      <c r="AB187" s="215"/>
      <c r="AC187" s="215"/>
      <c r="AD187" s="215"/>
      <c r="AE187" s="215"/>
      <c r="AF187" s="215"/>
      <c r="AG187" s="215"/>
      <c r="AH187" s="215"/>
      <c r="AI187" s="215"/>
      <c r="AJ187" s="215"/>
      <c r="AK187" s="215"/>
      <c r="AL187" s="215"/>
      <c r="AM187" s="215"/>
      <c r="AN187" s="215"/>
      <c r="AO187" s="215"/>
      <c r="AP187" s="215"/>
      <c r="AQ187" s="215"/>
      <c r="AR187" s="215"/>
      <c r="AS187" s="215"/>
      <c r="AT187" s="215"/>
      <c r="AU187" s="215"/>
      <c r="AV187" s="215"/>
      <c r="AW187" s="215"/>
      <c r="AX187" s="215"/>
      <c r="AY187" s="215"/>
    </row>
    <row r="188">
      <c r="A188" s="77" t="s">
        <v>261</v>
      </c>
      <c r="B188" s="37" t="s">
        <v>607</v>
      </c>
      <c r="C188" s="177" t="s">
        <v>2992</v>
      </c>
      <c r="D188" s="177" t="s">
        <v>3016</v>
      </c>
      <c r="E188" s="28" t="s">
        <v>963</v>
      </c>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row>
    <row r="189">
      <c r="A189" s="77" t="s">
        <v>261</v>
      </c>
      <c r="B189" s="37" t="s">
        <v>610</v>
      </c>
      <c r="C189" s="177" t="s">
        <v>2992</v>
      </c>
      <c r="D189" s="177" t="s">
        <v>3016</v>
      </c>
      <c r="E189" s="28" t="s">
        <v>963</v>
      </c>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row>
    <row r="190" ht="15.75" customHeight="1">
      <c r="A190" s="28" t="s">
        <v>261</v>
      </c>
      <c r="B190" s="82" t="s">
        <v>3173</v>
      </c>
      <c r="C190" s="177" t="s">
        <v>2992</v>
      </c>
      <c r="D190" s="177" t="s">
        <v>3051</v>
      </c>
      <c r="E190" s="28" t="s">
        <v>1211</v>
      </c>
      <c r="F190" s="178"/>
      <c r="G190" s="230"/>
      <c r="H190" s="230"/>
      <c r="I190" s="300"/>
      <c r="J190" s="177"/>
      <c r="K190" s="230"/>
      <c r="L190" s="230"/>
      <c r="M190" s="88"/>
      <c r="N190" s="92"/>
      <c r="O190" s="231"/>
      <c r="P190" s="231"/>
      <c r="Q190" s="177"/>
      <c r="R190" s="178"/>
      <c r="S190" s="232"/>
      <c r="T190" s="175"/>
      <c r="U190" s="42"/>
      <c r="V190" s="77"/>
      <c r="W190" s="87"/>
      <c r="X190" s="82"/>
      <c r="Y190" s="230"/>
      <c r="Z190" s="230"/>
      <c r="AA190" s="230"/>
      <c r="AB190" s="230"/>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row>
    <row r="191">
      <c r="A191" s="77"/>
      <c r="B191" s="77" t="s">
        <v>3174</v>
      </c>
      <c r="C191" s="177" t="s">
        <v>2999</v>
      </c>
      <c r="D191" s="177" t="s">
        <v>3175</v>
      </c>
      <c r="E191" s="28" t="s">
        <v>1211</v>
      </c>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row>
    <row r="192">
      <c r="A192" s="77"/>
      <c r="B192" s="77" t="s">
        <v>3176</v>
      </c>
      <c r="C192" s="177" t="s">
        <v>2999</v>
      </c>
      <c r="D192" s="177" t="s">
        <v>3175</v>
      </c>
      <c r="E192" s="28" t="s">
        <v>1211</v>
      </c>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row>
    <row r="193">
      <c r="A193" s="77"/>
      <c r="B193" s="77" t="s">
        <v>3177</v>
      </c>
      <c r="C193" s="177" t="s">
        <v>2992</v>
      </c>
      <c r="D193" s="177" t="s">
        <v>3051</v>
      </c>
      <c r="E193" s="28" t="s">
        <v>1211</v>
      </c>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row>
    <row r="194">
      <c r="A194" s="77"/>
      <c r="B194" s="77" t="s">
        <v>3178</v>
      </c>
      <c r="C194" s="177" t="s">
        <v>2999</v>
      </c>
      <c r="D194" s="177" t="s">
        <v>3179</v>
      </c>
      <c r="E194" s="28" t="s">
        <v>1211</v>
      </c>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row>
    <row r="195">
      <c r="A195" s="77"/>
      <c r="B195" s="77" t="s">
        <v>3180</v>
      </c>
      <c r="C195" s="177" t="s">
        <v>2999</v>
      </c>
      <c r="D195" s="177" t="s">
        <v>3181</v>
      </c>
      <c r="E195" s="28" t="s">
        <v>1211</v>
      </c>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row>
    <row r="196">
      <c r="A196" s="77"/>
      <c r="B196" s="77" t="s">
        <v>3182</v>
      </c>
      <c r="C196" s="177" t="s">
        <v>2999</v>
      </c>
      <c r="D196" s="177" t="s">
        <v>3175</v>
      </c>
      <c r="E196" s="28" t="s">
        <v>1211</v>
      </c>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row>
    <row r="197">
      <c r="A197" s="77"/>
      <c r="B197" s="77" t="s">
        <v>3183</v>
      </c>
      <c r="C197" s="177" t="s">
        <v>2999</v>
      </c>
      <c r="D197" s="177" t="s">
        <v>3175</v>
      </c>
      <c r="E197" s="28" t="s">
        <v>1211</v>
      </c>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row>
    <row r="198">
      <c r="A198" s="77"/>
      <c r="B198" s="77" t="s">
        <v>3184</v>
      </c>
      <c r="C198" s="177" t="s">
        <v>2999</v>
      </c>
      <c r="D198" s="177" t="s">
        <v>3175</v>
      </c>
      <c r="E198" s="28" t="s">
        <v>1211</v>
      </c>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row>
    <row r="199">
      <c r="A199" s="77"/>
      <c r="B199" s="77" t="s">
        <v>3185</v>
      </c>
      <c r="C199" s="177" t="s">
        <v>2999</v>
      </c>
      <c r="D199" s="177" t="s">
        <v>3175</v>
      </c>
      <c r="E199" s="28" t="s">
        <v>1211</v>
      </c>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row>
    <row r="200">
      <c r="A200" s="77"/>
      <c r="B200" s="77" t="s">
        <v>3186</v>
      </c>
      <c r="C200" s="177" t="s">
        <v>2999</v>
      </c>
      <c r="D200" s="177" t="s">
        <v>3051</v>
      </c>
      <c r="E200" s="28" t="s">
        <v>1211</v>
      </c>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row>
    <row r="201">
      <c r="A201" s="77"/>
      <c r="B201" s="77" t="s">
        <v>3187</v>
      </c>
      <c r="C201" s="177" t="s">
        <v>2999</v>
      </c>
      <c r="D201" s="177" t="s">
        <v>3175</v>
      </c>
      <c r="E201" s="28" t="s">
        <v>1211</v>
      </c>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row>
    <row r="202">
      <c r="A202" s="77"/>
      <c r="B202" s="77" t="s">
        <v>3188</v>
      </c>
      <c r="C202" s="177" t="s">
        <v>2999</v>
      </c>
      <c r="D202" s="177" t="s">
        <v>3051</v>
      </c>
      <c r="E202" s="28" t="s">
        <v>1211</v>
      </c>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row>
    <row r="203">
      <c r="A203" s="77"/>
      <c r="B203" s="77" t="s">
        <v>3189</v>
      </c>
      <c r="C203" s="177" t="s">
        <v>2999</v>
      </c>
      <c r="D203" s="177" t="s">
        <v>3175</v>
      </c>
      <c r="E203" s="28" t="s">
        <v>1211</v>
      </c>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row>
    <row r="204">
      <c r="A204" s="77"/>
      <c r="B204" s="77" t="s">
        <v>3190</v>
      </c>
      <c r="C204" s="177" t="s">
        <v>2999</v>
      </c>
      <c r="D204" s="177" t="s">
        <v>3175</v>
      </c>
      <c r="E204" s="28" t="s">
        <v>1211</v>
      </c>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row>
    <row r="205">
      <c r="A205" s="77"/>
      <c r="B205" s="77" t="s">
        <v>3191</v>
      </c>
      <c r="C205" s="177" t="s">
        <v>2999</v>
      </c>
      <c r="D205" s="177" t="s">
        <v>3175</v>
      </c>
      <c r="E205" s="28" t="s">
        <v>1211</v>
      </c>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row>
    <row r="206">
      <c r="A206" s="77"/>
      <c r="B206" s="77" t="s">
        <v>3192</v>
      </c>
      <c r="C206" s="177" t="s">
        <v>2999</v>
      </c>
      <c r="D206" s="77" t="s">
        <v>3000</v>
      </c>
      <c r="E206" s="28" t="s">
        <v>1211</v>
      </c>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row>
    <row r="207">
      <c r="A207" s="77"/>
      <c r="B207" s="77" t="s">
        <v>3193</v>
      </c>
      <c r="C207" s="177" t="s">
        <v>2999</v>
      </c>
      <c r="D207" s="77" t="s">
        <v>3000</v>
      </c>
      <c r="E207" s="28" t="s">
        <v>1211</v>
      </c>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row>
    <row r="208">
      <c r="A208" s="77"/>
      <c r="B208" s="77" t="s">
        <v>2915</v>
      </c>
      <c r="C208" s="177" t="s">
        <v>2999</v>
      </c>
      <c r="D208" s="77" t="s">
        <v>3000</v>
      </c>
      <c r="E208" s="28" t="s">
        <v>1211</v>
      </c>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row>
    <row r="209">
      <c r="A209" s="77"/>
      <c r="B209" s="77" t="s">
        <v>3194</v>
      </c>
      <c r="C209" s="177" t="s">
        <v>2999</v>
      </c>
      <c r="D209" s="77" t="s">
        <v>3000</v>
      </c>
      <c r="E209" s="28" t="s">
        <v>1211</v>
      </c>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row>
    <row r="210">
      <c r="A210" s="77"/>
      <c r="B210" s="77" t="s">
        <v>3195</v>
      </c>
      <c r="C210" s="177" t="s">
        <v>2999</v>
      </c>
      <c r="D210" s="77" t="s">
        <v>3000</v>
      </c>
      <c r="E210" s="28" t="s">
        <v>1211</v>
      </c>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row>
    <row r="211">
      <c r="A211" s="77"/>
      <c r="B211" s="77" t="s">
        <v>2936</v>
      </c>
      <c r="C211" s="177" t="s">
        <v>2999</v>
      </c>
      <c r="D211" s="77" t="s">
        <v>3000</v>
      </c>
      <c r="E211" s="28" t="s">
        <v>1211</v>
      </c>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row>
    <row r="212">
      <c r="A212" s="77"/>
      <c r="B212" s="77" t="s">
        <v>3196</v>
      </c>
      <c r="C212" s="177" t="s">
        <v>2999</v>
      </c>
      <c r="D212" s="177" t="s">
        <v>3051</v>
      </c>
      <c r="E212" s="28" t="s">
        <v>1211</v>
      </c>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row>
    <row r="213">
      <c r="A213" s="77"/>
      <c r="B213" s="77" t="s">
        <v>778</v>
      </c>
      <c r="C213" s="177" t="s">
        <v>2999</v>
      </c>
      <c r="D213" s="77" t="s">
        <v>3076</v>
      </c>
      <c r="E213" s="28" t="s">
        <v>1211</v>
      </c>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row>
    <row r="214">
      <c r="A214" s="77"/>
      <c r="B214" s="77" t="s">
        <v>3197</v>
      </c>
      <c r="C214" s="177" t="s">
        <v>2999</v>
      </c>
      <c r="D214" s="77" t="s">
        <v>3000</v>
      </c>
      <c r="E214" s="28" t="s">
        <v>1211</v>
      </c>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row>
    <row r="215">
      <c r="A215" s="26" t="s">
        <v>93</v>
      </c>
      <c r="B215" s="37" t="s">
        <v>173</v>
      </c>
      <c r="C215" s="26" t="s">
        <v>2999</v>
      </c>
      <c r="D215" s="26" t="s">
        <v>3166</v>
      </c>
      <c r="E215" s="26" t="s">
        <v>963</v>
      </c>
      <c r="F215" s="37"/>
      <c r="G215" s="37"/>
      <c r="H215" s="37"/>
      <c r="I215" s="72"/>
      <c r="J215" s="67"/>
      <c r="K215" s="37"/>
      <c r="L215" s="37"/>
      <c r="M215" s="71"/>
      <c r="N215" s="75"/>
      <c r="O215" s="71"/>
      <c r="P215" s="71"/>
      <c r="Q215" s="67"/>
      <c r="U215" s="39"/>
      <c r="V215" s="76"/>
      <c r="X215" s="79"/>
      <c r="AL215" s="215"/>
      <c r="AM215" s="215"/>
      <c r="AN215" s="215"/>
      <c r="AO215" s="215"/>
      <c r="AP215" s="215"/>
      <c r="AQ215" s="215"/>
      <c r="AR215" s="215"/>
      <c r="AS215" s="215"/>
      <c r="AT215" s="215"/>
      <c r="AU215" s="215"/>
      <c r="AV215" s="215"/>
      <c r="AW215" s="215"/>
      <c r="AX215" s="215"/>
      <c r="AY215" s="215"/>
    </row>
    <row r="216">
      <c r="A216" s="80"/>
      <c r="B216" s="80"/>
      <c r="C216" s="80"/>
      <c r="D216" s="80"/>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row>
    <row r="217">
      <c r="A217" s="80"/>
      <c r="B217" s="80"/>
      <c r="C217" s="80"/>
      <c r="D217" s="80"/>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row>
    <row r="218">
      <c r="A218" s="80"/>
      <c r="B218" s="80"/>
      <c r="C218" s="80"/>
      <c r="D218" s="80"/>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row>
    <row r="219">
      <c r="A219" s="80"/>
      <c r="B219" s="80"/>
      <c r="C219" s="80"/>
      <c r="D219" s="80"/>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row>
    <row r="220">
      <c r="A220" s="80"/>
      <c r="B220" s="80"/>
      <c r="C220" s="80"/>
      <c r="D220" s="80"/>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row>
    <row r="221">
      <c r="A221" s="80"/>
      <c r="B221" s="80"/>
      <c r="C221" s="80"/>
      <c r="D221" s="80"/>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row>
    <row r="222">
      <c r="A222" s="80"/>
      <c r="B222" s="80"/>
      <c r="C222" s="80"/>
      <c r="D222" s="80"/>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row>
    <row r="223">
      <c r="A223" s="80"/>
      <c r="B223" s="80"/>
      <c r="C223" s="80"/>
      <c r="D223" s="80"/>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row>
    <row r="224">
      <c r="A224" s="80"/>
      <c r="B224" s="80"/>
      <c r="C224" s="80"/>
      <c r="D224" s="80"/>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row>
    <row r="225">
      <c r="A225" s="80"/>
      <c r="B225" s="80"/>
      <c r="C225" s="80"/>
      <c r="D225" s="80"/>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row>
    <row r="226">
      <c r="A226" s="80"/>
      <c r="B226" s="80"/>
      <c r="C226" s="80"/>
      <c r="D226" s="80"/>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row>
    <row r="227">
      <c r="A227" s="80"/>
      <c r="B227" s="80"/>
      <c r="C227" s="80"/>
      <c r="D227" s="80"/>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row>
    <row r="228">
      <c r="A228" s="80"/>
      <c r="B228" s="80"/>
      <c r="C228" s="80"/>
      <c r="D228" s="80"/>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row>
    <row r="229">
      <c r="A229" s="80"/>
      <c r="B229" s="80"/>
      <c r="C229" s="80"/>
      <c r="D229" s="80"/>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row>
    <row r="230">
      <c r="A230" s="80"/>
      <c r="B230" s="80"/>
      <c r="C230" s="80"/>
      <c r="D230" s="80"/>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row>
    <row r="231">
      <c r="A231" s="80"/>
      <c r="B231" s="80"/>
      <c r="C231" s="80"/>
      <c r="D231" s="80"/>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row>
    <row r="232">
      <c r="A232" s="80"/>
      <c r="B232" s="80"/>
      <c r="C232" s="80"/>
      <c r="D232" s="80"/>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row>
    <row r="233">
      <c r="A233" s="80"/>
      <c r="B233" s="80"/>
      <c r="C233" s="80"/>
      <c r="D233" s="80"/>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row>
    <row r="234">
      <c r="A234" s="80"/>
      <c r="B234" s="80"/>
      <c r="C234" s="80"/>
      <c r="D234" s="80"/>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row>
    <row r="235">
      <c r="A235" s="80"/>
      <c r="B235" s="80"/>
      <c r="C235" s="80"/>
      <c r="D235" s="80"/>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row>
    <row r="236">
      <c r="A236" s="80"/>
      <c r="B236" s="80"/>
      <c r="C236" s="80"/>
      <c r="D236" s="80"/>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row>
    <row r="237">
      <c r="A237" s="80"/>
      <c r="B237" s="80"/>
      <c r="C237" s="80"/>
      <c r="D237" s="80"/>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row>
    <row r="238">
      <c r="A238" s="80"/>
      <c r="B238" s="80"/>
      <c r="C238" s="80"/>
      <c r="D238" s="80"/>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row>
    <row r="239">
      <c r="A239" s="80"/>
      <c r="B239" s="80"/>
      <c r="C239" s="80"/>
      <c r="D239" s="80"/>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row>
    <row r="240">
      <c r="A240" s="80"/>
      <c r="B240" s="80"/>
      <c r="C240" s="80"/>
      <c r="D240" s="80"/>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row>
    <row r="241">
      <c r="A241" s="80"/>
      <c r="B241" s="80"/>
      <c r="C241" s="80"/>
      <c r="D241" s="80"/>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row>
    <row r="242">
      <c r="A242" s="80"/>
      <c r="B242" s="80"/>
      <c r="C242" s="80"/>
      <c r="D242" s="80"/>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row>
    <row r="243">
      <c r="A243" s="80"/>
      <c r="B243" s="80"/>
      <c r="C243" s="80"/>
      <c r="D243" s="80"/>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row>
    <row r="244">
      <c r="A244" s="80"/>
      <c r="B244" s="80"/>
      <c r="C244" s="80"/>
      <c r="D244" s="80"/>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row>
    <row r="245">
      <c r="A245" s="80"/>
      <c r="B245" s="80"/>
      <c r="C245" s="80"/>
      <c r="D245" s="80"/>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row>
    <row r="246">
      <c r="A246" s="80"/>
      <c r="B246" s="80"/>
      <c r="C246" s="80"/>
      <c r="D246" s="80"/>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row>
    <row r="247">
      <c r="A247" s="80"/>
      <c r="B247" s="80"/>
      <c r="C247" s="80"/>
      <c r="D247" s="80"/>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row>
    <row r="248">
      <c r="A248" s="80"/>
      <c r="B248" s="80"/>
      <c r="C248" s="80"/>
      <c r="D248" s="80"/>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row>
    <row r="249">
      <c r="A249" s="80"/>
      <c r="B249" s="80"/>
      <c r="C249" s="80"/>
      <c r="D249" s="80"/>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row>
    <row r="250">
      <c r="A250" s="80"/>
      <c r="B250" s="80"/>
      <c r="C250" s="80"/>
      <c r="D250" s="80"/>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row>
    <row r="251">
      <c r="A251" s="80"/>
      <c r="B251" s="80"/>
      <c r="C251" s="80"/>
      <c r="D251" s="80"/>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row>
    <row r="252">
      <c r="A252" s="80"/>
      <c r="B252" s="80"/>
      <c r="C252" s="80"/>
      <c r="D252" s="80"/>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row>
    <row r="253">
      <c r="A253" s="80"/>
      <c r="B253" s="80"/>
      <c r="C253" s="80"/>
      <c r="D253" s="80"/>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row>
    <row r="254">
      <c r="A254" s="80"/>
      <c r="B254" s="80"/>
      <c r="C254" s="80"/>
      <c r="D254" s="80"/>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row>
    <row r="255">
      <c r="A255" s="80"/>
      <c r="B255" s="80"/>
      <c r="C255" s="80"/>
      <c r="D255" s="80"/>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row>
    <row r="256">
      <c r="A256" s="80"/>
      <c r="B256" s="80"/>
      <c r="C256" s="80"/>
      <c r="D256" s="80"/>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row>
    <row r="257">
      <c r="A257" s="80"/>
      <c r="B257" s="80"/>
      <c r="C257" s="80"/>
      <c r="D257" s="80"/>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row>
    <row r="258">
      <c r="A258" s="80"/>
      <c r="B258" s="80"/>
      <c r="C258" s="80"/>
      <c r="D258" s="80"/>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row>
    <row r="259">
      <c r="A259" s="80"/>
      <c r="B259" s="80"/>
      <c r="C259" s="80"/>
      <c r="D259" s="80"/>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row>
    <row r="260">
      <c r="A260" s="80"/>
      <c r="B260" s="80"/>
      <c r="C260" s="80"/>
      <c r="D260" s="80"/>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row>
    <row r="261">
      <c r="A261" s="80"/>
      <c r="B261" s="80"/>
      <c r="C261" s="80"/>
      <c r="D261" s="80"/>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row>
    <row r="262">
      <c r="A262" s="80"/>
      <c r="B262" s="80"/>
      <c r="C262" s="80"/>
      <c r="D262" s="80"/>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row>
    <row r="263">
      <c r="A263" s="80"/>
      <c r="B263" s="80"/>
      <c r="C263" s="80"/>
      <c r="D263" s="80"/>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row>
    <row r="264">
      <c r="A264" s="80"/>
      <c r="B264" s="80"/>
      <c r="C264" s="80"/>
      <c r="D264" s="80"/>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row>
    <row r="265">
      <c r="A265" s="80"/>
      <c r="B265" s="80"/>
      <c r="C265" s="80"/>
      <c r="D265" s="80"/>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row>
    <row r="266">
      <c r="A266" s="80"/>
      <c r="B266" s="80"/>
      <c r="C266" s="80"/>
      <c r="D266" s="80"/>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row>
    <row r="267">
      <c r="A267" s="80"/>
      <c r="B267" s="80"/>
      <c r="C267" s="80"/>
      <c r="D267" s="80"/>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row>
    <row r="268">
      <c r="A268" s="80"/>
      <c r="B268" s="80"/>
      <c r="C268" s="80"/>
      <c r="D268" s="80"/>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row>
    <row r="269">
      <c r="A269" s="80"/>
      <c r="B269" s="80"/>
      <c r="C269" s="80"/>
      <c r="D269" s="80"/>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row>
    <row r="270">
      <c r="A270" s="80"/>
      <c r="B270" s="80"/>
      <c r="C270" s="80"/>
      <c r="D270" s="80"/>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row>
    <row r="271">
      <c r="A271" s="80"/>
      <c r="B271" s="80"/>
      <c r="C271" s="80"/>
      <c r="D271" s="80"/>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row>
    <row r="272">
      <c r="A272" s="80"/>
      <c r="B272" s="80"/>
      <c r="C272" s="80"/>
      <c r="D272" s="80"/>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row>
    <row r="273">
      <c r="A273" s="80"/>
      <c r="B273" s="80"/>
      <c r="C273" s="80"/>
      <c r="D273" s="80"/>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row>
    <row r="274">
      <c r="A274" s="80"/>
      <c r="B274" s="80"/>
      <c r="C274" s="80"/>
      <c r="D274" s="80"/>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row>
    <row r="275">
      <c r="A275" s="80"/>
      <c r="B275" s="80"/>
      <c r="C275" s="80"/>
      <c r="D275" s="80"/>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row>
    <row r="276">
      <c r="A276" s="80"/>
      <c r="B276" s="80"/>
      <c r="C276" s="80"/>
      <c r="D276" s="80"/>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row>
    <row r="277">
      <c r="A277" s="80"/>
      <c r="B277" s="80"/>
      <c r="C277" s="80"/>
      <c r="D277" s="80"/>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row>
    <row r="278">
      <c r="A278" s="80"/>
      <c r="B278" s="80"/>
      <c r="C278" s="80"/>
      <c r="D278" s="80"/>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row>
    <row r="279">
      <c r="A279" s="80"/>
      <c r="B279" s="80"/>
      <c r="C279" s="80"/>
      <c r="D279" s="80"/>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row>
    <row r="280">
      <c r="A280" s="80"/>
      <c r="B280" s="80"/>
      <c r="C280" s="80"/>
      <c r="D280" s="80"/>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row>
    <row r="281">
      <c r="A281" s="80"/>
      <c r="B281" s="80"/>
      <c r="C281" s="80"/>
      <c r="D281" s="80"/>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row>
    <row r="282">
      <c r="A282" s="80"/>
      <c r="B282" s="80"/>
      <c r="C282" s="80"/>
      <c r="D282" s="80"/>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row>
    <row r="283">
      <c r="A283" s="80"/>
      <c r="B283" s="80"/>
      <c r="C283" s="80"/>
      <c r="D283" s="80"/>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row>
    <row r="284">
      <c r="A284" s="80"/>
      <c r="B284" s="80"/>
      <c r="C284" s="80"/>
      <c r="D284" s="80"/>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row>
    <row r="285">
      <c r="A285" s="80"/>
      <c r="B285" s="80"/>
      <c r="C285" s="80"/>
      <c r="D285" s="80"/>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row>
    <row r="286">
      <c r="A286" s="80"/>
      <c r="B286" s="80"/>
      <c r="C286" s="80"/>
      <c r="D286" s="80"/>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row>
    <row r="287">
      <c r="A287" s="80"/>
      <c r="B287" s="80"/>
      <c r="C287" s="80"/>
      <c r="D287" s="80"/>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row>
    <row r="288">
      <c r="A288" s="80"/>
      <c r="B288" s="80"/>
      <c r="C288" s="80"/>
      <c r="D288" s="80"/>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row>
    <row r="289">
      <c r="A289" s="80"/>
      <c r="B289" s="80"/>
      <c r="C289" s="80"/>
      <c r="D289" s="80"/>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row>
    <row r="290">
      <c r="A290" s="80"/>
      <c r="B290" s="80"/>
      <c r="C290" s="80"/>
      <c r="D290" s="80"/>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row>
    <row r="291">
      <c r="A291" s="80"/>
      <c r="B291" s="80"/>
      <c r="C291" s="80"/>
      <c r="D291" s="80"/>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row>
    <row r="292">
      <c r="A292" s="80"/>
      <c r="B292" s="80"/>
      <c r="C292" s="80"/>
      <c r="D292" s="80"/>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row>
    <row r="293">
      <c r="A293" s="80"/>
      <c r="B293" s="80"/>
      <c r="C293" s="80"/>
      <c r="D293" s="80"/>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row>
    <row r="294">
      <c r="A294" s="80"/>
      <c r="B294" s="80"/>
      <c r="C294" s="80"/>
      <c r="D294" s="80"/>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row>
    <row r="295">
      <c r="A295" s="80"/>
      <c r="B295" s="80"/>
      <c r="C295" s="80"/>
      <c r="D295" s="80"/>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row>
    <row r="296">
      <c r="A296" s="80"/>
      <c r="B296" s="80"/>
      <c r="C296" s="80"/>
      <c r="D296" s="80"/>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row>
    <row r="297">
      <c r="A297" s="80"/>
      <c r="B297" s="80"/>
      <c r="C297" s="80"/>
      <c r="D297" s="80"/>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row>
    <row r="298">
      <c r="A298" s="80"/>
      <c r="B298" s="80"/>
      <c r="C298" s="80"/>
      <c r="D298" s="80"/>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row>
    <row r="299">
      <c r="A299" s="80"/>
      <c r="B299" s="80"/>
      <c r="C299" s="80"/>
      <c r="D299" s="80"/>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row>
    <row r="300">
      <c r="A300" s="80"/>
      <c r="B300" s="80"/>
      <c r="C300" s="80"/>
      <c r="D300" s="80"/>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row>
    <row r="301">
      <c r="A301" s="80"/>
      <c r="B301" s="80"/>
      <c r="C301" s="80"/>
      <c r="D301" s="80"/>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row>
    <row r="302">
      <c r="A302" s="80"/>
      <c r="B302" s="80"/>
      <c r="C302" s="80"/>
      <c r="D302" s="80"/>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row>
    <row r="303">
      <c r="A303" s="80"/>
      <c r="B303" s="80"/>
      <c r="C303" s="80"/>
      <c r="D303" s="80"/>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row>
    <row r="304">
      <c r="A304" s="80"/>
      <c r="B304" s="80"/>
      <c r="C304" s="80"/>
      <c r="D304" s="80"/>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row>
    <row r="305">
      <c r="A305" s="80"/>
      <c r="B305" s="80"/>
      <c r="C305" s="80"/>
      <c r="D305" s="80"/>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row>
    <row r="306">
      <c r="A306" s="80"/>
      <c r="B306" s="80"/>
      <c r="C306" s="80"/>
      <c r="D306" s="80"/>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row>
    <row r="307">
      <c r="A307" s="80"/>
      <c r="B307" s="80"/>
      <c r="C307" s="80"/>
      <c r="D307" s="80"/>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row>
    <row r="308">
      <c r="A308" s="80"/>
      <c r="B308" s="80"/>
      <c r="C308" s="80"/>
      <c r="D308" s="80"/>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row>
    <row r="309">
      <c r="A309" s="80"/>
      <c r="B309" s="80"/>
      <c r="C309" s="80"/>
      <c r="D309" s="80"/>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row>
    <row r="310">
      <c r="A310" s="80"/>
      <c r="B310" s="80"/>
      <c r="C310" s="80"/>
      <c r="D310" s="80"/>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row>
    <row r="311">
      <c r="A311" s="80"/>
      <c r="B311" s="80"/>
      <c r="C311" s="80"/>
      <c r="D311" s="80"/>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row>
    <row r="312">
      <c r="A312" s="80"/>
      <c r="B312" s="80"/>
      <c r="C312" s="80"/>
      <c r="D312" s="80"/>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row>
    <row r="313">
      <c r="A313" s="80"/>
      <c r="B313" s="80"/>
      <c r="C313" s="80"/>
      <c r="D313" s="80"/>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row>
    <row r="314">
      <c r="A314" s="80"/>
      <c r="B314" s="80"/>
      <c r="C314" s="80"/>
      <c r="D314" s="80"/>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row>
    <row r="315">
      <c r="A315" s="80"/>
      <c r="B315" s="80"/>
      <c r="C315" s="80"/>
      <c r="D315" s="80"/>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row>
    <row r="316">
      <c r="A316" s="80"/>
      <c r="B316" s="80"/>
      <c r="C316" s="80"/>
      <c r="D316" s="80"/>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row>
    <row r="317">
      <c r="A317" s="80"/>
      <c r="B317" s="80"/>
      <c r="C317" s="80"/>
      <c r="D317" s="80"/>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row>
    <row r="318">
      <c r="A318" s="80"/>
      <c r="B318" s="80"/>
      <c r="C318" s="80"/>
      <c r="D318" s="80"/>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row>
    <row r="319">
      <c r="A319" s="80"/>
      <c r="B319" s="80"/>
      <c r="C319" s="80"/>
      <c r="D319" s="80"/>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row>
    <row r="320">
      <c r="A320" s="80"/>
      <c r="B320" s="80"/>
      <c r="C320" s="80"/>
      <c r="D320" s="80"/>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row>
    <row r="321">
      <c r="A321" s="80"/>
      <c r="B321" s="80"/>
      <c r="C321" s="80"/>
      <c r="D321" s="80"/>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row>
    <row r="322">
      <c r="A322" s="80"/>
      <c r="B322" s="80"/>
      <c r="C322" s="80"/>
      <c r="D322" s="80"/>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row>
    <row r="323">
      <c r="A323" s="80"/>
      <c r="B323" s="80"/>
      <c r="C323" s="80"/>
      <c r="D323" s="80"/>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row>
    <row r="324">
      <c r="A324" s="80"/>
      <c r="B324" s="80"/>
      <c r="C324" s="80"/>
      <c r="D324" s="80"/>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row>
    <row r="325">
      <c r="A325" s="80"/>
      <c r="B325" s="80"/>
      <c r="C325" s="80"/>
      <c r="D325" s="80"/>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row>
    <row r="326">
      <c r="A326" s="80"/>
      <c r="B326" s="80"/>
      <c r="C326" s="80"/>
      <c r="D326" s="80"/>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row>
    <row r="327">
      <c r="A327" s="80"/>
      <c r="B327" s="80"/>
      <c r="C327" s="80"/>
      <c r="D327" s="80"/>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row>
    <row r="328">
      <c r="A328" s="80"/>
      <c r="B328" s="80"/>
      <c r="C328" s="80"/>
      <c r="D328" s="80"/>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row>
    <row r="329">
      <c r="A329" s="80"/>
      <c r="B329" s="80"/>
      <c r="C329" s="80"/>
      <c r="D329" s="80"/>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row>
    <row r="330">
      <c r="A330" s="80"/>
      <c r="B330" s="80"/>
      <c r="C330" s="80"/>
      <c r="D330" s="80"/>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row>
    <row r="331">
      <c r="A331" s="80"/>
      <c r="B331" s="80"/>
      <c r="C331" s="80"/>
      <c r="D331" s="80"/>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row>
    <row r="332">
      <c r="A332" s="80"/>
      <c r="B332" s="80"/>
      <c r="C332" s="80"/>
      <c r="D332" s="80"/>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row>
    <row r="333">
      <c r="A333" s="80"/>
      <c r="B333" s="80"/>
      <c r="C333" s="80"/>
      <c r="D333" s="80"/>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row>
    <row r="334">
      <c r="A334" s="80"/>
      <c r="B334" s="80"/>
      <c r="C334" s="80"/>
      <c r="D334" s="80"/>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row>
    <row r="335">
      <c r="A335" s="80"/>
      <c r="B335" s="80"/>
      <c r="C335" s="80"/>
      <c r="D335" s="80"/>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row>
    <row r="336">
      <c r="A336" s="80"/>
      <c r="B336" s="80"/>
      <c r="C336" s="80"/>
      <c r="D336" s="80"/>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row>
    <row r="337">
      <c r="A337" s="80"/>
      <c r="B337" s="80"/>
      <c r="C337" s="80"/>
      <c r="D337" s="80"/>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row>
    <row r="338">
      <c r="A338" s="80"/>
      <c r="B338" s="80"/>
      <c r="C338" s="80"/>
      <c r="D338" s="80"/>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row>
    <row r="339">
      <c r="A339" s="80"/>
      <c r="B339" s="80"/>
      <c r="C339" s="80"/>
      <c r="D339" s="80"/>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row>
    <row r="340">
      <c r="A340" s="80"/>
      <c r="B340" s="80"/>
      <c r="C340" s="80"/>
      <c r="D340" s="80"/>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row>
    <row r="341">
      <c r="A341" s="80"/>
      <c r="B341" s="80"/>
      <c r="C341" s="80"/>
      <c r="D341" s="80"/>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row>
    <row r="342">
      <c r="A342" s="80"/>
      <c r="B342" s="80"/>
      <c r="C342" s="80"/>
      <c r="D342" s="80"/>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row>
    <row r="343">
      <c r="A343" s="80"/>
      <c r="B343" s="80"/>
      <c r="C343" s="80"/>
      <c r="D343" s="80"/>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row>
    <row r="344">
      <c r="A344" s="80"/>
      <c r="B344" s="80"/>
      <c r="C344" s="80"/>
      <c r="D344" s="80"/>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row>
    <row r="345">
      <c r="A345" s="80"/>
      <c r="B345" s="80"/>
      <c r="C345" s="80"/>
      <c r="D345" s="80"/>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row>
    <row r="346">
      <c r="A346" s="80"/>
      <c r="B346" s="80"/>
      <c r="C346" s="80"/>
      <c r="D346" s="80"/>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row>
    <row r="347">
      <c r="A347" s="80"/>
      <c r="B347" s="80"/>
      <c r="C347" s="80"/>
      <c r="D347" s="80"/>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row>
    <row r="348">
      <c r="A348" s="80"/>
      <c r="B348" s="80"/>
      <c r="C348" s="80"/>
      <c r="D348" s="80"/>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row>
    <row r="349">
      <c r="A349" s="80"/>
      <c r="B349" s="80"/>
      <c r="C349" s="80"/>
      <c r="D349" s="80"/>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row>
    <row r="350">
      <c r="A350" s="80"/>
      <c r="B350" s="80"/>
      <c r="C350" s="80"/>
      <c r="D350" s="80"/>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row>
    <row r="351">
      <c r="A351" s="80"/>
      <c r="B351" s="80"/>
      <c r="C351" s="80"/>
      <c r="D351" s="80"/>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row>
    <row r="352">
      <c r="A352" s="80"/>
      <c r="B352" s="80"/>
      <c r="C352" s="80"/>
      <c r="D352" s="80"/>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row>
    <row r="353">
      <c r="A353" s="80"/>
      <c r="B353" s="80"/>
      <c r="C353" s="80"/>
      <c r="D353" s="80"/>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row>
    <row r="354">
      <c r="A354" s="80"/>
      <c r="B354" s="80"/>
      <c r="C354" s="80"/>
      <c r="D354" s="80"/>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row>
    <row r="355">
      <c r="A355" s="80"/>
      <c r="B355" s="80"/>
      <c r="C355" s="80"/>
      <c r="D355" s="80"/>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row>
    <row r="356">
      <c r="A356" s="80"/>
      <c r="B356" s="80"/>
      <c r="C356" s="80"/>
      <c r="D356" s="80"/>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row>
    <row r="357">
      <c r="A357" s="80"/>
      <c r="B357" s="80"/>
      <c r="C357" s="80"/>
      <c r="D357" s="80"/>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row>
    <row r="358">
      <c r="A358" s="80"/>
      <c r="B358" s="80"/>
      <c r="C358" s="80"/>
      <c r="D358" s="80"/>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row>
    <row r="359">
      <c r="A359" s="80"/>
      <c r="B359" s="80"/>
      <c r="C359" s="80"/>
      <c r="D359" s="80"/>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row>
    <row r="360">
      <c r="A360" s="80"/>
      <c r="B360" s="80"/>
      <c r="C360" s="80"/>
      <c r="D360" s="80"/>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row>
    <row r="361">
      <c r="A361" s="80"/>
      <c r="B361" s="80"/>
      <c r="C361" s="80"/>
      <c r="D361" s="80"/>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row>
    <row r="362">
      <c r="A362" s="80"/>
      <c r="B362" s="80"/>
      <c r="C362" s="80"/>
      <c r="D362" s="80"/>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row>
    <row r="363">
      <c r="A363" s="80"/>
      <c r="B363" s="80"/>
      <c r="C363" s="80"/>
      <c r="D363" s="80"/>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row>
    <row r="364">
      <c r="A364" s="80"/>
      <c r="B364" s="80"/>
      <c r="C364" s="80"/>
      <c r="D364" s="80"/>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row>
    <row r="365">
      <c r="A365" s="80"/>
      <c r="B365" s="80"/>
      <c r="C365" s="80"/>
      <c r="D365" s="80"/>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row>
    <row r="366">
      <c r="A366" s="80"/>
      <c r="B366" s="80"/>
      <c r="C366" s="80"/>
      <c r="D366" s="80"/>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row>
    <row r="367">
      <c r="A367" s="80"/>
      <c r="B367" s="80"/>
      <c r="C367" s="80"/>
      <c r="D367" s="80"/>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row>
    <row r="368">
      <c r="A368" s="80"/>
      <c r="B368" s="80"/>
      <c r="C368" s="80"/>
      <c r="D368" s="80"/>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row>
    <row r="369">
      <c r="A369" s="80"/>
      <c r="B369" s="80"/>
      <c r="C369" s="80"/>
      <c r="D369" s="80"/>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row>
    <row r="370">
      <c r="A370" s="80"/>
      <c r="B370" s="80"/>
      <c r="C370" s="80"/>
      <c r="D370" s="80"/>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row>
    <row r="371">
      <c r="A371" s="80"/>
      <c r="B371" s="80"/>
      <c r="C371" s="80"/>
      <c r="D371" s="80"/>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row>
    <row r="372">
      <c r="A372" s="80"/>
      <c r="B372" s="80"/>
      <c r="C372" s="80"/>
      <c r="D372" s="80"/>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row>
    <row r="373">
      <c r="A373" s="80"/>
      <c r="B373" s="80"/>
      <c r="C373" s="80"/>
      <c r="D373" s="80"/>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row>
    <row r="374">
      <c r="A374" s="80"/>
      <c r="B374" s="80"/>
      <c r="C374" s="80"/>
      <c r="D374" s="80"/>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row>
    <row r="375">
      <c r="A375" s="80"/>
      <c r="B375" s="80"/>
      <c r="C375" s="80"/>
      <c r="D375" s="80"/>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row>
    <row r="376">
      <c r="A376" s="80"/>
      <c r="B376" s="80"/>
      <c r="C376" s="80"/>
      <c r="D376" s="80"/>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row>
    <row r="377">
      <c r="A377" s="80"/>
      <c r="B377" s="80"/>
      <c r="C377" s="80"/>
      <c r="D377" s="80"/>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row>
    <row r="378">
      <c r="A378" s="80"/>
      <c r="B378" s="80"/>
      <c r="C378" s="80"/>
      <c r="D378" s="80"/>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row>
    <row r="379">
      <c r="A379" s="80"/>
      <c r="B379" s="80"/>
      <c r="C379" s="80"/>
      <c r="D379" s="80"/>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row>
    <row r="380">
      <c r="A380" s="80"/>
      <c r="B380" s="80"/>
      <c r="C380" s="80"/>
      <c r="D380" s="80"/>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row>
    <row r="381">
      <c r="A381" s="80"/>
      <c r="B381" s="80"/>
      <c r="C381" s="80"/>
      <c r="D381" s="80"/>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row>
    <row r="382">
      <c r="A382" s="80"/>
      <c r="B382" s="80"/>
      <c r="C382" s="80"/>
      <c r="D382" s="80"/>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row>
    <row r="383">
      <c r="A383" s="80"/>
      <c r="B383" s="80"/>
      <c r="C383" s="80"/>
      <c r="D383" s="80"/>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row>
    <row r="384">
      <c r="A384" s="80"/>
      <c r="B384" s="80"/>
      <c r="C384" s="80"/>
      <c r="D384" s="80"/>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row>
    <row r="385">
      <c r="A385" s="80"/>
      <c r="B385" s="80"/>
      <c r="C385" s="80"/>
      <c r="D385" s="80"/>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row>
    <row r="386">
      <c r="A386" s="80"/>
      <c r="B386" s="80"/>
      <c r="C386" s="80"/>
      <c r="D386" s="80"/>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row>
    <row r="387">
      <c r="A387" s="80"/>
      <c r="B387" s="80"/>
      <c r="C387" s="80"/>
      <c r="D387" s="80"/>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row>
    <row r="388">
      <c r="A388" s="80"/>
      <c r="B388" s="80"/>
      <c r="C388" s="80"/>
      <c r="D388" s="80"/>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row>
    <row r="389">
      <c r="A389" s="80"/>
      <c r="B389" s="80"/>
      <c r="C389" s="80"/>
      <c r="D389" s="80"/>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row>
    <row r="390">
      <c r="A390" s="80"/>
      <c r="B390" s="80"/>
      <c r="C390" s="80"/>
      <c r="D390" s="80"/>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row>
    <row r="391">
      <c r="A391" s="80"/>
      <c r="B391" s="80"/>
      <c r="C391" s="80"/>
      <c r="D391" s="80"/>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row>
    <row r="392">
      <c r="A392" s="80"/>
      <c r="B392" s="80"/>
      <c r="C392" s="80"/>
      <c r="D392" s="80"/>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row>
    <row r="393">
      <c r="A393" s="80"/>
      <c r="B393" s="80"/>
      <c r="C393" s="80"/>
      <c r="D393" s="80"/>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row>
    <row r="394">
      <c r="A394" s="80"/>
      <c r="B394" s="80"/>
      <c r="C394" s="80"/>
      <c r="D394" s="80"/>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row>
    <row r="395">
      <c r="A395" s="80"/>
      <c r="B395" s="80"/>
      <c r="C395" s="80"/>
      <c r="D395" s="80"/>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row>
    <row r="396">
      <c r="A396" s="80"/>
      <c r="B396" s="80"/>
      <c r="C396" s="80"/>
      <c r="D396" s="80"/>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row>
    <row r="397">
      <c r="A397" s="80"/>
      <c r="B397" s="80"/>
      <c r="C397" s="80"/>
      <c r="D397" s="80"/>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row>
    <row r="398">
      <c r="A398" s="80"/>
      <c r="B398" s="80"/>
      <c r="C398" s="80"/>
      <c r="D398" s="80"/>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row>
    <row r="399">
      <c r="A399" s="80"/>
      <c r="B399" s="80"/>
      <c r="C399" s="80"/>
      <c r="D399" s="80"/>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row>
    <row r="400">
      <c r="A400" s="80"/>
      <c r="B400" s="80"/>
      <c r="C400" s="80"/>
      <c r="D400" s="80"/>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row>
    <row r="401">
      <c r="A401" s="80"/>
      <c r="B401" s="80"/>
      <c r="C401" s="80"/>
      <c r="D401" s="80"/>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row>
    <row r="402">
      <c r="A402" s="80"/>
      <c r="B402" s="80"/>
      <c r="C402" s="80"/>
      <c r="D402" s="80"/>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row>
    <row r="403">
      <c r="A403" s="80"/>
      <c r="B403" s="80"/>
      <c r="C403" s="80"/>
      <c r="D403" s="80"/>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row>
    <row r="404">
      <c r="A404" s="80"/>
      <c r="B404" s="80"/>
      <c r="C404" s="80"/>
      <c r="D404" s="80"/>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row>
    <row r="405">
      <c r="A405" s="80"/>
      <c r="B405" s="80"/>
      <c r="C405" s="80"/>
      <c r="D405" s="80"/>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row>
    <row r="406">
      <c r="A406" s="80"/>
      <c r="B406" s="80"/>
      <c r="C406" s="80"/>
      <c r="D406" s="80"/>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row>
    <row r="407">
      <c r="A407" s="80"/>
      <c r="B407" s="80"/>
      <c r="C407" s="80"/>
      <c r="D407" s="80"/>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row>
    <row r="408">
      <c r="A408" s="80"/>
      <c r="B408" s="80"/>
      <c r="C408" s="80"/>
      <c r="D408" s="80"/>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row>
    <row r="409">
      <c r="A409" s="80"/>
      <c r="B409" s="80"/>
      <c r="C409" s="80"/>
      <c r="D409" s="80"/>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row>
    <row r="410">
      <c r="A410" s="80"/>
      <c r="B410" s="80"/>
      <c r="C410" s="80"/>
      <c r="D410" s="80"/>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row>
    <row r="411">
      <c r="A411" s="80"/>
      <c r="B411" s="80"/>
      <c r="C411" s="80"/>
      <c r="D411" s="80"/>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row>
    <row r="412">
      <c r="A412" s="80"/>
      <c r="B412" s="80"/>
      <c r="C412" s="80"/>
      <c r="D412" s="80"/>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row>
    <row r="413">
      <c r="A413" s="80"/>
      <c r="B413" s="80"/>
      <c r="C413" s="80"/>
      <c r="D413" s="80"/>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row>
    <row r="414">
      <c r="A414" s="80"/>
      <c r="B414" s="80"/>
      <c r="C414" s="80"/>
      <c r="D414" s="80"/>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row>
    <row r="415">
      <c r="A415" s="80"/>
      <c r="B415" s="80"/>
      <c r="C415" s="80"/>
      <c r="D415" s="80"/>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row>
    <row r="416">
      <c r="A416" s="80"/>
      <c r="B416" s="80"/>
      <c r="C416" s="80"/>
      <c r="D416" s="80"/>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row>
    <row r="417">
      <c r="A417" s="80"/>
      <c r="B417" s="80"/>
      <c r="C417" s="80"/>
      <c r="D417" s="80"/>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row>
    <row r="418">
      <c r="A418" s="80"/>
      <c r="B418" s="80"/>
      <c r="C418" s="80"/>
      <c r="D418" s="80"/>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row>
    <row r="419">
      <c r="A419" s="80"/>
      <c r="B419" s="80"/>
      <c r="C419" s="80"/>
      <c r="D419" s="80"/>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row>
    <row r="420">
      <c r="A420" s="80"/>
      <c r="B420" s="80"/>
      <c r="C420" s="80"/>
      <c r="D420" s="80"/>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row>
    <row r="421">
      <c r="A421" s="80"/>
      <c r="B421" s="80"/>
      <c r="C421" s="80"/>
      <c r="D421" s="80"/>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row>
    <row r="422">
      <c r="A422" s="80"/>
      <c r="B422" s="80"/>
      <c r="C422" s="80"/>
      <c r="D422" s="80"/>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row>
    <row r="423">
      <c r="A423" s="80"/>
      <c r="B423" s="80"/>
      <c r="C423" s="80"/>
      <c r="D423" s="80"/>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row>
    <row r="424">
      <c r="A424" s="80"/>
      <c r="B424" s="80"/>
      <c r="C424" s="80"/>
      <c r="D424" s="80"/>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row>
    <row r="425">
      <c r="A425" s="80"/>
      <c r="B425" s="80"/>
      <c r="C425" s="80"/>
      <c r="D425" s="80"/>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row>
    <row r="426">
      <c r="A426" s="80"/>
      <c r="B426" s="80"/>
      <c r="C426" s="80"/>
      <c r="D426" s="80"/>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row>
    <row r="427">
      <c r="A427" s="80"/>
      <c r="B427" s="80"/>
      <c r="C427" s="80"/>
      <c r="D427" s="80"/>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row>
    <row r="428">
      <c r="A428" s="80"/>
      <c r="B428" s="80"/>
      <c r="C428" s="80"/>
      <c r="D428" s="80"/>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row>
    <row r="429">
      <c r="A429" s="80"/>
      <c r="B429" s="80"/>
      <c r="C429" s="80"/>
      <c r="D429" s="80"/>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row>
    <row r="430">
      <c r="A430" s="80"/>
      <c r="B430" s="80"/>
      <c r="C430" s="80"/>
      <c r="D430" s="80"/>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row>
    <row r="431">
      <c r="A431" s="80"/>
      <c r="B431" s="80"/>
      <c r="C431" s="80"/>
      <c r="D431" s="80"/>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row>
    <row r="432">
      <c r="A432" s="80"/>
      <c r="B432" s="80"/>
      <c r="C432" s="80"/>
      <c r="D432" s="80"/>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row>
    <row r="433">
      <c r="A433" s="80"/>
      <c r="B433" s="80"/>
      <c r="C433" s="80"/>
      <c r="D433" s="80"/>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row>
    <row r="434">
      <c r="A434" s="80"/>
      <c r="B434" s="80"/>
      <c r="C434" s="80"/>
      <c r="D434" s="80"/>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row>
    <row r="435">
      <c r="A435" s="80"/>
      <c r="B435" s="80"/>
      <c r="C435" s="80"/>
      <c r="D435" s="80"/>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row>
    <row r="436">
      <c r="A436" s="80"/>
      <c r="B436" s="80"/>
      <c r="C436" s="80"/>
      <c r="D436" s="80"/>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row>
    <row r="437">
      <c r="A437" s="80"/>
      <c r="B437" s="80"/>
      <c r="C437" s="80"/>
      <c r="D437" s="80"/>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row>
    <row r="438">
      <c r="A438" s="80"/>
      <c r="B438" s="80"/>
      <c r="C438" s="80"/>
      <c r="D438" s="80"/>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row>
    <row r="439">
      <c r="A439" s="80"/>
      <c r="B439" s="80"/>
      <c r="C439" s="80"/>
      <c r="D439" s="80"/>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row>
    <row r="440">
      <c r="A440" s="80"/>
      <c r="B440" s="80"/>
      <c r="C440" s="80"/>
      <c r="D440" s="80"/>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row>
    <row r="441">
      <c r="A441" s="80"/>
      <c r="B441" s="80"/>
      <c r="C441" s="80"/>
      <c r="D441" s="80"/>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row>
    <row r="442">
      <c r="A442" s="80"/>
      <c r="B442" s="80"/>
      <c r="C442" s="80"/>
      <c r="D442" s="80"/>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row>
    <row r="443">
      <c r="A443" s="80"/>
      <c r="B443" s="80"/>
      <c r="C443" s="80"/>
      <c r="D443" s="80"/>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row>
    <row r="444">
      <c r="A444" s="80"/>
      <c r="B444" s="80"/>
      <c r="C444" s="80"/>
      <c r="D444" s="80"/>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row>
    <row r="445">
      <c r="A445" s="80"/>
      <c r="B445" s="80"/>
      <c r="C445" s="80"/>
      <c r="D445" s="80"/>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row>
    <row r="446">
      <c r="A446" s="80"/>
      <c r="B446" s="80"/>
      <c r="C446" s="80"/>
      <c r="D446" s="80"/>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row>
    <row r="447">
      <c r="A447" s="80"/>
      <c r="B447" s="80"/>
      <c r="C447" s="80"/>
      <c r="D447" s="80"/>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row>
    <row r="448">
      <c r="A448" s="80"/>
      <c r="B448" s="80"/>
      <c r="C448" s="80"/>
      <c r="D448" s="80"/>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row>
    <row r="449">
      <c r="A449" s="80"/>
      <c r="B449" s="80"/>
      <c r="C449" s="80"/>
      <c r="D449" s="80"/>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row>
    <row r="450">
      <c r="A450" s="80"/>
      <c r="B450" s="80"/>
      <c r="C450" s="80"/>
      <c r="D450" s="80"/>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row>
    <row r="451">
      <c r="A451" s="80"/>
      <c r="B451" s="80"/>
      <c r="C451" s="80"/>
      <c r="D451" s="80"/>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row>
    <row r="452">
      <c r="A452" s="80"/>
      <c r="B452" s="80"/>
      <c r="C452" s="80"/>
      <c r="D452" s="80"/>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row>
    <row r="453">
      <c r="A453" s="80"/>
      <c r="B453" s="80"/>
      <c r="C453" s="80"/>
      <c r="D453" s="80"/>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row>
    <row r="454">
      <c r="A454" s="80"/>
      <c r="B454" s="80"/>
      <c r="C454" s="80"/>
      <c r="D454" s="80"/>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row>
    <row r="455">
      <c r="A455" s="80"/>
      <c r="B455" s="80"/>
      <c r="C455" s="80"/>
      <c r="D455" s="80"/>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row>
    <row r="456">
      <c r="A456" s="80"/>
      <c r="B456" s="80"/>
      <c r="C456" s="80"/>
      <c r="D456" s="80"/>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row>
    <row r="457">
      <c r="A457" s="80"/>
      <c r="B457" s="80"/>
      <c r="C457" s="80"/>
      <c r="D457" s="80"/>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row>
    <row r="458">
      <c r="A458" s="80"/>
      <c r="B458" s="80"/>
      <c r="C458" s="80"/>
      <c r="D458" s="80"/>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row>
    <row r="459">
      <c r="A459" s="80"/>
      <c r="B459" s="80"/>
      <c r="C459" s="80"/>
      <c r="D459" s="80"/>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row>
    <row r="460">
      <c r="A460" s="80"/>
      <c r="B460" s="80"/>
      <c r="C460" s="80"/>
      <c r="D460" s="80"/>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row>
    <row r="461">
      <c r="A461" s="80"/>
      <c r="B461" s="80"/>
      <c r="C461" s="80"/>
      <c r="D461" s="80"/>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row>
    <row r="462">
      <c r="A462" s="80"/>
      <c r="B462" s="80"/>
      <c r="C462" s="80"/>
      <c r="D462" s="80"/>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row>
    <row r="463">
      <c r="A463" s="80"/>
      <c r="B463" s="80"/>
      <c r="C463" s="80"/>
      <c r="D463" s="80"/>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row>
    <row r="464">
      <c r="A464" s="80"/>
      <c r="B464" s="80"/>
      <c r="C464" s="80"/>
      <c r="D464" s="80"/>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row>
    <row r="465">
      <c r="A465" s="80"/>
      <c r="B465" s="80"/>
      <c r="C465" s="80"/>
      <c r="D465" s="80"/>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row>
    <row r="466">
      <c r="A466" s="80"/>
      <c r="B466" s="80"/>
      <c r="C466" s="80"/>
      <c r="D466" s="80"/>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row>
    <row r="467">
      <c r="A467" s="80"/>
      <c r="B467" s="80"/>
      <c r="C467" s="80"/>
      <c r="D467" s="80"/>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row>
    <row r="468">
      <c r="A468" s="80"/>
      <c r="B468" s="80"/>
      <c r="C468" s="80"/>
      <c r="D468" s="80"/>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row>
    <row r="469">
      <c r="A469" s="80"/>
      <c r="B469" s="80"/>
      <c r="C469" s="80"/>
      <c r="D469" s="80"/>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row>
    <row r="470">
      <c r="A470" s="80"/>
      <c r="B470" s="80"/>
      <c r="C470" s="80"/>
      <c r="D470" s="80"/>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row>
    <row r="471">
      <c r="A471" s="80"/>
      <c r="B471" s="80"/>
      <c r="C471" s="80"/>
      <c r="D471" s="80"/>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row>
    <row r="472">
      <c r="A472" s="80"/>
      <c r="B472" s="80"/>
      <c r="C472" s="80"/>
      <c r="D472" s="80"/>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row>
    <row r="473">
      <c r="A473" s="80"/>
      <c r="B473" s="80"/>
      <c r="C473" s="80"/>
      <c r="D473" s="80"/>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row>
    <row r="474">
      <c r="A474" s="80"/>
      <c r="B474" s="80"/>
      <c r="C474" s="80"/>
      <c r="D474" s="80"/>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row>
    <row r="475">
      <c r="A475" s="80"/>
      <c r="B475" s="80"/>
      <c r="C475" s="80"/>
      <c r="D475" s="80"/>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row>
    <row r="476">
      <c r="A476" s="80"/>
      <c r="B476" s="80"/>
      <c r="C476" s="80"/>
      <c r="D476" s="80"/>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row>
    <row r="477">
      <c r="A477" s="80"/>
      <c r="B477" s="80"/>
      <c r="C477" s="80"/>
      <c r="D477" s="80"/>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row>
    <row r="478">
      <c r="A478" s="80"/>
      <c r="B478" s="80"/>
      <c r="C478" s="80"/>
      <c r="D478" s="80"/>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row>
    <row r="479">
      <c r="A479" s="80"/>
      <c r="B479" s="80"/>
      <c r="C479" s="80"/>
      <c r="D479" s="80"/>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row>
    <row r="480">
      <c r="A480" s="80"/>
      <c r="B480" s="80"/>
      <c r="C480" s="80"/>
      <c r="D480" s="80"/>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row>
    <row r="481">
      <c r="A481" s="80"/>
      <c r="B481" s="80"/>
      <c r="C481" s="80"/>
      <c r="D481" s="80"/>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row>
    <row r="482">
      <c r="A482" s="80"/>
      <c r="B482" s="80"/>
      <c r="C482" s="80"/>
      <c r="D482" s="80"/>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row>
    <row r="483">
      <c r="A483" s="80"/>
      <c r="B483" s="80"/>
      <c r="C483" s="80"/>
      <c r="D483" s="80"/>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row>
    <row r="484">
      <c r="A484" s="80"/>
      <c r="B484" s="80"/>
      <c r="C484" s="80"/>
      <c r="D484" s="80"/>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row>
    <row r="485">
      <c r="A485" s="80"/>
      <c r="B485" s="80"/>
      <c r="C485" s="80"/>
      <c r="D485" s="80"/>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row>
    <row r="486">
      <c r="A486" s="80"/>
      <c r="B486" s="80"/>
      <c r="C486" s="80"/>
      <c r="D486" s="80"/>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row>
    <row r="487">
      <c r="A487" s="80"/>
      <c r="B487" s="80"/>
      <c r="C487" s="80"/>
      <c r="D487" s="80"/>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row>
    <row r="488">
      <c r="A488" s="80"/>
      <c r="B488" s="80"/>
      <c r="C488" s="80"/>
      <c r="D488" s="80"/>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row>
    <row r="489">
      <c r="A489" s="80"/>
      <c r="B489" s="80"/>
      <c r="C489" s="80"/>
      <c r="D489" s="80"/>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row>
    <row r="490">
      <c r="A490" s="80"/>
      <c r="B490" s="80"/>
      <c r="C490" s="80"/>
      <c r="D490" s="80"/>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row>
    <row r="491">
      <c r="A491" s="80"/>
      <c r="B491" s="80"/>
      <c r="C491" s="80"/>
      <c r="D491" s="80"/>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row>
    <row r="492">
      <c r="A492" s="80"/>
      <c r="B492" s="80"/>
      <c r="C492" s="80"/>
      <c r="D492" s="80"/>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row>
    <row r="493">
      <c r="A493" s="80"/>
      <c r="B493" s="80"/>
      <c r="C493" s="80"/>
      <c r="D493" s="80"/>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row>
    <row r="494">
      <c r="A494" s="80"/>
      <c r="B494" s="80"/>
      <c r="C494" s="80"/>
      <c r="D494" s="80"/>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row>
    <row r="495">
      <c r="A495" s="80"/>
      <c r="B495" s="80"/>
      <c r="C495" s="80"/>
      <c r="D495" s="80"/>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row>
    <row r="496">
      <c r="A496" s="80"/>
      <c r="B496" s="80"/>
      <c r="C496" s="80"/>
      <c r="D496" s="80"/>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row>
    <row r="497">
      <c r="A497" s="80"/>
      <c r="B497" s="80"/>
      <c r="C497" s="80"/>
      <c r="D497" s="80"/>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row>
    <row r="498">
      <c r="A498" s="80"/>
      <c r="B498" s="80"/>
      <c r="C498" s="80"/>
      <c r="D498" s="80"/>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row>
    <row r="499">
      <c r="A499" s="80"/>
      <c r="B499" s="80"/>
      <c r="C499" s="80"/>
      <c r="D499" s="80"/>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row>
    <row r="500">
      <c r="A500" s="80"/>
      <c r="B500" s="80"/>
      <c r="C500" s="80"/>
      <c r="D500" s="80"/>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row>
    <row r="501">
      <c r="A501" s="80"/>
      <c r="B501" s="80"/>
      <c r="C501" s="80"/>
      <c r="D501" s="80"/>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row>
    <row r="502">
      <c r="A502" s="80"/>
      <c r="B502" s="80"/>
      <c r="C502" s="80"/>
      <c r="D502" s="80"/>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row>
    <row r="503">
      <c r="A503" s="80"/>
      <c r="B503" s="80"/>
      <c r="C503" s="80"/>
      <c r="D503" s="80"/>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row>
    <row r="504">
      <c r="A504" s="80"/>
      <c r="B504" s="80"/>
      <c r="C504" s="80"/>
      <c r="D504" s="80"/>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row>
    <row r="505">
      <c r="A505" s="80"/>
      <c r="B505" s="80"/>
      <c r="C505" s="80"/>
      <c r="D505" s="80"/>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row>
    <row r="506">
      <c r="A506" s="80"/>
      <c r="B506" s="80"/>
      <c r="C506" s="80"/>
      <c r="D506" s="80"/>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row>
    <row r="507">
      <c r="A507" s="80"/>
      <c r="B507" s="80"/>
      <c r="C507" s="80"/>
      <c r="D507" s="80"/>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row>
    <row r="508">
      <c r="A508" s="80"/>
      <c r="B508" s="80"/>
      <c r="C508" s="80"/>
      <c r="D508" s="80"/>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row>
    <row r="509">
      <c r="A509" s="80"/>
      <c r="B509" s="80"/>
      <c r="C509" s="80"/>
      <c r="D509" s="80"/>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row>
    <row r="510">
      <c r="A510" s="80"/>
      <c r="B510" s="80"/>
      <c r="C510" s="80"/>
      <c r="D510" s="80"/>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row>
    <row r="511">
      <c r="A511" s="80"/>
      <c r="B511" s="80"/>
      <c r="C511" s="80"/>
      <c r="D511" s="80"/>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row>
    <row r="512">
      <c r="A512" s="80"/>
      <c r="B512" s="80"/>
      <c r="C512" s="80"/>
      <c r="D512" s="80"/>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row>
    <row r="513">
      <c r="A513" s="80"/>
      <c r="B513" s="80"/>
      <c r="C513" s="80"/>
      <c r="D513" s="80"/>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row>
    <row r="514">
      <c r="A514" s="80"/>
      <c r="B514" s="80"/>
      <c r="C514" s="80"/>
      <c r="D514" s="80"/>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row>
    <row r="515">
      <c r="A515" s="80"/>
      <c r="B515" s="80"/>
      <c r="C515" s="80"/>
      <c r="D515" s="80"/>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row>
    <row r="516">
      <c r="A516" s="80"/>
      <c r="B516" s="80"/>
      <c r="C516" s="80"/>
      <c r="D516" s="80"/>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row>
    <row r="517">
      <c r="A517" s="80"/>
      <c r="B517" s="80"/>
      <c r="C517" s="80"/>
      <c r="D517" s="80"/>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row>
    <row r="518">
      <c r="A518" s="80"/>
      <c r="B518" s="80"/>
      <c r="C518" s="80"/>
      <c r="D518" s="80"/>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row>
    <row r="519">
      <c r="A519" s="80"/>
      <c r="B519" s="80"/>
      <c r="C519" s="80"/>
      <c r="D519" s="80"/>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row>
    <row r="520">
      <c r="A520" s="80"/>
      <c r="B520" s="80"/>
      <c r="C520" s="80"/>
      <c r="D520" s="80"/>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row>
    <row r="521">
      <c r="A521" s="80"/>
      <c r="B521" s="80"/>
      <c r="C521" s="80"/>
      <c r="D521" s="80"/>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row>
    <row r="522">
      <c r="A522" s="80"/>
      <c r="B522" s="80"/>
      <c r="C522" s="80"/>
      <c r="D522" s="80"/>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row>
    <row r="523">
      <c r="A523" s="80"/>
      <c r="B523" s="80"/>
      <c r="C523" s="80"/>
      <c r="D523" s="80"/>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row>
    <row r="524">
      <c r="A524" s="80"/>
      <c r="B524" s="80"/>
      <c r="C524" s="80"/>
      <c r="D524" s="80"/>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row>
    <row r="525">
      <c r="A525" s="80"/>
      <c r="B525" s="80"/>
      <c r="C525" s="80"/>
      <c r="D525" s="80"/>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row>
    <row r="526">
      <c r="A526" s="80"/>
      <c r="B526" s="80"/>
      <c r="C526" s="80"/>
      <c r="D526" s="80"/>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row>
    <row r="527">
      <c r="A527" s="80"/>
      <c r="B527" s="80"/>
      <c r="C527" s="80"/>
      <c r="D527" s="80"/>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row>
    <row r="528">
      <c r="A528" s="80"/>
      <c r="B528" s="80"/>
      <c r="C528" s="80"/>
      <c r="D528" s="80"/>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row>
    <row r="529">
      <c r="A529" s="80"/>
      <c r="B529" s="80"/>
      <c r="C529" s="80"/>
      <c r="D529" s="80"/>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row>
    <row r="530">
      <c r="A530" s="80"/>
      <c r="B530" s="80"/>
      <c r="C530" s="80"/>
      <c r="D530" s="80"/>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row>
    <row r="531">
      <c r="A531" s="80"/>
      <c r="B531" s="80"/>
      <c r="C531" s="80"/>
      <c r="D531" s="80"/>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row>
    <row r="532">
      <c r="A532" s="80"/>
      <c r="B532" s="80"/>
      <c r="C532" s="80"/>
      <c r="D532" s="80"/>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row>
    <row r="533">
      <c r="A533" s="80"/>
      <c r="B533" s="80"/>
      <c r="C533" s="80"/>
      <c r="D533" s="80"/>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row>
    <row r="534">
      <c r="A534" s="80"/>
      <c r="B534" s="80"/>
      <c r="C534" s="80"/>
      <c r="D534" s="80"/>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row>
    <row r="535">
      <c r="A535" s="80"/>
      <c r="B535" s="80"/>
      <c r="C535" s="80"/>
      <c r="D535" s="80"/>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row>
    <row r="536">
      <c r="A536" s="80"/>
      <c r="B536" s="80"/>
      <c r="C536" s="80"/>
      <c r="D536" s="80"/>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row>
    <row r="537">
      <c r="A537" s="80"/>
      <c r="B537" s="80"/>
      <c r="C537" s="80"/>
      <c r="D537" s="80"/>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row>
    <row r="538">
      <c r="A538" s="80"/>
      <c r="B538" s="80"/>
      <c r="C538" s="80"/>
      <c r="D538" s="80"/>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row>
    <row r="539">
      <c r="A539" s="80"/>
      <c r="B539" s="80"/>
      <c r="C539" s="80"/>
      <c r="D539" s="80"/>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row>
    <row r="540">
      <c r="A540" s="80"/>
      <c r="B540" s="80"/>
      <c r="C540" s="80"/>
      <c r="D540" s="80"/>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row>
    <row r="541">
      <c r="A541" s="80"/>
      <c r="B541" s="80"/>
      <c r="C541" s="80"/>
      <c r="D541" s="80"/>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row>
    <row r="542">
      <c r="A542" s="80"/>
      <c r="B542" s="80"/>
      <c r="C542" s="80"/>
      <c r="D542" s="80"/>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row>
    <row r="543">
      <c r="A543" s="80"/>
      <c r="B543" s="80"/>
      <c r="C543" s="80"/>
      <c r="D543" s="80"/>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row>
    <row r="544">
      <c r="A544" s="80"/>
      <c r="B544" s="80"/>
      <c r="C544" s="80"/>
      <c r="D544" s="80"/>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row>
    <row r="545">
      <c r="A545" s="80"/>
      <c r="B545" s="80"/>
      <c r="C545" s="80"/>
      <c r="D545" s="80"/>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row>
    <row r="546">
      <c r="A546" s="80"/>
      <c r="B546" s="80"/>
      <c r="C546" s="80"/>
      <c r="D546" s="80"/>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row>
    <row r="547">
      <c r="A547" s="80"/>
      <c r="B547" s="80"/>
      <c r="C547" s="80"/>
      <c r="D547" s="80"/>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row>
    <row r="548">
      <c r="A548" s="80"/>
      <c r="B548" s="80"/>
      <c r="C548" s="80"/>
      <c r="D548" s="80"/>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row>
    <row r="549">
      <c r="A549" s="80"/>
      <c r="B549" s="80"/>
      <c r="C549" s="80"/>
      <c r="D549" s="80"/>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row>
    <row r="550">
      <c r="A550" s="80"/>
      <c r="B550" s="80"/>
      <c r="C550" s="80"/>
      <c r="D550" s="80"/>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row>
    <row r="551">
      <c r="A551" s="80"/>
      <c r="B551" s="80"/>
      <c r="C551" s="80"/>
      <c r="D551" s="80"/>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row>
    <row r="552">
      <c r="A552" s="80"/>
      <c r="B552" s="80"/>
      <c r="C552" s="80"/>
      <c r="D552" s="80"/>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row>
    <row r="553">
      <c r="A553" s="80"/>
      <c r="B553" s="80"/>
      <c r="C553" s="80"/>
      <c r="D553" s="80"/>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row>
    <row r="554">
      <c r="A554" s="80"/>
      <c r="B554" s="80"/>
      <c r="C554" s="80"/>
      <c r="D554" s="80"/>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row>
    <row r="555">
      <c r="A555" s="80"/>
      <c r="B555" s="80"/>
      <c r="C555" s="80"/>
      <c r="D555" s="80"/>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row>
    <row r="556">
      <c r="A556" s="80"/>
      <c r="B556" s="80"/>
      <c r="C556" s="80"/>
      <c r="D556" s="80"/>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row>
    <row r="557">
      <c r="A557" s="80"/>
      <c r="B557" s="80"/>
      <c r="C557" s="80"/>
      <c r="D557" s="80"/>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row>
    <row r="558">
      <c r="A558" s="80"/>
      <c r="B558" s="80"/>
      <c r="C558" s="80"/>
      <c r="D558" s="80"/>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row>
    <row r="559">
      <c r="A559" s="80"/>
      <c r="B559" s="80"/>
      <c r="C559" s="80"/>
      <c r="D559" s="80"/>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row>
    <row r="560">
      <c r="A560" s="80"/>
      <c r="B560" s="80"/>
      <c r="C560" s="80"/>
      <c r="D560" s="80"/>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row>
    <row r="561">
      <c r="A561" s="80"/>
      <c r="B561" s="80"/>
      <c r="C561" s="80"/>
      <c r="D561" s="80"/>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row>
    <row r="562">
      <c r="A562" s="80"/>
      <c r="B562" s="80"/>
      <c r="C562" s="80"/>
      <c r="D562" s="80"/>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row>
    <row r="563">
      <c r="A563" s="80"/>
      <c r="B563" s="80"/>
      <c r="C563" s="80"/>
      <c r="D563" s="80"/>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row>
    <row r="564">
      <c r="A564" s="80"/>
      <c r="B564" s="80"/>
      <c r="C564" s="80"/>
      <c r="D564" s="80"/>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row>
    <row r="565">
      <c r="A565" s="80"/>
      <c r="B565" s="80"/>
      <c r="C565" s="80"/>
      <c r="D565" s="80"/>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row>
    <row r="566">
      <c r="A566" s="80"/>
      <c r="B566" s="80"/>
      <c r="C566" s="80"/>
      <c r="D566" s="80"/>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row>
    <row r="567">
      <c r="A567" s="80"/>
      <c r="B567" s="80"/>
      <c r="C567" s="80"/>
      <c r="D567" s="80"/>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row>
    <row r="568">
      <c r="A568" s="80"/>
      <c r="B568" s="80"/>
      <c r="C568" s="80"/>
      <c r="D568" s="80"/>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row>
    <row r="569">
      <c r="A569" s="80"/>
      <c r="B569" s="80"/>
      <c r="C569" s="80"/>
      <c r="D569" s="80"/>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row>
    <row r="570">
      <c r="A570" s="80"/>
      <c r="B570" s="80"/>
      <c r="C570" s="80"/>
      <c r="D570" s="80"/>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row>
    <row r="571">
      <c r="A571" s="80"/>
      <c r="B571" s="80"/>
      <c r="C571" s="80"/>
      <c r="D571" s="80"/>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row>
    <row r="572">
      <c r="A572" s="80"/>
      <c r="B572" s="80"/>
      <c r="C572" s="80"/>
      <c r="D572" s="80"/>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row>
    <row r="573">
      <c r="A573" s="80"/>
      <c r="B573" s="80"/>
      <c r="C573" s="80"/>
      <c r="D573" s="80"/>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row>
    <row r="574">
      <c r="A574" s="80"/>
      <c r="B574" s="80"/>
      <c r="C574" s="80"/>
      <c r="D574" s="80"/>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row>
    <row r="575">
      <c r="A575" s="80"/>
      <c r="B575" s="80"/>
      <c r="C575" s="80"/>
      <c r="D575" s="80"/>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row>
    <row r="576">
      <c r="A576" s="80"/>
      <c r="B576" s="80"/>
      <c r="C576" s="80"/>
      <c r="D576" s="80"/>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row>
    <row r="577">
      <c r="A577" s="80"/>
      <c r="B577" s="80"/>
      <c r="C577" s="80"/>
      <c r="D577" s="80"/>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row>
    <row r="578">
      <c r="A578" s="80"/>
      <c r="B578" s="80"/>
      <c r="C578" s="80"/>
      <c r="D578" s="80"/>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row>
    <row r="579">
      <c r="A579" s="80"/>
      <c r="B579" s="80"/>
      <c r="C579" s="80"/>
      <c r="D579" s="80"/>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row>
    <row r="580">
      <c r="A580" s="80"/>
      <c r="B580" s="80"/>
      <c r="C580" s="80"/>
      <c r="D580" s="80"/>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row>
    <row r="581">
      <c r="A581" s="80"/>
      <c r="B581" s="80"/>
      <c r="C581" s="80"/>
      <c r="D581" s="80"/>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row>
    <row r="582">
      <c r="A582" s="80"/>
      <c r="B582" s="80"/>
      <c r="C582" s="80"/>
      <c r="D582" s="80"/>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row>
    <row r="583">
      <c r="A583" s="80"/>
      <c r="B583" s="80"/>
      <c r="C583" s="80"/>
      <c r="D583" s="80"/>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row>
    <row r="584">
      <c r="A584" s="80"/>
      <c r="B584" s="80"/>
      <c r="C584" s="80"/>
      <c r="D584" s="80"/>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row>
    <row r="585">
      <c r="A585" s="80"/>
      <c r="B585" s="80"/>
      <c r="C585" s="80"/>
      <c r="D585" s="80"/>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row>
    <row r="586">
      <c r="A586" s="80"/>
      <c r="B586" s="80"/>
      <c r="C586" s="80"/>
      <c r="D586" s="80"/>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row>
    <row r="587">
      <c r="A587" s="80"/>
      <c r="B587" s="80"/>
      <c r="C587" s="80"/>
      <c r="D587" s="80"/>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row>
    <row r="588">
      <c r="A588" s="80"/>
      <c r="B588" s="80"/>
      <c r="C588" s="80"/>
      <c r="D588" s="80"/>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row>
    <row r="589">
      <c r="A589" s="80"/>
      <c r="B589" s="80"/>
      <c r="C589" s="80"/>
      <c r="D589" s="80"/>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row>
    <row r="590">
      <c r="A590" s="80"/>
      <c r="B590" s="80"/>
      <c r="C590" s="80"/>
      <c r="D590" s="80"/>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row>
    <row r="591">
      <c r="A591" s="80"/>
      <c r="B591" s="80"/>
      <c r="C591" s="80"/>
      <c r="D591" s="80"/>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row>
    <row r="592">
      <c r="A592" s="80"/>
      <c r="B592" s="80"/>
      <c r="C592" s="80"/>
      <c r="D592" s="80"/>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row>
    <row r="593">
      <c r="A593" s="80"/>
      <c r="B593" s="80"/>
      <c r="C593" s="80"/>
      <c r="D593" s="80"/>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row>
    <row r="594">
      <c r="A594" s="80"/>
      <c r="B594" s="80"/>
      <c r="C594" s="80"/>
      <c r="D594" s="80"/>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row>
    <row r="595">
      <c r="A595" s="80"/>
      <c r="B595" s="80"/>
      <c r="C595" s="80"/>
      <c r="D595" s="80"/>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row>
    <row r="596">
      <c r="A596" s="80"/>
      <c r="B596" s="80"/>
      <c r="C596" s="80"/>
      <c r="D596" s="80"/>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row>
    <row r="597">
      <c r="A597" s="80"/>
      <c r="B597" s="80"/>
      <c r="C597" s="80"/>
      <c r="D597" s="80"/>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row>
    <row r="598">
      <c r="A598" s="80"/>
      <c r="B598" s="80"/>
      <c r="C598" s="80"/>
      <c r="D598" s="80"/>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row>
    <row r="599">
      <c r="A599" s="80"/>
      <c r="B599" s="80"/>
      <c r="C599" s="80"/>
      <c r="D599" s="80"/>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row>
    <row r="600">
      <c r="A600" s="80"/>
      <c r="B600" s="80"/>
      <c r="C600" s="80"/>
      <c r="D600" s="80"/>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row>
    <row r="601">
      <c r="A601" s="80"/>
      <c r="B601" s="80"/>
      <c r="C601" s="80"/>
      <c r="D601" s="80"/>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row>
    <row r="602">
      <c r="A602" s="80"/>
      <c r="B602" s="80"/>
      <c r="C602" s="80"/>
      <c r="D602" s="80"/>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row>
    <row r="603">
      <c r="A603" s="80"/>
      <c r="B603" s="80"/>
      <c r="C603" s="80"/>
      <c r="D603" s="80"/>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row>
    <row r="604">
      <c r="A604" s="80"/>
      <c r="B604" s="80"/>
      <c r="C604" s="80"/>
      <c r="D604" s="80"/>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row>
    <row r="605">
      <c r="A605" s="80"/>
      <c r="B605" s="80"/>
      <c r="C605" s="80"/>
      <c r="D605" s="80"/>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row>
    <row r="606">
      <c r="A606" s="80"/>
      <c r="B606" s="80"/>
      <c r="C606" s="80"/>
      <c r="D606" s="80"/>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row>
    <row r="607">
      <c r="A607" s="80"/>
      <c r="B607" s="80"/>
      <c r="C607" s="80"/>
      <c r="D607" s="80"/>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row>
    <row r="608">
      <c r="A608" s="80"/>
      <c r="B608" s="80"/>
      <c r="C608" s="80"/>
      <c r="D608" s="80"/>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row>
    <row r="609">
      <c r="A609" s="80"/>
      <c r="B609" s="80"/>
      <c r="C609" s="80"/>
      <c r="D609" s="80"/>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row>
    <row r="610">
      <c r="A610" s="80"/>
      <c r="B610" s="80"/>
      <c r="C610" s="80"/>
      <c r="D610" s="80"/>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row>
    <row r="611">
      <c r="A611" s="80"/>
      <c r="B611" s="80"/>
      <c r="C611" s="80"/>
      <c r="D611" s="80"/>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row>
    <row r="612">
      <c r="A612" s="80"/>
      <c r="B612" s="80"/>
      <c r="C612" s="80"/>
      <c r="D612" s="80"/>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row>
    <row r="613">
      <c r="A613" s="80"/>
      <c r="B613" s="80"/>
      <c r="C613" s="80"/>
      <c r="D613" s="80"/>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row>
    <row r="614">
      <c r="A614" s="80"/>
      <c r="B614" s="80"/>
      <c r="C614" s="80"/>
      <c r="D614" s="80"/>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row>
    <row r="615">
      <c r="A615" s="80"/>
      <c r="B615" s="80"/>
      <c r="C615" s="80"/>
      <c r="D615" s="80"/>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row>
    <row r="616">
      <c r="A616" s="80"/>
      <c r="B616" s="80"/>
      <c r="C616" s="80"/>
      <c r="D616" s="80"/>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row>
    <row r="617">
      <c r="A617" s="80"/>
      <c r="B617" s="80"/>
      <c r="C617" s="80"/>
      <c r="D617" s="80"/>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row>
    <row r="618">
      <c r="A618" s="80"/>
      <c r="B618" s="80"/>
      <c r="C618" s="80"/>
      <c r="D618" s="80"/>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row>
    <row r="619">
      <c r="A619" s="80"/>
      <c r="B619" s="80"/>
      <c r="C619" s="80"/>
      <c r="D619" s="80"/>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row>
    <row r="620">
      <c r="A620" s="80"/>
      <c r="B620" s="80"/>
      <c r="C620" s="80"/>
      <c r="D620" s="80"/>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row>
    <row r="621">
      <c r="A621" s="80"/>
      <c r="B621" s="80"/>
      <c r="C621" s="80"/>
      <c r="D621" s="80"/>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row>
    <row r="622">
      <c r="A622" s="80"/>
      <c r="B622" s="80"/>
      <c r="C622" s="80"/>
      <c r="D622" s="80"/>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row>
    <row r="623">
      <c r="A623" s="80"/>
      <c r="B623" s="80"/>
      <c r="C623" s="80"/>
      <c r="D623" s="80"/>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row>
    <row r="624">
      <c r="A624" s="80"/>
      <c r="B624" s="80"/>
      <c r="C624" s="80"/>
      <c r="D624" s="80"/>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row>
    <row r="625">
      <c r="A625" s="80"/>
      <c r="B625" s="80"/>
      <c r="C625" s="80"/>
      <c r="D625" s="80"/>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row>
    <row r="626">
      <c r="A626" s="80"/>
      <c r="B626" s="80"/>
      <c r="C626" s="80"/>
      <c r="D626" s="80"/>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row>
    <row r="627">
      <c r="A627" s="80"/>
      <c r="B627" s="80"/>
      <c r="C627" s="80"/>
      <c r="D627" s="80"/>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row>
    <row r="628">
      <c r="A628" s="80"/>
      <c r="B628" s="80"/>
      <c r="C628" s="80"/>
      <c r="D628" s="80"/>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row>
    <row r="629">
      <c r="A629" s="80"/>
      <c r="B629" s="80"/>
      <c r="C629" s="80"/>
      <c r="D629" s="80"/>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row>
    <row r="630">
      <c r="A630" s="80"/>
      <c r="B630" s="80"/>
      <c r="C630" s="80"/>
      <c r="D630" s="80"/>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row>
    <row r="631">
      <c r="A631" s="80"/>
      <c r="B631" s="80"/>
      <c r="C631" s="80"/>
      <c r="D631" s="80"/>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row>
    <row r="632">
      <c r="A632" s="80"/>
      <c r="B632" s="80"/>
      <c r="C632" s="80"/>
      <c r="D632" s="80"/>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row>
    <row r="633">
      <c r="A633" s="80"/>
      <c r="B633" s="80"/>
      <c r="C633" s="80"/>
      <c r="D633" s="80"/>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row>
    <row r="634">
      <c r="A634" s="80"/>
      <c r="B634" s="80"/>
      <c r="C634" s="80"/>
      <c r="D634" s="80"/>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row>
    <row r="635">
      <c r="A635" s="80"/>
      <c r="B635" s="80"/>
      <c r="C635" s="80"/>
      <c r="D635" s="80"/>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row>
    <row r="636">
      <c r="A636" s="80"/>
      <c r="B636" s="80"/>
      <c r="C636" s="80"/>
      <c r="D636" s="80"/>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row>
    <row r="637">
      <c r="A637" s="80"/>
      <c r="B637" s="80"/>
      <c r="C637" s="80"/>
      <c r="D637" s="80"/>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row>
    <row r="638">
      <c r="A638" s="80"/>
      <c r="B638" s="80"/>
      <c r="C638" s="80"/>
      <c r="D638" s="80"/>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row>
    <row r="639">
      <c r="A639" s="80"/>
      <c r="B639" s="80"/>
      <c r="C639" s="80"/>
      <c r="D639" s="80"/>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row>
    <row r="640">
      <c r="A640" s="80"/>
      <c r="B640" s="80"/>
      <c r="C640" s="80"/>
      <c r="D640" s="80"/>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row>
    <row r="641">
      <c r="A641" s="80"/>
      <c r="B641" s="80"/>
      <c r="C641" s="80"/>
      <c r="D641" s="80"/>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row>
    <row r="642">
      <c r="A642" s="80"/>
      <c r="B642" s="80"/>
      <c r="C642" s="80"/>
      <c r="D642" s="80"/>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row>
    <row r="643">
      <c r="A643" s="80"/>
      <c r="B643" s="80"/>
      <c r="C643" s="80"/>
      <c r="D643" s="80"/>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row>
    <row r="644">
      <c r="A644" s="80"/>
      <c r="B644" s="80"/>
      <c r="C644" s="80"/>
      <c r="D644" s="80"/>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row>
    <row r="645">
      <c r="A645" s="80"/>
      <c r="B645" s="80"/>
      <c r="C645" s="80"/>
      <c r="D645" s="80"/>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row>
    <row r="646">
      <c r="A646" s="80"/>
      <c r="B646" s="80"/>
      <c r="C646" s="80"/>
      <c r="D646" s="80"/>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row>
    <row r="647">
      <c r="A647" s="80"/>
      <c r="B647" s="80"/>
      <c r="C647" s="80"/>
      <c r="D647" s="80"/>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row>
    <row r="648">
      <c r="A648" s="80"/>
      <c r="B648" s="80"/>
      <c r="C648" s="80"/>
      <c r="D648" s="80"/>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row>
    <row r="649">
      <c r="A649" s="80"/>
      <c r="B649" s="80"/>
      <c r="C649" s="80"/>
      <c r="D649" s="80"/>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row>
    <row r="650">
      <c r="A650" s="80"/>
      <c r="B650" s="80"/>
      <c r="C650" s="80"/>
      <c r="D650" s="80"/>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row>
    <row r="651">
      <c r="A651" s="80"/>
      <c r="B651" s="80"/>
      <c r="C651" s="80"/>
      <c r="D651" s="80"/>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row>
    <row r="652">
      <c r="A652" s="80"/>
      <c r="B652" s="80"/>
      <c r="C652" s="80"/>
      <c r="D652" s="80"/>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row>
    <row r="653">
      <c r="A653" s="80"/>
      <c r="B653" s="80"/>
      <c r="C653" s="80"/>
      <c r="D653" s="80"/>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row>
    <row r="654">
      <c r="A654" s="80"/>
      <c r="B654" s="80"/>
      <c r="C654" s="80"/>
      <c r="D654" s="80"/>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row>
    <row r="655">
      <c r="A655" s="80"/>
      <c r="B655" s="80"/>
      <c r="C655" s="80"/>
      <c r="D655" s="80"/>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row>
    <row r="656">
      <c r="A656" s="80"/>
      <c r="B656" s="80"/>
      <c r="C656" s="80"/>
      <c r="D656" s="80"/>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row>
    <row r="657">
      <c r="A657" s="80"/>
      <c r="B657" s="80"/>
      <c r="C657" s="80"/>
      <c r="D657" s="80"/>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row>
    <row r="658">
      <c r="A658" s="80"/>
      <c r="B658" s="80"/>
      <c r="C658" s="80"/>
      <c r="D658" s="80"/>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row>
    <row r="659">
      <c r="A659" s="80"/>
      <c r="B659" s="80"/>
      <c r="C659" s="80"/>
      <c r="D659" s="80"/>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row>
    <row r="660">
      <c r="A660" s="80"/>
      <c r="B660" s="80"/>
      <c r="C660" s="80"/>
      <c r="D660" s="80"/>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row>
    <row r="661">
      <c r="A661" s="80"/>
      <c r="B661" s="80"/>
      <c r="C661" s="80"/>
      <c r="D661" s="80"/>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row>
    <row r="662">
      <c r="A662" s="80"/>
      <c r="B662" s="80"/>
      <c r="C662" s="80"/>
      <c r="D662" s="80"/>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row>
    <row r="663">
      <c r="A663" s="80"/>
      <c r="B663" s="80"/>
      <c r="C663" s="80"/>
      <c r="D663" s="80"/>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row>
    <row r="664">
      <c r="A664" s="80"/>
      <c r="B664" s="80"/>
      <c r="C664" s="80"/>
      <c r="D664" s="80"/>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row>
    <row r="665">
      <c r="A665" s="80"/>
      <c r="B665" s="80"/>
      <c r="C665" s="80"/>
      <c r="D665" s="80"/>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row>
    <row r="666">
      <c r="A666" s="80"/>
      <c r="B666" s="80"/>
      <c r="C666" s="80"/>
      <c r="D666" s="80"/>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row>
    <row r="667">
      <c r="A667" s="80"/>
      <c r="B667" s="80"/>
      <c r="C667" s="80"/>
      <c r="D667" s="80"/>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row>
    <row r="668">
      <c r="A668" s="80"/>
      <c r="B668" s="80"/>
      <c r="C668" s="80"/>
      <c r="D668" s="80"/>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row>
    <row r="669">
      <c r="A669" s="80"/>
      <c r="B669" s="80"/>
      <c r="C669" s="80"/>
      <c r="D669" s="80"/>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row>
    <row r="670">
      <c r="A670" s="80"/>
      <c r="B670" s="80"/>
      <c r="C670" s="80"/>
      <c r="D670" s="80"/>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row>
    <row r="671">
      <c r="A671" s="80"/>
      <c r="B671" s="80"/>
      <c r="C671" s="80"/>
      <c r="D671" s="80"/>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row>
    <row r="672">
      <c r="A672" s="80"/>
      <c r="B672" s="80"/>
      <c r="C672" s="80"/>
      <c r="D672" s="80"/>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row>
    <row r="673">
      <c r="A673" s="80"/>
      <c r="B673" s="80"/>
      <c r="C673" s="80"/>
      <c r="D673" s="80"/>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row>
    <row r="674">
      <c r="A674" s="80"/>
      <c r="B674" s="80"/>
      <c r="C674" s="80"/>
      <c r="D674" s="80"/>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row>
    <row r="675">
      <c r="A675" s="80"/>
      <c r="B675" s="80"/>
      <c r="C675" s="80"/>
      <c r="D675" s="80"/>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row>
    <row r="676">
      <c r="A676" s="80"/>
      <c r="B676" s="80"/>
      <c r="C676" s="80"/>
      <c r="D676" s="80"/>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row>
    <row r="677">
      <c r="A677" s="80"/>
      <c r="B677" s="80"/>
      <c r="C677" s="80"/>
      <c r="D677" s="80"/>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row>
    <row r="678">
      <c r="A678" s="80"/>
      <c r="B678" s="80"/>
      <c r="C678" s="80"/>
      <c r="D678" s="80"/>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row>
    <row r="679">
      <c r="A679" s="80"/>
      <c r="B679" s="80"/>
      <c r="C679" s="80"/>
      <c r="D679" s="80"/>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row>
    <row r="680">
      <c r="A680" s="80"/>
      <c r="B680" s="80"/>
      <c r="C680" s="80"/>
      <c r="D680" s="80"/>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row>
    <row r="681">
      <c r="A681" s="80"/>
      <c r="B681" s="80"/>
      <c r="C681" s="80"/>
      <c r="D681" s="80"/>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row>
    <row r="682">
      <c r="A682" s="80"/>
      <c r="B682" s="80"/>
      <c r="C682" s="80"/>
      <c r="D682" s="80"/>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row>
    <row r="683">
      <c r="A683" s="80"/>
      <c r="B683" s="80"/>
      <c r="C683" s="80"/>
      <c r="D683" s="80"/>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row>
    <row r="684">
      <c r="A684" s="80"/>
      <c r="B684" s="80"/>
      <c r="C684" s="80"/>
      <c r="D684" s="80"/>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row>
    <row r="685">
      <c r="A685" s="80"/>
      <c r="B685" s="80"/>
      <c r="C685" s="80"/>
      <c r="D685" s="80"/>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row>
    <row r="686">
      <c r="A686" s="80"/>
      <c r="B686" s="80"/>
      <c r="C686" s="80"/>
      <c r="D686" s="80"/>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row>
    <row r="687">
      <c r="A687" s="80"/>
      <c r="B687" s="80"/>
      <c r="C687" s="80"/>
      <c r="D687" s="80"/>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row>
    <row r="688">
      <c r="A688" s="80"/>
      <c r="B688" s="80"/>
      <c r="C688" s="80"/>
      <c r="D688" s="80"/>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row>
    <row r="689">
      <c r="A689" s="80"/>
      <c r="B689" s="80"/>
      <c r="C689" s="80"/>
      <c r="D689" s="80"/>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row>
    <row r="690">
      <c r="A690" s="80"/>
      <c r="B690" s="80"/>
      <c r="C690" s="80"/>
      <c r="D690" s="80"/>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row>
    <row r="691">
      <c r="A691" s="80"/>
      <c r="B691" s="80"/>
      <c r="C691" s="80"/>
      <c r="D691" s="80"/>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row>
    <row r="692">
      <c r="A692" s="80"/>
      <c r="B692" s="80"/>
      <c r="C692" s="80"/>
      <c r="D692" s="80"/>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row>
    <row r="693">
      <c r="A693" s="80"/>
      <c r="B693" s="80"/>
      <c r="C693" s="80"/>
      <c r="D693" s="80"/>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row>
    <row r="694">
      <c r="A694" s="80"/>
      <c r="B694" s="80"/>
      <c r="C694" s="80"/>
      <c r="D694" s="80"/>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row>
    <row r="695">
      <c r="A695" s="80"/>
      <c r="B695" s="80"/>
      <c r="C695" s="80"/>
      <c r="D695" s="80"/>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row>
    <row r="696">
      <c r="A696" s="80"/>
      <c r="B696" s="80"/>
      <c r="C696" s="80"/>
      <c r="D696" s="80"/>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row>
    <row r="697">
      <c r="A697" s="80"/>
      <c r="B697" s="80"/>
      <c r="C697" s="80"/>
      <c r="D697" s="80"/>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row>
    <row r="698">
      <c r="A698" s="80"/>
      <c r="B698" s="80"/>
      <c r="C698" s="80"/>
      <c r="D698" s="80"/>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row>
    <row r="699">
      <c r="A699" s="80"/>
      <c r="B699" s="80"/>
      <c r="C699" s="80"/>
      <c r="D699" s="80"/>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row>
    <row r="700">
      <c r="A700" s="80"/>
      <c r="B700" s="80"/>
      <c r="C700" s="80"/>
      <c r="D700" s="80"/>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row>
    <row r="701">
      <c r="A701" s="80"/>
      <c r="B701" s="80"/>
      <c r="C701" s="80"/>
      <c r="D701" s="80"/>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row>
    <row r="702">
      <c r="A702" s="80"/>
      <c r="B702" s="80"/>
      <c r="C702" s="80"/>
      <c r="D702" s="80"/>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row>
    <row r="703">
      <c r="A703" s="80"/>
      <c r="B703" s="80"/>
      <c r="C703" s="80"/>
      <c r="D703" s="80"/>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row>
    <row r="704">
      <c r="A704" s="80"/>
      <c r="B704" s="80"/>
      <c r="C704" s="80"/>
      <c r="D704" s="80"/>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row>
    <row r="705">
      <c r="A705" s="80"/>
      <c r="B705" s="80"/>
      <c r="C705" s="80"/>
      <c r="D705" s="80"/>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row>
    <row r="706">
      <c r="A706" s="80"/>
      <c r="B706" s="80"/>
      <c r="C706" s="80"/>
      <c r="D706" s="80"/>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row>
    <row r="707">
      <c r="A707" s="80"/>
      <c r="B707" s="80"/>
      <c r="C707" s="80"/>
      <c r="D707" s="80"/>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row>
    <row r="708">
      <c r="A708" s="80"/>
      <c r="B708" s="80"/>
      <c r="C708" s="80"/>
      <c r="D708" s="80"/>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row>
    <row r="709">
      <c r="A709" s="80"/>
      <c r="B709" s="80"/>
      <c r="C709" s="80"/>
      <c r="D709" s="80"/>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row>
    <row r="710">
      <c r="A710" s="80"/>
      <c r="B710" s="80"/>
      <c r="C710" s="80"/>
      <c r="D710" s="80"/>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row>
    <row r="711">
      <c r="A711" s="80"/>
      <c r="B711" s="80"/>
      <c r="C711" s="80"/>
      <c r="D711" s="80"/>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row>
    <row r="712">
      <c r="A712" s="80"/>
      <c r="B712" s="80"/>
      <c r="C712" s="80"/>
      <c r="D712" s="80"/>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row>
    <row r="713">
      <c r="A713" s="80"/>
      <c r="B713" s="80"/>
      <c r="C713" s="80"/>
      <c r="D713" s="80"/>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row>
    <row r="714">
      <c r="A714" s="80"/>
      <c r="B714" s="80"/>
      <c r="C714" s="80"/>
      <c r="D714" s="80"/>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row>
    <row r="715">
      <c r="A715" s="80"/>
      <c r="B715" s="80"/>
      <c r="C715" s="80"/>
      <c r="D715" s="80"/>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row>
    <row r="716">
      <c r="A716" s="80"/>
      <c r="B716" s="80"/>
      <c r="C716" s="80"/>
      <c r="D716" s="80"/>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row>
    <row r="717">
      <c r="A717" s="80"/>
      <c r="B717" s="80"/>
      <c r="C717" s="80"/>
      <c r="D717" s="80"/>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row>
    <row r="718">
      <c r="A718" s="80"/>
      <c r="B718" s="80"/>
      <c r="C718" s="80"/>
      <c r="D718" s="80"/>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row>
    <row r="719">
      <c r="A719" s="80"/>
      <c r="B719" s="80"/>
      <c r="C719" s="80"/>
      <c r="D719" s="80"/>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row>
    <row r="720">
      <c r="A720" s="80"/>
      <c r="B720" s="80"/>
      <c r="C720" s="80"/>
      <c r="D720" s="80"/>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row>
    <row r="721">
      <c r="A721" s="80"/>
      <c r="B721" s="80"/>
      <c r="C721" s="80"/>
      <c r="D721" s="80"/>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row>
    <row r="722">
      <c r="A722" s="80"/>
      <c r="B722" s="80"/>
      <c r="C722" s="80"/>
      <c r="D722" s="80"/>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row>
    <row r="723">
      <c r="A723" s="80"/>
      <c r="B723" s="80"/>
      <c r="C723" s="80"/>
      <c r="D723" s="80"/>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row>
    <row r="724">
      <c r="A724" s="80"/>
      <c r="B724" s="80"/>
      <c r="C724" s="80"/>
      <c r="D724" s="80"/>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row>
    <row r="725">
      <c r="A725" s="80"/>
      <c r="B725" s="80"/>
      <c r="C725" s="80"/>
      <c r="D725" s="80"/>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row>
    <row r="726">
      <c r="A726" s="80"/>
      <c r="B726" s="80"/>
      <c r="C726" s="80"/>
      <c r="D726" s="80"/>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row>
    <row r="727">
      <c r="A727" s="80"/>
      <c r="B727" s="80"/>
      <c r="C727" s="80"/>
      <c r="D727" s="80"/>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row>
    <row r="728">
      <c r="A728" s="80"/>
      <c r="B728" s="80"/>
      <c r="C728" s="80"/>
      <c r="D728" s="80"/>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row>
    <row r="729">
      <c r="A729" s="80"/>
      <c r="B729" s="80"/>
      <c r="C729" s="80"/>
      <c r="D729" s="80"/>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row>
    <row r="730">
      <c r="A730" s="80"/>
      <c r="B730" s="80"/>
      <c r="C730" s="80"/>
      <c r="D730" s="80"/>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row>
    <row r="731">
      <c r="A731" s="80"/>
      <c r="B731" s="80"/>
      <c r="C731" s="80"/>
      <c r="D731" s="80"/>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row>
    <row r="732">
      <c r="A732" s="80"/>
      <c r="B732" s="80"/>
      <c r="C732" s="80"/>
      <c r="D732" s="80"/>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row>
    <row r="733">
      <c r="A733" s="80"/>
      <c r="B733" s="80"/>
      <c r="C733" s="80"/>
      <c r="D733" s="80"/>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row>
    <row r="734">
      <c r="A734" s="80"/>
      <c r="B734" s="80"/>
      <c r="C734" s="80"/>
      <c r="D734" s="80"/>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row>
    <row r="735">
      <c r="A735" s="80"/>
      <c r="B735" s="80"/>
      <c r="C735" s="80"/>
      <c r="D735" s="80"/>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row>
    <row r="736">
      <c r="A736" s="80"/>
      <c r="B736" s="80"/>
      <c r="C736" s="80"/>
      <c r="D736" s="80"/>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row>
    <row r="737">
      <c r="A737" s="80"/>
      <c r="B737" s="80"/>
      <c r="C737" s="80"/>
      <c r="D737" s="80"/>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row>
    <row r="738">
      <c r="A738" s="80"/>
      <c r="B738" s="80"/>
      <c r="C738" s="80"/>
      <c r="D738" s="80"/>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row>
    <row r="739">
      <c r="A739" s="80"/>
      <c r="B739" s="80"/>
      <c r="C739" s="80"/>
      <c r="D739" s="80"/>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row>
    <row r="740">
      <c r="A740" s="80"/>
      <c r="B740" s="80"/>
      <c r="C740" s="80"/>
      <c r="D740" s="80"/>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row>
    <row r="741">
      <c r="A741" s="80"/>
      <c r="B741" s="80"/>
      <c r="C741" s="80"/>
      <c r="D741" s="80"/>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row>
    <row r="742">
      <c r="A742" s="80"/>
      <c r="B742" s="80"/>
      <c r="C742" s="80"/>
      <c r="D742" s="80"/>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row>
    <row r="743">
      <c r="A743" s="80"/>
      <c r="B743" s="80"/>
      <c r="C743" s="80"/>
      <c r="D743" s="80"/>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row>
    <row r="744">
      <c r="A744" s="80"/>
      <c r="B744" s="80"/>
      <c r="C744" s="80"/>
      <c r="D744" s="80"/>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row>
    <row r="745">
      <c r="A745" s="80"/>
      <c r="B745" s="80"/>
      <c r="C745" s="80"/>
      <c r="D745" s="80"/>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row>
    <row r="746">
      <c r="A746" s="80"/>
      <c r="B746" s="80"/>
      <c r="C746" s="80"/>
      <c r="D746" s="80"/>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row>
    <row r="747">
      <c r="A747" s="80"/>
      <c r="B747" s="80"/>
      <c r="C747" s="80"/>
      <c r="D747" s="80"/>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row>
    <row r="748">
      <c r="A748" s="80"/>
      <c r="B748" s="80"/>
      <c r="C748" s="80"/>
      <c r="D748" s="80"/>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row>
    <row r="749">
      <c r="A749" s="80"/>
      <c r="B749" s="80"/>
      <c r="C749" s="80"/>
      <c r="D749" s="80"/>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row>
    <row r="750">
      <c r="A750" s="80"/>
      <c r="B750" s="80"/>
      <c r="C750" s="80"/>
      <c r="D750" s="80"/>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row>
    <row r="751">
      <c r="A751" s="80"/>
      <c r="B751" s="80"/>
      <c r="C751" s="80"/>
      <c r="D751" s="80"/>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row>
    <row r="752">
      <c r="A752" s="80"/>
      <c r="B752" s="80"/>
      <c r="C752" s="80"/>
      <c r="D752" s="80"/>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row>
    <row r="753">
      <c r="A753" s="80"/>
      <c r="B753" s="80"/>
      <c r="C753" s="80"/>
      <c r="D753" s="80"/>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row>
    <row r="754">
      <c r="A754" s="80"/>
      <c r="B754" s="80"/>
      <c r="C754" s="80"/>
      <c r="D754" s="80"/>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row>
    <row r="755">
      <c r="A755" s="80"/>
      <c r="B755" s="80"/>
      <c r="C755" s="80"/>
      <c r="D755" s="80"/>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row>
    <row r="756">
      <c r="A756" s="80"/>
      <c r="B756" s="80"/>
      <c r="C756" s="80"/>
      <c r="D756" s="80"/>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row>
    <row r="757">
      <c r="A757" s="80"/>
      <c r="B757" s="80"/>
      <c r="C757" s="80"/>
      <c r="D757" s="80"/>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row>
    <row r="758">
      <c r="A758" s="80"/>
      <c r="B758" s="80"/>
      <c r="C758" s="80"/>
      <c r="D758" s="80"/>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row>
    <row r="759">
      <c r="A759" s="80"/>
      <c r="B759" s="80"/>
      <c r="C759" s="80"/>
      <c r="D759" s="80"/>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row>
    <row r="760">
      <c r="A760" s="80"/>
      <c r="B760" s="80"/>
      <c r="C760" s="80"/>
      <c r="D760" s="80"/>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row>
    <row r="761">
      <c r="A761" s="80"/>
      <c r="B761" s="80"/>
      <c r="C761" s="80"/>
      <c r="D761" s="80"/>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row>
    <row r="762">
      <c r="A762" s="80"/>
      <c r="B762" s="80"/>
      <c r="C762" s="80"/>
      <c r="D762" s="80"/>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row>
    <row r="763">
      <c r="A763" s="80"/>
      <c r="B763" s="80"/>
      <c r="C763" s="80"/>
      <c r="D763" s="80"/>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row>
    <row r="764">
      <c r="A764" s="80"/>
      <c r="B764" s="80"/>
      <c r="C764" s="80"/>
      <c r="D764" s="80"/>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row>
    <row r="765">
      <c r="A765" s="80"/>
      <c r="B765" s="80"/>
      <c r="C765" s="80"/>
      <c r="D765" s="80"/>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row>
    <row r="766">
      <c r="A766" s="80"/>
      <c r="B766" s="80"/>
      <c r="C766" s="80"/>
      <c r="D766" s="80"/>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row>
    <row r="767">
      <c r="A767" s="80"/>
      <c r="B767" s="80"/>
      <c r="C767" s="80"/>
      <c r="D767" s="80"/>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row>
    <row r="768">
      <c r="A768" s="80"/>
      <c r="B768" s="80"/>
      <c r="C768" s="80"/>
      <c r="D768" s="80"/>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row>
    <row r="769">
      <c r="A769" s="80"/>
      <c r="B769" s="80"/>
      <c r="C769" s="80"/>
      <c r="D769" s="80"/>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row>
    <row r="770">
      <c r="A770" s="80"/>
      <c r="B770" s="80"/>
      <c r="C770" s="80"/>
      <c r="D770" s="80"/>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row>
    <row r="771">
      <c r="A771" s="80"/>
      <c r="B771" s="80"/>
      <c r="C771" s="80"/>
      <c r="D771" s="80"/>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row>
    <row r="772">
      <c r="A772" s="80"/>
      <c r="B772" s="80"/>
      <c r="C772" s="80"/>
      <c r="D772" s="80"/>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row>
    <row r="773">
      <c r="A773" s="80"/>
      <c r="B773" s="80"/>
      <c r="C773" s="80"/>
      <c r="D773" s="80"/>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row>
    <row r="774">
      <c r="A774" s="80"/>
      <c r="B774" s="80"/>
      <c r="C774" s="80"/>
      <c r="D774" s="80"/>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row>
    <row r="775">
      <c r="A775" s="80"/>
      <c r="B775" s="80"/>
      <c r="C775" s="80"/>
      <c r="D775" s="80"/>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row>
    <row r="776">
      <c r="A776" s="80"/>
      <c r="B776" s="80"/>
      <c r="C776" s="80"/>
      <c r="D776" s="80"/>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row>
    <row r="777">
      <c r="A777" s="80"/>
      <c r="B777" s="80"/>
      <c r="C777" s="80"/>
      <c r="D777" s="80"/>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row>
    <row r="778">
      <c r="A778" s="80"/>
      <c r="B778" s="80"/>
      <c r="C778" s="80"/>
      <c r="D778" s="80"/>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row>
    <row r="779">
      <c r="A779" s="80"/>
      <c r="B779" s="80"/>
      <c r="C779" s="80"/>
      <c r="D779" s="80"/>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row>
    <row r="780">
      <c r="A780" s="80"/>
      <c r="B780" s="80"/>
      <c r="C780" s="80"/>
      <c r="D780" s="80"/>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row>
    <row r="781">
      <c r="A781" s="80"/>
      <c r="B781" s="80"/>
      <c r="C781" s="80"/>
      <c r="D781" s="80"/>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row>
    <row r="782">
      <c r="A782" s="80"/>
      <c r="B782" s="80"/>
      <c r="C782" s="80"/>
      <c r="D782" s="80"/>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row>
    <row r="783">
      <c r="A783" s="80"/>
      <c r="B783" s="80"/>
      <c r="C783" s="80"/>
      <c r="D783" s="80"/>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row>
    <row r="784">
      <c r="A784" s="80"/>
      <c r="B784" s="80"/>
      <c r="C784" s="80"/>
      <c r="D784" s="80"/>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row>
    <row r="785">
      <c r="A785" s="80"/>
      <c r="B785" s="80"/>
      <c r="C785" s="80"/>
      <c r="D785" s="80"/>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row>
    <row r="786">
      <c r="A786" s="80"/>
      <c r="B786" s="80"/>
      <c r="C786" s="80"/>
      <c r="D786" s="80"/>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row>
    <row r="787">
      <c r="A787" s="80"/>
      <c r="B787" s="80"/>
      <c r="C787" s="80"/>
      <c r="D787" s="80"/>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row>
    <row r="788">
      <c r="A788" s="80"/>
      <c r="B788" s="80"/>
      <c r="C788" s="80"/>
      <c r="D788" s="80"/>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row>
    <row r="789">
      <c r="A789" s="80"/>
      <c r="B789" s="80"/>
      <c r="C789" s="80"/>
      <c r="D789" s="80"/>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row>
    <row r="790">
      <c r="A790" s="80"/>
      <c r="B790" s="80"/>
      <c r="C790" s="80"/>
      <c r="D790" s="80"/>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row>
    <row r="791">
      <c r="A791" s="80"/>
      <c r="B791" s="80"/>
      <c r="C791" s="80"/>
      <c r="D791" s="80"/>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row>
    <row r="792">
      <c r="A792" s="80"/>
      <c r="B792" s="80"/>
      <c r="C792" s="80"/>
      <c r="D792" s="80"/>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row>
    <row r="793">
      <c r="A793" s="80"/>
      <c r="B793" s="80"/>
      <c r="C793" s="80"/>
      <c r="D793" s="80"/>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row>
    <row r="794">
      <c r="A794" s="80"/>
      <c r="B794" s="80"/>
      <c r="C794" s="80"/>
      <c r="D794" s="80"/>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row>
    <row r="795">
      <c r="A795" s="80"/>
      <c r="B795" s="80"/>
      <c r="C795" s="80"/>
      <c r="D795" s="80"/>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row>
    <row r="796">
      <c r="A796" s="80"/>
      <c r="B796" s="80"/>
      <c r="C796" s="80"/>
      <c r="D796" s="80"/>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row>
    <row r="797">
      <c r="A797" s="80"/>
      <c r="B797" s="80"/>
      <c r="C797" s="80"/>
      <c r="D797" s="80"/>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row>
    <row r="798">
      <c r="A798" s="80"/>
      <c r="B798" s="80"/>
      <c r="C798" s="80"/>
      <c r="D798" s="80"/>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row>
    <row r="799">
      <c r="A799" s="80"/>
      <c r="B799" s="80"/>
      <c r="C799" s="80"/>
      <c r="D799" s="80"/>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row>
    <row r="800">
      <c r="A800" s="80"/>
      <c r="B800" s="80"/>
      <c r="C800" s="80"/>
      <c r="D800" s="80"/>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row>
    <row r="801">
      <c r="A801" s="80"/>
      <c r="B801" s="80"/>
      <c r="C801" s="80"/>
      <c r="D801" s="80"/>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row>
    <row r="802">
      <c r="A802" s="80"/>
      <c r="B802" s="80"/>
      <c r="C802" s="80"/>
      <c r="D802" s="80"/>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row>
    <row r="803">
      <c r="A803" s="80"/>
      <c r="B803" s="80"/>
      <c r="C803" s="80"/>
      <c r="D803" s="80"/>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row>
    <row r="804">
      <c r="A804" s="80"/>
      <c r="B804" s="80"/>
      <c r="C804" s="80"/>
      <c r="D804" s="80"/>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row>
    <row r="805">
      <c r="A805" s="80"/>
      <c r="B805" s="80"/>
      <c r="C805" s="80"/>
      <c r="D805" s="80"/>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row>
    <row r="806">
      <c r="A806" s="80"/>
      <c r="B806" s="80"/>
      <c r="C806" s="80"/>
      <c r="D806" s="80"/>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row>
    <row r="807">
      <c r="A807" s="80"/>
      <c r="B807" s="80"/>
      <c r="C807" s="80"/>
      <c r="D807" s="80"/>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row>
    <row r="808">
      <c r="A808" s="80"/>
      <c r="B808" s="80"/>
      <c r="C808" s="80"/>
      <c r="D808" s="80"/>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row>
    <row r="809">
      <c r="A809" s="80"/>
      <c r="B809" s="80"/>
      <c r="C809" s="80"/>
      <c r="D809" s="80"/>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row>
    <row r="810">
      <c r="A810" s="80"/>
      <c r="B810" s="80"/>
      <c r="C810" s="80"/>
      <c r="D810" s="80"/>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row>
    <row r="811">
      <c r="A811" s="80"/>
      <c r="B811" s="80"/>
      <c r="C811" s="80"/>
      <c r="D811" s="80"/>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row>
    <row r="812">
      <c r="A812" s="80"/>
      <c r="B812" s="80"/>
      <c r="C812" s="80"/>
      <c r="D812" s="80"/>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row>
    <row r="813">
      <c r="A813" s="80"/>
      <c r="B813" s="80"/>
      <c r="C813" s="80"/>
      <c r="D813" s="80"/>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row>
    <row r="814">
      <c r="A814" s="80"/>
      <c r="B814" s="80"/>
      <c r="C814" s="80"/>
      <c r="D814" s="80"/>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row>
    <row r="815">
      <c r="A815" s="80"/>
      <c r="B815" s="80"/>
      <c r="C815" s="80"/>
      <c r="D815" s="80"/>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row>
    <row r="816">
      <c r="A816" s="80"/>
      <c r="B816" s="80"/>
      <c r="C816" s="80"/>
      <c r="D816" s="80"/>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row>
    <row r="817">
      <c r="A817" s="80"/>
      <c r="B817" s="80"/>
      <c r="C817" s="80"/>
      <c r="D817" s="80"/>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row>
    <row r="818">
      <c r="A818" s="80"/>
      <c r="B818" s="80"/>
      <c r="C818" s="80"/>
      <c r="D818" s="80"/>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row>
    <row r="819">
      <c r="A819" s="80"/>
      <c r="B819" s="80"/>
      <c r="C819" s="80"/>
      <c r="D819" s="80"/>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row>
    <row r="820">
      <c r="A820" s="80"/>
      <c r="B820" s="80"/>
      <c r="C820" s="80"/>
      <c r="D820" s="80"/>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row>
    <row r="821">
      <c r="A821" s="80"/>
      <c r="B821" s="80"/>
      <c r="C821" s="80"/>
      <c r="D821" s="80"/>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row>
    <row r="822">
      <c r="A822" s="80"/>
      <c r="B822" s="80"/>
      <c r="C822" s="80"/>
      <c r="D822" s="80"/>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row>
    <row r="823">
      <c r="A823" s="80"/>
      <c r="B823" s="80"/>
      <c r="C823" s="80"/>
      <c r="D823" s="80"/>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row>
    <row r="824">
      <c r="A824" s="80"/>
      <c r="B824" s="80"/>
      <c r="C824" s="80"/>
      <c r="D824" s="80"/>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row>
    <row r="825">
      <c r="A825" s="80"/>
      <c r="B825" s="80"/>
      <c r="C825" s="80"/>
      <c r="D825" s="80"/>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row>
    <row r="826">
      <c r="A826" s="80"/>
      <c r="B826" s="80"/>
      <c r="C826" s="80"/>
      <c r="D826" s="80"/>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row>
    <row r="827">
      <c r="A827" s="80"/>
      <c r="B827" s="80"/>
      <c r="C827" s="80"/>
      <c r="D827" s="80"/>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row>
    <row r="828">
      <c r="A828" s="80"/>
      <c r="B828" s="80"/>
      <c r="C828" s="80"/>
      <c r="D828" s="80"/>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row>
    <row r="829">
      <c r="A829" s="80"/>
      <c r="B829" s="80"/>
      <c r="C829" s="80"/>
      <c r="D829" s="80"/>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row>
    <row r="830">
      <c r="A830" s="80"/>
      <c r="B830" s="80"/>
      <c r="C830" s="80"/>
      <c r="D830" s="80"/>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row>
    <row r="831">
      <c r="A831" s="80"/>
      <c r="B831" s="80"/>
      <c r="C831" s="80"/>
      <c r="D831" s="80"/>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row>
    <row r="832">
      <c r="A832" s="80"/>
      <c r="B832" s="80"/>
      <c r="C832" s="80"/>
      <c r="D832" s="80"/>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row>
    <row r="833">
      <c r="A833" s="80"/>
      <c r="B833" s="80"/>
      <c r="C833" s="80"/>
      <c r="D833" s="80"/>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row>
    <row r="834">
      <c r="A834" s="80"/>
      <c r="B834" s="80"/>
      <c r="C834" s="80"/>
      <c r="D834" s="80"/>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row>
    <row r="835">
      <c r="A835" s="80"/>
      <c r="B835" s="80"/>
      <c r="C835" s="80"/>
      <c r="D835" s="80"/>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row>
    <row r="836">
      <c r="A836" s="80"/>
      <c r="B836" s="80"/>
      <c r="C836" s="80"/>
      <c r="D836" s="80"/>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row>
    <row r="837">
      <c r="A837" s="80"/>
      <c r="B837" s="80"/>
      <c r="C837" s="80"/>
      <c r="D837" s="80"/>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row>
    <row r="838">
      <c r="A838" s="80"/>
      <c r="B838" s="80"/>
      <c r="C838" s="80"/>
      <c r="D838" s="80"/>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row>
    <row r="839">
      <c r="A839" s="80"/>
      <c r="B839" s="80"/>
      <c r="C839" s="80"/>
      <c r="D839" s="80"/>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row>
    <row r="840">
      <c r="A840" s="80"/>
      <c r="B840" s="80"/>
      <c r="C840" s="80"/>
      <c r="D840" s="80"/>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row>
    <row r="841">
      <c r="A841" s="80"/>
      <c r="B841" s="80"/>
      <c r="C841" s="80"/>
      <c r="D841" s="80"/>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row>
    <row r="842">
      <c r="A842" s="80"/>
      <c r="B842" s="80"/>
      <c r="C842" s="80"/>
      <c r="D842" s="80"/>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row>
    <row r="843">
      <c r="A843" s="80"/>
      <c r="B843" s="80"/>
      <c r="C843" s="80"/>
      <c r="D843" s="80"/>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row>
    <row r="844">
      <c r="A844" s="80"/>
      <c r="B844" s="80"/>
      <c r="C844" s="80"/>
      <c r="D844" s="80"/>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row>
    <row r="845">
      <c r="A845" s="80"/>
      <c r="B845" s="80"/>
      <c r="C845" s="80"/>
      <c r="D845" s="80"/>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row>
    <row r="846">
      <c r="A846" s="80"/>
      <c r="B846" s="80"/>
      <c r="C846" s="80"/>
      <c r="D846" s="80"/>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row>
    <row r="847">
      <c r="A847" s="80"/>
      <c r="B847" s="80"/>
      <c r="C847" s="80"/>
      <c r="D847" s="80"/>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row>
    <row r="848">
      <c r="A848" s="80"/>
      <c r="B848" s="80"/>
      <c r="C848" s="80"/>
      <c r="D848" s="80"/>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row>
    <row r="849">
      <c r="A849" s="80"/>
      <c r="B849" s="80"/>
      <c r="C849" s="80"/>
      <c r="D849" s="80"/>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row>
    <row r="850">
      <c r="A850" s="80"/>
      <c r="B850" s="80"/>
      <c r="C850" s="80"/>
      <c r="D850" s="80"/>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row>
    <row r="851">
      <c r="A851" s="80"/>
      <c r="B851" s="80"/>
      <c r="C851" s="80"/>
      <c r="D851" s="80"/>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row>
    <row r="852">
      <c r="A852" s="80"/>
      <c r="B852" s="80"/>
      <c r="C852" s="80"/>
      <c r="D852" s="80"/>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row>
    <row r="853">
      <c r="A853" s="80"/>
      <c r="B853" s="80"/>
      <c r="C853" s="80"/>
      <c r="D853" s="80"/>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row>
    <row r="854">
      <c r="A854" s="80"/>
      <c r="B854" s="80"/>
      <c r="C854" s="80"/>
      <c r="D854" s="80"/>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row>
    <row r="855">
      <c r="A855" s="80"/>
      <c r="B855" s="80"/>
      <c r="C855" s="80"/>
      <c r="D855" s="80"/>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row>
    <row r="856">
      <c r="A856" s="80"/>
      <c r="B856" s="80"/>
      <c r="C856" s="80"/>
      <c r="D856" s="80"/>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row>
    <row r="857">
      <c r="A857" s="80"/>
      <c r="B857" s="80"/>
      <c r="C857" s="80"/>
      <c r="D857" s="80"/>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row>
    <row r="858">
      <c r="A858" s="80"/>
      <c r="B858" s="80"/>
      <c r="C858" s="80"/>
      <c r="D858" s="80"/>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row>
    <row r="859">
      <c r="A859" s="80"/>
      <c r="B859" s="80"/>
      <c r="C859" s="80"/>
      <c r="D859" s="80"/>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row>
    <row r="860">
      <c r="A860" s="80"/>
      <c r="B860" s="80"/>
      <c r="C860" s="80"/>
      <c r="D860" s="80"/>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row>
    <row r="861">
      <c r="A861" s="80"/>
      <c r="B861" s="80"/>
      <c r="C861" s="80"/>
      <c r="D861" s="80"/>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row>
    <row r="862">
      <c r="A862" s="80"/>
      <c r="B862" s="80"/>
      <c r="C862" s="80"/>
      <c r="D862" s="80"/>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row>
    <row r="863">
      <c r="A863" s="80"/>
      <c r="B863" s="80"/>
      <c r="C863" s="80"/>
      <c r="D863" s="80"/>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row>
    <row r="864">
      <c r="A864" s="80"/>
      <c r="B864" s="80"/>
      <c r="C864" s="80"/>
      <c r="D864" s="80"/>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row>
    <row r="865">
      <c r="A865" s="80"/>
      <c r="B865" s="80"/>
      <c r="C865" s="80"/>
      <c r="D865" s="80"/>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row>
    <row r="866">
      <c r="A866" s="80"/>
      <c r="B866" s="80"/>
      <c r="C866" s="80"/>
      <c r="D866" s="80"/>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row>
    <row r="867">
      <c r="A867" s="80"/>
      <c r="B867" s="80"/>
      <c r="C867" s="80"/>
      <c r="D867" s="80"/>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row>
    <row r="868">
      <c r="A868" s="80"/>
      <c r="B868" s="80"/>
      <c r="C868" s="80"/>
      <c r="D868" s="80"/>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row>
    <row r="869">
      <c r="A869" s="80"/>
      <c r="B869" s="80"/>
      <c r="C869" s="80"/>
      <c r="D869" s="80"/>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row>
    <row r="870">
      <c r="A870" s="80"/>
      <c r="B870" s="80"/>
      <c r="C870" s="80"/>
      <c r="D870" s="80"/>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row>
    <row r="871">
      <c r="A871" s="80"/>
      <c r="B871" s="80"/>
      <c r="C871" s="80"/>
      <c r="D871" s="80"/>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row>
    <row r="872">
      <c r="A872" s="80"/>
      <c r="B872" s="80"/>
      <c r="C872" s="80"/>
      <c r="D872" s="80"/>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row>
    <row r="873">
      <c r="A873" s="80"/>
      <c r="B873" s="80"/>
      <c r="C873" s="80"/>
      <c r="D873" s="80"/>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row>
    <row r="874">
      <c r="A874" s="80"/>
      <c r="B874" s="80"/>
      <c r="C874" s="80"/>
      <c r="D874" s="80"/>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row>
    <row r="875">
      <c r="A875" s="80"/>
      <c r="B875" s="80"/>
      <c r="C875" s="80"/>
      <c r="D875" s="80"/>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row>
    <row r="876">
      <c r="A876" s="80"/>
      <c r="B876" s="80"/>
      <c r="C876" s="80"/>
      <c r="D876" s="80"/>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row>
    <row r="877">
      <c r="A877" s="80"/>
      <c r="B877" s="80"/>
      <c r="C877" s="80"/>
      <c r="D877" s="80"/>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row>
    <row r="878">
      <c r="A878" s="80"/>
      <c r="B878" s="80"/>
      <c r="C878" s="80"/>
      <c r="D878" s="80"/>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row>
    <row r="879">
      <c r="A879" s="80"/>
      <c r="B879" s="80"/>
      <c r="C879" s="80"/>
      <c r="D879" s="80"/>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row>
    <row r="880">
      <c r="A880" s="80"/>
      <c r="B880" s="80"/>
      <c r="C880" s="80"/>
      <c r="D880" s="80"/>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row>
    <row r="881">
      <c r="A881" s="80"/>
      <c r="B881" s="80"/>
      <c r="C881" s="80"/>
      <c r="D881" s="80"/>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row>
    <row r="882">
      <c r="A882" s="80"/>
      <c r="B882" s="80"/>
      <c r="C882" s="80"/>
      <c r="D882" s="80"/>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row>
    <row r="883">
      <c r="A883" s="80"/>
      <c r="B883" s="80"/>
      <c r="C883" s="80"/>
      <c r="D883" s="80"/>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row>
    <row r="884">
      <c r="A884" s="80"/>
      <c r="B884" s="80"/>
      <c r="C884" s="80"/>
      <c r="D884" s="80"/>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row>
    <row r="885">
      <c r="A885" s="80"/>
      <c r="B885" s="80"/>
      <c r="C885" s="80"/>
      <c r="D885" s="80"/>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row>
    <row r="886">
      <c r="A886" s="80"/>
      <c r="B886" s="80"/>
      <c r="C886" s="80"/>
      <c r="D886" s="80"/>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row>
    <row r="887">
      <c r="A887" s="80"/>
      <c r="B887" s="80"/>
      <c r="C887" s="80"/>
      <c r="D887" s="80"/>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row>
    <row r="888">
      <c r="A888" s="80"/>
      <c r="B888" s="80"/>
      <c r="C888" s="80"/>
      <c r="D888" s="80"/>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row>
    <row r="889">
      <c r="A889" s="80"/>
      <c r="B889" s="80"/>
      <c r="C889" s="80"/>
      <c r="D889" s="80"/>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row>
    <row r="890">
      <c r="A890" s="80"/>
      <c r="B890" s="80"/>
      <c r="C890" s="80"/>
      <c r="D890" s="80"/>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row>
    <row r="891">
      <c r="A891" s="80"/>
      <c r="B891" s="80"/>
      <c r="C891" s="80"/>
      <c r="D891" s="80"/>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row>
    <row r="892">
      <c r="A892" s="80"/>
      <c r="B892" s="80"/>
      <c r="C892" s="80"/>
      <c r="D892" s="80"/>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row>
    <row r="893">
      <c r="A893" s="80"/>
      <c r="B893" s="80"/>
      <c r="C893" s="80"/>
      <c r="D893" s="80"/>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row>
    <row r="894">
      <c r="A894" s="80"/>
      <c r="B894" s="80"/>
      <c r="C894" s="80"/>
      <c r="D894" s="80"/>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row>
    <row r="895">
      <c r="A895" s="80"/>
      <c r="B895" s="80"/>
      <c r="C895" s="80"/>
      <c r="D895" s="80"/>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row>
    <row r="896">
      <c r="A896" s="80"/>
      <c r="B896" s="80"/>
      <c r="C896" s="80"/>
      <c r="D896" s="80"/>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row>
    <row r="897">
      <c r="A897" s="80"/>
      <c r="B897" s="80"/>
      <c r="C897" s="80"/>
      <c r="D897" s="80"/>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row>
    <row r="898">
      <c r="A898" s="80"/>
      <c r="B898" s="80"/>
      <c r="C898" s="80"/>
      <c r="D898" s="80"/>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row>
    <row r="899">
      <c r="A899" s="80"/>
      <c r="B899" s="80"/>
      <c r="C899" s="80"/>
      <c r="D899" s="80"/>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row>
    <row r="900">
      <c r="A900" s="80"/>
      <c r="B900" s="80"/>
      <c r="C900" s="80"/>
      <c r="D900" s="80"/>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row>
    <row r="901">
      <c r="A901" s="80"/>
      <c r="B901" s="80"/>
      <c r="C901" s="80"/>
      <c r="D901" s="80"/>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row>
    <row r="902">
      <c r="A902" s="80"/>
      <c r="B902" s="80"/>
      <c r="C902" s="80"/>
      <c r="D902" s="80"/>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row>
    <row r="903">
      <c r="A903" s="80"/>
      <c r="B903" s="80"/>
      <c r="C903" s="80"/>
      <c r="D903" s="80"/>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row>
    <row r="904">
      <c r="A904" s="80"/>
      <c r="B904" s="80"/>
      <c r="C904" s="80"/>
      <c r="D904" s="80"/>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row>
    <row r="905">
      <c r="A905" s="80"/>
      <c r="B905" s="80"/>
      <c r="C905" s="80"/>
      <c r="D905" s="80"/>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row>
    <row r="906">
      <c r="A906" s="80"/>
      <c r="B906" s="80"/>
      <c r="C906" s="80"/>
      <c r="D906" s="80"/>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row>
    <row r="907">
      <c r="A907" s="80"/>
      <c r="B907" s="80"/>
      <c r="C907" s="80"/>
      <c r="D907" s="80"/>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row>
    <row r="908">
      <c r="A908" s="80"/>
      <c r="B908" s="80"/>
      <c r="C908" s="80"/>
      <c r="D908" s="80"/>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row>
    <row r="909">
      <c r="A909" s="80"/>
      <c r="B909" s="80"/>
      <c r="C909" s="80"/>
      <c r="D909" s="80"/>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row>
    <row r="910">
      <c r="A910" s="80"/>
      <c r="B910" s="80"/>
      <c r="C910" s="80"/>
      <c r="D910" s="80"/>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row>
    <row r="911">
      <c r="A911" s="80"/>
      <c r="B911" s="80"/>
      <c r="C911" s="80"/>
      <c r="D911" s="80"/>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row>
    <row r="912">
      <c r="A912" s="80"/>
      <c r="B912" s="80"/>
      <c r="C912" s="80"/>
      <c r="D912" s="80"/>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row>
    <row r="913">
      <c r="A913" s="80"/>
      <c r="B913" s="80"/>
      <c r="C913" s="80"/>
      <c r="D913" s="80"/>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row>
    <row r="914">
      <c r="A914" s="80"/>
      <c r="B914" s="80"/>
      <c r="C914" s="80"/>
      <c r="D914" s="80"/>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row>
    <row r="915">
      <c r="A915" s="80"/>
      <c r="B915" s="80"/>
      <c r="C915" s="80"/>
      <c r="D915" s="80"/>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row>
    <row r="916">
      <c r="A916" s="80"/>
      <c r="B916" s="80"/>
      <c r="C916" s="80"/>
      <c r="D916" s="80"/>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row>
    <row r="917">
      <c r="A917" s="80"/>
      <c r="B917" s="80"/>
      <c r="C917" s="80"/>
      <c r="D917" s="80"/>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row>
    <row r="918">
      <c r="A918" s="80"/>
      <c r="B918" s="80"/>
      <c r="C918" s="80"/>
      <c r="D918" s="80"/>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row>
    <row r="919">
      <c r="A919" s="80"/>
      <c r="B919" s="80"/>
      <c r="C919" s="80"/>
      <c r="D919" s="80"/>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row>
    <row r="920">
      <c r="A920" s="80"/>
      <c r="B920" s="80"/>
      <c r="C920" s="80"/>
      <c r="D920" s="80"/>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row>
    <row r="921">
      <c r="A921" s="80"/>
      <c r="B921" s="80"/>
      <c r="C921" s="80"/>
      <c r="D921" s="80"/>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row>
    <row r="922">
      <c r="A922" s="80"/>
      <c r="B922" s="80"/>
      <c r="C922" s="80"/>
      <c r="D922" s="80"/>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row>
    <row r="923">
      <c r="A923" s="80"/>
      <c r="B923" s="80"/>
      <c r="C923" s="80"/>
      <c r="D923" s="80"/>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row>
    <row r="924">
      <c r="A924" s="80"/>
      <c r="B924" s="80"/>
      <c r="C924" s="80"/>
      <c r="D924" s="80"/>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row>
    <row r="925">
      <c r="A925" s="80"/>
      <c r="B925" s="80"/>
      <c r="C925" s="80"/>
      <c r="D925" s="80"/>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row>
    <row r="926">
      <c r="A926" s="80"/>
      <c r="B926" s="80"/>
      <c r="C926" s="80"/>
      <c r="D926" s="80"/>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row>
    <row r="927">
      <c r="A927" s="80"/>
      <c r="B927" s="80"/>
      <c r="C927" s="80"/>
      <c r="D927" s="80"/>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row>
    <row r="928">
      <c r="A928" s="80"/>
      <c r="B928" s="80"/>
      <c r="C928" s="80"/>
      <c r="D928" s="80"/>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row>
    <row r="929">
      <c r="A929" s="80"/>
      <c r="B929" s="80"/>
      <c r="C929" s="80"/>
      <c r="D929" s="80"/>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row>
    <row r="930">
      <c r="A930" s="80"/>
      <c r="B930" s="80"/>
      <c r="C930" s="80"/>
      <c r="D930" s="80"/>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row>
    <row r="931">
      <c r="A931" s="80"/>
      <c r="B931" s="80"/>
      <c r="C931" s="80"/>
      <c r="D931" s="80"/>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row>
    <row r="932">
      <c r="A932" s="80"/>
      <c r="B932" s="80"/>
      <c r="C932" s="80"/>
      <c r="D932" s="80"/>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row>
    <row r="933">
      <c r="A933" s="80"/>
      <c r="B933" s="80"/>
      <c r="C933" s="80"/>
      <c r="D933" s="80"/>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row>
    <row r="934">
      <c r="A934" s="80"/>
      <c r="B934" s="80"/>
      <c r="C934" s="80"/>
      <c r="D934" s="80"/>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row>
    <row r="935">
      <c r="A935" s="80"/>
      <c r="B935" s="80"/>
      <c r="C935" s="80"/>
      <c r="D935" s="80"/>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row>
    <row r="936">
      <c r="A936" s="80"/>
      <c r="B936" s="80"/>
      <c r="C936" s="80"/>
      <c r="D936" s="80"/>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row>
    <row r="937">
      <c r="A937" s="80"/>
      <c r="B937" s="80"/>
      <c r="C937" s="80"/>
      <c r="D937" s="80"/>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row>
    <row r="938">
      <c r="A938" s="80"/>
      <c r="B938" s="80"/>
      <c r="C938" s="80"/>
      <c r="D938" s="80"/>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row>
    <row r="939">
      <c r="A939" s="80"/>
      <c r="B939" s="80"/>
      <c r="C939" s="80"/>
      <c r="D939" s="80"/>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row>
    <row r="940">
      <c r="A940" s="80"/>
      <c r="B940" s="80"/>
      <c r="C940" s="80"/>
      <c r="D940" s="80"/>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row>
    <row r="941">
      <c r="A941" s="80"/>
      <c r="B941" s="80"/>
      <c r="C941" s="80"/>
      <c r="D941" s="80"/>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row>
    <row r="942">
      <c r="A942" s="80"/>
      <c r="B942" s="80"/>
      <c r="C942" s="80"/>
      <c r="D942" s="80"/>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row>
    <row r="943">
      <c r="A943" s="80"/>
      <c r="B943" s="80"/>
      <c r="C943" s="80"/>
      <c r="D943" s="80"/>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row>
    <row r="944">
      <c r="A944" s="80"/>
      <c r="B944" s="80"/>
      <c r="C944" s="80"/>
      <c r="D944" s="80"/>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row>
    <row r="945">
      <c r="A945" s="80"/>
      <c r="B945" s="80"/>
      <c r="C945" s="80"/>
      <c r="D945" s="80"/>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row>
    <row r="946">
      <c r="A946" s="80"/>
      <c r="B946" s="80"/>
      <c r="C946" s="80"/>
      <c r="D946" s="80"/>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row>
    <row r="947">
      <c r="A947" s="80"/>
      <c r="B947" s="80"/>
      <c r="C947" s="80"/>
      <c r="D947" s="80"/>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row>
    <row r="948">
      <c r="A948" s="80"/>
      <c r="B948" s="80"/>
      <c r="C948" s="80"/>
      <c r="D948" s="80"/>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row>
    <row r="949">
      <c r="A949" s="80"/>
      <c r="B949" s="80"/>
      <c r="C949" s="80"/>
      <c r="D949" s="80"/>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row>
    <row r="950">
      <c r="A950" s="80"/>
      <c r="B950" s="80"/>
      <c r="C950" s="80"/>
      <c r="D950" s="80"/>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row>
    <row r="951">
      <c r="A951" s="80"/>
      <c r="B951" s="80"/>
      <c r="C951" s="80"/>
      <c r="D951" s="80"/>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row>
    <row r="952">
      <c r="A952" s="80"/>
      <c r="B952" s="80"/>
      <c r="C952" s="80"/>
      <c r="D952" s="80"/>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row>
    <row r="953">
      <c r="A953" s="80"/>
      <c r="B953" s="80"/>
      <c r="C953" s="80"/>
      <c r="D953" s="80"/>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row>
    <row r="954">
      <c r="A954" s="80"/>
      <c r="B954" s="80"/>
      <c r="C954" s="80"/>
      <c r="D954" s="80"/>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row>
    <row r="955">
      <c r="A955" s="80"/>
      <c r="B955" s="80"/>
      <c r="C955" s="80"/>
      <c r="D955" s="80"/>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row>
    <row r="956">
      <c r="A956" s="80"/>
      <c r="B956" s="80"/>
      <c r="C956" s="80"/>
      <c r="D956" s="80"/>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row>
    <row r="957">
      <c r="A957" s="80"/>
      <c r="B957" s="80"/>
      <c r="C957" s="80"/>
      <c r="D957" s="80"/>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row>
    <row r="958">
      <c r="A958" s="80"/>
      <c r="B958" s="80"/>
      <c r="C958" s="80"/>
      <c r="D958" s="80"/>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row>
    <row r="959">
      <c r="A959" s="80"/>
      <c r="B959" s="80"/>
      <c r="C959" s="80"/>
      <c r="D959" s="80"/>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row>
    <row r="960">
      <c r="A960" s="80"/>
      <c r="B960" s="80"/>
      <c r="C960" s="80"/>
      <c r="D960" s="80"/>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row>
    <row r="961">
      <c r="A961" s="80"/>
      <c r="B961" s="80"/>
      <c r="C961" s="80"/>
      <c r="D961" s="80"/>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row>
    <row r="962">
      <c r="A962" s="80"/>
      <c r="B962" s="80"/>
      <c r="C962" s="80"/>
      <c r="D962" s="80"/>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row>
    <row r="963">
      <c r="A963" s="80"/>
      <c r="B963" s="80"/>
      <c r="C963" s="80"/>
      <c r="D963" s="80"/>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row>
    <row r="964">
      <c r="A964" s="80"/>
      <c r="B964" s="80"/>
      <c r="C964" s="80"/>
      <c r="D964" s="80"/>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row>
    <row r="965">
      <c r="A965" s="80"/>
      <c r="B965" s="80"/>
      <c r="C965" s="80"/>
      <c r="D965" s="80"/>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row>
    <row r="966">
      <c r="A966" s="80"/>
      <c r="B966" s="80"/>
      <c r="C966" s="80"/>
      <c r="D966" s="80"/>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row>
    <row r="967">
      <c r="A967" s="80"/>
      <c r="B967" s="80"/>
      <c r="C967" s="80"/>
      <c r="D967" s="80"/>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row>
    <row r="968">
      <c r="A968" s="80"/>
      <c r="B968" s="80"/>
      <c r="C968" s="80"/>
      <c r="D968" s="80"/>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row>
    <row r="969">
      <c r="A969" s="80"/>
      <c r="B969" s="80"/>
      <c r="C969" s="80"/>
      <c r="D969" s="80"/>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row>
    <row r="970">
      <c r="A970" s="80"/>
      <c r="B970" s="80"/>
      <c r="C970" s="80"/>
      <c r="D970" s="80"/>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row>
    <row r="971">
      <c r="A971" s="80"/>
      <c r="B971" s="80"/>
      <c r="C971" s="80"/>
      <c r="D971" s="80"/>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row>
    <row r="972">
      <c r="A972" s="80"/>
      <c r="B972" s="80"/>
      <c r="C972" s="80"/>
      <c r="D972" s="80"/>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row>
    <row r="973">
      <c r="A973" s="80"/>
      <c r="B973" s="80"/>
      <c r="C973" s="80"/>
      <c r="D973" s="80"/>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row>
    <row r="974">
      <c r="A974" s="80"/>
      <c r="B974" s="80"/>
      <c r="C974" s="80"/>
      <c r="D974" s="80"/>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row>
    <row r="975">
      <c r="A975" s="80"/>
      <c r="B975" s="80"/>
      <c r="C975" s="80"/>
      <c r="D975" s="80"/>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row>
    <row r="976">
      <c r="A976" s="80"/>
      <c r="B976" s="80"/>
      <c r="C976" s="80"/>
      <c r="D976" s="80"/>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row>
    <row r="977">
      <c r="A977" s="80"/>
      <c r="B977" s="80"/>
      <c r="C977" s="80"/>
      <c r="D977" s="80"/>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row>
    <row r="978">
      <c r="A978" s="80"/>
      <c r="B978" s="80"/>
      <c r="C978" s="80"/>
      <c r="D978" s="80"/>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row>
    <row r="979">
      <c r="A979" s="80"/>
      <c r="B979" s="80"/>
      <c r="C979" s="80"/>
      <c r="D979" s="80"/>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row>
    <row r="980">
      <c r="A980" s="80"/>
      <c r="B980" s="80"/>
      <c r="C980" s="80"/>
      <c r="D980" s="80"/>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row>
    <row r="981">
      <c r="A981" s="80"/>
      <c r="B981" s="80"/>
      <c r="C981" s="80"/>
      <c r="D981" s="80"/>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row>
    <row r="982">
      <c r="A982" s="80"/>
      <c r="B982" s="80"/>
      <c r="C982" s="80"/>
      <c r="D982" s="80"/>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M982" s="215"/>
      <c r="AN982" s="215"/>
      <c r="AO982" s="215"/>
      <c r="AP982" s="215"/>
      <c r="AQ982" s="215"/>
      <c r="AR982" s="215"/>
      <c r="AS982" s="215"/>
      <c r="AT982" s="215"/>
      <c r="AU982" s="215"/>
      <c r="AV982" s="215"/>
      <c r="AW982" s="215"/>
      <c r="AX982" s="215"/>
      <c r="AY982" s="215"/>
    </row>
    <row r="983">
      <c r="A983" s="80"/>
      <c r="B983" s="80"/>
      <c r="C983" s="80"/>
      <c r="D983" s="80"/>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M983" s="215"/>
      <c r="AN983" s="215"/>
      <c r="AO983" s="215"/>
      <c r="AP983" s="215"/>
      <c r="AQ983" s="215"/>
      <c r="AR983" s="215"/>
      <c r="AS983" s="215"/>
      <c r="AT983" s="215"/>
      <c r="AU983" s="215"/>
      <c r="AV983" s="215"/>
      <c r="AW983" s="215"/>
      <c r="AX983" s="215"/>
      <c r="AY983" s="215"/>
    </row>
    <row r="984">
      <c r="A984" s="80"/>
      <c r="B984" s="80"/>
      <c r="C984" s="80"/>
      <c r="D984" s="80"/>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M984" s="215"/>
      <c r="AN984" s="215"/>
      <c r="AO984" s="215"/>
      <c r="AP984" s="215"/>
      <c r="AQ984" s="215"/>
      <c r="AR984" s="215"/>
      <c r="AS984" s="215"/>
      <c r="AT984" s="215"/>
      <c r="AU984" s="215"/>
      <c r="AV984" s="215"/>
      <c r="AW984" s="215"/>
      <c r="AX984" s="215"/>
      <c r="AY984" s="215"/>
    </row>
    <row r="985">
      <c r="A985" s="80"/>
      <c r="B985" s="80"/>
      <c r="C985" s="80"/>
      <c r="D985" s="80"/>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M985" s="215"/>
      <c r="AN985" s="215"/>
      <c r="AO985" s="215"/>
      <c r="AP985" s="215"/>
      <c r="AQ985" s="215"/>
      <c r="AR985" s="215"/>
      <c r="AS985" s="215"/>
      <c r="AT985" s="215"/>
      <c r="AU985" s="215"/>
      <c r="AV985" s="215"/>
      <c r="AW985" s="215"/>
      <c r="AX985" s="215"/>
      <c r="AY985" s="215"/>
    </row>
    <row r="986">
      <c r="A986" s="80"/>
      <c r="B986" s="80"/>
      <c r="C986" s="80"/>
      <c r="D986" s="80"/>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M986" s="215"/>
      <c r="AN986" s="215"/>
      <c r="AO986" s="215"/>
      <c r="AP986" s="215"/>
      <c r="AQ986" s="215"/>
      <c r="AR986" s="215"/>
      <c r="AS986" s="215"/>
      <c r="AT986" s="215"/>
      <c r="AU986" s="215"/>
      <c r="AV986" s="215"/>
      <c r="AW986" s="215"/>
      <c r="AX986" s="215"/>
      <c r="AY986" s="215"/>
    </row>
    <row r="987">
      <c r="A987" s="80"/>
      <c r="B987" s="80"/>
      <c r="C987" s="80"/>
      <c r="D987" s="80"/>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M987" s="215"/>
      <c r="AN987" s="215"/>
      <c r="AO987" s="215"/>
      <c r="AP987" s="215"/>
      <c r="AQ987" s="215"/>
      <c r="AR987" s="215"/>
      <c r="AS987" s="215"/>
      <c r="AT987" s="215"/>
      <c r="AU987" s="215"/>
      <c r="AV987" s="215"/>
      <c r="AW987" s="215"/>
      <c r="AX987" s="215"/>
      <c r="AY987" s="215"/>
    </row>
    <row r="988">
      <c r="A988" s="80"/>
      <c r="B988" s="80"/>
      <c r="C988" s="80"/>
      <c r="D988" s="80"/>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M988" s="215"/>
      <c r="AN988" s="215"/>
      <c r="AO988" s="215"/>
      <c r="AP988" s="215"/>
      <c r="AQ988" s="215"/>
      <c r="AR988" s="215"/>
      <c r="AS988" s="215"/>
      <c r="AT988" s="215"/>
      <c r="AU988" s="215"/>
      <c r="AV988" s="215"/>
      <c r="AW988" s="215"/>
      <c r="AX988" s="215"/>
      <c r="AY988" s="215"/>
    </row>
    <row r="989">
      <c r="A989" s="80"/>
      <c r="B989" s="80"/>
      <c r="C989" s="80"/>
      <c r="D989" s="80"/>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M989" s="215"/>
      <c r="AN989" s="215"/>
      <c r="AO989" s="215"/>
      <c r="AP989" s="215"/>
      <c r="AQ989" s="215"/>
      <c r="AR989" s="215"/>
      <c r="AS989" s="215"/>
      <c r="AT989" s="215"/>
      <c r="AU989" s="215"/>
      <c r="AV989" s="215"/>
      <c r="AW989" s="215"/>
      <c r="AX989" s="215"/>
      <c r="AY989" s="215"/>
    </row>
    <row r="990">
      <c r="A990" s="80"/>
      <c r="B990" s="80"/>
      <c r="C990" s="80"/>
      <c r="D990" s="80"/>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M990" s="215"/>
      <c r="AN990" s="215"/>
      <c r="AO990" s="215"/>
      <c r="AP990" s="215"/>
      <c r="AQ990" s="215"/>
      <c r="AR990" s="215"/>
      <c r="AS990" s="215"/>
      <c r="AT990" s="215"/>
      <c r="AU990" s="215"/>
      <c r="AV990" s="215"/>
      <c r="AW990" s="215"/>
      <c r="AX990" s="215"/>
      <c r="AY990" s="215"/>
    </row>
    <row r="991">
      <c r="A991" s="80"/>
      <c r="B991" s="80"/>
      <c r="C991" s="80"/>
      <c r="D991" s="80"/>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M991" s="215"/>
      <c r="AN991" s="215"/>
      <c r="AO991" s="215"/>
      <c r="AP991" s="215"/>
      <c r="AQ991" s="215"/>
      <c r="AR991" s="215"/>
      <c r="AS991" s="215"/>
      <c r="AT991" s="215"/>
      <c r="AU991" s="215"/>
      <c r="AV991" s="215"/>
      <c r="AW991" s="215"/>
      <c r="AX991" s="215"/>
      <c r="AY991" s="215"/>
    </row>
    <row r="992">
      <c r="A992" s="80"/>
      <c r="B992" s="80"/>
      <c r="C992" s="80"/>
      <c r="D992" s="80"/>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M992" s="215"/>
      <c r="AN992" s="215"/>
      <c r="AO992" s="215"/>
      <c r="AP992" s="215"/>
      <c r="AQ992" s="215"/>
      <c r="AR992" s="215"/>
      <c r="AS992" s="215"/>
      <c r="AT992" s="215"/>
      <c r="AU992" s="215"/>
      <c r="AV992" s="215"/>
      <c r="AW992" s="215"/>
      <c r="AX992" s="215"/>
      <c r="AY992" s="215"/>
    </row>
    <row r="993">
      <c r="A993" s="80"/>
      <c r="B993" s="80"/>
      <c r="C993" s="80"/>
      <c r="D993" s="80"/>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M993" s="215"/>
      <c r="AN993" s="215"/>
      <c r="AO993" s="215"/>
      <c r="AP993" s="215"/>
      <c r="AQ993" s="215"/>
      <c r="AR993" s="215"/>
      <c r="AS993" s="215"/>
      <c r="AT993" s="215"/>
      <c r="AU993" s="215"/>
      <c r="AV993" s="215"/>
      <c r="AW993" s="215"/>
      <c r="AX993" s="215"/>
      <c r="AY993" s="215"/>
    </row>
    <row r="994">
      <c r="A994" s="80"/>
      <c r="B994" s="80"/>
      <c r="C994" s="80"/>
      <c r="D994" s="80"/>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M994" s="215"/>
      <c r="AN994" s="215"/>
      <c r="AO994" s="215"/>
      <c r="AP994" s="215"/>
      <c r="AQ994" s="215"/>
      <c r="AR994" s="215"/>
      <c r="AS994" s="215"/>
      <c r="AT994" s="215"/>
      <c r="AU994" s="215"/>
      <c r="AV994" s="215"/>
      <c r="AW994" s="215"/>
      <c r="AX994" s="215"/>
      <c r="AY994" s="215"/>
    </row>
    <row r="995">
      <c r="A995" s="80"/>
      <c r="B995" s="80"/>
      <c r="C995" s="80"/>
      <c r="D995" s="80"/>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M995" s="215"/>
      <c r="AN995" s="215"/>
      <c r="AO995" s="215"/>
      <c r="AP995" s="215"/>
      <c r="AQ995" s="215"/>
      <c r="AR995" s="215"/>
      <c r="AS995" s="215"/>
      <c r="AT995" s="215"/>
      <c r="AU995" s="215"/>
      <c r="AV995" s="215"/>
      <c r="AW995" s="215"/>
      <c r="AX995" s="215"/>
      <c r="AY995" s="215"/>
    </row>
    <row r="996">
      <c r="A996" s="80"/>
      <c r="B996" s="80"/>
      <c r="C996" s="80"/>
      <c r="D996" s="80"/>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M996" s="215"/>
      <c r="AN996" s="215"/>
      <c r="AO996" s="215"/>
      <c r="AP996" s="215"/>
      <c r="AQ996" s="215"/>
      <c r="AR996" s="215"/>
      <c r="AS996" s="215"/>
      <c r="AT996" s="215"/>
      <c r="AU996" s="215"/>
      <c r="AV996" s="215"/>
      <c r="AW996" s="215"/>
      <c r="AX996" s="215"/>
      <c r="AY996" s="215"/>
    </row>
    <row r="997">
      <c r="A997" s="80"/>
      <c r="B997" s="80"/>
      <c r="C997" s="80"/>
      <c r="D997" s="80"/>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M997" s="215"/>
      <c r="AN997" s="215"/>
      <c r="AO997" s="215"/>
      <c r="AP997" s="215"/>
      <c r="AQ997" s="215"/>
      <c r="AR997" s="215"/>
      <c r="AS997" s="215"/>
      <c r="AT997" s="215"/>
      <c r="AU997" s="215"/>
      <c r="AV997" s="215"/>
      <c r="AW997" s="215"/>
      <c r="AX997" s="215"/>
      <c r="AY997" s="215"/>
    </row>
    <row r="998">
      <c r="A998" s="80"/>
      <c r="B998" s="80"/>
      <c r="C998" s="80"/>
      <c r="D998" s="80"/>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M998" s="215"/>
      <c r="AN998" s="215"/>
      <c r="AO998" s="215"/>
      <c r="AP998" s="215"/>
      <c r="AQ998" s="215"/>
      <c r="AR998" s="215"/>
      <c r="AS998" s="215"/>
      <c r="AT998" s="215"/>
      <c r="AU998" s="215"/>
      <c r="AV998" s="215"/>
      <c r="AW998" s="215"/>
      <c r="AX998" s="215"/>
      <c r="AY998" s="215"/>
    </row>
    <row r="999">
      <c r="A999" s="80"/>
      <c r="B999" s="80"/>
      <c r="C999" s="80"/>
      <c r="D999" s="80"/>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M999" s="215"/>
      <c r="AN999" s="215"/>
      <c r="AO999" s="215"/>
      <c r="AP999" s="215"/>
      <c r="AQ999" s="215"/>
      <c r="AR999" s="215"/>
      <c r="AS999" s="215"/>
      <c r="AT999" s="215"/>
      <c r="AU999" s="215"/>
      <c r="AV999" s="215"/>
      <c r="AW999" s="215"/>
      <c r="AX999" s="215"/>
      <c r="AY999" s="215"/>
    </row>
    <row r="1000">
      <c r="A1000" s="80"/>
      <c r="B1000" s="80"/>
      <c r="C1000" s="80"/>
      <c r="D1000" s="80"/>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M1000" s="215"/>
      <c r="AN1000" s="215"/>
      <c r="AO1000" s="215"/>
      <c r="AP1000" s="215"/>
      <c r="AQ1000" s="215"/>
      <c r="AR1000" s="215"/>
      <c r="AS1000" s="215"/>
      <c r="AT1000" s="215"/>
      <c r="AU1000" s="215"/>
      <c r="AV1000" s="215"/>
      <c r="AW1000" s="215"/>
      <c r="AX1000" s="215"/>
      <c r="AY1000" s="215"/>
    </row>
    <row r="1001">
      <c r="A1001" s="80"/>
      <c r="B1001" s="80"/>
      <c r="C1001" s="80"/>
      <c r="D1001" s="80"/>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M1001" s="215"/>
      <c r="AN1001" s="215"/>
      <c r="AO1001" s="215"/>
      <c r="AP1001" s="215"/>
      <c r="AQ1001" s="215"/>
      <c r="AR1001" s="215"/>
      <c r="AS1001" s="215"/>
      <c r="AT1001" s="215"/>
      <c r="AU1001" s="215"/>
      <c r="AV1001" s="215"/>
      <c r="AW1001" s="215"/>
      <c r="AX1001" s="215"/>
      <c r="AY1001" s="215"/>
    </row>
    <row r="1002">
      <c r="A1002" s="80"/>
      <c r="B1002" s="80"/>
      <c r="C1002" s="80"/>
      <c r="D1002" s="80"/>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M1002" s="215"/>
      <c r="AN1002" s="215"/>
      <c r="AO1002" s="215"/>
      <c r="AP1002" s="215"/>
      <c r="AQ1002" s="215"/>
      <c r="AR1002" s="215"/>
      <c r="AS1002" s="215"/>
      <c r="AT1002" s="215"/>
      <c r="AU1002" s="215"/>
      <c r="AV1002" s="215"/>
      <c r="AW1002" s="215"/>
      <c r="AX1002" s="215"/>
      <c r="AY1002" s="215"/>
    </row>
    <row r="1003">
      <c r="A1003" s="80"/>
      <c r="B1003" s="80"/>
      <c r="C1003" s="80"/>
      <c r="D1003" s="80"/>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M1003" s="215"/>
      <c r="AN1003" s="215"/>
      <c r="AO1003" s="215"/>
      <c r="AP1003" s="215"/>
      <c r="AQ1003" s="215"/>
      <c r="AR1003" s="215"/>
      <c r="AS1003" s="215"/>
      <c r="AT1003" s="215"/>
      <c r="AU1003" s="215"/>
      <c r="AV1003" s="215"/>
      <c r="AW1003" s="215"/>
      <c r="AX1003" s="215"/>
      <c r="AY1003" s="215"/>
    </row>
    <row r="1004">
      <c r="A1004" s="80"/>
      <c r="B1004" s="80"/>
      <c r="C1004" s="80"/>
      <c r="D1004" s="80"/>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M1004" s="215"/>
      <c r="AN1004" s="215"/>
      <c r="AO1004" s="215"/>
      <c r="AP1004" s="215"/>
      <c r="AQ1004" s="215"/>
      <c r="AR1004" s="215"/>
      <c r="AS1004" s="215"/>
      <c r="AT1004" s="215"/>
      <c r="AU1004" s="215"/>
      <c r="AV1004" s="215"/>
      <c r="AW1004" s="215"/>
      <c r="AX1004" s="215"/>
      <c r="AY1004" s="215"/>
    </row>
    <row r="1005">
      <c r="A1005" s="80"/>
      <c r="B1005" s="80"/>
      <c r="C1005" s="80"/>
      <c r="D1005" s="80"/>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M1005" s="215"/>
      <c r="AN1005" s="215"/>
      <c r="AO1005" s="215"/>
      <c r="AP1005" s="215"/>
      <c r="AQ1005" s="215"/>
      <c r="AR1005" s="215"/>
      <c r="AS1005" s="215"/>
      <c r="AT1005" s="215"/>
      <c r="AU1005" s="215"/>
      <c r="AV1005" s="215"/>
      <c r="AW1005" s="215"/>
      <c r="AX1005" s="215"/>
      <c r="AY1005" s="215"/>
    </row>
    <row r="1006">
      <c r="A1006" s="80"/>
      <c r="B1006" s="80"/>
      <c r="C1006" s="80"/>
      <c r="D1006" s="80"/>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M1006" s="215"/>
      <c r="AN1006" s="215"/>
      <c r="AO1006" s="215"/>
      <c r="AP1006" s="215"/>
      <c r="AQ1006" s="215"/>
      <c r="AR1006" s="215"/>
      <c r="AS1006" s="215"/>
      <c r="AT1006" s="215"/>
      <c r="AU1006" s="215"/>
      <c r="AV1006" s="215"/>
      <c r="AW1006" s="215"/>
      <c r="AX1006" s="215"/>
      <c r="AY1006" s="215"/>
    </row>
    <row r="1007">
      <c r="A1007" s="80"/>
      <c r="B1007" s="80"/>
      <c r="C1007" s="80"/>
      <c r="D1007" s="80"/>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M1007" s="215"/>
      <c r="AN1007" s="215"/>
      <c r="AO1007" s="215"/>
      <c r="AP1007" s="215"/>
      <c r="AQ1007" s="215"/>
      <c r="AR1007" s="215"/>
      <c r="AS1007" s="215"/>
      <c r="AT1007" s="215"/>
      <c r="AU1007" s="215"/>
      <c r="AV1007" s="215"/>
      <c r="AW1007" s="215"/>
      <c r="AX1007" s="215"/>
      <c r="AY1007" s="215"/>
    </row>
    <row r="1008">
      <c r="A1008" s="80"/>
      <c r="B1008" s="80"/>
      <c r="C1008" s="80"/>
      <c r="D1008" s="80"/>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M1008" s="215"/>
      <c r="AN1008" s="215"/>
      <c r="AO1008" s="215"/>
      <c r="AP1008" s="215"/>
      <c r="AQ1008" s="215"/>
      <c r="AR1008" s="215"/>
      <c r="AS1008" s="215"/>
      <c r="AT1008" s="215"/>
      <c r="AU1008" s="215"/>
      <c r="AV1008" s="215"/>
      <c r="AW1008" s="215"/>
      <c r="AX1008" s="215"/>
      <c r="AY1008" s="215"/>
    </row>
    <row r="1009">
      <c r="A1009" s="80"/>
      <c r="B1009" s="80"/>
      <c r="C1009" s="80"/>
      <c r="D1009" s="80"/>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M1009" s="215"/>
      <c r="AN1009" s="215"/>
      <c r="AO1009" s="215"/>
      <c r="AP1009" s="215"/>
      <c r="AQ1009" s="215"/>
      <c r="AR1009" s="215"/>
      <c r="AS1009" s="215"/>
      <c r="AT1009" s="215"/>
      <c r="AU1009" s="215"/>
      <c r="AV1009" s="215"/>
      <c r="AW1009" s="215"/>
      <c r="AX1009" s="215"/>
      <c r="AY1009" s="215"/>
    </row>
    <row r="1010">
      <c r="A1010" s="80"/>
      <c r="B1010" s="80"/>
      <c r="C1010" s="80"/>
      <c r="D1010" s="80"/>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M1010" s="215"/>
      <c r="AN1010" s="215"/>
      <c r="AO1010" s="215"/>
      <c r="AP1010" s="215"/>
      <c r="AQ1010" s="215"/>
      <c r="AR1010" s="215"/>
      <c r="AS1010" s="215"/>
      <c r="AT1010" s="215"/>
      <c r="AU1010" s="215"/>
      <c r="AV1010" s="215"/>
      <c r="AW1010" s="215"/>
      <c r="AX1010" s="215"/>
      <c r="AY1010" s="215"/>
    </row>
    <row r="1011">
      <c r="A1011" s="80"/>
      <c r="B1011" s="80"/>
      <c r="C1011" s="80"/>
      <c r="D1011" s="80"/>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M1011" s="215"/>
      <c r="AN1011" s="215"/>
      <c r="AO1011" s="215"/>
      <c r="AP1011" s="215"/>
      <c r="AQ1011" s="215"/>
      <c r="AR1011" s="215"/>
      <c r="AS1011" s="215"/>
      <c r="AT1011" s="215"/>
      <c r="AU1011" s="215"/>
      <c r="AV1011" s="215"/>
      <c r="AW1011" s="215"/>
      <c r="AX1011" s="215"/>
      <c r="AY1011" s="215"/>
    </row>
    <row r="1012">
      <c r="A1012" s="80"/>
      <c r="B1012" s="80"/>
      <c r="C1012" s="80"/>
      <c r="D1012" s="80"/>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M1012" s="215"/>
      <c r="AN1012" s="215"/>
      <c r="AO1012" s="215"/>
      <c r="AP1012" s="215"/>
      <c r="AQ1012" s="215"/>
      <c r="AR1012" s="215"/>
      <c r="AS1012" s="215"/>
      <c r="AT1012" s="215"/>
      <c r="AU1012" s="215"/>
      <c r="AV1012" s="215"/>
      <c r="AW1012" s="215"/>
      <c r="AX1012" s="215"/>
      <c r="AY1012" s="215"/>
    </row>
    <row r="1013">
      <c r="A1013" s="80"/>
      <c r="B1013" s="80"/>
      <c r="C1013" s="80"/>
      <c r="D1013" s="80"/>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M1013" s="215"/>
      <c r="AN1013" s="215"/>
      <c r="AO1013" s="215"/>
      <c r="AP1013" s="215"/>
      <c r="AQ1013" s="215"/>
      <c r="AR1013" s="215"/>
      <c r="AS1013" s="215"/>
      <c r="AT1013" s="215"/>
      <c r="AU1013" s="215"/>
      <c r="AV1013" s="215"/>
      <c r="AW1013" s="215"/>
      <c r="AX1013" s="215"/>
      <c r="AY1013" s="215"/>
    </row>
    <row r="1014">
      <c r="A1014" s="80"/>
      <c r="B1014" s="80"/>
      <c r="C1014" s="80"/>
      <c r="D1014" s="80"/>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M1014" s="215"/>
      <c r="AN1014" s="215"/>
      <c r="AO1014" s="215"/>
      <c r="AP1014" s="215"/>
      <c r="AQ1014" s="215"/>
      <c r="AR1014" s="215"/>
      <c r="AS1014" s="215"/>
      <c r="AT1014" s="215"/>
      <c r="AU1014" s="215"/>
      <c r="AV1014" s="215"/>
      <c r="AW1014" s="215"/>
      <c r="AX1014" s="215"/>
      <c r="AY1014" s="215"/>
    </row>
    <row r="1015">
      <c r="A1015" s="80"/>
      <c r="B1015" s="80"/>
      <c r="C1015" s="80"/>
      <c r="D1015" s="80"/>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M1015" s="215"/>
      <c r="AN1015" s="215"/>
      <c r="AO1015" s="215"/>
      <c r="AP1015" s="215"/>
      <c r="AQ1015" s="215"/>
      <c r="AR1015" s="215"/>
      <c r="AS1015" s="215"/>
      <c r="AT1015" s="215"/>
      <c r="AU1015" s="215"/>
      <c r="AV1015" s="215"/>
      <c r="AW1015" s="215"/>
      <c r="AX1015" s="215"/>
      <c r="AY1015" s="215"/>
    </row>
    <row r="1016">
      <c r="A1016" s="80"/>
      <c r="B1016" s="80"/>
      <c r="C1016" s="80"/>
      <c r="D1016" s="80"/>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M1016" s="215"/>
      <c r="AN1016" s="215"/>
      <c r="AO1016" s="215"/>
      <c r="AP1016" s="215"/>
      <c r="AQ1016" s="215"/>
      <c r="AR1016" s="215"/>
      <c r="AS1016" s="215"/>
      <c r="AT1016" s="215"/>
      <c r="AU1016" s="215"/>
      <c r="AV1016" s="215"/>
      <c r="AW1016" s="215"/>
      <c r="AX1016" s="215"/>
      <c r="AY1016" s="215"/>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3198</v>
      </c>
    </row>
    <row r="2">
      <c r="A2" s="26" t="s">
        <v>3199</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301" t="s">
        <v>3200</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302" t="s">
        <v>3201</v>
      </c>
      <c r="B1" s="302" t="s">
        <v>2507</v>
      </c>
      <c r="C1" s="302" t="s">
        <v>3202</v>
      </c>
      <c r="D1" s="302" t="s">
        <v>2887</v>
      </c>
    </row>
    <row r="2" ht="14.25" customHeight="1">
      <c r="A2" s="303" t="s">
        <v>3203</v>
      </c>
      <c r="B2" s="303" t="s">
        <v>3204</v>
      </c>
      <c r="C2" s="303">
        <v>442.0</v>
      </c>
      <c r="D2" s="303" t="s">
        <v>3205</v>
      </c>
    </row>
    <row r="3" ht="14.25" customHeight="1">
      <c r="A3" s="303" t="s">
        <v>3203</v>
      </c>
      <c r="B3" s="303" t="s">
        <v>3206</v>
      </c>
      <c r="C3" s="304">
        <v>142.0</v>
      </c>
      <c r="D3" s="304" t="s">
        <v>3207</v>
      </c>
    </row>
    <row r="4" ht="14.25" customHeight="1">
      <c r="A4" s="303" t="s">
        <v>3203</v>
      </c>
      <c r="B4" s="303" t="s">
        <v>3208</v>
      </c>
      <c r="C4" s="304">
        <v>140.0</v>
      </c>
      <c r="D4" s="304" t="s">
        <v>3209</v>
      </c>
    </row>
    <row r="5" ht="14.25" customHeight="1">
      <c r="A5" s="305" t="s">
        <v>3210</v>
      </c>
      <c r="B5" s="305" t="s">
        <v>3211</v>
      </c>
      <c r="C5" s="305"/>
      <c r="D5" s="305"/>
    </row>
    <row r="6" ht="14.25" customHeight="1">
      <c r="A6" s="305" t="s">
        <v>3210</v>
      </c>
      <c r="B6" s="305" t="s">
        <v>3212</v>
      </c>
      <c r="C6" s="305"/>
      <c r="D6" s="305"/>
    </row>
    <row r="7" ht="14.25" customHeight="1">
      <c r="A7" s="306" t="s">
        <v>3213</v>
      </c>
      <c r="B7" s="306" t="s">
        <v>3214</v>
      </c>
      <c r="C7" s="306"/>
      <c r="D7" s="306"/>
    </row>
    <row r="8" ht="14.25" customHeight="1">
      <c r="A8" s="306" t="s">
        <v>3213</v>
      </c>
      <c r="B8" s="306" t="s">
        <v>3215</v>
      </c>
      <c r="C8" s="306"/>
      <c r="D8" s="306"/>
    </row>
    <row r="9" ht="14.25" customHeight="1">
      <c r="A9" s="306" t="s">
        <v>3213</v>
      </c>
      <c r="B9" s="306" t="s">
        <v>3216</v>
      </c>
      <c r="C9" s="306"/>
      <c r="D9" s="306"/>
    </row>
    <row r="10" ht="14.25" customHeight="1">
      <c r="A10" s="306" t="s">
        <v>3213</v>
      </c>
      <c r="B10" s="306" t="s">
        <v>3217</v>
      </c>
      <c r="C10" s="306"/>
      <c r="D10" s="306"/>
    </row>
    <row r="11" ht="14.25" customHeight="1">
      <c r="A11" s="307" t="s">
        <v>3218</v>
      </c>
      <c r="B11" s="307" t="s">
        <v>3219</v>
      </c>
      <c r="C11" s="307"/>
      <c r="D11" s="307"/>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308" t="s">
        <v>61</v>
      </c>
      <c r="F1" s="308" t="s">
        <v>62</v>
      </c>
      <c r="G1" s="308" t="s">
        <v>3220</v>
      </c>
      <c r="H1" s="309" t="s">
        <v>3221</v>
      </c>
      <c r="I1" s="309" t="s">
        <v>3222</v>
      </c>
      <c r="J1" s="308" t="s">
        <v>3223</v>
      </c>
      <c r="K1" s="310" t="s">
        <v>3224</v>
      </c>
      <c r="L1" s="309" t="s">
        <v>3225</v>
      </c>
      <c r="M1" s="308" t="s">
        <v>3226</v>
      </c>
      <c r="N1" s="308" t="s">
        <v>3227</v>
      </c>
      <c r="O1" s="308" t="s">
        <v>3228</v>
      </c>
      <c r="P1" s="308" t="s">
        <v>3229</v>
      </c>
      <c r="Q1" s="54" t="s">
        <v>3230</v>
      </c>
      <c r="R1" s="56" t="s">
        <v>944</v>
      </c>
      <c r="S1" s="56" t="s">
        <v>3231</v>
      </c>
      <c r="T1" s="311" t="s">
        <v>3232</v>
      </c>
      <c r="U1" s="57" t="s">
        <v>61</v>
      </c>
      <c r="V1" s="57" t="s">
        <v>62</v>
      </c>
      <c r="W1" s="311" t="s">
        <v>950</v>
      </c>
      <c r="X1" s="311" t="s">
        <v>3233</v>
      </c>
      <c r="Y1" s="312" t="s">
        <v>3234</v>
      </c>
      <c r="Z1" s="312" t="s">
        <v>3235</v>
      </c>
      <c r="AA1" s="312" t="s">
        <v>3236</v>
      </c>
    </row>
    <row r="2" ht="14.25" customHeight="1">
      <c r="A2" s="313" t="s">
        <v>427</v>
      </c>
      <c r="B2" s="313" t="s">
        <v>428</v>
      </c>
      <c r="C2" s="313" t="s">
        <v>88</v>
      </c>
      <c r="D2" s="313" t="s">
        <v>429</v>
      </c>
      <c r="E2" s="313" t="s">
        <v>101</v>
      </c>
      <c r="F2" s="313" t="s">
        <v>430</v>
      </c>
      <c r="G2" s="313" t="s">
        <v>49</v>
      </c>
      <c r="H2" s="314" t="s">
        <v>620</v>
      </c>
      <c r="I2" s="314" t="s">
        <v>3237</v>
      </c>
      <c r="J2" s="314" t="s">
        <v>3238</v>
      </c>
      <c r="K2" s="314" t="s">
        <v>3239</v>
      </c>
      <c r="L2" s="313"/>
      <c r="M2" s="314" t="s">
        <v>3240</v>
      </c>
      <c r="N2" s="314" t="s">
        <v>963</v>
      </c>
      <c r="O2" s="314" t="s">
        <v>3241</v>
      </c>
      <c r="P2" s="313" t="s">
        <v>3242</v>
      </c>
      <c r="Q2" s="314" t="s">
        <v>3015</v>
      </c>
      <c r="R2" s="314" t="s">
        <v>963</v>
      </c>
      <c r="S2" s="314" t="s">
        <v>3243</v>
      </c>
      <c r="T2" s="314" t="s">
        <v>3244</v>
      </c>
      <c r="U2" s="314" t="s">
        <v>3245</v>
      </c>
      <c r="V2" s="314" t="s">
        <v>3246</v>
      </c>
      <c r="W2" s="314" t="s">
        <v>3247</v>
      </c>
      <c r="X2" s="313"/>
      <c r="Y2" s="313"/>
      <c r="Z2" s="313"/>
      <c r="AA2" s="313"/>
      <c r="AB2" s="313"/>
      <c r="AC2" s="313"/>
      <c r="AD2" s="313"/>
    </row>
    <row r="3" ht="14.25" customHeight="1">
      <c r="A3" s="37" t="s">
        <v>432</v>
      </c>
      <c r="B3" s="37" t="s">
        <v>433</v>
      </c>
      <c r="C3" s="37" t="s">
        <v>88</v>
      </c>
      <c r="D3" s="37" t="s">
        <v>125</v>
      </c>
      <c r="E3" s="26" t="s">
        <v>3248</v>
      </c>
      <c r="F3" s="37" t="s">
        <v>209</v>
      </c>
      <c r="G3" s="37" t="s">
        <v>49</v>
      </c>
      <c r="H3" s="26" t="s">
        <v>3249</v>
      </c>
      <c r="I3" s="26" t="s">
        <v>3250</v>
      </c>
      <c r="J3" s="26" t="s">
        <v>3251</v>
      </c>
      <c r="K3" s="26" t="s">
        <v>3252</v>
      </c>
      <c r="L3" s="26" t="s">
        <v>1765</v>
      </c>
      <c r="M3" s="26" t="s">
        <v>3253</v>
      </c>
      <c r="N3" s="26" t="s">
        <v>931</v>
      </c>
      <c r="O3" s="26" t="s">
        <v>2216</v>
      </c>
      <c r="P3" s="37"/>
      <c r="Q3" s="26" t="s">
        <v>2216</v>
      </c>
      <c r="R3" s="26" t="s">
        <v>963</v>
      </c>
      <c r="S3" s="26" t="s">
        <v>3254</v>
      </c>
      <c r="T3" s="26" t="s">
        <v>3255</v>
      </c>
      <c r="U3" s="26" t="s">
        <v>3256</v>
      </c>
      <c r="V3" s="26" t="s">
        <v>3256</v>
      </c>
      <c r="W3" s="26" t="s">
        <v>3257</v>
      </c>
    </row>
    <row r="4" ht="14.25" customHeight="1">
      <c r="A4" s="37" t="s">
        <v>435</v>
      </c>
      <c r="B4" s="37" t="s">
        <v>436</v>
      </c>
      <c r="C4" s="37" t="s">
        <v>88</v>
      </c>
      <c r="D4" s="37" t="s">
        <v>256</v>
      </c>
      <c r="E4" s="37" t="s">
        <v>101</v>
      </c>
      <c r="F4" s="37" t="s">
        <v>102</v>
      </c>
      <c r="G4" s="37" t="s">
        <v>49</v>
      </c>
      <c r="H4" s="26" t="s">
        <v>3258</v>
      </c>
      <c r="I4" s="26" t="s">
        <v>3259</v>
      </c>
      <c r="J4" s="26" t="s">
        <v>3260</v>
      </c>
      <c r="K4" s="26" t="s">
        <v>3252</v>
      </c>
      <c r="L4" s="26" t="s">
        <v>3261</v>
      </c>
      <c r="M4" s="26" t="s">
        <v>3262</v>
      </c>
      <c r="N4" s="26" t="s">
        <v>931</v>
      </c>
      <c r="O4" s="26" t="s">
        <v>2216</v>
      </c>
      <c r="P4" s="37"/>
      <c r="Q4" s="26" t="s">
        <v>2216</v>
      </c>
      <c r="R4" s="26" t="s">
        <v>963</v>
      </c>
      <c r="S4" s="26" t="s">
        <v>3263</v>
      </c>
      <c r="T4" s="26" t="s">
        <v>3264</v>
      </c>
      <c r="U4" s="26" t="s">
        <v>3265</v>
      </c>
      <c r="V4" s="26" t="s">
        <v>3266</v>
      </c>
      <c r="W4" s="26" t="s">
        <v>3257</v>
      </c>
    </row>
    <row r="5" ht="14.25" customHeight="1">
      <c r="A5" s="37" t="s">
        <v>437</v>
      </c>
      <c r="B5" s="37" t="s">
        <v>438</v>
      </c>
      <c r="C5" s="37" t="s">
        <v>88</v>
      </c>
      <c r="D5" s="37" t="s">
        <v>264</v>
      </c>
      <c r="E5" s="37" t="s">
        <v>439</v>
      </c>
      <c r="F5" s="37" t="s">
        <v>440</v>
      </c>
      <c r="G5" s="37" t="s">
        <v>49</v>
      </c>
      <c r="H5" s="26" t="s">
        <v>3267</v>
      </c>
      <c r="I5" s="26" t="s">
        <v>3268</v>
      </c>
      <c r="J5" s="26" t="s">
        <v>3269</v>
      </c>
      <c r="K5" s="26" t="s">
        <v>3270</v>
      </c>
      <c r="L5" s="26" t="s">
        <v>3271</v>
      </c>
      <c r="M5" s="26" t="s">
        <v>3272</v>
      </c>
      <c r="N5" s="26" t="s">
        <v>931</v>
      </c>
      <c r="O5" s="26" t="s">
        <v>2216</v>
      </c>
      <c r="P5" s="37"/>
      <c r="Q5" s="26" t="s">
        <v>2216</v>
      </c>
      <c r="R5" s="26" t="s">
        <v>963</v>
      </c>
      <c r="S5" s="26" t="s">
        <v>3273</v>
      </c>
      <c r="T5" s="26" t="s">
        <v>3274</v>
      </c>
      <c r="U5" s="26" t="s">
        <v>3256</v>
      </c>
      <c r="V5" s="26" t="s">
        <v>3275</v>
      </c>
      <c r="W5" s="26" t="s">
        <v>3276</v>
      </c>
      <c r="X5" s="26" t="s">
        <v>931</v>
      </c>
    </row>
    <row r="6" ht="14.25" customHeight="1">
      <c r="A6" s="37" t="s">
        <v>441</v>
      </c>
      <c r="B6" s="37" t="s">
        <v>442</v>
      </c>
      <c r="C6" s="37" t="s">
        <v>88</v>
      </c>
      <c r="D6" s="37" t="s">
        <v>443</v>
      </c>
      <c r="E6" s="37" t="s">
        <v>444</v>
      </c>
      <c r="F6" s="37" t="s">
        <v>445</v>
      </c>
      <c r="G6" s="37" t="s">
        <v>49</v>
      </c>
      <c r="H6" s="26" t="s">
        <v>3249</v>
      </c>
      <c r="I6" s="26" t="s">
        <v>3277</v>
      </c>
      <c r="J6" s="26" t="s">
        <v>3278</v>
      </c>
      <c r="K6" s="26" t="s">
        <v>3279</v>
      </c>
      <c r="L6" s="26" t="s">
        <v>3280</v>
      </c>
      <c r="M6" s="26" t="s">
        <v>3281</v>
      </c>
      <c r="N6" s="26" t="s">
        <v>931</v>
      </c>
      <c r="O6" s="26" t="s">
        <v>2216</v>
      </c>
      <c r="P6" s="37"/>
      <c r="Q6" s="26" t="s">
        <v>2216</v>
      </c>
      <c r="R6" s="26" t="s">
        <v>963</v>
      </c>
      <c r="S6" s="26" t="s">
        <v>3282</v>
      </c>
      <c r="T6" s="26" t="s">
        <v>3283</v>
      </c>
      <c r="U6" s="26" t="s">
        <v>3284</v>
      </c>
      <c r="V6" s="26" t="s">
        <v>3285</v>
      </c>
      <c r="W6" s="26" t="s">
        <v>3286</v>
      </c>
      <c r="X6" s="26" t="s">
        <v>931</v>
      </c>
    </row>
    <row r="7" ht="14.25" customHeight="1">
      <c r="A7" s="37" t="s">
        <v>446</v>
      </c>
      <c r="B7" s="37" t="s">
        <v>447</v>
      </c>
      <c r="C7" s="37" t="s">
        <v>88</v>
      </c>
      <c r="D7" s="37" t="s">
        <v>187</v>
      </c>
      <c r="E7" s="37" t="s">
        <v>448</v>
      </c>
      <c r="F7" s="37" t="s">
        <v>189</v>
      </c>
      <c r="G7" s="37" t="s">
        <v>49</v>
      </c>
      <c r="H7" s="26" t="s">
        <v>3287</v>
      </c>
      <c r="I7" s="26" t="s">
        <v>3288</v>
      </c>
      <c r="J7" s="26" t="s">
        <v>3289</v>
      </c>
      <c r="K7" s="26" t="s">
        <v>3290</v>
      </c>
      <c r="L7" s="26" t="s">
        <v>3291</v>
      </c>
      <c r="M7" s="26" t="s">
        <v>3292</v>
      </c>
      <c r="N7" s="26" t="s">
        <v>931</v>
      </c>
      <c r="O7" s="26" t="s">
        <v>2216</v>
      </c>
      <c r="P7" s="37"/>
      <c r="Q7" s="26" t="s">
        <v>2216</v>
      </c>
      <c r="R7" s="26" t="s">
        <v>963</v>
      </c>
      <c r="S7" s="26" t="s">
        <v>3293</v>
      </c>
      <c r="T7" s="26" t="s">
        <v>3294</v>
      </c>
      <c r="U7" s="26" t="s">
        <v>3295</v>
      </c>
      <c r="V7" s="26" t="s">
        <v>3296</v>
      </c>
      <c r="W7" s="26" t="s">
        <v>3297</v>
      </c>
      <c r="X7" s="26" t="s">
        <v>931</v>
      </c>
    </row>
    <row r="8" ht="14.25" customHeight="1">
      <c r="A8" s="37" t="s">
        <v>449</v>
      </c>
      <c r="B8" s="37" t="s">
        <v>450</v>
      </c>
      <c r="C8" s="37" t="s">
        <v>88</v>
      </c>
      <c r="D8" s="37" t="s">
        <v>179</v>
      </c>
      <c r="E8" s="37" t="s">
        <v>451</v>
      </c>
      <c r="F8" s="37" t="s">
        <v>280</v>
      </c>
      <c r="G8" s="37" t="s">
        <v>49</v>
      </c>
      <c r="H8" s="26" t="s">
        <v>3298</v>
      </c>
      <c r="I8" s="26" t="s">
        <v>3299</v>
      </c>
      <c r="J8" s="26" t="s">
        <v>3300</v>
      </c>
      <c r="K8" s="26" t="s">
        <v>3301</v>
      </c>
      <c r="L8" s="26" t="s">
        <v>3302</v>
      </c>
      <c r="M8" s="26" t="s">
        <v>3303</v>
      </c>
      <c r="N8" s="26" t="s">
        <v>3304</v>
      </c>
      <c r="O8" s="26" t="s">
        <v>2216</v>
      </c>
      <c r="P8" s="37"/>
      <c r="Q8" s="26" t="s">
        <v>2216</v>
      </c>
      <c r="R8" s="26" t="s">
        <v>963</v>
      </c>
      <c r="S8" s="26" t="s">
        <v>3305</v>
      </c>
      <c r="T8" s="26" t="s">
        <v>3306</v>
      </c>
      <c r="U8" s="26" t="s">
        <v>3307</v>
      </c>
      <c r="V8" s="26" t="s">
        <v>3308</v>
      </c>
      <c r="W8" s="26" t="s">
        <v>3309</v>
      </c>
      <c r="X8" s="26" t="s">
        <v>963</v>
      </c>
    </row>
    <row r="9" ht="14.25" customHeight="1">
      <c r="A9" s="37" t="s">
        <v>452</v>
      </c>
      <c r="B9" s="37" t="s">
        <v>453</v>
      </c>
      <c r="C9" s="37" t="s">
        <v>88</v>
      </c>
      <c r="D9" s="37" t="s">
        <v>454</v>
      </c>
      <c r="E9" s="37" t="s">
        <v>455</v>
      </c>
      <c r="F9" s="37" t="s">
        <v>456</v>
      </c>
      <c r="G9" s="37" t="s">
        <v>49</v>
      </c>
      <c r="H9" s="26" t="s">
        <v>3310</v>
      </c>
      <c r="I9" s="26" t="s">
        <v>3311</v>
      </c>
      <c r="J9" s="26" t="s">
        <v>3312</v>
      </c>
      <c r="K9" s="26" t="s">
        <v>3313</v>
      </c>
      <c r="L9" s="26" t="s">
        <v>3314</v>
      </c>
      <c r="M9" s="26" t="s">
        <v>3315</v>
      </c>
      <c r="N9" s="26" t="s">
        <v>3316</v>
      </c>
      <c r="O9" s="26" t="s">
        <v>2216</v>
      </c>
      <c r="P9" s="37"/>
      <c r="Q9" s="26" t="s">
        <v>2216</v>
      </c>
      <c r="R9" s="26" t="s">
        <v>963</v>
      </c>
      <c r="S9" s="26" t="s">
        <v>3317</v>
      </c>
      <c r="T9" s="26" t="s">
        <v>3318</v>
      </c>
      <c r="U9" s="26" t="s">
        <v>3319</v>
      </c>
      <c r="V9" s="26" t="s">
        <v>3320</v>
      </c>
      <c r="W9" s="26" t="s">
        <v>3321</v>
      </c>
      <c r="X9" s="26" t="s">
        <v>963</v>
      </c>
    </row>
    <row r="10" ht="14.25" customHeight="1">
      <c r="A10" s="37" t="s">
        <v>457</v>
      </c>
      <c r="B10" s="37" t="s">
        <v>458</v>
      </c>
      <c r="C10" s="37" t="s">
        <v>88</v>
      </c>
      <c r="D10" s="37" t="s">
        <v>422</v>
      </c>
      <c r="E10" s="37" t="s">
        <v>162</v>
      </c>
      <c r="F10" s="37" t="s">
        <v>176</v>
      </c>
      <c r="G10" s="37" t="s">
        <v>49</v>
      </c>
      <c r="H10" s="26" t="s">
        <v>3322</v>
      </c>
      <c r="I10" s="26" t="s">
        <v>3323</v>
      </c>
      <c r="J10" s="26" t="s">
        <v>3324</v>
      </c>
      <c r="K10" s="26" t="s">
        <v>3325</v>
      </c>
      <c r="L10" s="26" t="s">
        <v>3326</v>
      </c>
      <c r="M10" s="26" t="s">
        <v>3327</v>
      </c>
      <c r="N10" s="26" t="s">
        <v>931</v>
      </c>
      <c r="O10" s="26" t="s">
        <v>2216</v>
      </c>
      <c r="P10" s="37"/>
      <c r="Q10" s="26" t="s">
        <v>2216</v>
      </c>
      <c r="R10" s="26" t="s">
        <v>963</v>
      </c>
      <c r="S10" s="26" t="s">
        <v>3328</v>
      </c>
      <c r="T10" s="26" t="s">
        <v>3329</v>
      </c>
      <c r="U10" s="26" t="s">
        <v>3330</v>
      </c>
      <c r="V10" s="26" t="s">
        <v>3331</v>
      </c>
      <c r="W10" s="26" t="s">
        <v>3321</v>
      </c>
      <c r="X10" s="26" t="s">
        <v>931</v>
      </c>
    </row>
    <row r="11" ht="14.25" customHeight="1">
      <c r="A11" s="37" t="s">
        <v>459</v>
      </c>
      <c r="B11" s="37" t="s">
        <v>460</v>
      </c>
      <c r="C11" s="37" t="s">
        <v>88</v>
      </c>
      <c r="D11" s="37" t="s">
        <v>461</v>
      </c>
      <c r="E11" s="37" t="s">
        <v>462</v>
      </c>
      <c r="F11" s="37" t="s">
        <v>463</v>
      </c>
      <c r="G11" s="37" t="s">
        <v>49</v>
      </c>
      <c r="H11" s="26" t="s">
        <v>3332</v>
      </c>
      <c r="I11" s="26" t="s">
        <v>3333</v>
      </c>
      <c r="J11" s="26" t="s">
        <v>3334</v>
      </c>
      <c r="K11" s="26" t="s">
        <v>3335</v>
      </c>
      <c r="L11" s="26" t="s">
        <v>3336</v>
      </c>
      <c r="M11" s="26" t="s">
        <v>3337</v>
      </c>
      <c r="N11" s="26" t="s">
        <v>931</v>
      </c>
      <c r="O11" s="26" t="s">
        <v>2216</v>
      </c>
      <c r="P11" s="37"/>
      <c r="Q11" s="26" t="s">
        <v>2216</v>
      </c>
      <c r="R11" s="26" t="s">
        <v>963</v>
      </c>
      <c r="S11" s="26" t="s">
        <v>3338</v>
      </c>
      <c r="T11" s="26" t="s">
        <v>3339</v>
      </c>
      <c r="U11" s="26" t="s">
        <v>3340</v>
      </c>
      <c r="V11" s="26" t="s">
        <v>3341</v>
      </c>
      <c r="W11" s="26" t="s">
        <v>3321</v>
      </c>
      <c r="X11" s="26" t="s">
        <v>931</v>
      </c>
    </row>
    <row r="12" ht="14.25" customHeight="1">
      <c r="A12" s="37" t="s">
        <v>464</v>
      </c>
      <c r="B12" s="37" t="s">
        <v>465</v>
      </c>
      <c r="C12" s="37" t="s">
        <v>88</v>
      </c>
      <c r="D12" s="37" t="s">
        <v>413</v>
      </c>
      <c r="E12" s="37" t="s">
        <v>466</v>
      </c>
      <c r="F12" s="37" t="s">
        <v>398</v>
      </c>
      <c r="G12" s="37" t="s">
        <v>49</v>
      </c>
      <c r="H12" s="26" t="s">
        <v>3342</v>
      </c>
      <c r="I12" s="26" t="s">
        <v>3343</v>
      </c>
      <c r="J12" s="26" t="s">
        <v>3344</v>
      </c>
      <c r="K12" s="26" t="s">
        <v>3345</v>
      </c>
      <c r="L12" s="26" t="s">
        <v>3346</v>
      </c>
      <c r="M12" s="26" t="s">
        <v>3347</v>
      </c>
      <c r="N12" s="26" t="s">
        <v>931</v>
      </c>
      <c r="O12" s="26" t="s">
        <v>2216</v>
      </c>
      <c r="P12" s="37"/>
      <c r="Q12" s="26" t="s">
        <v>2216</v>
      </c>
      <c r="R12" s="26" t="s">
        <v>963</v>
      </c>
      <c r="S12" s="26" t="s">
        <v>3348</v>
      </c>
      <c r="T12" s="26" t="s">
        <v>3349</v>
      </c>
      <c r="U12" s="26" t="s">
        <v>3350</v>
      </c>
      <c r="V12" s="26" t="s">
        <v>3351</v>
      </c>
      <c r="W12" s="26" t="s">
        <v>3321</v>
      </c>
      <c r="X12" s="26" t="s">
        <v>931</v>
      </c>
    </row>
    <row r="13" ht="14.25" customHeight="1">
      <c r="A13" s="315" t="s">
        <v>467</v>
      </c>
      <c r="B13" s="315" t="s">
        <v>468</v>
      </c>
      <c r="C13" s="315" t="s">
        <v>88</v>
      </c>
      <c r="D13" s="315" t="s">
        <v>469</v>
      </c>
      <c r="E13" s="315" t="s">
        <v>470</v>
      </c>
      <c r="F13" s="315" t="s">
        <v>471</v>
      </c>
      <c r="G13" s="315" t="s">
        <v>49</v>
      </c>
      <c r="H13" s="316" t="s">
        <v>3352</v>
      </c>
      <c r="I13" s="316" t="s">
        <v>3353</v>
      </c>
      <c r="J13" s="316" t="s">
        <v>3354</v>
      </c>
      <c r="K13" s="316" t="s">
        <v>3355</v>
      </c>
      <c r="L13" s="316" t="s">
        <v>3356</v>
      </c>
      <c r="M13" s="316" t="s">
        <v>3357</v>
      </c>
      <c r="N13" s="316" t="s">
        <v>963</v>
      </c>
      <c r="O13" s="316" t="s">
        <v>3358</v>
      </c>
      <c r="P13" s="316" t="s">
        <v>2992</v>
      </c>
      <c r="Q13" s="316" t="s">
        <v>2216</v>
      </c>
      <c r="R13" s="316" t="s">
        <v>963</v>
      </c>
      <c r="S13" s="316" t="s">
        <v>3359</v>
      </c>
      <c r="T13" s="316" t="s">
        <v>3360</v>
      </c>
      <c r="U13" s="316" t="s">
        <v>3361</v>
      </c>
      <c r="V13" s="316" t="s">
        <v>3362</v>
      </c>
      <c r="W13" s="316" t="s">
        <v>2495</v>
      </c>
      <c r="X13" s="316" t="s">
        <v>931</v>
      </c>
      <c r="Y13" s="315"/>
      <c r="Z13" s="315"/>
      <c r="AA13" s="315"/>
      <c r="AB13" s="315"/>
      <c r="AC13" s="315"/>
      <c r="AD13" s="315"/>
    </row>
    <row r="14" ht="14.25" customHeight="1">
      <c r="A14" s="37" t="s">
        <v>472</v>
      </c>
      <c r="B14" s="37" t="s">
        <v>473</v>
      </c>
      <c r="C14" s="37" t="s">
        <v>88</v>
      </c>
      <c r="D14" s="37" t="s">
        <v>353</v>
      </c>
      <c r="F14" s="37" t="s">
        <v>474</v>
      </c>
      <c r="G14" s="37" t="s">
        <v>49</v>
      </c>
      <c r="H14" s="26" t="s">
        <v>3363</v>
      </c>
      <c r="I14" s="26" t="s">
        <v>3364</v>
      </c>
      <c r="J14" s="26" t="s">
        <v>3365</v>
      </c>
      <c r="K14" s="26" t="s">
        <v>3366</v>
      </c>
      <c r="L14" s="26" t="s">
        <v>3367</v>
      </c>
      <c r="M14" s="26" t="s">
        <v>3368</v>
      </c>
      <c r="N14" s="26" t="s">
        <v>931</v>
      </c>
      <c r="O14" s="26" t="s">
        <v>2216</v>
      </c>
      <c r="P14" s="37"/>
      <c r="Q14" s="26" t="s">
        <v>2216</v>
      </c>
      <c r="R14" s="26" t="s">
        <v>963</v>
      </c>
      <c r="S14" s="26" t="s">
        <v>3369</v>
      </c>
      <c r="T14" s="26" t="s">
        <v>3370</v>
      </c>
      <c r="U14" s="26" t="s">
        <v>3371</v>
      </c>
      <c r="V14" s="26" t="s">
        <v>3372</v>
      </c>
      <c r="W14" s="26" t="s">
        <v>3321</v>
      </c>
      <c r="X14" s="26" t="s">
        <v>931</v>
      </c>
    </row>
    <row r="15" ht="14.25" customHeight="1">
      <c r="A15" s="37" t="s">
        <v>475</v>
      </c>
      <c r="B15" s="37" t="s">
        <v>476</v>
      </c>
      <c r="C15" s="37" t="s">
        <v>88</v>
      </c>
      <c r="D15" s="37" t="s">
        <v>477</v>
      </c>
      <c r="E15" s="37" t="s">
        <v>101</v>
      </c>
      <c r="F15" s="37" t="s">
        <v>478</v>
      </c>
      <c r="G15" s="37" t="s">
        <v>49</v>
      </c>
      <c r="H15" s="26" t="s">
        <v>3373</v>
      </c>
      <c r="I15" s="26" t="s">
        <v>3374</v>
      </c>
      <c r="J15" s="26" t="s">
        <v>3375</v>
      </c>
      <c r="K15" s="26" t="s">
        <v>3376</v>
      </c>
      <c r="L15" s="26" t="s">
        <v>3377</v>
      </c>
      <c r="M15" s="26" t="s">
        <v>3378</v>
      </c>
      <c r="N15" s="26" t="s">
        <v>931</v>
      </c>
      <c r="O15" s="26" t="s">
        <v>2216</v>
      </c>
      <c r="P15" s="37"/>
      <c r="Q15" s="26" t="s">
        <v>2216</v>
      </c>
      <c r="R15" s="26" t="s">
        <v>963</v>
      </c>
      <c r="S15" s="26" t="s">
        <v>3379</v>
      </c>
      <c r="T15" s="26" t="s">
        <v>3380</v>
      </c>
      <c r="U15" s="26" t="s">
        <v>3381</v>
      </c>
      <c r="V15" s="26" t="s">
        <v>3382</v>
      </c>
      <c r="W15" s="26" t="s">
        <v>3321</v>
      </c>
      <c r="X15" s="26" t="s">
        <v>931</v>
      </c>
    </row>
    <row r="16" ht="14.25" customHeight="1">
      <c r="A16" s="37" t="s">
        <v>486</v>
      </c>
      <c r="B16" s="37" t="s">
        <v>487</v>
      </c>
      <c r="C16" s="37" t="s">
        <v>88</v>
      </c>
      <c r="D16" s="37" t="s">
        <v>488</v>
      </c>
      <c r="E16" s="37" t="s">
        <v>137</v>
      </c>
      <c r="F16" s="37" t="s">
        <v>489</v>
      </c>
      <c r="G16" s="37" t="s">
        <v>49</v>
      </c>
      <c r="H16" s="26" t="s">
        <v>3383</v>
      </c>
      <c r="I16" s="26" t="s">
        <v>3384</v>
      </c>
      <c r="J16" s="26" t="s">
        <v>3385</v>
      </c>
      <c r="K16" s="26" t="s">
        <v>3386</v>
      </c>
      <c r="L16" s="26" t="s">
        <v>3387</v>
      </c>
      <c r="M16" s="26" t="s">
        <v>3388</v>
      </c>
      <c r="N16" s="26" t="s">
        <v>931</v>
      </c>
      <c r="O16" s="26" t="s">
        <v>2216</v>
      </c>
      <c r="P16" s="37"/>
      <c r="Q16" s="26" t="s">
        <v>2216</v>
      </c>
      <c r="R16" s="26" t="s">
        <v>963</v>
      </c>
      <c r="S16" s="26" t="s">
        <v>3389</v>
      </c>
      <c r="T16" s="26" t="s">
        <v>3390</v>
      </c>
      <c r="U16" s="26" t="s">
        <v>3391</v>
      </c>
      <c r="V16" s="26" t="s">
        <v>3392</v>
      </c>
      <c r="W16" s="26" t="s">
        <v>3393</v>
      </c>
      <c r="X16" s="26" t="s">
        <v>931</v>
      </c>
    </row>
    <row r="17" ht="14.25" customHeight="1">
      <c r="A17" s="37" t="s">
        <v>490</v>
      </c>
      <c r="B17" s="37" t="s">
        <v>491</v>
      </c>
      <c r="C17" s="37" t="s">
        <v>88</v>
      </c>
      <c r="D17" s="37" t="s">
        <v>492</v>
      </c>
      <c r="E17" s="37" t="s">
        <v>90</v>
      </c>
      <c r="F17" s="37" t="s">
        <v>493</v>
      </c>
      <c r="G17" s="37" t="s">
        <v>49</v>
      </c>
      <c r="H17" s="26" t="s">
        <v>3394</v>
      </c>
      <c r="I17" s="26" t="s">
        <v>3395</v>
      </c>
      <c r="J17" s="26" t="s">
        <v>3396</v>
      </c>
      <c r="K17" s="26" t="s">
        <v>3397</v>
      </c>
      <c r="L17" s="26" t="s">
        <v>3398</v>
      </c>
      <c r="M17" s="26" t="s">
        <v>3399</v>
      </c>
      <c r="N17" s="26" t="s">
        <v>931</v>
      </c>
      <c r="O17" s="26" t="s">
        <v>2216</v>
      </c>
      <c r="P17" s="37"/>
      <c r="Q17" s="26" t="s">
        <v>2216</v>
      </c>
      <c r="R17" s="26" t="s">
        <v>963</v>
      </c>
      <c r="S17" s="26" t="s">
        <v>3400</v>
      </c>
      <c r="T17" s="26" t="s">
        <v>3401</v>
      </c>
      <c r="U17" s="26" t="s">
        <v>3402</v>
      </c>
      <c r="V17" s="26" t="s">
        <v>3403</v>
      </c>
      <c r="W17" s="26" t="s">
        <v>3321</v>
      </c>
      <c r="X17" s="26" t="s">
        <v>931</v>
      </c>
    </row>
    <row r="18" ht="14.25" customHeight="1">
      <c r="A18" s="37" t="s">
        <v>494</v>
      </c>
      <c r="B18" s="37" t="s">
        <v>495</v>
      </c>
      <c r="C18" s="37" t="s">
        <v>88</v>
      </c>
      <c r="D18" s="37" t="s">
        <v>290</v>
      </c>
      <c r="E18" s="37" t="s">
        <v>162</v>
      </c>
      <c r="F18" s="37" t="s">
        <v>496</v>
      </c>
      <c r="G18" s="37" t="s">
        <v>49</v>
      </c>
      <c r="H18" s="26" t="s">
        <v>3404</v>
      </c>
      <c r="I18" s="26" t="s">
        <v>3405</v>
      </c>
      <c r="J18" s="26" t="s">
        <v>3406</v>
      </c>
      <c r="K18" s="26" t="s">
        <v>3407</v>
      </c>
      <c r="L18" s="26" t="s">
        <v>3408</v>
      </c>
      <c r="M18" s="26" t="s">
        <v>3409</v>
      </c>
      <c r="N18" s="26" t="s">
        <v>931</v>
      </c>
      <c r="O18" s="26" t="s">
        <v>2216</v>
      </c>
      <c r="P18" s="37"/>
      <c r="Q18" s="26" t="s">
        <v>2216</v>
      </c>
      <c r="R18" s="26" t="s">
        <v>963</v>
      </c>
      <c r="S18" s="26" t="s">
        <v>3410</v>
      </c>
      <c r="T18" s="26" t="s">
        <v>3411</v>
      </c>
      <c r="U18" s="26" t="s">
        <v>3412</v>
      </c>
      <c r="V18" s="26" t="s">
        <v>3413</v>
      </c>
      <c r="W18" s="26" t="s">
        <v>3309</v>
      </c>
      <c r="X18" s="26" t="s">
        <v>963</v>
      </c>
    </row>
    <row r="19" ht="14.25" customHeight="1">
      <c r="A19" s="37" t="s">
        <v>497</v>
      </c>
      <c r="B19" s="37" t="s">
        <v>498</v>
      </c>
      <c r="C19" s="37" t="s">
        <v>88</v>
      </c>
      <c r="D19" s="37" t="s">
        <v>122</v>
      </c>
      <c r="E19" s="37" t="s">
        <v>137</v>
      </c>
      <c r="F19" s="37" t="s">
        <v>102</v>
      </c>
      <c r="G19" s="37" t="s">
        <v>49</v>
      </c>
      <c r="H19" s="26" t="s">
        <v>3414</v>
      </c>
      <c r="I19" s="26" t="s">
        <v>3415</v>
      </c>
      <c r="J19" s="26" t="s">
        <v>3416</v>
      </c>
      <c r="K19" s="26" t="s">
        <v>3417</v>
      </c>
      <c r="L19" s="26" t="s">
        <v>3418</v>
      </c>
      <c r="M19" s="26" t="s">
        <v>3419</v>
      </c>
      <c r="N19" s="26" t="s">
        <v>931</v>
      </c>
      <c r="O19" s="26" t="s">
        <v>2216</v>
      </c>
      <c r="P19" s="37"/>
      <c r="Q19" s="26" t="s">
        <v>2216</v>
      </c>
      <c r="R19" s="26" t="s">
        <v>963</v>
      </c>
      <c r="S19" s="26" t="s">
        <v>3420</v>
      </c>
      <c r="T19" s="26" t="s">
        <v>3421</v>
      </c>
      <c r="U19" s="26" t="s">
        <v>3422</v>
      </c>
      <c r="V19" s="26" t="s">
        <v>3423</v>
      </c>
      <c r="W19" s="26" t="s">
        <v>3321</v>
      </c>
      <c r="X19" s="26" t="s">
        <v>931</v>
      </c>
    </row>
    <row r="20" ht="14.25" customHeight="1">
      <c r="A20" s="37" t="s">
        <v>499</v>
      </c>
      <c r="B20" s="37" t="s">
        <v>500</v>
      </c>
      <c r="C20" s="37" t="s">
        <v>88</v>
      </c>
      <c r="D20" s="37" t="s">
        <v>501</v>
      </c>
      <c r="F20" s="37" t="s">
        <v>502</v>
      </c>
      <c r="G20" s="37" t="s">
        <v>49</v>
      </c>
      <c r="H20" s="26" t="s">
        <v>3424</v>
      </c>
      <c r="I20" s="26" t="s">
        <v>3425</v>
      </c>
      <c r="J20" s="26" t="s">
        <v>3426</v>
      </c>
      <c r="K20" s="26" t="s">
        <v>3427</v>
      </c>
      <c r="L20" s="26" t="s">
        <v>3428</v>
      </c>
      <c r="M20" s="26" t="s">
        <v>3429</v>
      </c>
      <c r="N20" s="26" t="s">
        <v>931</v>
      </c>
      <c r="O20" s="26" t="s">
        <v>2216</v>
      </c>
      <c r="P20" s="37"/>
      <c r="Q20" s="26" t="s">
        <v>2216</v>
      </c>
      <c r="R20" s="26" t="s">
        <v>963</v>
      </c>
      <c r="S20" s="26" t="s">
        <v>3430</v>
      </c>
      <c r="T20" s="26" t="s">
        <v>3431</v>
      </c>
      <c r="U20" s="26" t="s">
        <v>3432</v>
      </c>
      <c r="V20" s="26" t="s">
        <v>3433</v>
      </c>
      <c r="W20" s="26" t="s">
        <v>3434</v>
      </c>
      <c r="X20" s="26" t="s">
        <v>931</v>
      </c>
    </row>
    <row r="21" ht="14.25" customHeight="1">
      <c r="A21" s="39" t="s">
        <v>614</v>
      </c>
      <c r="B21" s="39" t="s">
        <v>615</v>
      </c>
      <c r="C21" s="40" t="s">
        <v>616</v>
      </c>
      <c r="D21" s="39" t="s">
        <v>617</v>
      </c>
      <c r="E21" s="39" t="s">
        <v>618</v>
      </c>
      <c r="F21" s="39" t="s">
        <v>619</v>
      </c>
      <c r="G21" s="39" t="s">
        <v>49</v>
      </c>
      <c r="H21" s="39" t="s">
        <v>3435</v>
      </c>
      <c r="I21" s="39" t="s">
        <v>3436</v>
      </c>
      <c r="J21" s="39" t="s">
        <v>3437</v>
      </c>
      <c r="K21" s="26" t="s">
        <v>3438</v>
      </c>
      <c r="L21" s="26" t="s">
        <v>3439</v>
      </c>
      <c r="M21" s="26" t="s">
        <v>3440</v>
      </c>
      <c r="N21" s="26" t="s">
        <v>931</v>
      </c>
      <c r="O21" s="26" t="s">
        <v>2216</v>
      </c>
      <c r="P21" s="26" t="s">
        <v>2216</v>
      </c>
      <c r="Q21" s="26" t="s">
        <v>2216</v>
      </c>
      <c r="R21" s="26" t="s">
        <v>963</v>
      </c>
      <c r="S21" s="26" t="s">
        <v>3441</v>
      </c>
      <c r="T21" s="26" t="s">
        <v>3442</v>
      </c>
      <c r="U21" s="26" t="s">
        <v>3443</v>
      </c>
      <c r="V21" s="26" t="s">
        <v>3444</v>
      </c>
      <c r="W21" s="26" t="s">
        <v>3309</v>
      </c>
      <c r="X21" s="26" t="s">
        <v>963</v>
      </c>
    </row>
    <row r="22" ht="14.25" customHeight="1">
      <c r="A22" s="39" t="s">
        <v>621</v>
      </c>
      <c r="B22" s="39" t="s">
        <v>622</v>
      </c>
      <c r="C22" s="40" t="s">
        <v>616</v>
      </c>
      <c r="D22" s="39" t="s">
        <v>623</v>
      </c>
      <c r="E22" s="39" t="s">
        <v>624</v>
      </c>
      <c r="F22" s="39" t="s">
        <v>189</v>
      </c>
      <c r="G22" s="39" t="s">
        <v>49</v>
      </c>
      <c r="H22" s="39" t="s">
        <v>3445</v>
      </c>
      <c r="I22" s="39" t="s">
        <v>3446</v>
      </c>
      <c r="J22" s="39" t="s">
        <v>3447</v>
      </c>
      <c r="K22" s="26" t="s">
        <v>3448</v>
      </c>
      <c r="L22" s="26" t="s">
        <v>3449</v>
      </c>
      <c r="M22" s="26" t="s">
        <v>3450</v>
      </c>
      <c r="N22" s="26" t="s">
        <v>931</v>
      </c>
      <c r="O22" s="26" t="s">
        <v>2216</v>
      </c>
      <c r="P22" s="26" t="s">
        <v>2216</v>
      </c>
      <c r="Q22" s="26" t="s">
        <v>2216</v>
      </c>
      <c r="R22" s="26" t="s">
        <v>963</v>
      </c>
      <c r="S22" s="26" t="s">
        <v>3451</v>
      </c>
      <c r="T22" s="26" t="s">
        <v>3452</v>
      </c>
      <c r="U22" s="26" t="s">
        <v>3453</v>
      </c>
      <c r="V22" s="26" t="s">
        <v>3454</v>
      </c>
      <c r="W22" s="26" t="s">
        <v>3321</v>
      </c>
      <c r="X22" s="26" t="s">
        <v>931</v>
      </c>
    </row>
    <row r="23" ht="14.25" customHeight="1">
      <c r="A23" s="39" t="s">
        <v>625</v>
      </c>
      <c r="B23" s="39" t="s">
        <v>626</v>
      </c>
      <c r="C23" s="40" t="s">
        <v>616</v>
      </c>
      <c r="D23" s="39" t="s">
        <v>409</v>
      </c>
      <c r="E23" s="39" t="s">
        <v>101</v>
      </c>
      <c r="F23" s="39" t="s">
        <v>627</v>
      </c>
      <c r="G23" s="39" t="s">
        <v>49</v>
      </c>
      <c r="H23" s="39" t="s">
        <v>3455</v>
      </c>
      <c r="I23" s="39" t="s">
        <v>3456</v>
      </c>
      <c r="J23" s="39" t="s">
        <v>3457</v>
      </c>
      <c r="K23" s="26" t="s">
        <v>3458</v>
      </c>
      <c r="L23" s="26" t="s">
        <v>3459</v>
      </c>
      <c r="M23" s="26" t="s">
        <v>3460</v>
      </c>
      <c r="N23" s="26" t="s">
        <v>931</v>
      </c>
      <c r="O23" s="26" t="s">
        <v>2216</v>
      </c>
      <c r="P23" s="26" t="s">
        <v>2216</v>
      </c>
      <c r="R23" s="26" t="s">
        <v>963</v>
      </c>
      <c r="S23" s="26" t="s">
        <v>3461</v>
      </c>
      <c r="T23" s="26" t="s">
        <v>3462</v>
      </c>
      <c r="U23" s="26" t="s">
        <v>3463</v>
      </c>
      <c r="V23" s="26" t="s">
        <v>3464</v>
      </c>
      <c r="W23" s="26" t="s">
        <v>3321</v>
      </c>
      <c r="X23" s="26" t="s">
        <v>931</v>
      </c>
    </row>
    <row r="24" ht="14.25" customHeight="1">
      <c r="A24" s="39" t="s">
        <v>727</v>
      </c>
      <c r="B24" s="39" t="s">
        <v>728</v>
      </c>
      <c r="C24" s="40" t="s">
        <v>616</v>
      </c>
      <c r="D24" s="39" t="s">
        <v>729</v>
      </c>
      <c r="E24" s="39" t="s">
        <v>730</v>
      </c>
      <c r="F24" s="39" t="s">
        <v>209</v>
      </c>
      <c r="G24" s="39" t="s">
        <v>49</v>
      </c>
      <c r="H24" s="39" t="s">
        <v>3465</v>
      </c>
      <c r="I24" s="39" t="s">
        <v>3466</v>
      </c>
      <c r="J24" s="39" t="s">
        <v>3467</v>
      </c>
      <c r="K24" s="26" t="s">
        <v>3468</v>
      </c>
      <c r="L24" s="26" t="s">
        <v>3469</v>
      </c>
      <c r="M24" s="26" t="s">
        <v>3470</v>
      </c>
      <c r="N24" s="26" t="s">
        <v>931</v>
      </c>
      <c r="O24" s="26" t="s">
        <v>2216</v>
      </c>
      <c r="P24" s="26" t="s">
        <v>2216</v>
      </c>
      <c r="R24" s="26" t="s">
        <v>963</v>
      </c>
      <c r="S24" s="26" t="s">
        <v>3471</v>
      </c>
      <c r="T24" s="26" t="s">
        <v>3472</v>
      </c>
      <c r="U24" s="26" t="s">
        <v>3473</v>
      </c>
      <c r="V24" s="26" t="s">
        <v>3474</v>
      </c>
      <c r="W24" s="26" t="s">
        <v>3321</v>
      </c>
      <c r="X24" s="26" t="s">
        <v>931</v>
      </c>
    </row>
    <row r="25" ht="14.25" customHeight="1">
      <c r="A25" s="39" t="s">
        <v>731</v>
      </c>
      <c r="B25" s="39" t="s">
        <v>732</v>
      </c>
      <c r="C25" s="40" t="s">
        <v>616</v>
      </c>
      <c r="D25" s="39" t="s">
        <v>426</v>
      </c>
      <c r="E25" s="39" t="s">
        <v>733</v>
      </c>
      <c r="F25" s="39" t="s">
        <v>142</v>
      </c>
      <c r="G25" s="39" t="s">
        <v>49</v>
      </c>
      <c r="H25" s="39" t="s">
        <v>3475</v>
      </c>
      <c r="I25" s="39" t="s">
        <v>3476</v>
      </c>
      <c r="J25" s="39" t="s">
        <v>3477</v>
      </c>
      <c r="K25" s="26" t="s">
        <v>3478</v>
      </c>
      <c r="L25" s="26" t="s">
        <v>3479</v>
      </c>
      <c r="M25" s="26" t="s">
        <v>3480</v>
      </c>
      <c r="N25" s="26" t="s">
        <v>931</v>
      </c>
      <c r="O25" s="26" t="s">
        <v>2216</v>
      </c>
      <c r="P25" s="26" t="s">
        <v>2216</v>
      </c>
      <c r="Q25" s="26" t="s">
        <v>2216</v>
      </c>
      <c r="R25" s="26" t="s">
        <v>963</v>
      </c>
      <c r="S25" s="26" t="s">
        <v>3481</v>
      </c>
      <c r="T25" s="26" t="s">
        <v>3482</v>
      </c>
      <c r="U25" s="26" t="s">
        <v>3483</v>
      </c>
      <c r="V25" s="26" t="s">
        <v>3484</v>
      </c>
      <c r="W25" s="26" t="s">
        <v>3321</v>
      </c>
      <c r="X25" s="26" t="s">
        <v>931</v>
      </c>
    </row>
    <row r="26" ht="14.25" customHeight="1">
      <c r="A26" s="39" t="s">
        <v>734</v>
      </c>
      <c r="B26" s="39" t="s">
        <v>735</v>
      </c>
      <c r="C26" s="40" t="s">
        <v>616</v>
      </c>
      <c r="D26" s="39" t="s">
        <v>409</v>
      </c>
      <c r="E26" s="39" t="s">
        <v>736</v>
      </c>
      <c r="F26" s="39" t="s">
        <v>244</v>
      </c>
      <c r="G26" s="39" t="s">
        <v>49</v>
      </c>
      <c r="H26" s="39" t="s">
        <v>3485</v>
      </c>
      <c r="I26" s="39" t="s">
        <v>3486</v>
      </c>
      <c r="J26" s="39" t="s">
        <v>3487</v>
      </c>
      <c r="K26" s="26" t="s">
        <v>3488</v>
      </c>
      <c r="L26" s="26" t="s">
        <v>3489</v>
      </c>
      <c r="M26" s="26" t="s">
        <v>3490</v>
      </c>
      <c r="N26" s="26" t="s">
        <v>931</v>
      </c>
      <c r="O26" s="26" t="s">
        <v>2216</v>
      </c>
      <c r="P26" s="26" t="s">
        <v>2216</v>
      </c>
      <c r="Q26" s="26" t="s">
        <v>2216</v>
      </c>
      <c r="R26" s="26" t="s">
        <v>963</v>
      </c>
      <c r="S26" s="26" t="s">
        <v>3491</v>
      </c>
      <c r="T26" s="26" t="s">
        <v>3492</v>
      </c>
      <c r="U26" s="26" t="s">
        <v>3493</v>
      </c>
      <c r="V26" s="26" t="s">
        <v>3494</v>
      </c>
      <c r="W26" s="26" t="s">
        <v>3309</v>
      </c>
      <c r="X26" s="26" t="s">
        <v>931</v>
      </c>
    </row>
    <row r="27" ht="14.25" customHeight="1">
      <c r="A27" s="39" t="s">
        <v>737</v>
      </c>
      <c r="B27" s="39" t="s">
        <v>738</v>
      </c>
      <c r="C27" s="40" t="s">
        <v>616</v>
      </c>
      <c r="D27" s="39" t="s">
        <v>654</v>
      </c>
      <c r="E27" s="39" t="s">
        <v>739</v>
      </c>
      <c r="F27" s="39" t="s">
        <v>639</v>
      </c>
      <c r="G27" s="39" t="s">
        <v>49</v>
      </c>
      <c r="H27" s="39" t="s">
        <v>3495</v>
      </c>
      <c r="I27" s="39" t="s">
        <v>3496</v>
      </c>
      <c r="J27" s="39" t="s">
        <v>3497</v>
      </c>
      <c r="K27" s="26" t="s">
        <v>3498</v>
      </c>
      <c r="L27" s="26" t="s">
        <v>3499</v>
      </c>
      <c r="M27" s="26" t="s">
        <v>3500</v>
      </c>
      <c r="N27" s="26" t="s">
        <v>931</v>
      </c>
      <c r="O27" s="26" t="s">
        <v>2216</v>
      </c>
      <c r="P27" s="26" t="s">
        <v>2216</v>
      </c>
      <c r="Q27" s="26" t="s">
        <v>2216</v>
      </c>
      <c r="R27" s="26" t="s">
        <v>963</v>
      </c>
      <c r="S27" s="26" t="s">
        <v>3501</v>
      </c>
      <c r="T27" s="26" t="s">
        <v>3502</v>
      </c>
      <c r="U27" s="26" t="s">
        <v>3503</v>
      </c>
      <c r="V27" s="26" t="s">
        <v>3504</v>
      </c>
      <c r="W27" s="26" t="s">
        <v>3321</v>
      </c>
      <c r="X27" s="26" t="s">
        <v>931</v>
      </c>
    </row>
    <row r="28" ht="14.25" customHeight="1">
      <c r="A28" s="39" t="s">
        <v>740</v>
      </c>
      <c r="B28" s="39" t="s">
        <v>741</v>
      </c>
      <c r="C28" s="40" t="s">
        <v>616</v>
      </c>
      <c r="D28" s="39" t="s">
        <v>187</v>
      </c>
      <c r="E28" s="39" t="s">
        <v>742</v>
      </c>
      <c r="F28" s="39" t="s">
        <v>189</v>
      </c>
      <c r="G28" s="39" t="s">
        <v>49</v>
      </c>
      <c r="H28" s="39" t="s">
        <v>3505</v>
      </c>
      <c r="I28" s="39" t="s">
        <v>3506</v>
      </c>
      <c r="J28" s="39" t="s">
        <v>3507</v>
      </c>
      <c r="K28" s="26" t="s">
        <v>3508</v>
      </c>
      <c r="L28" s="26" t="s">
        <v>3509</v>
      </c>
      <c r="M28" s="26" t="s">
        <v>3510</v>
      </c>
      <c r="N28" s="26" t="s">
        <v>931</v>
      </c>
      <c r="O28" s="26" t="s">
        <v>2216</v>
      </c>
      <c r="P28" s="26" t="s">
        <v>2216</v>
      </c>
      <c r="Q28" s="26" t="s">
        <v>2216</v>
      </c>
      <c r="R28" s="26" t="s">
        <v>963</v>
      </c>
      <c r="S28" s="26" t="s">
        <v>3511</v>
      </c>
      <c r="T28" s="26" t="s">
        <v>3512</v>
      </c>
      <c r="U28" s="26" t="s">
        <v>3513</v>
      </c>
      <c r="V28" s="26" t="s">
        <v>3514</v>
      </c>
      <c r="W28" s="26" t="s">
        <v>3321</v>
      </c>
      <c r="X28" s="26" t="s">
        <v>931</v>
      </c>
    </row>
    <row r="29" ht="14.25" customHeight="1">
      <c r="A29" s="39" t="s">
        <v>775</v>
      </c>
      <c r="B29" s="39" t="s">
        <v>776</v>
      </c>
      <c r="C29" s="40" t="s">
        <v>616</v>
      </c>
      <c r="D29" s="39" t="s">
        <v>401</v>
      </c>
      <c r="F29" s="39" t="s">
        <v>176</v>
      </c>
      <c r="G29" s="39" t="s">
        <v>49</v>
      </c>
      <c r="H29" s="39" t="s">
        <v>3515</v>
      </c>
      <c r="I29" s="39" t="s">
        <v>3516</v>
      </c>
      <c r="J29" s="39" t="s">
        <v>3517</v>
      </c>
      <c r="K29" s="26" t="s">
        <v>3518</v>
      </c>
      <c r="L29" s="26" t="s">
        <v>3519</v>
      </c>
      <c r="M29" s="26" t="s">
        <v>3520</v>
      </c>
      <c r="N29" s="26" t="s">
        <v>931</v>
      </c>
      <c r="O29" s="26" t="s">
        <v>2216</v>
      </c>
      <c r="P29" s="26" t="s">
        <v>2216</v>
      </c>
      <c r="Q29" s="26" t="s">
        <v>2216</v>
      </c>
      <c r="R29" s="26" t="s">
        <v>963</v>
      </c>
      <c r="S29" s="26" t="s">
        <v>3521</v>
      </c>
      <c r="T29" s="26" t="s">
        <v>3522</v>
      </c>
      <c r="U29" s="26" t="s">
        <v>3523</v>
      </c>
      <c r="V29" s="26" t="s">
        <v>3524</v>
      </c>
      <c r="W29" s="26" t="s">
        <v>3286</v>
      </c>
      <c r="X29" s="26" t="s">
        <v>931</v>
      </c>
    </row>
    <row r="30" ht="14.25" customHeight="1">
      <c r="A30" s="39" t="s">
        <v>777</v>
      </c>
      <c r="B30" s="39" t="s">
        <v>778</v>
      </c>
      <c r="C30" s="40" t="s">
        <v>616</v>
      </c>
      <c r="D30" s="39" t="s">
        <v>779</v>
      </c>
      <c r="E30" s="39" t="s">
        <v>780</v>
      </c>
      <c r="F30" s="39" t="s">
        <v>781</v>
      </c>
      <c r="G30" s="39" t="s">
        <v>49</v>
      </c>
      <c r="H30" s="39" t="s">
        <v>3525</v>
      </c>
      <c r="I30" s="39" t="s">
        <v>3526</v>
      </c>
      <c r="J30" s="39" t="s">
        <v>3527</v>
      </c>
      <c r="K30" s="26" t="s">
        <v>3528</v>
      </c>
      <c r="L30" s="26" t="s">
        <v>3529</v>
      </c>
      <c r="M30" s="26" t="s">
        <v>3530</v>
      </c>
      <c r="N30" s="26" t="s">
        <v>931</v>
      </c>
      <c r="O30" s="26" t="s">
        <v>2216</v>
      </c>
      <c r="P30" s="26" t="s">
        <v>2216</v>
      </c>
      <c r="Q30" s="26" t="s">
        <v>2216</v>
      </c>
      <c r="R30" s="26" t="s">
        <v>963</v>
      </c>
      <c r="S30" s="26" t="s">
        <v>3531</v>
      </c>
      <c r="T30" s="26" t="s">
        <v>3532</v>
      </c>
      <c r="U30" s="26" t="s">
        <v>3533</v>
      </c>
      <c r="V30" s="26" t="s">
        <v>3534</v>
      </c>
      <c r="W30" s="26" t="s">
        <v>3321</v>
      </c>
      <c r="X30" s="26" t="s">
        <v>931</v>
      </c>
    </row>
    <row r="31" ht="14.25" customHeight="1">
      <c r="A31" s="39" t="s">
        <v>782</v>
      </c>
      <c r="B31" s="39" t="s">
        <v>783</v>
      </c>
      <c r="C31" s="40" t="s">
        <v>616</v>
      </c>
      <c r="D31" s="39" t="s">
        <v>784</v>
      </c>
      <c r="E31" s="39" t="s">
        <v>785</v>
      </c>
      <c r="F31" s="39" t="s">
        <v>786</v>
      </c>
      <c r="G31" s="39" t="s">
        <v>49</v>
      </c>
      <c r="H31" s="39" t="s">
        <v>3535</v>
      </c>
      <c r="I31" s="39" t="s">
        <v>3536</v>
      </c>
      <c r="J31" s="39" t="s">
        <v>3537</v>
      </c>
      <c r="K31" s="26" t="s">
        <v>3538</v>
      </c>
      <c r="L31" s="26" t="s">
        <v>3539</v>
      </c>
      <c r="M31" s="26" t="s">
        <v>3540</v>
      </c>
      <c r="N31" s="26" t="s">
        <v>931</v>
      </c>
      <c r="O31" s="26" t="s">
        <v>2216</v>
      </c>
      <c r="P31" s="26" t="s">
        <v>2216</v>
      </c>
      <c r="Q31" s="26" t="s">
        <v>2216</v>
      </c>
      <c r="R31" s="26" t="s">
        <v>963</v>
      </c>
      <c r="S31" s="26" t="s">
        <v>3541</v>
      </c>
      <c r="T31" s="26" t="s">
        <v>3542</v>
      </c>
      <c r="U31" s="26" t="s">
        <v>3543</v>
      </c>
      <c r="V31" s="26" t="s">
        <v>3544</v>
      </c>
      <c r="W31" s="26" t="s">
        <v>3321</v>
      </c>
      <c r="X31" s="26" t="s">
        <v>931</v>
      </c>
    </row>
    <row r="32" ht="14.25" customHeight="1">
      <c r="A32" s="39" t="s">
        <v>787</v>
      </c>
      <c r="B32" s="39" t="s">
        <v>788</v>
      </c>
      <c r="C32" s="40" t="s">
        <v>616</v>
      </c>
      <c r="D32" s="39" t="s">
        <v>789</v>
      </c>
      <c r="E32" s="39" t="s">
        <v>790</v>
      </c>
      <c r="F32" s="39" t="s">
        <v>791</v>
      </c>
      <c r="G32" s="39" t="s">
        <v>49</v>
      </c>
      <c r="H32" s="39" t="s">
        <v>3545</v>
      </c>
      <c r="I32" s="39" t="s">
        <v>3546</v>
      </c>
      <c r="J32" s="39" t="s">
        <v>3547</v>
      </c>
      <c r="K32" s="26" t="s">
        <v>3548</v>
      </c>
      <c r="L32" s="26" t="s">
        <v>3549</v>
      </c>
      <c r="M32" s="26" t="s">
        <v>3550</v>
      </c>
      <c r="N32" s="26" t="s">
        <v>931</v>
      </c>
      <c r="O32" s="26" t="s">
        <v>2216</v>
      </c>
      <c r="P32" s="26" t="s">
        <v>2216</v>
      </c>
      <c r="Q32" s="26" t="s">
        <v>2216</v>
      </c>
      <c r="R32" s="26" t="s">
        <v>963</v>
      </c>
      <c r="S32" s="26" t="s">
        <v>3551</v>
      </c>
      <c r="T32" s="26" t="s">
        <v>3552</v>
      </c>
      <c r="U32" s="26" t="s">
        <v>3553</v>
      </c>
      <c r="V32" s="26" t="s">
        <v>3554</v>
      </c>
      <c r="W32" s="26" t="s">
        <v>3555</v>
      </c>
      <c r="X32" s="26" t="s">
        <v>931</v>
      </c>
    </row>
    <row r="33" ht="14.25" customHeight="1">
      <c r="A33" s="24" t="s">
        <v>792</v>
      </c>
      <c r="B33" s="24" t="s">
        <v>793</v>
      </c>
      <c r="C33" s="317" t="s">
        <v>616</v>
      </c>
      <c r="D33" s="24" t="s">
        <v>794</v>
      </c>
      <c r="F33" s="24" t="s">
        <v>795</v>
      </c>
      <c r="G33" s="24" t="s">
        <v>49</v>
      </c>
      <c r="H33" s="24" t="s">
        <v>3556</v>
      </c>
      <c r="I33" s="24" t="s">
        <v>3557</v>
      </c>
      <c r="J33" s="24" t="s">
        <v>3558</v>
      </c>
      <c r="K33" s="318" t="s">
        <v>3559</v>
      </c>
      <c r="L33" s="318" t="s">
        <v>3560</v>
      </c>
      <c r="M33" s="318" t="s">
        <v>3561</v>
      </c>
      <c r="N33" s="318" t="s">
        <v>963</v>
      </c>
      <c r="O33" s="318" t="s">
        <v>3562</v>
      </c>
      <c r="P33" s="318" t="s">
        <v>2992</v>
      </c>
      <c r="Q33" s="318" t="s">
        <v>2216</v>
      </c>
      <c r="R33" s="318" t="s">
        <v>963</v>
      </c>
      <c r="S33" s="318" t="s">
        <v>3563</v>
      </c>
      <c r="T33" s="318" t="s">
        <v>3564</v>
      </c>
      <c r="U33" s="318" t="s">
        <v>3565</v>
      </c>
      <c r="V33" s="318" t="s">
        <v>3566</v>
      </c>
      <c r="W33" s="318" t="s">
        <v>3567</v>
      </c>
      <c r="X33" s="318" t="s">
        <v>963</v>
      </c>
      <c r="Y33" s="9"/>
      <c r="Z33" s="9"/>
      <c r="AA33" s="9"/>
      <c r="AB33" s="9"/>
      <c r="AC33" s="9"/>
      <c r="AD33" s="9"/>
    </row>
    <row r="34" ht="14.25" customHeight="1">
      <c r="A34" s="39" t="s">
        <v>905</v>
      </c>
      <c r="B34" s="39" t="s">
        <v>906</v>
      </c>
      <c r="C34" s="40" t="s">
        <v>891</v>
      </c>
      <c r="D34" s="39" t="s">
        <v>907</v>
      </c>
      <c r="E34" s="39" t="s">
        <v>101</v>
      </c>
      <c r="F34" s="39" t="s">
        <v>908</v>
      </c>
      <c r="G34" s="39" t="s">
        <v>49</v>
      </c>
      <c r="H34" s="39" t="s">
        <v>3568</v>
      </c>
      <c r="I34" s="39" t="s">
        <v>3569</v>
      </c>
      <c r="J34" s="39" t="s">
        <v>3570</v>
      </c>
      <c r="K34" s="39" t="s">
        <v>3571</v>
      </c>
      <c r="L34" s="39" t="s">
        <v>3572</v>
      </c>
      <c r="M34" s="39" t="s">
        <v>3573</v>
      </c>
      <c r="N34" s="39" t="s">
        <v>931</v>
      </c>
      <c r="O34" s="26" t="s">
        <v>2216</v>
      </c>
      <c r="P34" s="26" t="s">
        <v>2216</v>
      </c>
      <c r="Q34" s="26" t="s">
        <v>2216</v>
      </c>
      <c r="R34" s="26" t="s">
        <v>963</v>
      </c>
      <c r="S34" s="26" t="s">
        <v>3574</v>
      </c>
      <c r="T34" s="26" t="s">
        <v>3575</v>
      </c>
      <c r="U34" s="26" t="s">
        <v>3576</v>
      </c>
      <c r="V34" s="26" t="s">
        <v>3554</v>
      </c>
      <c r="W34" s="26" t="s">
        <v>3577</v>
      </c>
      <c r="X34" s="26" t="s">
        <v>931</v>
      </c>
    </row>
    <row r="35" ht="14.25" customHeight="1">
      <c r="A35" s="319" t="s">
        <v>3578</v>
      </c>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c r="AA35" s="320"/>
      <c r="AB35" s="320"/>
      <c r="AC35" s="320"/>
      <c r="AD35" s="321"/>
    </row>
    <row r="36" ht="14.25" customHeight="1">
      <c r="A36" s="39" t="s">
        <v>1183</v>
      </c>
      <c r="B36" s="39" t="s">
        <v>1184</v>
      </c>
      <c r="C36" s="26" t="s">
        <v>2216</v>
      </c>
      <c r="D36" s="26" t="s">
        <v>3579</v>
      </c>
      <c r="E36" s="26" t="s">
        <v>3580</v>
      </c>
      <c r="F36" s="26" t="s">
        <v>3581</v>
      </c>
      <c r="G36" s="26" t="s">
        <v>49</v>
      </c>
      <c r="H36" s="26" t="s">
        <v>3582</v>
      </c>
      <c r="I36" s="26" t="s">
        <v>3583</v>
      </c>
      <c r="J36" s="26" t="s">
        <v>3584</v>
      </c>
      <c r="K36" s="26" t="s">
        <v>3585</v>
      </c>
      <c r="L36" s="26" t="s">
        <v>3586</v>
      </c>
      <c r="M36" s="26" t="s">
        <v>3587</v>
      </c>
      <c r="N36" s="26" t="s">
        <v>931</v>
      </c>
      <c r="O36" s="26" t="s">
        <v>2216</v>
      </c>
      <c r="P36" s="26" t="s">
        <v>2216</v>
      </c>
      <c r="Q36" s="26" t="s">
        <v>2216</v>
      </c>
      <c r="R36" s="26" t="s">
        <v>931</v>
      </c>
      <c r="S36" s="26" t="s">
        <v>3588</v>
      </c>
      <c r="T36" s="26" t="s">
        <v>3589</v>
      </c>
      <c r="U36" s="26" t="s">
        <v>3590</v>
      </c>
      <c r="V36" s="26" t="s">
        <v>3591</v>
      </c>
      <c r="W36" s="26" t="s">
        <v>3321</v>
      </c>
      <c r="X36" s="26" t="s">
        <v>963</v>
      </c>
    </row>
    <row r="37" ht="14.25" customHeight="1">
      <c r="A37" s="39" t="s">
        <v>1191</v>
      </c>
      <c r="B37" s="39" t="s">
        <v>1192</v>
      </c>
      <c r="C37" s="26" t="s">
        <v>2216</v>
      </c>
      <c r="D37" s="26" t="s">
        <v>3592</v>
      </c>
      <c r="E37" s="26" t="s">
        <v>3593</v>
      </c>
      <c r="F37" s="26" t="s">
        <v>3594</v>
      </c>
      <c r="G37" s="26" t="s">
        <v>3595</v>
      </c>
      <c r="H37" s="26" t="s">
        <v>3596</v>
      </c>
      <c r="I37" s="26" t="s">
        <v>3597</v>
      </c>
      <c r="J37" s="26" t="s">
        <v>3598</v>
      </c>
      <c r="K37" s="26" t="s">
        <v>3599</v>
      </c>
      <c r="L37" s="26" t="s">
        <v>3600</v>
      </c>
      <c r="M37" s="26" t="s">
        <v>3601</v>
      </c>
      <c r="N37" s="26" t="s">
        <v>931</v>
      </c>
      <c r="O37" s="26" t="s">
        <v>2216</v>
      </c>
      <c r="P37" s="26" t="s">
        <v>2216</v>
      </c>
      <c r="Q37" s="26" t="s">
        <v>2216</v>
      </c>
      <c r="R37" s="26" t="s">
        <v>931</v>
      </c>
      <c r="S37" s="26" t="s">
        <v>3602</v>
      </c>
      <c r="T37" s="26" t="s">
        <v>3603</v>
      </c>
      <c r="U37" s="26" t="s">
        <v>3604</v>
      </c>
      <c r="V37" s="26" t="s">
        <v>3605</v>
      </c>
      <c r="W37" s="26" t="s">
        <v>3393</v>
      </c>
      <c r="X37" s="26" t="s">
        <v>3606</v>
      </c>
    </row>
    <row r="38" ht="14.25" customHeight="1">
      <c r="A38" s="39" t="s">
        <v>1200</v>
      </c>
      <c r="B38" s="39" t="s">
        <v>1201</v>
      </c>
      <c r="C38" s="26" t="s">
        <v>2216</v>
      </c>
      <c r="D38" s="26" t="s">
        <v>3607</v>
      </c>
      <c r="E38" s="26" t="s">
        <v>3608</v>
      </c>
      <c r="F38" s="26" t="s">
        <v>3609</v>
      </c>
      <c r="G38" s="26" t="s">
        <v>51</v>
      </c>
      <c r="H38" s="26" t="s">
        <v>3610</v>
      </c>
      <c r="I38" s="26" t="s">
        <v>3611</v>
      </c>
      <c r="J38" s="26" t="s">
        <v>3612</v>
      </c>
      <c r="K38" s="26" t="s">
        <v>3613</v>
      </c>
      <c r="L38" s="26" t="s">
        <v>3614</v>
      </c>
      <c r="M38" s="26" t="s">
        <v>3615</v>
      </c>
      <c r="N38" s="26" t="s">
        <v>3616</v>
      </c>
      <c r="O38" s="26" t="s">
        <v>3617</v>
      </c>
      <c r="P38" s="26" t="s">
        <v>3618</v>
      </c>
      <c r="Q38" s="26" t="s">
        <v>2216</v>
      </c>
      <c r="R38" s="26" t="s">
        <v>931</v>
      </c>
      <c r="S38" s="26" t="s">
        <v>3619</v>
      </c>
      <c r="T38" s="26" t="s">
        <v>3620</v>
      </c>
      <c r="U38" s="26" t="s">
        <v>3621</v>
      </c>
      <c r="V38" s="26" t="s">
        <v>3622</v>
      </c>
      <c r="W38" s="26" t="s">
        <v>3321</v>
      </c>
      <c r="X38" s="26" t="s">
        <v>963</v>
      </c>
    </row>
    <row r="39" ht="14.25" customHeight="1">
      <c r="A39" s="39" t="s">
        <v>1212</v>
      </c>
      <c r="B39" s="39" t="s">
        <v>1213</v>
      </c>
      <c r="C39" s="26" t="s">
        <v>2216</v>
      </c>
      <c r="D39" s="26" t="s">
        <v>3623</v>
      </c>
      <c r="E39" s="26" t="s">
        <v>3624</v>
      </c>
      <c r="F39" s="26" t="s">
        <v>3625</v>
      </c>
      <c r="G39" s="26" t="s">
        <v>49</v>
      </c>
      <c r="H39" s="26" t="s">
        <v>3626</v>
      </c>
      <c r="I39" s="26" t="s">
        <v>3627</v>
      </c>
      <c r="J39" s="26" t="s">
        <v>3628</v>
      </c>
      <c r="K39" s="26" t="s">
        <v>3629</v>
      </c>
      <c r="L39" s="26" t="s">
        <v>3630</v>
      </c>
      <c r="M39" s="26" t="s">
        <v>3631</v>
      </c>
      <c r="N39" s="26" t="s">
        <v>931</v>
      </c>
      <c r="O39" s="26" t="s">
        <v>2216</v>
      </c>
      <c r="P39" s="26" t="s">
        <v>2216</v>
      </c>
      <c r="Q39" s="26" t="s">
        <v>2216</v>
      </c>
      <c r="R39" s="26" t="s">
        <v>931</v>
      </c>
      <c r="S39" s="26" t="s">
        <v>3632</v>
      </c>
      <c r="T39" s="26" t="s">
        <v>3633</v>
      </c>
      <c r="U39" s="26" t="s">
        <v>3624</v>
      </c>
      <c r="V39" s="26" t="s">
        <v>3625</v>
      </c>
      <c r="W39" s="26" t="s">
        <v>3634</v>
      </c>
      <c r="X39" s="26" t="s">
        <v>963</v>
      </c>
    </row>
    <row r="40" ht="14.25" customHeight="1">
      <c r="A40" s="39" t="s">
        <v>1221</v>
      </c>
      <c r="B40" s="39" t="s">
        <v>1222</v>
      </c>
      <c r="C40" s="26" t="s">
        <v>2216</v>
      </c>
      <c r="D40" s="26" t="s">
        <v>3635</v>
      </c>
      <c r="E40" s="26" t="s">
        <v>3636</v>
      </c>
      <c r="F40" s="26" t="s">
        <v>3637</v>
      </c>
      <c r="G40" s="26" t="s">
        <v>51</v>
      </c>
      <c r="H40" s="26" t="s">
        <v>3638</v>
      </c>
      <c r="I40" s="26" t="s">
        <v>3639</v>
      </c>
      <c r="J40" s="26" t="s">
        <v>3640</v>
      </c>
      <c r="K40" s="26" t="s">
        <v>3641</v>
      </c>
      <c r="L40" s="26" t="s">
        <v>3642</v>
      </c>
      <c r="M40" s="26" t="s">
        <v>3643</v>
      </c>
      <c r="N40" s="26" t="s">
        <v>931</v>
      </c>
      <c r="O40" s="26" t="s">
        <v>2216</v>
      </c>
      <c r="P40" s="26" t="s">
        <v>2216</v>
      </c>
      <c r="Q40" s="26" t="s">
        <v>2216</v>
      </c>
      <c r="R40" s="26" t="s">
        <v>931</v>
      </c>
      <c r="S40" s="26" t="s">
        <v>3644</v>
      </c>
      <c r="T40" s="26" t="s">
        <v>3645</v>
      </c>
      <c r="U40" s="26" t="s">
        <v>3646</v>
      </c>
      <c r="V40" s="26" t="s">
        <v>3647</v>
      </c>
      <c r="W40" s="26" t="s">
        <v>3321</v>
      </c>
      <c r="X40" s="26" t="s">
        <v>931</v>
      </c>
    </row>
    <row r="41" ht="14.25" customHeight="1">
      <c r="A41" s="322" t="s">
        <v>539</v>
      </c>
      <c r="B41" s="322" t="s">
        <v>540</v>
      </c>
      <c r="C41" s="323" t="s">
        <v>2216</v>
      </c>
      <c r="D41" s="323" t="s">
        <v>3648</v>
      </c>
      <c r="E41" s="324"/>
      <c r="F41" s="323" t="s">
        <v>2216</v>
      </c>
      <c r="G41" s="323" t="s">
        <v>2216</v>
      </c>
      <c r="H41" s="323" t="s">
        <v>2216</v>
      </c>
      <c r="I41" s="323" t="s">
        <v>2216</v>
      </c>
      <c r="J41" s="323" t="s">
        <v>2216</v>
      </c>
      <c r="K41" s="323" t="s">
        <v>2216</v>
      </c>
      <c r="L41" s="323" t="s">
        <v>2216</v>
      </c>
      <c r="M41" s="323" t="s">
        <v>2216</v>
      </c>
      <c r="N41" s="323" t="s">
        <v>2216</v>
      </c>
      <c r="O41" s="323" t="s">
        <v>2216</v>
      </c>
      <c r="P41" s="323" t="s">
        <v>2216</v>
      </c>
      <c r="Q41" s="323" t="s">
        <v>2216</v>
      </c>
      <c r="R41" s="323" t="s">
        <v>2216</v>
      </c>
      <c r="S41" s="323" t="s">
        <v>2216</v>
      </c>
      <c r="T41" s="323" t="s">
        <v>2216</v>
      </c>
      <c r="U41" s="323" t="s">
        <v>2216</v>
      </c>
      <c r="V41" s="323" t="s">
        <v>2216</v>
      </c>
      <c r="W41" s="323" t="s">
        <v>2216</v>
      </c>
      <c r="X41" s="323" t="s">
        <v>2216</v>
      </c>
      <c r="Y41" s="324"/>
      <c r="Z41" s="324"/>
      <c r="AA41" s="324"/>
      <c r="AB41" s="324"/>
      <c r="AC41" s="324"/>
      <c r="AD41" s="324"/>
    </row>
    <row r="42" ht="14.25" customHeight="1">
      <c r="A42" s="39" t="s">
        <v>1231</v>
      </c>
      <c r="B42" s="39" t="s">
        <v>1232</v>
      </c>
      <c r="C42" s="26" t="s">
        <v>2216</v>
      </c>
      <c r="D42" s="26" t="s">
        <v>3649</v>
      </c>
      <c r="E42" s="26" t="s">
        <v>3650</v>
      </c>
      <c r="F42" s="26" t="s">
        <v>3651</v>
      </c>
      <c r="G42" s="26" t="s">
        <v>49</v>
      </c>
      <c r="H42" s="26" t="s">
        <v>3652</v>
      </c>
      <c r="I42" s="26" t="s">
        <v>3653</v>
      </c>
      <c r="J42" s="26" t="s">
        <v>3654</v>
      </c>
      <c r="K42" s="26" t="s">
        <v>3655</v>
      </c>
      <c r="L42" s="26" t="s">
        <v>3656</v>
      </c>
      <c r="M42" s="26" t="s">
        <v>3657</v>
      </c>
      <c r="N42" s="26" t="s">
        <v>931</v>
      </c>
      <c r="O42" s="26" t="s">
        <v>2216</v>
      </c>
      <c r="P42" s="26" t="s">
        <v>2216</v>
      </c>
      <c r="Q42" s="26" t="s">
        <v>2216</v>
      </c>
      <c r="R42" s="26" t="s">
        <v>931</v>
      </c>
      <c r="S42" s="26" t="s">
        <v>3658</v>
      </c>
      <c r="T42" s="26" t="s">
        <v>3659</v>
      </c>
      <c r="U42" s="26" t="s">
        <v>3660</v>
      </c>
      <c r="V42" s="26" t="s">
        <v>3661</v>
      </c>
      <c r="W42" s="26" t="s">
        <v>3321</v>
      </c>
      <c r="X42" s="26" t="s">
        <v>931</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308" t="s">
        <v>61</v>
      </c>
      <c r="F1" s="308" t="s">
        <v>62</v>
      </c>
      <c r="G1" s="308" t="s">
        <v>3220</v>
      </c>
      <c r="H1" s="309" t="s">
        <v>3221</v>
      </c>
      <c r="I1" s="309" t="s">
        <v>3222</v>
      </c>
      <c r="J1" s="308" t="s">
        <v>3223</v>
      </c>
      <c r="K1" s="310" t="s">
        <v>3662</v>
      </c>
      <c r="L1" s="309" t="s">
        <v>3225</v>
      </c>
      <c r="M1" s="308" t="s">
        <v>3226</v>
      </c>
      <c r="N1" s="308" t="s">
        <v>3227</v>
      </c>
      <c r="O1" s="308" t="s">
        <v>3228</v>
      </c>
      <c r="P1" s="308" t="s">
        <v>3229</v>
      </c>
      <c r="Q1" s="54" t="s">
        <v>3230</v>
      </c>
      <c r="R1" s="56" t="s">
        <v>944</v>
      </c>
      <c r="S1" s="311" t="s">
        <v>3232</v>
      </c>
      <c r="T1" s="311" t="s">
        <v>950</v>
      </c>
      <c r="U1" s="311" t="s">
        <v>951</v>
      </c>
      <c r="V1" s="311" t="s">
        <v>952</v>
      </c>
      <c r="W1" s="311" t="s">
        <v>3663</v>
      </c>
      <c r="X1" s="311" t="s">
        <v>953</v>
      </c>
      <c r="Y1" s="311" t="s">
        <v>3664</v>
      </c>
    </row>
    <row r="2" ht="14.25" customHeight="1">
      <c r="A2" s="37" t="s">
        <v>177</v>
      </c>
      <c r="B2" s="37" t="s">
        <v>178</v>
      </c>
      <c r="C2" s="37" t="s">
        <v>88</v>
      </c>
      <c r="D2" s="37" t="s">
        <v>179</v>
      </c>
      <c r="E2" s="26" t="s">
        <v>3665</v>
      </c>
      <c r="F2" s="26" t="s">
        <v>3666</v>
      </c>
      <c r="G2" s="37" t="s">
        <v>49</v>
      </c>
      <c r="H2" s="26" t="s">
        <v>3667</v>
      </c>
      <c r="I2" s="26" t="s">
        <v>3668</v>
      </c>
      <c r="J2" s="26" t="s">
        <v>3669</v>
      </c>
      <c r="K2" s="26" t="s">
        <v>3670</v>
      </c>
      <c r="L2" s="26" t="s">
        <v>3671</v>
      </c>
      <c r="M2" s="26" t="s">
        <v>3672</v>
      </c>
      <c r="N2" s="26" t="s">
        <v>1211</v>
      </c>
      <c r="O2" s="26" t="s">
        <v>2216</v>
      </c>
      <c r="P2" s="37" t="s">
        <v>3242</v>
      </c>
      <c r="R2" s="26" t="s">
        <v>1458</v>
      </c>
      <c r="S2" s="26"/>
      <c r="T2" s="26" t="s">
        <v>1099</v>
      </c>
      <c r="X2" s="26" t="s">
        <v>2220</v>
      </c>
    </row>
    <row r="3" ht="14.25" customHeight="1">
      <c r="A3" s="37" t="s">
        <v>182</v>
      </c>
      <c r="B3" s="37" t="s">
        <v>183</v>
      </c>
      <c r="C3" s="37" t="s">
        <v>88</v>
      </c>
      <c r="D3" s="37" t="s">
        <v>179</v>
      </c>
      <c r="E3" s="26" t="s">
        <v>3673</v>
      </c>
      <c r="F3" s="26" t="s">
        <v>3674</v>
      </c>
      <c r="G3" s="37" t="s">
        <v>49</v>
      </c>
      <c r="H3" s="26" t="s">
        <v>3675</v>
      </c>
      <c r="I3" s="26" t="s">
        <v>3676</v>
      </c>
      <c r="J3" s="26" t="s">
        <v>3677</v>
      </c>
      <c r="K3" s="26" t="s">
        <v>3678</v>
      </c>
      <c r="L3" s="26" t="s">
        <v>3679</v>
      </c>
      <c r="M3" s="26" t="s">
        <v>3680</v>
      </c>
      <c r="N3" s="26" t="s">
        <v>1211</v>
      </c>
      <c r="O3" s="26" t="s">
        <v>2216</v>
      </c>
      <c r="P3" s="37"/>
      <c r="R3" s="26" t="s">
        <v>1458</v>
      </c>
      <c r="S3" s="26"/>
      <c r="T3" s="26" t="s">
        <v>1002</v>
      </c>
      <c r="X3" s="26" t="s">
        <v>2220</v>
      </c>
    </row>
    <row r="4" ht="14.25" customHeight="1">
      <c r="A4" s="37" t="s">
        <v>185</v>
      </c>
      <c r="B4" s="37" t="s">
        <v>186</v>
      </c>
      <c r="C4" s="37" t="s">
        <v>88</v>
      </c>
      <c r="D4" s="37" t="s">
        <v>187</v>
      </c>
      <c r="E4" s="26" t="s">
        <v>3681</v>
      </c>
      <c r="F4" s="26" t="s">
        <v>3682</v>
      </c>
      <c r="G4" s="37" t="s">
        <v>49</v>
      </c>
      <c r="H4" s="26" t="s">
        <v>3683</v>
      </c>
      <c r="I4" s="26" t="s">
        <v>3684</v>
      </c>
      <c r="J4" s="26" t="s">
        <v>3685</v>
      </c>
      <c r="K4" s="26" t="s">
        <v>3686</v>
      </c>
      <c r="L4" s="26" t="s">
        <v>3679</v>
      </c>
      <c r="M4" s="26" t="s">
        <v>3687</v>
      </c>
      <c r="N4" s="26" t="s">
        <v>1211</v>
      </c>
      <c r="O4" s="26" t="s">
        <v>2216</v>
      </c>
      <c r="P4" s="37"/>
      <c r="R4" s="26" t="s">
        <v>1458</v>
      </c>
      <c r="S4" s="26"/>
      <c r="T4" s="26" t="s">
        <v>1027</v>
      </c>
      <c r="X4" s="26" t="s">
        <v>2220</v>
      </c>
    </row>
    <row r="5" ht="14.25" customHeight="1">
      <c r="A5" s="37" t="s">
        <v>190</v>
      </c>
      <c r="B5" s="37" t="s">
        <v>191</v>
      </c>
      <c r="C5" s="37" t="s">
        <v>88</v>
      </c>
      <c r="D5" s="37" t="s">
        <v>192</v>
      </c>
      <c r="E5" s="26" t="s">
        <v>3688</v>
      </c>
      <c r="F5" s="37" t="s">
        <v>194</v>
      </c>
      <c r="G5" s="37" t="s">
        <v>49</v>
      </c>
      <c r="H5" s="26" t="s">
        <v>3689</v>
      </c>
      <c r="I5" s="26" t="s">
        <v>3690</v>
      </c>
      <c r="J5" s="26" t="s">
        <v>3691</v>
      </c>
      <c r="K5" s="26" t="s">
        <v>3692</v>
      </c>
      <c r="L5" s="26" t="s">
        <v>998</v>
      </c>
      <c r="M5" s="26" t="s">
        <v>3693</v>
      </c>
      <c r="N5" s="26" t="s">
        <v>1211</v>
      </c>
      <c r="O5" s="26" t="s">
        <v>2216</v>
      </c>
      <c r="P5" s="37"/>
      <c r="R5" s="26" t="s">
        <v>1458</v>
      </c>
      <c r="T5" s="26" t="s">
        <v>1261</v>
      </c>
      <c r="V5" s="26" t="s">
        <v>3694</v>
      </c>
      <c r="W5" s="26" t="s">
        <v>3695</v>
      </c>
      <c r="X5" s="26" t="s">
        <v>2220</v>
      </c>
    </row>
    <row r="6" ht="14.25" customHeight="1">
      <c r="A6" s="37" t="s">
        <v>195</v>
      </c>
      <c r="B6" s="37" t="s">
        <v>196</v>
      </c>
      <c r="C6" s="37" t="s">
        <v>88</v>
      </c>
      <c r="D6" s="37" t="s">
        <v>197</v>
      </c>
      <c r="E6" s="26" t="s">
        <v>3696</v>
      </c>
      <c r="F6" s="37" t="s">
        <v>189</v>
      </c>
      <c r="G6" s="37" t="s">
        <v>49</v>
      </c>
      <c r="H6" s="26" t="s">
        <v>3697</v>
      </c>
      <c r="I6" s="26" t="s">
        <v>3698</v>
      </c>
      <c r="J6" s="26" t="s">
        <v>3699</v>
      </c>
      <c r="K6" s="26" t="s">
        <v>3700</v>
      </c>
      <c r="L6" s="26" t="s">
        <v>3701</v>
      </c>
      <c r="M6" s="26" t="s">
        <v>3702</v>
      </c>
      <c r="N6" s="26" t="s">
        <v>1211</v>
      </c>
      <c r="O6" s="26" t="s">
        <v>2216</v>
      </c>
      <c r="P6" s="37"/>
      <c r="R6" s="26" t="s">
        <v>1458</v>
      </c>
      <c r="S6" s="26" t="s">
        <v>3703</v>
      </c>
      <c r="T6" s="26" t="s">
        <v>1027</v>
      </c>
      <c r="U6" s="26">
        <v>2024.0</v>
      </c>
      <c r="V6" s="26" t="s">
        <v>620</v>
      </c>
      <c r="X6" s="26" t="s">
        <v>2220</v>
      </c>
    </row>
    <row r="7" ht="14.25" customHeight="1">
      <c r="A7" s="325" t="s">
        <v>199</v>
      </c>
      <c r="B7" s="325" t="s">
        <v>200</v>
      </c>
      <c r="C7" s="325" t="s">
        <v>88</v>
      </c>
      <c r="D7" s="325" t="s">
        <v>201</v>
      </c>
      <c r="E7" s="325" t="s">
        <v>90</v>
      </c>
      <c r="F7" s="325" t="s">
        <v>142</v>
      </c>
      <c r="G7" s="325" t="s">
        <v>49</v>
      </c>
      <c r="H7" s="326" t="s">
        <v>2216</v>
      </c>
      <c r="I7" s="326" t="s">
        <v>2216</v>
      </c>
      <c r="J7" s="326" t="s">
        <v>2216</v>
      </c>
      <c r="K7" s="326" t="s">
        <v>2216</v>
      </c>
      <c r="L7" s="326" t="s">
        <v>2216</v>
      </c>
      <c r="M7" s="326" t="s">
        <v>2216</v>
      </c>
      <c r="N7" s="326" t="s">
        <v>2216</v>
      </c>
      <c r="O7" s="326" t="s">
        <v>3704</v>
      </c>
      <c r="P7" s="326" t="s">
        <v>3242</v>
      </c>
      <c r="Q7" s="326" t="s">
        <v>3017</v>
      </c>
      <c r="R7" s="325"/>
      <c r="S7" s="325"/>
      <c r="T7" s="325"/>
      <c r="U7" s="325"/>
      <c r="V7" s="325"/>
      <c r="W7" s="325"/>
      <c r="X7" s="325"/>
      <c r="Y7" s="325"/>
      <c r="Z7" s="325"/>
      <c r="AA7" s="325"/>
      <c r="AB7" s="325"/>
      <c r="AC7" s="325"/>
    </row>
    <row r="8" ht="14.25" customHeight="1">
      <c r="A8" s="37" t="s">
        <v>202</v>
      </c>
      <c r="B8" s="37" t="s">
        <v>203</v>
      </c>
      <c r="C8" s="37" t="s">
        <v>88</v>
      </c>
      <c r="D8" s="37" t="s">
        <v>150</v>
      </c>
      <c r="E8" s="37" t="s">
        <v>204</v>
      </c>
      <c r="F8" s="26" t="s">
        <v>3705</v>
      </c>
      <c r="G8" s="37" t="s">
        <v>49</v>
      </c>
      <c r="H8" s="26" t="s">
        <v>3706</v>
      </c>
      <c r="I8" s="26" t="s">
        <v>3707</v>
      </c>
      <c r="J8" s="26" t="s">
        <v>3708</v>
      </c>
      <c r="K8" s="26" t="s">
        <v>3709</v>
      </c>
      <c r="L8" s="26" t="s">
        <v>3710</v>
      </c>
      <c r="M8" s="26" t="s">
        <v>3711</v>
      </c>
      <c r="N8" s="26" t="s">
        <v>1211</v>
      </c>
      <c r="O8" s="26" t="s">
        <v>2216</v>
      </c>
      <c r="P8" s="37"/>
      <c r="R8" s="26" t="s">
        <v>1458</v>
      </c>
      <c r="S8" s="26" t="s">
        <v>3712</v>
      </c>
      <c r="T8" s="26" t="s">
        <v>1261</v>
      </c>
      <c r="U8" s="26">
        <v>2024.0</v>
      </c>
      <c r="V8" s="26" t="s">
        <v>1270</v>
      </c>
      <c r="X8" s="26" t="s">
        <v>2220</v>
      </c>
    </row>
    <row r="9" ht="14.25" customHeight="1">
      <c r="A9" s="37" t="s">
        <v>205</v>
      </c>
      <c r="B9" s="37" t="s">
        <v>206</v>
      </c>
      <c r="C9" s="37" t="s">
        <v>88</v>
      </c>
      <c r="D9" s="37" t="s">
        <v>207</v>
      </c>
      <c r="E9" s="26" t="s">
        <v>3713</v>
      </c>
      <c r="F9" s="26" t="s">
        <v>3714</v>
      </c>
      <c r="G9" s="37" t="s">
        <v>49</v>
      </c>
      <c r="H9" s="26" t="s">
        <v>3715</v>
      </c>
      <c r="I9" s="26" t="s">
        <v>3716</v>
      </c>
      <c r="J9" s="26" t="s">
        <v>3717</v>
      </c>
      <c r="K9" s="26" t="s">
        <v>3718</v>
      </c>
      <c r="L9" s="26" t="s">
        <v>3719</v>
      </c>
      <c r="M9" s="26" t="s">
        <v>3720</v>
      </c>
      <c r="N9" s="26" t="s">
        <v>1211</v>
      </c>
      <c r="O9" s="26" t="s">
        <v>2216</v>
      </c>
      <c r="P9" s="37"/>
      <c r="R9" s="26" t="s">
        <v>1458</v>
      </c>
      <c r="S9" s="26" t="s">
        <v>3721</v>
      </c>
      <c r="T9" s="26" t="s">
        <v>991</v>
      </c>
      <c r="U9" s="26">
        <v>2024.0</v>
      </c>
      <c r="V9" s="26" t="s">
        <v>620</v>
      </c>
      <c r="X9" s="26" t="s">
        <v>2220</v>
      </c>
    </row>
    <row r="10" ht="14.25" customHeight="1">
      <c r="A10" s="37" t="s">
        <v>210</v>
      </c>
      <c r="B10" s="37" t="s">
        <v>211</v>
      </c>
      <c r="C10" s="37" t="s">
        <v>88</v>
      </c>
      <c r="D10" s="37" t="s">
        <v>113</v>
      </c>
      <c r="E10" s="37" t="s">
        <v>212</v>
      </c>
      <c r="F10" s="37" t="s">
        <v>142</v>
      </c>
      <c r="G10" s="37" t="s">
        <v>49</v>
      </c>
      <c r="H10" s="26" t="s">
        <v>3722</v>
      </c>
      <c r="I10" s="26" t="s">
        <v>3723</v>
      </c>
      <c r="J10" s="26" t="s">
        <v>3724</v>
      </c>
      <c r="K10" s="26" t="s">
        <v>3725</v>
      </c>
      <c r="L10" s="26" t="s">
        <v>3726</v>
      </c>
      <c r="M10" s="26" t="s">
        <v>2216</v>
      </c>
      <c r="N10" s="26" t="s">
        <v>1211</v>
      </c>
      <c r="O10" s="26" t="s">
        <v>2216</v>
      </c>
      <c r="P10" s="37"/>
      <c r="R10" s="26" t="s">
        <v>1458</v>
      </c>
      <c r="S10" s="26" t="s">
        <v>3727</v>
      </c>
      <c r="T10" s="26" t="s">
        <v>1099</v>
      </c>
      <c r="U10" s="26">
        <v>2024.0</v>
      </c>
      <c r="V10" s="26" t="s">
        <v>620</v>
      </c>
      <c r="X10" s="26" t="s">
        <v>2220</v>
      </c>
    </row>
    <row r="11" ht="14.25" customHeight="1">
      <c r="A11" s="37" t="s">
        <v>213</v>
      </c>
      <c r="B11" s="37" t="s">
        <v>214</v>
      </c>
      <c r="C11" s="37" t="s">
        <v>88</v>
      </c>
      <c r="D11" s="37" t="s">
        <v>215</v>
      </c>
      <c r="E11" s="26" t="s">
        <v>3728</v>
      </c>
      <c r="F11" s="26" t="s">
        <v>217</v>
      </c>
      <c r="G11" s="37" t="s">
        <v>49</v>
      </c>
      <c r="H11" s="26" t="s">
        <v>3729</v>
      </c>
      <c r="I11" s="26" t="s">
        <v>3730</v>
      </c>
      <c r="J11" s="26" t="s">
        <v>3731</v>
      </c>
      <c r="K11" s="26" t="s">
        <v>3732</v>
      </c>
      <c r="L11" s="26" t="s">
        <v>2216</v>
      </c>
      <c r="M11" s="26" t="s">
        <v>3733</v>
      </c>
      <c r="N11" s="26" t="s">
        <v>1211</v>
      </c>
      <c r="O11" s="26" t="s">
        <v>2216</v>
      </c>
      <c r="P11" s="37"/>
      <c r="R11" s="26" t="s">
        <v>1458</v>
      </c>
      <c r="S11" s="26" t="s">
        <v>3734</v>
      </c>
      <c r="T11" s="26" t="s">
        <v>1070</v>
      </c>
      <c r="U11" s="26">
        <v>2024.0</v>
      </c>
      <c r="V11" s="26" t="s">
        <v>620</v>
      </c>
      <c r="X11" s="26" t="s">
        <v>3735</v>
      </c>
    </row>
    <row r="12" ht="14.25" customHeight="1">
      <c r="A12" s="37" t="s">
        <v>218</v>
      </c>
      <c r="B12" s="37" t="s">
        <v>219</v>
      </c>
      <c r="C12" s="37" t="s">
        <v>88</v>
      </c>
      <c r="D12" s="37" t="s">
        <v>170</v>
      </c>
      <c r="E12" s="37" t="s">
        <v>220</v>
      </c>
      <c r="F12" s="37" t="s">
        <v>221</v>
      </c>
      <c r="G12" s="37" t="s">
        <v>49</v>
      </c>
      <c r="H12" s="26" t="s">
        <v>3736</v>
      </c>
      <c r="I12" s="26" t="s">
        <v>3737</v>
      </c>
      <c r="J12" s="26" t="s">
        <v>3738</v>
      </c>
      <c r="K12" s="26" t="s">
        <v>3739</v>
      </c>
      <c r="L12" s="26" t="s">
        <v>3726</v>
      </c>
      <c r="M12" s="26" t="s">
        <v>3740</v>
      </c>
      <c r="N12" s="26" t="s">
        <v>1211</v>
      </c>
      <c r="O12" s="26" t="s">
        <v>2216</v>
      </c>
      <c r="P12" s="37"/>
      <c r="R12" s="26" t="s">
        <v>1458</v>
      </c>
      <c r="S12" s="26" t="s">
        <v>3741</v>
      </c>
      <c r="T12" s="26" t="s">
        <v>1027</v>
      </c>
      <c r="U12" s="26">
        <v>2024.0</v>
      </c>
      <c r="V12" s="26" t="s">
        <v>620</v>
      </c>
      <c r="X12" s="26" t="s">
        <v>2220</v>
      </c>
    </row>
    <row r="13" ht="14.25" customHeight="1">
      <c r="A13" s="37" t="s">
        <v>222</v>
      </c>
      <c r="B13" s="37" t="s">
        <v>223</v>
      </c>
      <c r="C13" s="37" t="s">
        <v>88</v>
      </c>
      <c r="D13" s="37" t="s">
        <v>224</v>
      </c>
      <c r="E13" s="37" t="s">
        <v>90</v>
      </c>
      <c r="F13" s="37" t="s">
        <v>142</v>
      </c>
      <c r="G13" s="37" t="s">
        <v>49</v>
      </c>
      <c r="H13" s="26" t="s">
        <v>3742</v>
      </c>
      <c r="I13" s="26" t="s">
        <v>3743</v>
      </c>
      <c r="J13" s="26" t="s">
        <v>3744</v>
      </c>
      <c r="K13" s="26" t="s">
        <v>3745</v>
      </c>
      <c r="L13" s="26" t="s">
        <v>998</v>
      </c>
      <c r="M13" s="26" t="s">
        <v>2216</v>
      </c>
      <c r="N13" s="26" t="s">
        <v>1211</v>
      </c>
      <c r="O13" s="26" t="s">
        <v>2216</v>
      </c>
      <c r="P13" s="37"/>
      <c r="R13" s="26" t="s">
        <v>1458</v>
      </c>
      <c r="S13" s="26" t="s">
        <v>3746</v>
      </c>
      <c r="T13" s="26" t="s">
        <v>1027</v>
      </c>
      <c r="U13" s="26">
        <v>2024.0</v>
      </c>
      <c r="V13" s="26" t="s">
        <v>620</v>
      </c>
      <c r="X13" s="26" t="s">
        <v>3747</v>
      </c>
    </row>
    <row r="14" ht="14.25" customHeight="1">
      <c r="A14" s="37" t="s">
        <v>225</v>
      </c>
      <c r="B14" s="37" t="s">
        <v>226</v>
      </c>
      <c r="C14" s="37" t="s">
        <v>88</v>
      </c>
      <c r="D14" s="37" t="s">
        <v>227</v>
      </c>
      <c r="E14" s="37" t="s">
        <v>228</v>
      </c>
      <c r="F14" s="37" t="s">
        <v>189</v>
      </c>
      <c r="G14" s="37" t="s">
        <v>49</v>
      </c>
      <c r="N14" s="26" t="s">
        <v>1211</v>
      </c>
      <c r="O14" s="26" t="s">
        <v>2216</v>
      </c>
      <c r="P14" s="37"/>
      <c r="R14" s="26" t="s">
        <v>1458</v>
      </c>
    </row>
    <row r="15" ht="14.25" customHeight="1">
      <c r="A15" s="37" t="s">
        <v>229</v>
      </c>
      <c r="B15" s="37" t="s">
        <v>230</v>
      </c>
      <c r="C15" s="37" t="s">
        <v>88</v>
      </c>
      <c r="D15" s="37" t="s">
        <v>231</v>
      </c>
      <c r="E15" s="37" t="s">
        <v>232</v>
      </c>
      <c r="F15" s="37" t="s">
        <v>233</v>
      </c>
      <c r="G15" s="37" t="s">
        <v>49</v>
      </c>
      <c r="H15" s="26" t="s">
        <v>3748</v>
      </c>
      <c r="I15" s="26" t="s">
        <v>3749</v>
      </c>
      <c r="J15" s="26" t="s">
        <v>3750</v>
      </c>
      <c r="K15" s="26" t="s">
        <v>3751</v>
      </c>
      <c r="L15" s="26" t="s">
        <v>3679</v>
      </c>
      <c r="M15" s="26" t="s">
        <v>3752</v>
      </c>
      <c r="N15" s="26" t="s">
        <v>1211</v>
      </c>
      <c r="O15" s="26" t="s">
        <v>2216</v>
      </c>
      <c r="P15" s="37"/>
      <c r="R15" s="26" t="s">
        <v>1458</v>
      </c>
      <c r="S15" s="26" t="s">
        <v>3753</v>
      </c>
      <c r="T15" s="26" t="s">
        <v>1027</v>
      </c>
      <c r="U15" s="26">
        <v>2024.0</v>
      </c>
      <c r="V15" s="26" t="s">
        <v>620</v>
      </c>
      <c r="X15" s="26" t="s">
        <v>2220</v>
      </c>
    </row>
    <row r="16" ht="14.25" customHeight="1">
      <c r="A16" s="37" t="s">
        <v>234</v>
      </c>
      <c r="B16" s="37" t="s">
        <v>235</v>
      </c>
      <c r="C16" s="37" t="s">
        <v>88</v>
      </c>
      <c r="D16" s="37" t="s">
        <v>236</v>
      </c>
      <c r="E16" s="37" t="s">
        <v>237</v>
      </c>
      <c r="F16" s="37" t="s">
        <v>189</v>
      </c>
      <c r="G16" s="37" t="s">
        <v>49</v>
      </c>
      <c r="H16" s="26" t="s">
        <v>3754</v>
      </c>
      <c r="I16" s="26" t="s">
        <v>3755</v>
      </c>
      <c r="J16" s="26" t="s">
        <v>3756</v>
      </c>
      <c r="K16" s="26" t="s">
        <v>3757</v>
      </c>
      <c r="L16" s="26" t="s">
        <v>998</v>
      </c>
      <c r="M16" s="26" t="s">
        <v>3758</v>
      </c>
      <c r="N16" s="26" t="s">
        <v>1211</v>
      </c>
      <c r="O16" s="26" t="s">
        <v>2216</v>
      </c>
      <c r="P16" s="37"/>
      <c r="R16" s="26" t="s">
        <v>1458</v>
      </c>
      <c r="S16" s="26" t="s">
        <v>3759</v>
      </c>
      <c r="T16" s="26" t="s">
        <v>1027</v>
      </c>
      <c r="U16" s="26">
        <v>2024.0</v>
      </c>
      <c r="V16" s="26" t="s">
        <v>3694</v>
      </c>
      <c r="X16" s="26" t="s">
        <v>2220</v>
      </c>
    </row>
    <row r="17" ht="14.25" customHeight="1">
      <c r="A17" s="37" t="s">
        <v>238</v>
      </c>
      <c r="B17" s="37" t="s">
        <v>239</v>
      </c>
      <c r="C17" s="37" t="s">
        <v>88</v>
      </c>
      <c r="D17" s="37" t="s">
        <v>179</v>
      </c>
      <c r="E17" s="37" t="s">
        <v>228</v>
      </c>
      <c r="F17" s="37" t="s">
        <v>189</v>
      </c>
      <c r="G17" s="37" t="s">
        <v>49</v>
      </c>
      <c r="H17" s="26" t="s">
        <v>3760</v>
      </c>
      <c r="I17" s="26" t="s">
        <v>3761</v>
      </c>
      <c r="J17" s="26" t="s">
        <v>3762</v>
      </c>
      <c r="K17" s="26" t="s">
        <v>3763</v>
      </c>
      <c r="L17" s="26" t="s">
        <v>3679</v>
      </c>
      <c r="M17" s="26" t="s">
        <v>2216</v>
      </c>
      <c r="N17" s="26" t="s">
        <v>1211</v>
      </c>
      <c r="O17" s="26" t="s">
        <v>2216</v>
      </c>
      <c r="P17" s="37"/>
      <c r="R17" s="26" t="s">
        <v>1458</v>
      </c>
      <c r="S17" s="26" t="s">
        <v>3764</v>
      </c>
      <c r="T17" s="26" t="s">
        <v>1019</v>
      </c>
      <c r="U17" s="26">
        <v>2024.0</v>
      </c>
      <c r="V17" s="26" t="s">
        <v>620</v>
      </c>
      <c r="X17" s="26" t="s">
        <v>2220</v>
      </c>
    </row>
    <row r="18" ht="14.25" customHeight="1">
      <c r="A18" s="37" t="s">
        <v>240</v>
      </c>
      <c r="B18" s="37" t="s">
        <v>241</v>
      </c>
      <c r="C18" s="37" t="s">
        <v>88</v>
      </c>
      <c r="D18" s="37" t="s">
        <v>242</v>
      </c>
      <c r="E18" s="37" t="s">
        <v>243</v>
      </c>
      <c r="F18" s="37" t="s">
        <v>244</v>
      </c>
      <c r="G18" s="37" t="s">
        <v>49</v>
      </c>
      <c r="H18" s="26" t="s">
        <v>3765</v>
      </c>
      <c r="I18" s="26" t="s">
        <v>3766</v>
      </c>
      <c r="J18" s="26" t="s">
        <v>3767</v>
      </c>
      <c r="K18" s="26" t="s">
        <v>3768</v>
      </c>
      <c r="L18" s="26" t="s">
        <v>3769</v>
      </c>
      <c r="M18" s="26" t="s">
        <v>3770</v>
      </c>
      <c r="N18" s="26" t="s">
        <v>1211</v>
      </c>
      <c r="O18" s="26" t="s">
        <v>2216</v>
      </c>
      <c r="P18" s="37"/>
      <c r="R18" s="26" t="s">
        <v>1458</v>
      </c>
      <c r="S18" s="26" t="s">
        <v>3771</v>
      </c>
      <c r="T18" s="26" t="s">
        <v>1027</v>
      </c>
      <c r="U18" s="26">
        <v>2024.0</v>
      </c>
      <c r="V18" s="26" t="s">
        <v>1313</v>
      </c>
      <c r="X18" s="26" t="s">
        <v>2220</v>
      </c>
    </row>
    <row r="19" ht="14.25" customHeight="1">
      <c r="A19" s="37" t="s">
        <v>245</v>
      </c>
      <c r="B19" s="37" t="s">
        <v>246</v>
      </c>
      <c r="C19" s="37" t="s">
        <v>88</v>
      </c>
      <c r="D19" s="37" t="s">
        <v>247</v>
      </c>
      <c r="E19" s="37" t="s">
        <v>248</v>
      </c>
      <c r="F19" s="37" t="s">
        <v>233</v>
      </c>
      <c r="G19" s="26" t="s">
        <v>3772</v>
      </c>
      <c r="H19" s="26" t="s">
        <v>3773</v>
      </c>
      <c r="I19" s="26" t="s">
        <v>3774</v>
      </c>
      <c r="J19" s="26" t="s">
        <v>3775</v>
      </c>
      <c r="K19" s="26" t="s">
        <v>3776</v>
      </c>
      <c r="L19" s="26" t="s">
        <v>3679</v>
      </c>
      <c r="M19" s="26" t="s">
        <v>3777</v>
      </c>
      <c r="N19" s="26" t="s">
        <v>1211</v>
      </c>
      <c r="O19" s="26" t="s">
        <v>2216</v>
      </c>
      <c r="P19" s="37"/>
      <c r="R19" s="26" t="s">
        <v>1458</v>
      </c>
      <c r="S19" s="26" t="s">
        <v>3778</v>
      </c>
      <c r="T19" s="26" t="s">
        <v>1027</v>
      </c>
      <c r="U19" s="26">
        <v>2023.0</v>
      </c>
      <c r="V19" s="26" t="s">
        <v>620</v>
      </c>
      <c r="X19" s="26" t="s">
        <v>2220</v>
      </c>
    </row>
    <row r="20" ht="14.25" customHeight="1">
      <c r="A20" s="37" t="s">
        <v>249</v>
      </c>
      <c r="B20" s="37" t="s">
        <v>250</v>
      </c>
      <c r="C20" s="37" t="s">
        <v>88</v>
      </c>
      <c r="D20" s="37" t="s">
        <v>251</v>
      </c>
      <c r="E20" s="37" t="s">
        <v>252</v>
      </c>
      <c r="F20" s="37" t="s">
        <v>253</v>
      </c>
      <c r="G20" s="37" t="s">
        <v>49</v>
      </c>
      <c r="H20" s="26" t="s">
        <v>3779</v>
      </c>
      <c r="I20" s="26" t="s">
        <v>3780</v>
      </c>
      <c r="J20" s="26" t="s">
        <v>3781</v>
      </c>
      <c r="K20" s="26" t="s">
        <v>3782</v>
      </c>
      <c r="L20" s="26" t="s">
        <v>998</v>
      </c>
      <c r="M20" s="26" t="s">
        <v>2216</v>
      </c>
      <c r="N20" s="26" t="s">
        <v>1211</v>
      </c>
      <c r="O20" s="26" t="s">
        <v>2216</v>
      </c>
      <c r="P20" s="37"/>
      <c r="R20" s="26" t="s">
        <v>1458</v>
      </c>
      <c r="S20" s="26" t="s">
        <v>3783</v>
      </c>
      <c r="T20" s="26" t="s">
        <v>1324</v>
      </c>
      <c r="U20" s="26">
        <v>2024.0</v>
      </c>
      <c r="V20" s="26" t="s">
        <v>620</v>
      </c>
      <c r="X20" s="26" t="s">
        <v>2220</v>
      </c>
    </row>
    <row r="21" ht="14.25" customHeight="1">
      <c r="A21" s="37" t="s">
        <v>254</v>
      </c>
      <c r="B21" s="37" t="s">
        <v>255</v>
      </c>
      <c r="C21" s="37" t="s">
        <v>88</v>
      </c>
      <c r="D21" s="37" t="s">
        <v>256</v>
      </c>
      <c r="E21" s="37" t="s">
        <v>257</v>
      </c>
      <c r="F21" s="37" t="s">
        <v>189</v>
      </c>
      <c r="G21" s="37" t="s">
        <v>49</v>
      </c>
      <c r="H21" s="26" t="s">
        <v>3784</v>
      </c>
      <c r="J21" s="26" t="s">
        <v>3785</v>
      </c>
      <c r="K21" s="26" t="s">
        <v>3786</v>
      </c>
      <c r="L21" s="26" t="s">
        <v>3679</v>
      </c>
      <c r="M21" s="26" t="s">
        <v>2216</v>
      </c>
      <c r="N21" s="26" t="s">
        <v>1211</v>
      </c>
      <c r="O21" s="26" t="s">
        <v>2216</v>
      </c>
      <c r="P21" s="37"/>
      <c r="R21" s="26" t="s">
        <v>1458</v>
      </c>
      <c r="S21" s="26" t="s">
        <v>3787</v>
      </c>
      <c r="T21" s="26" t="s">
        <v>1027</v>
      </c>
      <c r="U21" s="26">
        <v>2023.0</v>
      </c>
      <c r="V21" s="26" t="s">
        <v>620</v>
      </c>
      <c r="X21" s="26" t="s">
        <v>2220</v>
      </c>
    </row>
    <row r="22" ht="14.25" customHeight="1">
      <c r="A22" s="327"/>
      <c r="B22" s="153"/>
      <c r="C22" s="153"/>
      <c r="D22" s="153"/>
      <c r="E22" s="153"/>
      <c r="F22" s="153"/>
      <c r="G22" s="328"/>
      <c r="O22" s="26" t="s">
        <v>2216</v>
      </c>
      <c r="P22" s="37"/>
    </row>
    <row r="23" ht="14.25" customHeight="1">
      <c r="A23" s="50"/>
      <c r="B23" s="16"/>
      <c r="C23" s="16"/>
      <c r="D23" s="16"/>
      <c r="E23" s="16"/>
      <c r="F23" s="16"/>
      <c r="G23" s="329"/>
      <c r="O23" s="26" t="s">
        <v>2216</v>
      </c>
      <c r="P23" s="37"/>
    </row>
    <row r="24" ht="14.25" customHeight="1">
      <c r="A24" s="26" t="s">
        <v>3788</v>
      </c>
    </row>
    <row r="25" ht="14.25" customHeight="1">
      <c r="A25" s="39" t="s">
        <v>652</v>
      </c>
      <c r="B25" s="39" t="s">
        <v>653</v>
      </c>
      <c r="C25" s="40" t="s">
        <v>616</v>
      </c>
      <c r="D25" s="39" t="s">
        <v>654</v>
      </c>
      <c r="E25" s="39" t="s">
        <v>655</v>
      </c>
      <c r="F25" s="39" t="s">
        <v>656</v>
      </c>
      <c r="G25" s="39" t="s">
        <v>49</v>
      </c>
      <c r="H25" s="39" t="s">
        <v>3789</v>
      </c>
      <c r="I25" s="39" t="s">
        <v>3790</v>
      </c>
      <c r="J25" s="39" t="s">
        <v>3791</v>
      </c>
      <c r="K25" s="26" t="s">
        <v>3792</v>
      </c>
      <c r="L25" s="26" t="s">
        <v>3726</v>
      </c>
      <c r="N25" s="26" t="s">
        <v>1211</v>
      </c>
      <c r="R25" s="26" t="s">
        <v>1458</v>
      </c>
      <c r="S25" s="26" t="s">
        <v>3793</v>
      </c>
      <c r="T25" s="26" t="s">
        <v>1027</v>
      </c>
      <c r="U25" s="26">
        <v>2025.0</v>
      </c>
      <c r="V25" s="26" t="s">
        <v>620</v>
      </c>
      <c r="X25" s="26" t="s">
        <v>2220</v>
      </c>
    </row>
    <row r="26" ht="14.25" customHeight="1">
      <c r="A26" s="39" t="s">
        <v>657</v>
      </c>
      <c r="B26" s="39" t="s">
        <v>658</v>
      </c>
      <c r="C26" s="40" t="s">
        <v>616</v>
      </c>
      <c r="D26" s="39" t="s">
        <v>617</v>
      </c>
      <c r="E26" s="39" t="s">
        <v>659</v>
      </c>
      <c r="F26" s="39" t="s">
        <v>385</v>
      </c>
      <c r="G26" s="39" t="s">
        <v>49</v>
      </c>
      <c r="H26" s="39" t="s">
        <v>3794</v>
      </c>
      <c r="I26" s="39" t="s">
        <v>3795</v>
      </c>
      <c r="J26" s="39" t="s">
        <v>3796</v>
      </c>
      <c r="K26" s="26" t="s">
        <v>3797</v>
      </c>
      <c r="L26" s="26" t="s">
        <v>1765</v>
      </c>
      <c r="M26" s="26" t="s">
        <v>3798</v>
      </c>
      <c r="N26" s="26" t="s">
        <v>1211</v>
      </c>
      <c r="S26" s="26" t="s">
        <v>3799</v>
      </c>
      <c r="T26" s="26" t="s">
        <v>1341</v>
      </c>
      <c r="U26" s="26">
        <v>2025.0</v>
      </c>
      <c r="V26" s="26" t="s">
        <v>620</v>
      </c>
      <c r="X26" s="26" t="s">
        <v>2220</v>
      </c>
    </row>
    <row r="27" ht="14.25" customHeight="1">
      <c r="A27" s="330" t="s">
        <v>660</v>
      </c>
      <c r="B27" s="330" t="s">
        <v>661</v>
      </c>
      <c r="C27" s="331" t="s">
        <v>616</v>
      </c>
      <c r="D27" s="330" t="s">
        <v>594</v>
      </c>
      <c r="F27" s="330" t="s">
        <v>662</v>
      </c>
      <c r="G27" s="330" t="s">
        <v>92</v>
      </c>
      <c r="H27" s="330"/>
      <c r="I27" s="332"/>
      <c r="J27" s="330"/>
      <c r="K27" s="315"/>
      <c r="L27" s="315"/>
      <c r="M27" s="315"/>
      <c r="N27" s="316" t="s">
        <v>1458</v>
      </c>
      <c r="O27" s="316" t="s">
        <v>3800</v>
      </c>
      <c r="P27" s="315"/>
      <c r="Q27" s="315"/>
      <c r="R27" s="316" t="s">
        <v>1458</v>
      </c>
      <c r="S27" s="315"/>
      <c r="T27" s="315"/>
      <c r="U27" s="315"/>
      <c r="V27" s="315"/>
      <c r="W27" s="315"/>
      <c r="X27" s="315"/>
      <c r="Y27" s="315"/>
      <c r="Z27" s="315"/>
      <c r="AA27" s="315"/>
      <c r="AB27" s="315"/>
      <c r="AC27" s="315"/>
    </row>
    <row r="28" ht="14.25" customHeight="1">
      <c r="A28" s="39" t="s">
        <v>663</v>
      </c>
      <c r="B28" s="39" t="s">
        <v>664</v>
      </c>
      <c r="C28" s="40" t="s">
        <v>616</v>
      </c>
      <c r="D28" s="39" t="s">
        <v>367</v>
      </c>
      <c r="E28" s="39" t="s">
        <v>665</v>
      </c>
      <c r="F28" s="39" t="s">
        <v>280</v>
      </c>
      <c r="G28" s="39" t="s">
        <v>49</v>
      </c>
      <c r="H28" s="39" t="s">
        <v>3801</v>
      </c>
      <c r="I28" s="39" t="s">
        <v>3802</v>
      </c>
      <c r="J28" s="39" t="s">
        <v>3803</v>
      </c>
      <c r="K28" s="26" t="s">
        <v>3804</v>
      </c>
      <c r="L28" s="26" t="s">
        <v>3805</v>
      </c>
      <c r="M28" s="26" t="s">
        <v>3806</v>
      </c>
      <c r="N28" s="26" t="s">
        <v>1211</v>
      </c>
      <c r="R28" s="26" t="s">
        <v>1458</v>
      </c>
      <c r="S28" s="26" t="s">
        <v>3807</v>
      </c>
      <c r="T28" s="26" t="s">
        <v>1002</v>
      </c>
      <c r="U28" s="26">
        <v>2025.0</v>
      </c>
      <c r="V28" s="26" t="s">
        <v>3808</v>
      </c>
      <c r="X28" s="26" t="s">
        <v>2220</v>
      </c>
    </row>
    <row r="29" ht="14.25" customHeight="1">
      <c r="A29" s="39" t="s">
        <v>666</v>
      </c>
      <c r="B29" s="39" t="s">
        <v>667</v>
      </c>
      <c r="C29" s="40" t="s">
        <v>616</v>
      </c>
      <c r="D29" s="39" t="s">
        <v>170</v>
      </c>
      <c r="E29" s="39"/>
      <c r="F29" s="39" t="s">
        <v>209</v>
      </c>
      <c r="G29" s="39" t="s">
        <v>578</v>
      </c>
      <c r="H29" s="39" t="s">
        <v>3809</v>
      </c>
      <c r="I29" s="39" t="s">
        <v>3810</v>
      </c>
      <c r="J29" s="39" t="s">
        <v>3811</v>
      </c>
      <c r="K29" s="26" t="s">
        <v>3812</v>
      </c>
      <c r="L29" s="26" t="s">
        <v>3813</v>
      </c>
      <c r="M29" s="26" t="s">
        <v>3814</v>
      </c>
      <c r="N29" s="26" t="s">
        <v>1211</v>
      </c>
      <c r="R29" s="26" t="s">
        <v>1458</v>
      </c>
      <c r="S29" s="26" t="s">
        <v>3815</v>
      </c>
      <c r="T29" s="26" t="s">
        <v>1027</v>
      </c>
      <c r="U29" s="26">
        <v>2025.0</v>
      </c>
      <c r="V29" s="26" t="s">
        <v>1003</v>
      </c>
      <c r="X29" s="26" t="s">
        <v>1991</v>
      </c>
    </row>
    <row r="30" ht="14.25" customHeight="1">
      <c r="A30" s="39" t="s">
        <v>703</v>
      </c>
      <c r="B30" s="39" t="s">
        <v>704</v>
      </c>
      <c r="C30" s="40" t="s">
        <v>616</v>
      </c>
      <c r="D30" s="39" t="s">
        <v>264</v>
      </c>
      <c r="E30" s="39" t="s">
        <v>705</v>
      </c>
      <c r="F30" s="39" t="s">
        <v>142</v>
      </c>
      <c r="G30" s="39" t="s">
        <v>49</v>
      </c>
      <c r="H30" s="39" t="s">
        <v>3816</v>
      </c>
      <c r="I30" s="39" t="s">
        <v>2216</v>
      </c>
      <c r="J30" s="39" t="s">
        <v>3817</v>
      </c>
      <c r="K30" s="26" t="s">
        <v>3818</v>
      </c>
      <c r="L30" s="26" t="s">
        <v>3819</v>
      </c>
      <c r="N30" s="26" t="s">
        <v>1211</v>
      </c>
      <c r="R30" s="26" t="s">
        <v>1458</v>
      </c>
      <c r="S30" s="26" t="s">
        <v>3820</v>
      </c>
      <c r="T30" s="26" t="s">
        <v>1027</v>
      </c>
      <c r="U30" s="26">
        <v>2025.0</v>
      </c>
      <c r="V30" s="26" t="s">
        <v>1355</v>
      </c>
      <c r="X30" s="26" t="s">
        <v>2220</v>
      </c>
    </row>
    <row r="31" ht="14.25" customHeight="1">
      <c r="A31" s="39" t="s">
        <v>706</v>
      </c>
      <c r="B31" s="39" t="s">
        <v>707</v>
      </c>
      <c r="C31" s="40" t="s">
        <v>616</v>
      </c>
      <c r="D31" s="39" t="s">
        <v>708</v>
      </c>
      <c r="E31" s="39" t="s">
        <v>198</v>
      </c>
      <c r="F31" s="39" t="s">
        <v>189</v>
      </c>
      <c r="G31" s="39" t="s">
        <v>49</v>
      </c>
      <c r="H31" s="39" t="s">
        <v>3821</v>
      </c>
      <c r="I31" s="39" t="s">
        <v>3822</v>
      </c>
      <c r="J31" s="39" t="s">
        <v>3823</v>
      </c>
      <c r="K31" s="26" t="s">
        <v>3824</v>
      </c>
      <c r="L31" s="26" t="s">
        <v>3726</v>
      </c>
      <c r="M31" s="26" t="s">
        <v>3825</v>
      </c>
      <c r="N31" s="26" t="s">
        <v>1211</v>
      </c>
      <c r="R31" s="26" t="s">
        <v>1458</v>
      </c>
      <c r="S31" s="26" t="s">
        <v>3826</v>
      </c>
      <c r="T31" s="26" t="s">
        <v>1027</v>
      </c>
      <c r="U31" s="26">
        <v>2025.0</v>
      </c>
      <c r="V31" s="26" t="s">
        <v>620</v>
      </c>
      <c r="X31" s="26" t="s">
        <v>2220</v>
      </c>
    </row>
    <row r="32" ht="14.25" customHeight="1">
      <c r="A32" s="39" t="s">
        <v>709</v>
      </c>
      <c r="B32" s="39" t="s">
        <v>710</v>
      </c>
      <c r="C32" s="40" t="s">
        <v>616</v>
      </c>
      <c r="D32" s="39" t="s">
        <v>587</v>
      </c>
      <c r="E32" s="39" t="s">
        <v>711</v>
      </c>
      <c r="F32" s="39" t="s">
        <v>221</v>
      </c>
      <c r="G32" s="39" t="s">
        <v>49</v>
      </c>
      <c r="H32" s="39" t="s">
        <v>3827</v>
      </c>
      <c r="I32" s="39" t="s">
        <v>3828</v>
      </c>
      <c r="J32" s="39" t="s">
        <v>3829</v>
      </c>
      <c r="K32" s="26" t="s">
        <v>3830</v>
      </c>
      <c r="L32" s="26" t="s">
        <v>3831</v>
      </c>
      <c r="M32" s="26" t="s">
        <v>2216</v>
      </c>
      <c r="N32" s="26" t="s">
        <v>1211</v>
      </c>
      <c r="R32" s="26" t="s">
        <v>1458</v>
      </c>
      <c r="S32" s="26" t="s">
        <v>3832</v>
      </c>
      <c r="T32" s="26" t="s">
        <v>1027</v>
      </c>
      <c r="U32" s="26">
        <v>2025.0</v>
      </c>
      <c r="V32" s="26" t="s">
        <v>3833</v>
      </c>
      <c r="X32" s="26" t="s">
        <v>2220</v>
      </c>
    </row>
    <row r="33" ht="14.25" customHeight="1">
      <c r="A33" s="333" t="s">
        <v>796</v>
      </c>
      <c r="B33" s="333" t="s">
        <v>797</v>
      </c>
      <c r="C33" s="334" t="s">
        <v>616</v>
      </c>
      <c r="D33" s="333" t="s">
        <v>343</v>
      </c>
      <c r="E33" s="333" t="s">
        <v>798</v>
      </c>
      <c r="F33" s="333" t="s">
        <v>221</v>
      </c>
      <c r="G33" s="333" t="s">
        <v>49</v>
      </c>
      <c r="H33" s="333"/>
      <c r="I33" s="335"/>
      <c r="J33" s="333"/>
      <c r="K33" s="325"/>
      <c r="L33" s="325"/>
      <c r="M33" s="325"/>
      <c r="N33" s="326" t="s">
        <v>1458</v>
      </c>
      <c r="O33" s="326" t="s">
        <v>3834</v>
      </c>
      <c r="P33" s="325"/>
      <c r="Q33" s="325"/>
      <c r="R33" s="325"/>
      <c r="S33" s="325"/>
      <c r="T33" s="325"/>
      <c r="U33" s="325"/>
      <c r="V33" s="325"/>
      <c r="W33" s="325"/>
      <c r="X33" s="325"/>
      <c r="Y33" s="325"/>
      <c r="Z33" s="325"/>
      <c r="AA33" s="325"/>
      <c r="AB33" s="325"/>
      <c r="AC33" s="325"/>
    </row>
    <row r="34" ht="14.25" customHeight="1">
      <c r="A34" s="330" t="s">
        <v>799</v>
      </c>
      <c r="B34" s="330" t="s">
        <v>800</v>
      </c>
      <c r="C34" s="331" t="s">
        <v>616</v>
      </c>
      <c r="D34" s="330" t="s">
        <v>150</v>
      </c>
      <c r="E34" s="330" t="s">
        <v>726</v>
      </c>
      <c r="F34" s="330" t="s">
        <v>221</v>
      </c>
      <c r="G34" s="330" t="s">
        <v>49</v>
      </c>
      <c r="H34" s="330"/>
      <c r="I34" s="332"/>
      <c r="J34" s="330"/>
      <c r="K34" s="315"/>
      <c r="L34" s="315"/>
      <c r="M34" s="315"/>
      <c r="N34" s="316" t="s">
        <v>1458</v>
      </c>
      <c r="O34" s="316" t="s">
        <v>3835</v>
      </c>
      <c r="P34" s="315"/>
      <c r="Q34" s="315"/>
      <c r="R34" s="315"/>
      <c r="S34" s="315"/>
      <c r="T34" s="316" t="s">
        <v>1341</v>
      </c>
      <c r="U34" s="316">
        <v>2025.0</v>
      </c>
      <c r="V34" s="315"/>
      <c r="W34" s="315"/>
      <c r="X34" s="315"/>
      <c r="Y34" s="315"/>
      <c r="Z34" s="315"/>
      <c r="AA34" s="315"/>
      <c r="AB34" s="315"/>
      <c r="AC34" s="315"/>
    </row>
    <row r="35" ht="14.25" customHeight="1">
      <c r="A35" s="39" t="s">
        <v>801</v>
      </c>
      <c r="B35" s="39" t="s">
        <v>802</v>
      </c>
      <c r="C35" s="40" t="s">
        <v>616</v>
      </c>
      <c r="D35" s="39" t="s">
        <v>406</v>
      </c>
      <c r="E35" s="39"/>
      <c r="F35" s="39" t="s">
        <v>803</v>
      </c>
      <c r="G35" s="39" t="s">
        <v>49</v>
      </c>
      <c r="H35" s="39" t="s">
        <v>3836</v>
      </c>
      <c r="I35" s="39" t="s">
        <v>3837</v>
      </c>
      <c r="J35" s="39" t="s">
        <v>3838</v>
      </c>
      <c r="K35" s="26" t="s">
        <v>3839</v>
      </c>
      <c r="L35" s="26" t="s">
        <v>3840</v>
      </c>
      <c r="N35" s="26" t="s">
        <v>1211</v>
      </c>
      <c r="R35" s="26" t="s">
        <v>1458</v>
      </c>
      <c r="S35" s="26" t="s">
        <v>3841</v>
      </c>
      <c r="T35" s="26" t="s">
        <v>1367</v>
      </c>
      <c r="U35" s="26">
        <v>2025.0</v>
      </c>
      <c r="V35" s="26" t="s">
        <v>1368</v>
      </c>
      <c r="X35" s="26" t="s">
        <v>3842</v>
      </c>
    </row>
    <row r="36" ht="14.25" customHeight="1">
      <c r="A36" s="39" t="s">
        <v>804</v>
      </c>
      <c r="B36" s="39" t="s">
        <v>805</v>
      </c>
      <c r="C36" s="40" t="s">
        <v>616</v>
      </c>
      <c r="D36" s="39" t="s">
        <v>443</v>
      </c>
      <c r="E36" s="39" t="s">
        <v>806</v>
      </c>
      <c r="F36" s="39" t="s">
        <v>536</v>
      </c>
      <c r="G36" s="39" t="s">
        <v>49</v>
      </c>
      <c r="H36" s="39" t="s">
        <v>3843</v>
      </c>
      <c r="I36" s="39" t="s">
        <v>3844</v>
      </c>
      <c r="J36" s="39" t="s">
        <v>3845</v>
      </c>
      <c r="K36" s="26" t="s">
        <v>3846</v>
      </c>
      <c r="L36" s="26" t="s">
        <v>3847</v>
      </c>
      <c r="M36" s="26" t="s">
        <v>3848</v>
      </c>
      <c r="N36" s="26" t="s">
        <v>1211</v>
      </c>
      <c r="R36" s="26" t="s">
        <v>1458</v>
      </c>
      <c r="S36" s="26" t="s">
        <v>3849</v>
      </c>
      <c r="T36" s="26" t="s">
        <v>1027</v>
      </c>
      <c r="U36" s="26">
        <v>2025.0</v>
      </c>
      <c r="V36" s="26" t="s">
        <v>620</v>
      </c>
      <c r="X36" s="26" t="s">
        <v>2220</v>
      </c>
    </row>
    <row r="37" ht="14.25" customHeight="1">
      <c r="A37" s="39" t="s">
        <v>807</v>
      </c>
      <c r="B37" s="39" t="s">
        <v>808</v>
      </c>
      <c r="C37" s="40" t="s">
        <v>616</v>
      </c>
      <c r="D37" s="39" t="s">
        <v>426</v>
      </c>
      <c r="E37" s="39" t="s">
        <v>809</v>
      </c>
      <c r="F37" s="39" t="s">
        <v>189</v>
      </c>
      <c r="G37" s="39" t="s">
        <v>49</v>
      </c>
      <c r="H37" s="39" t="s">
        <v>3850</v>
      </c>
      <c r="I37" s="39" t="s">
        <v>3851</v>
      </c>
      <c r="J37" s="39" t="s">
        <v>3852</v>
      </c>
      <c r="K37" s="26" t="s">
        <v>3853</v>
      </c>
      <c r="L37" s="26" t="s">
        <v>3854</v>
      </c>
      <c r="M37" s="26" t="s">
        <v>2216</v>
      </c>
      <c r="N37" s="26" t="s">
        <v>1211</v>
      </c>
      <c r="R37" s="26" t="s">
        <v>1458</v>
      </c>
      <c r="S37" s="26" t="s">
        <v>3855</v>
      </c>
      <c r="T37" s="26" t="s">
        <v>1027</v>
      </c>
      <c r="U37" s="26">
        <v>2025.0</v>
      </c>
      <c r="V37" s="26" t="s">
        <v>1355</v>
      </c>
      <c r="X37" s="26" t="s">
        <v>2220</v>
      </c>
    </row>
    <row r="38" ht="14.25" customHeight="1">
      <c r="A38" s="333" t="s">
        <v>889</v>
      </c>
      <c r="B38" s="333" t="s">
        <v>890</v>
      </c>
      <c r="C38" s="334" t="s">
        <v>891</v>
      </c>
      <c r="D38" s="333" t="s">
        <v>892</v>
      </c>
      <c r="E38" s="333" t="s">
        <v>514</v>
      </c>
      <c r="F38" s="333" t="s">
        <v>102</v>
      </c>
      <c r="G38" s="333" t="s">
        <v>49</v>
      </c>
      <c r="H38" s="333"/>
      <c r="I38" s="335"/>
      <c r="J38" s="333"/>
      <c r="K38" s="333"/>
      <c r="L38" s="333"/>
      <c r="M38" s="335"/>
      <c r="N38" s="333" t="s">
        <v>1458</v>
      </c>
      <c r="O38" s="326" t="s">
        <v>3856</v>
      </c>
      <c r="P38" s="325"/>
      <c r="Q38" s="325"/>
      <c r="R38" s="325"/>
      <c r="S38" s="325"/>
      <c r="T38" s="325"/>
      <c r="U38" s="325"/>
      <c r="V38" s="325"/>
      <c r="W38" s="325"/>
      <c r="X38" s="325"/>
      <c r="Y38" s="325"/>
      <c r="Z38" s="325"/>
      <c r="AA38" s="325"/>
      <c r="AB38" s="325"/>
      <c r="AC38" s="325"/>
    </row>
    <row r="39" ht="14.25" customHeight="1">
      <c r="A39" s="330" t="s">
        <v>909</v>
      </c>
      <c r="B39" s="330" t="s">
        <v>910</v>
      </c>
      <c r="C39" s="331" t="s">
        <v>891</v>
      </c>
      <c r="D39" s="330" t="s">
        <v>907</v>
      </c>
      <c r="F39" s="330" t="s">
        <v>102</v>
      </c>
      <c r="G39" s="330" t="s">
        <v>49</v>
      </c>
      <c r="H39" s="330"/>
      <c r="J39" s="330"/>
      <c r="K39" s="330"/>
      <c r="L39" s="330"/>
      <c r="M39" s="332"/>
      <c r="N39" s="330" t="s">
        <v>1458</v>
      </c>
      <c r="O39" s="316" t="s">
        <v>3857</v>
      </c>
      <c r="P39" s="315"/>
      <c r="Q39" s="315"/>
      <c r="R39" s="316" t="s">
        <v>1458</v>
      </c>
      <c r="S39" s="315"/>
      <c r="T39" s="316" t="s">
        <v>1324</v>
      </c>
      <c r="U39" s="316">
        <v>2022.0</v>
      </c>
      <c r="V39" s="315"/>
      <c r="W39" s="315"/>
      <c r="X39" s="315"/>
      <c r="Y39" s="315"/>
      <c r="Z39" s="315"/>
      <c r="AA39" s="315"/>
      <c r="AB39" s="315"/>
      <c r="AC39" s="315"/>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943</v>
      </c>
      <c r="F1" s="55" t="s">
        <v>3858</v>
      </c>
      <c r="G1" s="308" t="s">
        <v>61</v>
      </c>
      <c r="H1" s="308" t="s">
        <v>62</v>
      </c>
      <c r="I1" s="308" t="s">
        <v>3220</v>
      </c>
      <c r="J1" s="309" t="s">
        <v>3221</v>
      </c>
      <c r="K1" s="309" t="s">
        <v>3222</v>
      </c>
      <c r="L1" s="308" t="s">
        <v>3223</v>
      </c>
      <c r="M1" s="310" t="s">
        <v>3662</v>
      </c>
      <c r="N1" s="309" t="s">
        <v>3225</v>
      </c>
      <c r="O1" s="308" t="s">
        <v>3226</v>
      </c>
      <c r="P1" s="308" t="s">
        <v>3227</v>
      </c>
      <c r="Q1" s="308" t="s">
        <v>3228</v>
      </c>
      <c r="R1" s="308" t="s">
        <v>3229</v>
      </c>
      <c r="S1" s="54" t="s">
        <v>3230</v>
      </c>
      <c r="T1" s="56" t="s">
        <v>944</v>
      </c>
      <c r="U1" s="311" t="s">
        <v>3232</v>
      </c>
      <c r="V1" s="311" t="s">
        <v>3859</v>
      </c>
      <c r="W1" s="311" t="s">
        <v>3695</v>
      </c>
      <c r="X1" s="311" t="s">
        <v>62</v>
      </c>
      <c r="Y1" s="311" t="s">
        <v>950</v>
      </c>
      <c r="Z1" s="312" t="s">
        <v>3236</v>
      </c>
    </row>
    <row r="2" ht="14.25" customHeight="1">
      <c r="A2" s="313" t="s">
        <v>344</v>
      </c>
      <c r="B2" s="313" t="s">
        <v>345</v>
      </c>
      <c r="C2" s="313" t="s">
        <v>88</v>
      </c>
      <c r="D2" s="313" t="s">
        <v>201</v>
      </c>
      <c r="E2" s="336" t="s">
        <v>3860</v>
      </c>
      <c r="F2" s="313"/>
      <c r="G2" s="313" t="s">
        <v>346</v>
      </c>
      <c r="H2" s="313" t="s">
        <v>209</v>
      </c>
      <c r="I2" s="313" t="s">
        <v>49</v>
      </c>
      <c r="J2" s="314" t="s">
        <v>3861</v>
      </c>
      <c r="K2" s="314" t="s">
        <v>3862</v>
      </c>
      <c r="L2" s="314" t="s">
        <v>3863</v>
      </c>
      <c r="M2" s="314" t="s">
        <v>3864</v>
      </c>
      <c r="N2" s="314" t="s">
        <v>3865</v>
      </c>
      <c r="O2" s="314" t="s">
        <v>3866</v>
      </c>
      <c r="P2" s="314" t="s">
        <v>963</v>
      </c>
      <c r="Q2" s="314" t="s">
        <v>3867</v>
      </c>
      <c r="R2" s="314" t="s">
        <v>2992</v>
      </c>
      <c r="S2" s="313"/>
      <c r="T2" s="314" t="s">
        <v>963</v>
      </c>
      <c r="U2" s="314"/>
      <c r="V2" s="314" t="s">
        <v>3868</v>
      </c>
      <c r="W2" s="314" t="s">
        <v>3869</v>
      </c>
      <c r="X2" s="314"/>
      <c r="Y2" s="314" t="s">
        <v>1217</v>
      </c>
      <c r="Z2" s="313"/>
      <c r="AA2" s="313"/>
      <c r="AB2" s="313"/>
      <c r="AC2" s="313"/>
      <c r="AD2" s="313"/>
    </row>
    <row r="3" ht="14.25" customHeight="1">
      <c r="A3" s="37" t="s">
        <v>348</v>
      </c>
      <c r="B3" s="37" t="s">
        <v>349</v>
      </c>
      <c r="C3" s="37" t="s">
        <v>88</v>
      </c>
      <c r="D3" s="37" t="s">
        <v>179</v>
      </c>
      <c r="E3" s="139" t="s">
        <v>1441</v>
      </c>
      <c r="G3" s="37" t="s">
        <v>350</v>
      </c>
      <c r="H3" s="37" t="s">
        <v>189</v>
      </c>
      <c r="I3" s="37" t="s">
        <v>49</v>
      </c>
      <c r="J3" s="26" t="s">
        <v>3870</v>
      </c>
      <c r="K3" s="26" t="s">
        <v>3871</v>
      </c>
      <c r="L3" s="26" t="s">
        <v>3872</v>
      </c>
      <c r="M3" s="26" t="s">
        <v>3873</v>
      </c>
      <c r="N3" s="26" t="s">
        <v>998</v>
      </c>
      <c r="O3" s="26" t="s">
        <v>3874</v>
      </c>
      <c r="P3" s="26" t="s">
        <v>931</v>
      </c>
      <c r="R3" s="26" t="s">
        <v>2992</v>
      </c>
      <c r="S3" s="26" t="s">
        <v>3875</v>
      </c>
      <c r="T3" s="26" t="s">
        <v>963</v>
      </c>
      <c r="U3" s="26"/>
      <c r="V3" s="26" t="s">
        <v>3868</v>
      </c>
      <c r="W3" s="26" t="s">
        <v>3876</v>
      </c>
      <c r="X3" s="26"/>
      <c r="Y3" s="26" t="s">
        <v>1027</v>
      </c>
    </row>
    <row r="4" ht="14.25" customHeight="1">
      <c r="A4" s="37" t="s">
        <v>351</v>
      </c>
      <c r="B4" s="37" t="s">
        <v>352</v>
      </c>
      <c r="C4" s="37" t="s">
        <v>88</v>
      </c>
      <c r="D4" s="37" t="s">
        <v>353</v>
      </c>
      <c r="E4" s="139" t="s">
        <v>1445</v>
      </c>
      <c r="F4" s="26">
        <v>12.0</v>
      </c>
      <c r="G4" s="37" t="s">
        <v>162</v>
      </c>
      <c r="H4" s="37" t="s">
        <v>354</v>
      </c>
      <c r="I4" s="37" t="s">
        <v>49</v>
      </c>
      <c r="J4" s="26" t="s">
        <v>3877</v>
      </c>
      <c r="K4" s="26" t="s">
        <v>3878</v>
      </c>
      <c r="L4" s="26" t="s">
        <v>3879</v>
      </c>
      <c r="M4" s="26" t="s">
        <v>3880</v>
      </c>
      <c r="N4" s="26" t="s">
        <v>998</v>
      </c>
      <c r="O4" s="26" t="s">
        <v>3881</v>
      </c>
      <c r="P4" s="26" t="s">
        <v>931</v>
      </c>
      <c r="R4" s="26" t="s">
        <v>2992</v>
      </c>
      <c r="T4" s="26" t="s">
        <v>963</v>
      </c>
      <c r="U4" s="26"/>
      <c r="V4" s="26" t="s">
        <v>3868</v>
      </c>
      <c r="W4" s="26" t="s">
        <v>3882</v>
      </c>
      <c r="X4" s="26"/>
      <c r="Y4" s="26" t="s">
        <v>3883</v>
      </c>
    </row>
    <row r="5" ht="14.25" customHeight="1">
      <c r="A5" s="337" t="s">
        <v>3884</v>
      </c>
      <c r="H5" s="337"/>
      <c r="R5" s="37"/>
    </row>
    <row r="6" ht="14.25" customHeight="1">
      <c r="A6" s="37" t="s">
        <v>355</v>
      </c>
      <c r="B6" s="37" t="s">
        <v>356</v>
      </c>
      <c r="C6" s="37" t="s">
        <v>88</v>
      </c>
      <c r="D6" s="37" t="s">
        <v>357</v>
      </c>
      <c r="E6" s="122" t="s">
        <v>1449</v>
      </c>
      <c r="G6" s="37" t="s">
        <v>358</v>
      </c>
      <c r="H6" s="37" t="s">
        <v>189</v>
      </c>
      <c r="I6" s="37" t="s">
        <v>49</v>
      </c>
      <c r="J6" s="26" t="s">
        <v>3885</v>
      </c>
      <c r="K6" s="26" t="s">
        <v>3886</v>
      </c>
      <c r="L6" s="26" t="s">
        <v>3887</v>
      </c>
      <c r="M6" s="26" t="s">
        <v>3888</v>
      </c>
      <c r="N6" s="26" t="s">
        <v>3889</v>
      </c>
      <c r="O6" s="26" t="s">
        <v>3890</v>
      </c>
      <c r="P6" s="26" t="s">
        <v>931</v>
      </c>
      <c r="R6" s="26" t="s">
        <v>2992</v>
      </c>
      <c r="T6" s="26" t="s">
        <v>963</v>
      </c>
      <c r="U6" s="26"/>
      <c r="V6" s="26" t="s">
        <v>3891</v>
      </c>
      <c r="W6" s="26" t="s">
        <v>3892</v>
      </c>
      <c r="X6" s="26"/>
      <c r="Y6" s="26" t="s">
        <v>1457</v>
      </c>
    </row>
    <row r="7" ht="14.25" customHeight="1">
      <c r="A7" s="37" t="s">
        <v>359</v>
      </c>
      <c r="B7" s="37" t="s">
        <v>360</v>
      </c>
      <c r="C7" s="37" t="s">
        <v>88</v>
      </c>
      <c r="D7" s="37" t="s">
        <v>122</v>
      </c>
      <c r="E7" s="139" t="s">
        <v>1455</v>
      </c>
      <c r="G7" s="37" t="s">
        <v>358</v>
      </c>
      <c r="H7" s="37" t="s">
        <v>221</v>
      </c>
      <c r="I7" s="37" t="s">
        <v>49</v>
      </c>
      <c r="J7" s="26" t="s">
        <v>3893</v>
      </c>
      <c r="K7" s="26" t="s">
        <v>3886</v>
      </c>
      <c r="L7" s="26" t="s">
        <v>3894</v>
      </c>
      <c r="M7" s="26" t="s">
        <v>3888</v>
      </c>
      <c r="N7" s="26" t="s">
        <v>3895</v>
      </c>
      <c r="O7" s="26" t="s">
        <v>3896</v>
      </c>
      <c r="P7" s="26" t="s">
        <v>931</v>
      </c>
      <c r="R7" s="26" t="s">
        <v>2992</v>
      </c>
      <c r="T7" s="26" t="s">
        <v>963</v>
      </c>
      <c r="V7" s="26" t="s">
        <v>3897</v>
      </c>
      <c r="W7" s="26" t="s">
        <v>3898</v>
      </c>
      <c r="Y7" s="26" t="s">
        <v>1457</v>
      </c>
    </row>
    <row r="8" ht="14.25" customHeight="1">
      <c r="A8" s="325" t="s">
        <v>361</v>
      </c>
      <c r="B8" s="325" t="s">
        <v>362</v>
      </c>
      <c r="C8" s="325" t="s">
        <v>88</v>
      </c>
      <c r="D8" s="325" t="s">
        <v>363</v>
      </c>
      <c r="E8" s="338" t="s">
        <v>3899</v>
      </c>
      <c r="F8" s="325"/>
      <c r="G8" s="325" t="s">
        <v>142</v>
      </c>
      <c r="H8" s="325" t="s">
        <v>364</v>
      </c>
      <c r="I8" s="325" t="s">
        <v>49</v>
      </c>
      <c r="J8" s="326" t="s">
        <v>2216</v>
      </c>
      <c r="K8" s="326" t="s">
        <v>2216</v>
      </c>
      <c r="L8" s="326" t="s">
        <v>2216</v>
      </c>
      <c r="M8" s="326" t="s">
        <v>2216</v>
      </c>
      <c r="N8" s="326" t="s">
        <v>2216</v>
      </c>
      <c r="O8" s="326" t="s">
        <v>2216</v>
      </c>
      <c r="P8" s="326" t="s">
        <v>2216</v>
      </c>
      <c r="Q8" s="326" t="s">
        <v>2216</v>
      </c>
      <c r="R8" s="325"/>
      <c r="S8" s="326" t="s">
        <v>3072</v>
      </c>
      <c r="T8" s="325"/>
      <c r="U8" s="325"/>
      <c r="V8" s="325"/>
      <c r="W8" s="325"/>
      <c r="X8" s="325"/>
      <c r="Y8" s="325"/>
      <c r="Z8" s="325"/>
      <c r="AA8" s="325"/>
      <c r="AB8" s="325"/>
      <c r="AC8" s="325"/>
      <c r="AD8" s="325"/>
    </row>
    <row r="9" ht="14.25" customHeight="1">
      <c r="A9" s="37" t="s">
        <v>365</v>
      </c>
      <c r="B9" s="37" t="s">
        <v>366</v>
      </c>
      <c r="C9" s="37" t="s">
        <v>88</v>
      </c>
      <c r="D9" s="37" t="s">
        <v>367</v>
      </c>
      <c r="E9" s="139" t="s">
        <v>1461</v>
      </c>
      <c r="G9" s="37" t="s">
        <v>368</v>
      </c>
      <c r="H9" s="37" t="s">
        <v>369</v>
      </c>
      <c r="I9" s="37" t="s">
        <v>49</v>
      </c>
      <c r="J9" s="26" t="s">
        <v>3900</v>
      </c>
      <c r="K9" s="26" t="s">
        <v>3901</v>
      </c>
      <c r="L9" s="26" t="s">
        <v>3902</v>
      </c>
      <c r="M9" s="26" t="s">
        <v>3903</v>
      </c>
      <c r="N9" s="26" t="s">
        <v>3904</v>
      </c>
      <c r="O9" s="26" t="s">
        <v>3905</v>
      </c>
      <c r="P9" s="26" t="s">
        <v>931</v>
      </c>
      <c r="R9" s="26" t="s">
        <v>2992</v>
      </c>
      <c r="S9" s="26" t="s">
        <v>3906</v>
      </c>
      <c r="T9" s="26" t="s">
        <v>963</v>
      </c>
      <c r="V9" s="26" t="s">
        <v>3907</v>
      </c>
      <c r="W9" s="26" t="s">
        <v>3908</v>
      </c>
      <c r="Y9" s="26" t="s">
        <v>1027</v>
      </c>
    </row>
    <row r="10" ht="14.25" customHeight="1">
      <c r="A10" s="37" t="s">
        <v>370</v>
      </c>
      <c r="B10" s="37" t="s">
        <v>371</v>
      </c>
      <c r="C10" s="37" t="s">
        <v>88</v>
      </c>
      <c r="D10" s="37" t="s">
        <v>372</v>
      </c>
      <c r="E10" s="122" t="s">
        <v>1468</v>
      </c>
      <c r="G10" s="37" t="s">
        <v>101</v>
      </c>
      <c r="H10" s="37" t="s">
        <v>373</v>
      </c>
      <c r="I10" s="37" t="s">
        <v>49</v>
      </c>
      <c r="J10" s="26" t="s">
        <v>3909</v>
      </c>
      <c r="K10" s="26" t="s">
        <v>3910</v>
      </c>
      <c r="L10" s="26" t="s">
        <v>3911</v>
      </c>
      <c r="M10" s="26" t="s">
        <v>3912</v>
      </c>
      <c r="N10" s="26" t="s">
        <v>3913</v>
      </c>
      <c r="O10" s="26" t="s">
        <v>3914</v>
      </c>
      <c r="P10" s="26" t="s">
        <v>931</v>
      </c>
      <c r="R10" s="26" t="s">
        <v>2992</v>
      </c>
      <c r="T10" s="26" t="s">
        <v>963</v>
      </c>
      <c r="V10" s="26" t="s">
        <v>3915</v>
      </c>
      <c r="W10" s="26" t="s">
        <v>3916</v>
      </c>
      <c r="Y10" s="26" t="s">
        <v>1027</v>
      </c>
    </row>
    <row r="11" ht="14.25" customHeight="1">
      <c r="A11" s="313" t="s">
        <v>374</v>
      </c>
      <c r="B11" s="313" t="s">
        <v>375</v>
      </c>
      <c r="C11" s="313" t="s">
        <v>88</v>
      </c>
      <c r="D11" s="313" t="s">
        <v>174</v>
      </c>
      <c r="E11" s="339" t="s">
        <v>3917</v>
      </c>
      <c r="F11" s="313"/>
      <c r="G11" s="313" t="s">
        <v>101</v>
      </c>
      <c r="H11" s="313" t="s">
        <v>376</v>
      </c>
      <c r="I11" s="313" t="s">
        <v>49</v>
      </c>
      <c r="J11" s="314" t="s">
        <v>3918</v>
      </c>
      <c r="K11" s="314" t="s">
        <v>3919</v>
      </c>
      <c r="L11" s="314" t="s">
        <v>3920</v>
      </c>
      <c r="M11" s="314" t="s">
        <v>3921</v>
      </c>
      <c r="N11" s="314" t="s">
        <v>3922</v>
      </c>
      <c r="O11" s="314" t="s">
        <v>3923</v>
      </c>
      <c r="P11" s="314" t="s">
        <v>963</v>
      </c>
      <c r="Q11" s="314" t="s">
        <v>3924</v>
      </c>
      <c r="R11" s="314" t="s">
        <v>2992</v>
      </c>
      <c r="S11" s="313"/>
      <c r="T11" s="314" t="s">
        <v>963</v>
      </c>
      <c r="U11" s="313"/>
      <c r="V11" s="314" t="s">
        <v>3925</v>
      </c>
      <c r="W11" s="314" t="s">
        <v>3926</v>
      </c>
      <c r="X11" s="313"/>
      <c r="Y11" s="314" t="s">
        <v>1027</v>
      </c>
      <c r="Z11" s="313"/>
      <c r="AA11" s="313"/>
      <c r="AB11" s="313"/>
      <c r="AC11" s="313"/>
      <c r="AD11" s="313"/>
    </row>
    <row r="12" ht="14.25" customHeight="1">
      <c r="A12" s="37" t="s">
        <v>377</v>
      </c>
      <c r="B12" s="37" t="s">
        <v>378</v>
      </c>
      <c r="C12" s="37" t="s">
        <v>88</v>
      </c>
      <c r="D12" s="37" t="s">
        <v>379</v>
      </c>
      <c r="E12" s="139" t="s">
        <v>1473</v>
      </c>
      <c r="G12" s="37" t="s">
        <v>380</v>
      </c>
      <c r="H12" s="37" t="s">
        <v>189</v>
      </c>
      <c r="I12" s="37" t="s">
        <v>49</v>
      </c>
      <c r="J12" s="26" t="s">
        <v>3927</v>
      </c>
      <c r="K12" s="26" t="s">
        <v>3928</v>
      </c>
      <c r="L12" s="26" t="s">
        <v>3929</v>
      </c>
      <c r="M12" s="26" t="s">
        <v>3930</v>
      </c>
      <c r="N12" s="26" t="s">
        <v>3931</v>
      </c>
      <c r="O12" s="26" t="s">
        <v>3932</v>
      </c>
      <c r="P12" s="26" t="s">
        <v>931</v>
      </c>
      <c r="R12" s="26" t="s">
        <v>2992</v>
      </c>
      <c r="S12" s="26" t="s">
        <v>3933</v>
      </c>
      <c r="T12" s="26" t="s">
        <v>963</v>
      </c>
      <c r="V12" s="26" t="s">
        <v>3897</v>
      </c>
      <c r="W12" s="26" t="s">
        <v>3934</v>
      </c>
      <c r="Y12" s="26" t="s">
        <v>1027</v>
      </c>
    </row>
    <row r="13" ht="14.25" customHeight="1">
      <c r="A13" s="37" t="s">
        <v>381</v>
      </c>
      <c r="B13" s="37" t="s">
        <v>382</v>
      </c>
      <c r="C13" s="37" t="s">
        <v>88</v>
      </c>
      <c r="D13" s="37" t="s">
        <v>383</v>
      </c>
      <c r="E13" s="139" t="s">
        <v>1480</v>
      </c>
      <c r="G13" s="37" t="s">
        <v>384</v>
      </c>
      <c r="H13" s="37" t="s">
        <v>385</v>
      </c>
      <c r="I13" s="37" t="s">
        <v>49</v>
      </c>
      <c r="J13" s="26" t="s">
        <v>3935</v>
      </c>
      <c r="K13" s="26" t="s">
        <v>3936</v>
      </c>
      <c r="L13" s="26" t="s">
        <v>3937</v>
      </c>
      <c r="M13" s="26" t="s">
        <v>3938</v>
      </c>
      <c r="N13" s="26" t="s">
        <v>3939</v>
      </c>
      <c r="O13" s="26" t="s">
        <v>3940</v>
      </c>
      <c r="P13" s="26" t="s">
        <v>931</v>
      </c>
      <c r="R13" s="26" t="s">
        <v>2992</v>
      </c>
      <c r="S13" s="26" t="s">
        <v>3941</v>
      </c>
      <c r="T13" s="26" t="s">
        <v>963</v>
      </c>
      <c r="V13" s="26" t="s">
        <v>3942</v>
      </c>
      <c r="W13" s="26" t="s">
        <v>3943</v>
      </c>
      <c r="Y13" s="26" t="s">
        <v>1027</v>
      </c>
    </row>
    <row r="14" ht="14.25" customHeight="1">
      <c r="A14" s="37" t="s">
        <v>386</v>
      </c>
      <c r="B14" s="37" t="s">
        <v>387</v>
      </c>
      <c r="C14" s="37" t="s">
        <v>88</v>
      </c>
      <c r="D14" s="37" t="s">
        <v>379</v>
      </c>
      <c r="E14" s="139" t="s">
        <v>1485</v>
      </c>
      <c r="G14" s="37" t="s">
        <v>388</v>
      </c>
      <c r="H14" s="37" t="s">
        <v>389</v>
      </c>
      <c r="I14" s="37" t="s">
        <v>49</v>
      </c>
      <c r="J14" s="26" t="s">
        <v>3944</v>
      </c>
      <c r="K14" s="26" t="s">
        <v>3945</v>
      </c>
      <c r="L14" s="26" t="s">
        <v>3946</v>
      </c>
      <c r="M14" s="26" t="s">
        <v>3947</v>
      </c>
      <c r="N14" s="26" t="s">
        <v>3948</v>
      </c>
      <c r="O14" s="26" t="s">
        <v>3949</v>
      </c>
      <c r="P14" s="26" t="s">
        <v>931</v>
      </c>
      <c r="R14" s="26" t="s">
        <v>2992</v>
      </c>
      <c r="T14" s="26" t="s">
        <v>963</v>
      </c>
      <c r="V14" s="26" t="s">
        <v>3950</v>
      </c>
      <c r="W14" s="26" t="s">
        <v>3951</v>
      </c>
      <c r="Y14" s="26" t="s">
        <v>1027</v>
      </c>
    </row>
    <row r="15" ht="14.25" customHeight="1">
      <c r="A15" s="37" t="s">
        <v>390</v>
      </c>
      <c r="B15" s="37" t="s">
        <v>391</v>
      </c>
      <c r="C15" s="37" t="s">
        <v>88</v>
      </c>
      <c r="D15" s="37" t="s">
        <v>392</v>
      </c>
      <c r="E15" s="122" t="s">
        <v>1493</v>
      </c>
      <c r="H15" s="37" t="s">
        <v>393</v>
      </c>
      <c r="I15" s="37" t="s">
        <v>49</v>
      </c>
      <c r="J15" s="26" t="s">
        <v>3952</v>
      </c>
      <c r="K15" s="26" t="s">
        <v>3953</v>
      </c>
      <c r="L15" s="26" t="s">
        <v>3954</v>
      </c>
      <c r="M15" s="26" t="s">
        <v>3955</v>
      </c>
      <c r="N15" s="26" t="s">
        <v>3956</v>
      </c>
      <c r="O15" s="26" t="s">
        <v>3957</v>
      </c>
      <c r="P15" s="26" t="s">
        <v>931</v>
      </c>
      <c r="R15" s="26" t="s">
        <v>2992</v>
      </c>
      <c r="S15" s="26" t="s">
        <v>3958</v>
      </c>
      <c r="T15" s="26" t="s">
        <v>963</v>
      </c>
      <c r="V15" s="26" t="s">
        <v>3959</v>
      </c>
      <c r="W15" s="26" t="s">
        <v>3960</v>
      </c>
      <c r="Y15" s="26" t="s">
        <v>991</v>
      </c>
    </row>
    <row r="16" ht="14.25" customHeight="1">
      <c r="A16" s="37" t="s">
        <v>394</v>
      </c>
      <c r="B16" s="37" t="s">
        <v>395</v>
      </c>
      <c r="C16" s="37" t="s">
        <v>88</v>
      </c>
      <c r="D16" s="37" t="s">
        <v>396</v>
      </c>
      <c r="E16" s="122" t="s">
        <v>1499</v>
      </c>
      <c r="G16" s="37" t="s">
        <v>397</v>
      </c>
      <c r="H16" s="37" t="s">
        <v>398</v>
      </c>
      <c r="I16" s="340" t="s">
        <v>3961</v>
      </c>
      <c r="J16" s="26" t="s">
        <v>3962</v>
      </c>
      <c r="K16" s="26" t="s">
        <v>3963</v>
      </c>
      <c r="L16" s="26" t="s">
        <v>3964</v>
      </c>
      <c r="M16" s="26" t="s">
        <v>3965</v>
      </c>
      <c r="N16" s="26" t="s">
        <v>3261</v>
      </c>
      <c r="O16" s="26" t="s">
        <v>3966</v>
      </c>
      <c r="P16" s="26" t="s">
        <v>931</v>
      </c>
      <c r="R16" s="26" t="s">
        <v>2992</v>
      </c>
      <c r="T16" s="26" t="s">
        <v>963</v>
      </c>
      <c r="V16" s="26" t="s">
        <v>3967</v>
      </c>
      <c r="W16" s="26" t="s">
        <v>3968</v>
      </c>
      <c r="Y16" s="26" t="s">
        <v>1173</v>
      </c>
    </row>
    <row r="17" ht="14.25" customHeight="1">
      <c r="A17" s="37" t="s">
        <v>399</v>
      </c>
      <c r="B17" s="37" t="s">
        <v>400</v>
      </c>
      <c r="C17" s="37" t="s">
        <v>88</v>
      </c>
      <c r="D17" s="37" t="s">
        <v>401</v>
      </c>
      <c r="E17" s="139" t="s">
        <v>1507</v>
      </c>
      <c r="G17" s="37" t="s">
        <v>402</v>
      </c>
      <c r="H17" s="37" t="s">
        <v>403</v>
      </c>
      <c r="I17" s="37" t="s">
        <v>49</v>
      </c>
      <c r="J17" s="26" t="s">
        <v>3969</v>
      </c>
      <c r="K17" s="26" t="s">
        <v>3970</v>
      </c>
      <c r="L17" s="26" t="s">
        <v>3971</v>
      </c>
      <c r="M17" s="26" t="s">
        <v>3972</v>
      </c>
      <c r="N17" s="26" t="s">
        <v>3973</v>
      </c>
      <c r="O17" s="26" t="s">
        <v>3974</v>
      </c>
      <c r="P17" s="26" t="s">
        <v>931</v>
      </c>
      <c r="R17" s="26" t="s">
        <v>2992</v>
      </c>
      <c r="S17" s="26" t="s">
        <v>3975</v>
      </c>
      <c r="T17" s="26" t="s">
        <v>963</v>
      </c>
      <c r="V17" s="26" t="s">
        <v>3976</v>
      </c>
      <c r="W17" s="26" t="s">
        <v>3977</v>
      </c>
      <c r="Y17" s="26" t="s">
        <v>3978</v>
      </c>
    </row>
    <row r="18" ht="14.25" customHeight="1">
      <c r="A18" s="37" t="s">
        <v>404</v>
      </c>
      <c r="B18" s="37" t="s">
        <v>405</v>
      </c>
      <c r="C18" s="37" t="s">
        <v>88</v>
      </c>
      <c r="D18" s="37" t="s">
        <v>406</v>
      </c>
      <c r="E18" s="122" t="s">
        <v>1514</v>
      </c>
      <c r="G18" s="37" t="s">
        <v>265</v>
      </c>
      <c r="H18" s="37" t="s">
        <v>221</v>
      </c>
      <c r="I18" s="37" t="s">
        <v>49</v>
      </c>
      <c r="J18" s="26" t="s">
        <v>3979</v>
      </c>
      <c r="K18" s="26" t="s">
        <v>3980</v>
      </c>
      <c r="L18" s="26" t="s">
        <v>3981</v>
      </c>
      <c r="M18" s="26" t="s">
        <v>3982</v>
      </c>
      <c r="N18" s="26" t="s">
        <v>3983</v>
      </c>
      <c r="O18" s="26" t="s">
        <v>3984</v>
      </c>
      <c r="P18" s="26" t="s">
        <v>931</v>
      </c>
      <c r="R18" s="26" t="s">
        <v>2992</v>
      </c>
      <c r="S18" s="26" t="s">
        <v>3985</v>
      </c>
      <c r="T18" s="26" t="s">
        <v>963</v>
      </c>
      <c r="V18" s="26" t="s">
        <v>3986</v>
      </c>
      <c r="W18" s="26" t="s">
        <v>3987</v>
      </c>
      <c r="Y18" s="26" t="s">
        <v>3247</v>
      </c>
    </row>
    <row r="19" ht="14.25" customHeight="1">
      <c r="A19" s="9" t="s">
        <v>407</v>
      </c>
      <c r="B19" s="9" t="s">
        <v>408</v>
      </c>
      <c r="C19" s="9" t="s">
        <v>88</v>
      </c>
      <c r="D19" s="9" t="s">
        <v>409</v>
      </c>
      <c r="E19" s="341" t="s">
        <v>3988</v>
      </c>
      <c r="F19" s="9"/>
      <c r="G19" s="9"/>
      <c r="H19" s="9" t="s">
        <v>410</v>
      </c>
      <c r="I19" s="9" t="s">
        <v>49</v>
      </c>
      <c r="J19" s="318" t="s">
        <v>3989</v>
      </c>
      <c r="K19" s="318" t="s">
        <v>3990</v>
      </c>
      <c r="L19" s="9"/>
      <c r="M19" s="9"/>
      <c r="N19" s="9"/>
      <c r="O19" s="9"/>
      <c r="P19" s="318" t="s">
        <v>963</v>
      </c>
      <c r="Q19" s="318" t="s">
        <v>3991</v>
      </c>
      <c r="R19" s="318" t="s">
        <v>2992</v>
      </c>
      <c r="S19" s="9"/>
      <c r="T19" s="318" t="s">
        <v>963</v>
      </c>
      <c r="U19" s="9"/>
      <c r="V19" s="318" t="s">
        <v>620</v>
      </c>
      <c r="W19" s="318" t="s">
        <v>3992</v>
      </c>
      <c r="X19" s="9"/>
      <c r="Y19" s="318" t="s">
        <v>1780</v>
      </c>
      <c r="Z19" s="9"/>
      <c r="AA19" s="9"/>
      <c r="AB19" s="9"/>
      <c r="AC19" s="9"/>
      <c r="AD19" s="9"/>
    </row>
    <row r="20" ht="14.25" customHeight="1">
      <c r="A20" s="37" t="s">
        <v>411</v>
      </c>
      <c r="B20" s="37" t="s">
        <v>412</v>
      </c>
      <c r="C20" s="37" t="s">
        <v>88</v>
      </c>
      <c r="D20" s="37" t="s">
        <v>413</v>
      </c>
      <c r="E20" s="139" t="s">
        <v>1520</v>
      </c>
      <c r="G20" s="37" t="s">
        <v>414</v>
      </c>
      <c r="H20" s="37" t="s">
        <v>338</v>
      </c>
      <c r="I20" s="37" t="s">
        <v>49</v>
      </c>
      <c r="J20" s="26" t="s">
        <v>3993</v>
      </c>
      <c r="K20" s="26" t="s">
        <v>3994</v>
      </c>
      <c r="L20" s="26" t="s">
        <v>3995</v>
      </c>
      <c r="M20" s="26" t="s">
        <v>3996</v>
      </c>
      <c r="N20" s="26" t="s">
        <v>3997</v>
      </c>
      <c r="O20" s="26" t="s">
        <v>3998</v>
      </c>
      <c r="P20" s="26" t="s">
        <v>931</v>
      </c>
      <c r="R20" s="26" t="s">
        <v>2992</v>
      </c>
      <c r="T20" s="26" t="s">
        <v>963</v>
      </c>
      <c r="V20" s="26" t="s">
        <v>3986</v>
      </c>
      <c r="W20" s="26" t="s">
        <v>3999</v>
      </c>
      <c r="Y20" s="26" t="s">
        <v>1027</v>
      </c>
    </row>
    <row r="21" ht="14.25" customHeight="1">
      <c r="A21" s="327" t="s">
        <v>415</v>
      </c>
      <c r="B21" s="153" t="s">
        <v>416</v>
      </c>
      <c r="C21" s="153" t="s">
        <v>88</v>
      </c>
      <c r="D21" s="153" t="s">
        <v>417</v>
      </c>
      <c r="E21" s="208" t="s">
        <v>2008</v>
      </c>
      <c r="F21" s="153"/>
      <c r="G21" s="153" t="s">
        <v>418</v>
      </c>
      <c r="H21" s="153" t="s">
        <v>419</v>
      </c>
      <c r="I21" s="153" t="s">
        <v>49</v>
      </c>
      <c r="J21" s="153"/>
      <c r="K21" s="153"/>
      <c r="L21" s="153"/>
      <c r="M21" s="153"/>
      <c r="N21" s="153"/>
      <c r="O21" s="153"/>
      <c r="P21" s="153"/>
      <c r="Q21" s="153"/>
      <c r="R21" s="153"/>
      <c r="S21" s="153"/>
      <c r="T21" s="153"/>
      <c r="U21" s="153"/>
      <c r="V21" s="153"/>
      <c r="W21" s="153"/>
      <c r="X21" s="153"/>
      <c r="Y21" s="153"/>
      <c r="Z21" s="328"/>
    </row>
    <row r="22" ht="14.25" customHeight="1">
      <c r="A22" s="48" t="s">
        <v>420</v>
      </c>
      <c r="B22" s="37" t="s">
        <v>421</v>
      </c>
      <c r="C22" s="37" t="s">
        <v>88</v>
      </c>
      <c r="D22" s="37" t="s">
        <v>422</v>
      </c>
      <c r="E22" s="139" t="s">
        <v>4000</v>
      </c>
      <c r="G22" s="37" t="s">
        <v>423</v>
      </c>
      <c r="H22" s="37" t="s">
        <v>419</v>
      </c>
      <c r="I22" s="37" t="s">
        <v>49</v>
      </c>
      <c r="R22" s="37"/>
      <c r="Z22" s="342"/>
    </row>
    <row r="23" ht="14.25" customHeight="1">
      <c r="A23" s="50" t="s">
        <v>424</v>
      </c>
      <c r="B23" s="16" t="s">
        <v>425</v>
      </c>
      <c r="C23" s="16" t="s">
        <v>88</v>
      </c>
      <c r="D23" s="16" t="s">
        <v>426</v>
      </c>
      <c r="E23" s="127" t="s">
        <v>2012</v>
      </c>
      <c r="F23" s="16"/>
      <c r="G23" s="16" t="s">
        <v>300</v>
      </c>
      <c r="H23" s="16" t="s">
        <v>393</v>
      </c>
      <c r="I23" s="16" t="s">
        <v>49</v>
      </c>
      <c r="J23" s="16"/>
      <c r="K23" s="16"/>
      <c r="L23" s="16"/>
      <c r="M23" s="16"/>
      <c r="N23" s="16"/>
      <c r="O23" s="16"/>
      <c r="P23" s="16"/>
      <c r="Q23" s="16"/>
      <c r="R23" s="16"/>
      <c r="S23" s="16"/>
      <c r="T23" s="16"/>
      <c r="U23" s="16"/>
      <c r="V23" s="16"/>
      <c r="W23" s="16"/>
      <c r="X23" s="16"/>
      <c r="Y23" s="16"/>
      <c r="Z23" s="329"/>
    </row>
    <row r="24" ht="14.25" customHeight="1">
      <c r="A24" s="26" t="s">
        <v>4001</v>
      </c>
      <c r="R24" s="37"/>
    </row>
    <row r="25" ht="14.25" customHeight="1">
      <c r="A25" s="343" t="s">
        <v>635</v>
      </c>
      <c r="B25" s="343" t="s">
        <v>636</v>
      </c>
      <c r="C25" s="344" t="s">
        <v>616</v>
      </c>
      <c r="D25" s="343" t="s">
        <v>637</v>
      </c>
      <c r="E25" s="343"/>
      <c r="F25" s="343"/>
      <c r="G25" s="343" t="s">
        <v>638</v>
      </c>
      <c r="H25" s="343" t="s">
        <v>639</v>
      </c>
      <c r="I25" s="343" t="s">
        <v>49</v>
      </c>
      <c r="J25" s="343"/>
      <c r="K25" s="313"/>
      <c r="L25" s="313"/>
      <c r="M25" s="313"/>
      <c r="N25" s="313"/>
      <c r="O25" s="313"/>
      <c r="P25" s="314" t="s">
        <v>963</v>
      </c>
      <c r="Q25" s="314" t="s">
        <v>4002</v>
      </c>
      <c r="R25" s="314" t="s">
        <v>2992</v>
      </c>
      <c r="S25" s="313"/>
      <c r="T25" s="314" t="s">
        <v>963</v>
      </c>
      <c r="U25" s="313"/>
      <c r="V25" s="313"/>
      <c r="W25" s="313"/>
      <c r="X25" s="313"/>
      <c r="Y25" s="313"/>
      <c r="Z25" s="313"/>
      <c r="AA25" s="313"/>
      <c r="AB25" s="313"/>
      <c r="AC25" s="313"/>
      <c r="AD25" s="313"/>
    </row>
    <row r="26" ht="14.25" customHeight="1">
      <c r="A26" s="39" t="s">
        <v>640</v>
      </c>
      <c r="B26" s="39" t="s">
        <v>641</v>
      </c>
      <c r="C26" s="40" t="s">
        <v>616</v>
      </c>
      <c r="D26" s="39" t="s">
        <v>617</v>
      </c>
      <c r="E26" s="39"/>
      <c r="F26" s="39"/>
      <c r="G26" s="39" t="s">
        <v>642</v>
      </c>
      <c r="H26" s="39" t="s">
        <v>307</v>
      </c>
      <c r="I26" s="39" t="s">
        <v>49</v>
      </c>
      <c r="J26" s="39" t="s">
        <v>4003</v>
      </c>
      <c r="K26" s="26" t="s">
        <v>4004</v>
      </c>
      <c r="L26" s="26" t="s">
        <v>4005</v>
      </c>
      <c r="M26" s="26" t="s">
        <v>4006</v>
      </c>
      <c r="N26" s="26" t="s">
        <v>4007</v>
      </c>
      <c r="O26" s="26" t="s">
        <v>4008</v>
      </c>
      <c r="P26" s="26" t="s">
        <v>931</v>
      </c>
      <c r="R26" s="26" t="s">
        <v>2992</v>
      </c>
      <c r="S26" s="26" t="s">
        <v>4009</v>
      </c>
      <c r="T26" s="26" t="s">
        <v>963</v>
      </c>
      <c r="V26" s="26" t="s">
        <v>4010</v>
      </c>
      <c r="W26" s="26" t="s">
        <v>4011</v>
      </c>
      <c r="Y26" s="26" t="s">
        <v>1027</v>
      </c>
    </row>
    <row r="27" ht="14.25" customHeight="1">
      <c r="A27" s="330" t="s">
        <v>643</v>
      </c>
      <c r="B27" s="330" t="s">
        <v>644</v>
      </c>
      <c r="C27" s="331" t="s">
        <v>616</v>
      </c>
      <c r="D27" s="330" t="s">
        <v>645</v>
      </c>
      <c r="E27" s="330"/>
      <c r="F27" s="330"/>
      <c r="G27" s="330" t="s">
        <v>646</v>
      </c>
      <c r="H27" s="330" t="s">
        <v>233</v>
      </c>
      <c r="I27" s="330" t="s">
        <v>49</v>
      </c>
      <c r="J27" s="316" t="s">
        <v>4012</v>
      </c>
      <c r="K27" s="316" t="s">
        <v>4013</v>
      </c>
      <c r="L27" s="315"/>
      <c r="M27" s="315"/>
      <c r="N27" s="315"/>
      <c r="O27" s="315"/>
      <c r="P27" s="316" t="s">
        <v>963</v>
      </c>
      <c r="Q27" s="316" t="s">
        <v>4014</v>
      </c>
      <c r="R27" s="316" t="s">
        <v>2992</v>
      </c>
      <c r="S27" s="315"/>
      <c r="T27" s="316" t="s">
        <v>963</v>
      </c>
      <c r="U27" s="315"/>
      <c r="V27" s="315"/>
      <c r="W27" s="315"/>
      <c r="X27" s="315"/>
      <c r="Y27" s="315"/>
      <c r="Z27" s="315"/>
      <c r="AA27" s="315"/>
      <c r="AB27" s="315"/>
      <c r="AC27" s="315"/>
      <c r="AD27" s="315"/>
    </row>
    <row r="28" ht="14.25" customHeight="1">
      <c r="A28" s="39" t="s">
        <v>647</v>
      </c>
      <c r="B28" s="39" t="s">
        <v>648</v>
      </c>
      <c r="C28" s="40" t="s">
        <v>616</v>
      </c>
      <c r="D28" s="39" t="s">
        <v>224</v>
      </c>
      <c r="E28" s="39"/>
      <c r="F28" s="39"/>
      <c r="G28" s="39" t="s">
        <v>418</v>
      </c>
      <c r="H28" s="39" t="s">
        <v>189</v>
      </c>
      <c r="I28" s="39" t="s">
        <v>49</v>
      </c>
      <c r="J28" s="39" t="s">
        <v>4015</v>
      </c>
      <c r="K28" s="26" t="s">
        <v>4016</v>
      </c>
      <c r="L28" s="26" t="s">
        <v>4017</v>
      </c>
      <c r="M28" s="26" t="s">
        <v>4018</v>
      </c>
      <c r="N28" s="26" t="s">
        <v>4019</v>
      </c>
      <c r="O28" s="26" t="s">
        <v>4020</v>
      </c>
      <c r="P28" s="26" t="s">
        <v>931</v>
      </c>
      <c r="R28" s="26" t="s">
        <v>2992</v>
      </c>
      <c r="T28" s="26" t="s">
        <v>963</v>
      </c>
      <c r="V28" s="26" t="s">
        <v>4021</v>
      </c>
      <c r="W28" s="26" t="s">
        <v>4022</v>
      </c>
      <c r="Y28" s="26" t="s">
        <v>1027</v>
      </c>
    </row>
    <row r="29" ht="14.25" customHeight="1">
      <c r="A29" s="39" t="s">
        <v>649</v>
      </c>
      <c r="B29" s="39" t="s">
        <v>650</v>
      </c>
      <c r="C29" s="40" t="s">
        <v>616</v>
      </c>
      <c r="D29" s="39" t="s">
        <v>166</v>
      </c>
      <c r="E29" s="39"/>
      <c r="F29" s="39"/>
      <c r="G29" s="39" t="s">
        <v>651</v>
      </c>
      <c r="H29" s="39" t="s">
        <v>189</v>
      </c>
      <c r="I29" s="39" t="s">
        <v>49</v>
      </c>
      <c r="J29" s="39" t="s">
        <v>4023</v>
      </c>
      <c r="K29" s="26" t="s">
        <v>4024</v>
      </c>
      <c r="L29" s="26" t="s">
        <v>4025</v>
      </c>
      <c r="M29" s="26" t="s">
        <v>4026</v>
      </c>
      <c r="N29" s="26" t="s">
        <v>4027</v>
      </c>
      <c r="O29" s="26" t="s">
        <v>4028</v>
      </c>
      <c r="P29" s="26" t="s">
        <v>931</v>
      </c>
      <c r="R29" s="26" t="s">
        <v>2992</v>
      </c>
      <c r="S29" s="26" t="s">
        <v>4029</v>
      </c>
      <c r="T29" s="26" t="s">
        <v>963</v>
      </c>
      <c r="V29" s="26" t="s">
        <v>4030</v>
      </c>
      <c r="W29" s="26" t="s">
        <v>4031</v>
      </c>
      <c r="Y29" s="26" t="s">
        <v>1027</v>
      </c>
    </row>
    <row r="30" ht="14.25" customHeight="1">
      <c r="A30" s="39" t="s">
        <v>722</v>
      </c>
      <c r="B30" s="39" t="s">
        <v>723</v>
      </c>
      <c r="C30" s="40" t="s">
        <v>616</v>
      </c>
      <c r="D30" s="39" t="s">
        <v>100</v>
      </c>
      <c r="E30" s="39"/>
      <c r="F30" s="39"/>
      <c r="G30" s="39" t="s">
        <v>418</v>
      </c>
      <c r="H30" s="39" t="s">
        <v>142</v>
      </c>
      <c r="I30" s="39" t="s">
        <v>49</v>
      </c>
      <c r="J30" s="39" t="s">
        <v>4032</v>
      </c>
      <c r="K30" s="26" t="s">
        <v>4033</v>
      </c>
      <c r="L30" s="26" t="s">
        <v>4034</v>
      </c>
      <c r="M30" s="26" t="s">
        <v>4035</v>
      </c>
      <c r="N30" s="26" t="s">
        <v>3939</v>
      </c>
      <c r="O30" s="26" t="s">
        <v>4036</v>
      </c>
      <c r="P30" s="26" t="s">
        <v>931</v>
      </c>
      <c r="R30" s="26" t="s">
        <v>2992</v>
      </c>
      <c r="T30" s="26" t="s">
        <v>963</v>
      </c>
      <c r="V30" s="26" t="s">
        <v>4010</v>
      </c>
      <c r="W30" s="26" t="s">
        <v>4037</v>
      </c>
      <c r="Y30" s="26" t="s">
        <v>1027</v>
      </c>
    </row>
    <row r="31" ht="14.25" customHeight="1">
      <c r="A31" s="343" t="s">
        <v>724</v>
      </c>
      <c r="B31" s="343" t="s">
        <v>725</v>
      </c>
      <c r="C31" s="344" t="s">
        <v>616</v>
      </c>
      <c r="D31" s="343" t="s">
        <v>179</v>
      </c>
      <c r="E31" s="343"/>
      <c r="F31" s="343"/>
      <c r="G31" s="343" t="s">
        <v>726</v>
      </c>
      <c r="H31" s="343" t="s">
        <v>221</v>
      </c>
      <c r="I31" s="343" t="s">
        <v>49</v>
      </c>
      <c r="J31" s="343" t="s">
        <v>4038</v>
      </c>
      <c r="K31" s="314" t="s">
        <v>4039</v>
      </c>
      <c r="L31" s="313"/>
      <c r="M31" s="313"/>
      <c r="N31" s="313"/>
      <c r="O31" s="313"/>
      <c r="P31" s="314" t="s">
        <v>963</v>
      </c>
      <c r="Q31" s="314" t="s">
        <v>4040</v>
      </c>
      <c r="R31" s="314" t="s">
        <v>2992</v>
      </c>
      <c r="S31" s="313"/>
      <c r="T31" s="314" t="s">
        <v>963</v>
      </c>
      <c r="U31" s="313"/>
      <c r="V31" s="313"/>
      <c r="W31" s="313"/>
      <c r="X31" s="313"/>
      <c r="Y31" s="313"/>
      <c r="Z31" s="313"/>
      <c r="AA31" s="313"/>
      <c r="AB31" s="313"/>
      <c r="AC31" s="313"/>
      <c r="AD31" s="313"/>
    </row>
    <row r="32" ht="14.25" customHeight="1">
      <c r="A32" s="39" t="s">
        <v>743</v>
      </c>
      <c r="B32" s="39" t="s">
        <v>744</v>
      </c>
      <c r="C32" s="40" t="s">
        <v>616</v>
      </c>
      <c r="D32" s="39" t="s">
        <v>745</v>
      </c>
      <c r="E32" s="39"/>
      <c r="F32" s="39"/>
      <c r="G32" s="39" t="s">
        <v>746</v>
      </c>
      <c r="H32" s="39" t="s">
        <v>747</v>
      </c>
      <c r="I32" s="39" t="s">
        <v>49</v>
      </c>
      <c r="J32" s="39" t="s">
        <v>4041</v>
      </c>
      <c r="K32" s="26" t="s">
        <v>4042</v>
      </c>
      <c r="L32" s="26" t="s">
        <v>4043</v>
      </c>
      <c r="M32" s="26" t="s">
        <v>4044</v>
      </c>
      <c r="N32" s="26" t="s">
        <v>3997</v>
      </c>
      <c r="O32" s="26" t="s">
        <v>4045</v>
      </c>
      <c r="P32" s="26" t="s">
        <v>931</v>
      </c>
      <c r="R32" s="26" t="s">
        <v>2992</v>
      </c>
      <c r="T32" s="26" t="s">
        <v>963</v>
      </c>
      <c r="V32" s="26" t="s">
        <v>3976</v>
      </c>
      <c r="W32" s="26" t="s">
        <v>4046</v>
      </c>
      <c r="Y32" s="26" t="s">
        <v>1027</v>
      </c>
    </row>
    <row r="33" ht="14.25" customHeight="1">
      <c r="A33" s="333" t="s">
        <v>748</v>
      </c>
      <c r="B33" s="333" t="s">
        <v>749</v>
      </c>
      <c r="C33" s="334" t="s">
        <v>616</v>
      </c>
      <c r="D33" s="333" t="s">
        <v>379</v>
      </c>
      <c r="E33" s="333"/>
      <c r="F33" s="333"/>
      <c r="G33" s="333" t="s">
        <v>750</v>
      </c>
      <c r="H33" s="333" t="s">
        <v>536</v>
      </c>
      <c r="I33" s="333" t="s">
        <v>49</v>
      </c>
      <c r="J33" s="333"/>
      <c r="K33" s="325"/>
      <c r="L33" s="325"/>
      <c r="M33" s="325"/>
      <c r="N33" s="325"/>
      <c r="O33" s="325"/>
      <c r="P33" s="326" t="s">
        <v>963</v>
      </c>
      <c r="Q33" s="325"/>
      <c r="R33" s="325"/>
      <c r="S33" s="326" t="s">
        <v>4047</v>
      </c>
      <c r="T33" s="325"/>
      <c r="U33" s="325"/>
      <c r="V33" s="325"/>
      <c r="W33" s="325"/>
      <c r="X33" s="325"/>
      <c r="Y33" s="325"/>
      <c r="Z33" s="325"/>
      <c r="AA33" s="325"/>
      <c r="AB33" s="325"/>
      <c r="AC33" s="325"/>
      <c r="AD33" s="325"/>
    </row>
    <row r="34" ht="14.25" customHeight="1">
      <c r="A34" s="39" t="s">
        <v>751</v>
      </c>
      <c r="B34" s="39" t="s">
        <v>752</v>
      </c>
      <c r="C34" s="40" t="s">
        <v>616</v>
      </c>
      <c r="D34" s="39" t="s">
        <v>753</v>
      </c>
      <c r="E34" s="39"/>
      <c r="F34" s="39"/>
      <c r="G34" s="39" t="s">
        <v>137</v>
      </c>
      <c r="H34" s="39" t="s">
        <v>102</v>
      </c>
      <c r="I34" s="39" t="s">
        <v>49</v>
      </c>
      <c r="J34" s="39" t="s">
        <v>4048</v>
      </c>
      <c r="K34" s="26" t="s">
        <v>4049</v>
      </c>
      <c r="L34" s="26" t="s">
        <v>4050</v>
      </c>
      <c r="M34" s="26" t="s">
        <v>4051</v>
      </c>
      <c r="N34" s="26" t="s">
        <v>4052</v>
      </c>
      <c r="O34" s="26" t="s">
        <v>4053</v>
      </c>
      <c r="P34" s="26" t="s">
        <v>931</v>
      </c>
      <c r="R34" s="26" t="s">
        <v>2992</v>
      </c>
      <c r="S34" s="26" t="s">
        <v>4054</v>
      </c>
      <c r="T34" s="26" t="s">
        <v>963</v>
      </c>
      <c r="V34" s="26" t="s">
        <v>4055</v>
      </c>
      <c r="W34" s="26" t="s">
        <v>4056</v>
      </c>
      <c r="Y34" s="26" t="s">
        <v>1027</v>
      </c>
    </row>
    <row r="35" ht="14.25" customHeight="1">
      <c r="A35" s="330" t="s">
        <v>754</v>
      </c>
      <c r="B35" s="330" t="s">
        <v>755</v>
      </c>
      <c r="C35" s="331" t="s">
        <v>616</v>
      </c>
      <c r="D35" s="330" t="s">
        <v>100</v>
      </c>
      <c r="E35" s="330"/>
      <c r="F35" s="330"/>
      <c r="G35" s="330" t="s">
        <v>756</v>
      </c>
      <c r="H35" s="330" t="s">
        <v>530</v>
      </c>
      <c r="I35" s="330" t="s">
        <v>578</v>
      </c>
      <c r="J35" s="330"/>
      <c r="K35" s="315"/>
      <c r="L35" s="315"/>
      <c r="M35" s="315"/>
      <c r="N35" s="315"/>
      <c r="O35" s="315"/>
      <c r="P35" s="316" t="s">
        <v>963</v>
      </c>
      <c r="Q35" s="316" t="s">
        <v>4057</v>
      </c>
      <c r="R35" s="316" t="s">
        <v>2992</v>
      </c>
      <c r="S35" s="315"/>
      <c r="T35" s="315"/>
      <c r="U35" s="315"/>
      <c r="V35" s="315"/>
      <c r="W35" s="315"/>
      <c r="X35" s="315"/>
      <c r="Y35" s="315"/>
      <c r="Z35" s="315"/>
      <c r="AA35" s="315"/>
      <c r="AB35" s="315"/>
      <c r="AC35" s="315"/>
      <c r="AD35" s="315"/>
    </row>
    <row r="36" ht="14.25" customHeight="1">
      <c r="A36" s="39" t="s">
        <v>757</v>
      </c>
      <c r="B36" s="39" t="s">
        <v>758</v>
      </c>
      <c r="C36" s="40" t="s">
        <v>616</v>
      </c>
      <c r="D36" s="39" t="s">
        <v>122</v>
      </c>
      <c r="E36" s="39"/>
      <c r="F36" s="39"/>
      <c r="G36" s="39" t="s">
        <v>198</v>
      </c>
      <c r="H36" s="39" t="s">
        <v>142</v>
      </c>
      <c r="I36" s="39" t="s">
        <v>49</v>
      </c>
      <c r="J36" s="39" t="s">
        <v>4058</v>
      </c>
      <c r="K36" s="26" t="s">
        <v>4059</v>
      </c>
      <c r="L36" s="26" t="s">
        <v>4060</v>
      </c>
      <c r="M36" s="26" t="s">
        <v>4061</v>
      </c>
      <c r="N36" s="26" t="s">
        <v>4062</v>
      </c>
      <c r="O36" s="26" t="s">
        <v>4063</v>
      </c>
      <c r="P36" s="26" t="s">
        <v>931</v>
      </c>
      <c r="R36" s="26" t="s">
        <v>2992</v>
      </c>
      <c r="T36" s="26" t="s">
        <v>963</v>
      </c>
      <c r="V36" s="26" t="s">
        <v>4055</v>
      </c>
      <c r="W36" s="26" t="s">
        <v>4064</v>
      </c>
      <c r="Y36" s="26" t="s">
        <v>1027</v>
      </c>
    </row>
    <row r="37" ht="14.25" customHeight="1">
      <c r="A37" s="39" t="s">
        <v>911</v>
      </c>
      <c r="B37" s="39" t="s">
        <v>912</v>
      </c>
      <c r="C37" s="40" t="s">
        <v>891</v>
      </c>
      <c r="D37" s="39" t="s">
        <v>895</v>
      </c>
      <c r="E37" s="39"/>
      <c r="F37" s="39"/>
      <c r="G37" s="39" t="s">
        <v>126</v>
      </c>
      <c r="H37" s="39" t="s">
        <v>260</v>
      </c>
      <c r="I37" s="39" t="s">
        <v>559</v>
      </c>
      <c r="J37" s="39" t="s">
        <v>4065</v>
      </c>
      <c r="K37" s="39" t="s">
        <v>4066</v>
      </c>
      <c r="L37" s="39" t="s">
        <v>4067</v>
      </c>
      <c r="M37" s="39" t="s">
        <v>4068</v>
      </c>
      <c r="N37" s="39" t="s">
        <v>1433</v>
      </c>
      <c r="P37" s="26" t="s">
        <v>931</v>
      </c>
      <c r="R37" s="26" t="s">
        <v>2992</v>
      </c>
      <c r="T37" s="26" t="s">
        <v>963</v>
      </c>
      <c r="V37" s="26" t="s">
        <v>4069</v>
      </c>
      <c r="W37" s="26" t="s">
        <v>4070</v>
      </c>
      <c r="Y37" s="26" t="s">
        <v>1070</v>
      </c>
    </row>
    <row r="38" ht="14.25" customHeight="1">
      <c r="A38" s="330" t="s">
        <v>692</v>
      </c>
      <c r="B38" s="330" t="s">
        <v>693</v>
      </c>
      <c r="C38" s="331" t="s">
        <v>616</v>
      </c>
      <c r="D38" s="330" t="s">
        <v>215</v>
      </c>
      <c r="E38" s="330"/>
      <c r="F38" s="330"/>
      <c r="G38" s="330" t="s">
        <v>694</v>
      </c>
      <c r="H38" s="330" t="s">
        <v>695</v>
      </c>
      <c r="I38" s="330" t="s">
        <v>49</v>
      </c>
      <c r="J38" s="330"/>
      <c r="K38" s="315"/>
      <c r="L38" s="315"/>
      <c r="M38" s="315"/>
      <c r="N38" s="315"/>
      <c r="O38" s="315"/>
      <c r="P38" s="316" t="s">
        <v>963</v>
      </c>
      <c r="Q38" s="316" t="s">
        <v>4071</v>
      </c>
      <c r="R38" s="316" t="s">
        <v>2992</v>
      </c>
      <c r="S38" s="315"/>
      <c r="T38" s="315"/>
      <c r="U38" s="315"/>
      <c r="V38" s="315"/>
      <c r="W38" s="315"/>
      <c r="X38" s="315"/>
      <c r="Y38" s="315"/>
      <c r="Z38" s="315"/>
      <c r="AA38" s="315"/>
      <c r="AB38" s="315"/>
      <c r="AC38" s="315"/>
      <c r="AD38" s="315"/>
    </row>
    <row r="39" ht="14.25" customHeight="1"/>
    <row r="40" ht="14.25" customHeight="1">
      <c r="A40" s="26" t="s">
        <v>4072</v>
      </c>
    </row>
    <row r="41" ht="14.25" customHeight="1">
      <c r="A41" s="323" t="s">
        <v>787</v>
      </c>
      <c r="B41" s="323" t="s">
        <v>788</v>
      </c>
      <c r="C41" s="324"/>
      <c r="D41" s="324"/>
      <c r="E41" s="324"/>
      <c r="F41" s="324"/>
      <c r="G41" s="324"/>
      <c r="H41" s="324"/>
      <c r="I41" s="324"/>
      <c r="J41" s="324"/>
      <c r="K41" s="324"/>
      <c r="L41" s="324"/>
      <c r="M41" s="324"/>
      <c r="N41" s="324"/>
      <c r="O41" s="324"/>
      <c r="P41" s="323" t="s">
        <v>4073</v>
      </c>
      <c r="Q41" s="324"/>
      <c r="R41" s="324"/>
      <c r="S41" s="324"/>
      <c r="T41" s="324"/>
      <c r="U41" s="324"/>
      <c r="V41" s="324"/>
      <c r="W41" s="324"/>
      <c r="X41" s="324"/>
      <c r="Y41" s="324"/>
      <c r="Z41" s="324"/>
      <c r="AA41" s="324"/>
      <c r="AB41" s="324"/>
      <c r="AC41" s="324"/>
      <c r="AD41" s="324"/>
    </row>
    <row r="42" ht="14.25" customHeight="1">
      <c r="A42" s="326" t="s">
        <v>4074</v>
      </c>
      <c r="B42" s="326" t="s">
        <v>3077</v>
      </c>
      <c r="C42" s="325"/>
      <c r="D42" s="325"/>
      <c r="E42" s="325"/>
      <c r="F42" s="325"/>
      <c r="G42" s="325"/>
      <c r="H42" s="325"/>
      <c r="I42" s="325"/>
      <c r="J42" s="325"/>
      <c r="K42" s="325"/>
      <c r="L42" s="325"/>
      <c r="M42" s="325"/>
      <c r="N42" s="325"/>
      <c r="O42" s="325"/>
      <c r="P42" s="326" t="s">
        <v>4075</v>
      </c>
      <c r="Q42" s="325"/>
      <c r="R42" s="325"/>
      <c r="S42" s="325"/>
      <c r="T42" s="325"/>
      <c r="U42" s="325"/>
      <c r="V42" s="325"/>
      <c r="W42" s="325"/>
      <c r="X42" s="325"/>
      <c r="Y42" s="325"/>
      <c r="Z42" s="325"/>
      <c r="AA42" s="325"/>
      <c r="AB42" s="325"/>
      <c r="AC42" s="325"/>
      <c r="AD42" s="325"/>
    </row>
    <row r="43" ht="14.25" customHeight="1">
      <c r="A43" s="26" t="s">
        <v>1559</v>
      </c>
      <c r="B43" s="26" t="s">
        <v>1560</v>
      </c>
      <c r="I43" s="26" t="s">
        <v>51</v>
      </c>
      <c r="J43" s="26" t="s">
        <v>4076</v>
      </c>
      <c r="K43" s="26" t="s">
        <v>4077</v>
      </c>
      <c r="L43" s="26" t="s">
        <v>4078</v>
      </c>
      <c r="M43" s="26" t="s">
        <v>4079</v>
      </c>
      <c r="N43" s="26" t="s">
        <v>4080</v>
      </c>
      <c r="O43" s="26" t="s">
        <v>4081</v>
      </c>
      <c r="P43" s="26" t="s">
        <v>931</v>
      </c>
      <c r="Q43" s="26" t="s">
        <v>2216</v>
      </c>
      <c r="R43" s="26" t="s">
        <v>2992</v>
      </c>
      <c r="S43" s="26" t="s">
        <v>4082</v>
      </c>
      <c r="T43" s="26" t="s">
        <v>931</v>
      </c>
      <c r="V43" s="26" t="s">
        <v>4083</v>
      </c>
      <c r="W43" s="26" t="s">
        <v>4084</v>
      </c>
      <c r="Y43" s="26" t="s">
        <v>1027</v>
      </c>
    </row>
    <row r="44" ht="14.25" customHeight="1">
      <c r="A44" s="26" t="s">
        <v>4085</v>
      </c>
      <c r="B44" s="26" t="s">
        <v>2994</v>
      </c>
      <c r="I44" s="26" t="s">
        <v>51</v>
      </c>
      <c r="J44" s="26" t="s">
        <v>4086</v>
      </c>
      <c r="K44" s="26" t="s">
        <v>4087</v>
      </c>
      <c r="L44" s="26" t="s">
        <v>4088</v>
      </c>
      <c r="M44" s="26" t="s">
        <v>4089</v>
      </c>
      <c r="N44" s="26" t="s">
        <v>4080</v>
      </c>
      <c r="O44" s="26" t="s">
        <v>4090</v>
      </c>
      <c r="P44" s="26" t="s">
        <v>931</v>
      </c>
      <c r="Q44" s="26" t="s">
        <v>2216</v>
      </c>
      <c r="R44" s="26" t="s">
        <v>2992</v>
      </c>
      <c r="T44" s="26" t="s">
        <v>931</v>
      </c>
      <c r="V44" s="26" t="s">
        <v>4091</v>
      </c>
      <c r="W44" s="26" t="s">
        <v>4092</v>
      </c>
      <c r="Y44" s="26" t="s">
        <v>1027</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943</v>
      </c>
      <c r="F1" s="55" t="s">
        <v>3858</v>
      </c>
      <c r="G1" s="308" t="s">
        <v>61</v>
      </c>
      <c r="H1" s="308" t="s">
        <v>62</v>
      </c>
      <c r="I1" s="308" t="s">
        <v>3220</v>
      </c>
      <c r="J1" s="309" t="s">
        <v>3221</v>
      </c>
      <c r="K1" s="309" t="s">
        <v>3222</v>
      </c>
      <c r="L1" s="308" t="s">
        <v>3223</v>
      </c>
      <c r="M1" s="310" t="s">
        <v>3662</v>
      </c>
      <c r="N1" s="309" t="s">
        <v>3225</v>
      </c>
      <c r="O1" s="308" t="s">
        <v>3226</v>
      </c>
      <c r="P1" s="308" t="s">
        <v>3227</v>
      </c>
      <c r="Q1" s="308" t="s">
        <v>3228</v>
      </c>
      <c r="R1" s="308" t="s">
        <v>3229</v>
      </c>
      <c r="S1" s="54" t="s">
        <v>3230</v>
      </c>
      <c r="T1" s="56" t="s">
        <v>944</v>
      </c>
      <c r="U1" s="311" t="s">
        <v>3232</v>
      </c>
      <c r="V1" s="311" t="s">
        <v>61</v>
      </c>
      <c r="W1" s="311" t="s">
        <v>62</v>
      </c>
      <c r="X1" s="311" t="s">
        <v>3859</v>
      </c>
      <c r="Y1" s="312" t="s">
        <v>4093</v>
      </c>
      <c r="Z1" s="311" t="s">
        <v>4094</v>
      </c>
      <c r="AA1" s="311" t="s">
        <v>4095</v>
      </c>
      <c r="AB1" s="345" t="s">
        <v>4096</v>
      </c>
      <c r="AC1" s="346" t="s">
        <v>4097</v>
      </c>
      <c r="AD1" s="347" t="s">
        <v>950</v>
      </c>
      <c r="AE1" s="311" t="s">
        <v>952</v>
      </c>
      <c r="AF1" s="312" t="s">
        <v>3236</v>
      </c>
      <c r="AG1" s="348"/>
      <c r="AH1" s="348"/>
    </row>
    <row r="2" ht="14.25" customHeight="1">
      <c r="A2" s="215" t="s">
        <v>267</v>
      </c>
      <c r="B2" s="215" t="s">
        <v>268</v>
      </c>
      <c r="C2" s="215" t="s">
        <v>88</v>
      </c>
      <c r="D2" s="215" t="s">
        <v>201</v>
      </c>
      <c r="E2" s="349" t="s">
        <v>4098</v>
      </c>
      <c r="F2" s="42">
        <v>6.0</v>
      </c>
      <c r="G2" s="28" t="s">
        <v>4099</v>
      </c>
      <c r="H2" s="28" t="s">
        <v>4100</v>
      </c>
      <c r="I2" s="215" t="s">
        <v>49</v>
      </c>
      <c r="J2" s="146" t="s">
        <v>4101</v>
      </c>
      <c r="K2" s="146" t="s">
        <v>4102</v>
      </c>
      <c r="L2" s="147" t="s">
        <v>4103</v>
      </c>
      <c r="M2" s="147" t="s">
        <v>4104</v>
      </c>
      <c r="N2" s="147" t="s">
        <v>4105</v>
      </c>
      <c r="O2" s="147" t="s">
        <v>4106</v>
      </c>
      <c r="P2" s="146" t="s">
        <v>931</v>
      </c>
      <c r="Q2" s="350"/>
      <c r="R2" s="146" t="s">
        <v>2992</v>
      </c>
      <c r="S2" s="350"/>
      <c r="T2" s="42" t="s">
        <v>963</v>
      </c>
      <c r="U2" s="147" t="s">
        <v>4104</v>
      </c>
      <c r="V2" s="147"/>
      <c r="W2" s="147"/>
      <c r="X2" s="147" t="s">
        <v>4107</v>
      </c>
      <c r="Y2" s="147" t="s">
        <v>1017</v>
      </c>
      <c r="Z2" s="80"/>
      <c r="AA2" s="77" t="s">
        <v>4108</v>
      </c>
      <c r="AB2" s="85" t="s">
        <v>972</v>
      </c>
      <c r="AC2" s="351"/>
      <c r="AD2" s="85" t="s">
        <v>1027</v>
      </c>
      <c r="AE2" s="85" t="s">
        <v>4109</v>
      </c>
      <c r="AF2" s="80"/>
      <c r="AG2" s="215"/>
      <c r="AH2" s="215"/>
    </row>
    <row r="3" ht="14.25" customHeight="1">
      <c r="A3" s="313" t="s">
        <v>270</v>
      </c>
      <c r="B3" s="313" t="s">
        <v>271</v>
      </c>
      <c r="C3" s="313" t="s">
        <v>88</v>
      </c>
      <c r="D3" s="313" t="s">
        <v>272</v>
      </c>
      <c r="E3" s="352" t="s">
        <v>4110</v>
      </c>
      <c r="F3" s="343">
        <v>6.0</v>
      </c>
      <c r="G3" s="313" t="s">
        <v>4111</v>
      </c>
      <c r="H3" s="314" t="s">
        <v>4112</v>
      </c>
      <c r="I3" s="313" t="s">
        <v>49</v>
      </c>
      <c r="J3" s="313" t="s">
        <v>4113</v>
      </c>
      <c r="K3" s="313" t="s">
        <v>4114</v>
      </c>
      <c r="L3" s="353" t="s">
        <v>4115</v>
      </c>
      <c r="M3" s="353"/>
      <c r="N3" s="353" t="s">
        <v>4116</v>
      </c>
      <c r="O3" s="353" t="s">
        <v>4117</v>
      </c>
      <c r="P3" s="313" t="s">
        <v>963</v>
      </c>
      <c r="Q3" s="313" t="s">
        <v>3018</v>
      </c>
      <c r="R3" s="313" t="s">
        <v>2992</v>
      </c>
      <c r="S3" s="313"/>
      <c r="T3" s="343" t="s">
        <v>963</v>
      </c>
      <c r="U3" s="353"/>
      <c r="V3" s="353"/>
      <c r="W3" s="353"/>
      <c r="X3" s="354" t="s">
        <v>4118</v>
      </c>
      <c r="Y3" s="353" t="s">
        <v>1017</v>
      </c>
      <c r="Z3" s="353"/>
      <c r="AA3" s="353"/>
      <c r="AB3" s="355"/>
      <c r="AC3" s="355"/>
      <c r="AD3" s="356" t="s">
        <v>1027</v>
      </c>
      <c r="AE3" s="356" t="s">
        <v>4109</v>
      </c>
      <c r="AF3" s="353"/>
      <c r="AG3" s="313"/>
      <c r="AH3" s="313"/>
    </row>
    <row r="4" ht="14.25" customHeight="1">
      <c r="A4" s="315" t="s">
        <v>274</v>
      </c>
      <c r="B4" s="315" t="s">
        <v>275</v>
      </c>
      <c r="C4" s="315" t="s">
        <v>88</v>
      </c>
      <c r="D4" s="315" t="s">
        <v>276</v>
      </c>
      <c r="E4" s="357" t="s">
        <v>4119</v>
      </c>
      <c r="F4" s="358"/>
      <c r="G4" s="330" t="s">
        <v>4120</v>
      </c>
      <c r="H4" s="330" t="s">
        <v>4121</v>
      </c>
      <c r="I4" s="359" t="s">
        <v>4122</v>
      </c>
      <c r="J4" s="330" t="s">
        <v>4123</v>
      </c>
      <c r="K4" s="330" t="s">
        <v>4124</v>
      </c>
      <c r="L4" s="360" t="s">
        <v>4125</v>
      </c>
      <c r="M4" s="361" t="s">
        <v>4126</v>
      </c>
      <c r="N4" s="360" t="s">
        <v>4127</v>
      </c>
      <c r="O4" s="360" t="s">
        <v>4128</v>
      </c>
      <c r="P4" s="330" t="s">
        <v>963</v>
      </c>
      <c r="Q4" s="332"/>
      <c r="R4" s="330" t="s">
        <v>2992</v>
      </c>
      <c r="S4" s="330" t="s">
        <v>3019</v>
      </c>
      <c r="T4" s="330" t="s">
        <v>963</v>
      </c>
      <c r="U4" s="360"/>
      <c r="V4" s="360"/>
      <c r="W4" s="360"/>
      <c r="X4" s="360" t="s">
        <v>4107</v>
      </c>
      <c r="Y4" s="360" t="s">
        <v>4129</v>
      </c>
      <c r="AA4" s="360"/>
      <c r="AB4" s="360" t="s">
        <v>4130</v>
      </c>
      <c r="AC4" s="360" t="s">
        <v>4131</v>
      </c>
      <c r="AD4" s="360" t="s">
        <v>970</v>
      </c>
      <c r="AE4" s="360" t="s">
        <v>4109</v>
      </c>
      <c r="AF4" s="362"/>
      <c r="AG4" s="315"/>
      <c r="AH4" s="315"/>
    </row>
    <row r="5" ht="14.25" customHeight="1">
      <c r="A5" s="337" t="s">
        <v>3884</v>
      </c>
      <c r="B5" s="337"/>
      <c r="E5" s="41"/>
      <c r="F5" s="41"/>
      <c r="L5" s="68"/>
      <c r="M5" s="68"/>
      <c r="N5" s="68"/>
      <c r="O5" s="68"/>
      <c r="R5" s="37"/>
      <c r="T5" s="39" t="s">
        <v>963</v>
      </c>
      <c r="U5" s="68"/>
      <c r="V5" s="68"/>
      <c r="W5" s="68"/>
      <c r="X5" s="68"/>
      <c r="Y5" s="363"/>
      <c r="Z5" s="68"/>
      <c r="AA5" s="68"/>
      <c r="AB5" s="363"/>
      <c r="AC5" s="363"/>
      <c r="AD5" s="363"/>
      <c r="AE5" s="363"/>
      <c r="AF5" s="68"/>
    </row>
    <row r="6" ht="16.5" customHeight="1">
      <c r="A6" s="37" t="s">
        <v>277</v>
      </c>
      <c r="B6" s="37" t="s">
        <v>278</v>
      </c>
      <c r="C6" s="37" t="s">
        <v>88</v>
      </c>
      <c r="D6" s="37" t="s">
        <v>247</v>
      </c>
      <c r="E6" s="155" t="s">
        <v>1573</v>
      </c>
      <c r="F6" s="364">
        <v>8.0</v>
      </c>
      <c r="G6" s="39" t="s">
        <v>4132</v>
      </c>
      <c r="H6" s="39" t="s">
        <v>4100</v>
      </c>
      <c r="I6" s="39" t="s">
        <v>49</v>
      </c>
      <c r="J6" s="39" t="s">
        <v>4133</v>
      </c>
      <c r="K6" s="39" t="s">
        <v>4134</v>
      </c>
      <c r="L6" s="84" t="s">
        <v>4135</v>
      </c>
      <c r="M6" s="84" t="s">
        <v>4136</v>
      </c>
      <c r="N6" s="84" t="s">
        <v>4137</v>
      </c>
      <c r="O6" s="84" t="s">
        <v>4138</v>
      </c>
      <c r="P6" s="26" t="s">
        <v>931</v>
      </c>
      <c r="R6" s="37"/>
      <c r="S6" s="39" t="s">
        <v>4139</v>
      </c>
      <c r="T6" s="39" t="s">
        <v>963</v>
      </c>
      <c r="U6" s="68"/>
      <c r="V6" s="68"/>
      <c r="W6" s="68"/>
      <c r="X6" s="68"/>
      <c r="Y6" s="84" t="s">
        <v>1017</v>
      </c>
      <c r="Z6" s="68"/>
      <c r="AA6" s="84" t="s">
        <v>4140</v>
      </c>
      <c r="AB6" s="84" t="s">
        <v>972</v>
      </c>
      <c r="AC6" s="363"/>
      <c r="AD6" s="84" t="s">
        <v>1577</v>
      </c>
      <c r="AE6" s="84" t="s">
        <v>4109</v>
      </c>
      <c r="AF6" s="68"/>
    </row>
    <row r="7" ht="14.25" customHeight="1">
      <c r="A7" s="325" t="s">
        <v>281</v>
      </c>
      <c r="B7" s="325" t="s">
        <v>282</v>
      </c>
      <c r="C7" s="325" t="s">
        <v>88</v>
      </c>
      <c r="D7" s="325" t="s">
        <v>283</v>
      </c>
      <c r="E7" s="365" t="s">
        <v>4141</v>
      </c>
      <c r="F7" s="333" t="s">
        <v>4142</v>
      </c>
      <c r="G7" s="333" t="s">
        <v>284</v>
      </c>
      <c r="H7" s="333" t="s">
        <v>142</v>
      </c>
      <c r="I7" s="333" t="s">
        <v>49</v>
      </c>
      <c r="J7" s="335"/>
      <c r="K7" s="335"/>
      <c r="L7" s="366"/>
      <c r="M7" s="366"/>
      <c r="N7" s="366"/>
      <c r="O7" s="366"/>
      <c r="P7" s="326" t="s">
        <v>963</v>
      </c>
      <c r="Q7" s="326" t="s">
        <v>3020</v>
      </c>
      <c r="R7" s="326" t="s">
        <v>2992</v>
      </c>
      <c r="S7" s="335"/>
      <c r="T7" s="333" t="s">
        <v>963</v>
      </c>
      <c r="U7" s="367"/>
      <c r="V7" s="367"/>
      <c r="W7" s="367"/>
      <c r="X7" s="367"/>
      <c r="Y7" s="366"/>
      <c r="Z7" s="367"/>
      <c r="AA7" s="367"/>
      <c r="AB7" s="366"/>
      <c r="AC7" s="366"/>
      <c r="AD7" s="368" t="s">
        <v>1577</v>
      </c>
      <c r="AE7" s="368" t="s">
        <v>4143</v>
      </c>
      <c r="AF7" s="367"/>
      <c r="AG7" s="325"/>
      <c r="AH7" s="325"/>
    </row>
    <row r="8" ht="14.25" customHeight="1">
      <c r="A8" s="37" t="s">
        <v>285</v>
      </c>
      <c r="B8" s="37" t="s">
        <v>286</v>
      </c>
      <c r="C8" s="37" t="s">
        <v>88</v>
      </c>
      <c r="D8" s="37" t="s">
        <v>287</v>
      </c>
      <c r="E8" s="155" t="s">
        <v>4144</v>
      </c>
      <c r="F8" s="369">
        <v>20.0</v>
      </c>
      <c r="G8" s="39" t="s">
        <v>4145</v>
      </c>
      <c r="H8" s="39" t="s">
        <v>4146</v>
      </c>
      <c r="I8" s="340" t="s">
        <v>4147</v>
      </c>
      <c r="J8" s="39" t="s">
        <v>4148</v>
      </c>
      <c r="K8" s="39" t="s">
        <v>4149</v>
      </c>
      <c r="L8" s="84" t="s">
        <v>4150</v>
      </c>
      <c r="M8" s="84" t="s">
        <v>4151</v>
      </c>
      <c r="N8" s="84" t="s">
        <v>1765</v>
      </c>
      <c r="O8" s="84" t="s">
        <v>4152</v>
      </c>
      <c r="P8" s="26" t="s">
        <v>931</v>
      </c>
      <c r="R8" s="37"/>
      <c r="S8" s="39" t="s">
        <v>4153</v>
      </c>
      <c r="T8" s="39" t="s">
        <v>963</v>
      </c>
      <c r="U8" s="68"/>
      <c r="V8" s="68"/>
      <c r="W8" s="68"/>
      <c r="X8" s="68"/>
      <c r="Y8" s="84" t="s">
        <v>1017</v>
      </c>
      <c r="Z8" s="84" t="s">
        <v>931</v>
      </c>
      <c r="AA8" s="68"/>
      <c r="AB8" s="84" t="s">
        <v>972</v>
      </c>
      <c r="AC8" s="84" t="s">
        <v>4131</v>
      </c>
      <c r="AD8" s="84" t="s">
        <v>1027</v>
      </c>
      <c r="AE8" s="84" t="s">
        <v>4154</v>
      </c>
      <c r="AF8" s="68"/>
    </row>
    <row r="9" ht="14.25" customHeight="1">
      <c r="A9" s="37" t="s">
        <v>288</v>
      </c>
      <c r="B9" s="37" t="s">
        <v>289</v>
      </c>
      <c r="C9" s="37" t="s">
        <v>88</v>
      </c>
      <c r="D9" s="37" t="s">
        <v>290</v>
      </c>
      <c r="E9" s="155" t="s">
        <v>4155</v>
      </c>
      <c r="F9" s="369">
        <v>11.0</v>
      </c>
      <c r="G9" s="39" t="s">
        <v>4156</v>
      </c>
      <c r="H9" s="39" t="s">
        <v>273</v>
      </c>
      <c r="I9" s="39" t="s">
        <v>49</v>
      </c>
      <c r="J9" s="39" t="s">
        <v>4157</v>
      </c>
      <c r="K9" s="39" t="s">
        <v>4158</v>
      </c>
      <c r="L9" s="84" t="s">
        <v>4159</v>
      </c>
      <c r="M9" s="84" t="s">
        <v>4160</v>
      </c>
      <c r="N9" s="84" t="s">
        <v>4161</v>
      </c>
      <c r="O9" s="84" t="s">
        <v>4162</v>
      </c>
      <c r="P9" s="26" t="s">
        <v>931</v>
      </c>
      <c r="R9" s="37"/>
      <c r="S9" s="39" t="s">
        <v>4163</v>
      </c>
      <c r="T9" s="39" t="s">
        <v>963</v>
      </c>
      <c r="U9" s="68"/>
      <c r="V9" s="68"/>
      <c r="W9" s="68"/>
      <c r="X9" s="68"/>
      <c r="Y9" s="84" t="s">
        <v>4164</v>
      </c>
      <c r="Z9" s="68"/>
      <c r="AA9" s="68"/>
      <c r="AB9" s="84" t="s">
        <v>972</v>
      </c>
      <c r="AC9" s="84" t="s">
        <v>4165</v>
      </c>
      <c r="AD9" s="84" t="s">
        <v>1027</v>
      </c>
      <c r="AE9" s="84" t="s">
        <v>4109</v>
      </c>
      <c r="AF9" s="68"/>
    </row>
    <row r="10" ht="14.25" customHeight="1">
      <c r="A10" s="37" t="s">
        <v>293</v>
      </c>
      <c r="B10" s="37" t="s">
        <v>294</v>
      </c>
      <c r="C10" s="37" t="s">
        <v>88</v>
      </c>
      <c r="D10" s="37" t="s">
        <v>295</v>
      </c>
      <c r="E10" s="160" t="s">
        <v>1590</v>
      </c>
      <c r="F10" s="369">
        <v>11.0</v>
      </c>
      <c r="G10" s="37" t="s">
        <v>296</v>
      </c>
      <c r="H10" s="37" t="s">
        <v>221</v>
      </c>
      <c r="I10" s="39" t="s">
        <v>49</v>
      </c>
      <c r="J10" s="26" t="s">
        <v>4166</v>
      </c>
      <c r="K10" s="26" t="s">
        <v>4167</v>
      </c>
      <c r="L10" s="67" t="s">
        <v>4168</v>
      </c>
      <c r="M10" s="67" t="s">
        <v>4169</v>
      </c>
      <c r="N10" s="67" t="s">
        <v>4161</v>
      </c>
      <c r="O10" s="84" t="s">
        <v>4170</v>
      </c>
      <c r="P10" s="26" t="s">
        <v>4171</v>
      </c>
      <c r="R10" s="37"/>
      <c r="S10" s="39" t="s">
        <v>4172</v>
      </c>
      <c r="T10" s="39" t="s">
        <v>963</v>
      </c>
      <c r="U10" s="84" t="s">
        <v>4173</v>
      </c>
      <c r="V10" s="68"/>
      <c r="W10" s="68"/>
      <c r="X10" s="84" t="s">
        <v>4174</v>
      </c>
      <c r="Y10" s="67" t="s">
        <v>1017</v>
      </c>
      <c r="Z10" s="84" t="s">
        <v>4175</v>
      </c>
      <c r="AA10" s="68"/>
      <c r="AB10" s="84" t="s">
        <v>972</v>
      </c>
      <c r="AC10" s="84" t="s">
        <v>4165</v>
      </c>
      <c r="AD10" s="84" t="s">
        <v>1027</v>
      </c>
      <c r="AE10" s="84" t="s">
        <v>4109</v>
      </c>
      <c r="AF10" s="68"/>
    </row>
    <row r="11" ht="14.25" customHeight="1">
      <c r="A11" s="37" t="s">
        <v>297</v>
      </c>
      <c r="B11" s="37" t="s">
        <v>298</v>
      </c>
      <c r="C11" s="37" t="s">
        <v>88</v>
      </c>
      <c r="D11" s="37" t="s">
        <v>299</v>
      </c>
      <c r="E11" s="160" t="s">
        <v>1593</v>
      </c>
      <c r="F11" s="369">
        <v>13.0</v>
      </c>
      <c r="G11" s="37" t="s">
        <v>300</v>
      </c>
      <c r="H11" s="37" t="s">
        <v>301</v>
      </c>
      <c r="I11" s="37" t="s">
        <v>49</v>
      </c>
      <c r="J11" s="39" t="s">
        <v>4176</v>
      </c>
      <c r="K11" s="39" t="s">
        <v>4177</v>
      </c>
      <c r="L11" s="84" t="s">
        <v>4178</v>
      </c>
      <c r="M11" s="84" t="s">
        <v>4179</v>
      </c>
      <c r="N11" s="84" t="s">
        <v>4180</v>
      </c>
      <c r="O11" s="84" t="s">
        <v>4181</v>
      </c>
      <c r="P11" s="26" t="s">
        <v>931</v>
      </c>
      <c r="R11" s="37"/>
      <c r="T11" s="39" t="s">
        <v>963</v>
      </c>
      <c r="U11" s="84" t="s">
        <v>4182</v>
      </c>
      <c r="V11" s="84" t="s">
        <v>4183</v>
      </c>
      <c r="W11" s="84" t="s">
        <v>4184</v>
      </c>
      <c r="X11" s="84" t="s">
        <v>4107</v>
      </c>
      <c r="Y11" s="84" t="s">
        <v>1017</v>
      </c>
      <c r="Z11" s="68"/>
      <c r="AA11" s="68"/>
      <c r="AB11" s="84" t="s">
        <v>4185</v>
      </c>
      <c r="AC11" s="68"/>
      <c r="AD11" s="84" t="s">
        <v>1367</v>
      </c>
      <c r="AE11" s="84" t="s">
        <v>4109</v>
      </c>
      <c r="AF11" s="68"/>
    </row>
    <row r="12" ht="14.25" customHeight="1">
      <c r="A12" s="14" t="s">
        <v>302</v>
      </c>
      <c r="B12" s="14" t="s">
        <v>303</v>
      </c>
      <c r="C12" s="14" t="s">
        <v>88</v>
      </c>
      <c r="D12" s="14" t="s">
        <v>109</v>
      </c>
      <c r="E12" s="370" t="s">
        <v>4186</v>
      </c>
      <c r="F12" s="371">
        <v>6.0</v>
      </c>
      <c r="G12" s="14"/>
      <c r="H12" s="14" t="s">
        <v>217</v>
      </c>
      <c r="I12" s="14" t="s">
        <v>49</v>
      </c>
      <c r="J12" s="372"/>
      <c r="K12" s="372"/>
      <c r="L12" s="373"/>
      <c r="M12" s="373"/>
      <c r="N12" s="374" t="s">
        <v>4187</v>
      </c>
      <c r="O12" s="374"/>
      <c r="P12" s="25" t="s">
        <v>963</v>
      </c>
      <c r="Q12" s="14"/>
      <c r="R12" s="375" t="s">
        <v>2999</v>
      </c>
      <c r="S12" s="14"/>
      <c r="T12" s="25" t="s">
        <v>963</v>
      </c>
      <c r="U12" s="373"/>
      <c r="V12" s="373"/>
      <c r="W12" s="373"/>
      <c r="X12" s="373"/>
      <c r="Y12" s="373"/>
      <c r="Z12" s="376"/>
      <c r="AA12" s="376"/>
      <c r="AB12" s="373"/>
      <c r="AC12" s="373"/>
      <c r="AD12" s="374" t="s">
        <v>1341</v>
      </c>
      <c r="AE12" s="374" t="s">
        <v>4188</v>
      </c>
      <c r="AF12" s="376"/>
      <c r="AG12" s="14"/>
      <c r="AH12" s="14"/>
    </row>
    <row r="13" ht="14.25" customHeight="1">
      <c r="A13" s="37" t="s">
        <v>304</v>
      </c>
      <c r="B13" s="37" t="s">
        <v>305</v>
      </c>
      <c r="C13" s="37" t="s">
        <v>88</v>
      </c>
      <c r="D13" s="37" t="s">
        <v>242</v>
      </c>
      <c r="E13" s="155" t="s">
        <v>4189</v>
      </c>
      <c r="F13" s="369">
        <v>10.0</v>
      </c>
      <c r="G13" s="37" t="s">
        <v>306</v>
      </c>
      <c r="H13" s="37" t="s">
        <v>307</v>
      </c>
      <c r="I13" s="37" t="s">
        <v>49</v>
      </c>
      <c r="J13" s="39" t="s">
        <v>4190</v>
      </c>
      <c r="K13" s="39" t="s">
        <v>4191</v>
      </c>
      <c r="L13" s="84" t="s">
        <v>4192</v>
      </c>
      <c r="M13" s="84" t="s">
        <v>4193</v>
      </c>
      <c r="N13" s="84" t="s">
        <v>1154</v>
      </c>
      <c r="O13" s="84" t="s">
        <v>4194</v>
      </c>
      <c r="P13" s="39" t="s">
        <v>931</v>
      </c>
      <c r="R13" s="37"/>
      <c r="T13" s="39" t="s">
        <v>963</v>
      </c>
      <c r="U13" s="84" t="s">
        <v>4195</v>
      </c>
      <c r="V13" s="84" t="s">
        <v>4196</v>
      </c>
      <c r="W13" s="84" t="s">
        <v>4197</v>
      </c>
      <c r="X13" s="84" t="s">
        <v>4174</v>
      </c>
      <c r="Y13" s="84" t="s">
        <v>1017</v>
      </c>
      <c r="Z13" s="68"/>
      <c r="AA13" s="68"/>
      <c r="AB13" s="84" t="s">
        <v>4198</v>
      </c>
      <c r="AC13" s="84" t="s">
        <v>4165</v>
      </c>
      <c r="AD13" s="84" t="s">
        <v>1027</v>
      </c>
      <c r="AE13" s="84" t="s">
        <v>4109</v>
      </c>
      <c r="AF13" s="68"/>
    </row>
    <row r="14" ht="14.25" customHeight="1">
      <c r="A14" s="37" t="s">
        <v>308</v>
      </c>
      <c r="B14" s="37" t="s">
        <v>309</v>
      </c>
      <c r="C14" s="37" t="s">
        <v>88</v>
      </c>
      <c r="D14" s="37" t="s">
        <v>310</v>
      </c>
      <c r="E14" s="155" t="s">
        <v>4199</v>
      </c>
      <c r="F14" s="369">
        <v>11.0</v>
      </c>
      <c r="G14" s="37" t="s">
        <v>311</v>
      </c>
      <c r="H14" s="37" t="s">
        <v>233</v>
      </c>
      <c r="I14" s="37" t="s">
        <v>49</v>
      </c>
      <c r="J14" s="39" t="s">
        <v>4200</v>
      </c>
      <c r="K14" s="39" t="s">
        <v>4201</v>
      </c>
      <c r="L14" s="84" t="s">
        <v>4202</v>
      </c>
      <c r="M14" s="84" t="s">
        <v>4203</v>
      </c>
      <c r="N14" s="84" t="s">
        <v>4204</v>
      </c>
      <c r="O14" s="84" t="s">
        <v>4205</v>
      </c>
      <c r="P14" s="39" t="s">
        <v>931</v>
      </c>
      <c r="R14" s="37"/>
      <c r="T14" s="39" t="s">
        <v>963</v>
      </c>
      <c r="U14" s="84" t="s">
        <v>4206</v>
      </c>
      <c r="V14" s="84" t="s">
        <v>4207</v>
      </c>
      <c r="W14" s="84" t="s">
        <v>4208</v>
      </c>
      <c r="Y14" s="84" t="s">
        <v>1017</v>
      </c>
      <c r="Z14" s="68"/>
      <c r="AA14" s="68"/>
      <c r="AB14" s="84" t="s">
        <v>972</v>
      </c>
      <c r="AC14" s="84" t="s">
        <v>4165</v>
      </c>
      <c r="AD14" s="84" t="s">
        <v>1027</v>
      </c>
      <c r="AE14" s="84" t="s">
        <v>4109</v>
      </c>
      <c r="AF14" s="68"/>
    </row>
    <row r="15" ht="14.25" customHeight="1">
      <c r="A15" s="14" t="s">
        <v>312</v>
      </c>
      <c r="B15" s="14" t="s">
        <v>313</v>
      </c>
      <c r="C15" s="14" t="s">
        <v>88</v>
      </c>
      <c r="D15" s="14" t="s">
        <v>113</v>
      </c>
      <c r="E15" s="370" t="s">
        <v>4209</v>
      </c>
      <c r="F15" s="371">
        <v>6.0</v>
      </c>
      <c r="G15" s="14" t="s">
        <v>300</v>
      </c>
      <c r="H15" s="14" t="s">
        <v>314</v>
      </c>
      <c r="I15" s="14" t="s">
        <v>49</v>
      </c>
      <c r="J15" s="372"/>
      <c r="K15" s="372"/>
      <c r="L15" s="373"/>
      <c r="M15" s="373"/>
      <c r="N15" s="373"/>
      <c r="O15" s="373"/>
      <c r="P15" s="25" t="s">
        <v>963</v>
      </c>
      <c r="Q15" s="25" t="s">
        <v>3021</v>
      </c>
      <c r="R15" s="25" t="s">
        <v>2999</v>
      </c>
      <c r="S15" s="372"/>
      <c r="T15" s="25" t="s">
        <v>963</v>
      </c>
      <c r="U15" s="373"/>
      <c r="V15" s="373"/>
      <c r="W15" s="373"/>
      <c r="X15" s="373"/>
      <c r="Y15" s="373"/>
      <c r="Z15" s="373"/>
      <c r="AA15" s="373"/>
      <c r="AB15" s="373"/>
      <c r="AC15" s="373"/>
      <c r="AD15" s="373"/>
      <c r="AE15" s="373"/>
      <c r="AF15" s="373"/>
      <c r="AG15" s="372"/>
      <c r="AH15" s="372"/>
    </row>
    <row r="16" ht="14.25" customHeight="1">
      <c r="A16" s="313" t="s">
        <v>315</v>
      </c>
      <c r="B16" s="313" t="s">
        <v>316</v>
      </c>
      <c r="C16" s="313" t="s">
        <v>88</v>
      </c>
      <c r="D16" s="313" t="s">
        <v>264</v>
      </c>
      <c r="E16" s="352" t="s">
        <v>4210</v>
      </c>
      <c r="F16" s="377">
        <v>11.0</v>
      </c>
      <c r="G16" s="313" t="s">
        <v>162</v>
      </c>
      <c r="H16" s="313" t="s">
        <v>317</v>
      </c>
      <c r="I16" s="313" t="s">
        <v>49</v>
      </c>
      <c r="J16" s="343" t="s">
        <v>4211</v>
      </c>
      <c r="K16" s="343" t="s">
        <v>4212</v>
      </c>
      <c r="L16" s="356"/>
      <c r="M16" s="356"/>
      <c r="N16" s="356"/>
      <c r="O16" s="356"/>
      <c r="P16" s="343" t="s">
        <v>963</v>
      </c>
      <c r="Q16" s="343" t="s">
        <v>3022</v>
      </c>
      <c r="S16" s="378"/>
      <c r="T16" s="343" t="s">
        <v>963</v>
      </c>
      <c r="U16" s="356" t="s">
        <v>4213</v>
      </c>
      <c r="V16" s="356"/>
      <c r="W16" s="356"/>
      <c r="X16" s="356"/>
      <c r="Y16" s="356"/>
      <c r="Z16" s="356"/>
      <c r="AA16" s="356"/>
      <c r="AB16" s="356"/>
      <c r="AC16" s="356" t="s">
        <v>4165</v>
      </c>
      <c r="AD16" s="356" t="s">
        <v>1452</v>
      </c>
      <c r="AE16" s="356" t="s">
        <v>4109</v>
      </c>
      <c r="AG16" s="343"/>
      <c r="AH16" s="343"/>
    </row>
    <row r="17" ht="14.25" customHeight="1">
      <c r="A17" s="379" t="s">
        <v>318</v>
      </c>
      <c r="B17" s="380" t="s">
        <v>319</v>
      </c>
      <c r="C17" s="380" t="s">
        <v>88</v>
      </c>
      <c r="D17" s="380" t="s">
        <v>272</v>
      </c>
      <c r="E17" s="381" t="s">
        <v>4214</v>
      </c>
      <c r="F17" s="382">
        <v>19.0</v>
      </c>
      <c r="G17" s="380" t="s">
        <v>162</v>
      </c>
      <c r="H17" s="380" t="s">
        <v>320</v>
      </c>
      <c r="I17" s="380" t="s">
        <v>49</v>
      </c>
      <c r="J17" s="383"/>
      <c r="K17" s="3"/>
      <c r="L17" s="3"/>
      <c r="M17" s="384"/>
      <c r="N17" s="384"/>
      <c r="O17" s="384"/>
      <c r="P17" s="384"/>
      <c r="Q17" s="384"/>
      <c r="R17" s="384"/>
      <c r="S17" s="384"/>
      <c r="T17" s="154" t="s">
        <v>963</v>
      </c>
      <c r="U17" s="384"/>
      <c r="V17" s="384"/>
      <c r="W17" s="384"/>
      <c r="X17" s="384"/>
      <c r="Y17" s="384"/>
      <c r="Z17" s="384"/>
      <c r="AA17" s="384"/>
      <c r="AB17" s="384"/>
      <c r="AC17" s="384"/>
      <c r="AD17" s="384"/>
      <c r="AE17" s="384"/>
      <c r="AF17" s="385"/>
      <c r="AG17" s="41"/>
      <c r="AH17" s="41"/>
    </row>
    <row r="18" ht="14.25" customHeight="1">
      <c r="A18" s="37" t="s">
        <v>321</v>
      </c>
      <c r="B18" s="37" t="s">
        <v>322</v>
      </c>
      <c r="C18" s="37" t="s">
        <v>88</v>
      </c>
      <c r="D18" s="37" t="s">
        <v>247</v>
      </c>
      <c r="E18" s="160" t="s">
        <v>1603</v>
      </c>
      <c r="F18" s="369">
        <v>12.0</v>
      </c>
      <c r="G18" s="37" t="s">
        <v>323</v>
      </c>
      <c r="H18" s="37" t="s">
        <v>233</v>
      </c>
      <c r="I18" s="37" t="s">
        <v>49</v>
      </c>
      <c r="J18" s="84" t="s">
        <v>4215</v>
      </c>
      <c r="K18" s="84" t="s">
        <v>4216</v>
      </c>
      <c r="L18" s="84" t="s">
        <v>4217</v>
      </c>
      <c r="M18" s="84" t="s">
        <v>4218</v>
      </c>
      <c r="N18" s="84" t="s">
        <v>4219</v>
      </c>
      <c r="O18" s="84" t="s">
        <v>4220</v>
      </c>
      <c r="P18" s="84" t="s">
        <v>931</v>
      </c>
      <c r="Q18" s="84"/>
      <c r="R18" s="84"/>
      <c r="S18" s="84"/>
      <c r="T18" s="154" t="s">
        <v>963</v>
      </c>
      <c r="U18" s="84"/>
      <c r="V18" s="84" t="s">
        <v>4221</v>
      </c>
      <c r="W18" s="84" t="s">
        <v>4222</v>
      </c>
      <c r="X18" s="84"/>
      <c r="Y18" s="84" t="s">
        <v>4223</v>
      </c>
      <c r="Z18" s="84"/>
      <c r="AA18" s="84"/>
      <c r="AB18" s="84"/>
      <c r="AC18" s="84"/>
      <c r="AD18" s="84"/>
      <c r="AE18" s="84" t="s">
        <v>4109</v>
      </c>
      <c r="AF18" s="84"/>
      <c r="AG18" s="84"/>
      <c r="AH18" s="39"/>
    </row>
    <row r="19" ht="14.25" customHeight="1">
      <c r="A19" s="37" t="s">
        <v>324</v>
      </c>
      <c r="B19" s="37" t="s">
        <v>325</v>
      </c>
      <c r="C19" s="37" t="s">
        <v>88</v>
      </c>
      <c r="D19" s="37" t="s">
        <v>326</v>
      </c>
      <c r="E19" s="155" t="s">
        <v>4224</v>
      </c>
      <c r="F19" s="369">
        <v>17.0</v>
      </c>
      <c r="G19" s="39" t="s">
        <v>311</v>
      </c>
      <c r="H19" s="39" t="s">
        <v>4225</v>
      </c>
      <c r="I19" s="39" t="s">
        <v>49</v>
      </c>
      <c r="J19" s="84" t="s">
        <v>4226</v>
      </c>
      <c r="K19" s="84" t="s">
        <v>4227</v>
      </c>
      <c r="L19" s="84" t="s">
        <v>4228</v>
      </c>
      <c r="M19" s="84" t="s">
        <v>4229</v>
      </c>
      <c r="N19" s="84" t="s">
        <v>4230</v>
      </c>
      <c r="O19" s="84" t="s">
        <v>4231</v>
      </c>
      <c r="P19" s="84" t="s">
        <v>931</v>
      </c>
      <c r="Q19" s="363"/>
      <c r="R19" s="363"/>
      <c r="S19" s="84" t="s">
        <v>4232</v>
      </c>
      <c r="T19" s="39" t="s">
        <v>963</v>
      </c>
      <c r="U19" s="84" t="s">
        <v>4233</v>
      </c>
      <c r="V19" s="84" t="s">
        <v>4234</v>
      </c>
      <c r="W19" s="84" t="s">
        <v>4235</v>
      </c>
      <c r="X19" s="84" t="s">
        <v>4107</v>
      </c>
      <c r="Y19" s="84" t="s">
        <v>4236</v>
      </c>
      <c r="AB19" s="84" t="s">
        <v>4237</v>
      </c>
      <c r="AC19" s="84" t="s">
        <v>4165</v>
      </c>
      <c r="AD19" s="84" t="s">
        <v>1027</v>
      </c>
      <c r="AE19" s="84" t="s">
        <v>2864</v>
      </c>
      <c r="AG19" s="363"/>
      <c r="AH19" s="39" t="s">
        <v>4238</v>
      </c>
    </row>
    <row r="20" ht="14.25" customHeight="1">
      <c r="A20" s="37" t="s">
        <v>328</v>
      </c>
      <c r="B20" s="37" t="s">
        <v>329</v>
      </c>
      <c r="C20" s="37" t="s">
        <v>88</v>
      </c>
      <c r="D20" s="37" t="s">
        <v>187</v>
      </c>
      <c r="E20" s="155" t="s">
        <v>4239</v>
      </c>
      <c r="F20" s="369">
        <v>20.0</v>
      </c>
      <c r="G20" s="39" t="s">
        <v>330</v>
      </c>
      <c r="H20" s="39" t="s">
        <v>189</v>
      </c>
      <c r="I20" s="340" t="s">
        <v>4240</v>
      </c>
      <c r="J20" s="84" t="s">
        <v>4241</v>
      </c>
      <c r="K20" s="84" t="s">
        <v>4242</v>
      </c>
      <c r="L20" s="84" t="s">
        <v>4243</v>
      </c>
      <c r="M20" s="84" t="s">
        <v>4244</v>
      </c>
      <c r="N20" s="84" t="s">
        <v>4245</v>
      </c>
      <c r="O20" s="84" t="s">
        <v>4246</v>
      </c>
      <c r="P20" s="84" t="s">
        <v>931</v>
      </c>
      <c r="Q20" s="363"/>
      <c r="R20" s="363"/>
      <c r="S20" s="84" t="s">
        <v>4247</v>
      </c>
      <c r="T20" s="39" t="s">
        <v>963</v>
      </c>
      <c r="U20" s="84" t="s">
        <v>4248</v>
      </c>
      <c r="V20" s="84" t="s">
        <v>4249</v>
      </c>
      <c r="W20" s="84" t="s">
        <v>4250</v>
      </c>
      <c r="X20" s="84" t="s">
        <v>4107</v>
      </c>
      <c r="Y20" s="84" t="s">
        <v>4251</v>
      </c>
      <c r="AB20" s="84" t="s">
        <v>4252</v>
      </c>
      <c r="AC20" s="84" t="s">
        <v>4165</v>
      </c>
      <c r="AD20" s="84" t="s">
        <v>1027</v>
      </c>
      <c r="AE20" s="84" t="s">
        <v>2864</v>
      </c>
      <c r="AG20" s="363"/>
      <c r="AH20" s="41"/>
    </row>
    <row r="21" ht="14.25" customHeight="1">
      <c r="A21" s="37" t="s">
        <v>331</v>
      </c>
      <c r="B21" s="37" t="s">
        <v>332</v>
      </c>
      <c r="C21" s="37" t="s">
        <v>88</v>
      </c>
      <c r="D21" s="37" t="s">
        <v>224</v>
      </c>
      <c r="E21" s="155" t="s">
        <v>4253</v>
      </c>
      <c r="F21" s="369">
        <v>14.0</v>
      </c>
      <c r="G21" s="41"/>
      <c r="H21" s="39" t="s">
        <v>333</v>
      </c>
      <c r="I21" s="39" t="s">
        <v>49</v>
      </c>
      <c r="J21" s="84" t="s">
        <v>4254</v>
      </c>
      <c r="K21" s="84" t="s">
        <v>4255</v>
      </c>
      <c r="L21" s="84" t="s">
        <v>4256</v>
      </c>
      <c r="M21" s="84" t="s">
        <v>4257</v>
      </c>
      <c r="N21" s="84" t="s">
        <v>4258</v>
      </c>
      <c r="O21" s="84" t="s">
        <v>4259</v>
      </c>
      <c r="P21" s="84" t="s">
        <v>931</v>
      </c>
      <c r="Q21" s="363"/>
      <c r="R21" s="363"/>
      <c r="S21" s="84" t="s">
        <v>4260</v>
      </c>
      <c r="T21" s="39" t="s">
        <v>963</v>
      </c>
      <c r="U21" s="84" t="s">
        <v>4261</v>
      </c>
      <c r="V21" s="84" t="s">
        <v>4262</v>
      </c>
      <c r="W21" s="84" t="s">
        <v>4263</v>
      </c>
      <c r="X21" s="84" t="s">
        <v>4107</v>
      </c>
      <c r="Y21" s="84" t="s">
        <v>4264</v>
      </c>
      <c r="AD21" s="84" t="s">
        <v>1027</v>
      </c>
      <c r="AE21" s="84" t="s">
        <v>2864</v>
      </c>
      <c r="AG21" s="363"/>
      <c r="AH21" s="41"/>
    </row>
    <row r="22" ht="14.25" customHeight="1">
      <c r="A22" s="327" t="s">
        <v>334</v>
      </c>
      <c r="B22" s="153" t="s">
        <v>335</v>
      </c>
      <c r="C22" s="153" t="s">
        <v>88</v>
      </c>
      <c r="D22" s="153" t="s">
        <v>336</v>
      </c>
      <c r="E22" s="153"/>
      <c r="F22" s="153"/>
      <c r="G22" s="153" t="s">
        <v>337</v>
      </c>
      <c r="H22" s="153" t="s">
        <v>338</v>
      </c>
      <c r="I22" s="153" t="s">
        <v>49</v>
      </c>
      <c r="J22" s="153"/>
      <c r="K22" s="153"/>
      <c r="L22" s="153"/>
      <c r="M22" s="153"/>
      <c r="N22" s="153"/>
      <c r="O22" s="153"/>
      <c r="P22" s="328"/>
      <c r="R22" s="37"/>
      <c r="T22" s="39" t="s">
        <v>963</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329"/>
      <c r="R23" s="37"/>
      <c r="T23" s="39" t="s">
        <v>963</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55" t="s">
        <v>4265</v>
      </c>
      <c r="F24" s="369">
        <v>11.0</v>
      </c>
      <c r="G24" s="39" t="s">
        <v>311</v>
      </c>
      <c r="H24" s="39" t="s">
        <v>233</v>
      </c>
      <c r="I24" s="39" t="s">
        <v>49</v>
      </c>
      <c r="J24" s="84" t="s">
        <v>4266</v>
      </c>
      <c r="K24" s="84" t="s">
        <v>4267</v>
      </c>
      <c r="L24" s="84" t="s">
        <v>4268</v>
      </c>
      <c r="M24" s="84" t="s">
        <v>4269</v>
      </c>
      <c r="N24" s="84" t="s">
        <v>4270</v>
      </c>
      <c r="O24" s="84" t="s">
        <v>4271</v>
      </c>
      <c r="P24" s="84" t="s">
        <v>931</v>
      </c>
      <c r="Q24" s="41"/>
      <c r="R24" s="41"/>
      <c r="S24" s="41"/>
      <c r="T24" s="39" t="s">
        <v>963</v>
      </c>
      <c r="U24" s="84" t="s">
        <v>4272</v>
      </c>
      <c r="V24" s="84" t="s">
        <v>4273</v>
      </c>
      <c r="W24" s="84" t="s">
        <v>4274</v>
      </c>
      <c r="X24" s="84" t="s">
        <v>4275</v>
      </c>
      <c r="Y24" s="84" t="s">
        <v>4276</v>
      </c>
      <c r="AB24" s="84" t="s">
        <v>4277</v>
      </c>
      <c r="AC24" s="84" t="s">
        <v>4165</v>
      </c>
      <c r="AD24" s="84" t="s">
        <v>1027</v>
      </c>
      <c r="AE24" s="84" t="s">
        <v>2864</v>
      </c>
      <c r="AG24" s="68"/>
    </row>
    <row r="25" ht="14.25" customHeight="1">
      <c r="A25" s="39" t="s">
        <v>893</v>
      </c>
      <c r="B25" s="39" t="s">
        <v>894</v>
      </c>
      <c r="C25" s="39" t="s">
        <v>4278</v>
      </c>
      <c r="D25" s="39" t="s">
        <v>895</v>
      </c>
      <c r="E25" s="155" t="s">
        <v>4279</v>
      </c>
      <c r="F25" s="369">
        <v>15.0</v>
      </c>
      <c r="G25" s="39" t="s">
        <v>300</v>
      </c>
      <c r="H25" s="39" t="s">
        <v>260</v>
      </c>
      <c r="I25" s="39" t="s">
        <v>49</v>
      </c>
      <c r="J25" s="84" t="s">
        <v>4280</v>
      </c>
      <c r="K25" s="84" t="s">
        <v>4281</v>
      </c>
      <c r="L25" s="162" t="s">
        <v>4282</v>
      </c>
      <c r="M25" s="84" t="s">
        <v>4283</v>
      </c>
      <c r="N25" s="84" t="s">
        <v>4284</v>
      </c>
      <c r="O25" s="84" t="s">
        <v>4285</v>
      </c>
      <c r="P25" s="84" t="s">
        <v>931</v>
      </c>
      <c r="Q25" s="41"/>
      <c r="R25" s="41"/>
      <c r="S25" s="39" t="s">
        <v>4286</v>
      </c>
      <c r="T25" s="39" t="s">
        <v>963</v>
      </c>
      <c r="U25" s="84" t="s">
        <v>4287</v>
      </c>
      <c r="V25" s="84" t="s">
        <v>4288</v>
      </c>
      <c r="W25" s="84" t="s">
        <v>4289</v>
      </c>
      <c r="X25" s="84" t="s">
        <v>4118</v>
      </c>
      <c r="Y25" s="162" t="s">
        <v>4290</v>
      </c>
      <c r="Z25" s="363"/>
      <c r="AA25" s="84" t="s">
        <v>4291</v>
      </c>
      <c r="AB25" s="84" t="s">
        <v>4292</v>
      </c>
      <c r="AC25" s="84" t="s">
        <v>4165</v>
      </c>
      <c r="AD25" s="162" t="s">
        <v>4293</v>
      </c>
      <c r="AE25" s="84" t="s">
        <v>4294</v>
      </c>
      <c r="AF25" s="363"/>
      <c r="AG25" s="68"/>
    </row>
    <row r="26" ht="14.25" customHeight="1">
      <c r="A26" s="330" t="s">
        <v>876</v>
      </c>
      <c r="B26" s="330" t="s">
        <v>877</v>
      </c>
      <c r="C26" s="386" t="s">
        <v>4295</v>
      </c>
      <c r="D26" s="330" t="s">
        <v>878</v>
      </c>
      <c r="E26" s="357" t="s">
        <v>4296</v>
      </c>
      <c r="F26" s="387">
        <v>20.0</v>
      </c>
      <c r="G26" s="330" t="s">
        <v>101</v>
      </c>
      <c r="H26" s="330" t="s">
        <v>879</v>
      </c>
      <c r="I26" s="330" t="s">
        <v>559</v>
      </c>
      <c r="J26" s="360" t="s">
        <v>4297</v>
      </c>
      <c r="K26" s="360" t="s">
        <v>4298</v>
      </c>
      <c r="L26" s="360" t="s">
        <v>4299</v>
      </c>
      <c r="M26" s="360" t="s">
        <v>4300</v>
      </c>
      <c r="N26" s="360" t="s">
        <v>4301</v>
      </c>
      <c r="O26" s="360" t="s">
        <v>4302</v>
      </c>
      <c r="P26" s="360" t="s">
        <v>963</v>
      </c>
      <c r="Q26" s="332"/>
      <c r="R26" s="332"/>
      <c r="S26" s="330" t="s">
        <v>4303</v>
      </c>
      <c r="T26" s="330" t="s">
        <v>963</v>
      </c>
      <c r="U26" s="360" t="s">
        <v>4304</v>
      </c>
      <c r="V26" s="360" t="s">
        <v>4305</v>
      </c>
      <c r="W26" s="360" t="s">
        <v>4306</v>
      </c>
      <c r="X26" s="360" t="s">
        <v>4275</v>
      </c>
      <c r="Y26" s="388"/>
      <c r="Z26" s="388"/>
      <c r="AA26" s="360" t="s">
        <v>4307</v>
      </c>
      <c r="AB26" s="360" t="s">
        <v>4308</v>
      </c>
      <c r="AC26" s="360" t="s">
        <v>3165</v>
      </c>
      <c r="AD26" s="360" t="s">
        <v>1070</v>
      </c>
      <c r="AE26" s="360" t="s">
        <v>4309</v>
      </c>
      <c r="AH26" s="315"/>
    </row>
    <row r="27" ht="14.25" customHeight="1">
      <c r="A27" s="330" t="s">
        <v>902</v>
      </c>
      <c r="B27" s="330" t="s">
        <v>903</v>
      </c>
      <c r="C27" s="386" t="s">
        <v>4310</v>
      </c>
      <c r="D27" s="330" t="s">
        <v>904</v>
      </c>
      <c r="E27" s="357" t="s">
        <v>4311</v>
      </c>
      <c r="F27" s="387">
        <v>27.0</v>
      </c>
      <c r="G27" s="332"/>
      <c r="H27" s="330" t="s">
        <v>562</v>
      </c>
      <c r="I27" s="330" t="s">
        <v>578</v>
      </c>
      <c r="J27" s="360" t="s">
        <v>4312</v>
      </c>
      <c r="K27" s="360" t="s">
        <v>4313</v>
      </c>
      <c r="L27" s="360" t="s">
        <v>4314</v>
      </c>
      <c r="M27" s="360" t="s">
        <v>4315</v>
      </c>
      <c r="N27" s="360" t="s">
        <v>4316</v>
      </c>
      <c r="O27" s="360" t="s">
        <v>4317</v>
      </c>
      <c r="P27" s="360" t="s">
        <v>963</v>
      </c>
      <c r="Q27" s="332"/>
      <c r="R27" s="332"/>
      <c r="S27" s="330" t="s">
        <v>4318</v>
      </c>
      <c r="T27" s="330" t="s">
        <v>963</v>
      </c>
      <c r="U27" s="360" t="s">
        <v>4319</v>
      </c>
      <c r="V27" s="360" t="s">
        <v>4320</v>
      </c>
      <c r="W27" s="388"/>
      <c r="X27" s="360" t="s">
        <v>4275</v>
      </c>
      <c r="Y27" s="388"/>
      <c r="Z27" s="388"/>
      <c r="AA27" s="388"/>
      <c r="AB27" s="388"/>
      <c r="AC27" s="388"/>
      <c r="AD27" s="360" t="s">
        <v>1577</v>
      </c>
      <c r="AE27" s="360" t="s">
        <v>4321</v>
      </c>
      <c r="AF27" s="360" t="s">
        <v>4322</v>
      </c>
      <c r="AH27" s="315"/>
    </row>
    <row r="28" ht="14.25" customHeight="1">
      <c r="A28" s="39" t="s">
        <v>670</v>
      </c>
      <c r="B28" s="39" t="s">
        <v>671</v>
      </c>
      <c r="C28" s="389" t="s">
        <v>4295</v>
      </c>
      <c r="D28" s="39" t="s">
        <v>555</v>
      </c>
      <c r="E28" s="155" t="s">
        <v>4323</v>
      </c>
      <c r="F28" s="369">
        <v>22.0</v>
      </c>
      <c r="G28" s="39" t="s">
        <v>198</v>
      </c>
      <c r="H28" s="39" t="s">
        <v>672</v>
      </c>
      <c r="I28" s="39" t="s">
        <v>49</v>
      </c>
      <c r="J28" s="84" t="s">
        <v>4324</v>
      </c>
      <c r="K28" s="84" t="s">
        <v>4325</v>
      </c>
      <c r="L28" s="84" t="s">
        <v>4326</v>
      </c>
      <c r="M28" s="84" t="s">
        <v>4327</v>
      </c>
      <c r="N28" s="84" t="s">
        <v>4328</v>
      </c>
      <c r="O28" s="84" t="s">
        <v>4329</v>
      </c>
      <c r="P28" s="84" t="s">
        <v>931</v>
      </c>
      <c r="Q28" s="41"/>
      <c r="R28" s="41"/>
      <c r="S28" s="39" t="s">
        <v>4330</v>
      </c>
      <c r="T28" s="39" t="s">
        <v>963</v>
      </c>
      <c r="U28" s="84" t="s">
        <v>4331</v>
      </c>
      <c r="V28" s="84" t="s">
        <v>4332</v>
      </c>
      <c r="W28" s="84" t="s">
        <v>4333</v>
      </c>
      <c r="X28" s="84" t="s">
        <v>4334</v>
      </c>
      <c r="Y28" s="84" t="s">
        <v>4335</v>
      </c>
      <c r="AB28" s="84" t="s">
        <v>4336</v>
      </c>
      <c r="AC28" s="84" t="s">
        <v>4165</v>
      </c>
      <c r="AD28" s="84" t="s">
        <v>1027</v>
      </c>
      <c r="AE28" s="84" t="s">
        <v>2864</v>
      </c>
      <c r="AG28" s="363"/>
    </row>
    <row r="29" ht="16.5" customHeight="1">
      <c r="A29" s="39" t="s">
        <v>673</v>
      </c>
      <c r="B29" s="39" t="s">
        <v>674</v>
      </c>
      <c r="C29" s="389" t="s">
        <v>4295</v>
      </c>
      <c r="D29" s="39" t="s">
        <v>141</v>
      </c>
      <c r="E29" s="155" t="s">
        <v>4337</v>
      </c>
      <c r="F29" s="369">
        <v>20.0</v>
      </c>
      <c r="G29" s="39" t="s">
        <v>675</v>
      </c>
      <c r="H29" s="39" t="s">
        <v>189</v>
      </c>
      <c r="I29" s="39" t="s">
        <v>49</v>
      </c>
      <c r="J29" s="84" t="s">
        <v>4338</v>
      </c>
      <c r="K29" s="84" t="s">
        <v>4339</v>
      </c>
      <c r="L29" s="84" t="s">
        <v>4340</v>
      </c>
      <c r="M29" s="84" t="s">
        <v>4341</v>
      </c>
      <c r="N29" s="84" t="s">
        <v>4342</v>
      </c>
      <c r="O29" s="84"/>
      <c r="P29" s="84" t="s">
        <v>931</v>
      </c>
      <c r="Q29" s="41"/>
      <c r="R29" s="41"/>
      <c r="S29" s="39" t="s">
        <v>4343</v>
      </c>
      <c r="T29" s="39" t="s">
        <v>963</v>
      </c>
      <c r="U29" s="84" t="s">
        <v>4344</v>
      </c>
      <c r="V29" s="84" t="s">
        <v>4345</v>
      </c>
      <c r="W29" s="84" t="s">
        <v>4197</v>
      </c>
      <c r="X29" s="84" t="s">
        <v>4010</v>
      </c>
      <c r="Y29" s="84" t="s">
        <v>4346</v>
      </c>
      <c r="AB29" s="84" t="s">
        <v>4347</v>
      </c>
      <c r="AC29" s="84" t="s">
        <v>4165</v>
      </c>
      <c r="AD29" s="84" t="s">
        <v>1027</v>
      </c>
      <c r="AE29" s="84" t="s">
        <v>2864</v>
      </c>
      <c r="AG29" s="363"/>
    </row>
    <row r="30" ht="14.25" customHeight="1">
      <c r="A30" s="39" t="s">
        <v>676</v>
      </c>
      <c r="B30" s="39" t="s">
        <v>677</v>
      </c>
      <c r="C30" s="389" t="s">
        <v>88</v>
      </c>
      <c r="D30" s="39" t="s">
        <v>678</v>
      </c>
      <c r="E30" s="155" t="s">
        <v>4348</v>
      </c>
      <c r="F30" s="39">
        <v>18.0</v>
      </c>
      <c r="G30" s="39" t="s">
        <v>137</v>
      </c>
      <c r="H30" s="39" t="s">
        <v>588</v>
      </c>
      <c r="I30" s="39" t="s">
        <v>49</v>
      </c>
      <c r="J30" s="84" t="s">
        <v>4349</v>
      </c>
      <c r="K30" s="84" t="s">
        <v>4350</v>
      </c>
      <c r="L30" s="84" t="s">
        <v>4351</v>
      </c>
      <c r="M30" s="84" t="s">
        <v>4352</v>
      </c>
      <c r="N30" s="84" t="s">
        <v>4353</v>
      </c>
      <c r="O30" s="84" t="s">
        <v>4354</v>
      </c>
      <c r="P30" s="84" t="s">
        <v>931</v>
      </c>
      <c r="Q30" s="41"/>
      <c r="R30" s="41"/>
      <c r="S30" s="39" t="s">
        <v>4355</v>
      </c>
      <c r="T30" s="39" t="s">
        <v>963</v>
      </c>
      <c r="U30" s="84" t="s">
        <v>4356</v>
      </c>
      <c r="V30" s="84" t="s">
        <v>4357</v>
      </c>
      <c r="W30" s="84" t="s">
        <v>4358</v>
      </c>
      <c r="X30" s="84"/>
      <c r="Y30" s="84" t="s">
        <v>4359</v>
      </c>
      <c r="AB30" s="84" t="s">
        <v>4360</v>
      </c>
      <c r="AC30" s="84" t="s">
        <v>4165</v>
      </c>
      <c r="AD30" s="84" t="s">
        <v>1341</v>
      </c>
      <c r="AE30" s="84" t="s">
        <v>2864</v>
      </c>
      <c r="AG30" s="363"/>
    </row>
    <row r="31" ht="14.25" customHeight="1">
      <c r="A31" s="39" t="s">
        <v>679</v>
      </c>
      <c r="B31" s="39" t="s">
        <v>680</v>
      </c>
      <c r="C31" s="389" t="s">
        <v>4295</v>
      </c>
      <c r="D31" s="39" t="s">
        <v>367</v>
      </c>
      <c r="E31" s="155" t="s">
        <v>4361</v>
      </c>
      <c r="F31" s="369">
        <v>19.0</v>
      </c>
      <c r="G31" s="39" t="s">
        <v>681</v>
      </c>
      <c r="H31" s="39" t="s">
        <v>189</v>
      </c>
      <c r="I31" s="39" t="s">
        <v>49</v>
      </c>
      <c r="J31" s="84" t="s">
        <v>4362</v>
      </c>
      <c r="K31" s="84" t="s">
        <v>4363</v>
      </c>
      <c r="L31" s="84" t="s">
        <v>4364</v>
      </c>
      <c r="M31" s="84" t="s">
        <v>4365</v>
      </c>
      <c r="N31" s="84" t="s">
        <v>4366</v>
      </c>
      <c r="O31" s="84" t="s">
        <v>4367</v>
      </c>
      <c r="P31" s="84" t="s">
        <v>931</v>
      </c>
      <c r="Q31" s="41"/>
      <c r="R31" s="41"/>
      <c r="S31" s="39" t="s">
        <v>4368</v>
      </c>
      <c r="T31" s="39" t="s">
        <v>963</v>
      </c>
      <c r="U31" s="84" t="s">
        <v>4369</v>
      </c>
      <c r="V31" s="84" t="s">
        <v>4370</v>
      </c>
      <c r="W31" s="84" t="s">
        <v>4371</v>
      </c>
      <c r="X31" s="84" t="s">
        <v>4275</v>
      </c>
      <c r="Y31" s="84" t="s">
        <v>4372</v>
      </c>
      <c r="AB31" s="84" t="s">
        <v>4373</v>
      </c>
      <c r="AC31" s="84" t="s">
        <v>4165</v>
      </c>
      <c r="AD31" s="84" t="s">
        <v>1027</v>
      </c>
      <c r="AE31" s="84" t="s">
        <v>4374</v>
      </c>
      <c r="AF31" s="84" t="s">
        <v>4375</v>
      </c>
    </row>
    <row r="32" ht="14.25" customHeight="1">
      <c r="A32" s="39" t="s">
        <v>858</v>
      </c>
      <c r="B32" s="39" t="s">
        <v>859</v>
      </c>
      <c r="C32" s="389" t="s">
        <v>4295</v>
      </c>
      <c r="D32" s="39" t="s">
        <v>501</v>
      </c>
      <c r="E32" s="155" t="s">
        <v>4376</v>
      </c>
      <c r="F32" s="369">
        <v>19.0</v>
      </c>
      <c r="G32" s="39" t="s">
        <v>860</v>
      </c>
      <c r="H32" s="39" t="s">
        <v>209</v>
      </c>
      <c r="I32" s="39" t="s">
        <v>578</v>
      </c>
      <c r="J32" s="84" t="s">
        <v>4377</v>
      </c>
      <c r="K32" s="84" t="s">
        <v>4378</v>
      </c>
      <c r="L32" s="84" t="s">
        <v>4379</v>
      </c>
      <c r="M32" s="84" t="s">
        <v>4380</v>
      </c>
      <c r="N32" s="84" t="s">
        <v>4381</v>
      </c>
      <c r="O32" s="84" t="s">
        <v>4382</v>
      </c>
      <c r="P32" s="84" t="s">
        <v>4383</v>
      </c>
      <c r="Q32" s="84"/>
      <c r="R32" s="39" t="s">
        <v>2992</v>
      </c>
      <c r="S32" s="39" t="s">
        <v>4384</v>
      </c>
      <c r="T32" s="39" t="s">
        <v>963</v>
      </c>
      <c r="U32" s="84" t="s">
        <v>4385</v>
      </c>
      <c r="V32" s="84" t="s">
        <v>4386</v>
      </c>
      <c r="W32" s="84"/>
      <c r="X32" s="84" t="s">
        <v>4107</v>
      </c>
      <c r="Y32" s="84" t="s">
        <v>4387</v>
      </c>
      <c r="AB32" s="84" t="s">
        <v>4388</v>
      </c>
      <c r="AC32" s="84" t="s">
        <v>4165</v>
      </c>
      <c r="AD32" s="84" t="s">
        <v>1341</v>
      </c>
      <c r="AE32" s="363"/>
      <c r="AF32" s="84" t="s">
        <v>4389</v>
      </c>
    </row>
    <row r="33" ht="14.25" customHeight="1">
      <c r="A33" s="39" t="s">
        <v>861</v>
      </c>
      <c r="B33" s="39" t="s">
        <v>862</v>
      </c>
      <c r="C33" s="389" t="s">
        <v>4295</v>
      </c>
      <c r="D33" s="39" t="s">
        <v>215</v>
      </c>
      <c r="E33" s="155" t="s">
        <v>4390</v>
      </c>
      <c r="F33" s="369">
        <v>16.0</v>
      </c>
      <c r="G33" s="39" t="s">
        <v>863</v>
      </c>
      <c r="H33" s="39" t="s">
        <v>142</v>
      </c>
      <c r="I33" s="39" t="s">
        <v>49</v>
      </c>
      <c r="J33" s="84" t="s">
        <v>4391</v>
      </c>
      <c r="K33" s="84" t="s">
        <v>4392</v>
      </c>
      <c r="L33" s="84" t="s">
        <v>4393</v>
      </c>
      <c r="M33" s="84" t="s">
        <v>4394</v>
      </c>
      <c r="N33" s="84" t="s">
        <v>4395</v>
      </c>
      <c r="O33" s="84" t="s">
        <v>4396</v>
      </c>
      <c r="P33" s="84" t="s">
        <v>931</v>
      </c>
      <c r="Q33" s="363"/>
      <c r="R33" s="39" t="s">
        <v>2992</v>
      </c>
      <c r="S33" s="39" t="s">
        <v>4397</v>
      </c>
      <c r="T33" s="39" t="s">
        <v>963</v>
      </c>
      <c r="U33" s="84" t="s">
        <v>4398</v>
      </c>
      <c r="V33" s="84" t="s">
        <v>4399</v>
      </c>
      <c r="W33" s="84" t="s">
        <v>4400</v>
      </c>
      <c r="X33" s="84" t="s">
        <v>4010</v>
      </c>
      <c r="Y33" s="84" t="s">
        <v>4401</v>
      </c>
      <c r="Z33" s="84" t="s">
        <v>4402</v>
      </c>
      <c r="AC33" s="84" t="s">
        <v>4403</v>
      </c>
      <c r="AD33" s="84" t="s">
        <v>1027</v>
      </c>
      <c r="AE33" s="363"/>
      <c r="AF33" s="84" t="s">
        <v>4404</v>
      </c>
    </row>
    <row r="34" ht="14.25" customHeight="1">
      <c r="A34" s="39" t="s">
        <v>864</v>
      </c>
      <c r="B34" s="39" t="s">
        <v>865</v>
      </c>
      <c r="C34" s="389" t="s">
        <v>4295</v>
      </c>
      <c r="D34" s="39" t="s">
        <v>866</v>
      </c>
      <c r="E34" s="155" t="s">
        <v>4405</v>
      </c>
      <c r="F34" s="369">
        <v>14.0</v>
      </c>
      <c r="G34" s="165"/>
      <c r="H34" s="39" t="s">
        <v>867</v>
      </c>
      <c r="I34" s="39" t="s">
        <v>49</v>
      </c>
      <c r="J34" s="84" t="s">
        <v>4406</v>
      </c>
      <c r="K34" s="84" t="s">
        <v>4407</v>
      </c>
      <c r="L34" s="84" t="s">
        <v>4408</v>
      </c>
      <c r="M34" s="84" t="s">
        <v>4409</v>
      </c>
      <c r="N34" s="84" t="s">
        <v>4410</v>
      </c>
      <c r="O34" s="84" t="s">
        <v>4411</v>
      </c>
      <c r="P34" s="84" t="s">
        <v>931</v>
      </c>
      <c r="Q34" s="363"/>
      <c r="R34" s="41"/>
      <c r="S34" s="39" t="s">
        <v>4412</v>
      </c>
      <c r="T34" s="39" t="s">
        <v>963</v>
      </c>
      <c r="U34" s="363"/>
      <c r="V34" s="84" t="s">
        <v>4413</v>
      </c>
      <c r="W34" s="84" t="s">
        <v>4414</v>
      </c>
      <c r="Y34" s="84" t="s">
        <v>4415</v>
      </c>
      <c r="Z34" s="363"/>
      <c r="AA34" s="84" t="s">
        <v>4416</v>
      </c>
      <c r="AB34" s="84" t="s">
        <v>4417</v>
      </c>
      <c r="AC34" s="84" t="s">
        <v>4165</v>
      </c>
      <c r="AD34" s="84" t="s">
        <v>1019</v>
      </c>
      <c r="AE34" s="363"/>
      <c r="AF34" s="84" t="s">
        <v>4418</v>
      </c>
    </row>
    <row r="35" ht="14.25" customHeight="1">
      <c r="A35" s="330" t="s">
        <v>868</v>
      </c>
      <c r="B35" s="330" t="s">
        <v>869</v>
      </c>
      <c r="C35" s="386" t="s">
        <v>4295</v>
      </c>
      <c r="D35" s="330" t="s">
        <v>283</v>
      </c>
      <c r="E35" s="357" t="s">
        <v>4419</v>
      </c>
      <c r="F35" s="387">
        <v>17.0</v>
      </c>
      <c r="G35" s="330" t="s">
        <v>870</v>
      </c>
      <c r="H35" s="330" t="s">
        <v>393</v>
      </c>
      <c r="I35" s="330" t="s">
        <v>559</v>
      </c>
      <c r="J35" s="360" t="s">
        <v>4420</v>
      </c>
      <c r="K35" s="360" t="s">
        <v>4421</v>
      </c>
      <c r="L35" s="360" t="s">
        <v>4422</v>
      </c>
      <c r="M35" s="360" t="s">
        <v>4423</v>
      </c>
      <c r="P35" s="360" t="s">
        <v>963</v>
      </c>
      <c r="Q35" s="388"/>
      <c r="R35" s="330" t="s">
        <v>2992</v>
      </c>
      <c r="S35" s="330" t="s">
        <v>4424</v>
      </c>
      <c r="T35" s="330" t="s">
        <v>963</v>
      </c>
      <c r="U35" s="360" t="s">
        <v>4425</v>
      </c>
      <c r="V35" s="360" t="s">
        <v>4426</v>
      </c>
      <c r="W35" s="360" t="s">
        <v>4427</v>
      </c>
      <c r="X35" s="360" t="s">
        <v>4428</v>
      </c>
      <c r="AB35" s="388"/>
      <c r="AC35" s="388"/>
      <c r="AD35" s="360" t="s">
        <v>1692</v>
      </c>
      <c r="AE35" s="360" t="s">
        <v>4429</v>
      </c>
      <c r="AF35" s="360" t="s">
        <v>4430</v>
      </c>
      <c r="AH35" s="315"/>
    </row>
    <row r="36" ht="14.25" customHeight="1">
      <c r="A36" s="24" t="s">
        <v>871</v>
      </c>
      <c r="B36" s="24" t="s">
        <v>872</v>
      </c>
      <c r="C36" s="390" t="s">
        <v>4295</v>
      </c>
      <c r="D36" s="24" t="s">
        <v>873</v>
      </c>
      <c r="E36" s="391" t="s">
        <v>4431</v>
      </c>
      <c r="F36" s="392">
        <v>6.0</v>
      </c>
      <c r="G36" s="24" t="s">
        <v>142</v>
      </c>
      <c r="H36" s="24" t="s">
        <v>142</v>
      </c>
      <c r="I36" s="24" t="s">
        <v>49</v>
      </c>
      <c r="J36" s="393"/>
      <c r="K36" s="393"/>
      <c r="L36" s="393"/>
      <c r="M36" s="393"/>
      <c r="N36" s="393"/>
      <c r="O36" s="393"/>
      <c r="P36" s="394" t="s">
        <v>4432</v>
      </c>
      <c r="Q36" s="393"/>
      <c r="R36" s="24" t="s">
        <v>2999</v>
      </c>
      <c r="S36" s="24" t="s">
        <v>4433</v>
      </c>
      <c r="T36" s="24" t="s">
        <v>963</v>
      </c>
      <c r="U36" s="394"/>
      <c r="V36" s="394" t="s">
        <v>4434</v>
      </c>
      <c r="W36" s="394"/>
      <c r="X36" s="394"/>
      <c r="Y36" s="394"/>
      <c r="Z36" s="393"/>
      <c r="AA36" s="393"/>
      <c r="AB36" s="393"/>
      <c r="AC36" s="393"/>
      <c r="AD36" s="393"/>
      <c r="AE36" s="393"/>
      <c r="AF36" s="394" t="s">
        <v>4435</v>
      </c>
      <c r="AH36" s="9"/>
    </row>
    <row r="37" ht="14.25" customHeight="1">
      <c r="A37" s="24" t="s">
        <v>874</v>
      </c>
      <c r="B37" s="24" t="s">
        <v>875</v>
      </c>
      <c r="C37" s="390" t="s">
        <v>4295</v>
      </c>
      <c r="D37" s="24" t="s">
        <v>529</v>
      </c>
      <c r="E37" s="391" t="s">
        <v>4436</v>
      </c>
      <c r="F37" s="392">
        <v>16.0</v>
      </c>
      <c r="G37" s="24" t="s">
        <v>418</v>
      </c>
      <c r="H37" s="24" t="s">
        <v>114</v>
      </c>
      <c r="I37" s="24" t="s">
        <v>49</v>
      </c>
      <c r="J37" s="394" t="s">
        <v>4437</v>
      </c>
      <c r="K37" s="394" t="s">
        <v>4438</v>
      </c>
      <c r="L37" s="394" t="s">
        <v>4439</v>
      </c>
      <c r="M37" s="393"/>
      <c r="N37" s="393"/>
      <c r="O37" s="393"/>
      <c r="P37" s="394" t="s">
        <v>4432</v>
      </c>
      <c r="Q37" s="393"/>
      <c r="R37" s="24" t="s">
        <v>2999</v>
      </c>
      <c r="S37" s="24" t="s">
        <v>4440</v>
      </c>
      <c r="T37" s="24" t="s">
        <v>963</v>
      </c>
      <c r="U37" s="394" t="s">
        <v>4441</v>
      </c>
      <c r="V37" s="394" t="s">
        <v>3402</v>
      </c>
      <c r="W37" s="394"/>
      <c r="X37" s="394"/>
      <c r="Y37" s="393"/>
      <c r="Z37" s="393"/>
      <c r="AA37" s="393"/>
      <c r="AB37" s="393"/>
      <c r="AC37" s="393"/>
      <c r="AD37" s="394" t="s">
        <v>1517</v>
      </c>
      <c r="AE37" s="394" t="s">
        <v>4442</v>
      </c>
      <c r="AH37" s="9"/>
    </row>
    <row r="38" ht="14.25" customHeight="1">
      <c r="A38" s="395" t="s">
        <v>871</v>
      </c>
      <c r="B38" s="395" t="s">
        <v>872</v>
      </c>
      <c r="C38" s="396" t="s">
        <v>4295</v>
      </c>
      <c r="D38" s="395" t="s">
        <v>873</v>
      </c>
      <c r="E38" s="397" t="s">
        <v>4443</v>
      </c>
      <c r="F38" s="398">
        <v>6.0</v>
      </c>
      <c r="G38" s="395" t="s">
        <v>142</v>
      </c>
      <c r="H38" s="395" t="s">
        <v>142</v>
      </c>
      <c r="I38" s="395" t="s">
        <v>49</v>
      </c>
      <c r="J38" s="399"/>
      <c r="K38" s="399"/>
      <c r="L38" s="399"/>
      <c r="M38" s="399"/>
      <c r="N38" s="399"/>
      <c r="O38" s="399"/>
      <c r="P38" s="399"/>
      <c r="Q38" s="399"/>
      <c r="R38" s="400"/>
      <c r="S38" s="400"/>
      <c r="T38" s="395" t="s">
        <v>963</v>
      </c>
      <c r="U38" s="400"/>
      <c r="V38" s="400"/>
      <c r="W38" s="400"/>
      <c r="X38" s="400"/>
      <c r="Y38" s="400"/>
      <c r="Z38" s="400"/>
      <c r="AA38" s="400"/>
      <c r="AB38" s="400"/>
      <c r="AC38" s="400"/>
      <c r="AD38" s="400"/>
      <c r="AE38" s="400"/>
      <c r="AF38" s="400"/>
      <c r="AG38" s="400"/>
      <c r="AH38" s="13"/>
    </row>
    <row r="39" ht="14.25" customHeight="1">
      <c r="A39" s="330" t="s">
        <v>881</v>
      </c>
      <c r="B39" s="330" t="s">
        <v>882</v>
      </c>
      <c r="C39" s="386" t="s">
        <v>4295</v>
      </c>
      <c r="D39" s="330" t="s">
        <v>422</v>
      </c>
      <c r="E39" s="357" t="s">
        <v>4444</v>
      </c>
      <c r="F39" s="387">
        <v>13.0</v>
      </c>
      <c r="G39" s="330" t="s">
        <v>101</v>
      </c>
      <c r="H39" s="330" t="s">
        <v>110</v>
      </c>
      <c r="I39" s="330" t="s">
        <v>578</v>
      </c>
      <c r="J39" s="360" t="s">
        <v>4445</v>
      </c>
      <c r="K39" s="360" t="s">
        <v>4446</v>
      </c>
      <c r="L39" s="360" t="s">
        <v>4447</v>
      </c>
      <c r="M39" s="360" t="s">
        <v>4448</v>
      </c>
      <c r="N39" s="360" t="s">
        <v>620</v>
      </c>
      <c r="O39" s="388"/>
      <c r="P39" s="360" t="s">
        <v>4432</v>
      </c>
      <c r="Q39" s="388"/>
      <c r="R39" s="330" t="s">
        <v>2992</v>
      </c>
      <c r="S39" s="330" t="s">
        <v>4449</v>
      </c>
      <c r="T39" s="330" t="s">
        <v>963</v>
      </c>
      <c r="U39" s="360" t="s">
        <v>4450</v>
      </c>
      <c r="V39" s="360" t="s">
        <v>4451</v>
      </c>
      <c r="W39" s="360" t="s">
        <v>4452</v>
      </c>
      <c r="X39" s="360" t="s">
        <v>4428</v>
      </c>
      <c r="Y39" s="360" t="s">
        <v>4453</v>
      </c>
      <c r="AB39" s="360" t="s">
        <v>4454</v>
      </c>
      <c r="AD39" s="360" t="s">
        <v>1426</v>
      </c>
      <c r="AE39" s="388"/>
      <c r="AF39" s="388"/>
      <c r="AG39" s="388"/>
      <c r="AH39" s="315"/>
    </row>
    <row r="40" ht="14.25" customHeight="1">
      <c r="T40" s="26" t="s">
        <v>963</v>
      </c>
    </row>
    <row r="41" ht="14.25" customHeight="1">
      <c r="A41" s="37" t="s">
        <v>575</v>
      </c>
      <c r="B41" s="37" t="s">
        <v>576</v>
      </c>
      <c r="C41" s="38" t="s">
        <v>88</v>
      </c>
      <c r="D41" s="68" t="s">
        <v>207</v>
      </c>
      <c r="E41" s="78" t="s">
        <v>2237</v>
      </c>
      <c r="F41" s="67">
        <v>11.0</v>
      </c>
      <c r="G41" s="68" t="s">
        <v>577</v>
      </c>
      <c r="H41" s="68" t="s">
        <v>217</v>
      </c>
      <c r="I41" s="37" t="s">
        <v>578</v>
      </c>
      <c r="J41" s="26" t="s">
        <v>4455</v>
      </c>
      <c r="K41" s="26" t="s">
        <v>4456</v>
      </c>
      <c r="L41" s="26" t="s">
        <v>4457</v>
      </c>
      <c r="N41" s="26" t="s">
        <v>4458</v>
      </c>
      <c r="P41" s="26" t="s">
        <v>931</v>
      </c>
      <c r="T41" s="26" t="s">
        <v>963</v>
      </c>
      <c r="V41" s="67" t="s">
        <v>4459</v>
      </c>
      <c r="W41" s="68"/>
      <c r="X41" s="26" t="s">
        <v>4107</v>
      </c>
      <c r="Y41" s="26" t="s">
        <v>1017</v>
      </c>
      <c r="AB41" s="26" t="s">
        <v>4460</v>
      </c>
      <c r="AC41" s="26" t="s">
        <v>4165</v>
      </c>
      <c r="AD41" s="26" t="s">
        <v>1341</v>
      </c>
      <c r="AE41" s="26" t="s">
        <v>4461</v>
      </c>
      <c r="AF41" s="26" t="s">
        <v>4462</v>
      </c>
    </row>
    <row r="42" ht="14.25" customHeight="1">
      <c r="A42" s="14" t="s">
        <v>579</v>
      </c>
      <c r="B42" s="14" t="s">
        <v>580</v>
      </c>
      <c r="C42" s="401" t="s">
        <v>88</v>
      </c>
      <c r="D42" s="376" t="s">
        <v>113</v>
      </c>
      <c r="E42" s="402" t="s">
        <v>4463</v>
      </c>
      <c r="F42" s="403">
        <v>11.0</v>
      </c>
      <c r="G42" s="376" t="s">
        <v>581</v>
      </c>
      <c r="H42" s="376" t="s">
        <v>582</v>
      </c>
      <c r="I42" s="14" t="s">
        <v>578</v>
      </c>
      <c r="J42" s="14"/>
      <c r="K42" s="14"/>
      <c r="L42" s="14"/>
      <c r="M42" s="14"/>
      <c r="N42" s="14"/>
      <c r="O42" s="14"/>
      <c r="P42" s="375" t="s">
        <v>4464</v>
      </c>
      <c r="Q42" s="14"/>
      <c r="R42" s="375" t="s">
        <v>2999</v>
      </c>
      <c r="S42" s="14"/>
      <c r="T42" s="375" t="s">
        <v>963</v>
      </c>
      <c r="U42" s="14"/>
      <c r="V42" s="14"/>
      <c r="W42" s="14"/>
      <c r="X42" s="14"/>
      <c r="Y42" s="14"/>
      <c r="Z42" s="14"/>
      <c r="AA42" s="14"/>
      <c r="AB42" s="14"/>
      <c r="AC42" s="14"/>
      <c r="AD42" s="375" t="s">
        <v>1217</v>
      </c>
      <c r="AE42" s="14"/>
      <c r="AF42" s="14"/>
      <c r="AG42" s="14"/>
      <c r="AH42" s="14"/>
    </row>
    <row r="43" ht="14.25" customHeight="1">
      <c r="A43" s="9" t="s">
        <v>583</v>
      </c>
      <c r="B43" s="9" t="s">
        <v>584</v>
      </c>
      <c r="C43" s="404" t="s">
        <v>88</v>
      </c>
      <c r="D43" s="405" t="s">
        <v>283</v>
      </c>
      <c r="E43" s="406" t="s">
        <v>4465</v>
      </c>
      <c r="F43" s="405"/>
      <c r="G43" s="405"/>
      <c r="H43" s="405" t="s">
        <v>209</v>
      </c>
      <c r="I43" s="9" t="s">
        <v>578</v>
      </c>
      <c r="J43" s="9"/>
      <c r="K43" s="9"/>
      <c r="L43" s="9"/>
      <c r="M43" s="9"/>
      <c r="N43" s="9"/>
      <c r="O43" s="9"/>
      <c r="P43" s="318" t="s">
        <v>4464</v>
      </c>
      <c r="Q43" s="9"/>
      <c r="R43" s="318" t="s">
        <v>2999</v>
      </c>
      <c r="S43" s="9"/>
      <c r="T43" s="318" t="s">
        <v>963</v>
      </c>
      <c r="U43" s="9"/>
      <c r="V43" s="9"/>
      <c r="W43" s="9"/>
      <c r="X43" s="9"/>
      <c r="Y43" s="9"/>
      <c r="Z43" s="9"/>
      <c r="AA43" s="9"/>
      <c r="AB43" s="9"/>
      <c r="AC43" s="9"/>
      <c r="AD43" s="318" t="s">
        <v>1261</v>
      </c>
      <c r="AE43" s="9"/>
      <c r="AF43" s="9"/>
      <c r="AG43" s="9"/>
      <c r="AH43" s="9"/>
    </row>
    <row r="44" ht="14.25" customHeight="1">
      <c r="A44" s="37" t="s">
        <v>585</v>
      </c>
      <c r="B44" s="37" t="s">
        <v>586</v>
      </c>
      <c r="C44" s="38" t="s">
        <v>88</v>
      </c>
      <c r="D44" s="68" t="s">
        <v>587</v>
      </c>
      <c r="E44" s="78" t="s">
        <v>2246</v>
      </c>
      <c r="F44" s="68"/>
      <c r="G44" s="68" t="s">
        <v>137</v>
      </c>
      <c r="H44" s="68" t="s">
        <v>588</v>
      </c>
      <c r="I44" s="26" t="s">
        <v>4466</v>
      </c>
      <c r="J44" s="26" t="s">
        <v>4467</v>
      </c>
      <c r="K44" s="26" t="s">
        <v>4468</v>
      </c>
      <c r="L44" s="26" t="s">
        <v>4469</v>
      </c>
      <c r="M44" s="26" t="s">
        <v>4470</v>
      </c>
      <c r="N44" s="26" t="s">
        <v>4471</v>
      </c>
      <c r="O44" s="26" t="s">
        <v>4472</v>
      </c>
      <c r="P44" s="26" t="s">
        <v>931</v>
      </c>
      <c r="T44" s="26" t="s">
        <v>963</v>
      </c>
      <c r="V44" s="26" t="s">
        <v>4473</v>
      </c>
      <c r="W44" s="26" t="s">
        <v>4474</v>
      </c>
      <c r="X44" s="26" t="s">
        <v>4107</v>
      </c>
      <c r="Y44" s="26" t="s">
        <v>4475</v>
      </c>
      <c r="AB44" s="26" t="s">
        <v>2248</v>
      </c>
      <c r="AC44" s="26" t="s">
        <v>4165</v>
      </c>
      <c r="AD44" s="26" t="s">
        <v>1070</v>
      </c>
      <c r="AE44" s="26" t="s">
        <v>4476</v>
      </c>
      <c r="AF44" s="26" t="s">
        <v>4477</v>
      </c>
    </row>
    <row r="45" ht="14.25" customHeight="1">
      <c r="A45" s="14" t="s">
        <v>589</v>
      </c>
      <c r="B45" s="14" t="s">
        <v>590</v>
      </c>
      <c r="C45" s="401" t="s">
        <v>88</v>
      </c>
      <c r="D45" s="376" t="s">
        <v>283</v>
      </c>
      <c r="E45" s="407" t="s">
        <v>4478</v>
      </c>
      <c r="F45" s="403">
        <v>19.0</v>
      </c>
      <c r="G45" s="376" t="s">
        <v>591</v>
      </c>
      <c r="H45" s="376" t="s">
        <v>217</v>
      </c>
      <c r="I45" s="14" t="s">
        <v>578</v>
      </c>
      <c r="J45" s="14"/>
      <c r="K45" s="14"/>
      <c r="L45" s="14"/>
      <c r="M45" s="14"/>
      <c r="N45" s="14"/>
      <c r="O45" s="14"/>
      <c r="P45" s="375" t="s">
        <v>963</v>
      </c>
      <c r="Q45" s="14"/>
      <c r="R45" s="375" t="s">
        <v>2999</v>
      </c>
      <c r="S45" s="375" t="s">
        <v>3031</v>
      </c>
      <c r="T45" s="375" t="s">
        <v>963</v>
      </c>
      <c r="U45" s="14"/>
      <c r="V45" s="14"/>
      <c r="W45" s="14"/>
      <c r="X45" s="14"/>
      <c r="Y45" s="14"/>
      <c r="Z45" s="14"/>
      <c r="AA45" s="14"/>
      <c r="AB45" s="14"/>
      <c r="AC45" s="14"/>
      <c r="AD45" s="375" t="s">
        <v>4479</v>
      </c>
      <c r="AE45" s="375" t="s">
        <v>4480</v>
      </c>
      <c r="AF45" s="14"/>
      <c r="AG45" s="14"/>
      <c r="AH45" s="14"/>
    </row>
    <row r="46" ht="14.25" customHeight="1">
      <c r="A46" s="315" t="s">
        <v>592</v>
      </c>
      <c r="B46" s="315" t="s">
        <v>593</v>
      </c>
      <c r="C46" s="408" t="s">
        <v>88</v>
      </c>
      <c r="D46" s="362" t="s">
        <v>594</v>
      </c>
      <c r="E46" s="409" t="s">
        <v>4481</v>
      </c>
      <c r="F46" s="362"/>
      <c r="G46" s="362"/>
      <c r="H46" s="362" t="s">
        <v>209</v>
      </c>
      <c r="I46" s="315" t="s">
        <v>578</v>
      </c>
      <c r="J46" s="315"/>
      <c r="K46" s="315"/>
      <c r="L46" s="315"/>
      <c r="M46" s="315"/>
      <c r="N46" s="315"/>
      <c r="O46" s="315"/>
      <c r="P46" s="316" t="s">
        <v>963</v>
      </c>
      <c r="Q46" s="315"/>
      <c r="R46" s="316" t="s">
        <v>2992</v>
      </c>
      <c r="S46" s="316" t="s">
        <v>3071</v>
      </c>
      <c r="T46" s="316" t="s">
        <v>963</v>
      </c>
      <c r="U46" s="315"/>
      <c r="V46" s="315"/>
      <c r="W46" s="315"/>
      <c r="X46" s="315"/>
      <c r="Y46" s="315"/>
      <c r="Z46" s="315"/>
      <c r="AA46" s="315"/>
      <c r="AB46" s="315"/>
      <c r="AC46" s="315"/>
      <c r="AD46" s="316" t="s">
        <v>2110</v>
      </c>
      <c r="AE46" s="315"/>
      <c r="AF46" s="315"/>
      <c r="AG46" s="315"/>
      <c r="AH46" s="315"/>
    </row>
    <row r="47" ht="14.25" customHeight="1">
      <c r="A47" s="14" t="s">
        <v>595</v>
      </c>
      <c r="B47" s="14" t="s">
        <v>596</v>
      </c>
      <c r="C47" s="401" t="s">
        <v>88</v>
      </c>
      <c r="D47" s="376" t="s">
        <v>409</v>
      </c>
      <c r="E47" s="376"/>
      <c r="F47" s="376"/>
      <c r="G47" s="376" t="s">
        <v>101</v>
      </c>
      <c r="H47" s="376" t="s">
        <v>102</v>
      </c>
      <c r="I47" s="14" t="s">
        <v>578</v>
      </c>
      <c r="J47" s="14"/>
      <c r="K47" s="14"/>
      <c r="L47" s="14"/>
      <c r="M47" s="14"/>
      <c r="N47" s="14"/>
      <c r="O47" s="14"/>
      <c r="P47" s="375" t="s">
        <v>963</v>
      </c>
      <c r="Q47" s="14"/>
      <c r="R47" s="375" t="s">
        <v>2999</v>
      </c>
      <c r="S47" s="375" t="s">
        <v>3031</v>
      </c>
      <c r="T47" s="375" t="s">
        <v>963</v>
      </c>
      <c r="U47" s="14"/>
      <c r="V47" s="14"/>
      <c r="W47" s="14"/>
      <c r="X47" s="14"/>
      <c r="Y47" s="14"/>
      <c r="Z47" s="14"/>
      <c r="AA47" s="14"/>
      <c r="AB47" s="14"/>
      <c r="AC47" s="14"/>
      <c r="AD47" s="375" t="s">
        <v>1027</v>
      </c>
      <c r="AE47" s="14"/>
      <c r="AF47" s="14"/>
      <c r="AG47" s="14"/>
      <c r="AH47" s="14"/>
    </row>
    <row r="48" ht="14.25" customHeight="1">
      <c r="A48" s="315" t="s">
        <v>597</v>
      </c>
      <c r="B48" s="315" t="s">
        <v>598</v>
      </c>
      <c r="C48" s="408" t="s">
        <v>88</v>
      </c>
      <c r="D48" s="362" t="s">
        <v>599</v>
      </c>
      <c r="E48" s="362"/>
      <c r="F48" s="362"/>
      <c r="G48" s="362"/>
      <c r="H48" s="362" t="s">
        <v>600</v>
      </c>
      <c r="I48" s="315" t="s">
        <v>578</v>
      </c>
      <c r="J48" s="315"/>
      <c r="K48" s="315"/>
      <c r="L48" s="315"/>
      <c r="M48" s="315"/>
      <c r="N48" s="315"/>
      <c r="O48" s="315"/>
      <c r="P48" s="316" t="s">
        <v>963</v>
      </c>
      <c r="Q48" s="315"/>
      <c r="R48" s="316" t="s">
        <v>2992</v>
      </c>
      <c r="S48" s="316" t="s">
        <v>3165</v>
      </c>
      <c r="T48" s="316" t="s">
        <v>963</v>
      </c>
      <c r="U48" s="315"/>
      <c r="V48" s="315"/>
      <c r="W48" s="315"/>
      <c r="X48" s="315"/>
      <c r="Y48" s="315"/>
      <c r="Z48" s="315"/>
      <c r="AA48" s="315"/>
      <c r="AB48" s="315"/>
      <c r="AC48" s="315"/>
      <c r="AD48" s="316" t="s">
        <v>1027</v>
      </c>
      <c r="AE48" s="315"/>
      <c r="AF48" s="315"/>
      <c r="AG48" s="315"/>
      <c r="AH48" s="315"/>
    </row>
    <row r="49" ht="14.25" customHeight="1">
      <c r="A49" s="325" t="s">
        <v>601</v>
      </c>
      <c r="B49" s="325" t="s">
        <v>602</v>
      </c>
      <c r="C49" s="410" t="s">
        <v>88</v>
      </c>
      <c r="D49" s="367" t="s">
        <v>197</v>
      </c>
      <c r="E49" s="367"/>
      <c r="F49" s="367"/>
      <c r="G49" s="367"/>
      <c r="H49" s="367" t="s">
        <v>603</v>
      </c>
      <c r="I49" s="325" t="s">
        <v>578</v>
      </c>
      <c r="J49" s="335"/>
      <c r="K49" s="335"/>
      <c r="L49" s="335"/>
      <c r="M49" s="335"/>
      <c r="N49" s="335"/>
      <c r="O49" s="335"/>
      <c r="P49" s="333" t="s">
        <v>963</v>
      </c>
      <c r="Q49" s="335"/>
      <c r="R49" s="326" t="s">
        <v>2992</v>
      </c>
      <c r="S49" s="333" t="s">
        <v>4482</v>
      </c>
      <c r="T49" s="333" t="s">
        <v>963</v>
      </c>
      <c r="U49" s="333"/>
      <c r="V49" s="333"/>
      <c r="W49" s="333"/>
      <c r="X49" s="333"/>
      <c r="Y49" s="333"/>
      <c r="Z49" s="333"/>
      <c r="AA49" s="333"/>
      <c r="AB49" s="333"/>
      <c r="AC49" s="333"/>
      <c r="AD49" s="326" t="s">
        <v>1027</v>
      </c>
      <c r="AE49" s="325"/>
      <c r="AF49" s="325"/>
      <c r="AG49" s="325"/>
      <c r="AH49" s="325"/>
    </row>
    <row r="50" ht="14.25" customHeight="1">
      <c r="A50" s="14" t="s">
        <v>604</v>
      </c>
      <c r="B50" s="14" t="s">
        <v>605</v>
      </c>
      <c r="C50" s="401" t="s">
        <v>88</v>
      </c>
      <c r="D50" s="376" t="s">
        <v>501</v>
      </c>
      <c r="E50" s="376"/>
      <c r="F50" s="376"/>
      <c r="G50" s="376" t="s">
        <v>346</v>
      </c>
      <c r="H50" s="376" t="s">
        <v>138</v>
      </c>
      <c r="I50" s="14" t="s">
        <v>578</v>
      </c>
      <c r="J50" s="372"/>
      <c r="K50" s="372"/>
      <c r="L50" s="372"/>
      <c r="M50" s="372"/>
      <c r="N50" s="372"/>
      <c r="O50" s="372"/>
      <c r="P50" s="25" t="s">
        <v>963</v>
      </c>
      <c r="Q50" s="372"/>
      <c r="R50" s="375" t="s">
        <v>2999</v>
      </c>
      <c r="S50" s="25" t="s">
        <v>3031</v>
      </c>
      <c r="T50" s="25" t="s">
        <v>963</v>
      </c>
      <c r="U50" s="25"/>
      <c r="V50" s="25"/>
      <c r="W50" s="25"/>
      <c r="X50" s="25"/>
      <c r="Y50" s="25"/>
      <c r="Z50" s="25"/>
      <c r="AA50" s="25"/>
      <c r="AB50" s="25"/>
      <c r="AC50" s="25"/>
      <c r="AD50" s="375" t="s">
        <v>1452</v>
      </c>
      <c r="AE50" s="14"/>
      <c r="AF50" s="14"/>
      <c r="AG50" s="14"/>
      <c r="AH50" s="14"/>
    </row>
    <row r="51" ht="14.25" customHeight="1">
      <c r="A51" s="26" t="s">
        <v>2213</v>
      </c>
      <c r="B51" s="39" t="s">
        <v>2214</v>
      </c>
      <c r="C51" s="39"/>
      <c r="D51" s="39"/>
      <c r="E51" s="220"/>
      <c r="F51" s="220"/>
      <c r="G51" s="220"/>
      <c r="H51" s="220"/>
      <c r="I51" s="39" t="s">
        <v>559</v>
      </c>
      <c r="J51" s="41"/>
      <c r="K51" s="41"/>
      <c r="L51" s="41"/>
      <c r="M51" s="41"/>
      <c r="N51" s="41"/>
      <c r="O51" s="41"/>
      <c r="P51" s="39" t="s">
        <v>931</v>
      </c>
      <c r="Q51" s="41"/>
      <c r="R51" s="41"/>
      <c r="S51" s="39"/>
      <c r="T51" s="39" t="s">
        <v>931</v>
      </c>
      <c r="U51" s="39"/>
      <c r="V51" s="39"/>
      <c r="W51" s="39"/>
      <c r="X51" s="39"/>
      <c r="Y51" s="39"/>
      <c r="Z51" s="39"/>
      <c r="AA51" s="39"/>
      <c r="AB51" s="39"/>
      <c r="AC51" s="39"/>
    </row>
    <row r="52" ht="14.25" customHeight="1">
      <c r="A52" s="26" t="s">
        <v>2226</v>
      </c>
      <c r="B52" s="39" t="s">
        <v>2227</v>
      </c>
      <c r="C52" s="39"/>
      <c r="D52" s="39"/>
      <c r="E52" s="220"/>
      <c r="F52" s="220"/>
      <c r="G52" s="220"/>
      <c r="H52" s="220"/>
      <c r="I52" s="39" t="s">
        <v>49</v>
      </c>
      <c r="J52" s="41"/>
      <c r="K52" s="41"/>
      <c r="L52" s="41"/>
      <c r="M52" s="41"/>
      <c r="N52" s="41"/>
      <c r="O52" s="41"/>
      <c r="P52" s="39" t="s">
        <v>931</v>
      </c>
      <c r="Q52" s="41"/>
      <c r="R52" s="41"/>
      <c r="S52" s="39"/>
      <c r="T52" s="39" t="s">
        <v>931</v>
      </c>
      <c r="U52" s="39"/>
      <c r="V52" s="39"/>
      <c r="W52" s="39"/>
      <c r="X52" s="39"/>
      <c r="Y52" s="39"/>
      <c r="Z52" s="39"/>
      <c r="AA52" s="39"/>
      <c r="AB52" s="39"/>
      <c r="AC52" s="39"/>
    </row>
    <row r="53" ht="14.25" customHeight="1">
      <c r="A53" s="39"/>
      <c r="B53" s="39"/>
      <c r="D53" s="411"/>
      <c r="E53" s="220"/>
      <c r="F53" s="220"/>
      <c r="G53" s="220"/>
      <c r="H53" s="220"/>
      <c r="I53" s="220"/>
      <c r="J53" s="220"/>
      <c r="K53" s="220"/>
      <c r="L53" s="220"/>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4483</v>
      </c>
      <c r="U58" s="41"/>
      <c r="V58" s="41"/>
      <c r="W58" s="41"/>
      <c r="X58" s="41"/>
      <c r="Y58" s="41"/>
      <c r="Z58" s="41"/>
      <c r="AA58" s="41"/>
      <c r="AB58" s="41"/>
      <c r="AC58" s="41"/>
    </row>
    <row r="59" ht="14.25" customHeight="1"/>
    <row r="60" ht="14.25" customHeight="1">
      <c r="A60" s="39" t="s">
        <v>934</v>
      </c>
      <c r="B60" s="39" t="s">
        <v>4484</v>
      </c>
      <c r="E60" s="155" t="s">
        <v>4485</v>
      </c>
      <c r="I60" s="41"/>
      <c r="J60" s="41"/>
      <c r="K60" s="41"/>
      <c r="L60" s="41"/>
      <c r="M60" s="41"/>
      <c r="N60" s="41"/>
      <c r="O60" s="41"/>
      <c r="P60" s="41"/>
      <c r="Q60" s="41"/>
      <c r="R60" s="41"/>
      <c r="S60" s="39" t="s">
        <v>4486</v>
      </c>
      <c r="AD60" s="26" t="s">
        <v>4487</v>
      </c>
    </row>
    <row r="61" ht="14.25" customHeight="1">
      <c r="A61" s="39" t="s">
        <v>936</v>
      </c>
      <c r="B61" s="39" t="s">
        <v>4488</v>
      </c>
      <c r="E61" s="155" t="s">
        <v>4489</v>
      </c>
      <c r="I61" s="41"/>
      <c r="J61" s="41"/>
      <c r="K61" s="41"/>
      <c r="L61" s="41"/>
      <c r="M61" s="41"/>
      <c r="N61" s="41"/>
      <c r="O61" s="41"/>
      <c r="P61" s="41"/>
      <c r="Q61" s="41"/>
      <c r="R61" s="41"/>
      <c r="S61" s="39" t="s">
        <v>4486</v>
      </c>
      <c r="AD61" s="26" t="s">
        <v>4490</v>
      </c>
    </row>
    <row r="62" ht="14.25" customHeight="1">
      <c r="A62" s="39" t="s">
        <v>938</v>
      </c>
      <c r="B62" s="39" t="s">
        <v>4491</v>
      </c>
      <c r="D62" s="412" t="s">
        <v>4492</v>
      </c>
      <c r="E62" s="155" t="s">
        <v>4493</v>
      </c>
      <c r="M62" s="41"/>
      <c r="N62" s="41"/>
      <c r="O62" s="41"/>
      <c r="P62" s="41"/>
      <c r="Q62" s="41"/>
      <c r="R62" s="41"/>
      <c r="S62" s="39" t="s">
        <v>4486</v>
      </c>
      <c r="AD62" s="26" t="s">
        <v>4487</v>
      </c>
    </row>
    <row r="63" ht="14.25" customHeight="1">
      <c r="A63" s="41"/>
      <c r="B63" s="41"/>
      <c r="C63" s="41"/>
      <c r="D63" s="41"/>
      <c r="E63" s="41"/>
      <c r="F63" s="41"/>
      <c r="G63" s="41"/>
      <c r="H63" s="41"/>
      <c r="I63" s="41"/>
      <c r="J63" s="41"/>
      <c r="K63" s="41"/>
      <c r="L63" s="41"/>
      <c r="M63" s="41"/>
      <c r="N63" s="41"/>
      <c r="O63" s="41"/>
      <c r="P63" s="41"/>
      <c r="Q63" s="41"/>
      <c r="R63" s="41"/>
      <c r="S63" s="39" t="s">
        <v>4494</v>
      </c>
      <c r="AC63" s="41"/>
      <c r="AD63" s="26" t="s">
        <v>4487</v>
      </c>
    </row>
    <row r="64" ht="14.25" customHeight="1">
      <c r="A64" s="39" t="s">
        <v>4495</v>
      </c>
      <c r="B64" s="39" t="s">
        <v>4496</v>
      </c>
      <c r="L64" s="41"/>
      <c r="M64" s="41"/>
      <c r="N64" s="41"/>
      <c r="O64" s="41"/>
      <c r="P64" s="41"/>
      <c r="Q64" s="41"/>
      <c r="R64" s="41"/>
      <c r="S64" s="39" t="s">
        <v>4494</v>
      </c>
      <c r="AC64" s="41"/>
      <c r="AD64" s="26" t="s">
        <v>4487</v>
      </c>
    </row>
    <row r="65" ht="14.25" customHeight="1">
      <c r="A65" s="39" t="s">
        <v>4497</v>
      </c>
      <c r="B65" s="39" t="s">
        <v>4498</v>
      </c>
      <c r="N65" s="41"/>
      <c r="O65" s="41"/>
      <c r="P65" s="41"/>
      <c r="Q65" s="41"/>
      <c r="R65" s="41"/>
      <c r="S65" s="41"/>
      <c r="T65" s="41"/>
      <c r="U65" s="41"/>
      <c r="V65" s="41"/>
      <c r="W65" s="41"/>
      <c r="X65" s="41"/>
      <c r="Y65" s="41"/>
      <c r="Z65" s="41"/>
      <c r="AA65" s="41"/>
      <c r="AB65" s="41"/>
      <c r="AC65" s="41"/>
    </row>
    <row r="66" ht="14.25" customHeight="1">
      <c r="S66" s="39" t="s">
        <v>4483</v>
      </c>
      <c r="U66" s="41"/>
      <c r="V66" s="41"/>
      <c r="W66" s="41"/>
      <c r="X66" s="41"/>
      <c r="Y66" s="41"/>
      <c r="Z66" s="41"/>
      <c r="AA66" s="41"/>
      <c r="AB66" s="41"/>
      <c r="AC66" s="41"/>
    </row>
    <row r="67" ht="14.25" customHeight="1">
      <c r="S67" s="39" t="s">
        <v>4483</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6">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W34:X34"/>
    <mergeCell ref="M35:O35"/>
    <mergeCell ref="X35:AA35"/>
    <mergeCell ref="AF35:AG35"/>
    <mergeCell ref="AF36:AG36"/>
    <mergeCell ref="AE37:AG37"/>
    <mergeCell ref="AE28:AF28"/>
    <mergeCell ref="AE29:AF29"/>
    <mergeCell ref="AE30:AF30"/>
    <mergeCell ref="AF31:AG31"/>
    <mergeCell ref="AF32:AG32"/>
    <mergeCell ref="AF33:AG33"/>
    <mergeCell ref="AF34:AG34"/>
    <mergeCell ref="Y24:AA24"/>
    <mergeCell ref="Y28:AA28"/>
    <mergeCell ref="Y29:AA29"/>
    <mergeCell ref="Y30:AA30"/>
    <mergeCell ref="Y31:AA31"/>
    <mergeCell ref="Y32:AA32"/>
    <mergeCell ref="Z33:AB33"/>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943</v>
      </c>
      <c r="D1" s="53" t="s">
        <v>3858</v>
      </c>
      <c r="E1" s="54" t="s">
        <v>59</v>
      </c>
      <c r="F1" s="54" t="s">
        <v>60</v>
      </c>
      <c r="G1" s="308" t="s">
        <v>61</v>
      </c>
      <c r="H1" s="308" t="s">
        <v>62</v>
      </c>
      <c r="I1" s="308" t="s">
        <v>3220</v>
      </c>
      <c r="J1" s="309" t="s">
        <v>3221</v>
      </c>
      <c r="K1" s="309" t="s">
        <v>3222</v>
      </c>
      <c r="L1" s="310" t="s">
        <v>4499</v>
      </c>
      <c r="M1" s="308" t="s">
        <v>4500</v>
      </c>
      <c r="N1" s="309" t="s">
        <v>3225</v>
      </c>
      <c r="O1" s="308" t="s">
        <v>3226</v>
      </c>
      <c r="P1" s="308" t="s">
        <v>3227</v>
      </c>
      <c r="Q1" s="308" t="s">
        <v>3228</v>
      </c>
      <c r="R1" s="308" t="s">
        <v>3229</v>
      </c>
      <c r="S1" s="54" t="s">
        <v>3230</v>
      </c>
      <c r="T1" s="56" t="s">
        <v>944</v>
      </c>
      <c r="U1" s="311" t="s">
        <v>3232</v>
      </c>
      <c r="V1" s="311" t="s">
        <v>61</v>
      </c>
      <c r="W1" s="311" t="s">
        <v>62</v>
      </c>
      <c r="X1" s="311" t="s">
        <v>3859</v>
      </c>
      <c r="Y1" s="311" t="s">
        <v>4093</v>
      </c>
      <c r="Z1" s="311" t="s">
        <v>950</v>
      </c>
      <c r="AA1" s="311" t="s">
        <v>4501</v>
      </c>
      <c r="AB1" s="311" t="s">
        <v>4502</v>
      </c>
      <c r="AC1" s="311" t="s">
        <v>952</v>
      </c>
    </row>
    <row r="2" ht="14.25" customHeight="1">
      <c r="A2" s="37" t="s">
        <v>86</v>
      </c>
      <c r="B2" s="37" t="s">
        <v>87</v>
      </c>
      <c r="C2" s="122" t="s">
        <v>1725</v>
      </c>
      <c r="D2" s="26">
        <v>11.0</v>
      </c>
      <c r="E2" s="37" t="s">
        <v>88</v>
      </c>
      <c r="F2" s="37" t="s">
        <v>89</v>
      </c>
      <c r="G2" s="37" t="s">
        <v>90</v>
      </c>
      <c r="H2" s="37" t="s">
        <v>91</v>
      </c>
      <c r="I2" s="37" t="s">
        <v>45</v>
      </c>
      <c r="J2" s="26" t="s">
        <v>4503</v>
      </c>
      <c r="K2" s="26" t="s">
        <v>4504</v>
      </c>
      <c r="L2" s="26" t="s">
        <v>4505</v>
      </c>
      <c r="M2" s="26" t="s">
        <v>4506</v>
      </c>
      <c r="N2" s="26" t="s">
        <v>998</v>
      </c>
      <c r="O2" s="26" t="s">
        <v>620</v>
      </c>
      <c r="P2" s="26" t="s">
        <v>931</v>
      </c>
      <c r="R2" s="37" t="s">
        <v>3242</v>
      </c>
      <c r="T2" s="26" t="s">
        <v>963</v>
      </c>
    </row>
    <row r="3" ht="14.25" customHeight="1">
      <c r="A3" s="37" t="s">
        <v>94</v>
      </c>
      <c r="B3" s="37" t="s">
        <v>95</v>
      </c>
      <c r="C3" s="139" t="s">
        <v>1733</v>
      </c>
      <c r="D3" s="26">
        <v>29.0</v>
      </c>
      <c r="E3" s="37" t="s">
        <v>88</v>
      </c>
      <c r="F3" s="37" t="s">
        <v>96</v>
      </c>
      <c r="H3" s="37" t="s">
        <v>97</v>
      </c>
      <c r="I3" s="37" t="s">
        <v>45</v>
      </c>
      <c r="J3" s="26" t="s">
        <v>4507</v>
      </c>
      <c r="K3" s="26" t="s">
        <v>4508</v>
      </c>
      <c r="L3" s="26" t="s">
        <v>4509</v>
      </c>
      <c r="M3" s="26" t="s">
        <v>4510</v>
      </c>
      <c r="N3" s="26" t="s">
        <v>1734</v>
      </c>
      <c r="O3" s="26" t="s">
        <v>4511</v>
      </c>
      <c r="P3" s="26" t="s">
        <v>931</v>
      </c>
      <c r="R3" s="37"/>
      <c r="T3" s="26" t="s">
        <v>963</v>
      </c>
    </row>
    <row r="4" ht="14.25" customHeight="1">
      <c r="A4" s="37" t="s">
        <v>98</v>
      </c>
      <c r="B4" s="37" t="s">
        <v>99</v>
      </c>
      <c r="C4" s="122" t="s">
        <v>1739</v>
      </c>
      <c r="D4" s="26">
        <v>7.0</v>
      </c>
      <c r="E4" s="37" t="s">
        <v>88</v>
      </c>
      <c r="F4" s="37" t="s">
        <v>100</v>
      </c>
      <c r="G4" s="37" t="s">
        <v>101</v>
      </c>
      <c r="H4" s="37" t="s">
        <v>102</v>
      </c>
      <c r="I4" s="37" t="s">
        <v>45</v>
      </c>
      <c r="J4" s="26" t="s">
        <v>4512</v>
      </c>
      <c r="K4" s="26" t="s">
        <v>4513</v>
      </c>
      <c r="L4" s="26" t="s">
        <v>4514</v>
      </c>
      <c r="M4" s="26" t="s">
        <v>4515</v>
      </c>
      <c r="N4" s="26" t="s">
        <v>998</v>
      </c>
      <c r="O4" s="26" t="s">
        <v>620</v>
      </c>
      <c r="P4" s="26" t="s">
        <v>931</v>
      </c>
      <c r="R4" s="37"/>
      <c r="S4" s="26" t="s">
        <v>4516</v>
      </c>
      <c r="T4" s="26" t="s">
        <v>963</v>
      </c>
      <c r="U4" s="26"/>
      <c r="V4" s="26"/>
      <c r="W4" s="26"/>
      <c r="X4" s="26" t="s">
        <v>4010</v>
      </c>
      <c r="Y4" s="26" t="s">
        <v>4517</v>
      </c>
    </row>
    <row r="5" ht="14.25" customHeight="1">
      <c r="A5" s="37" t="s">
        <v>103</v>
      </c>
      <c r="B5" s="37" t="s">
        <v>104</v>
      </c>
      <c r="C5" s="139" t="s">
        <v>1744</v>
      </c>
      <c r="D5" s="26">
        <v>18.0</v>
      </c>
      <c r="E5" s="37" t="s">
        <v>88</v>
      </c>
      <c r="F5" s="37" t="s">
        <v>105</v>
      </c>
      <c r="H5" s="37" t="s">
        <v>106</v>
      </c>
      <c r="I5" s="37" t="s">
        <v>45</v>
      </c>
      <c r="N5" s="26" t="s">
        <v>1745</v>
      </c>
      <c r="P5" s="26" t="s">
        <v>931</v>
      </c>
      <c r="R5" s="37"/>
      <c r="T5" s="26" t="s">
        <v>963</v>
      </c>
      <c r="U5" s="26" t="s">
        <v>4518</v>
      </c>
      <c r="Z5" s="26" t="s">
        <v>1748</v>
      </c>
    </row>
    <row r="6" ht="14.25" customHeight="1">
      <c r="A6" s="413" t="s">
        <v>107</v>
      </c>
      <c r="B6" s="413" t="s">
        <v>108</v>
      </c>
      <c r="C6" s="414" t="s">
        <v>4519</v>
      </c>
      <c r="D6" s="415">
        <v>7.0</v>
      </c>
      <c r="E6" s="413" t="s">
        <v>88</v>
      </c>
      <c r="F6" s="413" t="s">
        <v>109</v>
      </c>
      <c r="G6" s="413"/>
      <c r="H6" s="413" t="s">
        <v>110</v>
      </c>
      <c r="I6" s="413" t="s">
        <v>45</v>
      </c>
      <c r="J6" s="413"/>
      <c r="K6" s="413"/>
      <c r="L6" s="413"/>
      <c r="M6" s="413"/>
      <c r="N6" s="413"/>
      <c r="O6" s="413"/>
      <c r="P6" s="415" t="s">
        <v>963</v>
      </c>
      <c r="Q6" s="415" t="s">
        <v>4520</v>
      </c>
      <c r="R6" s="415" t="s">
        <v>2992</v>
      </c>
      <c r="S6" s="413"/>
      <c r="T6" s="415" t="s">
        <v>963</v>
      </c>
      <c r="U6" s="415" t="s">
        <v>4521</v>
      </c>
      <c r="V6" s="413"/>
      <c r="W6" s="413"/>
      <c r="X6" s="413"/>
      <c r="Y6" s="413"/>
      <c r="Z6" s="413"/>
      <c r="AA6" s="413"/>
      <c r="AB6" s="413"/>
      <c r="AC6" s="413"/>
      <c r="AD6" s="413"/>
      <c r="AE6" s="413"/>
      <c r="AF6" s="413"/>
      <c r="AG6" s="413"/>
    </row>
    <row r="7" ht="14.25" customHeight="1">
      <c r="A7" s="215" t="s">
        <v>111</v>
      </c>
      <c r="B7" s="215" t="s">
        <v>112</v>
      </c>
      <c r="C7" s="416" t="s">
        <v>1753</v>
      </c>
      <c r="D7" s="28">
        <v>11.0</v>
      </c>
      <c r="E7" s="215" t="s">
        <v>88</v>
      </c>
      <c r="F7" s="215" t="s">
        <v>113</v>
      </c>
      <c r="G7" s="215" t="s">
        <v>90</v>
      </c>
      <c r="H7" s="215" t="s">
        <v>114</v>
      </c>
      <c r="I7" s="215" t="s">
        <v>45</v>
      </c>
      <c r="J7" s="215"/>
      <c r="K7" s="28" t="s">
        <v>4522</v>
      </c>
      <c r="L7" s="28" t="s">
        <v>4523</v>
      </c>
      <c r="M7" s="215"/>
      <c r="N7" s="28" t="s">
        <v>998</v>
      </c>
      <c r="O7" s="28" t="s">
        <v>4524</v>
      </c>
      <c r="P7" s="28" t="s">
        <v>931</v>
      </c>
      <c r="Q7" s="215"/>
      <c r="R7" s="215"/>
      <c r="S7" s="215"/>
      <c r="T7" s="28" t="s">
        <v>963</v>
      </c>
      <c r="U7" s="28" t="s">
        <v>4525</v>
      </c>
      <c r="V7" s="215"/>
      <c r="W7" s="28" t="s">
        <v>4526</v>
      </c>
      <c r="X7" s="28" t="s">
        <v>4010</v>
      </c>
      <c r="Y7" s="215"/>
      <c r="Z7" s="28" t="s">
        <v>4527</v>
      </c>
      <c r="AA7" s="215"/>
      <c r="AB7" s="28" t="s">
        <v>4528</v>
      </c>
      <c r="AC7" s="215"/>
      <c r="AD7" s="215"/>
      <c r="AE7" s="215"/>
      <c r="AF7" s="215"/>
      <c r="AG7" s="215"/>
    </row>
    <row r="8" ht="14.25" customHeight="1">
      <c r="A8" s="37" t="s">
        <v>116</v>
      </c>
      <c r="B8" s="37" t="s">
        <v>117</v>
      </c>
      <c r="C8" s="139" t="s">
        <v>1758</v>
      </c>
      <c r="D8" s="26">
        <v>13.0</v>
      </c>
      <c r="E8" s="37" t="s">
        <v>88</v>
      </c>
      <c r="F8" s="37" t="s">
        <v>118</v>
      </c>
      <c r="H8" s="37" t="s">
        <v>119</v>
      </c>
      <c r="I8" s="37" t="s">
        <v>45</v>
      </c>
      <c r="K8" s="26" t="s">
        <v>4529</v>
      </c>
      <c r="L8" s="26" t="s">
        <v>4530</v>
      </c>
      <c r="M8" s="26" t="s">
        <v>4531</v>
      </c>
      <c r="N8" s="26" t="s">
        <v>1759</v>
      </c>
      <c r="P8" s="26" t="s">
        <v>931</v>
      </c>
      <c r="R8" s="37"/>
      <c r="T8" s="26" t="s">
        <v>963</v>
      </c>
      <c r="Y8" s="26" t="s">
        <v>4532</v>
      </c>
    </row>
    <row r="9" ht="14.25" customHeight="1">
      <c r="A9" s="37" t="s">
        <v>120</v>
      </c>
      <c r="B9" s="37" t="s">
        <v>121</v>
      </c>
      <c r="C9" s="139" t="s">
        <v>4533</v>
      </c>
      <c r="D9" s="26">
        <v>9.0</v>
      </c>
      <c r="E9" s="37" t="s">
        <v>88</v>
      </c>
      <c r="F9" s="37" t="s">
        <v>122</v>
      </c>
      <c r="G9" s="37"/>
      <c r="H9" s="37" t="s">
        <v>102</v>
      </c>
      <c r="I9" s="37" t="s">
        <v>45</v>
      </c>
      <c r="J9" s="37"/>
      <c r="K9" s="26" t="s">
        <v>4534</v>
      </c>
      <c r="L9" s="26" t="s">
        <v>2216</v>
      </c>
      <c r="M9" s="37"/>
      <c r="N9" s="26" t="s">
        <v>1765</v>
      </c>
      <c r="O9" s="37"/>
      <c r="P9" s="26" t="s">
        <v>963</v>
      </c>
      <c r="Q9" s="26" t="s">
        <v>4520</v>
      </c>
      <c r="R9" s="26" t="s">
        <v>2992</v>
      </c>
      <c r="S9" s="37"/>
      <c r="T9" s="26" t="s">
        <v>963</v>
      </c>
      <c r="U9" s="26" t="s">
        <v>4535</v>
      </c>
      <c r="V9" s="37"/>
      <c r="W9" s="26" t="s">
        <v>4536</v>
      </c>
      <c r="X9" s="37"/>
      <c r="Y9" s="37"/>
      <c r="Z9" s="37"/>
      <c r="AA9" s="37"/>
      <c r="AB9" s="37"/>
      <c r="AC9" s="37"/>
      <c r="AD9" s="37"/>
      <c r="AE9" s="37"/>
      <c r="AF9" s="37"/>
      <c r="AG9" s="37"/>
    </row>
    <row r="10" ht="14.25" customHeight="1">
      <c r="A10" s="37" t="s">
        <v>123</v>
      </c>
      <c r="B10" s="37" t="s">
        <v>124</v>
      </c>
      <c r="C10" s="122" t="s">
        <v>1764</v>
      </c>
      <c r="D10" s="26">
        <v>15.0</v>
      </c>
      <c r="E10" s="37" t="s">
        <v>88</v>
      </c>
      <c r="F10" s="37" t="s">
        <v>125</v>
      </c>
      <c r="G10" s="37" t="s">
        <v>126</v>
      </c>
      <c r="H10" s="37" t="s">
        <v>127</v>
      </c>
      <c r="I10" s="37" t="s">
        <v>45</v>
      </c>
      <c r="J10" s="26" t="s">
        <v>4537</v>
      </c>
      <c r="K10" s="26" t="s">
        <v>4538</v>
      </c>
      <c r="L10" s="26" t="s">
        <v>4539</v>
      </c>
      <c r="N10" s="26" t="s">
        <v>1765</v>
      </c>
      <c r="P10" s="26" t="s">
        <v>931</v>
      </c>
      <c r="R10" s="37"/>
      <c r="T10" s="26" t="s">
        <v>963</v>
      </c>
      <c r="U10" s="26" t="s">
        <v>4540</v>
      </c>
      <c r="V10" s="26" t="s">
        <v>4541</v>
      </c>
      <c r="X10" s="26" t="s">
        <v>4542</v>
      </c>
      <c r="Y10" s="26" t="s">
        <v>4543</v>
      </c>
    </row>
    <row r="11" ht="14.25" customHeight="1">
      <c r="A11" s="37" t="s">
        <v>129</v>
      </c>
      <c r="B11" s="37" t="s">
        <v>130</v>
      </c>
      <c r="C11" s="122" t="s">
        <v>1770</v>
      </c>
      <c r="D11" s="26">
        <v>20.0</v>
      </c>
      <c r="E11" s="37" t="s">
        <v>88</v>
      </c>
      <c r="F11" s="37" t="s">
        <v>131</v>
      </c>
      <c r="G11" s="37" t="s">
        <v>132</v>
      </c>
      <c r="H11" s="37" t="s">
        <v>133</v>
      </c>
      <c r="I11" s="37" t="s">
        <v>47</v>
      </c>
      <c r="P11" s="26" t="s">
        <v>931</v>
      </c>
      <c r="R11" s="37"/>
      <c r="T11" s="26" t="s">
        <v>963</v>
      </c>
      <c r="X11" s="26" t="s">
        <v>4544</v>
      </c>
      <c r="Y11" s="26" t="s">
        <v>4545</v>
      </c>
      <c r="AB11" s="26" t="s">
        <v>4546</v>
      </c>
    </row>
    <row r="12" ht="14.25" customHeight="1">
      <c r="A12" s="37" t="s">
        <v>134</v>
      </c>
      <c r="B12" s="37" t="s">
        <v>135</v>
      </c>
      <c r="C12" s="122" t="s">
        <v>1777</v>
      </c>
      <c r="D12" s="26">
        <v>21.0</v>
      </c>
      <c r="E12" s="37" t="s">
        <v>88</v>
      </c>
      <c r="F12" s="37" t="s">
        <v>136</v>
      </c>
      <c r="G12" s="37" t="s">
        <v>137</v>
      </c>
      <c r="H12" s="37" t="s">
        <v>138</v>
      </c>
      <c r="I12" s="37" t="s">
        <v>47</v>
      </c>
      <c r="J12" s="26" t="s">
        <v>4547</v>
      </c>
      <c r="K12" s="26" t="s">
        <v>4534</v>
      </c>
      <c r="L12" s="26" t="s">
        <v>4523</v>
      </c>
      <c r="M12" s="26" t="s">
        <v>4548</v>
      </c>
      <c r="N12" s="26" t="s">
        <v>1765</v>
      </c>
      <c r="O12" s="26" t="s">
        <v>4549</v>
      </c>
      <c r="P12" s="26" t="s">
        <v>931</v>
      </c>
      <c r="R12" s="37"/>
      <c r="T12" s="26" t="s">
        <v>963</v>
      </c>
      <c r="W12" s="26" t="s">
        <v>4550</v>
      </c>
      <c r="Z12" s="26" t="s">
        <v>1780</v>
      </c>
    </row>
    <row r="13" ht="14.25" customHeight="1">
      <c r="A13" s="37" t="s">
        <v>139</v>
      </c>
      <c r="B13" s="37" t="s">
        <v>140</v>
      </c>
      <c r="C13" s="122" t="s">
        <v>1786</v>
      </c>
      <c r="D13" s="26">
        <v>12.0</v>
      </c>
      <c r="E13" s="37" t="s">
        <v>88</v>
      </c>
      <c r="F13" s="37" t="s">
        <v>141</v>
      </c>
      <c r="G13" s="37" t="s">
        <v>142</v>
      </c>
      <c r="H13" s="37" t="s">
        <v>143</v>
      </c>
      <c r="I13" s="37" t="s">
        <v>47</v>
      </c>
      <c r="J13" s="26" t="s">
        <v>4551</v>
      </c>
      <c r="K13" s="26" t="s">
        <v>4552</v>
      </c>
      <c r="L13" s="26" t="s">
        <v>4553</v>
      </c>
      <c r="P13" s="26" t="s">
        <v>931</v>
      </c>
      <c r="R13" s="37"/>
      <c r="T13" s="26" t="s">
        <v>963</v>
      </c>
      <c r="U13" s="26" t="s">
        <v>4554</v>
      </c>
      <c r="V13" s="26" t="s">
        <v>3402</v>
      </c>
      <c r="X13" s="26" t="s">
        <v>4555</v>
      </c>
      <c r="Z13" s="26" t="s">
        <v>4556</v>
      </c>
      <c r="AB13" s="26" t="s">
        <v>4557</v>
      </c>
    </row>
    <row r="14" ht="14.25" customHeight="1">
      <c r="A14" s="37" t="s">
        <v>144</v>
      </c>
      <c r="B14" s="37" t="s">
        <v>145</v>
      </c>
      <c r="C14" s="122" t="s">
        <v>4558</v>
      </c>
      <c r="D14" s="26">
        <v>10.0</v>
      </c>
      <c r="E14" s="37" t="s">
        <v>88</v>
      </c>
      <c r="F14" s="37" t="s">
        <v>141</v>
      </c>
      <c r="G14" s="37" t="s">
        <v>146</v>
      </c>
      <c r="H14" s="37" t="s">
        <v>147</v>
      </c>
      <c r="I14" s="37" t="s">
        <v>47</v>
      </c>
      <c r="J14" s="37"/>
      <c r="K14" s="37"/>
      <c r="L14" s="37"/>
      <c r="M14" s="37"/>
      <c r="N14" s="37"/>
      <c r="O14" s="37"/>
      <c r="P14" s="26" t="s">
        <v>963</v>
      </c>
      <c r="Q14" s="26" t="s">
        <v>4559</v>
      </c>
      <c r="R14" s="26" t="s">
        <v>2992</v>
      </c>
      <c r="S14" s="37"/>
      <c r="T14" s="26" t="s">
        <v>963</v>
      </c>
      <c r="U14" s="37"/>
      <c r="V14" s="37"/>
      <c r="W14" s="37"/>
      <c r="X14" s="37"/>
      <c r="Y14" s="37"/>
      <c r="Z14" s="37"/>
      <c r="AA14" s="37"/>
      <c r="AB14" s="37"/>
      <c r="AC14" s="37"/>
      <c r="AD14" s="37"/>
      <c r="AE14" s="37"/>
      <c r="AF14" s="37"/>
      <c r="AG14" s="37"/>
    </row>
    <row r="15" ht="14.25" customHeight="1">
      <c r="A15" s="37" t="s">
        <v>148</v>
      </c>
      <c r="B15" s="37" t="s">
        <v>149</v>
      </c>
      <c r="C15" s="122" t="s">
        <v>1791</v>
      </c>
      <c r="D15" s="26">
        <v>6.0</v>
      </c>
      <c r="E15" s="37" t="s">
        <v>88</v>
      </c>
      <c r="F15" s="37" t="s">
        <v>150</v>
      </c>
      <c r="H15" s="37" t="s">
        <v>151</v>
      </c>
      <c r="I15" s="26" t="s">
        <v>4560</v>
      </c>
      <c r="J15" s="26" t="s">
        <v>4561</v>
      </c>
      <c r="K15" s="26" t="s">
        <v>4562</v>
      </c>
      <c r="L15" s="26" t="s">
        <v>4523</v>
      </c>
      <c r="M15" s="26" t="s">
        <v>4563</v>
      </c>
      <c r="N15" s="26" t="s">
        <v>1765</v>
      </c>
      <c r="O15" s="26" t="s">
        <v>620</v>
      </c>
      <c r="P15" s="26" t="s">
        <v>931</v>
      </c>
      <c r="R15" s="37"/>
      <c r="T15" s="26" t="s">
        <v>963</v>
      </c>
      <c r="U15" s="26" t="s">
        <v>4564</v>
      </c>
      <c r="V15" s="26" t="s">
        <v>4565</v>
      </c>
      <c r="W15" s="26" t="s">
        <v>4566</v>
      </c>
      <c r="X15" s="26" t="s">
        <v>4567</v>
      </c>
      <c r="Y15" s="26" t="s">
        <v>4568</v>
      </c>
      <c r="Z15" s="26" t="s">
        <v>970</v>
      </c>
    </row>
    <row r="16" ht="14.25" customHeight="1">
      <c r="A16" s="37" t="s">
        <v>152</v>
      </c>
      <c r="B16" s="37" t="s">
        <v>153</v>
      </c>
      <c r="C16" s="122" t="s">
        <v>4569</v>
      </c>
      <c r="D16" s="37"/>
      <c r="E16" s="37" t="s">
        <v>88</v>
      </c>
      <c r="F16" s="37" t="s">
        <v>154</v>
      </c>
      <c r="G16" s="37"/>
      <c r="H16" s="37" t="s">
        <v>155</v>
      </c>
      <c r="I16" s="37" t="s">
        <v>47</v>
      </c>
      <c r="J16" s="37"/>
      <c r="K16" s="37"/>
      <c r="L16" s="37"/>
      <c r="M16" s="37"/>
      <c r="N16" s="37"/>
      <c r="O16" s="37"/>
      <c r="P16" s="26" t="s">
        <v>963</v>
      </c>
      <c r="Q16" s="26" t="s">
        <v>3036</v>
      </c>
      <c r="R16" s="37"/>
      <c r="S16" s="37"/>
      <c r="T16" s="26" t="s">
        <v>963</v>
      </c>
      <c r="U16" s="37"/>
      <c r="V16" s="37"/>
      <c r="W16" s="37"/>
      <c r="X16" s="37"/>
      <c r="Y16" s="37"/>
      <c r="Z16" s="37"/>
      <c r="AA16" s="37"/>
      <c r="AB16" s="37"/>
      <c r="AC16" s="37"/>
      <c r="AD16" s="37"/>
      <c r="AE16" s="37"/>
      <c r="AF16" s="37"/>
      <c r="AG16" s="37"/>
    </row>
    <row r="17" ht="14.25" customHeight="1">
      <c r="A17" s="37" t="s">
        <v>156</v>
      </c>
      <c r="B17" s="37" t="s">
        <v>157</v>
      </c>
      <c r="C17" s="122" t="s">
        <v>1797</v>
      </c>
      <c r="D17" s="26">
        <v>7.0</v>
      </c>
      <c r="E17" s="37" t="s">
        <v>88</v>
      </c>
      <c r="F17" s="37" t="s">
        <v>158</v>
      </c>
      <c r="G17" s="37" t="s">
        <v>101</v>
      </c>
      <c r="H17" s="37" t="s">
        <v>159</v>
      </c>
      <c r="I17" s="37" t="s">
        <v>47</v>
      </c>
      <c r="J17" s="26" t="s">
        <v>4570</v>
      </c>
      <c r="K17" s="26" t="s">
        <v>4571</v>
      </c>
      <c r="L17" s="26" t="s">
        <v>4523</v>
      </c>
      <c r="M17" s="26" t="s">
        <v>4563</v>
      </c>
      <c r="N17" s="26" t="s">
        <v>4523</v>
      </c>
      <c r="O17" s="26" t="s">
        <v>620</v>
      </c>
      <c r="P17" s="26" t="s">
        <v>931</v>
      </c>
      <c r="R17" s="37"/>
      <c r="T17" s="26" t="s">
        <v>963</v>
      </c>
      <c r="U17" s="26" t="s">
        <v>4572</v>
      </c>
      <c r="V17" s="26" t="s">
        <v>4573</v>
      </c>
      <c r="X17" s="26" t="s">
        <v>4555</v>
      </c>
      <c r="Z17" s="26" t="s">
        <v>1027</v>
      </c>
      <c r="AB17" s="26" t="s">
        <v>4574</v>
      </c>
    </row>
    <row r="18" ht="14.25" customHeight="1">
      <c r="A18" s="37" t="s">
        <v>160</v>
      </c>
      <c r="B18" s="37" t="s">
        <v>161</v>
      </c>
      <c r="C18" s="122" t="s">
        <v>1803</v>
      </c>
      <c r="D18" s="26">
        <v>10.0</v>
      </c>
      <c r="E18" s="37" t="s">
        <v>88</v>
      </c>
      <c r="F18" s="37" t="s">
        <v>150</v>
      </c>
      <c r="G18" s="37" t="s">
        <v>162</v>
      </c>
      <c r="H18" s="37" t="s">
        <v>163</v>
      </c>
      <c r="I18" s="37" t="s">
        <v>47</v>
      </c>
      <c r="J18" s="26" t="s">
        <v>4575</v>
      </c>
      <c r="K18" s="26" t="s">
        <v>4576</v>
      </c>
      <c r="L18" s="26" t="s">
        <v>4577</v>
      </c>
      <c r="M18" s="26" t="s">
        <v>4523</v>
      </c>
      <c r="N18" s="26" t="s">
        <v>4578</v>
      </c>
      <c r="O18" s="26" t="s">
        <v>620</v>
      </c>
      <c r="P18" s="26" t="s">
        <v>931</v>
      </c>
      <c r="R18" s="37"/>
      <c r="T18" s="26" t="s">
        <v>963</v>
      </c>
      <c r="U18" s="26" t="s">
        <v>4579</v>
      </c>
      <c r="V18" s="26" t="s">
        <v>4237</v>
      </c>
      <c r="X18" s="26" t="s">
        <v>4555</v>
      </c>
      <c r="Z18" s="26" t="s">
        <v>1780</v>
      </c>
      <c r="AB18" s="26" t="s">
        <v>4580</v>
      </c>
    </row>
    <row r="19" ht="14.25" customHeight="1">
      <c r="A19" s="37" t="s">
        <v>164</v>
      </c>
      <c r="B19" s="37" t="s">
        <v>165</v>
      </c>
      <c r="C19" s="122" t="s">
        <v>4581</v>
      </c>
      <c r="D19" s="26">
        <v>6.0</v>
      </c>
      <c r="E19" s="37" t="s">
        <v>88</v>
      </c>
      <c r="F19" s="37" t="s">
        <v>166</v>
      </c>
      <c r="G19" s="37"/>
      <c r="H19" s="37" t="s">
        <v>167</v>
      </c>
      <c r="I19" s="37" t="s">
        <v>47</v>
      </c>
      <c r="J19" s="37"/>
      <c r="K19" s="37"/>
      <c r="L19" s="37"/>
      <c r="M19" s="37"/>
      <c r="N19" s="37"/>
      <c r="O19" s="37"/>
      <c r="P19" s="26" t="s">
        <v>963</v>
      </c>
      <c r="Q19" s="26" t="s">
        <v>4582</v>
      </c>
      <c r="R19" s="26" t="s">
        <v>2992</v>
      </c>
      <c r="S19" s="37"/>
      <c r="T19" s="26" t="s">
        <v>963</v>
      </c>
      <c r="U19" s="37"/>
      <c r="V19" s="37"/>
      <c r="W19" s="37"/>
      <c r="X19" s="37"/>
      <c r="Y19" s="37"/>
      <c r="Z19" s="26" t="s">
        <v>1027</v>
      </c>
      <c r="AA19" s="37"/>
      <c r="AB19" s="26" t="s">
        <v>4583</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963</v>
      </c>
      <c r="Q20" s="26" t="s">
        <v>3038</v>
      </c>
      <c r="R20" s="37"/>
      <c r="S20" s="37"/>
      <c r="T20" s="26" t="s">
        <v>963</v>
      </c>
      <c r="U20" s="37"/>
      <c r="V20" s="37"/>
      <c r="W20" s="37"/>
      <c r="X20" s="37"/>
      <c r="Y20" s="37"/>
      <c r="Z20" s="37"/>
      <c r="AA20" s="37"/>
      <c r="AB20" s="37"/>
      <c r="AC20" s="37"/>
      <c r="AD20" s="37"/>
      <c r="AE20" s="37"/>
      <c r="AF20" s="37"/>
      <c r="AG20" s="37"/>
    </row>
    <row r="21" ht="14.25" customHeight="1">
      <c r="A21" s="37" t="s">
        <v>172</v>
      </c>
      <c r="B21" s="37" t="s">
        <v>173</v>
      </c>
      <c r="C21" s="122" t="s">
        <v>4584</v>
      </c>
      <c r="D21" s="26">
        <v>12.0</v>
      </c>
      <c r="E21" s="37" t="s">
        <v>88</v>
      </c>
      <c r="F21" s="37" t="s">
        <v>174</v>
      </c>
      <c r="G21" s="37" t="s">
        <v>175</v>
      </c>
      <c r="H21" s="37" t="s">
        <v>176</v>
      </c>
      <c r="I21" s="37" t="s">
        <v>47</v>
      </c>
      <c r="J21" s="26" t="s">
        <v>4585</v>
      </c>
      <c r="K21" s="26" t="s">
        <v>4586</v>
      </c>
      <c r="L21" s="26" t="s">
        <v>2216</v>
      </c>
      <c r="M21" s="26" t="s">
        <v>4587</v>
      </c>
      <c r="N21" s="26" t="s">
        <v>1765</v>
      </c>
      <c r="P21" s="26" t="s">
        <v>931</v>
      </c>
      <c r="R21" s="37"/>
      <c r="T21" s="26" t="s">
        <v>963</v>
      </c>
      <c r="U21" s="26" t="s">
        <v>4588</v>
      </c>
      <c r="X21" s="26" t="s">
        <v>4542</v>
      </c>
      <c r="Y21" s="26" t="s">
        <v>4589</v>
      </c>
      <c r="Z21" s="26" t="s">
        <v>1692</v>
      </c>
      <c r="AB21" s="26" t="s">
        <v>4590</v>
      </c>
    </row>
    <row r="22" ht="14.25" customHeight="1">
      <c r="A22" s="39" t="s">
        <v>682</v>
      </c>
      <c r="B22" s="39" t="s">
        <v>683</v>
      </c>
      <c r="C22" s="180" t="s">
        <v>1810</v>
      </c>
      <c r="D22" s="39">
        <v>31.0</v>
      </c>
      <c r="E22" s="40" t="s">
        <v>616</v>
      </c>
      <c r="F22" s="39" t="s">
        <v>587</v>
      </c>
      <c r="G22" s="39" t="s">
        <v>684</v>
      </c>
      <c r="H22" s="39" t="s">
        <v>685</v>
      </c>
      <c r="I22" s="39" t="s">
        <v>49</v>
      </c>
      <c r="J22" s="39"/>
      <c r="K22" s="26" t="s">
        <v>4591</v>
      </c>
      <c r="L22" s="26" t="s">
        <v>4592</v>
      </c>
      <c r="N22" s="26" t="s">
        <v>4593</v>
      </c>
      <c r="P22" s="26" t="s">
        <v>931</v>
      </c>
      <c r="R22" s="37"/>
      <c r="T22" s="26" t="s">
        <v>963</v>
      </c>
      <c r="U22" s="26" t="s">
        <v>4594</v>
      </c>
      <c r="V22" s="26" t="s">
        <v>4595</v>
      </c>
      <c r="X22" s="26" t="s">
        <v>4555</v>
      </c>
      <c r="Z22" s="26" t="s">
        <v>1027</v>
      </c>
      <c r="AB22" s="26" t="s">
        <v>4596</v>
      </c>
    </row>
    <row r="23" ht="14.25" customHeight="1">
      <c r="A23" s="39" t="s">
        <v>686</v>
      </c>
      <c r="B23" s="39" t="s">
        <v>687</v>
      </c>
      <c r="C23" s="180" t="s">
        <v>1816</v>
      </c>
      <c r="D23" s="39">
        <v>16.0</v>
      </c>
      <c r="E23" s="40" t="s">
        <v>616</v>
      </c>
      <c r="F23" s="39" t="s">
        <v>417</v>
      </c>
      <c r="G23" s="39" t="s">
        <v>688</v>
      </c>
      <c r="H23" s="39" t="s">
        <v>142</v>
      </c>
      <c r="I23" s="39" t="s">
        <v>49</v>
      </c>
      <c r="J23" s="39"/>
      <c r="K23" s="26" t="s">
        <v>4597</v>
      </c>
      <c r="L23" s="26" t="s">
        <v>4598</v>
      </c>
      <c r="N23" s="26" t="s">
        <v>4599</v>
      </c>
      <c r="O23" s="26" t="s">
        <v>4600</v>
      </c>
      <c r="P23" s="26" t="s">
        <v>931</v>
      </c>
      <c r="R23" s="37"/>
      <c r="T23" s="26" t="s">
        <v>963</v>
      </c>
      <c r="U23" s="26" t="s">
        <v>4601</v>
      </c>
      <c r="V23" s="26" t="s">
        <v>4602</v>
      </c>
      <c r="X23" s="26" t="s">
        <v>4555</v>
      </c>
      <c r="Z23" s="26" t="s">
        <v>1027</v>
      </c>
      <c r="AB23" s="26" t="s">
        <v>4603</v>
      </c>
      <c r="AC23" s="26" t="s">
        <v>620</v>
      </c>
    </row>
    <row r="24" ht="14.25" customHeight="1">
      <c r="A24" s="39" t="s">
        <v>689</v>
      </c>
      <c r="B24" s="39" t="s">
        <v>690</v>
      </c>
      <c r="C24" s="180" t="s">
        <v>1820</v>
      </c>
      <c r="D24" s="39"/>
      <c r="E24" s="40" t="s">
        <v>616</v>
      </c>
      <c r="F24" s="39" t="s">
        <v>256</v>
      </c>
      <c r="G24" s="39" t="s">
        <v>691</v>
      </c>
      <c r="H24" s="39" t="s">
        <v>244</v>
      </c>
      <c r="I24" s="39" t="s">
        <v>49</v>
      </c>
      <c r="J24" s="39"/>
      <c r="K24" s="26" t="s">
        <v>4597</v>
      </c>
      <c r="L24" s="26" t="s">
        <v>4604</v>
      </c>
      <c r="N24" s="26" t="s">
        <v>4605</v>
      </c>
      <c r="P24" s="26" t="s">
        <v>931</v>
      </c>
      <c r="R24" s="37"/>
      <c r="T24" s="26" t="s">
        <v>963</v>
      </c>
      <c r="U24" s="26" t="s">
        <v>4606</v>
      </c>
      <c r="V24" s="26" t="s">
        <v>4607</v>
      </c>
      <c r="X24" s="26" t="s">
        <v>4555</v>
      </c>
      <c r="Z24" s="26" t="s">
        <v>1027</v>
      </c>
      <c r="AB24" s="26" t="s">
        <v>4608</v>
      </c>
      <c r="AC24" s="26" t="s">
        <v>4609</v>
      </c>
    </row>
    <row r="25" ht="14.25" customHeight="1">
      <c r="A25" s="39" t="s">
        <v>716</v>
      </c>
      <c r="B25" s="39" t="s">
        <v>717</v>
      </c>
      <c r="C25" s="180" t="s">
        <v>4610</v>
      </c>
      <c r="D25" s="39"/>
      <c r="E25" s="40" t="s">
        <v>616</v>
      </c>
      <c r="F25" s="39" t="s">
        <v>401</v>
      </c>
      <c r="G25" s="39" t="s">
        <v>718</v>
      </c>
      <c r="H25" s="39" t="s">
        <v>273</v>
      </c>
      <c r="I25" s="39" t="s">
        <v>92</v>
      </c>
      <c r="J25" s="39"/>
      <c r="K25" s="37"/>
      <c r="L25" s="37"/>
      <c r="M25" s="37"/>
      <c r="N25" s="37"/>
      <c r="O25" s="37"/>
      <c r="P25" s="26" t="s">
        <v>963</v>
      </c>
      <c r="Q25" s="26" t="s">
        <v>4611</v>
      </c>
      <c r="R25" s="26" t="s">
        <v>2992</v>
      </c>
      <c r="S25" s="37"/>
      <c r="T25" s="26" t="s">
        <v>963</v>
      </c>
      <c r="U25" s="37"/>
      <c r="V25" s="37"/>
      <c r="W25" s="37"/>
      <c r="X25" s="37"/>
      <c r="Y25" s="37"/>
      <c r="Z25" s="26" t="s">
        <v>1577</v>
      </c>
      <c r="AA25" s="37"/>
      <c r="AB25" s="37"/>
      <c r="AC25" s="37"/>
      <c r="AD25" s="37"/>
      <c r="AE25" s="37"/>
      <c r="AF25" s="37"/>
      <c r="AG25" s="37"/>
    </row>
    <row r="26" ht="14.25" customHeight="1">
      <c r="A26" s="39" t="s">
        <v>719</v>
      </c>
      <c r="B26" s="39" t="s">
        <v>720</v>
      </c>
      <c r="C26" s="180" t="s">
        <v>4612</v>
      </c>
      <c r="D26" s="39"/>
      <c r="E26" s="40" t="s">
        <v>616</v>
      </c>
      <c r="F26" s="39" t="s">
        <v>215</v>
      </c>
      <c r="G26" s="39" t="s">
        <v>721</v>
      </c>
      <c r="H26" s="39" t="s">
        <v>142</v>
      </c>
      <c r="I26" s="39" t="s">
        <v>49</v>
      </c>
      <c r="J26" s="39"/>
      <c r="K26" s="37"/>
      <c r="L26" s="37"/>
      <c r="M26" s="37"/>
      <c r="N26" s="37"/>
      <c r="O26" s="37"/>
      <c r="P26" s="26" t="s">
        <v>963</v>
      </c>
      <c r="Q26" s="26" t="s">
        <v>4611</v>
      </c>
      <c r="R26" s="26" t="s">
        <v>2999</v>
      </c>
      <c r="S26" s="37"/>
      <c r="T26" s="26" t="s">
        <v>963</v>
      </c>
      <c r="U26" s="37"/>
      <c r="V26" s="37"/>
      <c r="W26" s="37"/>
      <c r="X26" s="37"/>
      <c r="Y26" s="37"/>
      <c r="Z26" s="26" t="s">
        <v>1027</v>
      </c>
      <c r="AA26" s="37"/>
      <c r="AB26" s="37"/>
      <c r="AC26" s="37"/>
      <c r="AD26" s="37"/>
      <c r="AE26" s="37"/>
      <c r="AF26" s="37"/>
      <c r="AG26" s="37"/>
    </row>
    <row r="27" ht="14.25" customHeight="1">
      <c r="A27" s="39" t="s">
        <v>823</v>
      </c>
      <c r="B27" s="39" t="s">
        <v>824</v>
      </c>
      <c r="C27" s="180" t="s">
        <v>4613</v>
      </c>
      <c r="D27" s="39">
        <v>12.0</v>
      </c>
      <c r="E27" s="40" t="s">
        <v>616</v>
      </c>
      <c r="F27" s="39" t="s">
        <v>392</v>
      </c>
      <c r="G27" s="39" t="s">
        <v>825</v>
      </c>
      <c r="H27" s="39" t="s">
        <v>685</v>
      </c>
      <c r="I27" s="39" t="s">
        <v>49</v>
      </c>
      <c r="J27" s="39"/>
      <c r="K27" s="37"/>
      <c r="L27" s="37"/>
      <c r="M27" s="37"/>
      <c r="N27" s="37"/>
      <c r="O27" s="37"/>
      <c r="P27" s="26" t="s">
        <v>963</v>
      </c>
      <c r="Q27" s="26" t="s">
        <v>4611</v>
      </c>
      <c r="R27" s="26" t="s">
        <v>2992</v>
      </c>
      <c r="S27" s="37"/>
      <c r="T27" s="26" t="s">
        <v>963</v>
      </c>
      <c r="U27" s="37"/>
      <c r="V27" s="37"/>
      <c r="W27" s="37"/>
      <c r="X27" s="37"/>
      <c r="Y27" s="37"/>
      <c r="Z27" s="26" t="s">
        <v>1027</v>
      </c>
      <c r="AA27" s="37"/>
      <c r="AB27" s="26" t="s">
        <v>4614</v>
      </c>
      <c r="AC27" s="37"/>
      <c r="AD27" s="37"/>
      <c r="AE27" s="37"/>
      <c r="AF27" s="37"/>
      <c r="AG27" s="37"/>
    </row>
    <row r="28" ht="14.25" customHeight="1">
      <c r="A28" s="39" t="s">
        <v>826</v>
      </c>
      <c r="B28" s="39" t="s">
        <v>827</v>
      </c>
      <c r="C28" s="417" t="s">
        <v>4611</v>
      </c>
      <c r="D28" s="39">
        <v>13.0</v>
      </c>
      <c r="E28" s="40" t="s">
        <v>616</v>
      </c>
      <c r="F28" s="39" t="s">
        <v>409</v>
      </c>
      <c r="G28" s="39" t="s">
        <v>828</v>
      </c>
      <c r="H28" s="39" t="s">
        <v>142</v>
      </c>
      <c r="I28" s="39" t="s">
        <v>49</v>
      </c>
      <c r="J28" s="39"/>
      <c r="K28" s="37"/>
      <c r="L28" s="37"/>
      <c r="M28" s="37"/>
      <c r="N28" s="37"/>
      <c r="O28" s="37"/>
      <c r="P28" s="26" t="s">
        <v>963</v>
      </c>
      <c r="Q28" s="26" t="s">
        <v>4611</v>
      </c>
      <c r="R28" s="26" t="s">
        <v>2999</v>
      </c>
      <c r="S28" s="37"/>
      <c r="T28" s="26" t="s">
        <v>963</v>
      </c>
      <c r="U28" s="37"/>
      <c r="V28" s="37"/>
      <c r="W28" s="37"/>
      <c r="X28" s="37"/>
      <c r="Y28" s="37"/>
      <c r="Z28" s="26" t="s">
        <v>1027</v>
      </c>
      <c r="AA28" s="37"/>
      <c r="AB28" s="26" t="s">
        <v>4615</v>
      </c>
      <c r="AC28" s="37"/>
      <c r="AD28" s="37"/>
      <c r="AE28" s="37"/>
      <c r="AF28" s="37"/>
      <c r="AG28" s="37"/>
    </row>
    <row r="29" ht="14.25" customHeight="1">
      <c r="A29" s="39" t="s">
        <v>829</v>
      </c>
      <c r="B29" s="39" t="s">
        <v>830</v>
      </c>
      <c r="C29" s="180" t="s">
        <v>4616</v>
      </c>
      <c r="D29" s="39">
        <v>13.0</v>
      </c>
      <c r="E29" s="40" t="s">
        <v>616</v>
      </c>
      <c r="F29" s="39" t="s">
        <v>242</v>
      </c>
      <c r="G29" s="39" t="s">
        <v>296</v>
      </c>
      <c r="H29" s="39" t="s">
        <v>233</v>
      </c>
      <c r="I29" s="39" t="s">
        <v>49</v>
      </c>
      <c r="J29" s="39"/>
      <c r="K29" s="26" t="s">
        <v>4617</v>
      </c>
      <c r="L29" s="26" t="s">
        <v>4618</v>
      </c>
      <c r="N29" s="26" t="s">
        <v>4619</v>
      </c>
      <c r="O29" s="26" t="s">
        <v>4620</v>
      </c>
      <c r="P29" s="26" t="s">
        <v>931</v>
      </c>
      <c r="R29" s="37"/>
      <c r="T29" s="26" t="s">
        <v>963</v>
      </c>
      <c r="V29" s="26" t="s">
        <v>4621</v>
      </c>
      <c r="X29" s="26" t="s">
        <v>4555</v>
      </c>
      <c r="Z29" s="26" t="s">
        <v>1027</v>
      </c>
      <c r="AB29" s="26" t="s">
        <v>4622</v>
      </c>
    </row>
    <row r="30" ht="14.25" customHeight="1">
      <c r="A30" s="39" t="s">
        <v>831</v>
      </c>
      <c r="B30" s="39" t="s">
        <v>832</v>
      </c>
      <c r="C30" s="181" t="s">
        <v>1825</v>
      </c>
      <c r="D30" s="39">
        <v>21.0</v>
      </c>
      <c r="E30" s="40" t="s">
        <v>616</v>
      </c>
      <c r="F30" s="39" t="s">
        <v>833</v>
      </c>
      <c r="G30" s="39" t="s">
        <v>142</v>
      </c>
      <c r="H30" s="39" t="s">
        <v>385</v>
      </c>
      <c r="I30" s="39" t="s">
        <v>49</v>
      </c>
      <c r="J30" s="39" t="s">
        <v>4623</v>
      </c>
      <c r="K30" s="26" t="s">
        <v>4624</v>
      </c>
      <c r="L30" s="26" t="s">
        <v>4625</v>
      </c>
      <c r="N30" s="26" t="s">
        <v>998</v>
      </c>
      <c r="P30" s="26" t="s">
        <v>931</v>
      </c>
      <c r="R30" s="37"/>
      <c r="T30" s="26" t="s">
        <v>931</v>
      </c>
      <c r="U30" s="26" t="s">
        <v>4626</v>
      </c>
      <c r="V30" s="26" t="s">
        <v>4627</v>
      </c>
      <c r="X30" s="26" t="s">
        <v>4555</v>
      </c>
      <c r="Z30" s="26" t="s">
        <v>1027</v>
      </c>
      <c r="AB30" s="26" t="s">
        <v>4628</v>
      </c>
    </row>
    <row r="31" ht="14.25" customHeight="1">
      <c r="A31" s="39" t="s">
        <v>834</v>
      </c>
      <c r="B31" s="39" t="s">
        <v>835</v>
      </c>
      <c r="C31" s="180" t="s">
        <v>1830</v>
      </c>
      <c r="D31" s="39"/>
      <c r="E31" s="40" t="s">
        <v>616</v>
      </c>
      <c r="F31" s="39" t="s">
        <v>708</v>
      </c>
      <c r="G31" s="39" t="s">
        <v>836</v>
      </c>
      <c r="H31" s="39" t="s">
        <v>221</v>
      </c>
      <c r="I31" s="39" t="s">
        <v>49</v>
      </c>
      <c r="J31" s="39"/>
      <c r="K31" s="26" t="s">
        <v>4617</v>
      </c>
      <c r="L31" s="26" t="s">
        <v>4629</v>
      </c>
      <c r="N31" s="26" t="s">
        <v>998</v>
      </c>
      <c r="P31" s="26" t="s">
        <v>931</v>
      </c>
      <c r="R31" s="37"/>
      <c r="T31" s="26" t="s">
        <v>963</v>
      </c>
      <c r="U31" s="26" t="s">
        <v>4630</v>
      </c>
      <c r="V31" s="26" t="s">
        <v>4631</v>
      </c>
      <c r="X31" s="26" t="s">
        <v>4555</v>
      </c>
      <c r="Z31" s="26" t="s">
        <v>1027</v>
      </c>
      <c r="AB31" s="26" t="s">
        <v>4632</v>
      </c>
    </row>
    <row r="32" ht="14.25" customHeight="1">
      <c r="A32" s="418" t="s">
        <v>921</v>
      </c>
      <c r="B32" s="418" t="s">
        <v>922</v>
      </c>
      <c r="C32" s="419" t="s">
        <v>4633</v>
      </c>
      <c r="D32" s="418">
        <v>10.0</v>
      </c>
      <c r="E32" s="420" t="s">
        <v>891</v>
      </c>
      <c r="F32" s="421" t="s">
        <v>898</v>
      </c>
      <c r="G32" s="421"/>
      <c r="H32" s="421" t="s">
        <v>923</v>
      </c>
      <c r="I32" s="422" t="s">
        <v>92</v>
      </c>
      <c r="J32" s="418"/>
      <c r="K32" s="418"/>
      <c r="L32" s="418"/>
      <c r="M32" s="423"/>
      <c r="N32" s="418" t="s">
        <v>1765</v>
      </c>
      <c r="O32" s="424"/>
      <c r="P32" s="425" t="s">
        <v>963</v>
      </c>
      <c r="Q32" s="425" t="s">
        <v>4634</v>
      </c>
      <c r="R32" s="425" t="s">
        <v>2992</v>
      </c>
      <c r="S32" s="424"/>
      <c r="T32" s="425" t="s">
        <v>963</v>
      </c>
      <c r="U32" s="424"/>
      <c r="V32" s="424"/>
      <c r="W32" s="424"/>
      <c r="X32" s="424"/>
      <c r="Y32" s="424"/>
      <c r="Z32" s="425" t="s">
        <v>4635</v>
      </c>
      <c r="AA32" s="424"/>
      <c r="AB32" s="425" t="s">
        <v>4636</v>
      </c>
      <c r="AC32" s="424"/>
      <c r="AD32" s="424"/>
      <c r="AE32" s="424"/>
      <c r="AF32" s="424"/>
      <c r="AG32" s="424"/>
    </row>
    <row r="33" ht="14.25" customHeight="1">
      <c r="A33" s="330" t="s">
        <v>924</v>
      </c>
      <c r="B33" s="330" t="s">
        <v>925</v>
      </c>
      <c r="C33" s="426" t="s">
        <v>4637</v>
      </c>
      <c r="D33" s="330">
        <v>10.0</v>
      </c>
      <c r="E33" s="427" t="s">
        <v>891</v>
      </c>
      <c r="F33" s="428" t="s">
        <v>907</v>
      </c>
      <c r="G33" s="428"/>
      <c r="H33" s="428" t="s">
        <v>127</v>
      </c>
      <c r="I33" s="429" t="s">
        <v>4638</v>
      </c>
      <c r="J33" s="330"/>
      <c r="K33" s="330" t="s">
        <v>4639</v>
      </c>
      <c r="L33" s="330" t="s">
        <v>4523</v>
      </c>
      <c r="M33" s="332"/>
      <c r="N33" s="330" t="s">
        <v>4523</v>
      </c>
      <c r="O33" s="315"/>
      <c r="P33" s="316" t="s">
        <v>4640</v>
      </c>
      <c r="Q33" s="315"/>
      <c r="R33" s="177" t="s">
        <v>2992</v>
      </c>
      <c r="S33" s="315"/>
      <c r="T33" s="316" t="s">
        <v>963</v>
      </c>
      <c r="U33" s="316" t="s">
        <v>4641</v>
      </c>
      <c r="V33" s="315"/>
      <c r="W33" s="316" t="s">
        <v>4642</v>
      </c>
      <c r="X33" s="316" t="s">
        <v>4142</v>
      </c>
      <c r="Y33" s="315"/>
      <c r="Z33" s="316" t="s">
        <v>4643</v>
      </c>
      <c r="AA33" s="315"/>
      <c r="AB33" s="316" t="s">
        <v>4644</v>
      </c>
      <c r="AC33" s="315"/>
      <c r="AD33" s="315"/>
      <c r="AE33" s="315"/>
      <c r="AF33" s="315"/>
      <c r="AG33" s="315"/>
    </row>
    <row r="34" ht="14.25" customHeight="1">
      <c r="A34" s="430" t="s">
        <v>926</v>
      </c>
      <c r="B34" s="430" t="s">
        <v>927</v>
      </c>
      <c r="C34" s="431" t="s">
        <v>4645</v>
      </c>
      <c r="D34" s="430">
        <v>6.0</v>
      </c>
      <c r="E34" s="432" t="s">
        <v>891</v>
      </c>
      <c r="F34" s="433" t="s">
        <v>917</v>
      </c>
      <c r="G34" s="433" t="s">
        <v>162</v>
      </c>
      <c r="H34" s="433" t="s">
        <v>127</v>
      </c>
      <c r="I34" s="434" t="s">
        <v>92</v>
      </c>
      <c r="J34" s="430" t="s">
        <v>4646</v>
      </c>
      <c r="K34" s="430"/>
      <c r="L34" s="430" t="s">
        <v>4647</v>
      </c>
      <c r="M34" s="435"/>
      <c r="N34" s="430" t="s">
        <v>4523</v>
      </c>
      <c r="O34" s="436"/>
      <c r="P34" s="437" t="s">
        <v>963</v>
      </c>
      <c r="Q34" s="437" t="s">
        <v>4611</v>
      </c>
      <c r="R34" s="437" t="s">
        <v>2992</v>
      </c>
      <c r="S34" s="436"/>
      <c r="T34" s="437" t="s">
        <v>963</v>
      </c>
      <c r="U34" s="436"/>
      <c r="V34" s="436"/>
      <c r="W34" s="436"/>
      <c r="X34" s="436"/>
      <c r="Y34" s="436"/>
      <c r="Z34" s="437" t="s">
        <v>1324</v>
      </c>
      <c r="AA34" s="436"/>
      <c r="AB34" s="437" t="s">
        <v>4648</v>
      </c>
      <c r="AC34" s="436"/>
      <c r="AD34" s="436"/>
      <c r="AE34" s="436"/>
      <c r="AF34" s="436"/>
      <c r="AG34" s="436"/>
    </row>
    <row r="35" ht="14.25" customHeight="1">
      <c r="A35" s="39" t="s">
        <v>913</v>
      </c>
      <c r="B35" s="39" t="s">
        <v>914</v>
      </c>
      <c r="C35" s="180" t="s">
        <v>1834</v>
      </c>
      <c r="D35" s="39">
        <v>27.0</v>
      </c>
      <c r="E35" s="40" t="s">
        <v>891</v>
      </c>
      <c r="F35" s="39" t="s">
        <v>907</v>
      </c>
      <c r="G35" s="39" t="s">
        <v>126</v>
      </c>
      <c r="H35" s="39" t="s">
        <v>523</v>
      </c>
      <c r="I35" s="39" t="s">
        <v>49</v>
      </c>
      <c r="J35" s="39" t="s">
        <v>4649</v>
      </c>
      <c r="K35" s="39" t="s">
        <v>4591</v>
      </c>
      <c r="L35" s="39" t="s">
        <v>4650</v>
      </c>
      <c r="M35" s="41"/>
      <c r="N35" s="39" t="s">
        <v>1835</v>
      </c>
      <c r="O35" s="26" t="s">
        <v>4651</v>
      </c>
      <c r="P35" s="26" t="s">
        <v>931</v>
      </c>
      <c r="R35" s="37"/>
      <c r="T35" s="26" t="s">
        <v>963</v>
      </c>
      <c r="U35" s="26" t="s">
        <v>4652</v>
      </c>
      <c r="V35" s="26" t="s">
        <v>4653</v>
      </c>
      <c r="Z35" s="26" t="s">
        <v>1261</v>
      </c>
      <c r="AB35" s="26" t="s">
        <v>4654</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438" t="s">
        <v>57</v>
      </c>
      <c r="B1" s="438" t="s">
        <v>58</v>
      </c>
      <c r="C1" s="438" t="s">
        <v>59</v>
      </c>
      <c r="D1" s="438" t="s">
        <v>60</v>
      </c>
      <c r="E1" s="52" t="s">
        <v>943</v>
      </c>
      <c r="F1" s="52" t="s">
        <v>3858</v>
      </c>
      <c r="G1" s="438" t="s">
        <v>61</v>
      </c>
      <c r="H1" s="438" t="s">
        <v>62</v>
      </c>
      <c r="I1" s="438" t="s">
        <v>3220</v>
      </c>
      <c r="J1" s="438" t="s">
        <v>3221</v>
      </c>
      <c r="K1" s="438" t="s">
        <v>3222</v>
      </c>
      <c r="L1" s="438" t="s">
        <v>3223</v>
      </c>
      <c r="M1" s="52" t="s">
        <v>3662</v>
      </c>
      <c r="N1" s="438" t="s">
        <v>3225</v>
      </c>
      <c r="O1" s="438" t="s">
        <v>3226</v>
      </c>
      <c r="P1" s="438" t="s">
        <v>3227</v>
      </c>
      <c r="Q1" s="438" t="s">
        <v>3228</v>
      </c>
      <c r="R1" s="438" t="s">
        <v>3229</v>
      </c>
      <c r="S1" s="438" t="s">
        <v>3230</v>
      </c>
      <c r="T1" s="438" t="s">
        <v>944</v>
      </c>
      <c r="U1" s="52" t="s">
        <v>3232</v>
      </c>
      <c r="V1" s="52" t="s">
        <v>61</v>
      </c>
      <c r="W1" s="52" t="s">
        <v>62</v>
      </c>
      <c r="X1" s="52" t="s">
        <v>4655</v>
      </c>
      <c r="Y1" s="52" t="s">
        <v>950</v>
      </c>
      <c r="Z1" s="52" t="s">
        <v>4656</v>
      </c>
      <c r="AA1" s="438" t="s">
        <v>3235</v>
      </c>
      <c r="AB1" s="438" t="s">
        <v>3236</v>
      </c>
    </row>
    <row r="2" ht="14.25" customHeight="1">
      <c r="A2" s="439" t="s">
        <v>503</v>
      </c>
      <c r="B2" s="439" t="s">
        <v>504</v>
      </c>
      <c r="C2" s="439" t="s">
        <v>88</v>
      </c>
      <c r="D2" s="439" t="s">
        <v>505</v>
      </c>
      <c r="E2" s="439"/>
      <c r="F2" s="439"/>
      <c r="G2" s="439"/>
      <c r="H2" s="439" t="s">
        <v>506</v>
      </c>
      <c r="I2" s="439" t="s">
        <v>49</v>
      </c>
      <c r="J2" s="39" t="s">
        <v>4657</v>
      </c>
      <c r="K2" s="39" t="s">
        <v>4658</v>
      </c>
      <c r="L2" s="440" t="s">
        <v>4275</v>
      </c>
      <c r="M2" s="39" t="s">
        <v>4659</v>
      </c>
      <c r="N2" s="39" t="s">
        <v>4660</v>
      </c>
      <c r="O2" s="39" t="s">
        <v>4661</v>
      </c>
      <c r="P2" s="440" t="s">
        <v>931</v>
      </c>
      <c r="Q2" s="439"/>
      <c r="R2" s="439" t="s">
        <v>3242</v>
      </c>
      <c r="S2" s="439"/>
      <c r="T2" s="439"/>
      <c r="U2" s="440"/>
      <c r="V2" s="440"/>
      <c r="W2" s="440"/>
      <c r="X2" s="440" t="s">
        <v>4662</v>
      </c>
      <c r="Y2" s="439"/>
      <c r="Z2" s="440" t="s">
        <v>963</v>
      </c>
      <c r="AA2" s="439"/>
      <c r="AB2" s="439"/>
    </row>
    <row r="3" ht="14.25" customHeight="1">
      <c r="A3" s="439" t="s">
        <v>508</v>
      </c>
      <c r="B3" s="439" t="s">
        <v>509</v>
      </c>
      <c r="C3" s="439" t="s">
        <v>88</v>
      </c>
      <c r="D3" s="439" t="s">
        <v>510</v>
      </c>
      <c r="E3" s="439"/>
      <c r="F3" s="439"/>
      <c r="G3" s="439" t="s">
        <v>511</v>
      </c>
      <c r="H3" s="439" t="s">
        <v>233</v>
      </c>
      <c r="I3" s="439" t="s">
        <v>49</v>
      </c>
      <c r="J3" s="440" t="s">
        <v>4663</v>
      </c>
      <c r="K3" s="440" t="s">
        <v>4664</v>
      </c>
      <c r="L3" s="440" t="s">
        <v>4665</v>
      </c>
      <c r="M3" s="440" t="s">
        <v>4666</v>
      </c>
      <c r="N3" s="440" t="s">
        <v>998</v>
      </c>
      <c r="O3" s="440" t="s">
        <v>4667</v>
      </c>
      <c r="P3" s="440" t="s">
        <v>931</v>
      </c>
      <c r="Q3" s="439"/>
      <c r="R3" s="441"/>
      <c r="S3" s="439"/>
      <c r="T3" s="439"/>
      <c r="U3" s="440"/>
      <c r="V3" s="440"/>
      <c r="W3" s="440"/>
      <c r="X3" s="440" t="s">
        <v>4668</v>
      </c>
      <c r="Y3" s="439"/>
      <c r="Z3" s="440" t="s">
        <v>1862</v>
      </c>
      <c r="AA3" s="439"/>
      <c r="AB3" s="439"/>
    </row>
    <row r="4" ht="14.25" customHeight="1">
      <c r="A4" s="439" t="s">
        <v>512</v>
      </c>
      <c r="B4" s="439" t="s">
        <v>513</v>
      </c>
      <c r="C4" s="439" t="s">
        <v>88</v>
      </c>
      <c r="D4" s="439" t="s">
        <v>207</v>
      </c>
      <c r="E4" s="439"/>
      <c r="F4" s="439"/>
      <c r="G4" s="439" t="s">
        <v>514</v>
      </c>
      <c r="H4" s="439" t="s">
        <v>515</v>
      </c>
      <c r="I4" s="439" t="s">
        <v>49</v>
      </c>
      <c r="J4" s="440" t="s">
        <v>4669</v>
      </c>
      <c r="K4" s="440" t="s">
        <v>4670</v>
      </c>
      <c r="L4" s="440" t="s">
        <v>4671</v>
      </c>
      <c r="M4" s="440" t="s">
        <v>4672</v>
      </c>
      <c r="N4" s="440" t="s">
        <v>998</v>
      </c>
      <c r="O4" s="440" t="s">
        <v>4673</v>
      </c>
      <c r="P4" s="440" t="s">
        <v>931</v>
      </c>
      <c r="Q4" s="439"/>
      <c r="R4" s="441"/>
      <c r="S4" s="439"/>
      <c r="T4" s="439"/>
      <c r="U4" s="440"/>
      <c r="V4" s="440"/>
      <c r="W4" s="440"/>
      <c r="X4" s="440" t="s">
        <v>4674</v>
      </c>
      <c r="Y4" s="439"/>
      <c r="Z4" s="440" t="s">
        <v>963</v>
      </c>
      <c r="AA4" s="439"/>
      <c r="AB4" s="439"/>
    </row>
    <row r="5" ht="14.25" customHeight="1">
      <c r="A5" s="439" t="s">
        <v>516</v>
      </c>
      <c r="B5" s="439" t="s">
        <v>517</v>
      </c>
      <c r="C5" s="439" t="s">
        <v>88</v>
      </c>
      <c r="D5" s="439" t="s">
        <v>518</v>
      </c>
      <c r="E5" s="439"/>
      <c r="F5" s="439"/>
      <c r="G5" s="439" t="s">
        <v>418</v>
      </c>
      <c r="H5" s="439" t="s">
        <v>419</v>
      </c>
      <c r="I5" s="439" t="s">
        <v>49</v>
      </c>
      <c r="J5" s="440" t="s">
        <v>4675</v>
      </c>
      <c r="K5" s="440" t="s">
        <v>4676</v>
      </c>
      <c r="L5" s="440" t="s">
        <v>4677</v>
      </c>
      <c r="M5" s="440" t="s">
        <v>4677</v>
      </c>
      <c r="N5" s="440" t="s">
        <v>4678</v>
      </c>
      <c r="O5" s="440" t="s">
        <v>4679</v>
      </c>
      <c r="P5" s="440" t="s">
        <v>931</v>
      </c>
      <c r="Q5" s="439"/>
      <c r="R5" s="441"/>
      <c r="S5" s="439"/>
      <c r="T5" s="439"/>
      <c r="U5" s="440"/>
      <c r="V5" s="440"/>
      <c r="W5" s="440"/>
      <c r="X5" s="440" t="s">
        <v>4680</v>
      </c>
      <c r="Y5" s="439"/>
      <c r="Z5" s="440" t="s">
        <v>963</v>
      </c>
      <c r="AA5" s="439"/>
      <c r="AB5" s="439"/>
    </row>
    <row r="6" ht="14.25" customHeight="1">
      <c r="A6" s="439" t="s">
        <v>519</v>
      </c>
      <c r="B6" s="439" t="s">
        <v>520</v>
      </c>
      <c r="C6" s="439" t="s">
        <v>88</v>
      </c>
      <c r="D6" s="439" t="s">
        <v>521</v>
      </c>
      <c r="E6" s="439"/>
      <c r="F6" s="439"/>
      <c r="G6" s="439" t="s">
        <v>522</v>
      </c>
      <c r="H6" s="439" t="s">
        <v>523</v>
      </c>
      <c r="I6" s="439" t="s">
        <v>49</v>
      </c>
      <c r="J6" s="440" t="s">
        <v>4681</v>
      </c>
      <c r="K6" s="440" t="s">
        <v>4682</v>
      </c>
      <c r="L6" s="440" t="s">
        <v>4683</v>
      </c>
      <c r="M6" s="440" t="s">
        <v>4683</v>
      </c>
      <c r="N6" s="440" t="s">
        <v>998</v>
      </c>
      <c r="O6" s="440" t="s">
        <v>4684</v>
      </c>
      <c r="P6" s="440" t="s">
        <v>931</v>
      </c>
      <c r="Q6" s="439"/>
      <c r="R6" s="441"/>
      <c r="S6" s="439"/>
      <c r="T6" s="439"/>
      <c r="U6" s="440"/>
      <c r="V6" s="440"/>
      <c r="W6" s="440"/>
      <c r="X6" s="440" t="s">
        <v>4685</v>
      </c>
      <c r="Y6" s="439"/>
      <c r="Z6" s="440" t="s">
        <v>1877</v>
      </c>
      <c r="AA6" s="439"/>
      <c r="AB6" s="439"/>
    </row>
    <row r="7">
      <c r="A7" s="439" t="s">
        <v>524</v>
      </c>
      <c r="B7" s="439" t="s">
        <v>525</v>
      </c>
      <c r="C7" s="439" t="s">
        <v>88</v>
      </c>
      <c r="D7" s="439" t="s">
        <v>287</v>
      </c>
      <c r="E7" s="439"/>
      <c r="F7" s="439"/>
      <c r="G7" s="439" t="s">
        <v>346</v>
      </c>
      <c r="H7" s="439" t="s">
        <v>526</v>
      </c>
      <c r="I7" s="439" t="s">
        <v>49</v>
      </c>
      <c r="J7" s="440" t="s">
        <v>4686</v>
      </c>
      <c r="K7" s="440" t="s">
        <v>4687</v>
      </c>
      <c r="L7" s="440" t="s">
        <v>4688</v>
      </c>
      <c r="M7" s="439"/>
      <c r="N7" s="440" t="s">
        <v>998</v>
      </c>
      <c r="O7" s="440" t="s">
        <v>4689</v>
      </c>
      <c r="P7" s="440" t="s">
        <v>931</v>
      </c>
      <c r="Q7" s="439"/>
      <c r="R7" s="441"/>
      <c r="S7" s="440" t="s">
        <v>4690</v>
      </c>
      <c r="T7" s="439"/>
      <c r="U7" s="439"/>
      <c r="V7" s="439"/>
      <c r="W7" s="439"/>
      <c r="X7" s="440" t="s">
        <v>4691</v>
      </c>
      <c r="Y7" s="439"/>
      <c r="Z7" s="440" t="s">
        <v>963</v>
      </c>
      <c r="AA7" s="439"/>
      <c r="AB7" s="439"/>
    </row>
    <row r="8" ht="14.25" customHeight="1">
      <c r="A8" s="442" t="s">
        <v>527</v>
      </c>
      <c r="B8" s="442" t="s">
        <v>528</v>
      </c>
      <c r="C8" s="442" t="s">
        <v>88</v>
      </c>
      <c r="D8" s="442" t="s">
        <v>529</v>
      </c>
      <c r="E8" s="442"/>
      <c r="F8" s="442"/>
      <c r="G8" s="442" t="s">
        <v>137</v>
      </c>
      <c r="H8" s="442" t="s">
        <v>530</v>
      </c>
      <c r="I8" s="442" t="s">
        <v>49</v>
      </c>
      <c r="J8" s="443" t="s">
        <v>4692</v>
      </c>
      <c r="K8" s="443" t="s">
        <v>4693</v>
      </c>
      <c r="L8" s="443" t="s">
        <v>4694</v>
      </c>
      <c r="M8" s="442"/>
      <c r="N8" s="443" t="s">
        <v>4695</v>
      </c>
      <c r="O8" s="443" t="s">
        <v>4696</v>
      </c>
      <c r="P8" s="443" t="s">
        <v>963</v>
      </c>
      <c r="Q8" s="443" t="s">
        <v>4697</v>
      </c>
      <c r="R8" s="443" t="s">
        <v>2992</v>
      </c>
      <c r="S8" s="442"/>
      <c r="T8" s="442"/>
      <c r="U8" s="442"/>
      <c r="V8" s="442"/>
      <c r="W8" s="442"/>
      <c r="X8" s="443" t="s">
        <v>4698</v>
      </c>
      <c r="Y8" s="442"/>
      <c r="Z8" s="443" t="s">
        <v>963</v>
      </c>
      <c r="AA8" s="442"/>
      <c r="AB8" s="442"/>
      <c r="AC8" s="315"/>
      <c r="AD8" s="315"/>
      <c r="AE8" s="315"/>
      <c r="AF8" s="315"/>
    </row>
    <row r="9" ht="14.25" customHeight="1">
      <c r="A9" s="439" t="s">
        <v>531</v>
      </c>
      <c r="B9" s="439" t="s">
        <v>532</v>
      </c>
      <c r="C9" s="439" t="s">
        <v>88</v>
      </c>
      <c r="D9" s="439" t="s">
        <v>363</v>
      </c>
      <c r="E9" s="439"/>
      <c r="F9" s="439"/>
      <c r="G9" s="439" t="s">
        <v>126</v>
      </c>
      <c r="H9" s="439" t="s">
        <v>393</v>
      </c>
      <c r="I9" s="439" t="s">
        <v>49</v>
      </c>
      <c r="J9" s="440" t="s">
        <v>4699</v>
      </c>
      <c r="K9" s="440" t="s">
        <v>4700</v>
      </c>
      <c r="L9" s="440" t="s">
        <v>4701</v>
      </c>
      <c r="M9" s="439"/>
      <c r="N9" s="440" t="s">
        <v>998</v>
      </c>
      <c r="O9" s="440" t="s">
        <v>4702</v>
      </c>
      <c r="P9" s="440" t="s">
        <v>931</v>
      </c>
      <c r="Q9" s="439"/>
      <c r="R9" s="441"/>
      <c r="S9" s="440" t="s">
        <v>4703</v>
      </c>
      <c r="T9" s="439"/>
      <c r="U9" s="439"/>
      <c r="V9" s="439"/>
      <c r="W9" s="439"/>
      <c r="X9" s="440" t="s">
        <v>4704</v>
      </c>
      <c r="Y9" s="439"/>
      <c r="Z9" s="440" t="s">
        <v>1888</v>
      </c>
      <c r="AA9" s="439"/>
      <c r="AB9" s="439"/>
    </row>
    <row r="10" ht="14.25" customHeight="1">
      <c r="A10" s="439" t="s">
        <v>533</v>
      </c>
      <c r="B10" s="439" t="s">
        <v>534</v>
      </c>
      <c r="C10" s="439" t="s">
        <v>88</v>
      </c>
      <c r="D10" s="439" t="s">
        <v>227</v>
      </c>
      <c r="E10" s="439"/>
      <c r="F10" s="439"/>
      <c r="G10" s="439" t="s">
        <v>535</v>
      </c>
      <c r="H10" s="439" t="s">
        <v>536</v>
      </c>
      <c r="I10" s="439" t="s">
        <v>49</v>
      </c>
      <c r="J10" s="440" t="s">
        <v>4705</v>
      </c>
      <c r="K10" s="440" t="s">
        <v>4706</v>
      </c>
      <c r="L10" s="440" t="s">
        <v>4707</v>
      </c>
      <c r="M10" s="439"/>
      <c r="N10" s="440" t="s">
        <v>1154</v>
      </c>
      <c r="O10" s="440" t="s">
        <v>4708</v>
      </c>
      <c r="P10" s="440" t="s">
        <v>931</v>
      </c>
      <c r="Q10" s="439"/>
      <c r="R10" s="441"/>
      <c r="S10" s="439"/>
      <c r="T10" s="439"/>
      <c r="U10" s="439"/>
      <c r="V10" s="439"/>
      <c r="W10" s="439"/>
      <c r="X10" s="440" t="s">
        <v>4709</v>
      </c>
      <c r="Y10" s="439"/>
      <c r="Z10" s="440" t="s">
        <v>1894</v>
      </c>
      <c r="AA10" s="439"/>
      <c r="AB10" s="439"/>
    </row>
    <row r="11" ht="14.25" customHeight="1">
      <c r="A11" s="444" t="s">
        <v>537</v>
      </c>
      <c r="B11" s="444" t="s">
        <v>538</v>
      </c>
      <c r="C11" s="444" t="s">
        <v>88</v>
      </c>
      <c r="D11" s="444" t="s">
        <v>406</v>
      </c>
      <c r="E11" s="444"/>
      <c r="F11" s="444"/>
      <c r="G11" s="444" t="s">
        <v>142</v>
      </c>
      <c r="H11" s="444" t="s">
        <v>142</v>
      </c>
      <c r="I11" s="444" t="s">
        <v>49</v>
      </c>
      <c r="J11" s="445" t="s">
        <v>4710</v>
      </c>
      <c r="K11" s="445" t="s">
        <v>4711</v>
      </c>
      <c r="L11" s="445" t="s">
        <v>4712</v>
      </c>
      <c r="M11" s="445" t="s">
        <v>4713</v>
      </c>
      <c r="N11" s="445" t="s">
        <v>998</v>
      </c>
      <c r="O11" s="445" t="s">
        <v>4714</v>
      </c>
      <c r="P11" s="445" t="s">
        <v>931</v>
      </c>
      <c r="Q11" s="444"/>
      <c r="R11" s="446"/>
      <c r="S11" s="444"/>
      <c r="T11" s="444"/>
      <c r="U11" s="444"/>
      <c r="V11" s="444"/>
      <c r="W11" s="444"/>
      <c r="X11" s="445" t="s">
        <v>4715</v>
      </c>
      <c r="Y11" s="444"/>
      <c r="Z11" s="445" t="s">
        <v>963</v>
      </c>
      <c r="AA11" s="444"/>
      <c r="AB11" s="444"/>
    </row>
    <row r="12" ht="14.25" customHeight="1">
      <c r="A12" s="439" t="s">
        <v>539</v>
      </c>
      <c r="B12" s="439" t="s">
        <v>540</v>
      </c>
      <c r="C12" s="439" t="s">
        <v>88</v>
      </c>
      <c r="D12" s="439" t="s">
        <v>224</v>
      </c>
      <c r="E12" s="439"/>
      <c r="F12" s="439"/>
      <c r="G12" s="439" t="s">
        <v>162</v>
      </c>
      <c r="H12" s="439" t="s">
        <v>541</v>
      </c>
      <c r="I12" s="439" t="s">
        <v>49</v>
      </c>
      <c r="J12" s="440" t="s">
        <v>4716</v>
      </c>
      <c r="K12" s="440" t="s">
        <v>4717</v>
      </c>
      <c r="L12" s="440" t="s">
        <v>4718</v>
      </c>
      <c r="M12" s="439"/>
      <c r="N12" s="440" t="s">
        <v>4719</v>
      </c>
      <c r="O12" s="440" t="s">
        <v>4720</v>
      </c>
      <c r="P12" s="440" t="s">
        <v>931</v>
      </c>
      <c r="Q12" s="439"/>
      <c r="R12" s="440" t="s">
        <v>2992</v>
      </c>
      <c r="S12" s="440" t="s">
        <v>4721</v>
      </c>
      <c r="T12" s="439"/>
      <c r="U12" s="439"/>
      <c r="V12" s="439"/>
      <c r="W12" s="439"/>
      <c r="X12" s="440" t="s">
        <v>4722</v>
      </c>
      <c r="Y12" s="439"/>
      <c r="Z12" s="440" t="s">
        <v>963</v>
      </c>
      <c r="AA12" s="439"/>
      <c r="AB12" s="439"/>
      <c r="AC12" s="447"/>
      <c r="AD12" s="447"/>
      <c r="AE12" s="447"/>
      <c r="AF12" s="447"/>
    </row>
    <row r="13" ht="14.25" customHeight="1">
      <c r="A13" s="442" t="s">
        <v>542</v>
      </c>
      <c r="B13" s="442" t="s">
        <v>543</v>
      </c>
      <c r="C13" s="442" t="s">
        <v>88</v>
      </c>
      <c r="D13" s="442" t="s">
        <v>197</v>
      </c>
      <c r="E13" s="442"/>
      <c r="F13" s="442"/>
      <c r="G13" s="442"/>
      <c r="H13" s="442" t="s">
        <v>301</v>
      </c>
      <c r="I13" s="442" t="s">
        <v>49</v>
      </c>
      <c r="J13" s="443" t="s">
        <v>4723</v>
      </c>
      <c r="K13" s="443" t="s">
        <v>4724</v>
      </c>
      <c r="L13" s="443" t="s">
        <v>4725</v>
      </c>
      <c r="M13" s="442"/>
      <c r="N13" s="443" t="s">
        <v>998</v>
      </c>
      <c r="O13" s="443" t="s">
        <v>4726</v>
      </c>
      <c r="P13" s="443" t="s">
        <v>963</v>
      </c>
      <c r="Q13" s="443" t="s">
        <v>4727</v>
      </c>
      <c r="R13" s="443" t="s">
        <v>2992</v>
      </c>
      <c r="S13" s="443" t="s">
        <v>4728</v>
      </c>
      <c r="T13" s="442"/>
      <c r="U13" s="442"/>
      <c r="V13" s="442"/>
      <c r="W13" s="442"/>
      <c r="X13" s="443" t="s">
        <v>4729</v>
      </c>
      <c r="Y13" s="442"/>
      <c r="Z13" s="443" t="s">
        <v>963</v>
      </c>
      <c r="AA13" s="442"/>
      <c r="AB13" s="442"/>
      <c r="AC13" s="315"/>
      <c r="AD13" s="315"/>
      <c r="AE13" s="315"/>
      <c r="AF13" s="315"/>
    </row>
    <row r="14" ht="14.25" customHeight="1">
      <c r="A14" s="439" t="s">
        <v>544</v>
      </c>
      <c r="B14" s="439" t="s">
        <v>545</v>
      </c>
      <c r="C14" s="439" t="s">
        <v>88</v>
      </c>
      <c r="D14" s="439" t="s">
        <v>429</v>
      </c>
      <c r="E14" s="439"/>
      <c r="F14" s="439"/>
      <c r="G14" s="439" t="s">
        <v>162</v>
      </c>
      <c r="H14" s="439" t="s">
        <v>171</v>
      </c>
      <c r="I14" s="439" t="s">
        <v>49</v>
      </c>
      <c r="J14" s="440" t="s">
        <v>4730</v>
      </c>
      <c r="K14" s="440" t="s">
        <v>4731</v>
      </c>
      <c r="L14" s="440" t="s">
        <v>4732</v>
      </c>
      <c r="M14" s="439"/>
      <c r="N14" s="440" t="s">
        <v>4733</v>
      </c>
      <c r="O14" s="440" t="s">
        <v>4734</v>
      </c>
      <c r="P14" s="440" t="s">
        <v>1211</v>
      </c>
      <c r="Q14" s="439"/>
      <c r="R14" s="441"/>
      <c r="S14" s="440" t="s">
        <v>4735</v>
      </c>
      <c r="T14" s="439"/>
      <c r="U14" s="439"/>
      <c r="V14" s="439"/>
      <c r="W14" s="439"/>
      <c r="X14" s="440" t="s">
        <v>4736</v>
      </c>
      <c r="Y14" s="439"/>
      <c r="Z14" s="440" t="s">
        <v>1894</v>
      </c>
      <c r="AA14" s="439"/>
      <c r="AB14" s="439"/>
    </row>
    <row r="15" ht="14.25" customHeight="1">
      <c r="A15" s="448" t="s">
        <v>546</v>
      </c>
      <c r="B15" s="448" t="s">
        <v>547</v>
      </c>
      <c r="C15" s="448" t="s">
        <v>88</v>
      </c>
      <c r="D15" s="448" t="s">
        <v>125</v>
      </c>
      <c r="E15" s="448"/>
      <c r="F15" s="448"/>
      <c r="G15" s="448" t="s">
        <v>548</v>
      </c>
      <c r="H15" s="448" t="s">
        <v>209</v>
      </c>
      <c r="I15" s="448" t="s">
        <v>49</v>
      </c>
      <c r="J15" s="449" t="s">
        <v>2216</v>
      </c>
      <c r="K15" s="449" t="s">
        <v>2216</v>
      </c>
      <c r="L15" s="449" t="s">
        <v>2216</v>
      </c>
      <c r="M15" s="449" t="s">
        <v>2216</v>
      </c>
      <c r="N15" s="449" t="s">
        <v>2216</v>
      </c>
      <c r="O15" s="449" t="s">
        <v>2216</v>
      </c>
      <c r="P15" s="449" t="s">
        <v>2216</v>
      </c>
      <c r="Q15" s="448"/>
      <c r="R15" s="450"/>
      <c r="S15" s="449" t="s">
        <v>4737</v>
      </c>
      <c r="T15" s="448"/>
      <c r="U15" s="448"/>
      <c r="V15" s="448"/>
      <c r="W15" s="448"/>
      <c r="X15" s="448"/>
      <c r="Y15" s="448"/>
      <c r="Z15" s="449" t="s">
        <v>963</v>
      </c>
      <c r="AA15" s="448"/>
      <c r="AB15" s="448"/>
      <c r="AC15" s="325"/>
      <c r="AD15" s="325"/>
      <c r="AE15" s="325"/>
      <c r="AF15" s="325"/>
    </row>
    <row r="16" ht="14.25" customHeight="1">
      <c r="A16" s="439" t="s">
        <v>549</v>
      </c>
      <c r="B16" s="439" t="s">
        <v>550</v>
      </c>
      <c r="C16" s="439" t="s">
        <v>88</v>
      </c>
      <c r="D16" s="439" t="s">
        <v>551</v>
      </c>
      <c r="E16" s="439"/>
      <c r="F16" s="439"/>
      <c r="G16" s="439"/>
      <c r="H16" s="439" t="s">
        <v>552</v>
      </c>
      <c r="I16" s="439" t="s">
        <v>49</v>
      </c>
      <c r="J16" s="440" t="s">
        <v>4738</v>
      </c>
      <c r="K16" s="440" t="s">
        <v>4739</v>
      </c>
      <c r="L16" s="440" t="s">
        <v>4740</v>
      </c>
      <c r="M16" s="439"/>
      <c r="N16" s="440" t="s">
        <v>4741</v>
      </c>
      <c r="O16" s="440" t="s">
        <v>4742</v>
      </c>
      <c r="P16" s="440" t="s">
        <v>931</v>
      </c>
      <c r="Q16" s="439"/>
      <c r="R16" s="441"/>
      <c r="S16" s="439"/>
      <c r="T16" s="439"/>
      <c r="U16" s="439"/>
      <c r="V16" s="439"/>
      <c r="W16" s="439"/>
      <c r="X16" s="440" t="s">
        <v>4743</v>
      </c>
      <c r="Y16" s="439"/>
      <c r="Z16" s="440" t="s">
        <v>963</v>
      </c>
      <c r="AA16" s="439"/>
      <c r="AB16" s="439"/>
    </row>
    <row r="17" ht="14.25" customHeight="1">
      <c r="A17" s="442" t="s">
        <v>553</v>
      </c>
      <c r="B17" s="442" t="s">
        <v>554</v>
      </c>
      <c r="C17" s="442" t="s">
        <v>88</v>
      </c>
      <c r="D17" s="442" t="s">
        <v>555</v>
      </c>
      <c r="E17" s="442"/>
      <c r="F17" s="442"/>
      <c r="G17" s="442" t="s">
        <v>142</v>
      </c>
      <c r="H17" s="442" t="s">
        <v>556</v>
      </c>
      <c r="I17" s="442" t="s">
        <v>49</v>
      </c>
      <c r="J17" s="443" t="s">
        <v>4744</v>
      </c>
      <c r="K17" s="443" t="s">
        <v>4745</v>
      </c>
      <c r="L17" s="443" t="s">
        <v>4746</v>
      </c>
      <c r="M17" s="442"/>
      <c r="N17" s="443" t="s">
        <v>4747</v>
      </c>
      <c r="O17" s="443" t="s">
        <v>4748</v>
      </c>
      <c r="P17" s="443" t="s">
        <v>963</v>
      </c>
      <c r="Q17" s="443" t="s">
        <v>4749</v>
      </c>
      <c r="R17" s="443" t="s">
        <v>2992</v>
      </c>
      <c r="S17" s="442"/>
      <c r="T17" s="442"/>
      <c r="U17" s="442"/>
      <c r="V17" s="442"/>
      <c r="W17" s="442"/>
      <c r="X17" s="443" t="s">
        <v>4750</v>
      </c>
      <c r="Y17" s="442"/>
      <c r="Z17" s="443" t="s">
        <v>963</v>
      </c>
      <c r="AA17" s="442"/>
      <c r="AB17" s="442"/>
      <c r="AC17" s="315"/>
      <c r="AD17" s="315"/>
      <c r="AE17" s="315"/>
      <c r="AF17" s="315"/>
    </row>
    <row r="18" ht="14.25" customHeight="1">
      <c r="A18" s="39" t="s">
        <v>628</v>
      </c>
      <c r="B18" s="39" t="s">
        <v>629</v>
      </c>
      <c r="C18" s="40" t="s">
        <v>616</v>
      </c>
      <c r="D18" s="39" t="s">
        <v>630</v>
      </c>
      <c r="E18" s="39"/>
      <c r="F18" s="39"/>
      <c r="G18" s="39" t="s">
        <v>631</v>
      </c>
      <c r="H18" s="39" t="s">
        <v>221</v>
      </c>
      <c r="I18" s="439" t="s">
        <v>49</v>
      </c>
      <c r="J18" s="39" t="s">
        <v>4751</v>
      </c>
      <c r="K18" s="440" t="s">
        <v>4752</v>
      </c>
      <c r="L18" s="440" t="s">
        <v>4753</v>
      </c>
      <c r="M18" s="440" t="s">
        <v>4754</v>
      </c>
      <c r="N18" s="440" t="s">
        <v>4755</v>
      </c>
      <c r="O18" s="440" t="s">
        <v>4756</v>
      </c>
      <c r="P18" s="440" t="s">
        <v>931</v>
      </c>
      <c r="Q18" s="439"/>
      <c r="R18" s="441"/>
      <c r="S18" s="440" t="s">
        <v>4757</v>
      </c>
      <c r="T18" s="439"/>
      <c r="U18" s="439"/>
      <c r="V18" s="439"/>
      <c r="W18" s="439"/>
      <c r="X18" s="440" t="s">
        <v>4758</v>
      </c>
      <c r="Y18" s="439"/>
      <c r="Z18" s="440" t="s">
        <v>1920</v>
      </c>
      <c r="AA18" s="439"/>
      <c r="AB18" s="439"/>
    </row>
    <row r="19" ht="14.25" customHeight="1">
      <c r="A19" s="39" t="s">
        <v>632</v>
      </c>
      <c r="B19" s="39" t="s">
        <v>633</v>
      </c>
      <c r="C19" s="40" t="s">
        <v>616</v>
      </c>
      <c r="D19" s="39" t="s">
        <v>179</v>
      </c>
      <c r="E19" s="39"/>
      <c r="F19" s="39"/>
      <c r="G19" s="39" t="s">
        <v>198</v>
      </c>
      <c r="H19" s="39" t="s">
        <v>634</v>
      </c>
      <c r="I19" s="439" t="s">
        <v>49</v>
      </c>
      <c r="J19" s="39" t="s">
        <v>4759</v>
      </c>
      <c r="K19" s="439"/>
      <c r="L19" s="440" t="s">
        <v>4760</v>
      </c>
      <c r="M19" s="439"/>
      <c r="N19" s="440" t="s">
        <v>4755</v>
      </c>
      <c r="O19" s="440" t="s">
        <v>4761</v>
      </c>
      <c r="P19" s="440" t="s">
        <v>931</v>
      </c>
      <c r="Q19" s="439"/>
      <c r="R19" s="441"/>
      <c r="S19" s="440" t="s">
        <v>4757</v>
      </c>
      <c r="T19" s="439"/>
      <c r="U19" s="439"/>
      <c r="V19" s="439"/>
      <c r="W19" s="439"/>
      <c r="X19" s="440" t="s">
        <v>4762</v>
      </c>
      <c r="Y19" s="439"/>
      <c r="Z19" s="440" t="s">
        <v>4763</v>
      </c>
      <c r="AA19" s="439"/>
      <c r="AB19" s="439"/>
    </row>
    <row r="20" ht="14.25" customHeight="1">
      <c r="A20" s="330" t="s">
        <v>696</v>
      </c>
      <c r="B20" s="330" t="s">
        <v>697</v>
      </c>
      <c r="C20" s="331" t="s">
        <v>616</v>
      </c>
      <c r="D20" s="330" t="s">
        <v>100</v>
      </c>
      <c r="E20" s="330"/>
      <c r="F20" s="330"/>
      <c r="G20" s="330" t="s">
        <v>698</v>
      </c>
      <c r="H20" s="330" t="s">
        <v>260</v>
      </c>
      <c r="I20" s="442" t="s">
        <v>49</v>
      </c>
      <c r="J20" s="330" t="s">
        <v>4764</v>
      </c>
      <c r="K20" s="330" t="s">
        <v>4765</v>
      </c>
      <c r="L20" s="443" t="s">
        <v>4766</v>
      </c>
      <c r="M20" s="442"/>
      <c r="N20" s="443" t="s">
        <v>1154</v>
      </c>
      <c r="O20" s="443" t="s">
        <v>4767</v>
      </c>
      <c r="P20" s="443" t="s">
        <v>963</v>
      </c>
      <c r="Q20" s="443" t="s">
        <v>4768</v>
      </c>
      <c r="R20" s="443" t="s">
        <v>2992</v>
      </c>
      <c r="S20" s="443" t="s">
        <v>4769</v>
      </c>
      <c r="T20" s="442"/>
      <c r="U20" s="442"/>
      <c r="V20" s="442"/>
      <c r="W20" s="442"/>
      <c r="X20" s="443" t="s">
        <v>4770</v>
      </c>
      <c r="Y20" s="442"/>
      <c r="Z20" s="443" t="s">
        <v>963</v>
      </c>
      <c r="AA20" s="442"/>
      <c r="AB20" s="442"/>
      <c r="AC20" s="315"/>
      <c r="AD20" s="315"/>
      <c r="AE20" s="315"/>
      <c r="AF20" s="315"/>
    </row>
    <row r="21" ht="14.25" customHeight="1">
      <c r="A21" s="39" t="s">
        <v>712</v>
      </c>
      <c r="B21" s="39" t="s">
        <v>713</v>
      </c>
      <c r="C21" s="40" t="s">
        <v>616</v>
      </c>
      <c r="D21" s="39" t="s">
        <v>256</v>
      </c>
      <c r="E21" s="39"/>
      <c r="F21" s="39"/>
      <c r="G21" s="39" t="s">
        <v>4771</v>
      </c>
      <c r="H21" s="39" t="s">
        <v>142</v>
      </c>
      <c r="I21" s="439" t="s">
        <v>49</v>
      </c>
      <c r="J21" s="39" t="s">
        <v>4772</v>
      </c>
      <c r="K21" s="440" t="s">
        <v>4773</v>
      </c>
      <c r="L21" s="440" t="s">
        <v>4774</v>
      </c>
      <c r="M21" s="439"/>
      <c r="N21" s="440" t="s">
        <v>4775</v>
      </c>
      <c r="O21" s="440" t="s">
        <v>4776</v>
      </c>
      <c r="P21" s="440" t="s">
        <v>931</v>
      </c>
      <c r="Q21" s="439"/>
      <c r="R21" s="441"/>
      <c r="S21" s="440" t="s">
        <v>4757</v>
      </c>
      <c r="T21" s="439"/>
      <c r="U21" s="439"/>
      <c r="V21" s="439"/>
      <c r="W21" s="439"/>
      <c r="X21" s="440" t="s">
        <v>4736</v>
      </c>
      <c r="Y21" s="439"/>
      <c r="Z21" s="440" t="s">
        <v>1894</v>
      </c>
      <c r="AA21" s="439"/>
      <c r="AB21" s="439"/>
    </row>
    <row r="22" ht="14.25" customHeight="1">
      <c r="A22" s="39" t="s">
        <v>714</v>
      </c>
      <c r="B22" s="39" t="s">
        <v>715</v>
      </c>
      <c r="C22" s="40" t="s">
        <v>616</v>
      </c>
      <c r="D22" s="39" t="s">
        <v>125</v>
      </c>
      <c r="E22" s="39"/>
      <c r="F22" s="39"/>
      <c r="G22" s="39" t="s">
        <v>142</v>
      </c>
      <c r="H22" s="39" t="s">
        <v>142</v>
      </c>
      <c r="I22" s="439" t="s">
        <v>49</v>
      </c>
      <c r="J22" s="39" t="s">
        <v>4777</v>
      </c>
      <c r="K22" s="440" t="s">
        <v>4778</v>
      </c>
      <c r="L22" s="440" t="s">
        <v>4779</v>
      </c>
      <c r="M22" s="439"/>
      <c r="N22" s="440" t="s">
        <v>1154</v>
      </c>
      <c r="O22" s="440" t="s">
        <v>4780</v>
      </c>
      <c r="P22" s="440" t="s">
        <v>931</v>
      </c>
      <c r="Q22" s="440" t="s">
        <v>4781</v>
      </c>
      <c r="R22" s="440" t="s">
        <v>2992</v>
      </c>
      <c r="S22" s="440" t="s">
        <v>4782</v>
      </c>
      <c r="T22" s="439"/>
      <c r="U22" s="439"/>
      <c r="V22" s="439"/>
      <c r="W22" s="439"/>
      <c r="X22" s="440" t="s">
        <v>4783</v>
      </c>
      <c r="Y22" s="439"/>
      <c r="Z22" s="440" t="s">
        <v>1894</v>
      </c>
      <c r="AA22" s="439"/>
      <c r="AB22" s="439"/>
    </row>
    <row r="23" ht="14.25" customHeight="1">
      <c r="A23" s="39" t="s">
        <v>769</v>
      </c>
      <c r="B23" s="39" t="s">
        <v>770</v>
      </c>
      <c r="C23" s="40" t="s">
        <v>616</v>
      </c>
      <c r="D23" s="39" t="s">
        <v>599</v>
      </c>
      <c r="E23" s="39"/>
      <c r="F23" s="39"/>
      <c r="G23" s="39" t="s">
        <v>771</v>
      </c>
      <c r="H23" s="39" t="s">
        <v>221</v>
      </c>
      <c r="I23" s="39" t="s">
        <v>49</v>
      </c>
      <c r="J23" s="39" t="s">
        <v>4784</v>
      </c>
      <c r="K23" s="440" t="s">
        <v>4785</v>
      </c>
      <c r="L23" s="440" t="s">
        <v>4786</v>
      </c>
      <c r="M23" s="439"/>
      <c r="N23" s="440" t="s">
        <v>1154</v>
      </c>
      <c r="O23" s="440" t="s">
        <v>4787</v>
      </c>
      <c r="P23" s="440" t="s">
        <v>931</v>
      </c>
      <c r="Q23" s="439"/>
      <c r="R23" s="441"/>
      <c r="S23" s="440" t="s">
        <v>4757</v>
      </c>
      <c r="T23" s="439"/>
      <c r="U23" s="439"/>
      <c r="V23" s="439"/>
      <c r="W23" s="439"/>
      <c r="X23" s="440" t="s">
        <v>4736</v>
      </c>
      <c r="Y23" s="439"/>
      <c r="Z23" s="440" t="s">
        <v>1877</v>
      </c>
      <c r="AA23" s="439"/>
      <c r="AB23" s="439"/>
    </row>
    <row r="24" ht="14.25" customHeight="1">
      <c r="A24" s="39" t="s">
        <v>899</v>
      </c>
      <c r="B24" s="39" t="s">
        <v>900</v>
      </c>
      <c r="C24" s="40" t="s">
        <v>891</v>
      </c>
      <c r="D24" s="39" t="s">
        <v>901</v>
      </c>
      <c r="E24" s="39"/>
      <c r="F24" s="39"/>
      <c r="G24" s="39" t="s">
        <v>162</v>
      </c>
      <c r="H24" s="39" t="s">
        <v>260</v>
      </c>
      <c r="I24" s="39" t="s">
        <v>49</v>
      </c>
      <c r="J24" s="39" t="s">
        <v>4788</v>
      </c>
      <c r="K24" s="39" t="s">
        <v>4789</v>
      </c>
      <c r="L24" s="39" t="s">
        <v>4790</v>
      </c>
      <c r="M24" s="41"/>
      <c r="N24" s="39" t="s">
        <v>1016</v>
      </c>
      <c r="O24" s="440" t="s">
        <v>4791</v>
      </c>
      <c r="P24" s="440" t="s">
        <v>931</v>
      </c>
      <c r="Q24" s="439"/>
      <c r="R24" s="446"/>
      <c r="S24" s="440" t="s">
        <v>4792</v>
      </c>
      <c r="T24" s="439"/>
      <c r="U24" s="439"/>
      <c r="V24" s="439"/>
      <c r="W24" s="439"/>
      <c r="X24" s="440" t="s">
        <v>4793</v>
      </c>
      <c r="Y24" s="439"/>
      <c r="Z24" s="440" t="s">
        <v>963</v>
      </c>
      <c r="AA24" s="439"/>
      <c r="AB24" s="439"/>
    </row>
    <row r="25" ht="14.25" customHeight="1">
      <c r="A25" s="330" t="s">
        <v>915</v>
      </c>
      <c r="B25" s="330" t="s">
        <v>916</v>
      </c>
      <c r="C25" s="331" t="s">
        <v>891</v>
      </c>
      <c r="D25" s="330" t="s">
        <v>917</v>
      </c>
      <c r="E25" s="330"/>
      <c r="F25" s="330"/>
      <c r="G25" s="330"/>
      <c r="H25" s="330" t="s">
        <v>260</v>
      </c>
      <c r="I25" s="330" t="s">
        <v>49</v>
      </c>
      <c r="J25" s="330" t="s">
        <v>4794</v>
      </c>
      <c r="K25" s="330" t="s">
        <v>4795</v>
      </c>
      <c r="L25" s="330" t="s">
        <v>4796</v>
      </c>
      <c r="M25" s="332"/>
      <c r="N25" s="330" t="s">
        <v>4797</v>
      </c>
      <c r="O25" s="443" t="s">
        <v>4798</v>
      </c>
      <c r="P25" s="443" t="s">
        <v>963</v>
      </c>
      <c r="Q25" s="443" t="s">
        <v>4799</v>
      </c>
      <c r="R25" s="443" t="s">
        <v>2992</v>
      </c>
      <c r="S25" s="442"/>
      <c r="T25" s="442"/>
      <c r="U25" s="442"/>
      <c r="V25" s="442"/>
      <c r="W25" s="442"/>
      <c r="X25" s="443" t="s">
        <v>4800</v>
      </c>
      <c r="Y25" s="442"/>
      <c r="Z25" s="443" t="s">
        <v>963</v>
      </c>
      <c r="AA25" s="442"/>
      <c r="AB25" s="442"/>
      <c r="AC25" s="315"/>
      <c r="AD25" s="315"/>
      <c r="AE25" s="315"/>
      <c r="AF25" s="315"/>
    </row>
    <row r="26" ht="14.25" customHeight="1">
      <c r="A26" s="39" t="s">
        <v>854</v>
      </c>
      <c r="B26" s="39" t="s">
        <v>855</v>
      </c>
      <c r="C26" s="40" t="s">
        <v>616</v>
      </c>
      <c r="D26" s="39" t="s">
        <v>264</v>
      </c>
      <c r="E26" s="39"/>
      <c r="F26" s="39"/>
      <c r="G26" s="39" t="s">
        <v>856</v>
      </c>
      <c r="H26" s="39" t="s">
        <v>857</v>
      </c>
      <c r="I26" s="439" t="s">
        <v>49</v>
      </c>
      <c r="J26" s="39" t="s">
        <v>4801</v>
      </c>
      <c r="K26" s="440" t="s">
        <v>4802</v>
      </c>
      <c r="L26" s="440" t="s">
        <v>4803</v>
      </c>
      <c r="M26" s="440" t="s">
        <v>4804</v>
      </c>
      <c r="N26" s="440" t="s">
        <v>1016</v>
      </c>
      <c r="O26" s="440" t="s">
        <v>4805</v>
      </c>
      <c r="P26" s="440" t="s">
        <v>931</v>
      </c>
      <c r="Q26" s="439"/>
      <c r="R26" s="441"/>
      <c r="S26" s="440" t="s">
        <v>4806</v>
      </c>
      <c r="T26" s="439"/>
      <c r="U26" s="439"/>
      <c r="V26" s="439"/>
      <c r="W26" s="439"/>
      <c r="X26" s="440" t="s">
        <v>4807</v>
      </c>
      <c r="Y26" s="439"/>
      <c r="Z26" s="440" t="s">
        <v>1894</v>
      </c>
      <c r="AA26" s="439"/>
      <c r="AB26" s="439"/>
    </row>
    <row r="27" ht="14.25" customHeight="1">
      <c r="A27" s="39" t="s">
        <v>668</v>
      </c>
      <c r="B27" s="39" t="s">
        <v>669</v>
      </c>
      <c r="C27" s="40" t="s">
        <v>616</v>
      </c>
      <c r="D27" s="39" t="s">
        <v>287</v>
      </c>
      <c r="E27" s="39"/>
      <c r="F27" s="39"/>
      <c r="G27" s="39"/>
      <c r="H27" s="39" t="s">
        <v>627</v>
      </c>
      <c r="I27" s="439" t="s">
        <v>49</v>
      </c>
      <c r="J27" s="39" t="s">
        <v>4808</v>
      </c>
      <c r="K27" s="440" t="s">
        <v>4809</v>
      </c>
      <c r="L27" s="440" t="s">
        <v>4810</v>
      </c>
      <c r="M27" s="439"/>
      <c r="N27" s="440" t="s">
        <v>4811</v>
      </c>
      <c r="O27" s="440" t="s">
        <v>4812</v>
      </c>
      <c r="P27" s="440" t="s">
        <v>931</v>
      </c>
      <c r="Q27" s="439"/>
      <c r="R27" s="441"/>
      <c r="S27" s="440" t="s">
        <v>4813</v>
      </c>
      <c r="T27" s="439"/>
      <c r="U27" s="439"/>
      <c r="V27" s="439"/>
      <c r="W27" s="439"/>
      <c r="X27" s="440" t="s">
        <v>4814</v>
      </c>
      <c r="Y27" s="439"/>
      <c r="Z27" s="440" t="s">
        <v>963</v>
      </c>
      <c r="AA27" s="439"/>
      <c r="AB27" s="439"/>
    </row>
    <row r="28" ht="14.25" customHeight="1">
      <c r="A28" s="439" t="s">
        <v>557</v>
      </c>
      <c r="B28" s="439" t="s">
        <v>558</v>
      </c>
      <c r="C28" s="439" t="s">
        <v>88</v>
      </c>
      <c r="D28" s="439" t="s">
        <v>283</v>
      </c>
      <c r="E28" s="439"/>
      <c r="F28" s="439"/>
      <c r="G28" s="439" t="s">
        <v>204</v>
      </c>
      <c r="H28" s="439" t="s">
        <v>189</v>
      </c>
      <c r="I28" s="439" t="s">
        <v>559</v>
      </c>
      <c r="J28" s="440" t="s">
        <v>4815</v>
      </c>
      <c r="K28" s="440" t="s">
        <v>4816</v>
      </c>
      <c r="L28" s="440" t="s">
        <v>4817</v>
      </c>
      <c r="M28" s="439"/>
      <c r="N28" s="440" t="s">
        <v>1949</v>
      </c>
      <c r="O28" s="440" t="s">
        <v>4818</v>
      </c>
      <c r="P28" s="440" t="s">
        <v>931</v>
      </c>
      <c r="Q28" s="439"/>
      <c r="R28" s="441"/>
      <c r="S28" s="439"/>
      <c r="T28" s="439"/>
      <c r="U28" s="439"/>
      <c r="V28" s="439"/>
      <c r="W28" s="439"/>
      <c r="X28" s="440" t="s">
        <v>4819</v>
      </c>
      <c r="Y28" s="439"/>
      <c r="Z28" s="440" t="s">
        <v>963</v>
      </c>
      <c r="AA28" s="439"/>
      <c r="AB28" s="439"/>
    </row>
    <row r="29" ht="14.25" customHeight="1">
      <c r="A29" s="439" t="s">
        <v>563</v>
      </c>
      <c r="B29" s="439" t="s">
        <v>564</v>
      </c>
      <c r="C29" s="439" t="s">
        <v>88</v>
      </c>
      <c r="D29" s="439" t="s">
        <v>363</v>
      </c>
      <c r="E29" s="439"/>
      <c r="F29" s="439"/>
      <c r="G29" s="439" t="s">
        <v>565</v>
      </c>
      <c r="H29" s="439" t="s">
        <v>189</v>
      </c>
      <c r="I29" s="439" t="s">
        <v>559</v>
      </c>
      <c r="J29" s="440" t="s">
        <v>4820</v>
      </c>
      <c r="K29" s="440" t="s">
        <v>4821</v>
      </c>
      <c r="L29" s="440" t="s">
        <v>4822</v>
      </c>
      <c r="M29" s="439"/>
      <c r="N29" s="440" t="s">
        <v>4747</v>
      </c>
      <c r="O29" s="440" t="s">
        <v>4823</v>
      </c>
      <c r="P29" s="440" t="s">
        <v>931</v>
      </c>
      <c r="Q29" s="439"/>
      <c r="R29" s="441"/>
      <c r="S29" s="440" t="s">
        <v>4824</v>
      </c>
      <c r="T29" s="439"/>
      <c r="U29" s="439"/>
      <c r="V29" s="439"/>
      <c r="W29" s="439"/>
      <c r="X29" s="440" t="s">
        <v>4825</v>
      </c>
      <c r="Y29" s="439"/>
      <c r="Z29" s="440" t="s">
        <v>963</v>
      </c>
      <c r="AA29" s="439"/>
      <c r="AB29" s="439"/>
    </row>
    <row r="30" ht="14.25" customHeight="1">
      <c r="A30" s="451" t="s">
        <v>569</v>
      </c>
      <c r="B30" s="451" t="s">
        <v>570</v>
      </c>
      <c r="C30" s="451" t="s">
        <v>88</v>
      </c>
      <c r="D30" s="451" t="s">
        <v>571</v>
      </c>
      <c r="E30" s="451"/>
      <c r="F30" s="451"/>
      <c r="G30" s="451"/>
      <c r="H30" s="451" t="s">
        <v>217</v>
      </c>
      <c r="I30" s="451" t="s">
        <v>559</v>
      </c>
      <c r="J30" s="452" t="s">
        <v>4826</v>
      </c>
      <c r="K30" s="452" t="s">
        <v>4827</v>
      </c>
      <c r="L30" s="452" t="s">
        <v>4828</v>
      </c>
      <c r="M30" s="451"/>
      <c r="N30" s="452" t="s">
        <v>4829</v>
      </c>
      <c r="O30" s="451"/>
      <c r="P30" s="452" t="s">
        <v>963</v>
      </c>
      <c r="Q30" s="452" t="s">
        <v>4830</v>
      </c>
      <c r="R30" s="452" t="s">
        <v>2992</v>
      </c>
      <c r="S30" s="451"/>
      <c r="T30" s="451"/>
      <c r="U30" s="451"/>
      <c r="V30" s="451"/>
      <c r="W30" s="451"/>
      <c r="X30" s="452" t="s">
        <v>4831</v>
      </c>
      <c r="Y30" s="451"/>
      <c r="Z30" s="452" t="s">
        <v>963</v>
      </c>
      <c r="AA30" s="451"/>
      <c r="AB30" s="451"/>
      <c r="AC30" s="313"/>
      <c r="AD30" s="313"/>
      <c r="AE30" s="313"/>
      <c r="AF30" s="313"/>
    </row>
    <row r="31" ht="14.25" customHeight="1">
      <c r="A31" s="439" t="s">
        <v>572</v>
      </c>
      <c r="B31" s="439" t="s">
        <v>573</v>
      </c>
      <c r="C31" s="439" t="s">
        <v>88</v>
      </c>
      <c r="D31" s="439" t="s">
        <v>227</v>
      </c>
      <c r="E31" s="439"/>
      <c r="F31" s="439"/>
      <c r="G31" s="439"/>
      <c r="H31" s="439" t="s">
        <v>574</v>
      </c>
      <c r="I31" s="439" t="s">
        <v>559</v>
      </c>
      <c r="J31" s="440" t="s">
        <v>4832</v>
      </c>
      <c r="K31" s="440" t="s">
        <v>4833</v>
      </c>
      <c r="L31" s="440" t="s">
        <v>4834</v>
      </c>
      <c r="M31" s="439"/>
      <c r="N31" s="440" t="s">
        <v>998</v>
      </c>
      <c r="O31" s="440" t="s">
        <v>4835</v>
      </c>
      <c r="P31" s="440" t="s">
        <v>931</v>
      </c>
      <c r="Q31" s="439"/>
      <c r="R31" s="441"/>
      <c r="S31" s="439"/>
      <c r="T31" s="439"/>
      <c r="U31" s="439"/>
      <c r="V31" s="439"/>
      <c r="W31" s="439"/>
      <c r="X31" s="440" t="s">
        <v>4836</v>
      </c>
      <c r="Y31" s="439"/>
      <c r="Z31" s="440" t="s">
        <v>963</v>
      </c>
      <c r="AA31" s="439"/>
      <c r="AB31" s="439"/>
    </row>
    <row r="32" ht="14.25" customHeight="1">
      <c r="A32" s="39" t="s">
        <v>699</v>
      </c>
      <c r="B32" s="39" t="s">
        <v>700</v>
      </c>
      <c r="C32" s="40" t="s">
        <v>616</v>
      </c>
      <c r="D32" s="39" t="s">
        <v>256</v>
      </c>
      <c r="E32" s="39"/>
      <c r="F32" s="39"/>
      <c r="G32" s="39" t="s">
        <v>4837</v>
      </c>
      <c r="H32" s="39" t="s">
        <v>702</v>
      </c>
      <c r="I32" s="39" t="s">
        <v>559</v>
      </c>
      <c r="J32" s="39" t="s">
        <v>4838</v>
      </c>
      <c r="K32" s="39" t="s">
        <v>4839</v>
      </c>
      <c r="L32" s="440" t="s">
        <v>4840</v>
      </c>
      <c r="M32" s="439"/>
      <c r="N32" s="440" t="s">
        <v>1154</v>
      </c>
      <c r="O32" s="440" t="s">
        <v>4841</v>
      </c>
      <c r="P32" s="440" t="s">
        <v>931</v>
      </c>
      <c r="Q32" s="439"/>
      <c r="R32" s="441"/>
      <c r="S32" s="439"/>
      <c r="T32" s="439"/>
      <c r="U32" s="439"/>
      <c r="V32" s="439"/>
      <c r="W32" s="439"/>
      <c r="X32" s="440" t="s">
        <v>4842</v>
      </c>
      <c r="Y32" s="439"/>
      <c r="Z32" s="440" t="s">
        <v>963</v>
      </c>
      <c r="AA32" s="439"/>
      <c r="AB32" s="439"/>
    </row>
    <row r="33" ht="14.25" customHeight="1">
      <c r="A33" s="39" t="s">
        <v>772</v>
      </c>
      <c r="B33" s="39" t="s">
        <v>773</v>
      </c>
      <c r="C33" s="40" t="s">
        <v>616</v>
      </c>
      <c r="D33" s="39" t="s">
        <v>109</v>
      </c>
      <c r="E33" s="39"/>
      <c r="F33" s="39"/>
      <c r="G33" s="39" t="s">
        <v>774</v>
      </c>
      <c r="H33" s="39" t="s">
        <v>142</v>
      </c>
      <c r="I33" s="39" t="s">
        <v>559</v>
      </c>
      <c r="J33" s="39" t="s">
        <v>4843</v>
      </c>
      <c r="K33" s="439"/>
      <c r="L33" s="440" t="s">
        <v>4844</v>
      </c>
      <c r="M33" s="439"/>
      <c r="N33" s="440" t="s">
        <v>1154</v>
      </c>
      <c r="O33" s="440" t="s">
        <v>4845</v>
      </c>
      <c r="P33" s="440" t="s">
        <v>931</v>
      </c>
      <c r="Q33" s="439"/>
      <c r="R33" s="441"/>
      <c r="S33" s="440" t="s">
        <v>4757</v>
      </c>
      <c r="T33" s="439"/>
      <c r="U33" s="439"/>
      <c r="V33" s="439"/>
      <c r="W33" s="439"/>
      <c r="X33" s="440" t="s">
        <v>4736</v>
      </c>
      <c r="Y33" s="439"/>
      <c r="Z33" s="440" t="s">
        <v>1966</v>
      </c>
      <c r="AA33" s="439"/>
      <c r="AB33" s="439"/>
    </row>
    <row r="34" ht="14.25" customHeight="1">
      <c r="A34" s="330" t="s">
        <v>883</v>
      </c>
      <c r="B34" s="330" t="s">
        <v>884</v>
      </c>
      <c r="C34" s="331" t="s">
        <v>616</v>
      </c>
      <c r="D34" s="330" t="s">
        <v>885</v>
      </c>
      <c r="E34" s="330"/>
      <c r="F34" s="330"/>
      <c r="G34" s="330"/>
      <c r="H34" s="330" t="s">
        <v>523</v>
      </c>
      <c r="I34" s="330" t="s">
        <v>559</v>
      </c>
      <c r="J34" s="330"/>
      <c r="K34" s="330" t="s">
        <v>4846</v>
      </c>
      <c r="L34" s="330" t="s">
        <v>4847</v>
      </c>
      <c r="M34" s="330" t="s">
        <v>4848</v>
      </c>
      <c r="N34" s="332"/>
      <c r="O34" s="330"/>
      <c r="P34" s="330" t="s">
        <v>963</v>
      </c>
      <c r="Q34" s="330" t="s">
        <v>4849</v>
      </c>
      <c r="R34" s="443" t="s">
        <v>2992</v>
      </c>
      <c r="S34" s="330" t="s">
        <v>4850</v>
      </c>
      <c r="T34" s="332"/>
      <c r="U34" s="332"/>
      <c r="V34" s="332"/>
      <c r="W34" s="332"/>
      <c r="X34" s="332"/>
      <c r="Y34" s="442"/>
      <c r="Z34" s="443" t="s">
        <v>963</v>
      </c>
      <c r="AA34" s="442"/>
      <c r="AB34" s="442"/>
      <c r="AC34" s="315"/>
      <c r="AD34" s="315"/>
      <c r="AE34" s="315"/>
      <c r="AF34" s="315"/>
    </row>
    <row r="35" ht="14.25" customHeight="1">
      <c r="A35" s="39" t="s">
        <v>886</v>
      </c>
      <c r="B35" s="39" t="s">
        <v>887</v>
      </c>
      <c r="C35" s="40" t="s">
        <v>616</v>
      </c>
      <c r="D35" s="39" t="s">
        <v>413</v>
      </c>
      <c r="E35" s="39"/>
      <c r="F35" s="39"/>
      <c r="G35" s="39" t="s">
        <v>888</v>
      </c>
      <c r="H35" s="39" t="s">
        <v>217</v>
      </c>
      <c r="I35" s="39" t="s">
        <v>559</v>
      </c>
      <c r="J35" s="39" t="s">
        <v>4851</v>
      </c>
      <c r="K35" s="39" t="s">
        <v>4852</v>
      </c>
      <c r="L35" s="39" t="s">
        <v>4853</v>
      </c>
      <c r="M35" s="41"/>
      <c r="N35" s="39" t="s">
        <v>4797</v>
      </c>
      <c r="O35" s="39" t="s">
        <v>4854</v>
      </c>
      <c r="P35" s="39" t="s">
        <v>931</v>
      </c>
      <c r="Q35" s="41"/>
      <c r="R35" s="441"/>
      <c r="S35" s="41"/>
      <c r="T35" s="41"/>
      <c r="U35" s="41"/>
      <c r="V35" s="41"/>
      <c r="W35" s="41"/>
      <c r="X35" s="39" t="s">
        <v>4855</v>
      </c>
      <c r="Y35" s="439"/>
      <c r="Z35" s="440" t="s">
        <v>963</v>
      </c>
      <c r="AA35" s="439"/>
      <c r="AB35" s="439"/>
    </row>
    <row r="36" ht="14.25" customHeight="1">
      <c r="A36" s="439" t="s">
        <v>560</v>
      </c>
      <c r="B36" s="439" t="s">
        <v>561</v>
      </c>
      <c r="C36" s="439" t="s">
        <v>88</v>
      </c>
      <c r="D36" s="439" t="s">
        <v>276</v>
      </c>
      <c r="E36" s="439"/>
      <c r="F36" s="439"/>
      <c r="G36" s="439" t="s">
        <v>101</v>
      </c>
      <c r="H36" s="439" t="s">
        <v>562</v>
      </c>
      <c r="I36" s="440" t="s">
        <v>4856</v>
      </c>
      <c r="J36" s="440" t="s">
        <v>4857</v>
      </c>
      <c r="K36" s="440" t="s">
        <v>4858</v>
      </c>
      <c r="L36" s="440" t="s">
        <v>4859</v>
      </c>
      <c r="M36" s="439"/>
      <c r="N36" s="440" t="s">
        <v>4755</v>
      </c>
      <c r="O36" s="440" t="s">
        <v>4860</v>
      </c>
      <c r="P36" s="440" t="s">
        <v>931</v>
      </c>
      <c r="Q36" s="439"/>
      <c r="R36" s="441"/>
      <c r="S36" s="440" t="s">
        <v>4757</v>
      </c>
      <c r="T36" s="439"/>
      <c r="U36" s="439"/>
      <c r="V36" s="439"/>
      <c r="W36" s="439"/>
      <c r="X36" s="440" t="s">
        <v>4861</v>
      </c>
      <c r="Y36" s="439"/>
      <c r="Z36" s="440" t="s">
        <v>963</v>
      </c>
      <c r="AA36" s="439"/>
      <c r="AB36" s="439"/>
    </row>
    <row r="37" ht="14.25" customHeight="1">
      <c r="A37" s="439" t="s">
        <v>566</v>
      </c>
      <c r="B37" s="439" t="s">
        <v>567</v>
      </c>
      <c r="C37" s="439" t="s">
        <v>88</v>
      </c>
      <c r="D37" s="439" t="s">
        <v>568</v>
      </c>
      <c r="E37" s="439"/>
      <c r="F37" s="439"/>
      <c r="G37" s="439"/>
      <c r="H37" s="439" t="s">
        <v>398</v>
      </c>
      <c r="I37" s="440" t="s">
        <v>4862</v>
      </c>
      <c r="J37" s="440" t="s">
        <v>4863</v>
      </c>
      <c r="K37" s="440" t="s">
        <v>4864</v>
      </c>
      <c r="L37" s="440" t="s">
        <v>4865</v>
      </c>
      <c r="M37" s="440" t="s">
        <v>4866</v>
      </c>
      <c r="N37" s="440" t="s">
        <v>4755</v>
      </c>
      <c r="O37" s="440" t="s">
        <v>4867</v>
      </c>
      <c r="P37" s="440" t="s">
        <v>931</v>
      </c>
      <c r="Q37" s="439"/>
      <c r="R37" s="441"/>
      <c r="S37" s="440" t="s">
        <v>4757</v>
      </c>
      <c r="T37" s="439"/>
      <c r="U37" s="439"/>
      <c r="V37" s="439"/>
      <c r="W37" s="439"/>
      <c r="X37" s="440" t="s">
        <v>4868</v>
      </c>
      <c r="Y37" s="439"/>
      <c r="Z37" s="440" t="s">
        <v>963</v>
      </c>
      <c r="AA37" s="439"/>
      <c r="AB37" s="439"/>
    </row>
    <row r="38" ht="14.25" customHeight="1">
      <c r="A38" s="337"/>
      <c r="B38" s="453" t="s">
        <v>1986</v>
      </c>
      <c r="C38" s="441"/>
      <c r="D38" s="439"/>
      <c r="E38" s="454" t="s">
        <v>4869</v>
      </c>
      <c r="F38" s="439"/>
      <c r="G38" s="440"/>
      <c r="H38" s="440" t="s">
        <v>4870</v>
      </c>
      <c r="I38" s="440" t="s">
        <v>559</v>
      </c>
      <c r="J38" s="440" t="s">
        <v>4871</v>
      </c>
      <c r="K38" s="440" t="s">
        <v>4872</v>
      </c>
      <c r="L38" s="439"/>
      <c r="M38" s="440" t="s">
        <v>4873</v>
      </c>
      <c r="N38" s="440" t="s">
        <v>4797</v>
      </c>
      <c r="O38" s="440" t="s">
        <v>4874</v>
      </c>
      <c r="P38" s="440" t="s">
        <v>931</v>
      </c>
      <c r="Q38" s="439"/>
      <c r="R38" s="441"/>
      <c r="S38" s="440" t="s">
        <v>1991</v>
      </c>
      <c r="T38" s="439"/>
      <c r="U38" s="439"/>
      <c r="V38" s="439"/>
      <c r="W38" s="439"/>
      <c r="X38" s="440" t="s">
        <v>4875</v>
      </c>
      <c r="Y38" s="439"/>
      <c r="Z38" s="440" t="s">
        <v>963</v>
      </c>
      <c r="AA38" s="439"/>
      <c r="AB38" s="439"/>
    </row>
    <row r="39" ht="14.25" customHeight="1">
      <c r="A39" s="337"/>
      <c r="B39" s="454" t="s">
        <v>1996</v>
      </c>
      <c r="C39" s="441"/>
      <c r="D39" s="439"/>
      <c r="E39" s="454" t="s">
        <v>4876</v>
      </c>
      <c r="F39" s="439"/>
      <c r="G39" s="439"/>
      <c r="H39" s="440" t="s">
        <v>4877</v>
      </c>
      <c r="I39" s="440" t="s">
        <v>559</v>
      </c>
      <c r="J39" s="440" t="s">
        <v>4878</v>
      </c>
      <c r="K39" s="440" t="s">
        <v>4879</v>
      </c>
      <c r="L39" s="440" t="s">
        <v>4880</v>
      </c>
      <c r="M39" s="439"/>
      <c r="N39" s="439"/>
      <c r="O39" s="440" t="s">
        <v>4881</v>
      </c>
      <c r="P39" s="440" t="s">
        <v>931</v>
      </c>
      <c r="Q39" s="439"/>
      <c r="R39" s="441"/>
      <c r="S39" s="440" t="s">
        <v>1991</v>
      </c>
      <c r="T39" s="439"/>
      <c r="U39" s="439"/>
      <c r="V39" s="439"/>
      <c r="W39" s="439"/>
      <c r="X39" s="440" t="s">
        <v>4882</v>
      </c>
      <c r="Y39" s="439"/>
      <c r="Z39" s="440" t="s">
        <v>963</v>
      </c>
      <c r="AA39" s="439"/>
      <c r="AB39" s="439"/>
    </row>
    <row r="40" ht="14.25" customHeight="1">
      <c r="A40" s="337"/>
      <c r="B40" s="455" t="s">
        <v>2003</v>
      </c>
      <c r="C40" s="441"/>
      <c r="D40" s="439"/>
      <c r="E40" s="455" t="s">
        <v>4883</v>
      </c>
      <c r="F40" s="439"/>
      <c r="G40" s="439"/>
      <c r="H40" s="440" t="s">
        <v>4884</v>
      </c>
      <c r="I40" s="440" t="s">
        <v>559</v>
      </c>
      <c r="J40" s="440" t="s">
        <v>4885</v>
      </c>
      <c r="K40" s="440" t="s">
        <v>4886</v>
      </c>
      <c r="L40" s="439"/>
      <c r="M40" s="440" t="s">
        <v>4887</v>
      </c>
      <c r="N40" s="440" t="s">
        <v>4797</v>
      </c>
      <c r="O40" s="440" t="s">
        <v>4881</v>
      </c>
      <c r="P40" s="440" t="s">
        <v>931</v>
      </c>
      <c r="Q40" s="439"/>
      <c r="R40" s="441"/>
      <c r="S40" s="440" t="s">
        <v>1991</v>
      </c>
      <c r="T40" s="439"/>
      <c r="U40" s="439"/>
      <c r="V40" s="439"/>
      <c r="W40" s="439"/>
      <c r="X40" s="440" t="s">
        <v>4882</v>
      </c>
      <c r="Y40" s="439"/>
      <c r="Z40" s="440" t="s">
        <v>963</v>
      </c>
      <c r="AA40" s="439"/>
      <c r="AB40" s="439"/>
    </row>
    <row r="41" ht="14.25" customHeight="1"/>
    <row r="42" ht="14.25" customHeight="1"/>
    <row r="43" ht="14.25" customHeight="1"/>
    <row r="44" ht="14.25" customHeight="1"/>
    <row r="45" ht="14.25" customHeight="1"/>
    <row r="46" ht="14.25" customHeight="1"/>
    <row r="47" ht="14.25" customHeight="1">
      <c r="A47" s="456" t="s">
        <v>2887</v>
      </c>
    </row>
    <row r="48" ht="14.25" customHeight="1">
      <c r="A48" s="457" t="s">
        <v>4888</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943</v>
      </c>
      <c r="F1" s="55" t="s">
        <v>3858</v>
      </c>
      <c r="G1" s="308" t="s">
        <v>61</v>
      </c>
      <c r="H1" s="308" t="s">
        <v>62</v>
      </c>
      <c r="I1" s="308" t="s">
        <v>3220</v>
      </c>
      <c r="J1" s="309" t="s">
        <v>3221</v>
      </c>
      <c r="K1" s="309" t="s">
        <v>3222</v>
      </c>
      <c r="L1" s="308" t="s">
        <v>3223</v>
      </c>
      <c r="M1" s="310" t="s">
        <v>3662</v>
      </c>
      <c r="N1" s="309" t="s">
        <v>3225</v>
      </c>
      <c r="O1" s="308" t="s">
        <v>3226</v>
      </c>
      <c r="P1" s="308" t="s">
        <v>3227</v>
      </c>
      <c r="Q1" s="308" t="s">
        <v>3228</v>
      </c>
      <c r="R1" s="308" t="s">
        <v>3229</v>
      </c>
      <c r="S1" s="54" t="s">
        <v>3230</v>
      </c>
      <c r="T1" s="56" t="s">
        <v>944</v>
      </c>
      <c r="U1" s="311" t="s">
        <v>3232</v>
      </c>
      <c r="V1" s="311" t="s">
        <v>61</v>
      </c>
      <c r="W1" s="311" t="s">
        <v>62</v>
      </c>
      <c r="X1" s="311" t="s">
        <v>4655</v>
      </c>
      <c r="Y1" s="311" t="s">
        <v>950</v>
      </c>
      <c r="Z1" s="312" t="s">
        <v>3234</v>
      </c>
      <c r="AA1" s="312" t="s">
        <v>3235</v>
      </c>
      <c r="AB1" s="312" t="s">
        <v>3236</v>
      </c>
    </row>
    <row r="2" ht="18.0" customHeight="1">
      <c r="A2" s="123" t="s">
        <v>415</v>
      </c>
      <c r="B2" s="123" t="s">
        <v>416</v>
      </c>
      <c r="C2" s="123" t="s">
        <v>88</v>
      </c>
      <c r="D2" s="123" t="s">
        <v>417</v>
      </c>
      <c r="E2" s="237" t="s">
        <v>2008</v>
      </c>
      <c r="F2" s="123"/>
      <c r="G2" s="123" t="s">
        <v>418</v>
      </c>
      <c r="H2" s="123" t="s">
        <v>419</v>
      </c>
      <c r="I2" s="123" t="s">
        <v>49</v>
      </c>
      <c r="J2" s="458" t="s">
        <v>4889</v>
      </c>
      <c r="K2" s="124" t="s">
        <v>4890</v>
      </c>
      <c r="L2" s="458" t="s">
        <v>4891</v>
      </c>
      <c r="M2" s="458" t="s">
        <v>4892</v>
      </c>
      <c r="N2" s="458" t="s">
        <v>4893</v>
      </c>
      <c r="O2" s="458" t="s">
        <v>4894</v>
      </c>
      <c r="P2" s="459" t="s">
        <v>1211</v>
      </c>
      <c r="Q2" s="72" t="s">
        <v>4895</v>
      </c>
      <c r="R2" s="123"/>
      <c r="S2" s="123"/>
      <c r="T2" s="72" t="s">
        <v>1458</v>
      </c>
      <c r="U2" s="27" t="s">
        <v>4896</v>
      </c>
      <c r="V2" s="27" t="s">
        <v>4897</v>
      </c>
      <c r="W2" s="124" t="s">
        <v>4898</v>
      </c>
      <c r="X2" s="124" t="s">
        <v>4899</v>
      </c>
      <c r="Y2" s="72" t="s">
        <v>1027</v>
      </c>
      <c r="Z2" s="123"/>
    </row>
    <row r="3" ht="15.75" customHeight="1">
      <c r="A3" s="123" t="s">
        <v>420</v>
      </c>
      <c r="B3" s="123" t="s">
        <v>421</v>
      </c>
      <c r="C3" s="123" t="s">
        <v>88</v>
      </c>
      <c r="D3" s="123" t="s">
        <v>422</v>
      </c>
      <c r="E3" s="134" t="s">
        <v>4000</v>
      </c>
      <c r="F3" s="123"/>
      <c r="G3" s="123" t="s">
        <v>423</v>
      </c>
      <c r="H3" s="123" t="s">
        <v>419</v>
      </c>
      <c r="I3" s="123" t="s">
        <v>49</v>
      </c>
      <c r="J3" s="27" t="s">
        <v>4900</v>
      </c>
      <c r="K3" s="124" t="s">
        <v>4901</v>
      </c>
      <c r="L3" s="458" t="s">
        <v>4902</v>
      </c>
      <c r="M3" s="458" t="s">
        <v>4903</v>
      </c>
      <c r="N3" s="124" t="s">
        <v>4904</v>
      </c>
      <c r="O3" s="124" t="s">
        <v>4905</v>
      </c>
      <c r="P3" s="72" t="s">
        <v>1211</v>
      </c>
      <c r="Q3" s="72" t="s">
        <v>4906</v>
      </c>
      <c r="R3" s="123"/>
      <c r="S3" s="123"/>
      <c r="T3" s="72" t="s">
        <v>1458</v>
      </c>
      <c r="U3" s="27" t="s">
        <v>4907</v>
      </c>
      <c r="V3" s="124" t="s">
        <v>4908</v>
      </c>
      <c r="W3" s="124" t="s">
        <v>4909</v>
      </c>
      <c r="X3" s="124" t="s">
        <v>4910</v>
      </c>
      <c r="Y3" s="72" t="s">
        <v>1027</v>
      </c>
      <c r="Z3" s="123"/>
    </row>
    <row r="4" ht="17.25" customHeight="1">
      <c r="A4" s="123" t="s">
        <v>424</v>
      </c>
      <c r="B4" s="123" t="s">
        <v>425</v>
      </c>
      <c r="C4" s="123" t="s">
        <v>88</v>
      </c>
      <c r="D4" s="123" t="s">
        <v>426</v>
      </c>
      <c r="E4" s="134" t="s">
        <v>2012</v>
      </c>
      <c r="F4" s="123"/>
      <c r="G4" s="123" t="s">
        <v>300</v>
      </c>
      <c r="H4" s="123" t="s">
        <v>393</v>
      </c>
      <c r="I4" s="123" t="s">
        <v>49</v>
      </c>
      <c r="J4" s="124" t="s">
        <v>4911</v>
      </c>
      <c r="K4" s="124" t="s">
        <v>4912</v>
      </c>
      <c r="L4" s="27" t="s">
        <v>4913</v>
      </c>
      <c r="M4" s="27" t="s">
        <v>4914</v>
      </c>
      <c r="N4" s="124" t="s">
        <v>4915</v>
      </c>
      <c r="O4" s="124" t="s">
        <v>4916</v>
      </c>
      <c r="P4" s="72" t="s">
        <v>1211</v>
      </c>
      <c r="Q4" s="72" t="s">
        <v>4917</v>
      </c>
      <c r="R4" s="123"/>
      <c r="S4" s="123"/>
      <c r="T4" s="72" t="s">
        <v>1458</v>
      </c>
      <c r="U4" s="27" t="s">
        <v>4918</v>
      </c>
      <c r="V4" s="124" t="s">
        <v>4919</v>
      </c>
      <c r="W4" s="124" t="s">
        <v>4920</v>
      </c>
      <c r="X4" s="124" t="s">
        <v>4910</v>
      </c>
      <c r="Y4" s="72" t="s">
        <v>1019</v>
      </c>
      <c r="Z4" s="123"/>
    </row>
    <row r="5" ht="18.0" customHeight="1">
      <c r="A5" s="37" t="s">
        <v>258</v>
      </c>
      <c r="B5" s="37" t="s">
        <v>259</v>
      </c>
      <c r="C5" s="37" t="s">
        <v>88</v>
      </c>
      <c r="D5" s="37" t="s">
        <v>122</v>
      </c>
      <c r="G5" s="37" t="s">
        <v>216</v>
      </c>
      <c r="H5" s="37" t="s">
        <v>260</v>
      </c>
      <c r="I5" s="37" t="s">
        <v>49</v>
      </c>
      <c r="J5" s="27" t="s">
        <v>4921</v>
      </c>
      <c r="K5" s="27" t="s">
        <v>4922</v>
      </c>
      <c r="L5" s="27" t="s">
        <v>4923</v>
      </c>
      <c r="M5" s="27" t="s">
        <v>4924</v>
      </c>
      <c r="N5" s="27" t="s">
        <v>4925</v>
      </c>
      <c r="O5" s="27" t="s">
        <v>4926</v>
      </c>
      <c r="P5" s="72" t="s">
        <v>1211</v>
      </c>
      <c r="Q5" s="26" t="s">
        <v>4927</v>
      </c>
      <c r="R5" s="123"/>
      <c r="T5" s="26" t="s">
        <v>1458</v>
      </c>
      <c r="U5" s="27" t="s">
        <v>4928</v>
      </c>
      <c r="V5" s="27" t="s">
        <v>4929</v>
      </c>
      <c r="W5" s="26" t="s">
        <v>4930</v>
      </c>
      <c r="X5" s="27" t="s">
        <v>4931</v>
      </c>
      <c r="Y5" s="26" t="s">
        <v>1367</v>
      </c>
    </row>
    <row r="6" ht="15.0" customHeight="1">
      <c r="A6" s="37" t="s">
        <v>262</v>
      </c>
      <c r="B6" s="37" t="s">
        <v>263</v>
      </c>
      <c r="C6" s="37" t="s">
        <v>88</v>
      </c>
      <c r="D6" s="37" t="s">
        <v>264</v>
      </c>
      <c r="G6" s="37" t="s">
        <v>265</v>
      </c>
      <c r="H6" s="37" t="s">
        <v>266</v>
      </c>
      <c r="I6" s="37" t="s">
        <v>49</v>
      </c>
      <c r="J6" s="27" t="s">
        <v>4932</v>
      </c>
      <c r="K6" s="27" t="s">
        <v>4933</v>
      </c>
      <c r="L6" s="27" t="s">
        <v>4934</v>
      </c>
      <c r="M6" s="27" t="s">
        <v>4935</v>
      </c>
      <c r="N6" s="27" t="s">
        <v>4936</v>
      </c>
      <c r="O6" s="27" t="s">
        <v>4937</v>
      </c>
      <c r="P6" s="72" t="s">
        <v>1211</v>
      </c>
      <c r="Q6" s="26" t="s">
        <v>4938</v>
      </c>
      <c r="R6" s="123"/>
      <c r="T6" s="26" t="s">
        <v>1458</v>
      </c>
      <c r="U6" s="27" t="s">
        <v>4939</v>
      </c>
      <c r="V6" s="460" t="s">
        <v>265</v>
      </c>
      <c r="W6" s="460" t="s">
        <v>266</v>
      </c>
      <c r="X6" s="27" t="s">
        <v>4940</v>
      </c>
      <c r="Y6" s="27" t="s">
        <v>1027</v>
      </c>
    </row>
    <row r="7" ht="15.75" customHeight="1">
      <c r="A7" s="37" t="s">
        <v>479</v>
      </c>
      <c r="B7" s="37" t="s">
        <v>480</v>
      </c>
      <c r="C7" s="37" t="s">
        <v>88</v>
      </c>
      <c r="D7" s="37" t="s">
        <v>363</v>
      </c>
      <c r="G7" s="37" t="s">
        <v>481</v>
      </c>
      <c r="H7" s="37" t="s">
        <v>189</v>
      </c>
      <c r="I7" s="37" t="s">
        <v>49</v>
      </c>
      <c r="J7" s="27" t="s">
        <v>4941</v>
      </c>
      <c r="K7" s="27" t="s">
        <v>4942</v>
      </c>
      <c r="L7" s="27" t="s">
        <v>4943</v>
      </c>
      <c r="M7" s="27" t="s">
        <v>4944</v>
      </c>
      <c r="N7" s="27" t="s">
        <v>4945</v>
      </c>
      <c r="O7" s="27" t="s">
        <v>4946</v>
      </c>
      <c r="P7" s="72" t="s">
        <v>1211</v>
      </c>
      <c r="Q7" s="26" t="s">
        <v>4938</v>
      </c>
      <c r="R7" s="123"/>
      <c r="T7" s="26" t="s">
        <v>1458</v>
      </c>
      <c r="U7" s="27" t="s">
        <v>4947</v>
      </c>
      <c r="V7" s="27" t="s">
        <v>4948</v>
      </c>
      <c r="W7" s="27" t="s">
        <v>4949</v>
      </c>
      <c r="X7" s="27" t="s">
        <v>4950</v>
      </c>
      <c r="Y7" s="26" t="s">
        <v>1011</v>
      </c>
    </row>
    <row r="8" ht="15.0" customHeight="1">
      <c r="A8" s="37" t="s">
        <v>482</v>
      </c>
      <c r="B8" s="37" t="s">
        <v>483</v>
      </c>
      <c r="C8" s="37" t="s">
        <v>88</v>
      </c>
      <c r="D8" s="37" t="s">
        <v>426</v>
      </c>
      <c r="G8" s="37" t="s">
        <v>484</v>
      </c>
      <c r="H8" s="37" t="s">
        <v>485</v>
      </c>
      <c r="I8" s="37" t="s">
        <v>49</v>
      </c>
      <c r="J8" s="27" t="s">
        <v>4951</v>
      </c>
      <c r="K8" s="27" t="s">
        <v>4952</v>
      </c>
      <c r="L8" s="27" t="s">
        <v>4953</v>
      </c>
      <c r="M8" s="27" t="s">
        <v>4954</v>
      </c>
      <c r="N8" s="27" t="s">
        <v>4955</v>
      </c>
      <c r="O8" s="27" t="s">
        <v>4956</v>
      </c>
      <c r="P8" s="72" t="s">
        <v>1211</v>
      </c>
      <c r="Q8" s="26" t="s">
        <v>4957</v>
      </c>
      <c r="R8" s="123"/>
      <c r="T8" s="26" t="s">
        <v>1458</v>
      </c>
      <c r="U8" s="27" t="s">
        <v>4958</v>
      </c>
      <c r="V8" s="37" t="s">
        <v>484</v>
      </c>
      <c r="W8" s="37" t="s">
        <v>485</v>
      </c>
      <c r="X8" s="26" t="s">
        <v>4959</v>
      </c>
      <c r="Y8" s="26" t="s">
        <v>1027</v>
      </c>
    </row>
    <row r="9" ht="14.25" customHeight="1">
      <c r="A9" s="37" t="s">
        <v>318</v>
      </c>
      <c r="B9" s="37" t="s">
        <v>319</v>
      </c>
      <c r="C9" s="37" t="s">
        <v>88</v>
      </c>
      <c r="D9" s="37" t="s">
        <v>272</v>
      </c>
      <c r="E9" s="155" t="s">
        <v>4960</v>
      </c>
      <c r="F9" s="369">
        <v>19.0</v>
      </c>
      <c r="G9" s="37" t="s">
        <v>162</v>
      </c>
      <c r="H9" s="37" t="s">
        <v>320</v>
      </c>
      <c r="I9" s="37" t="s">
        <v>49</v>
      </c>
      <c r="J9" s="27" t="s">
        <v>4961</v>
      </c>
      <c r="K9" s="27" t="s">
        <v>4962</v>
      </c>
      <c r="L9" s="27" t="s">
        <v>4963</v>
      </c>
      <c r="M9" s="27" t="s">
        <v>4964</v>
      </c>
      <c r="N9" s="27" t="s">
        <v>4965</v>
      </c>
      <c r="O9" s="27" t="s">
        <v>4966</v>
      </c>
      <c r="P9" s="39" t="s">
        <v>1211</v>
      </c>
      <c r="Q9" s="39" t="s">
        <v>4957</v>
      </c>
      <c r="R9" s="39"/>
      <c r="S9" s="39"/>
      <c r="T9" s="39" t="s">
        <v>1458</v>
      </c>
      <c r="U9" s="27" t="s">
        <v>4967</v>
      </c>
      <c r="V9" s="27" t="s">
        <v>4968</v>
      </c>
      <c r="W9" s="461" t="s">
        <v>4969</v>
      </c>
      <c r="X9" s="27" t="s">
        <v>4970</v>
      </c>
      <c r="Y9" s="39" t="s">
        <v>1019</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23" t="s">
        <v>334</v>
      </c>
      <c r="B10" s="123" t="s">
        <v>335</v>
      </c>
      <c r="C10" s="123" t="s">
        <v>88</v>
      </c>
      <c r="D10" s="123" t="s">
        <v>336</v>
      </c>
      <c r="E10" s="123"/>
      <c r="F10" s="123"/>
      <c r="G10" s="123"/>
      <c r="H10" s="72" t="s">
        <v>142</v>
      </c>
      <c r="I10" s="26" t="s">
        <v>49</v>
      </c>
      <c r="J10" s="27" t="s">
        <v>4971</v>
      </c>
      <c r="K10" s="124" t="s">
        <v>4972</v>
      </c>
      <c r="L10" s="27" t="s">
        <v>4973</v>
      </c>
      <c r="M10" s="27" t="s">
        <v>4974</v>
      </c>
      <c r="N10" s="27" t="s">
        <v>4975</v>
      </c>
      <c r="O10" s="124" t="s">
        <v>4976</v>
      </c>
      <c r="P10" s="72" t="s">
        <v>1211</v>
      </c>
      <c r="Q10" s="26" t="s">
        <v>4957</v>
      </c>
      <c r="R10" s="37"/>
      <c r="T10" s="26" t="s">
        <v>1458</v>
      </c>
      <c r="U10" s="27" t="s">
        <v>4977</v>
      </c>
      <c r="V10" s="37" t="s">
        <v>162</v>
      </c>
      <c r="W10" s="124" t="s">
        <v>4978</v>
      </c>
      <c r="X10" s="27" t="s">
        <v>4979</v>
      </c>
      <c r="Y10" s="26" t="s">
        <v>2041</v>
      </c>
    </row>
    <row r="11" ht="18.0" customHeight="1">
      <c r="A11" s="123" t="s">
        <v>339</v>
      </c>
      <c r="B11" s="123" t="s">
        <v>340</v>
      </c>
      <c r="C11" s="123" t="s">
        <v>88</v>
      </c>
      <c r="D11" s="123" t="s">
        <v>109</v>
      </c>
      <c r="E11" s="123"/>
      <c r="F11" s="123"/>
      <c r="G11" s="123"/>
      <c r="H11" s="124" t="s">
        <v>4980</v>
      </c>
      <c r="I11" s="72" t="s">
        <v>49</v>
      </c>
      <c r="J11" s="27" t="s">
        <v>4981</v>
      </c>
      <c r="K11" s="27" t="s">
        <v>4982</v>
      </c>
      <c r="L11" s="27" t="s">
        <v>4983</v>
      </c>
      <c r="M11" s="27" t="s">
        <v>4984</v>
      </c>
      <c r="N11" s="27" t="s">
        <v>4985</v>
      </c>
      <c r="O11" s="27" t="s">
        <v>4986</v>
      </c>
      <c r="P11" s="72" t="s">
        <v>1211</v>
      </c>
      <c r="Q11" s="26" t="s">
        <v>4938</v>
      </c>
      <c r="R11" s="37"/>
      <c r="T11" s="26" t="s">
        <v>1458</v>
      </c>
      <c r="U11" s="27" t="s">
        <v>4987</v>
      </c>
      <c r="V11" s="27" t="s">
        <v>4988</v>
      </c>
      <c r="W11" s="27" t="s">
        <v>4989</v>
      </c>
      <c r="X11" s="27" t="s">
        <v>4990</v>
      </c>
      <c r="Y11" s="26" t="s">
        <v>2045</v>
      </c>
    </row>
    <row r="12" ht="15.0" customHeight="1">
      <c r="A12" s="39" t="s">
        <v>759</v>
      </c>
      <c r="B12" s="39" t="s">
        <v>760</v>
      </c>
      <c r="C12" s="40" t="s">
        <v>616</v>
      </c>
      <c r="D12" s="39" t="s">
        <v>568</v>
      </c>
      <c r="E12" s="39"/>
      <c r="F12" s="39"/>
      <c r="G12" s="39" t="s">
        <v>761</v>
      </c>
      <c r="H12" s="39" t="s">
        <v>273</v>
      </c>
      <c r="I12" s="37" t="s">
        <v>49</v>
      </c>
      <c r="J12" s="27" t="s">
        <v>4991</v>
      </c>
      <c r="K12" s="27" t="s">
        <v>4992</v>
      </c>
      <c r="L12" s="27" t="s">
        <v>4993</v>
      </c>
      <c r="M12" s="27" t="s">
        <v>4994</v>
      </c>
      <c r="N12" s="27" t="s">
        <v>4995</v>
      </c>
      <c r="O12" s="27" t="s">
        <v>4996</v>
      </c>
      <c r="P12" s="26" t="s">
        <v>1211</v>
      </c>
      <c r="Q12" s="26" t="s">
        <v>4997</v>
      </c>
      <c r="T12" s="26" t="s">
        <v>1458</v>
      </c>
      <c r="U12" s="27" t="s">
        <v>4998</v>
      </c>
      <c r="V12" s="461" t="s">
        <v>761</v>
      </c>
      <c r="W12" s="39" t="s">
        <v>273</v>
      </c>
      <c r="X12" s="27" t="s">
        <v>4999</v>
      </c>
      <c r="Y12" s="26" t="s">
        <v>1019</v>
      </c>
      <c r="AD12" s="447"/>
      <c r="AE12" s="447"/>
      <c r="AF12" s="447"/>
      <c r="AG12" s="447"/>
      <c r="AH12" s="447"/>
      <c r="AI12" s="447"/>
      <c r="AJ12" s="447"/>
      <c r="AK12" s="447"/>
      <c r="AL12" s="447"/>
      <c r="AM12" s="447"/>
      <c r="AN12" s="447"/>
      <c r="AO12" s="447"/>
      <c r="AP12" s="447"/>
      <c r="AQ12" s="447"/>
      <c r="AR12" s="447"/>
      <c r="AS12" s="447"/>
      <c r="AT12" s="447"/>
      <c r="AU12" s="447"/>
      <c r="AV12" s="447"/>
      <c r="AW12" s="447"/>
      <c r="AX12" s="447"/>
    </row>
    <row r="13" ht="14.25" customHeight="1">
      <c r="A13" s="39" t="s">
        <v>762</v>
      </c>
      <c r="B13" s="39" t="s">
        <v>763</v>
      </c>
      <c r="C13" s="40" t="s">
        <v>616</v>
      </c>
      <c r="D13" s="39" t="s">
        <v>708</v>
      </c>
      <c r="E13" s="39"/>
      <c r="F13" s="39"/>
      <c r="G13" s="39" t="s">
        <v>764</v>
      </c>
      <c r="H13" s="39" t="s">
        <v>389</v>
      </c>
      <c r="I13" s="37" t="s">
        <v>49</v>
      </c>
      <c r="J13" s="27" t="s">
        <v>5000</v>
      </c>
      <c r="K13" s="27" t="s">
        <v>5001</v>
      </c>
      <c r="L13" s="27" t="s">
        <v>5002</v>
      </c>
      <c r="M13" s="27" t="s">
        <v>5003</v>
      </c>
      <c r="N13" s="27" t="s">
        <v>5004</v>
      </c>
      <c r="O13" s="27" t="s">
        <v>5005</v>
      </c>
      <c r="P13" s="26" t="s">
        <v>1211</v>
      </c>
      <c r="Q13" s="26" t="s">
        <v>5006</v>
      </c>
      <c r="T13" s="26" t="s">
        <v>1458</v>
      </c>
      <c r="U13" s="27" t="s">
        <v>5007</v>
      </c>
      <c r="V13" s="27" t="s">
        <v>5008</v>
      </c>
      <c r="W13" s="27" t="s">
        <v>5009</v>
      </c>
      <c r="X13" s="27" t="s">
        <v>4999</v>
      </c>
      <c r="Y13" s="26" t="s">
        <v>1457</v>
      </c>
    </row>
    <row r="14" ht="15.75" customHeight="1">
      <c r="A14" s="39" t="s">
        <v>765</v>
      </c>
      <c r="B14" s="39" t="s">
        <v>766</v>
      </c>
      <c r="C14" s="40" t="s">
        <v>616</v>
      </c>
      <c r="D14" s="39" t="s">
        <v>767</v>
      </c>
      <c r="E14" s="39"/>
      <c r="F14" s="39"/>
      <c r="G14" s="39" t="s">
        <v>514</v>
      </c>
      <c r="H14" s="39" t="s">
        <v>768</v>
      </c>
      <c r="I14" s="39" t="s">
        <v>49</v>
      </c>
      <c r="J14" s="27" t="s">
        <v>5010</v>
      </c>
      <c r="K14" s="27" t="s">
        <v>5011</v>
      </c>
      <c r="L14" s="27" t="s">
        <v>5012</v>
      </c>
      <c r="M14" s="27" t="s">
        <v>5013</v>
      </c>
      <c r="N14" s="27" t="s">
        <v>5014</v>
      </c>
      <c r="O14" s="27" t="s">
        <v>5015</v>
      </c>
      <c r="P14" s="26" t="s">
        <v>5016</v>
      </c>
      <c r="Q14" s="26" t="s">
        <v>5017</v>
      </c>
      <c r="T14" s="26" t="s">
        <v>1458</v>
      </c>
      <c r="U14" s="27" t="s">
        <v>5018</v>
      </c>
      <c r="V14" s="27" t="s">
        <v>5019</v>
      </c>
      <c r="W14" s="27" t="s">
        <v>5020</v>
      </c>
      <c r="X14" s="27" t="s">
        <v>5021</v>
      </c>
      <c r="Y14" s="27" t="s">
        <v>5022</v>
      </c>
    </row>
    <row r="15" ht="14.25" customHeight="1">
      <c r="A15" s="333" t="s">
        <v>810</v>
      </c>
      <c r="B15" s="333" t="s">
        <v>811</v>
      </c>
      <c r="C15" s="334" t="s">
        <v>616</v>
      </c>
      <c r="D15" s="333" t="s">
        <v>215</v>
      </c>
      <c r="E15" s="333"/>
      <c r="F15" s="333"/>
      <c r="G15" s="333" t="s">
        <v>137</v>
      </c>
      <c r="H15" s="333" t="s">
        <v>260</v>
      </c>
      <c r="I15" s="325" t="s">
        <v>49</v>
      </c>
      <c r="J15" s="333"/>
      <c r="K15" s="325"/>
      <c r="L15" s="325"/>
      <c r="M15" s="462"/>
      <c r="N15" s="325"/>
      <c r="O15" s="325"/>
      <c r="P15" s="326" t="s">
        <v>5023</v>
      </c>
      <c r="Q15" s="325"/>
      <c r="R15" s="325"/>
      <c r="S15" s="326" t="s">
        <v>3049</v>
      </c>
      <c r="T15" s="325"/>
      <c r="U15" s="325"/>
      <c r="V15" s="325"/>
      <c r="W15" s="325"/>
      <c r="X15" s="325"/>
      <c r="Y15" s="326" t="s">
        <v>1070</v>
      </c>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row>
    <row r="16" ht="12.75" customHeight="1">
      <c r="A16" s="39" t="s">
        <v>812</v>
      </c>
      <c r="B16" s="39" t="s">
        <v>813</v>
      </c>
      <c r="C16" s="40" t="s">
        <v>616</v>
      </c>
      <c r="D16" s="39" t="s">
        <v>409</v>
      </c>
      <c r="E16" s="39"/>
      <c r="F16" s="39"/>
      <c r="G16" s="39" t="s">
        <v>101</v>
      </c>
      <c r="H16" s="39" t="s">
        <v>627</v>
      </c>
      <c r="I16" s="37" t="s">
        <v>49</v>
      </c>
      <c r="J16" s="27" t="s">
        <v>5024</v>
      </c>
      <c r="K16" s="27" t="s">
        <v>5025</v>
      </c>
      <c r="L16" s="27" t="s">
        <v>5026</v>
      </c>
      <c r="M16" s="27" t="s">
        <v>5027</v>
      </c>
      <c r="N16" s="27" t="s">
        <v>5028</v>
      </c>
      <c r="O16" s="27" t="s">
        <v>5029</v>
      </c>
      <c r="P16" s="26" t="s">
        <v>1211</v>
      </c>
      <c r="Q16" s="26" t="s">
        <v>5030</v>
      </c>
      <c r="T16" s="26" t="s">
        <v>1458</v>
      </c>
      <c r="U16" s="27" t="s">
        <v>5031</v>
      </c>
      <c r="V16" s="27" t="s">
        <v>5032</v>
      </c>
      <c r="W16" s="27" t="s">
        <v>5033</v>
      </c>
      <c r="X16" s="27" t="s">
        <v>4999</v>
      </c>
      <c r="Y16" s="26" t="s">
        <v>1027</v>
      </c>
    </row>
    <row r="17" ht="14.25" customHeight="1">
      <c r="A17" s="39" t="s">
        <v>814</v>
      </c>
      <c r="B17" s="39" t="s">
        <v>815</v>
      </c>
      <c r="C17" s="40" t="s">
        <v>616</v>
      </c>
      <c r="D17" s="39" t="s">
        <v>201</v>
      </c>
      <c r="E17" s="39"/>
      <c r="F17" s="39"/>
      <c r="G17" s="39" t="s">
        <v>681</v>
      </c>
      <c r="H17" s="39" t="s">
        <v>816</v>
      </c>
      <c r="I17" s="37" t="s">
        <v>49</v>
      </c>
      <c r="J17" s="27" t="s">
        <v>5034</v>
      </c>
      <c r="K17" s="27" t="s">
        <v>5035</v>
      </c>
      <c r="L17" s="27" t="s">
        <v>5036</v>
      </c>
      <c r="M17" s="27" t="s">
        <v>5037</v>
      </c>
      <c r="N17" s="27" t="s">
        <v>5038</v>
      </c>
      <c r="O17" s="27" t="s">
        <v>5039</v>
      </c>
      <c r="P17" s="26" t="s">
        <v>1211</v>
      </c>
      <c r="Q17" s="26" t="s">
        <v>4957</v>
      </c>
      <c r="T17" s="26" t="s">
        <v>1458</v>
      </c>
      <c r="U17" s="27" t="s">
        <v>5040</v>
      </c>
      <c r="V17" s="27" t="s">
        <v>5041</v>
      </c>
      <c r="W17" s="27" t="s">
        <v>5042</v>
      </c>
      <c r="X17" s="27" t="s">
        <v>4999</v>
      </c>
      <c r="Y17" s="26" t="s">
        <v>5043</v>
      </c>
    </row>
    <row r="18" ht="15.75" customHeight="1">
      <c r="A18" s="39" t="s">
        <v>817</v>
      </c>
      <c r="B18" s="39" t="s">
        <v>818</v>
      </c>
      <c r="C18" s="40" t="s">
        <v>616</v>
      </c>
      <c r="D18" s="39" t="s">
        <v>125</v>
      </c>
      <c r="E18" s="39"/>
      <c r="F18" s="39"/>
      <c r="G18" s="39" t="s">
        <v>819</v>
      </c>
      <c r="H18" s="39" t="s">
        <v>820</v>
      </c>
      <c r="I18" s="39" t="s">
        <v>49</v>
      </c>
      <c r="J18" s="27" t="s">
        <v>5044</v>
      </c>
      <c r="K18" s="27" t="s">
        <v>5045</v>
      </c>
      <c r="L18" s="27" t="s">
        <v>5046</v>
      </c>
      <c r="M18" s="27" t="s">
        <v>5047</v>
      </c>
      <c r="N18" s="27" t="s">
        <v>5048</v>
      </c>
      <c r="O18" s="27" t="s">
        <v>5049</v>
      </c>
      <c r="P18" s="26" t="s">
        <v>1211</v>
      </c>
      <c r="T18" s="26" t="s">
        <v>1458</v>
      </c>
      <c r="U18" s="27" t="s">
        <v>5050</v>
      </c>
      <c r="V18" s="27" t="s">
        <v>5051</v>
      </c>
      <c r="W18" s="27" t="s">
        <v>5052</v>
      </c>
      <c r="X18" s="27" t="s">
        <v>5053</v>
      </c>
      <c r="Y18" s="26" t="s">
        <v>2073</v>
      </c>
    </row>
    <row r="19" ht="15.75" customHeight="1">
      <c r="A19" s="39" t="s">
        <v>821</v>
      </c>
      <c r="B19" s="39" t="s">
        <v>822</v>
      </c>
      <c r="C19" s="40" t="s">
        <v>616</v>
      </c>
      <c r="D19" s="39" t="s">
        <v>779</v>
      </c>
      <c r="E19" s="39"/>
      <c r="F19" s="39"/>
      <c r="G19" s="39" t="s">
        <v>484</v>
      </c>
      <c r="H19" s="39" t="s">
        <v>189</v>
      </c>
      <c r="I19" s="37" t="s">
        <v>49</v>
      </c>
      <c r="J19" s="27" t="s">
        <v>5054</v>
      </c>
      <c r="K19" s="27" t="s">
        <v>5055</v>
      </c>
      <c r="L19" s="27" t="s">
        <v>5056</v>
      </c>
      <c r="M19" s="27" t="s">
        <v>5057</v>
      </c>
      <c r="N19" s="27" t="s">
        <v>5058</v>
      </c>
      <c r="O19" s="27" t="s">
        <v>5059</v>
      </c>
      <c r="P19" s="26" t="s">
        <v>1211</v>
      </c>
      <c r="Q19" s="26" t="s">
        <v>4927</v>
      </c>
      <c r="T19" s="26" t="s">
        <v>1211</v>
      </c>
      <c r="U19" s="27" t="s">
        <v>5060</v>
      </c>
      <c r="V19" s="27" t="s">
        <v>5061</v>
      </c>
      <c r="W19" s="27" t="s">
        <v>5062</v>
      </c>
      <c r="X19" s="27" t="s">
        <v>5063</v>
      </c>
      <c r="Y19" s="26" t="s">
        <v>1027</v>
      </c>
    </row>
    <row r="20" ht="14.25" customHeight="1">
      <c r="A20" s="333" t="s">
        <v>837</v>
      </c>
      <c r="B20" s="333" t="s">
        <v>838</v>
      </c>
      <c r="C20" s="334" t="s">
        <v>616</v>
      </c>
      <c r="D20" s="333" t="s">
        <v>729</v>
      </c>
      <c r="E20" s="333"/>
      <c r="F20" s="333"/>
      <c r="G20" s="333" t="s">
        <v>839</v>
      </c>
      <c r="H20" s="333" t="s">
        <v>280</v>
      </c>
      <c r="I20" s="325" t="s">
        <v>49</v>
      </c>
      <c r="J20" s="333"/>
      <c r="K20" s="325"/>
      <c r="L20" s="325"/>
      <c r="M20" s="325"/>
      <c r="N20" s="325"/>
      <c r="O20" s="325"/>
      <c r="P20" s="326" t="s">
        <v>5023</v>
      </c>
      <c r="Q20" s="325"/>
      <c r="R20" s="325"/>
      <c r="S20" s="326" t="s">
        <v>3049</v>
      </c>
      <c r="T20" s="325"/>
      <c r="U20" s="325"/>
      <c r="V20" s="325"/>
      <c r="W20" s="325"/>
      <c r="X20" s="325"/>
      <c r="Y20" s="325"/>
      <c r="Z20" s="325"/>
      <c r="AA20" s="325"/>
      <c r="AB20" s="325"/>
      <c r="AC20" s="325"/>
      <c r="AD20" s="325"/>
      <c r="AE20" s="325"/>
      <c r="AF20" s="325"/>
      <c r="AG20" s="325"/>
      <c r="AH20" s="325"/>
      <c r="AI20" s="325"/>
      <c r="AJ20" s="325"/>
      <c r="AK20" s="325"/>
      <c r="AL20" s="325"/>
      <c r="AM20" s="325"/>
      <c r="AN20" s="325"/>
      <c r="AO20" s="325"/>
      <c r="AP20" s="325"/>
      <c r="AQ20" s="325"/>
      <c r="AR20" s="325"/>
      <c r="AS20" s="325"/>
      <c r="AT20" s="325"/>
      <c r="AU20" s="325"/>
      <c r="AV20" s="325"/>
      <c r="AW20" s="325"/>
      <c r="AX20" s="325"/>
    </row>
    <row r="21" ht="13.5" customHeight="1">
      <c r="A21" s="39" t="s">
        <v>840</v>
      </c>
      <c r="B21" s="39" t="s">
        <v>841</v>
      </c>
      <c r="C21" s="40" t="s">
        <v>616</v>
      </c>
      <c r="D21" s="39" t="s">
        <v>833</v>
      </c>
      <c r="E21" s="39"/>
      <c r="F21" s="39"/>
      <c r="G21" s="39" t="s">
        <v>842</v>
      </c>
      <c r="H21" s="39" t="s">
        <v>843</v>
      </c>
      <c r="I21" s="37" t="s">
        <v>49</v>
      </c>
      <c r="J21" s="27" t="s">
        <v>5064</v>
      </c>
      <c r="K21" s="27" t="s">
        <v>5065</v>
      </c>
      <c r="L21" s="27" t="s">
        <v>5066</v>
      </c>
      <c r="M21" s="27" t="s">
        <v>5067</v>
      </c>
      <c r="N21" s="27" t="s">
        <v>5068</v>
      </c>
      <c r="O21" s="27" t="s">
        <v>5069</v>
      </c>
      <c r="P21" s="26" t="s">
        <v>1211</v>
      </c>
      <c r="Q21" s="26" t="s">
        <v>5030</v>
      </c>
      <c r="T21" s="26" t="s">
        <v>1458</v>
      </c>
      <c r="U21" s="27" t="s">
        <v>5070</v>
      </c>
      <c r="V21" s="27" t="s">
        <v>5071</v>
      </c>
      <c r="W21" s="27" t="s">
        <v>5072</v>
      </c>
      <c r="X21" s="27" t="s">
        <v>5073</v>
      </c>
      <c r="Y21" s="26" t="s">
        <v>5043</v>
      </c>
    </row>
    <row r="22" ht="14.25" customHeight="1">
      <c r="A22" s="39" t="s">
        <v>844</v>
      </c>
      <c r="B22" s="39" t="s">
        <v>845</v>
      </c>
      <c r="C22" s="40" t="s">
        <v>616</v>
      </c>
      <c r="D22" s="39" t="s">
        <v>846</v>
      </c>
      <c r="E22" s="39"/>
      <c r="F22" s="39"/>
      <c r="G22" s="39" t="s">
        <v>101</v>
      </c>
      <c r="H22" s="39" t="s">
        <v>847</v>
      </c>
      <c r="I22" s="37" t="s">
        <v>49</v>
      </c>
      <c r="J22" s="27" t="s">
        <v>5074</v>
      </c>
      <c r="K22" s="27" t="s">
        <v>5075</v>
      </c>
      <c r="L22" s="27" t="s">
        <v>5076</v>
      </c>
      <c r="M22" s="27" t="s">
        <v>5077</v>
      </c>
      <c r="N22" s="27" t="s">
        <v>3956</v>
      </c>
      <c r="O22" s="27" t="s">
        <v>5078</v>
      </c>
      <c r="P22" s="26" t="s">
        <v>1211</v>
      </c>
      <c r="T22" s="26" t="s">
        <v>1458</v>
      </c>
      <c r="U22" s="27" t="s">
        <v>5079</v>
      </c>
      <c r="V22" s="27" t="s">
        <v>5080</v>
      </c>
      <c r="W22" s="27" t="s">
        <v>5081</v>
      </c>
      <c r="X22" s="27" t="s">
        <v>5082</v>
      </c>
      <c r="Y22" s="26" t="s">
        <v>1577</v>
      </c>
    </row>
    <row r="23" ht="14.25" customHeight="1">
      <c r="A23" s="39" t="s">
        <v>848</v>
      </c>
      <c r="B23" s="39" t="s">
        <v>849</v>
      </c>
      <c r="C23" s="40" t="s">
        <v>616</v>
      </c>
      <c r="D23" s="39" t="s">
        <v>109</v>
      </c>
      <c r="E23" s="39"/>
      <c r="F23" s="39"/>
      <c r="G23" s="39" t="s">
        <v>850</v>
      </c>
      <c r="H23" s="39" t="s">
        <v>221</v>
      </c>
      <c r="I23" s="37" t="s">
        <v>49</v>
      </c>
      <c r="J23" s="27" t="s">
        <v>5083</v>
      </c>
      <c r="K23" s="27" t="s">
        <v>5084</v>
      </c>
      <c r="L23" s="27" t="s">
        <v>5085</v>
      </c>
      <c r="M23" s="27" t="s">
        <v>5086</v>
      </c>
      <c r="N23" s="27" t="s">
        <v>5087</v>
      </c>
      <c r="O23" s="27" t="s">
        <v>5088</v>
      </c>
      <c r="P23" s="26" t="s">
        <v>5016</v>
      </c>
      <c r="T23" s="26" t="s">
        <v>5089</v>
      </c>
      <c r="U23" s="27" t="s">
        <v>5090</v>
      </c>
      <c r="V23" s="27" t="s">
        <v>5091</v>
      </c>
      <c r="W23" s="27" t="s">
        <v>5092</v>
      </c>
      <c r="X23" s="27" t="s">
        <v>5093</v>
      </c>
      <c r="Y23" s="26" t="s">
        <v>1027</v>
      </c>
    </row>
    <row r="24" ht="14.25" customHeight="1">
      <c r="A24" s="39" t="s">
        <v>851</v>
      </c>
      <c r="B24" s="39" t="s">
        <v>852</v>
      </c>
      <c r="C24" s="40" t="s">
        <v>616</v>
      </c>
      <c r="D24" s="39" t="s">
        <v>401</v>
      </c>
      <c r="E24" s="39"/>
      <c r="F24" s="39"/>
      <c r="G24" s="39" t="s">
        <v>853</v>
      </c>
      <c r="H24" s="39" t="s">
        <v>142</v>
      </c>
      <c r="I24" s="37" t="s">
        <v>49</v>
      </c>
      <c r="J24" s="27" t="s">
        <v>5094</v>
      </c>
      <c r="K24" s="27" t="s">
        <v>5095</v>
      </c>
      <c r="L24" s="27" t="s">
        <v>5096</v>
      </c>
      <c r="M24" s="27" t="s">
        <v>5097</v>
      </c>
      <c r="N24" s="27" t="s">
        <v>5098</v>
      </c>
      <c r="O24" s="27" t="s">
        <v>5099</v>
      </c>
      <c r="P24" s="26" t="s">
        <v>1211</v>
      </c>
      <c r="T24" s="26" t="s">
        <v>1458</v>
      </c>
      <c r="U24" s="27" t="s">
        <v>5100</v>
      </c>
      <c r="V24" s="27" t="s">
        <v>5101</v>
      </c>
      <c r="W24" s="27" t="s">
        <v>5102</v>
      </c>
      <c r="X24" s="27" t="s">
        <v>5103</v>
      </c>
      <c r="Y24" s="26" t="s">
        <v>5043</v>
      </c>
    </row>
    <row r="25" ht="15.0" customHeight="1">
      <c r="A25" s="39" t="s">
        <v>896</v>
      </c>
      <c r="B25" s="39" t="s">
        <v>897</v>
      </c>
      <c r="C25" s="40" t="s">
        <v>891</v>
      </c>
      <c r="D25" s="39" t="s">
        <v>898</v>
      </c>
      <c r="E25" s="39"/>
      <c r="F25" s="39"/>
      <c r="G25" s="27" t="s">
        <v>5104</v>
      </c>
      <c r="H25" s="39" t="s">
        <v>209</v>
      </c>
      <c r="I25" s="39" t="s">
        <v>49</v>
      </c>
      <c r="J25" s="27" t="s">
        <v>5105</v>
      </c>
      <c r="K25" s="27" t="s">
        <v>5106</v>
      </c>
      <c r="L25" s="27" t="s">
        <v>5107</v>
      </c>
      <c r="M25" s="27" t="s">
        <v>5108</v>
      </c>
      <c r="N25" s="27" t="s">
        <v>5109</v>
      </c>
      <c r="O25" s="27" t="s">
        <v>5110</v>
      </c>
      <c r="P25" s="26" t="s">
        <v>5016</v>
      </c>
      <c r="T25" s="26" t="s">
        <v>1458</v>
      </c>
      <c r="U25" s="27" t="s">
        <v>5111</v>
      </c>
      <c r="V25" s="27" t="s">
        <v>5112</v>
      </c>
      <c r="W25" s="27" t="s">
        <v>5113</v>
      </c>
      <c r="X25" s="27" t="s">
        <v>5114</v>
      </c>
      <c r="Y25" s="26" t="s">
        <v>1070</v>
      </c>
    </row>
    <row r="26" ht="13.5" customHeight="1">
      <c r="A26" s="39" t="s">
        <v>918</v>
      </c>
      <c r="B26" s="39" t="s">
        <v>919</v>
      </c>
      <c r="C26" s="40" t="s">
        <v>891</v>
      </c>
      <c r="D26" s="39" t="s">
        <v>907</v>
      </c>
      <c r="E26" s="39"/>
      <c r="F26" s="39"/>
      <c r="G26" s="27" t="s">
        <v>5115</v>
      </c>
      <c r="H26" s="39" t="s">
        <v>920</v>
      </c>
      <c r="I26" s="39" t="s">
        <v>559</v>
      </c>
      <c r="J26" s="27" t="s">
        <v>5116</v>
      </c>
      <c r="K26" s="27" t="s">
        <v>5117</v>
      </c>
      <c r="L26" s="27" t="s">
        <v>5118</v>
      </c>
      <c r="M26" s="27" t="s">
        <v>5119</v>
      </c>
      <c r="N26" s="27" t="s">
        <v>5120</v>
      </c>
      <c r="O26" s="27" t="s">
        <v>5121</v>
      </c>
      <c r="P26" s="26" t="s">
        <v>1211</v>
      </c>
      <c r="T26" s="26" t="s">
        <v>1458</v>
      </c>
      <c r="U26" s="27" t="s">
        <v>5122</v>
      </c>
      <c r="V26" s="27" t="s">
        <v>5123</v>
      </c>
      <c r="W26" s="27" t="s">
        <v>5124</v>
      </c>
      <c r="X26" s="27" t="s">
        <v>5125</v>
      </c>
      <c r="Y26" s="26" t="s">
        <v>5126</v>
      </c>
    </row>
    <row r="27" ht="14.25" customHeight="1">
      <c r="A27" s="463" t="s">
        <v>606</v>
      </c>
      <c r="B27" s="463" t="s">
        <v>607</v>
      </c>
      <c r="C27" s="464" t="s">
        <v>88</v>
      </c>
      <c r="D27" s="463" t="s">
        <v>283</v>
      </c>
      <c r="E27" s="463"/>
      <c r="F27" s="463" t="s">
        <v>608</v>
      </c>
      <c r="G27" s="463" t="s">
        <v>92</v>
      </c>
      <c r="H27" s="463"/>
      <c r="I27" s="463" t="s">
        <v>76</v>
      </c>
      <c r="J27" s="463"/>
      <c r="K27" s="463"/>
      <c r="L27" s="463"/>
      <c r="M27" s="463"/>
      <c r="N27" s="463"/>
      <c r="O27" s="463"/>
      <c r="P27" s="465" t="s">
        <v>5023</v>
      </c>
      <c r="Q27" s="463"/>
      <c r="R27" s="463"/>
      <c r="S27" s="463"/>
      <c r="T27" s="463"/>
      <c r="U27" s="463"/>
      <c r="V27" s="463"/>
      <c r="W27" s="463"/>
      <c r="X27" s="463"/>
      <c r="Y27" s="463"/>
      <c r="Z27" s="463"/>
      <c r="AA27" s="463"/>
      <c r="AB27" s="463"/>
      <c r="AC27" s="463"/>
      <c r="AD27" s="463"/>
      <c r="AE27" s="463"/>
      <c r="AF27" s="463"/>
      <c r="AG27" s="463"/>
      <c r="AH27" s="463"/>
      <c r="AI27" s="463"/>
      <c r="AJ27" s="466"/>
      <c r="AK27" s="466"/>
      <c r="AL27" s="466"/>
      <c r="AM27" s="466"/>
      <c r="AN27" s="466"/>
      <c r="AO27" s="466"/>
      <c r="AP27" s="466"/>
      <c r="AQ27" s="466"/>
      <c r="AR27" s="466"/>
      <c r="AS27" s="466"/>
      <c r="AT27" s="466"/>
      <c r="AU27" s="466"/>
      <c r="AV27" s="466"/>
      <c r="AW27" s="466"/>
      <c r="AX27" s="466"/>
    </row>
    <row r="28" ht="14.25" customHeight="1">
      <c r="A28" s="463" t="s">
        <v>609</v>
      </c>
      <c r="B28" s="463" t="s">
        <v>610</v>
      </c>
      <c r="C28" s="464" t="s">
        <v>88</v>
      </c>
      <c r="D28" s="463" t="s">
        <v>295</v>
      </c>
      <c r="E28" s="463"/>
      <c r="F28" s="463" t="s">
        <v>515</v>
      </c>
      <c r="G28" s="463" t="s">
        <v>92</v>
      </c>
      <c r="H28" s="463"/>
      <c r="I28" s="463" t="s">
        <v>76</v>
      </c>
      <c r="J28" s="463"/>
      <c r="K28" s="463"/>
      <c r="L28" s="463"/>
      <c r="M28" s="463"/>
      <c r="N28" s="463"/>
      <c r="O28" s="463"/>
      <c r="P28" s="465" t="s">
        <v>5127</v>
      </c>
      <c r="Q28" s="463"/>
      <c r="R28" s="463"/>
      <c r="S28" s="463"/>
      <c r="T28" s="463"/>
      <c r="U28" s="463"/>
      <c r="V28" s="463"/>
      <c r="W28" s="463"/>
      <c r="X28" s="463"/>
      <c r="Y28" s="463"/>
      <c r="Z28" s="463"/>
      <c r="AA28" s="463"/>
      <c r="AB28" s="463"/>
      <c r="AC28" s="463"/>
      <c r="AD28" s="463"/>
      <c r="AE28" s="463"/>
      <c r="AF28" s="463"/>
      <c r="AG28" s="463"/>
      <c r="AH28" s="463"/>
      <c r="AI28" s="463"/>
      <c r="AJ28" s="466"/>
      <c r="AK28" s="466"/>
      <c r="AL28" s="466"/>
      <c r="AM28" s="466"/>
      <c r="AN28" s="466"/>
      <c r="AO28" s="466"/>
      <c r="AP28" s="466"/>
      <c r="AQ28" s="466"/>
      <c r="AR28" s="466"/>
      <c r="AS28" s="466"/>
      <c r="AT28" s="466"/>
      <c r="AU28" s="466"/>
      <c r="AV28" s="466"/>
      <c r="AW28" s="466"/>
      <c r="AX28" s="466"/>
    </row>
    <row r="29" ht="14.25" customHeight="1">
      <c r="A29" s="456"/>
    </row>
    <row r="30" ht="14.25" customHeight="1">
      <c r="A30" s="46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1" ref="E2"/>
    <hyperlink r:id="rId2" ref="E3"/>
    <hyperlink r:id="rId3" ref="E4"/>
    <hyperlink r:id="rId4" ref="E9"/>
  </hyperlinks>
  <printOptions/>
  <pageMargins bottom="0.75" footer="0.0" header="0.0" left="0.7" right="0.7" top="0.75"/>
  <pageSetup orientation="landscape"/>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68" t="s">
        <v>5128</v>
      </c>
    </row>
    <row r="2" ht="14.25" customHeight="1">
      <c r="A2" s="37" t="s">
        <v>2999</v>
      </c>
    </row>
    <row r="3" ht="14.25" customHeight="1">
      <c r="A3" s="26" t="s">
        <v>5129</v>
      </c>
    </row>
    <row r="4" ht="14.25" customHeight="1">
      <c r="A4" s="37" t="s">
        <v>2992</v>
      </c>
    </row>
    <row r="5" ht="14.25" customHeight="1">
      <c r="A5" s="37" t="s">
        <v>3242</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3220</v>
      </c>
      <c r="C1" s="37" t="s">
        <v>5130</v>
      </c>
      <c r="D1" s="37" t="s">
        <v>5131</v>
      </c>
      <c r="E1" s="37" t="s">
        <v>5132</v>
      </c>
    </row>
    <row r="2" ht="14.25" customHeight="1">
      <c r="D2" s="37"/>
      <c r="E2" s="37" t="s">
        <v>5133</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5134</v>
      </c>
      <c r="B1" s="469" t="s">
        <v>5135</v>
      </c>
    </row>
    <row r="2" ht="14.25" customHeight="1">
      <c r="A2" s="37" t="s">
        <v>431</v>
      </c>
      <c r="B2" s="26" t="s">
        <v>5136</v>
      </c>
    </row>
    <row r="3" ht="14.25" customHeight="1">
      <c r="A3" s="37" t="s">
        <v>181</v>
      </c>
      <c r="B3" s="26" t="s">
        <v>2874</v>
      </c>
    </row>
    <row r="4" ht="14.25" customHeight="1">
      <c r="A4" s="37" t="s">
        <v>347</v>
      </c>
      <c r="B4" s="26" t="s">
        <v>5137</v>
      </c>
    </row>
    <row r="5" ht="14.25" customHeight="1">
      <c r="A5" s="37" t="s">
        <v>269</v>
      </c>
      <c r="B5" s="26" t="s">
        <v>2870</v>
      </c>
    </row>
    <row r="6" ht="14.25" customHeight="1">
      <c r="A6" s="37" t="s">
        <v>93</v>
      </c>
      <c r="B6" s="26" t="s">
        <v>2872</v>
      </c>
    </row>
    <row r="7" ht="14.25" customHeight="1">
      <c r="A7" s="37" t="s">
        <v>507</v>
      </c>
      <c r="B7" s="26" t="s">
        <v>5138</v>
      </c>
    </row>
    <row r="8" ht="14.25" customHeight="1">
      <c r="A8" s="26" t="s">
        <v>261</v>
      </c>
      <c r="B8" s="26" t="s">
        <v>2876</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5139</v>
      </c>
      <c r="C1" s="1" t="s">
        <v>5140</v>
      </c>
      <c r="D1" s="1" t="s">
        <v>5141</v>
      </c>
      <c r="E1" s="1" t="s">
        <v>5142</v>
      </c>
      <c r="F1" s="1" t="s">
        <v>5143</v>
      </c>
      <c r="G1" s="1" t="s">
        <v>5144</v>
      </c>
      <c r="H1" s="1" t="s">
        <v>5145</v>
      </c>
      <c r="I1" s="1" t="s">
        <v>5146</v>
      </c>
      <c r="J1" s="1" t="s">
        <v>5147</v>
      </c>
      <c r="K1" s="1" t="s">
        <v>5146</v>
      </c>
      <c r="L1" s="1" t="s">
        <v>5147</v>
      </c>
      <c r="M1" s="470" t="s">
        <v>5148</v>
      </c>
      <c r="N1" s="470" t="s">
        <v>5148</v>
      </c>
      <c r="O1" s="470" t="s">
        <v>5149</v>
      </c>
      <c r="P1" s="470" t="s">
        <v>5150</v>
      </c>
      <c r="Q1" s="471" t="s">
        <v>5151</v>
      </c>
    </row>
    <row r="2">
      <c r="A2" s="8" t="s">
        <v>5152</v>
      </c>
      <c r="B2" s="472"/>
      <c r="C2" s="472"/>
      <c r="D2" s="472"/>
      <c r="E2" s="472"/>
      <c r="F2" s="473"/>
      <c r="G2" s="473"/>
      <c r="H2" s="474" t="s">
        <v>5153</v>
      </c>
      <c r="I2" s="475"/>
      <c r="J2" s="475"/>
      <c r="K2" s="475"/>
      <c r="L2" s="475"/>
      <c r="M2" s="476"/>
      <c r="N2" s="477"/>
      <c r="O2" s="477"/>
      <c r="P2" s="477"/>
      <c r="Q2" s="478" t="s">
        <v>5154</v>
      </c>
    </row>
    <row r="3">
      <c r="A3" s="8" t="s">
        <v>7</v>
      </c>
      <c r="B3" s="475"/>
      <c r="C3" s="472"/>
      <c r="D3" s="472"/>
      <c r="E3" s="472"/>
      <c r="F3" s="473"/>
      <c r="G3" s="473"/>
      <c r="H3" s="474" t="s">
        <v>5153</v>
      </c>
      <c r="I3" s="475"/>
      <c r="J3" s="475"/>
      <c r="K3" s="475"/>
      <c r="L3" s="475"/>
      <c r="M3" s="476"/>
      <c r="N3" s="477"/>
      <c r="O3" s="477"/>
      <c r="P3" s="477"/>
      <c r="Q3" s="479"/>
    </row>
    <row r="4">
      <c r="A4" s="8" t="s">
        <v>8</v>
      </c>
      <c r="B4" s="472"/>
      <c r="C4" s="472"/>
      <c r="D4" s="472"/>
      <c r="E4" s="472"/>
      <c r="F4" s="480"/>
      <c r="G4" s="480"/>
      <c r="H4" s="480"/>
      <c r="I4" s="475"/>
      <c r="J4" s="475"/>
      <c r="K4" s="475"/>
      <c r="L4" s="475"/>
      <c r="M4" s="476"/>
      <c r="N4" s="477"/>
      <c r="O4" s="477"/>
      <c r="P4" s="477"/>
      <c r="Q4" s="479"/>
    </row>
    <row r="5">
      <c r="A5" s="8" t="s">
        <v>9</v>
      </c>
      <c r="B5" s="475"/>
      <c r="C5" s="472"/>
      <c r="D5" s="472"/>
      <c r="E5" s="472"/>
      <c r="F5" s="473"/>
      <c r="G5" s="475"/>
      <c r="H5" s="475"/>
      <c r="I5" s="481"/>
      <c r="J5" s="475"/>
      <c r="K5" s="481"/>
      <c r="L5" s="475"/>
      <c r="M5" s="476"/>
      <c r="N5" s="477"/>
      <c r="O5" s="477"/>
      <c r="P5" s="477"/>
      <c r="Q5" s="479"/>
    </row>
    <row r="6">
      <c r="A6" s="8" t="s">
        <v>10</v>
      </c>
      <c r="B6" s="475"/>
      <c r="C6" s="475"/>
      <c r="D6" s="472"/>
      <c r="E6" s="472"/>
      <c r="F6" s="473"/>
      <c r="G6" s="473"/>
      <c r="H6" s="473"/>
      <c r="I6" s="474" t="s">
        <v>5155</v>
      </c>
      <c r="J6" s="475"/>
      <c r="K6" s="475"/>
      <c r="L6" s="475"/>
      <c r="M6" s="476"/>
      <c r="N6" s="477"/>
      <c r="O6" s="477"/>
      <c r="P6" s="477"/>
      <c r="Q6" s="479"/>
    </row>
    <row r="7">
      <c r="A7" s="8" t="s">
        <v>7</v>
      </c>
      <c r="B7" s="475"/>
      <c r="C7" s="475"/>
      <c r="D7" s="475"/>
      <c r="E7" s="475"/>
      <c r="F7" s="475"/>
      <c r="G7" s="475"/>
      <c r="H7" s="475"/>
      <c r="I7" s="473"/>
      <c r="J7" s="473"/>
      <c r="K7" s="473"/>
      <c r="L7" s="475"/>
      <c r="M7" s="476"/>
      <c r="N7" s="477"/>
      <c r="O7" s="477"/>
      <c r="P7" s="477"/>
      <c r="Q7" s="479"/>
    </row>
    <row r="8">
      <c r="A8" s="8" t="s">
        <v>15</v>
      </c>
      <c r="B8" s="475"/>
      <c r="C8" s="475"/>
      <c r="D8" s="475"/>
      <c r="E8" s="475"/>
      <c r="F8" s="475"/>
      <c r="G8" s="475"/>
      <c r="H8" s="475"/>
      <c r="I8" s="473"/>
      <c r="J8" s="474" t="s">
        <v>5156</v>
      </c>
      <c r="K8" s="473"/>
      <c r="L8" s="474" t="s">
        <v>5156</v>
      </c>
      <c r="M8" s="482"/>
      <c r="N8" s="483" t="s">
        <v>5156</v>
      </c>
      <c r="O8" s="483"/>
      <c r="P8" s="483" t="s">
        <v>5156</v>
      </c>
      <c r="Q8" s="479"/>
    </row>
    <row r="9">
      <c r="A9" s="8" t="s">
        <v>5157</v>
      </c>
      <c r="B9" s="475"/>
      <c r="C9" s="475"/>
      <c r="D9" s="475"/>
      <c r="E9" s="475"/>
      <c r="F9" s="475"/>
      <c r="G9" s="475"/>
      <c r="H9" s="475"/>
      <c r="I9" s="473"/>
      <c r="J9" s="474" t="s">
        <v>5158</v>
      </c>
      <c r="K9" s="473"/>
      <c r="L9" s="474" t="s">
        <v>5158</v>
      </c>
      <c r="M9" s="482"/>
      <c r="N9" s="483" t="s">
        <v>5158</v>
      </c>
      <c r="O9" s="483"/>
      <c r="P9" s="483" t="s">
        <v>5158</v>
      </c>
      <c r="Q9" s="479"/>
    </row>
    <row r="10">
      <c r="A10" s="8" t="s">
        <v>5159</v>
      </c>
      <c r="B10" s="475"/>
      <c r="C10" s="475"/>
      <c r="D10" s="475"/>
      <c r="E10" s="475"/>
      <c r="F10" s="475"/>
      <c r="G10" s="475"/>
      <c r="H10" s="475"/>
      <c r="I10" s="475"/>
      <c r="J10" s="475"/>
      <c r="K10" s="475"/>
      <c r="L10" s="475"/>
      <c r="M10" s="482" t="s">
        <v>5160</v>
      </c>
      <c r="N10" s="477"/>
      <c r="O10" s="483" t="s">
        <v>5160</v>
      </c>
      <c r="P10" s="477"/>
      <c r="Q10" s="479"/>
    </row>
    <row r="11">
      <c r="A11" s="8" t="s">
        <v>16</v>
      </c>
      <c r="B11" s="475"/>
      <c r="C11" s="475"/>
      <c r="D11" s="475"/>
      <c r="E11" s="475"/>
      <c r="F11" s="475"/>
      <c r="G11" s="475"/>
      <c r="H11" s="475"/>
      <c r="I11" s="475"/>
      <c r="J11" s="475"/>
      <c r="K11" s="475"/>
      <c r="L11" s="475"/>
      <c r="M11" s="482"/>
      <c r="N11" s="483" t="s">
        <v>5161</v>
      </c>
      <c r="O11" s="483"/>
      <c r="P11" s="483" t="s">
        <v>5161</v>
      </c>
      <c r="Q11" s="484"/>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5162</v>
      </c>
      <c r="B1" s="54" t="s">
        <v>57</v>
      </c>
      <c r="C1" s="54" t="s">
        <v>58</v>
      </c>
      <c r="D1" s="54" t="s">
        <v>59</v>
      </c>
      <c r="E1" s="54" t="s">
        <v>60</v>
      </c>
      <c r="F1" s="55" t="s">
        <v>943</v>
      </c>
      <c r="G1" s="55" t="s">
        <v>3858</v>
      </c>
      <c r="H1" s="308" t="s">
        <v>61</v>
      </c>
      <c r="I1" s="308" t="s">
        <v>62</v>
      </c>
      <c r="J1" s="308" t="s">
        <v>3220</v>
      </c>
      <c r="K1" s="309" t="s">
        <v>3221</v>
      </c>
      <c r="L1" s="309" t="s">
        <v>3222</v>
      </c>
      <c r="M1" s="308" t="s">
        <v>3223</v>
      </c>
      <c r="N1" s="310" t="s">
        <v>3662</v>
      </c>
      <c r="O1" s="309" t="s">
        <v>3225</v>
      </c>
      <c r="P1" s="308" t="s">
        <v>3226</v>
      </c>
      <c r="Q1" s="308" t="s">
        <v>3227</v>
      </c>
      <c r="R1" s="308" t="s">
        <v>3228</v>
      </c>
      <c r="S1" s="308" t="s">
        <v>3229</v>
      </c>
      <c r="T1" s="54" t="s">
        <v>3230</v>
      </c>
      <c r="U1" s="56" t="s">
        <v>944</v>
      </c>
      <c r="V1" s="311" t="s">
        <v>3232</v>
      </c>
      <c r="W1" s="311" t="s">
        <v>61</v>
      </c>
      <c r="X1" s="311" t="s">
        <v>62</v>
      </c>
      <c r="Y1" s="311" t="s">
        <v>3859</v>
      </c>
      <c r="Z1" s="312" t="s">
        <v>4093</v>
      </c>
      <c r="AA1" s="311" t="s">
        <v>4094</v>
      </c>
      <c r="AB1" s="311" t="s">
        <v>4095</v>
      </c>
      <c r="AC1" s="345" t="s">
        <v>4096</v>
      </c>
      <c r="AD1" s="346" t="s">
        <v>4097</v>
      </c>
      <c r="AE1" s="347" t="s">
        <v>950</v>
      </c>
      <c r="AF1" s="311" t="s">
        <v>952</v>
      </c>
      <c r="AG1" s="311" t="s">
        <v>5163</v>
      </c>
    </row>
    <row r="2">
      <c r="A2" s="485" t="s">
        <v>123</v>
      </c>
      <c r="B2" s="485" t="s">
        <v>1672</v>
      </c>
      <c r="C2" s="485" t="s">
        <v>1673</v>
      </c>
      <c r="D2" s="485"/>
      <c r="E2" s="485"/>
      <c r="F2" s="486" t="s">
        <v>1674</v>
      </c>
      <c r="G2" s="487">
        <v>8.0</v>
      </c>
      <c r="H2" s="123"/>
      <c r="I2" s="123"/>
      <c r="J2" s="72" t="s">
        <v>45</v>
      </c>
      <c r="K2" s="72" t="s">
        <v>5164</v>
      </c>
      <c r="L2" s="72" t="s">
        <v>5165</v>
      </c>
      <c r="M2" s="72" t="s">
        <v>5166</v>
      </c>
      <c r="N2" s="72" t="s">
        <v>5167</v>
      </c>
      <c r="O2" s="72" t="s">
        <v>5168</v>
      </c>
      <c r="P2" s="72" t="s">
        <v>5169</v>
      </c>
      <c r="Q2" s="72" t="s">
        <v>931</v>
      </c>
      <c r="R2" s="123"/>
      <c r="S2" s="123"/>
      <c r="T2" s="123"/>
      <c r="U2" s="138" t="s">
        <v>931</v>
      </c>
      <c r="V2" s="72" t="s">
        <v>5170</v>
      </c>
      <c r="W2" s="72" t="s">
        <v>5171</v>
      </c>
      <c r="X2" s="72" t="s">
        <v>5172</v>
      </c>
      <c r="Y2" s="123"/>
      <c r="Z2" s="26" t="s">
        <v>1017</v>
      </c>
      <c r="AC2" s="26" t="s">
        <v>5173</v>
      </c>
      <c r="AD2" s="26" t="s">
        <v>4165</v>
      </c>
      <c r="AE2" s="26" t="s">
        <v>1677</v>
      </c>
      <c r="AF2" s="26" t="s">
        <v>2864</v>
      </c>
      <c r="AG2" s="26" t="s">
        <v>5174</v>
      </c>
    </row>
    <row r="3">
      <c r="A3" s="485" t="s">
        <v>123</v>
      </c>
      <c r="B3" s="485" t="s">
        <v>1681</v>
      </c>
      <c r="C3" s="485" t="s">
        <v>1682</v>
      </c>
      <c r="D3" s="485"/>
      <c r="E3" s="485"/>
      <c r="F3" s="486" t="s">
        <v>1683</v>
      </c>
      <c r="G3" s="485"/>
      <c r="H3" s="123"/>
      <c r="I3" s="123"/>
      <c r="J3" s="72" t="s">
        <v>45</v>
      </c>
      <c r="K3" s="72" t="s">
        <v>5175</v>
      </c>
      <c r="L3" s="72" t="s">
        <v>5176</v>
      </c>
      <c r="M3" s="72"/>
      <c r="N3" s="72" t="s">
        <v>5177</v>
      </c>
      <c r="O3" s="72" t="s">
        <v>5178</v>
      </c>
      <c r="P3" s="72" t="s">
        <v>5179</v>
      </c>
      <c r="Q3" s="72" t="s">
        <v>931</v>
      </c>
      <c r="R3" s="123"/>
      <c r="S3" s="123"/>
      <c r="T3" s="72" t="s">
        <v>5180</v>
      </c>
      <c r="U3" s="138" t="s">
        <v>931</v>
      </c>
      <c r="V3" s="72" t="s">
        <v>5181</v>
      </c>
      <c r="W3" s="72" t="s">
        <v>5182</v>
      </c>
      <c r="X3" s="123"/>
      <c r="Y3" s="72" t="s">
        <v>5183</v>
      </c>
      <c r="Z3" s="26" t="s">
        <v>5184</v>
      </c>
      <c r="AA3" s="26" t="s">
        <v>4094</v>
      </c>
      <c r="AC3" s="26" t="s">
        <v>5185</v>
      </c>
      <c r="AE3" s="26" t="s">
        <v>5186</v>
      </c>
      <c r="AF3" s="26" t="s">
        <v>2864</v>
      </c>
      <c r="AG3" s="26" t="s">
        <v>5174</v>
      </c>
    </row>
    <row r="4" ht="14.25" customHeight="1">
      <c r="A4" s="485" t="s">
        <v>123</v>
      </c>
      <c r="B4" s="485" t="s">
        <v>1688</v>
      </c>
      <c r="C4" s="485" t="s">
        <v>1689</v>
      </c>
      <c r="D4" s="485"/>
      <c r="E4" s="485"/>
      <c r="F4" s="486" t="s">
        <v>1690</v>
      </c>
      <c r="G4" s="485"/>
      <c r="H4" s="123"/>
      <c r="I4" s="123"/>
      <c r="J4" s="72" t="s">
        <v>559</v>
      </c>
      <c r="K4" s="72" t="s">
        <v>5187</v>
      </c>
      <c r="L4" s="72" t="s">
        <v>5188</v>
      </c>
      <c r="M4" s="72" t="s">
        <v>5189</v>
      </c>
      <c r="N4" s="72" t="s">
        <v>5190</v>
      </c>
      <c r="O4" s="72" t="s">
        <v>5191</v>
      </c>
      <c r="P4" s="72" t="s">
        <v>5192</v>
      </c>
      <c r="Q4" s="72" t="s">
        <v>931</v>
      </c>
      <c r="R4" s="72"/>
      <c r="S4" s="39" t="s">
        <v>2999</v>
      </c>
      <c r="T4" s="72" t="s">
        <v>5193</v>
      </c>
      <c r="U4" s="138" t="s">
        <v>931</v>
      </c>
      <c r="V4" s="72" t="s">
        <v>5194</v>
      </c>
      <c r="W4" s="72" t="s">
        <v>5195</v>
      </c>
      <c r="X4" s="72" t="s">
        <v>5196</v>
      </c>
      <c r="Y4" s="72" t="s">
        <v>5197</v>
      </c>
      <c r="Z4" s="26" t="s">
        <v>1017</v>
      </c>
      <c r="AA4" s="26" t="s">
        <v>4094</v>
      </c>
      <c r="AC4" s="26" t="s">
        <v>5198</v>
      </c>
      <c r="AD4" s="26" t="s">
        <v>5199</v>
      </c>
      <c r="AE4" s="26" t="s">
        <v>1692</v>
      </c>
      <c r="AF4" s="26" t="s">
        <v>2958</v>
      </c>
      <c r="AG4" s="26" t="s">
        <v>5200</v>
      </c>
    </row>
    <row r="5">
      <c r="A5" s="485" t="s">
        <v>123</v>
      </c>
      <c r="B5" s="485" t="s">
        <v>5201</v>
      </c>
      <c r="C5" s="485" t="s">
        <v>3050</v>
      </c>
      <c r="D5" s="485"/>
      <c r="E5" s="485"/>
      <c r="F5" s="486" t="s">
        <v>5202</v>
      </c>
      <c r="G5" s="485"/>
      <c r="H5" s="123"/>
      <c r="I5" s="123"/>
      <c r="J5" s="123"/>
      <c r="K5" s="123"/>
      <c r="L5" s="123"/>
      <c r="M5" s="123"/>
      <c r="N5" s="123"/>
      <c r="O5" s="123"/>
      <c r="P5" s="123"/>
      <c r="Q5" s="72" t="s">
        <v>963</v>
      </c>
      <c r="R5" s="72" t="s">
        <v>5203</v>
      </c>
      <c r="S5" s="39" t="s">
        <v>2999</v>
      </c>
      <c r="T5" s="123"/>
      <c r="U5" s="138" t="s">
        <v>931</v>
      </c>
      <c r="V5" s="123"/>
      <c r="W5" s="123"/>
      <c r="X5" s="123"/>
      <c r="Y5" s="123"/>
      <c r="AG5" s="26" t="s">
        <v>5204</v>
      </c>
    </row>
    <row r="6">
      <c r="A6" s="485" t="s">
        <v>123</v>
      </c>
      <c r="B6" s="485" t="s">
        <v>1696</v>
      </c>
      <c r="C6" s="485" t="s">
        <v>1697</v>
      </c>
      <c r="D6" s="485"/>
      <c r="E6" s="485"/>
      <c r="F6" s="486" t="s">
        <v>1698</v>
      </c>
      <c r="G6" s="485"/>
      <c r="H6" s="123"/>
      <c r="I6" s="123"/>
      <c r="J6" s="72" t="s">
        <v>45</v>
      </c>
      <c r="K6" s="72" t="s">
        <v>5205</v>
      </c>
      <c r="L6" s="72" t="s">
        <v>5206</v>
      </c>
      <c r="M6" s="123"/>
      <c r="N6" s="72" t="s">
        <v>5207</v>
      </c>
      <c r="O6" s="72" t="s">
        <v>5208</v>
      </c>
      <c r="P6" s="72" t="s">
        <v>5209</v>
      </c>
      <c r="Q6" s="72" t="s">
        <v>931</v>
      </c>
      <c r="R6" s="123"/>
      <c r="S6" s="39" t="s">
        <v>2999</v>
      </c>
      <c r="T6" s="72" t="s">
        <v>5210</v>
      </c>
      <c r="U6" s="138" t="s">
        <v>931</v>
      </c>
      <c r="V6" s="72" t="s">
        <v>5211</v>
      </c>
      <c r="W6" s="72" t="s">
        <v>5212</v>
      </c>
      <c r="X6" s="72" t="s">
        <v>5213</v>
      </c>
      <c r="Y6" s="72"/>
      <c r="Z6" s="26" t="s">
        <v>5214</v>
      </c>
      <c r="AC6" s="26" t="s">
        <v>5215</v>
      </c>
      <c r="AD6" s="26" t="s">
        <v>4165</v>
      </c>
      <c r="AE6" s="26" t="s">
        <v>1027</v>
      </c>
      <c r="AF6" s="26" t="s">
        <v>5216</v>
      </c>
      <c r="AG6" s="26" t="s">
        <v>5217</v>
      </c>
    </row>
    <row r="7">
      <c r="A7" s="485" t="s">
        <v>103</v>
      </c>
      <c r="B7" s="485" t="s">
        <v>5218</v>
      </c>
      <c r="C7" s="485" t="s">
        <v>3052</v>
      </c>
      <c r="D7" s="485"/>
      <c r="E7" s="485"/>
      <c r="F7" s="488" t="s">
        <v>5219</v>
      </c>
      <c r="G7" s="485"/>
      <c r="H7" s="123"/>
      <c r="I7" s="123"/>
      <c r="J7" s="72" t="s">
        <v>45</v>
      </c>
      <c r="K7" s="72" t="s">
        <v>5220</v>
      </c>
      <c r="L7" s="72" t="s">
        <v>5221</v>
      </c>
      <c r="M7" s="72" t="s">
        <v>5222</v>
      </c>
      <c r="N7" s="72" t="s">
        <v>5223</v>
      </c>
      <c r="O7" s="72" t="s">
        <v>998</v>
      </c>
      <c r="P7" s="123"/>
      <c r="Q7" s="72" t="s">
        <v>963</v>
      </c>
      <c r="R7" s="123"/>
      <c r="S7" s="39" t="s">
        <v>2999</v>
      </c>
      <c r="T7" s="72" t="s">
        <v>5224</v>
      </c>
      <c r="U7" s="138" t="s">
        <v>931</v>
      </c>
      <c r="V7" s="72" t="s">
        <v>5225</v>
      </c>
      <c r="W7" s="72" t="s">
        <v>5226</v>
      </c>
      <c r="X7" s="72" t="s">
        <v>5227</v>
      </c>
      <c r="Y7" s="72" t="s">
        <v>5228</v>
      </c>
      <c r="Z7" s="26" t="s">
        <v>1017</v>
      </c>
      <c r="AC7" s="26" t="s">
        <v>5229</v>
      </c>
      <c r="AD7" s="26" t="s">
        <v>4165</v>
      </c>
      <c r="AE7" s="26" t="s">
        <v>1027</v>
      </c>
      <c r="AF7" s="26" t="s">
        <v>5230</v>
      </c>
      <c r="AG7" s="26" t="s">
        <v>5231</v>
      </c>
    </row>
    <row r="8">
      <c r="A8" s="485" t="s">
        <v>116</v>
      </c>
      <c r="B8" s="485" t="s">
        <v>5232</v>
      </c>
      <c r="C8" s="485" t="s">
        <v>3053</v>
      </c>
      <c r="D8" s="485"/>
      <c r="E8" s="485"/>
      <c r="F8" s="486" t="s">
        <v>5233</v>
      </c>
      <c r="G8" s="485"/>
      <c r="H8" s="123"/>
      <c r="I8" s="123"/>
      <c r="J8" s="123"/>
      <c r="K8" s="123"/>
      <c r="L8" s="123"/>
      <c r="M8" s="123"/>
      <c r="N8" s="123"/>
      <c r="O8" s="123"/>
      <c r="P8" s="123"/>
      <c r="Q8" s="72" t="s">
        <v>963</v>
      </c>
      <c r="R8" s="72" t="s">
        <v>5234</v>
      </c>
      <c r="S8" s="39" t="s">
        <v>2999</v>
      </c>
      <c r="T8" s="72" t="s">
        <v>5235</v>
      </c>
      <c r="U8" s="138" t="s">
        <v>931</v>
      </c>
      <c r="V8" s="123"/>
      <c r="W8" s="123"/>
      <c r="X8" s="123"/>
      <c r="Y8" s="123"/>
    </row>
    <row r="9">
      <c r="A9" s="485" t="s">
        <v>103</v>
      </c>
      <c r="B9" s="485" t="s">
        <v>5236</v>
      </c>
      <c r="C9" s="485" t="s">
        <v>3054</v>
      </c>
      <c r="D9" s="485"/>
      <c r="E9" s="485"/>
      <c r="F9" s="485"/>
      <c r="G9" s="485"/>
      <c r="H9" s="123"/>
      <c r="I9" s="123"/>
      <c r="J9" s="123"/>
      <c r="K9" s="123"/>
      <c r="L9" s="123"/>
      <c r="M9" s="123"/>
      <c r="N9" s="123"/>
      <c r="O9" s="123"/>
      <c r="P9" s="123"/>
      <c r="Q9" s="72" t="s">
        <v>963</v>
      </c>
      <c r="R9" s="72" t="s">
        <v>5234</v>
      </c>
      <c r="S9" s="39" t="s">
        <v>2999</v>
      </c>
      <c r="T9" s="123"/>
      <c r="U9" s="138" t="s">
        <v>931</v>
      </c>
      <c r="V9" s="123"/>
      <c r="W9" s="123"/>
      <c r="X9" s="123"/>
      <c r="Y9" s="123"/>
    </row>
    <row r="10">
      <c r="A10" s="485" t="s">
        <v>123</v>
      </c>
      <c r="B10" s="485" t="s">
        <v>5237</v>
      </c>
      <c r="C10" s="485" t="s">
        <v>3055</v>
      </c>
      <c r="D10" s="485"/>
      <c r="E10" s="485"/>
      <c r="F10" s="486" t="s">
        <v>5238</v>
      </c>
      <c r="G10" s="485"/>
      <c r="H10" s="123"/>
      <c r="I10" s="123"/>
      <c r="J10" s="72" t="s">
        <v>559</v>
      </c>
      <c r="K10" s="123"/>
      <c r="L10" s="123"/>
      <c r="M10" s="123"/>
      <c r="N10" s="123"/>
      <c r="O10" s="123"/>
      <c r="P10" s="123"/>
      <c r="Q10" s="72" t="s">
        <v>963</v>
      </c>
      <c r="R10" s="72" t="s">
        <v>5234</v>
      </c>
      <c r="S10" s="39" t="s">
        <v>2999</v>
      </c>
      <c r="T10" s="123"/>
      <c r="U10" s="138" t="s">
        <v>931</v>
      </c>
      <c r="V10" s="123"/>
      <c r="W10" s="123"/>
      <c r="X10" s="123"/>
      <c r="Y10" s="123"/>
    </row>
    <row r="11">
      <c r="A11" s="485" t="s">
        <v>86</v>
      </c>
      <c r="B11" s="485" t="s">
        <v>5239</v>
      </c>
      <c r="C11" s="485" t="s">
        <v>3056</v>
      </c>
      <c r="D11" s="485"/>
      <c r="E11" s="485"/>
      <c r="F11" s="486" t="s">
        <v>5240</v>
      </c>
      <c r="G11" s="485"/>
      <c r="H11" s="123"/>
      <c r="I11" s="123"/>
      <c r="J11" s="123"/>
      <c r="K11" s="123"/>
      <c r="L11" s="123"/>
      <c r="M11" s="123"/>
      <c r="N11" s="123"/>
      <c r="O11" s="72"/>
      <c r="P11" s="123"/>
      <c r="Q11" s="72" t="s">
        <v>963</v>
      </c>
      <c r="R11" s="72" t="s">
        <v>5234</v>
      </c>
      <c r="S11" s="39" t="s">
        <v>2999</v>
      </c>
      <c r="T11" s="72" t="s">
        <v>5241</v>
      </c>
      <c r="U11" s="138" t="s">
        <v>931</v>
      </c>
      <c r="V11" s="123"/>
      <c r="W11" s="123"/>
      <c r="X11" s="123"/>
      <c r="Y11" s="123"/>
    </row>
    <row r="12">
      <c r="A12" s="485" t="s">
        <v>103</v>
      </c>
      <c r="B12" s="485" t="s">
        <v>5242</v>
      </c>
      <c r="C12" s="485" t="s">
        <v>3057</v>
      </c>
      <c r="D12" s="485"/>
      <c r="E12" s="485"/>
      <c r="F12" s="486" t="s">
        <v>5243</v>
      </c>
      <c r="G12" s="485"/>
      <c r="H12" s="123"/>
      <c r="I12" s="123"/>
      <c r="J12" s="123"/>
      <c r="K12" s="123"/>
      <c r="L12" s="123"/>
      <c r="M12" s="123"/>
      <c r="N12" s="123"/>
      <c r="O12" s="123"/>
      <c r="P12" s="123"/>
      <c r="Q12" s="72" t="s">
        <v>963</v>
      </c>
      <c r="R12" s="72" t="s">
        <v>5244</v>
      </c>
      <c r="S12" s="39" t="s">
        <v>2999</v>
      </c>
      <c r="T12" s="72"/>
      <c r="U12" s="195"/>
      <c r="V12" s="123"/>
      <c r="W12" s="123"/>
      <c r="X12" s="123"/>
      <c r="Y12" s="123"/>
    </row>
    <row r="13">
      <c r="A13" s="485" t="s">
        <v>123</v>
      </c>
      <c r="B13" s="485" t="s">
        <v>1703</v>
      </c>
      <c r="C13" s="485" t="s">
        <v>1704</v>
      </c>
      <c r="D13" s="485"/>
      <c r="E13" s="485"/>
      <c r="F13" s="486" t="s">
        <v>1705</v>
      </c>
      <c r="G13" s="485"/>
      <c r="H13" s="123"/>
      <c r="I13" s="123"/>
      <c r="J13" s="72" t="s">
        <v>45</v>
      </c>
      <c r="K13" s="72" t="s">
        <v>5245</v>
      </c>
      <c r="L13" s="72" t="s">
        <v>5246</v>
      </c>
      <c r="M13" s="72" t="s">
        <v>5247</v>
      </c>
      <c r="N13" s="123"/>
      <c r="O13" s="72" t="s">
        <v>5248</v>
      </c>
      <c r="P13" s="72" t="s">
        <v>5249</v>
      </c>
      <c r="Q13" s="72" t="s">
        <v>931</v>
      </c>
      <c r="R13" s="123"/>
      <c r="S13" s="39" t="s">
        <v>2999</v>
      </c>
      <c r="T13" s="72" t="s">
        <v>5250</v>
      </c>
      <c r="U13" s="138" t="s">
        <v>931</v>
      </c>
      <c r="V13" s="72" t="s">
        <v>5251</v>
      </c>
      <c r="W13" s="72" t="s">
        <v>5252</v>
      </c>
      <c r="X13" s="72" t="s">
        <v>5253</v>
      </c>
      <c r="Y13" s="72" t="s">
        <v>2216</v>
      </c>
      <c r="Z13" s="26" t="s">
        <v>5254</v>
      </c>
      <c r="AC13" s="26" t="s">
        <v>5255</v>
      </c>
      <c r="AD13" s="26" t="s">
        <v>4165</v>
      </c>
      <c r="AE13" s="26" t="s">
        <v>1027</v>
      </c>
      <c r="AF13" s="26" t="s">
        <v>5256</v>
      </c>
      <c r="AG13" s="26" t="s">
        <v>5257</v>
      </c>
    </row>
    <row r="14">
      <c r="A14" s="485" t="s">
        <v>123</v>
      </c>
      <c r="B14" s="485" t="s">
        <v>1712</v>
      </c>
      <c r="C14" s="485" t="s">
        <v>1713</v>
      </c>
      <c r="D14" s="485"/>
      <c r="E14" s="485"/>
      <c r="F14" s="486" t="s">
        <v>1714</v>
      </c>
      <c r="G14" s="485"/>
      <c r="H14" s="123"/>
      <c r="I14" s="123"/>
      <c r="J14" s="72" t="s">
        <v>45</v>
      </c>
      <c r="K14" s="72" t="s">
        <v>5258</v>
      </c>
      <c r="L14" s="72" t="s">
        <v>5259</v>
      </c>
      <c r="M14" s="72"/>
      <c r="N14" s="72" t="s">
        <v>5260</v>
      </c>
      <c r="O14" s="72" t="s">
        <v>5168</v>
      </c>
      <c r="P14" s="72" t="s">
        <v>5261</v>
      </c>
      <c r="Q14" s="72" t="s">
        <v>931</v>
      </c>
      <c r="R14" s="123"/>
      <c r="S14" s="123"/>
      <c r="T14" s="72" t="s">
        <v>5262</v>
      </c>
      <c r="U14" s="138" t="s">
        <v>931</v>
      </c>
      <c r="V14" s="72" t="s">
        <v>5263</v>
      </c>
      <c r="W14" s="72" t="s">
        <v>5264</v>
      </c>
      <c r="X14" s="72" t="s">
        <v>5265</v>
      </c>
      <c r="Y14" s="72" t="s">
        <v>5266</v>
      </c>
      <c r="Z14" s="26" t="s">
        <v>1017</v>
      </c>
      <c r="AC14" s="26" t="s">
        <v>5255</v>
      </c>
      <c r="AD14" s="26" t="s">
        <v>4165</v>
      </c>
      <c r="AE14" s="26" t="s">
        <v>5267</v>
      </c>
      <c r="AF14" s="26" t="s">
        <v>5200</v>
      </c>
      <c r="AG14" s="26" t="s">
        <v>5200</v>
      </c>
    </row>
    <row r="15">
      <c r="A15" s="485"/>
      <c r="B15" s="485" t="s">
        <v>1720</v>
      </c>
      <c r="C15" s="485" t="s">
        <v>1721</v>
      </c>
      <c r="D15" s="485"/>
      <c r="E15" s="485"/>
      <c r="F15" s="486" t="s">
        <v>1722</v>
      </c>
      <c r="G15" s="485"/>
      <c r="H15" s="123"/>
      <c r="I15" s="123"/>
      <c r="J15" s="72" t="s">
        <v>45</v>
      </c>
      <c r="K15" s="72" t="s">
        <v>5268</v>
      </c>
      <c r="L15" s="72" t="s">
        <v>5269</v>
      </c>
      <c r="M15" s="72" t="s">
        <v>5270</v>
      </c>
      <c r="N15" s="123"/>
      <c r="O15" s="72" t="s">
        <v>5271</v>
      </c>
      <c r="P15" s="72" t="s">
        <v>5272</v>
      </c>
      <c r="Q15" s="72" t="s">
        <v>931</v>
      </c>
      <c r="R15" s="123"/>
      <c r="S15" s="123"/>
      <c r="T15" s="72" t="s">
        <v>4757</v>
      </c>
      <c r="U15" s="138" t="s">
        <v>931</v>
      </c>
      <c r="V15" s="72" t="s">
        <v>5273</v>
      </c>
      <c r="W15" s="72" t="s">
        <v>2257</v>
      </c>
      <c r="X15" s="72" t="s">
        <v>5274</v>
      </c>
      <c r="Y15" s="72" t="s">
        <v>5183</v>
      </c>
      <c r="Z15" s="26" t="s">
        <v>5254</v>
      </c>
      <c r="AC15" s="26" t="s">
        <v>5255</v>
      </c>
      <c r="AD15" s="26" t="s">
        <v>4165</v>
      </c>
      <c r="AE15" s="26" t="s">
        <v>1027</v>
      </c>
      <c r="AF15" s="26" t="s">
        <v>2958</v>
      </c>
      <c r="AG15" s="26" t="s">
        <v>5257</v>
      </c>
    </row>
    <row r="16">
      <c r="A16" s="485"/>
      <c r="B16" s="485" t="s">
        <v>5275</v>
      </c>
      <c r="C16" s="485" t="s">
        <v>3058</v>
      </c>
      <c r="D16" s="485"/>
      <c r="E16" s="485"/>
      <c r="F16" s="486" t="s">
        <v>5276</v>
      </c>
      <c r="G16" s="485"/>
      <c r="H16" s="123"/>
      <c r="I16" s="123"/>
      <c r="J16" s="123"/>
      <c r="K16" s="123"/>
      <c r="L16" s="123"/>
      <c r="M16" s="123"/>
      <c r="N16" s="123"/>
      <c r="O16" s="123"/>
      <c r="P16" s="123"/>
      <c r="Q16" s="72" t="s">
        <v>963</v>
      </c>
      <c r="R16" s="72" t="s">
        <v>1375</v>
      </c>
      <c r="S16" s="39" t="s">
        <v>2992</v>
      </c>
      <c r="T16" s="123"/>
      <c r="U16" s="195"/>
      <c r="V16" s="123"/>
      <c r="W16" s="123"/>
      <c r="X16" s="123"/>
      <c r="Y16" s="123"/>
    </row>
    <row r="17">
      <c r="A17" s="485"/>
      <c r="B17" s="485" t="s">
        <v>5277</v>
      </c>
      <c r="C17" s="485" t="s">
        <v>3059</v>
      </c>
      <c r="D17" s="485"/>
      <c r="E17" s="485"/>
      <c r="F17" s="486" t="s">
        <v>5278</v>
      </c>
      <c r="G17" s="485"/>
      <c r="H17" s="123"/>
      <c r="I17" s="123"/>
      <c r="J17" s="123"/>
      <c r="K17" s="123"/>
      <c r="L17" s="123"/>
      <c r="M17" s="123"/>
      <c r="N17" s="123"/>
      <c r="O17" s="123"/>
      <c r="P17" s="123"/>
      <c r="Q17" s="72" t="s">
        <v>963</v>
      </c>
      <c r="R17" s="72" t="s">
        <v>1375</v>
      </c>
      <c r="S17" s="39" t="s">
        <v>2992</v>
      </c>
      <c r="T17" s="123"/>
      <c r="U17" s="195"/>
      <c r="V17" s="123"/>
      <c r="W17" s="123"/>
      <c r="X17" s="123"/>
      <c r="Y17" s="123"/>
    </row>
    <row r="18">
      <c r="A18" s="485"/>
      <c r="B18" s="485" t="s">
        <v>5279</v>
      </c>
      <c r="C18" s="485" t="s">
        <v>3060</v>
      </c>
      <c r="D18" s="485"/>
      <c r="E18" s="485"/>
      <c r="F18" s="486" t="s">
        <v>5280</v>
      </c>
      <c r="G18" s="485"/>
      <c r="H18" s="123"/>
      <c r="I18" s="123"/>
      <c r="J18" s="123"/>
      <c r="K18" s="123"/>
      <c r="L18" s="123"/>
      <c r="M18" s="123"/>
      <c r="N18" s="123"/>
      <c r="O18" s="123"/>
      <c r="P18" s="123"/>
      <c r="Q18" s="72" t="s">
        <v>963</v>
      </c>
      <c r="R18" s="72" t="s">
        <v>1375</v>
      </c>
      <c r="S18" s="39" t="s">
        <v>2999</v>
      </c>
      <c r="T18" s="123"/>
      <c r="U18" s="195"/>
      <c r="V18" s="123"/>
      <c r="W18" s="123"/>
      <c r="X18" s="123"/>
      <c r="Y18" s="123"/>
    </row>
    <row r="19">
      <c r="A19" s="195"/>
      <c r="B19" s="195"/>
      <c r="C19" s="138" t="s">
        <v>3061</v>
      </c>
      <c r="D19" s="123"/>
      <c r="E19" s="123"/>
      <c r="F19" s="235" t="s">
        <v>5281</v>
      </c>
      <c r="G19" s="123"/>
      <c r="H19" s="123"/>
      <c r="I19" s="123"/>
      <c r="J19" s="72" t="s">
        <v>5282</v>
      </c>
      <c r="K19" s="123"/>
      <c r="L19" s="123"/>
      <c r="M19" s="123"/>
      <c r="N19" s="123"/>
      <c r="O19" s="123"/>
      <c r="P19" s="123"/>
      <c r="Q19" s="72" t="s">
        <v>963</v>
      </c>
      <c r="R19" s="72" t="s">
        <v>5234</v>
      </c>
      <c r="S19" s="39" t="s">
        <v>5129</v>
      </c>
      <c r="T19" s="123"/>
      <c r="U19" s="195"/>
      <c r="V19" s="123"/>
      <c r="W19" s="123"/>
      <c r="X19" s="123"/>
      <c r="Y19" s="123"/>
    </row>
    <row r="20">
      <c r="A20" s="195"/>
      <c r="B20" s="195"/>
      <c r="C20" s="138" t="s">
        <v>3062</v>
      </c>
      <c r="D20" s="123"/>
      <c r="E20" s="123"/>
      <c r="F20" s="237" t="s">
        <v>5283</v>
      </c>
      <c r="G20" s="123"/>
      <c r="H20" s="123"/>
      <c r="I20" s="123"/>
      <c r="J20" s="72" t="s">
        <v>5282</v>
      </c>
      <c r="K20" s="123"/>
      <c r="L20" s="123"/>
      <c r="M20" s="123"/>
      <c r="N20" s="123"/>
      <c r="O20" s="123"/>
      <c r="P20" s="123"/>
      <c r="Q20" s="72" t="s">
        <v>963</v>
      </c>
      <c r="R20" s="72" t="s">
        <v>5234</v>
      </c>
      <c r="S20" s="39" t="s">
        <v>5129</v>
      </c>
      <c r="T20" s="123"/>
      <c r="U20" s="195"/>
      <c r="V20" s="123"/>
      <c r="W20" s="123"/>
      <c r="X20" s="123"/>
      <c r="Y20" s="123"/>
    </row>
    <row r="21">
      <c r="A21" s="195"/>
      <c r="B21" s="195"/>
      <c r="C21" s="138" t="s">
        <v>3063</v>
      </c>
      <c r="D21" s="123"/>
      <c r="E21" s="123"/>
      <c r="F21" s="235" t="s">
        <v>5284</v>
      </c>
      <c r="G21" s="123"/>
      <c r="H21" s="123"/>
      <c r="I21" s="123"/>
      <c r="J21" s="72" t="s">
        <v>5282</v>
      </c>
      <c r="K21" s="123"/>
      <c r="L21" s="123"/>
      <c r="M21" s="123"/>
      <c r="N21" s="123"/>
      <c r="O21" s="123"/>
      <c r="P21" s="123"/>
      <c r="Q21" s="72" t="s">
        <v>963</v>
      </c>
      <c r="R21" s="72" t="s">
        <v>5285</v>
      </c>
      <c r="S21" s="39" t="s">
        <v>5129</v>
      </c>
      <c r="T21" s="123"/>
      <c r="U21" s="195"/>
      <c r="V21" s="123"/>
      <c r="W21" s="123"/>
      <c r="X21" s="123"/>
      <c r="Y21" s="123"/>
    </row>
    <row r="22">
      <c r="A22" s="195"/>
      <c r="B22" s="195"/>
      <c r="C22" s="138" t="s">
        <v>3064</v>
      </c>
      <c r="D22" s="123"/>
      <c r="E22" s="123"/>
      <c r="F22" s="235" t="s">
        <v>5286</v>
      </c>
      <c r="G22" s="123"/>
      <c r="H22" s="123"/>
      <c r="I22" s="123"/>
      <c r="J22" s="72" t="s">
        <v>5282</v>
      </c>
      <c r="K22" s="123"/>
      <c r="L22" s="123"/>
      <c r="M22" s="123"/>
      <c r="N22" s="123"/>
      <c r="O22" s="123"/>
      <c r="P22" s="123"/>
      <c r="Q22" s="72" t="s">
        <v>963</v>
      </c>
      <c r="R22" s="72" t="s">
        <v>5287</v>
      </c>
      <c r="S22" s="39" t="s">
        <v>2999</v>
      </c>
      <c r="T22" s="123"/>
      <c r="U22" s="195"/>
      <c r="V22" s="123"/>
      <c r="W22" s="123"/>
      <c r="X22" s="123"/>
      <c r="Y22" s="123"/>
    </row>
    <row r="23">
      <c r="A23" s="195"/>
      <c r="B23" s="195"/>
      <c r="C23" s="138" t="s">
        <v>3065</v>
      </c>
      <c r="D23" s="123"/>
      <c r="E23" s="123"/>
      <c r="F23" s="235" t="s">
        <v>5288</v>
      </c>
      <c r="G23" s="123"/>
      <c r="H23" s="123"/>
      <c r="I23" s="123"/>
      <c r="J23" s="72" t="s">
        <v>5282</v>
      </c>
      <c r="K23" s="123"/>
      <c r="L23" s="123"/>
      <c r="M23" s="123"/>
      <c r="N23" s="123"/>
      <c r="O23" s="123"/>
      <c r="P23" s="123"/>
      <c r="Q23" s="72" t="s">
        <v>963</v>
      </c>
      <c r="R23" s="72" t="s">
        <v>5285</v>
      </c>
      <c r="S23" s="39" t="s">
        <v>2999</v>
      </c>
      <c r="T23" s="123"/>
      <c r="U23" s="195"/>
      <c r="V23" s="123"/>
      <c r="W23" s="123"/>
      <c r="X23" s="123"/>
      <c r="Y23" s="123"/>
    </row>
    <row r="24">
      <c r="A24" s="195"/>
      <c r="B24" s="195"/>
      <c r="C24" s="138" t="s">
        <v>3066</v>
      </c>
      <c r="D24" s="123"/>
      <c r="E24" s="123"/>
      <c r="F24" s="235" t="s">
        <v>5289</v>
      </c>
      <c r="G24" s="123"/>
      <c r="H24" s="123"/>
      <c r="I24" s="123"/>
      <c r="J24" s="72" t="s">
        <v>5282</v>
      </c>
      <c r="K24" s="123"/>
      <c r="L24" s="123"/>
      <c r="M24" s="123"/>
      <c r="N24" s="123"/>
      <c r="O24" s="123"/>
      <c r="P24" s="123"/>
      <c r="Q24" s="72" t="s">
        <v>963</v>
      </c>
      <c r="R24" s="72" t="s">
        <v>5234</v>
      </c>
      <c r="S24" s="39" t="s">
        <v>2999</v>
      </c>
      <c r="T24" s="123"/>
      <c r="U24" s="195"/>
      <c r="V24" s="123"/>
      <c r="W24" s="123"/>
      <c r="X24" s="123"/>
      <c r="Y24" s="123"/>
    </row>
    <row r="25">
      <c r="A25" s="195"/>
      <c r="B25" s="195"/>
      <c r="C25" s="138" t="s">
        <v>3067</v>
      </c>
      <c r="D25" s="123"/>
      <c r="E25" s="123"/>
      <c r="F25" s="235" t="s">
        <v>5290</v>
      </c>
      <c r="G25" s="123"/>
      <c r="H25" s="123"/>
      <c r="I25" s="123"/>
      <c r="J25" s="72" t="s">
        <v>5282</v>
      </c>
      <c r="K25" s="123"/>
      <c r="L25" s="123"/>
      <c r="M25" s="123"/>
      <c r="N25" s="123"/>
      <c r="O25" s="123"/>
      <c r="P25" s="123"/>
      <c r="Q25" s="72" t="s">
        <v>963</v>
      </c>
      <c r="R25" s="72" t="s">
        <v>4582</v>
      </c>
      <c r="S25" s="39" t="s">
        <v>5129</v>
      </c>
      <c r="T25" s="123"/>
      <c r="U25" s="195"/>
      <c r="V25" s="123"/>
      <c r="W25" s="123"/>
      <c r="X25" s="123"/>
      <c r="Y25" s="123"/>
    </row>
    <row r="26">
      <c r="A26" s="195"/>
      <c r="B26" s="195"/>
      <c r="C26" s="138" t="s">
        <v>3068</v>
      </c>
      <c r="D26" s="123"/>
      <c r="E26" s="123"/>
      <c r="F26" s="235" t="s">
        <v>5291</v>
      </c>
      <c r="G26" s="123"/>
      <c r="H26" s="123"/>
      <c r="I26" s="123"/>
      <c r="J26" s="72" t="s">
        <v>5282</v>
      </c>
      <c r="K26" s="123"/>
      <c r="L26" s="123"/>
      <c r="M26" s="123"/>
      <c r="N26" s="123"/>
      <c r="O26" s="123"/>
      <c r="P26" s="123"/>
      <c r="Q26" s="72" t="s">
        <v>963</v>
      </c>
      <c r="R26" s="72" t="s">
        <v>4582</v>
      </c>
      <c r="S26" s="39" t="s">
        <v>2992</v>
      </c>
      <c r="T26" s="123"/>
      <c r="U26" s="195"/>
      <c r="V26" s="123"/>
      <c r="W26" s="123"/>
      <c r="X26" s="123"/>
      <c r="Y26" s="123"/>
    </row>
    <row r="27">
      <c r="A27" s="195"/>
      <c r="B27" s="195"/>
      <c r="C27" s="138" t="s">
        <v>3069</v>
      </c>
      <c r="D27" s="123"/>
      <c r="E27" s="123"/>
      <c r="F27" s="235" t="s">
        <v>5292</v>
      </c>
      <c r="G27" s="123"/>
      <c r="H27" s="123"/>
      <c r="I27" s="123"/>
      <c r="J27" s="72" t="s">
        <v>5293</v>
      </c>
      <c r="K27" s="123"/>
      <c r="L27" s="123"/>
      <c r="M27" s="123"/>
      <c r="N27" s="123"/>
      <c r="O27" s="123"/>
      <c r="P27" s="123"/>
      <c r="Q27" s="72" t="s">
        <v>963</v>
      </c>
      <c r="R27" s="72" t="s">
        <v>4582</v>
      </c>
      <c r="S27" s="39" t="s">
        <v>5129</v>
      </c>
      <c r="T27" s="123"/>
      <c r="U27" s="195"/>
      <c r="V27" s="123"/>
      <c r="W27" s="123"/>
      <c r="X27" s="123"/>
      <c r="Y27" s="123"/>
    </row>
    <row r="28">
      <c r="A28" s="195"/>
      <c r="B28" s="195"/>
      <c r="C28" s="138" t="s">
        <v>3070</v>
      </c>
      <c r="D28" s="123"/>
      <c r="E28" s="123"/>
      <c r="F28" s="235" t="s">
        <v>5294</v>
      </c>
      <c r="G28" s="123"/>
      <c r="H28" s="123"/>
      <c r="I28" s="123"/>
      <c r="J28" s="72" t="s">
        <v>45</v>
      </c>
      <c r="K28" s="123"/>
      <c r="L28" s="72" t="s">
        <v>5295</v>
      </c>
      <c r="M28" s="123"/>
      <c r="N28" s="123"/>
      <c r="O28" s="123"/>
      <c r="P28" s="123"/>
      <c r="Q28" s="72" t="s">
        <v>963</v>
      </c>
      <c r="R28" s="123"/>
      <c r="S28" s="39" t="s">
        <v>2992</v>
      </c>
      <c r="T28" s="123"/>
      <c r="U28" s="195"/>
      <c r="V28" s="123"/>
      <c r="W28" s="123"/>
      <c r="X28" s="123"/>
      <c r="Y28" s="123"/>
    </row>
    <row r="29">
      <c r="A29" s="195"/>
      <c r="B29" s="195"/>
      <c r="C29" s="138"/>
      <c r="D29" s="123"/>
      <c r="E29" s="123"/>
      <c r="F29" s="72"/>
      <c r="G29" s="123"/>
      <c r="H29" s="123"/>
      <c r="I29" s="123"/>
      <c r="J29" s="72"/>
      <c r="K29" s="123"/>
      <c r="L29" s="123"/>
      <c r="M29" s="123"/>
      <c r="N29" s="123"/>
      <c r="O29" s="123"/>
      <c r="P29" s="123"/>
      <c r="Q29" s="72"/>
      <c r="R29" s="72"/>
      <c r="S29" s="39"/>
      <c r="T29" s="123"/>
      <c r="U29" s="195"/>
      <c r="V29" s="123"/>
      <c r="W29" s="123"/>
      <c r="X29" s="123"/>
      <c r="Y29" s="123"/>
    </row>
    <row r="30">
      <c r="A30" s="195"/>
      <c r="B30" s="195"/>
      <c r="C30" s="138"/>
      <c r="D30" s="123"/>
      <c r="E30" s="123"/>
      <c r="F30" s="72"/>
      <c r="G30" s="123"/>
      <c r="H30" s="123"/>
      <c r="I30" s="123"/>
      <c r="J30" s="72"/>
      <c r="K30" s="123"/>
      <c r="L30" s="123"/>
      <c r="M30" s="123"/>
      <c r="N30" s="123"/>
      <c r="O30" s="123"/>
      <c r="P30" s="123"/>
      <c r="Q30" s="72"/>
      <c r="R30" s="72"/>
      <c r="S30" s="39"/>
      <c r="T30" s="123"/>
      <c r="U30" s="195"/>
      <c r="V30" s="123"/>
      <c r="W30" s="123"/>
      <c r="X30" s="123"/>
      <c r="Y30" s="123"/>
    </row>
    <row r="31">
      <c r="A31" s="195"/>
      <c r="B31" s="195"/>
      <c r="C31" s="138"/>
      <c r="D31" s="123"/>
      <c r="E31" s="123"/>
      <c r="F31" s="72"/>
      <c r="G31" s="123"/>
      <c r="H31" s="123"/>
      <c r="I31" s="123"/>
      <c r="J31" s="72"/>
      <c r="K31" s="123"/>
      <c r="L31" s="72"/>
      <c r="M31" s="123"/>
      <c r="N31" s="123"/>
      <c r="O31" s="123"/>
      <c r="P31" s="123"/>
      <c r="Q31" s="72"/>
      <c r="R31" s="123"/>
      <c r="S31" s="39"/>
      <c r="T31" s="123"/>
      <c r="U31" s="195"/>
      <c r="V31" s="123"/>
      <c r="W31" s="123"/>
      <c r="X31" s="123"/>
      <c r="Y31" s="123"/>
    </row>
    <row r="32">
      <c r="A32" s="195"/>
      <c r="B32" s="195"/>
      <c r="C32" s="195"/>
      <c r="D32" s="123"/>
      <c r="E32" s="123"/>
      <c r="F32" s="123"/>
      <c r="G32" s="123"/>
      <c r="H32" s="123"/>
      <c r="I32" s="123"/>
      <c r="J32" s="123"/>
      <c r="K32" s="123"/>
      <c r="L32" s="123"/>
      <c r="M32" s="123"/>
      <c r="N32" s="123"/>
      <c r="O32" s="123"/>
      <c r="P32" s="123"/>
      <c r="Q32" s="123"/>
      <c r="R32" s="123"/>
      <c r="S32" s="123"/>
      <c r="T32" s="123"/>
      <c r="U32" s="195"/>
      <c r="V32" s="123"/>
      <c r="W32" s="123"/>
      <c r="X32" s="123"/>
      <c r="Y32" s="123"/>
    </row>
    <row r="33">
      <c r="A33" s="195"/>
      <c r="B33" s="195"/>
      <c r="C33" s="195"/>
      <c r="D33" s="123"/>
      <c r="E33" s="123"/>
      <c r="F33" s="123"/>
      <c r="G33" s="123"/>
      <c r="H33" s="123"/>
      <c r="I33" s="123"/>
      <c r="J33" s="123"/>
      <c r="K33" s="123"/>
      <c r="L33" s="123"/>
      <c r="M33" s="123"/>
      <c r="N33" s="123"/>
      <c r="O33" s="123"/>
      <c r="P33" s="123"/>
      <c r="Q33" s="123"/>
      <c r="R33" s="123"/>
      <c r="S33" s="123"/>
      <c r="T33" s="123"/>
      <c r="U33" s="195"/>
      <c r="V33" s="123"/>
      <c r="W33" s="123"/>
      <c r="X33" s="123"/>
      <c r="Y33" s="123"/>
    </row>
    <row r="34">
      <c r="A34" s="195"/>
      <c r="B34" s="195"/>
      <c r="C34" s="195"/>
      <c r="D34" s="123"/>
      <c r="E34" s="123"/>
      <c r="F34" s="123"/>
      <c r="G34" s="123"/>
      <c r="H34" s="123"/>
      <c r="I34" s="123"/>
      <c r="J34" s="123"/>
      <c r="K34" s="123"/>
      <c r="L34" s="123"/>
      <c r="M34" s="123"/>
      <c r="N34" s="123"/>
      <c r="O34" s="123"/>
      <c r="P34" s="123"/>
      <c r="Q34" s="123"/>
      <c r="R34" s="123"/>
      <c r="S34" s="123"/>
      <c r="T34" s="123"/>
      <c r="U34" s="195"/>
      <c r="V34" s="123"/>
      <c r="W34" s="123"/>
      <c r="X34" s="123"/>
      <c r="Y34" s="123"/>
    </row>
    <row r="35">
      <c r="A35" s="195"/>
      <c r="B35" s="195"/>
      <c r="C35" s="195"/>
      <c r="D35" s="123"/>
      <c r="E35" s="123"/>
      <c r="F35" s="123"/>
      <c r="G35" s="123"/>
      <c r="H35" s="123"/>
      <c r="I35" s="123"/>
      <c r="J35" s="123"/>
      <c r="K35" s="123"/>
      <c r="L35" s="123"/>
      <c r="M35" s="123"/>
      <c r="N35" s="123"/>
      <c r="O35" s="123"/>
      <c r="P35" s="123"/>
      <c r="Q35" s="123"/>
      <c r="R35" s="123"/>
      <c r="S35" s="123"/>
      <c r="T35" s="123"/>
      <c r="U35" s="195"/>
      <c r="V35" s="123"/>
      <c r="W35" s="123"/>
      <c r="X35" s="123"/>
      <c r="Y35" s="123"/>
    </row>
    <row r="36">
      <c r="A36" s="195"/>
      <c r="B36" s="195"/>
      <c r="C36" s="195"/>
      <c r="D36" s="123"/>
      <c r="E36" s="123"/>
      <c r="F36" s="123"/>
      <c r="G36" s="123"/>
      <c r="H36" s="123"/>
      <c r="I36" s="123"/>
      <c r="J36" s="123"/>
      <c r="K36" s="123"/>
      <c r="L36" s="123"/>
      <c r="M36" s="123"/>
      <c r="N36" s="123"/>
      <c r="O36" s="123"/>
      <c r="P36" s="123"/>
      <c r="Q36" s="123"/>
      <c r="R36" s="123"/>
      <c r="S36" s="123"/>
      <c r="T36" s="123"/>
      <c r="U36" s="195"/>
      <c r="V36" s="123"/>
      <c r="W36" s="123"/>
      <c r="X36" s="123"/>
      <c r="Y36" s="123"/>
    </row>
    <row r="37">
      <c r="A37" s="195"/>
      <c r="B37" s="195"/>
      <c r="C37" s="195"/>
      <c r="D37" s="123"/>
      <c r="E37" s="123"/>
      <c r="F37" s="123"/>
      <c r="G37" s="123"/>
      <c r="H37" s="123"/>
      <c r="I37" s="123"/>
      <c r="J37" s="123"/>
      <c r="K37" s="123"/>
      <c r="L37" s="123"/>
      <c r="M37" s="123"/>
      <c r="N37" s="123"/>
      <c r="O37" s="123"/>
      <c r="P37" s="123"/>
      <c r="Q37" s="123"/>
      <c r="R37" s="123"/>
      <c r="S37" s="123"/>
      <c r="T37" s="123"/>
      <c r="U37" s="195"/>
      <c r="V37" s="123"/>
      <c r="W37" s="123"/>
      <c r="X37" s="123"/>
      <c r="Y37" s="123"/>
    </row>
    <row r="38">
      <c r="A38" s="195"/>
      <c r="B38" s="195"/>
      <c r="C38" s="195"/>
      <c r="D38" s="123"/>
      <c r="E38" s="123"/>
      <c r="F38" s="123"/>
      <c r="G38" s="123"/>
      <c r="H38" s="123"/>
      <c r="I38" s="123"/>
      <c r="J38" s="123"/>
      <c r="K38" s="123"/>
      <c r="L38" s="123"/>
      <c r="M38" s="123"/>
      <c r="N38" s="123"/>
      <c r="O38" s="123"/>
      <c r="P38" s="123"/>
      <c r="Q38" s="123"/>
      <c r="R38" s="123"/>
      <c r="S38" s="123"/>
      <c r="T38" s="123"/>
      <c r="U38" s="195"/>
      <c r="V38" s="123"/>
      <c r="W38" s="123"/>
      <c r="X38" s="123"/>
      <c r="Y38" s="123"/>
    </row>
    <row r="39">
      <c r="A39" s="195"/>
      <c r="B39" s="195"/>
      <c r="C39" s="195"/>
      <c r="D39" s="123"/>
      <c r="E39" s="123"/>
      <c r="F39" s="123"/>
      <c r="G39" s="123"/>
      <c r="H39" s="123"/>
      <c r="I39" s="123"/>
      <c r="J39" s="123"/>
      <c r="K39" s="123"/>
      <c r="L39" s="123"/>
      <c r="M39" s="123"/>
      <c r="N39" s="123"/>
      <c r="O39" s="123"/>
      <c r="P39" s="123"/>
      <c r="Q39" s="123"/>
      <c r="R39" s="123"/>
      <c r="S39" s="123"/>
      <c r="T39" s="123"/>
      <c r="U39" s="195"/>
      <c r="V39" s="123"/>
      <c r="W39" s="123"/>
      <c r="X39" s="123"/>
      <c r="Y39" s="123"/>
    </row>
    <row r="40">
      <c r="A40" s="195"/>
      <c r="B40" s="195"/>
      <c r="C40" s="195"/>
      <c r="D40" s="123"/>
      <c r="E40" s="123"/>
      <c r="F40" s="123"/>
      <c r="G40" s="123"/>
      <c r="H40" s="123"/>
      <c r="I40" s="123"/>
      <c r="J40" s="123"/>
      <c r="K40" s="123"/>
      <c r="L40" s="123"/>
      <c r="M40" s="123"/>
      <c r="N40" s="123"/>
      <c r="O40" s="123"/>
      <c r="P40" s="123"/>
      <c r="Q40" s="123"/>
      <c r="R40" s="123"/>
      <c r="S40" s="123"/>
      <c r="T40" s="123"/>
      <c r="U40" s="195"/>
      <c r="V40" s="123"/>
      <c r="W40" s="123"/>
      <c r="X40" s="123"/>
      <c r="Y40" s="123"/>
    </row>
    <row r="41">
      <c r="A41" s="195"/>
      <c r="B41" s="195"/>
      <c r="C41" s="195"/>
      <c r="D41" s="123"/>
      <c r="E41" s="123"/>
      <c r="F41" s="123"/>
      <c r="G41" s="123"/>
      <c r="H41" s="123"/>
      <c r="I41" s="123"/>
      <c r="J41" s="123"/>
      <c r="K41" s="123"/>
      <c r="L41" s="123"/>
      <c r="M41" s="123"/>
      <c r="N41" s="123"/>
      <c r="O41" s="123"/>
      <c r="P41" s="123"/>
      <c r="Q41" s="123"/>
      <c r="R41" s="123"/>
      <c r="S41" s="123"/>
      <c r="T41" s="123"/>
      <c r="U41" s="195"/>
      <c r="V41" s="123"/>
      <c r="W41" s="123"/>
      <c r="X41" s="123"/>
      <c r="Y41" s="123"/>
    </row>
    <row r="42">
      <c r="A42" s="195"/>
      <c r="B42" s="195"/>
      <c r="C42" s="195"/>
      <c r="D42" s="123"/>
      <c r="E42" s="123"/>
      <c r="F42" s="123"/>
      <c r="G42" s="123"/>
      <c r="H42" s="123"/>
      <c r="I42" s="123"/>
      <c r="J42" s="123"/>
      <c r="K42" s="123"/>
      <c r="L42" s="123"/>
      <c r="M42" s="123"/>
      <c r="N42" s="123"/>
      <c r="O42" s="123"/>
      <c r="P42" s="123"/>
      <c r="Q42" s="123"/>
      <c r="R42" s="123"/>
      <c r="S42" s="123"/>
      <c r="T42" s="123"/>
      <c r="U42" s="195"/>
      <c r="V42" s="123"/>
      <c r="W42" s="123"/>
      <c r="X42" s="123"/>
      <c r="Y42" s="123"/>
    </row>
    <row r="43">
      <c r="A43" s="195"/>
      <c r="B43" s="195"/>
      <c r="C43" s="195"/>
      <c r="D43" s="123"/>
      <c r="E43" s="123"/>
      <c r="F43" s="123"/>
      <c r="G43" s="123"/>
      <c r="H43" s="123"/>
      <c r="I43" s="123"/>
      <c r="J43" s="123"/>
      <c r="K43" s="123"/>
      <c r="L43" s="123"/>
      <c r="M43" s="123"/>
      <c r="N43" s="123"/>
      <c r="O43" s="123"/>
      <c r="P43" s="123"/>
      <c r="Q43" s="123"/>
      <c r="R43" s="123"/>
      <c r="S43" s="123"/>
      <c r="T43" s="123"/>
      <c r="U43" s="195"/>
      <c r="V43" s="123"/>
      <c r="W43" s="123"/>
      <c r="X43" s="123"/>
      <c r="Y43" s="123"/>
    </row>
    <row r="44">
      <c r="A44" s="195"/>
      <c r="B44" s="195"/>
      <c r="C44" s="195"/>
      <c r="D44" s="123"/>
      <c r="E44" s="123"/>
      <c r="F44" s="123"/>
      <c r="G44" s="123"/>
      <c r="H44" s="123"/>
      <c r="I44" s="123"/>
      <c r="J44" s="123"/>
      <c r="K44" s="123"/>
      <c r="L44" s="123"/>
      <c r="M44" s="123"/>
      <c r="N44" s="123"/>
      <c r="O44" s="123"/>
      <c r="P44" s="123"/>
      <c r="Q44" s="123"/>
      <c r="R44" s="123"/>
      <c r="S44" s="123"/>
      <c r="T44" s="123"/>
      <c r="U44" s="195"/>
      <c r="V44" s="123"/>
      <c r="W44" s="123"/>
      <c r="X44" s="123"/>
      <c r="Y44" s="123"/>
    </row>
    <row r="45">
      <c r="A45" s="195"/>
      <c r="B45" s="195"/>
      <c r="C45" s="195"/>
      <c r="D45" s="123"/>
      <c r="E45" s="123"/>
      <c r="F45" s="123"/>
      <c r="G45" s="123"/>
      <c r="H45" s="123"/>
      <c r="I45" s="123"/>
      <c r="J45" s="123"/>
      <c r="K45" s="123"/>
      <c r="L45" s="123"/>
      <c r="M45" s="123"/>
      <c r="N45" s="123"/>
      <c r="O45" s="123"/>
      <c r="P45" s="123"/>
      <c r="Q45" s="123"/>
      <c r="R45" s="123"/>
      <c r="S45" s="123"/>
      <c r="T45" s="123"/>
      <c r="U45" s="195"/>
      <c r="V45" s="123"/>
      <c r="W45" s="123"/>
      <c r="X45" s="123"/>
      <c r="Y45" s="123"/>
    </row>
    <row r="46">
      <c r="A46" s="195"/>
      <c r="B46" s="195"/>
      <c r="C46" s="195"/>
      <c r="D46" s="123"/>
      <c r="E46" s="123"/>
      <c r="F46" s="123"/>
      <c r="G46" s="123"/>
      <c r="H46" s="123"/>
      <c r="I46" s="123"/>
      <c r="J46" s="123"/>
      <c r="K46" s="123"/>
      <c r="L46" s="123"/>
      <c r="M46" s="123"/>
      <c r="N46" s="123"/>
      <c r="O46" s="123"/>
      <c r="P46" s="123"/>
      <c r="Q46" s="123"/>
      <c r="R46" s="123"/>
      <c r="S46" s="123"/>
      <c r="T46" s="123"/>
      <c r="U46" s="195"/>
      <c r="V46" s="123"/>
      <c r="W46" s="123"/>
      <c r="X46" s="123"/>
      <c r="Y46" s="123"/>
    </row>
    <row r="47">
      <c r="A47" s="195"/>
      <c r="B47" s="195"/>
      <c r="C47" s="195"/>
      <c r="D47" s="123"/>
      <c r="E47" s="123"/>
      <c r="F47" s="123"/>
      <c r="G47" s="123"/>
      <c r="H47" s="123"/>
      <c r="I47" s="123"/>
      <c r="J47" s="123"/>
      <c r="K47" s="123"/>
      <c r="L47" s="123"/>
      <c r="M47" s="123"/>
      <c r="N47" s="123"/>
      <c r="O47" s="123"/>
      <c r="P47" s="123"/>
      <c r="Q47" s="123"/>
      <c r="R47" s="123"/>
      <c r="S47" s="123"/>
      <c r="T47" s="123"/>
      <c r="U47" s="195"/>
      <c r="V47" s="123"/>
      <c r="W47" s="123"/>
      <c r="X47" s="123"/>
      <c r="Y47" s="123"/>
    </row>
    <row r="48">
      <c r="A48" s="195"/>
      <c r="B48" s="195"/>
      <c r="C48" s="195"/>
      <c r="D48" s="123"/>
      <c r="E48" s="123"/>
      <c r="F48" s="123"/>
      <c r="G48" s="123"/>
      <c r="H48" s="123"/>
      <c r="I48" s="123"/>
      <c r="J48" s="123"/>
      <c r="K48" s="123"/>
      <c r="L48" s="123"/>
      <c r="M48" s="123"/>
      <c r="N48" s="123"/>
      <c r="O48" s="123"/>
      <c r="P48" s="123"/>
      <c r="Q48" s="123"/>
      <c r="R48" s="123"/>
      <c r="S48" s="123"/>
      <c r="T48" s="123"/>
      <c r="U48" s="195"/>
      <c r="V48" s="123"/>
      <c r="W48" s="123"/>
      <c r="X48" s="123"/>
      <c r="Y48" s="123"/>
    </row>
    <row r="49">
      <c r="A49" s="195"/>
      <c r="B49" s="195"/>
      <c r="C49" s="195"/>
      <c r="D49" s="123"/>
      <c r="E49" s="123"/>
      <c r="F49" s="123"/>
      <c r="G49" s="123"/>
      <c r="H49" s="123"/>
      <c r="I49" s="123"/>
      <c r="J49" s="123"/>
      <c r="K49" s="123"/>
      <c r="L49" s="123"/>
      <c r="M49" s="123"/>
      <c r="N49" s="123"/>
      <c r="O49" s="123"/>
      <c r="P49" s="123"/>
      <c r="Q49" s="123"/>
      <c r="R49" s="123"/>
      <c r="S49" s="123"/>
      <c r="T49" s="123"/>
      <c r="U49" s="195"/>
      <c r="V49" s="123"/>
      <c r="W49" s="123"/>
      <c r="X49" s="123"/>
      <c r="Y49" s="123"/>
    </row>
    <row r="50">
      <c r="A50" s="195"/>
      <c r="B50" s="195"/>
      <c r="C50" s="195"/>
      <c r="D50" s="123"/>
      <c r="E50" s="123"/>
      <c r="F50" s="123"/>
      <c r="G50" s="123"/>
      <c r="H50" s="123"/>
      <c r="I50" s="123"/>
      <c r="J50" s="123"/>
      <c r="K50" s="123"/>
      <c r="L50" s="123"/>
      <c r="M50" s="123"/>
      <c r="N50" s="123"/>
      <c r="O50" s="123"/>
      <c r="P50" s="123"/>
      <c r="Q50" s="123"/>
      <c r="R50" s="123"/>
      <c r="S50" s="123"/>
      <c r="T50" s="123"/>
      <c r="U50" s="195"/>
      <c r="V50" s="123"/>
      <c r="W50" s="123"/>
      <c r="X50" s="123"/>
      <c r="Y50" s="123"/>
    </row>
    <row r="51">
      <c r="A51" s="195"/>
      <c r="B51" s="195"/>
      <c r="C51" s="195"/>
      <c r="D51" s="123"/>
      <c r="E51" s="123"/>
      <c r="F51" s="123"/>
      <c r="G51" s="123"/>
      <c r="H51" s="123"/>
      <c r="I51" s="123"/>
      <c r="J51" s="123"/>
      <c r="K51" s="123"/>
      <c r="L51" s="123"/>
      <c r="M51" s="123"/>
      <c r="N51" s="123"/>
      <c r="O51" s="123"/>
      <c r="P51" s="123"/>
      <c r="Q51" s="123"/>
      <c r="R51" s="123"/>
      <c r="S51" s="123"/>
      <c r="T51" s="123"/>
      <c r="U51" s="195"/>
      <c r="V51" s="123"/>
      <c r="W51" s="123"/>
      <c r="X51" s="123"/>
      <c r="Y51" s="123"/>
    </row>
    <row r="52">
      <c r="A52" s="195"/>
      <c r="B52" s="195"/>
      <c r="C52" s="195"/>
      <c r="D52" s="123"/>
      <c r="E52" s="123"/>
      <c r="F52" s="123"/>
      <c r="G52" s="123"/>
      <c r="H52" s="123"/>
      <c r="I52" s="123"/>
      <c r="J52" s="123"/>
      <c r="K52" s="123"/>
      <c r="L52" s="123"/>
      <c r="M52" s="123"/>
      <c r="N52" s="123"/>
      <c r="O52" s="123"/>
      <c r="P52" s="123"/>
      <c r="Q52" s="123"/>
      <c r="R52" s="123"/>
      <c r="S52" s="123"/>
      <c r="T52" s="123"/>
      <c r="U52" s="195"/>
      <c r="V52" s="123"/>
      <c r="W52" s="123"/>
      <c r="X52" s="123"/>
      <c r="Y52" s="123"/>
    </row>
    <row r="53">
      <c r="A53" s="195"/>
      <c r="B53" s="195"/>
      <c r="C53" s="195"/>
      <c r="D53" s="123"/>
      <c r="E53" s="123"/>
      <c r="F53" s="123"/>
      <c r="G53" s="123"/>
      <c r="H53" s="123"/>
      <c r="I53" s="123"/>
      <c r="J53" s="123"/>
      <c r="K53" s="123"/>
      <c r="L53" s="123"/>
      <c r="M53" s="123"/>
      <c r="N53" s="123"/>
      <c r="O53" s="123"/>
      <c r="P53" s="123"/>
      <c r="Q53" s="123"/>
      <c r="R53" s="123"/>
      <c r="S53" s="123"/>
      <c r="T53" s="123"/>
      <c r="U53" s="195"/>
      <c r="V53" s="123"/>
      <c r="W53" s="123"/>
      <c r="X53" s="123"/>
      <c r="Y53" s="123"/>
    </row>
    <row r="54">
      <c r="A54" s="195"/>
      <c r="B54" s="195"/>
      <c r="C54" s="195"/>
      <c r="D54" s="123"/>
      <c r="E54" s="123"/>
      <c r="F54" s="123"/>
      <c r="G54" s="123"/>
      <c r="H54" s="123"/>
      <c r="I54" s="123"/>
      <c r="J54" s="123"/>
      <c r="K54" s="123"/>
      <c r="L54" s="123"/>
      <c r="M54" s="123"/>
      <c r="N54" s="123"/>
      <c r="O54" s="123"/>
      <c r="P54" s="123"/>
      <c r="Q54" s="123"/>
      <c r="R54" s="123"/>
      <c r="S54" s="123"/>
      <c r="T54" s="123"/>
      <c r="U54" s="195"/>
      <c r="V54" s="123"/>
      <c r="W54" s="123"/>
      <c r="X54" s="123"/>
      <c r="Y54" s="123"/>
    </row>
    <row r="55">
      <c r="A55" s="195"/>
      <c r="B55" s="195"/>
      <c r="C55" s="195"/>
      <c r="D55" s="123"/>
      <c r="E55" s="123"/>
      <c r="F55" s="123"/>
      <c r="G55" s="123"/>
      <c r="H55" s="123"/>
      <c r="I55" s="123"/>
      <c r="J55" s="123"/>
      <c r="K55" s="123"/>
      <c r="L55" s="123"/>
      <c r="M55" s="123"/>
      <c r="N55" s="123"/>
      <c r="O55" s="123"/>
      <c r="P55" s="123"/>
      <c r="Q55" s="123"/>
      <c r="R55" s="123"/>
      <c r="S55" s="123"/>
      <c r="T55" s="123"/>
      <c r="U55" s="195"/>
      <c r="V55" s="123"/>
      <c r="W55" s="123"/>
      <c r="X55" s="123"/>
      <c r="Y55" s="123"/>
    </row>
    <row r="56">
      <c r="A56" s="195"/>
      <c r="B56" s="195"/>
      <c r="C56" s="195"/>
      <c r="D56" s="123"/>
      <c r="E56" s="123"/>
      <c r="F56" s="123"/>
      <c r="G56" s="123"/>
      <c r="H56" s="123"/>
      <c r="I56" s="123"/>
      <c r="J56" s="123"/>
      <c r="K56" s="123"/>
      <c r="L56" s="123"/>
      <c r="M56" s="123"/>
      <c r="N56" s="123"/>
      <c r="O56" s="123"/>
      <c r="P56" s="123"/>
      <c r="Q56" s="123"/>
      <c r="R56" s="123"/>
      <c r="S56" s="123"/>
      <c r="T56" s="123"/>
      <c r="U56" s="195"/>
      <c r="V56" s="123"/>
      <c r="W56" s="123"/>
      <c r="X56" s="123"/>
      <c r="Y56" s="123"/>
    </row>
    <row r="57">
      <c r="A57" s="195"/>
      <c r="B57" s="195"/>
      <c r="C57" s="195"/>
      <c r="D57" s="123"/>
      <c r="E57" s="123"/>
      <c r="F57" s="123"/>
      <c r="G57" s="123"/>
      <c r="H57" s="123"/>
      <c r="I57" s="123"/>
      <c r="J57" s="123"/>
      <c r="K57" s="123"/>
      <c r="L57" s="123"/>
      <c r="M57" s="123"/>
      <c r="N57" s="123"/>
      <c r="O57" s="123"/>
      <c r="P57" s="123"/>
      <c r="Q57" s="123"/>
      <c r="R57" s="123"/>
      <c r="S57" s="123"/>
      <c r="T57" s="123"/>
      <c r="U57" s="195"/>
      <c r="V57" s="123"/>
      <c r="W57" s="123"/>
      <c r="X57" s="123"/>
      <c r="Y57" s="123"/>
    </row>
    <row r="58">
      <c r="A58" s="195"/>
      <c r="B58" s="195"/>
      <c r="C58" s="195"/>
      <c r="D58" s="123"/>
      <c r="E58" s="123"/>
      <c r="F58" s="123"/>
      <c r="G58" s="123"/>
      <c r="H58" s="123"/>
      <c r="I58" s="123"/>
      <c r="J58" s="123"/>
      <c r="K58" s="123"/>
      <c r="L58" s="123"/>
      <c r="M58" s="123"/>
      <c r="N58" s="123"/>
      <c r="O58" s="123"/>
      <c r="P58" s="123"/>
      <c r="Q58" s="123"/>
      <c r="R58" s="123"/>
      <c r="S58" s="123"/>
      <c r="T58" s="123"/>
      <c r="U58" s="195"/>
      <c r="V58" s="123"/>
      <c r="W58" s="123"/>
      <c r="X58" s="123"/>
      <c r="Y58" s="123"/>
    </row>
    <row r="59">
      <c r="A59" s="195"/>
      <c r="B59" s="195"/>
      <c r="C59" s="195"/>
      <c r="D59" s="123"/>
      <c r="E59" s="123"/>
      <c r="F59" s="123"/>
      <c r="G59" s="123"/>
      <c r="H59" s="123"/>
      <c r="I59" s="123"/>
      <c r="J59" s="123"/>
      <c r="K59" s="123"/>
      <c r="L59" s="123"/>
      <c r="M59" s="123"/>
      <c r="N59" s="123"/>
      <c r="O59" s="123"/>
      <c r="P59" s="123"/>
      <c r="Q59" s="123"/>
      <c r="R59" s="123"/>
      <c r="S59" s="123"/>
      <c r="T59" s="123"/>
      <c r="U59" s="195"/>
      <c r="V59" s="123"/>
      <c r="W59" s="123"/>
      <c r="X59" s="123"/>
      <c r="Y59" s="123"/>
    </row>
    <row r="60">
      <c r="A60" s="195"/>
      <c r="B60" s="195"/>
      <c r="C60" s="195"/>
      <c r="D60" s="123"/>
      <c r="E60" s="123"/>
      <c r="F60" s="123"/>
      <c r="G60" s="123"/>
      <c r="H60" s="123"/>
      <c r="I60" s="123"/>
      <c r="J60" s="123"/>
      <c r="K60" s="123"/>
      <c r="L60" s="123"/>
      <c r="M60" s="123"/>
      <c r="N60" s="123"/>
      <c r="O60" s="123"/>
      <c r="P60" s="123"/>
      <c r="Q60" s="123"/>
      <c r="R60" s="123"/>
      <c r="S60" s="123"/>
      <c r="T60" s="123"/>
      <c r="U60" s="195"/>
      <c r="V60" s="123"/>
      <c r="W60" s="123"/>
      <c r="X60" s="123"/>
      <c r="Y60" s="123"/>
    </row>
    <row r="61">
      <c r="A61" s="195"/>
      <c r="B61" s="195"/>
      <c r="C61" s="195"/>
      <c r="D61" s="123"/>
      <c r="E61" s="123"/>
      <c r="F61" s="123"/>
      <c r="G61" s="123"/>
      <c r="H61" s="123"/>
      <c r="I61" s="123"/>
      <c r="J61" s="123"/>
      <c r="K61" s="123"/>
      <c r="L61" s="123"/>
      <c r="M61" s="123"/>
      <c r="N61" s="123"/>
      <c r="O61" s="123"/>
      <c r="P61" s="123"/>
      <c r="Q61" s="123"/>
      <c r="R61" s="123"/>
      <c r="S61" s="123"/>
      <c r="T61" s="123"/>
      <c r="U61" s="195"/>
      <c r="V61" s="123"/>
      <c r="W61" s="123"/>
      <c r="X61" s="123"/>
      <c r="Y61" s="123"/>
    </row>
    <row r="62">
      <c r="A62" s="195"/>
      <c r="B62" s="195"/>
      <c r="C62" s="195"/>
      <c r="D62" s="123"/>
      <c r="E62" s="123"/>
      <c r="F62" s="123"/>
      <c r="G62" s="123"/>
      <c r="H62" s="123"/>
      <c r="I62" s="123"/>
      <c r="J62" s="123"/>
      <c r="K62" s="123"/>
      <c r="L62" s="123"/>
      <c r="M62" s="123"/>
      <c r="N62" s="123"/>
      <c r="O62" s="123"/>
      <c r="P62" s="123"/>
      <c r="Q62" s="123"/>
      <c r="R62" s="123"/>
      <c r="S62" s="123"/>
      <c r="T62" s="123"/>
      <c r="U62" s="195"/>
      <c r="V62" s="123"/>
      <c r="W62" s="123"/>
      <c r="X62" s="123"/>
      <c r="Y62" s="123"/>
    </row>
    <row r="63">
      <c r="A63" s="195"/>
      <c r="B63" s="195"/>
      <c r="C63" s="195"/>
      <c r="D63" s="123"/>
      <c r="E63" s="123"/>
      <c r="F63" s="123"/>
      <c r="G63" s="123"/>
      <c r="H63" s="123"/>
      <c r="I63" s="123"/>
      <c r="J63" s="123"/>
      <c r="K63" s="123"/>
      <c r="L63" s="123"/>
      <c r="M63" s="123"/>
      <c r="N63" s="123"/>
      <c r="O63" s="123"/>
      <c r="P63" s="123"/>
      <c r="Q63" s="123"/>
      <c r="R63" s="123"/>
      <c r="S63" s="123"/>
      <c r="T63" s="123"/>
      <c r="U63" s="195"/>
      <c r="V63" s="123"/>
      <c r="W63" s="123"/>
      <c r="X63" s="123"/>
      <c r="Y63" s="123"/>
    </row>
    <row r="64">
      <c r="A64" s="195"/>
      <c r="B64" s="195"/>
      <c r="C64" s="195"/>
      <c r="D64" s="123"/>
      <c r="E64" s="123"/>
      <c r="F64" s="123"/>
      <c r="G64" s="123"/>
      <c r="H64" s="123"/>
      <c r="I64" s="123"/>
      <c r="J64" s="123"/>
      <c r="K64" s="123"/>
      <c r="L64" s="123"/>
      <c r="M64" s="123"/>
      <c r="N64" s="123"/>
      <c r="O64" s="123"/>
      <c r="P64" s="123"/>
      <c r="Q64" s="123"/>
      <c r="R64" s="123"/>
      <c r="S64" s="123"/>
      <c r="T64" s="123"/>
      <c r="U64" s="195"/>
      <c r="V64" s="123"/>
      <c r="W64" s="123"/>
      <c r="X64" s="123"/>
      <c r="Y64" s="123"/>
    </row>
    <row r="65">
      <c r="A65" s="195"/>
      <c r="B65" s="195"/>
      <c r="C65" s="195"/>
      <c r="D65" s="123"/>
      <c r="E65" s="123"/>
      <c r="F65" s="123"/>
      <c r="G65" s="123"/>
      <c r="H65" s="123"/>
      <c r="I65" s="123"/>
      <c r="J65" s="123"/>
      <c r="K65" s="123"/>
      <c r="L65" s="123"/>
      <c r="M65" s="123"/>
      <c r="N65" s="123"/>
      <c r="O65" s="123"/>
      <c r="P65" s="123"/>
      <c r="Q65" s="123"/>
      <c r="R65" s="123"/>
      <c r="S65" s="123"/>
      <c r="T65" s="123"/>
      <c r="U65" s="195"/>
      <c r="V65" s="123"/>
      <c r="W65" s="123"/>
      <c r="X65" s="123"/>
      <c r="Y65" s="123"/>
    </row>
    <row r="66">
      <c r="A66" s="195"/>
      <c r="B66" s="195"/>
      <c r="C66" s="195"/>
      <c r="D66" s="123"/>
      <c r="E66" s="123"/>
      <c r="F66" s="123"/>
      <c r="G66" s="123"/>
      <c r="H66" s="123"/>
      <c r="I66" s="123"/>
      <c r="J66" s="123"/>
      <c r="K66" s="123"/>
      <c r="L66" s="123"/>
      <c r="M66" s="123"/>
      <c r="N66" s="123"/>
      <c r="O66" s="123"/>
      <c r="P66" s="123"/>
      <c r="Q66" s="123"/>
      <c r="R66" s="123"/>
      <c r="S66" s="123"/>
      <c r="T66" s="123"/>
      <c r="U66" s="195"/>
      <c r="V66" s="123"/>
      <c r="W66" s="123"/>
      <c r="X66" s="123"/>
      <c r="Y66" s="123"/>
    </row>
    <row r="67">
      <c r="A67" s="195"/>
      <c r="B67" s="195"/>
      <c r="C67" s="195"/>
      <c r="D67" s="123"/>
      <c r="E67" s="123"/>
      <c r="F67" s="123"/>
      <c r="G67" s="123"/>
      <c r="H67" s="123"/>
      <c r="I67" s="123"/>
      <c r="J67" s="123"/>
      <c r="K67" s="123"/>
      <c r="L67" s="123"/>
      <c r="M67" s="123"/>
      <c r="N67" s="123"/>
      <c r="O67" s="123"/>
      <c r="P67" s="123"/>
      <c r="Q67" s="123"/>
      <c r="R67" s="123"/>
      <c r="S67" s="123"/>
      <c r="T67" s="123"/>
      <c r="U67" s="195"/>
      <c r="V67" s="123"/>
      <c r="W67" s="123"/>
      <c r="X67" s="123"/>
      <c r="Y67" s="123"/>
    </row>
    <row r="68">
      <c r="A68" s="195"/>
      <c r="B68" s="195"/>
      <c r="C68" s="195"/>
      <c r="D68" s="123"/>
      <c r="E68" s="123"/>
      <c r="F68" s="123"/>
      <c r="G68" s="123"/>
      <c r="H68" s="123"/>
      <c r="I68" s="123"/>
      <c r="J68" s="123"/>
      <c r="K68" s="123"/>
      <c r="L68" s="123"/>
      <c r="M68" s="123"/>
      <c r="N68" s="123"/>
      <c r="O68" s="123"/>
      <c r="P68" s="123"/>
      <c r="Q68" s="123"/>
      <c r="R68" s="123"/>
      <c r="S68" s="123"/>
      <c r="T68" s="123"/>
      <c r="U68" s="195"/>
      <c r="V68" s="123"/>
      <c r="W68" s="123"/>
      <c r="X68" s="123"/>
      <c r="Y68" s="123"/>
    </row>
    <row r="69">
      <c r="A69" s="195"/>
      <c r="B69" s="195"/>
      <c r="C69" s="195"/>
      <c r="D69" s="123"/>
      <c r="E69" s="123"/>
      <c r="F69" s="123"/>
      <c r="G69" s="123"/>
      <c r="H69" s="123"/>
      <c r="I69" s="123"/>
      <c r="J69" s="123"/>
      <c r="K69" s="123"/>
      <c r="L69" s="123"/>
      <c r="M69" s="123"/>
      <c r="N69" s="123"/>
      <c r="O69" s="123"/>
      <c r="P69" s="123"/>
      <c r="Q69" s="123"/>
      <c r="R69" s="123"/>
      <c r="S69" s="123"/>
      <c r="T69" s="123"/>
      <c r="U69" s="195"/>
      <c r="V69" s="123"/>
      <c r="W69" s="123"/>
      <c r="X69" s="123"/>
      <c r="Y69" s="123"/>
    </row>
    <row r="70">
      <c r="A70" s="195"/>
      <c r="B70" s="195"/>
      <c r="C70" s="195"/>
      <c r="D70" s="123"/>
      <c r="E70" s="123"/>
      <c r="F70" s="123"/>
      <c r="G70" s="123"/>
      <c r="H70" s="123"/>
      <c r="I70" s="123"/>
      <c r="J70" s="123"/>
      <c r="K70" s="123"/>
      <c r="L70" s="123"/>
      <c r="M70" s="123"/>
      <c r="N70" s="123"/>
      <c r="O70" s="123"/>
      <c r="P70" s="123"/>
      <c r="Q70" s="123"/>
      <c r="R70" s="123"/>
      <c r="S70" s="123"/>
      <c r="T70" s="123"/>
      <c r="U70" s="195"/>
      <c r="V70" s="123"/>
      <c r="W70" s="123"/>
      <c r="X70" s="123"/>
      <c r="Y70" s="123"/>
    </row>
    <row r="71">
      <c r="A71" s="195"/>
      <c r="B71" s="195"/>
      <c r="C71" s="195"/>
      <c r="D71" s="123"/>
      <c r="E71" s="123"/>
      <c r="F71" s="123"/>
      <c r="G71" s="123"/>
      <c r="H71" s="123"/>
      <c r="I71" s="123"/>
      <c r="J71" s="123"/>
      <c r="K71" s="123"/>
      <c r="L71" s="123"/>
      <c r="M71" s="123"/>
      <c r="N71" s="123"/>
      <c r="O71" s="123"/>
      <c r="P71" s="123"/>
      <c r="Q71" s="123"/>
      <c r="R71" s="123"/>
      <c r="S71" s="123"/>
      <c r="T71" s="123"/>
      <c r="U71" s="195"/>
      <c r="V71" s="123"/>
      <c r="W71" s="123"/>
      <c r="X71" s="123"/>
      <c r="Y71" s="123"/>
    </row>
    <row r="72">
      <c r="A72" s="195"/>
      <c r="B72" s="195"/>
      <c r="C72" s="195"/>
      <c r="D72" s="123"/>
      <c r="E72" s="123"/>
      <c r="F72" s="123"/>
      <c r="G72" s="123"/>
      <c r="H72" s="123"/>
      <c r="I72" s="123"/>
      <c r="J72" s="123"/>
      <c r="K72" s="123"/>
      <c r="L72" s="123"/>
      <c r="M72" s="123"/>
      <c r="N72" s="123"/>
      <c r="O72" s="123"/>
      <c r="P72" s="123"/>
      <c r="Q72" s="123"/>
      <c r="R72" s="123"/>
      <c r="S72" s="123"/>
      <c r="T72" s="123"/>
      <c r="U72" s="195"/>
      <c r="V72" s="123"/>
      <c r="W72" s="123"/>
      <c r="X72" s="123"/>
      <c r="Y72" s="123"/>
    </row>
    <row r="73">
      <c r="A73" s="195"/>
      <c r="B73" s="195"/>
      <c r="C73" s="195"/>
      <c r="D73" s="123"/>
      <c r="E73" s="123"/>
      <c r="F73" s="123"/>
      <c r="G73" s="123"/>
      <c r="H73" s="123"/>
      <c r="I73" s="123"/>
      <c r="J73" s="123"/>
      <c r="K73" s="123"/>
      <c r="L73" s="123"/>
      <c r="M73" s="123"/>
      <c r="N73" s="123"/>
      <c r="O73" s="123"/>
      <c r="P73" s="123"/>
      <c r="Q73" s="123"/>
      <c r="R73" s="123"/>
      <c r="S73" s="123"/>
      <c r="T73" s="123"/>
      <c r="U73" s="195"/>
      <c r="V73" s="123"/>
      <c r="W73" s="123"/>
      <c r="X73" s="123"/>
      <c r="Y73" s="123"/>
    </row>
    <row r="74">
      <c r="A74" s="195"/>
      <c r="B74" s="195"/>
      <c r="C74" s="195"/>
      <c r="D74" s="123"/>
      <c r="E74" s="123"/>
      <c r="F74" s="123"/>
      <c r="G74" s="123"/>
      <c r="H74" s="123"/>
      <c r="I74" s="123"/>
      <c r="J74" s="123"/>
      <c r="K74" s="123"/>
      <c r="L74" s="123"/>
      <c r="M74" s="123"/>
      <c r="N74" s="123"/>
      <c r="O74" s="123"/>
      <c r="P74" s="123"/>
      <c r="Q74" s="123"/>
      <c r="R74" s="123"/>
      <c r="S74" s="123"/>
      <c r="T74" s="123"/>
      <c r="U74" s="195"/>
      <c r="V74" s="123"/>
      <c r="W74" s="123"/>
      <c r="X74" s="123"/>
      <c r="Y74" s="123"/>
    </row>
    <row r="75">
      <c r="A75" s="195"/>
      <c r="B75" s="195"/>
      <c r="C75" s="195"/>
      <c r="D75" s="123"/>
      <c r="E75" s="123"/>
      <c r="F75" s="123"/>
      <c r="G75" s="123"/>
      <c r="H75" s="123"/>
      <c r="I75" s="123"/>
      <c r="J75" s="123"/>
      <c r="K75" s="123"/>
      <c r="L75" s="123"/>
      <c r="M75" s="123"/>
      <c r="N75" s="123"/>
      <c r="O75" s="123"/>
      <c r="P75" s="123"/>
      <c r="Q75" s="123"/>
      <c r="R75" s="123"/>
      <c r="S75" s="123"/>
      <c r="T75" s="123"/>
      <c r="U75" s="195"/>
      <c r="V75" s="123"/>
      <c r="W75" s="123"/>
      <c r="X75" s="123"/>
      <c r="Y75" s="123"/>
    </row>
    <row r="76">
      <c r="A76" s="195"/>
      <c r="B76" s="195"/>
      <c r="C76" s="195"/>
      <c r="D76" s="123"/>
      <c r="E76" s="123"/>
      <c r="F76" s="123"/>
      <c r="G76" s="123"/>
      <c r="H76" s="123"/>
      <c r="I76" s="123"/>
      <c r="J76" s="123"/>
      <c r="K76" s="123"/>
      <c r="L76" s="123"/>
      <c r="M76" s="123"/>
      <c r="N76" s="123"/>
      <c r="O76" s="123"/>
      <c r="P76" s="123"/>
      <c r="Q76" s="123"/>
      <c r="R76" s="123"/>
      <c r="S76" s="123"/>
      <c r="T76" s="123"/>
      <c r="U76" s="195"/>
      <c r="V76" s="123"/>
      <c r="W76" s="123"/>
      <c r="X76" s="123"/>
      <c r="Y76" s="123"/>
    </row>
    <row r="77">
      <c r="A77" s="195"/>
      <c r="B77" s="195"/>
      <c r="C77" s="195"/>
      <c r="D77" s="123"/>
      <c r="E77" s="123"/>
      <c r="F77" s="123"/>
      <c r="G77" s="123"/>
      <c r="H77" s="123"/>
      <c r="I77" s="123"/>
      <c r="J77" s="123"/>
      <c r="K77" s="123"/>
      <c r="L77" s="123"/>
      <c r="M77" s="123"/>
      <c r="N77" s="123"/>
      <c r="O77" s="123"/>
      <c r="P77" s="123"/>
      <c r="Q77" s="123"/>
      <c r="R77" s="123"/>
      <c r="S77" s="123"/>
      <c r="T77" s="123"/>
      <c r="U77" s="195"/>
      <c r="V77" s="123"/>
      <c r="W77" s="123"/>
      <c r="X77" s="123"/>
      <c r="Y77" s="123"/>
    </row>
    <row r="78">
      <c r="A78" s="195"/>
      <c r="B78" s="195"/>
      <c r="C78" s="195"/>
      <c r="D78" s="123"/>
      <c r="E78" s="123"/>
      <c r="F78" s="123"/>
      <c r="G78" s="123"/>
      <c r="H78" s="123"/>
      <c r="I78" s="123"/>
      <c r="J78" s="123"/>
      <c r="K78" s="123"/>
      <c r="L78" s="123"/>
      <c r="M78" s="123"/>
      <c r="N78" s="123"/>
      <c r="O78" s="123"/>
      <c r="P78" s="123"/>
      <c r="Q78" s="123"/>
      <c r="R78" s="123"/>
      <c r="S78" s="123"/>
      <c r="T78" s="123"/>
      <c r="U78" s="195"/>
      <c r="V78" s="123"/>
      <c r="W78" s="123"/>
      <c r="X78" s="123"/>
      <c r="Y78" s="123"/>
    </row>
    <row r="79">
      <c r="A79" s="195"/>
      <c r="B79" s="195"/>
      <c r="C79" s="195"/>
      <c r="D79" s="123"/>
      <c r="E79" s="123"/>
      <c r="F79" s="123"/>
      <c r="G79" s="123"/>
      <c r="H79" s="123"/>
      <c r="I79" s="123"/>
      <c r="J79" s="123"/>
      <c r="K79" s="123"/>
      <c r="L79" s="123"/>
      <c r="M79" s="123"/>
      <c r="N79" s="123"/>
      <c r="O79" s="123"/>
      <c r="P79" s="123"/>
      <c r="Q79" s="123"/>
      <c r="R79" s="123"/>
      <c r="S79" s="123"/>
      <c r="T79" s="123"/>
      <c r="U79" s="195"/>
      <c r="V79" s="123"/>
      <c r="W79" s="123"/>
      <c r="X79" s="123"/>
      <c r="Y79" s="123"/>
    </row>
    <row r="80">
      <c r="A80" s="195"/>
      <c r="B80" s="195"/>
      <c r="C80" s="195"/>
      <c r="D80" s="123"/>
      <c r="E80" s="123"/>
      <c r="F80" s="123"/>
      <c r="G80" s="123"/>
      <c r="H80" s="123"/>
      <c r="I80" s="123"/>
      <c r="J80" s="123"/>
      <c r="K80" s="123"/>
      <c r="L80" s="123"/>
      <c r="M80" s="123"/>
      <c r="N80" s="123"/>
      <c r="O80" s="123"/>
      <c r="P80" s="123"/>
      <c r="Q80" s="123"/>
      <c r="R80" s="123"/>
      <c r="S80" s="123"/>
      <c r="T80" s="123"/>
      <c r="U80" s="195"/>
      <c r="V80" s="123"/>
      <c r="W80" s="123"/>
      <c r="X80" s="123"/>
      <c r="Y80" s="123"/>
    </row>
    <row r="81">
      <c r="A81" s="195"/>
      <c r="B81" s="195"/>
      <c r="C81" s="195"/>
      <c r="D81" s="123"/>
      <c r="E81" s="123"/>
      <c r="F81" s="123"/>
      <c r="G81" s="123"/>
      <c r="H81" s="123"/>
      <c r="I81" s="123"/>
      <c r="J81" s="123"/>
      <c r="K81" s="123"/>
      <c r="L81" s="123"/>
      <c r="M81" s="123"/>
      <c r="N81" s="123"/>
      <c r="O81" s="123"/>
      <c r="P81" s="123"/>
      <c r="Q81" s="123"/>
      <c r="R81" s="123"/>
      <c r="S81" s="123"/>
      <c r="T81" s="123"/>
      <c r="U81" s="195"/>
      <c r="V81" s="123"/>
      <c r="W81" s="123"/>
      <c r="X81" s="123"/>
      <c r="Y81" s="123"/>
    </row>
    <row r="82">
      <c r="A82" s="195"/>
      <c r="B82" s="195"/>
      <c r="C82" s="195"/>
      <c r="D82" s="123"/>
      <c r="E82" s="123"/>
      <c r="F82" s="123"/>
      <c r="G82" s="123"/>
      <c r="H82" s="123"/>
      <c r="I82" s="123"/>
      <c r="J82" s="123"/>
      <c r="K82" s="123"/>
      <c r="L82" s="123"/>
      <c r="M82" s="123"/>
      <c r="N82" s="123"/>
      <c r="O82" s="123"/>
      <c r="P82" s="123"/>
      <c r="Q82" s="123"/>
      <c r="R82" s="123"/>
      <c r="S82" s="123"/>
      <c r="T82" s="123"/>
      <c r="U82" s="195"/>
      <c r="V82" s="123"/>
      <c r="W82" s="123"/>
      <c r="X82" s="123"/>
      <c r="Y82" s="123"/>
    </row>
    <row r="83">
      <c r="A83" s="195"/>
      <c r="B83" s="195"/>
      <c r="C83" s="195"/>
      <c r="D83" s="123"/>
      <c r="E83" s="123"/>
      <c r="F83" s="123"/>
      <c r="G83" s="123"/>
      <c r="H83" s="123"/>
      <c r="I83" s="123"/>
      <c r="J83" s="123"/>
      <c r="K83" s="123"/>
      <c r="L83" s="123"/>
      <c r="M83" s="123"/>
      <c r="N83" s="123"/>
      <c r="O83" s="123"/>
      <c r="P83" s="123"/>
      <c r="Q83" s="123"/>
      <c r="R83" s="123"/>
      <c r="S83" s="123"/>
      <c r="T83" s="123"/>
      <c r="U83" s="195"/>
      <c r="V83" s="123"/>
      <c r="W83" s="123"/>
      <c r="X83" s="123"/>
      <c r="Y83" s="123"/>
    </row>
    <row r="84">
      <c r="A84" s="195"/>
      <c r="B84" s="195"/>
      <c r="C84" s="195"/>
      <c r="D84" s="123"/>
      <c r="E84" s="123"/>
      <c r="F84" s="123"/>
      <c r="G84" s="123"/>
      <c r="H84" s="123"/>
      <c r="I84" s="123"/>
      <c r="J84" s="123"/>
      <c r="K84" s="123"/>
      <c r="L84" s="123"/>
      <c r="M84" s="123"/>
      <c r="N84" s="123"/>
      <c r="O84" s="123"/>
      <c r="P84" s="123"/>
      <c r="Q84" s="123"/>
      <c r="R84" s="123"/>
      <c r="S84" s="123"/>
      <c r="T84" s="123"/>
      <c r="U84" s="195"/>
      <c r="V84" s="123"/>
      <c r="W84" s="123"/>
      <c r="X84" s="123"/>
      <c r="Y84" s="123"/>
    </row>
    <row r="85">
      <c r="A85" s="195"/>
      <c r="B85" s="195"/>
      <c r="C85" s="195"/>
      <c r="D85" s="123"/>
      <c r="E85" s="123"/>
      <c r="F85" s="123"/>
      <c r="G85" s="123"/>
      <c r="H85" s="123"/>
      <c r="I85" s="123"/>
      <c r="J85" s="123"/>
      <c r="K85" s="123"/>
      <c r="L85" s="123"/>
      <c r="M85" s="123"/>
      <c r="N85" s="123"/>
      <c r="O85" s="123"/>
      <c r="P85" s="123"/>
      <c r="Q85" s="123"/>
      <c r="R85" s="123"/>
      <c r="S85" s="123"/>
      <c r="T85" s="123"/>
      <c r="U85" s="195"/>
      <c r="V85" s="123"/>
      <c r="W85" s="123"/>
      <c r="X85" s="123"/>
      <c r="Y85" s="123"/>
    </row>
    <row r="86">
      <c r="A86" s="195"/>
      <c r="B86" s="195"/>
      <c r="C86" s="195"/>
      <c r="D86" s="123"/>
      <c r="E86" s="123"/>
      <c r="F86" s="123"/>
      <c r="G86" s="123"/>
      <c r="H86" s="123"/>
      <c r="I86" s="123"/>
      <c r="J86" s="123"/>
      <c r="K86" s="123"/>
      <c r="L86" s="123"/>
      <c r="M86" s="123"/>
      <c r="N86" s="123"/>
      <c r="O86" s="123"/>
      <c r="P86" s="123"/>
      <c r="Q86" s="123"/>
      <c r="R86" s="123"/>
      <c r="S86" s="123"/>
      <c r="T86" s="123"/>
      <c r="U86" s="195"/>
      <c r="V86" s="123"/>
      <c r="W86" s="123"/>
      <c r="X86" s="123"/>
      <c r="Y86" s="123"/>
    </row>
    <row r="87">
      <c r="A87" s="195"/>
      <c r="B87" s="195"/>
      <c r="C87" s="195"/>
      <c r="D87" s="123"/>
      <c r="E87" s="123"/>
      <c r="F87" s="123"/>
      <c r="G87" s="123"/>
      <c r="H87" s="123"/>
      <c r="I87" s="123"/>
      <c r="J87" s="123"/>
      <c r="K87" s="123"/>
      <c r="L87" s="123"/>
      <c r="M87" s="123"/>
      <c r="N87" s="123"/>
      <c r="O87" s="123"/>
      <c r="P87" s="123"/>
      <c r="Q87" s="123"/>
      <c r="R87" s="123"/>
      <c r="S87" s="123"/>
      <c r="T87" s="123"/>
      <c r="U87" s="195"/>
      <c r="V87" s="123"/>
      <c r="W87" s="123"/>
      <c r="X87" s="123"/>
      <c r="Y87" s="123"/>
    </row>
    <row r="88">
      <c r="A88" s="195"/>
      <c r="B88" s="195"/>
      <c r="C88" s="195"/>
      <c r="D88" s="123"/>
      <c r="E88" s="123"/>
      <c r="F88" s="123"/>
      <c r="G88" s="123"/>
      <c r="H88" s="123"/>
      <c r="I88" s="123"/>
      <c r="J88" s="123"/>
      <c r="K88" s="123"/>
      <c r="L88" s="123"/>
      <c r="M88" s="123"/>
      <c r="N88" s="123"/>
      <c r="O88" s="123"/>
      <c r="P88" s="123"/>
      <c r="Q88" s="123"/>
      <c r="R88" s="123"/>
      <c r="S88" s="123"/>
      <c r="T88" s="123"/>
      <c r="U88" s="195"/>
      <c r="V88" s="123"/>
      <c r="W88" s="123"/>
      <c r="X88" s="123"/>
      <c r="Y88" s="123"/>
    </row>
    <row r="89">
      <c r="A89" s="195"/>
      <c r="B89" s="195"/>
      <c r="C89" s="195"/>
      <c r="D89" s="123"/>
      <c r="E89" s="123"/>
      <c r="F89" s="123"/>
      <c r="G89" s="123"/>
      <c r="H89" s="123"/>
      <c r="I89" s="123"/>
      <c r="J89" s="123"/>
      <c r="K89" s="123"/>
      <c r="L89" s="123"/>
      <c r="M89" s="123"/>
      <c r="N89" s="123"/>
      <c r="O89" s="123"/>
      <c r="P89" s="123"/>
      <c r="Q89" s="123"/>
      <c r="R89" s="123"/>
      <c r="S89" s="123"/>
      <c r="T89" s="123"/>
      <c r="U89" s="195"/>
      <c r="V89" s="123"/>
      <c r="W89" s="123"/>
      <c r="X89" s="123"/>
      <c r="Y89" s="123"/>
    </row>
    <row r="90">
      <c r="A90" s="195"/>
      <c r="B90" s="195"/>
      <c r="C90" s="195"/>
      <c r="D90" s="123"/>
      <c r="E90" s="123"/>
      <c r="F90" s="123"/>
      <c r="G90" s="123"/>
      <c r="H90" s="123"/>
      <c r="I90" s="123"/>
      <c r="J90" s="123"/>
      <c r="K90" s="123"/>
      <c r="L90" s="123"/>
      <c r="M90" s="123"/>
      <c r="N90" s="123"/>
      <c r="O90" s="123"/>
      <c r="P90" s="123"/>
      <c r="Q90" s="123"/>
      <c r="R90" s="123"/>
      <c r="S90" s="123"/>
      <c r="T90" s="123"/>
      <c r="U90" s="195"/>
      <c r="V90" s="123"/>
      <c r="W90" s="123"/>
      <c r="X90" s="123"/>
      <c r="Y90" s="123"/>
    </row>
    <row r="91">
      <c r="A91" s="195"/>
      <c r="B91" s="195"/>
      <c r="C91" s="195"/>
      <c r="D91" s="123"/>
      <c r="E91" s="123"/>
      <c r="F91" s="123"/>
      <c r="G91" s="123"/>
      <c r="H91" s="123"/>
      <c r="I91" s="123"/>
      <c r="J91" s="123"/>
      <c r="K91" s="123"/>
      <c r="L91" s="123"/>
      <c r="M91" s="123"/>
      <c r="N91" s="123"/>
      <c r="O91" s="123"/>
      <c r="P91" s="123"/>
      <c r="Q91" s="123"/>
      <c r="R91" s="123"/>
      <c r="S91" s="123"/>
      <c r="T91" s="123"/>
      <c r="U91" s="195"/>
      <c r="V91" s="123"/>
      <c r="W91" s="123"/>
      <c r="X91" s="123"/>
      <c r="Y91" s="123"/>
    </row>
    <row r="92">
      <c r="A92" s="195"/>
      <c r="B92" s="195"/>
      <c r="C92" s="195"/>
      <c r="D92" s="123"/>
      <c r="E92" s="123"/>
      <c r="F92" s="123"/>
      <c r="G92" s="123"/>
      <c r="H92" s="123"/>
      <c r="I92" s="123"/>
      <c r="J92" s="123"/>
      <c r="K92" s="123"/>
      <c r="L92" s="123"/>
      <c r="M92" s="123"/>
      <c r="N92" s="123"/>
      <c r="O92" s="123"/>
      <c r="P92" s="123"/>
      <c r="Q92" s="123"/>
      <c r="R92" s="123"/>
      <c r="S92" s="123"/>
      <c r="T92" s="123"/>
      <c r="U92" s="195"/>
      <c r="V92" s="123"/>
      <c r="W92" s="123"/>
      <c r="X92" s="123"/>
      <c r="Y92" s="123"/>
    </row>
    <row r="93">
      <c r="A93" s="195"/>
      <c r="B93" s="195"/>
      <c r="C93" s="195"/>
      <c r="D93" s="123"/>
      <c r="E93" s="123"/>
      <c r="F93" s="123"/>
      <c r="G93" s="123"/>
      <c r="H93" s="123"/>
      <c r="I93" s="123"/>
      <c r="J93" s="123"/>
      <c r="K93" s="123"/>
      <c r="L93" s="123"/>
      <c r="M93" s="123"/>
      <c r="N93" s="123"/>
      <c r="O93" s="123"/>
      <c r="P93" s="123"/>
      <c r="Q93" s="123"/>
      <c r="R93" s="123"/>
      <c r="S93" s="123"/>
      <c r="T93" s="123"/>
      <c r="U93" s="195"/>
      <c r="V93" s="123"/>
      <c r="W93" s="123"/>
      <c r="X93" s="123"/>
      <c r="Y93" s="123"/>
    </row>
    <row r="94">
      <c r="A94" s="195"/>
      <c r="B94" s="195"/>
      <c r="C94" s="195"/>
      <c r="D94" s="123"/>
      <c r="E94" s="123"/>
      <c r="F94" s="123"/>
      <c r="G94" s="123"/>
      <c r="H94" s="123"/>
      <c r="I94" s="123"/>
      <c r="J94" s="123"/>
      <c r="K94" s="123"/>
      <c r="L94" s="123"/>
      <c r="M94" s="123"/>
      <c r="N94" s="123"/>
      <c r="O94" s="123"/>
      <c r="P94" s="123"/>
      <c r="Q94" s="123"/>
      <c r="R94" s="123"/>
      <c r="S94" s="123"/>
      <c r="T94" s="123"/>
      <c r="U94" s="195"/>
      <c r="V94" s="123"/>
      <c r="W94" s="123"/>
      <c r="X94" s="123"/>
      <c r="Y94" s="123"/>
    </row>
    <row r="95">
      <c r="A95" s="195"/>
      <c r="B95" s="195"/>
      <c r="C95" s="195"/>
      <c r="D95" s="123"/>
      <c r="E95" s="123"/>
      <c r="F95" s="123"/>
      <c r="G95" s="123"/>
      <c r="H95" s="123"/>
      <c r="I95" s="123"/>
      <c r="J95" s="123"/>
      <c r="K95" s="123"/>
      <c r="L95" s="123"/>
      <c r="M95" s="123"/>
      <c r="N95" s="123"/>
      <c r="O95" s="123"/>
      <c r="P95" s="123"/>
      <c r="Q95" s="123"/>
      <c r="R95" s="123"/>
      <c r="S95" s="123"/>
      <c r="T95" s="123"/>
      <c r="U95" s="195"/>
      <c r="V95" s="123"/>
      <c r="W95" s="123"/>
      <c r="X95" s="123"/>
      <c r="Y95" s="123"/>
    </row>
    <row r="96">
      <c r="A96" s="195"/>
      <c r="B96" s="195"/>
      <c r="C96" s="195"/>
      <c r="D96" s="123"/>
      <c r="E96" s="123"/>
      <c r="F96" s="123"/>
      <c r="G96" s="123"/>
      <c r="H96" s="123"/>
      <c r="I96" s="123"/>
      <c r="J96" s="123"/>
      <c r="K96" s="123"/>
      <c r="L96" s="123"/>
      <c r="M96" s="123"/>
      <c r="N96" s="123"/>
      <c r="O96" s="123"/>
      <c r="P96" s="123"/>
      <c r="Q96" s="123"/>
      <c r="R96" s="123"/>
      <c r="S96" s="123"/>
      <c r="T96" s="123"/>
      <c r="U96" s="195"/>
      <c r="V96" s="123"/>
      <c r="W96" s="123"/>
      <c r="X96" s="123"/>
      <c r="Y96" s="123"/>
    </row>
    <row r="97">
      <c r="A97" s="195"/>
      <c r="B97" s="195"/>
      <c r="C97" s="195"/>
      <c r="D97" s="123"/>
      <c r="E97" s="123"/>
      <c r="F97" s="123"/>
      <c r="G97" s="123"/>
      <c r="H97" s="123"/>
      <c r="I97" s="123"/>
      <c r="J97" s="123"/>
      <c r="K97" s="123"/>
      <c r="L97" s="123"/>
      <c r="M97" s="123"/>
      <c r="N97" s="123"/>
      <c r="O97" s="123"/>
      <c r="P97" s="123"/>
      <c r="Q97" s="123"/>
      <c r="R97" s="123"/>
      <c r="S97" s="123"/>
      <c r="T97" s="123"/>
      <c r="U97" s="195"/>
      <c r="V97" s="123"/>
      <c r="W97" s="123"/>
      <c r="X97" s="123"/>
      <c r="Y97" s="123"/>
    </row>
    <row r="98">
      <c r="A98" s="195"/>
      <c r="B98" s="195"/>
      <c r="C98" s="195"/>
      <c r="D98" s="123"/>
      <c r="E98" s="123"/>
      <c r="F98" s="123"/>
      <c r="G98" s="123"/>
      <c r="H98" s="123"/>
      <c r="I98" s="123"/>
      <c r="J98" s="123"/>
      <c r="K98" s="123"/>
      <c r="L98" s="123"/>
      <c r="M98" s="123"/>
      <c r="N98" s="123"/>
      <c r="O98" s="123"/>
      <c r="P98" s="123"/>
      <c r="Q98" s="123"/>
      <c r="R98" s="123"/>
      <c r="S98" s="123"/>
      <c r="T98" s="123"/>
      <c r="U98" s="195"/>
      <c r="V98" s="123"/>
      <c r="W98" s="123"/>
      <c r="X98" s="123"/>
      <c r="Y98" s="123"/>
    </row>
    <row r="99">
      <c r="A99" s="195"/>
      <c r="B99" s="195"/>
      <c r="C99" s="195"/>
      <c r="D99" s="123"/>
      <c r="E99" s="123"/>
      <c r="F99" s="123"/>
      <c r="G99" s="123"/>
      <c r="H99" s="123"/>
      <c r="I99" s="123"/>
      <c r="J99" s="123"/>
      <c r="K99" s="123"/>
      <c r="L99" s="123"/>
      <c r="M99" s="123"/>
      <c r="N99" s="123"/>
      <c r="O99" s="123"/>
      <c r="P99" s="123"/>
      <c r="Q99" s="123"/>
      <c r="R99" s="123"/>
      <c r="S99" s="123"/>
      <c r="T99" s="123"/>
      <c r="U99" s="195"/>
      <c r="V99" s="123"/>
      <c r="W99" s="123"/>
      <c r="X99" s="123"/>
      <c r="Y99" s="123"/>
    </row>
    <row r="100">
      <c r="A100" s="195"/>
      <c r="B100" s="195"/>
      <c r="C100" s="195"/>
      <c r="D100" s="123"/>
      <c r="E100" s="123"/>
      <c r="F100" s="123"/>
      <c r="G100" s="123"/>
      <c r="H100" s="123"/>
      <c r="I100" s="123"/>
      <c r="J100" s="123"/>
      <c r="K100" s="123"/>
      <c r="L100" s="123"/>
      <c r="M100" s="123"/>
      <c r="N100" s="123"/>
      <c r="O100" s="123"/>
      <c r="P100" s="123"/>
      <c r="Q100" s="123"/>
      <c r="R100" s="123"/>
      <c r="S100" s="123"/>
      <c r="T100" s="123"/>
      <c r="U100" s="195"/>
      <c r="V100" s="123"/>
      <c r="W100" s="123"/>
      <c r="X100" s="123"/>
      <c r="Y100" s="123"/>
    </row>
    <row r="101">
      <c r="A101" s="195"/>
      <c r="B101" s="195"/>
      <c r="C101" s="195"/>
      <c r="D101" s="123"/>
      <c r="E101" s="123"/>
      <c r="F101" s="123"/>
      <c r="G101" s="123"/>
      <c r="H101" s="123"/>
      <c r="I101" s="123"/>
      <c r="J101" s="123"/>
      <c r="K101" s="123"/>
      <c r="L101" s="123"/>
      <c r="M101" s="123"/>
      <c r="N101" s="123"/>
      <c r="O101" s="123"/>
      <c r="P101" s="123"/>
      <c r="Q101" s="123"/>
      <c r="R101" s="123"/>
      <c r="S101" s="123"/>
      <c r="T101" s="123"/>
      <c r="U101" s="195"/>
      <c r="V101" s="123"/>
      <c r="W101" s="123"/>
      <c r="X101" s="123"/>
      <c r="Y101" s="123"/>
    </row>
    <row r="102">
      <c r="A102" s="195"/>
      <c r="B102" s="195"/>
      <c r="C102" s="195"/>
      <c r="D102" s="123"/>
      <c r="E102" s="123"/>
      <c r="F102" s="123"/>
      <c r="G102" s="123"/>
      <c r="H102" s="123"/>
      <c r="I102" s="123"/>
      <c r="J102" s="123"/>
      <c r="K102" s="123"/>
      <c r="L102" s="123"/>
      <c r="M102" s="123"/>
      <c r="N102" s="123"/>
      <c r="O102" s="123"/>
      <c r="P102" s="123"/>
      <c r="Q102" s="123"/>
      <c r="R102" s="123"/>
      <c r="S102" s="123"/>
      <c r="T102" s="123"/>
      <c r="U102" s="195"/>
      <c r="V102" s="123"/>
      <c r="W102" s="123"/>
      <c r="X102" s="123"/>
      <c r="Y102" s="123"/>
    </row>
    <row r="103">
      <c r="A103" s="195"/>
      <c r="B103" s="195"/>
      <c r="C103" s="195"/>
      <c r="D103" s="123"/>
      <c r="E103" s="123"/>
      <c r="F103" s="123"/>
      <c r="G103" s="123"/>
      <c r="H103" s="123"/>
      <c r="I103" s="123"/>
      <c r="J103" s="123"/>
      <c r="K103" s="123"/>
      <c r="L103" s="123"/>
      <c r="M103" s="123"/>
      <c r="N103" s="123"/>
      <c r="O103" s="123"/>
      <c r="P103" s="123"/>
      <c r="Q103" s="123"/>
      <c r="R103" s="123"/>
      <c r="S103" s="123"/>
      <c r="T103" s="123"/>
      <c r="U103" s="195"/>
      <c r="V103" s="123"/>
      <c r="W103" s="123"/>
      <c r="X103" s="123"/>
      <c r="Y103" s="123"/>
    </row>
    <row r="104">
      <c r="A104" s="195"/>
      <c r="B104" s="195"/>
      <c r="C104" s="195"/>
      <c r="D104" s="123"/>
      <c r="E104" s="123"/>
      <c r="F104" s="123"/>
      <c r="G104" s="123"/>
      <c r="H104" s="123"/>
      <c r="I104" s="123"/>
      <c r="J104" s="123"/>
      <c r="K104" s="123"/>
      <c r="L104" s="123"/>
      <c r="M104" s="123"/>
      <c r="N104" s="123"/>
      <c r="O104" s="123"/>
      <c r="P104" s="123"/>
      <c r="Q104" s="123"/>
      <c r="R104" s="123"/>
      <c r="S104" s="123"/>
      <c r="T104" s="123"/>
      <c r="U104" s="195"/>
      <c r="V104" s="123"/>
      <c r="W104" s="123"/>
      <c r="X104" s="123"/>
      <c r="Y104" s="123"/>
    </row>
    <row r="105">
      <c r="A105" s="195"/>
      <c r="B105" s="195"/>
      <c r="C105" s="195"/>
      <c r="D105" s="123"/>
      <c r="E105" s="123"/>
      <c r="F105" s="123"/>
      <c r="G105" s="123"/>
      <c r="H105" s="123"/>
      <c r="I105" s="123"/>
      <c r="J105" s="123"/>
      <c r="K105" s="123"/>
      <c r="L105" s="123"/>
      <c r="M105" s="123"/>
      <c r="N105" s="123"/>
      <c r="O105" s="123"/>
      <c r="P105" s="123"/>
      <c r="Q105" s="123"/>
      <c r="R105" s="123"/>
      <c r="S105" s="123"/>
      <c r="T105" s="123"/>
      <c r="U105" s="195"/>
      <c r="V105" s="123"/>
      <c r="W105" s="123"/>
      <c r="X105" s="123"/>
      <c r="Y105" s="123"/>
    </row>
    <row r="106">
      <c r="A106" s="195"/>
      <c r="B106" s="195"/>
      <c r="C106" s="195"/>
      <c r="D106" s="123"/>
      <c r="E106" s="123"/>
      <c r="F106" s="123"/>
      <c r="G106" s="123"/>
      <c r="H106" s="123"/>
      <c r="I106" s="123"/>
      <c r="J106" s="123"/>
      <c r="K106" s="123"/>
      <c r="L106" s="123"/>
      <c r="M106" s="123"/>
      <c r="N106" s="123"/>
      <c r="O106" s="123"/>
      <c r="P106" s="123"/>
      <c r="Q106" s="123"/>
      <c r="R106" s="123"/>
      <c r="S106" s="123"/>
      <c r="T106" s="123"/>
      <c r="U106" s="195"/>
      <c r="V106" s="123"/>
      <c r="W106" s="123"/>
      <c r="X106" s="123"/>
      <c r="Y106" s="123"/>
    </row>
    <row r="107">
      <c r="A107" s="195"/>
      <c r="B107" s="195"/>
      <c r="C107" s="195"/>
      <c r="D107" s="123"/>
      <c r="E107" s="123"/>
      <c r="F107" s="123"/>
      <c r="G107" s="123"/>
      <c r="H107" s="123"/>
      <c r="I107" s="123"/>
      <c r="J107" s="123"/>
      <c r="K107" s="123"/>
      <c r="L107" s="123"/>
      <c r="M107" s="123"/>
      <c r="N107" s="123"/>
      <c r="O107" s="123"/>
      <c r="P107" s="123"/>
      <c r="Q107" s="123"/>
      <c r="R107" s="123"/>
      <c r="S107" s="123"/>
      <c r="T107" s="123"/>
      <c r="U107" s="195"/>
      <c r="V107" s="123"/>
      <c r="W107" s="123"/>
      <c r="X107" s="123"/>
      <c r="Y107" s="123"/>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38" t="s">
        <v>5296</v>
      </c>
      <c r="B1" s="195" t="s">
        <v>57</v>
      </c>
      <c r="C1" s="195" t="s">
        <v>58</v>
      </c>
      <c r="D1" s="195" t="s">
        <v>59</v>
      </c>
      <c r="E1" s="195" t="s">
        <v>60</v>
      </c>
      <c r="F1" s="195" t="s">
        <v>61</v>
      </c>
      <c r="G1" s="195" t="s">
        <v>62</v>
      </c>
      <c r="H1" s="195" t="s">
        <v>3220</v>
      </c>
      <c r="I1" s="195" t="s">
        <v>3221</v>
      </c>
      <c r="J1" s="195" t="s">
        <v>3222</v>
      </c>
      <c r="K1" s="195" t="s">
        <v>3223</v>
      </c>
      <c r="L1" s="195" t="s">
        <v>3662</v>
      </c>
      <c r="M1" s="195" t="s">
        <v>3225</v>
      </c>
      <c r="N1" s="195" t="s">
        <v>3226</v>
      </c>
      <c r="O1" s="195" t="s">
        <v>3227</v>
      </c>
      <c r="P1" s="195" t="s">
        <v>3228</v>
      </c>
      <c r="Q1" s="195" t="s">
        <v>3229</v>
      </c>
      <c r="R1" s="195" t="s">
        <v>944</v>
      </c>
      <c r="S1" s="195" t="s">
        <v>3232</v>
      </c>
      <c r="T1" s="195" t="s">
        <v>950</v>
      </c>
      <c r="U1" s="195" t="s">
        <v>951</v>
      </c>
      <c r="V1" s="195" t="s">
        <v>952</v>
      </c>
      <c r="W1" s="195" t="s">
        <v>3663</v>
      </c>
      <c r="X1" s="195" t="s">
        <v>953</v>
      </c>
      <c r="Y1" s="195" t="s">
        <v>3664</v>
      </c>
    </row>
    <row r="2" ht="13.5" customHeight="1">
      <c r="A2" s="138" t="s">
        <v>261</v>
      </c>
      <c r="B2" s="195" t="s">
        <v>2103</v>
      </c>
      <c r="C2" s="195" t="s">
        <v>2104</v>
      </c>
      <c r="D2" s="72" t="s">
        <v>5297</v>
      </c>
      <c r="E2" s="124" t="s">
        <v>5298</v>
      </c>
      <c r="F2" s="72" t="s">
        <v>5299</v>
      </c>
      <c r="G2" s="124" t="s">
        <v>5300</v>
      </c>
      <c r="H2" s="72" t="s">
        <v>49</v>
      </c>
      <c r="I2" s="124" t="s">
        <v>5301</v>
      </c>
      <c r="J2" s="124" t="s">
        <v>5302</v>
      </c>
      <c r="K2" s="27" t="s">
        <v>5303</v>
      </c>
      <c r="L2" s="27" t="s">
        <v>5304</v>
      </c>
      <c r="M2" s="27" t="s">
        <v>2106</v>
      </c>
      <c r="N2" s="124" t="s">
        <v>5305</v>
      </c>
      <c r="O2" s="72" t="s">
        <v>1211</v>
      </c>
      <c r="P2" s="72" t="s">
        <v>5306</v>
      </c>
      <c r="Q2" s="72" t="s">
        <v>4355</v>
      </c>
      <c r="R2" s="72" t="s">
        <v>1458</v>
      </c>
      <c r="S2" s="27" t="s">
        <v>5307</v>
      </c>
      <c r="T2" s="72" t="s">
        <v>2110</v>
      </c>
      <c r="U2" s="195" t="s">
        <v>2573</v>
      </c>
      <c r="V2" s="72" t="s">
        <v>1003</v>
      </c>
      <c r="W2" s="27" t="s">
        <v>5308</v>
      </c>
      <c r="X2" s="124" t="s">
        <v>5309</v>
      </c>
      <c r="Y2" s="27" t="s">
        <v>5310</v>
      </c>
    </row>
    <row r="3" ht="12.0" customHeight="1">
      <c r="A3" s="138" t="s">
        <v>261</v>
      </c>
      <c r="B3" s="195" t="s">
        <v>2115</v>
      </c>
      <c r="C3" s="195" t="s">
        <v>2116</v>
      </c>
      <c r="D3" s="72" t="s">
        <v>5311</v>
      </c>
      <c r="E3" s="27" t="s">
        <v>5312</v>
      </c>
      <c r="F3" s="124" t="s">
        <v>5313</v>
      </c>
      <c r="G3" s="124" t="s">
        <v>5314</v>
      </c>
      <c r="H3" s="72" t="s">
        <v>49</v>
      </c>
      <c r="I3" s="27" t="s">
        <v>5315</v>
      </c>
      <c r="J3" s="124" t="s">
        <v>5316</v>
      </c>
      <c r="K3" s="27" t="s">
        <v>5317</v>
      </c>
      <c r="L3" s="27" t="s">
        <v>5318</v>
      </c>
      <c r="M3" s="124" t="s">
        <v>2118</v>
      </c>
      <c r="N3" s="124" t="s">
        <v>5319</v>
      </c>
      <c r="O3" s="72" t="s">
        <v>1211</v>
      </c>
      <c r="P3" s="72" t="s">
        <v>5306</v>
      </c>
      <c r="Q3" s="72" t="s">
        <v>4355</v>
      </c>
      <c r="R3" s="72" t="s">
        <v>1458</v>
      </c>
      <c r="S3" s="27" t="s">
        <v>5320</v>
      </c>
      <c r="T3" s="72" t="s">
        <v>1002</v>
      </c>
      <c r="U3" s="489">
        <v>2025.0</v>
      </c>
      <c r="V3" s="124" t="s">
        <v>5321</v>
      </c>
      <c r="W3" s="124" t="s">
        <v>5322</v>
      </c>
      <c r="X3" s="27" t="s">
        <v>5323</v>
      </c>
      <c r="Y3" s="27" t="s">
        <v>5324</v>
      </c>
    </row>
    <row r="4">
      <c r="A4" s="138" t="s">
        <v>261</v>
      </c>
      <c r="B4" s="195" t="s">
        <v>5325</v>
      </c>
      <c r="C4" s="490" t="s">
        <v>3007</v>
      </c>
      <c r="D4" s="123"/>
      <c r="E4" s="123"/>
      <c r="F4" s="123"/>
      <c r="G4" s="123"/>
      <c r="H4" s="123"/>
      <c r="I4" s="123"/>
      <c r="J4" s="123"/>
      <c r="K4" s="123"/>
      <c r="L4" s="123"/>
      <c r="M4" s="123"/>
      <c r="N4" s="123"/>
      <c r="O4" s="72" t="s">
        <v>5127</v>
      </c>
      <c r="P4" s="123"/>
      <c r="Q4" s="123"/>
      <c r="R4" s="123"/>
      <c r="S4" s="123"/>
      <c r="T4" s="123"/>
      <c r="U4" s="195" t="s">
        <v>2573</v>
      </c>
      <c r="V4" s="123"/>
      <c r="W4" s="123"/>
      <c r="X4" s="123"/>
      <c r="Y4" s="123"/>
    </row>
    <row r="5" ht="12.75" customHeight="1">
      <c r="A5" s="138" t="s">
        <v>261</v>
      </c>
      <c r="B5" s="195" t="s">
        <v>2123</v>
      </c>
      <c r="C5" s="195" t="s">
        <v>2124</v>
      </c>
      <c r="D5" s="72" t="s">
        <v>5297</v>
      </c>
      <c r="E5" s="27" t="s">
        <v>5326</v>
      </c>
      <c r="F5" s="27" t="s">
        <v>5327</v>
      </c>
      <c r="G5" s="124" t="s">
        <v>5328</v>
      </c>
      <c r="H5" s="72" t="s">
        <v>49</v>
      </c>
      <c r="I5" s="27" t="s">
        <v>5329</v>
      </c>
      <c r="J5" s="27" t="s">
        <v>5330</v>
      </c>
      <c r="K5" s="27" t="s">
        <v>5331</v>
      </c>
      <c r="L5" s="124" t="s">
        <v>5332</v>
      </c>
      <c r="M5" s="27" t="s">
        <v>2126</v>
      </c>
      <c r="N5" s="27" t="s">
        <v>5333</v>
      </c>
      <c r="O5" s="72" t="s">
        <v>1211</v>
      </c>
      <c r="P5" s="72" t="s">
        <v>2129</v>
      </c>
      <c r="Q5" s="72" t="s">
        <v>2129</v>
      </c>
      <c r="R5" s="72" t="s">
        <v>1458</v>
      </c>
      <c r="S5" s="27" t="s">
        <v>5334</v>
      </c>
      <c r="T5" s="72" t="s">
        <v>1027</v>
      </c>
      <c r="U5" s="195" t="s">
        <v>2573</v>
      </c>
      <c r="V5" s="124" t="s">
        <v>5335</v>
      </c>
      <c r="W5" s="27" t="s">
        <v>5336</v>
      </c>
      <c r="X5" s="27" t="s">
        <v>5337</v>
      </c>
      <c r="Y5" s="27" t="s">
        <v>5338</v>
      </c>
    </row>
    <row r="6" ht="15.75" customHeight="1">
      <c r="A6" s="138" t="s">
        <v>261</v>
      </c>
      <c r="B6" s="195" t="s">
        <v>2131</v>
      </c>
      <c r="C6" s="195" t="s">
        <v>2132</v>
      </c>
      <c r="D6" s="72" t="s">
        <v>5311</v>
      </c>
      <c r="E6" s="27" t="s">
        <v>5339</v>
      </c>
      <c r="F6" s="124" t="s">
        <v>5340</v>
      </c>
      <c r="G6" s="27" t="s">
        <v>5341</v>
      </c>
      <c r="H6" s="72" t="s">
        <v>49</v>
      </c>
      <c r="I6" s="124" t="s">
        <v>5342</v>
      </c>
      <c r="J6" s="124" t="s">
        <v>5343</v>
      </c>
      <c r="K6" s="27" t="s">
        <v>5344</v>
      </c>
      <c r="L6" s="27" t="s">
        <v>5345</v>
      </c>
      <c r="M6" s="124" t="s">
        <v>2134</v>
      </c>
      <c r="N6" s="124" t="s">
        <v>5346</v>
      </c>
      <c r="O6" s="72" t="s">
        <v>1211</v>
      </c>
      <c r="P6" s="72" t="s">
        <v>2129</v>
      </c>
      <c r="Q6" s="72" t="s">
        <v>2129</v>
      </c>
      <c r="R6" s="72" t="s">
        <v>1458</v>
      </c>
      <c r="S6" s="27" t="s">
        <v>5347</v>
      </c>
      <c r="T6" s="72" t="s">
        <v>5348</v>
      </c>
      <c r="U6" s="195" t="s">
        <v>2573</v>
      </c>
      <c r="V6" s="124" t="s">
        <v>5349</v>
      </c>
      <c r="W6" s="124" t="s">
        <v>5350</v>
      </c>
      <c r="X6" s="27" t="s">
        <v>5351</v>
      </c>
      <c r="Y6" s="27" t="s">
        <v>5352</v>
      </c>
    </row>
    <row r="7" ht="15.0" customHeight="1">
      <c r="A7" s="138" t="s">
        <v>261</v>
      </c>
      <c r="B7" s="195" t="s">
        <v>5353</v>
      </c>
      <c r="C7" s="490" t="s">
        <v>3159</v>
      </c>
      <c r="D7" s="72" t="s">
        <v>5297</v>
      </c>
      <c r="E7" s="124" t="s">
        <v>5354</v>
      </c>
      <c r="F7" s="27" t="s">
        <v>5355</v>
      </c>
      <c r="G7" s="124" t="s">
        <v>5356</v>
      </c>
      <c r="H7" s="72" t="s">
        <v>49</v>
      </c>
      <c r="I7" s="124" t="s">
        <v>5357</v>
      </c>
      <c r="J7" s="124" t="s">
        <v>5358</v>
      </c>
      <c r="K7" s="27" t="s">
        <v>5359</v>
      </c>
      <c r="L7" s="124" t="s">
        <v>5360</v>
      </c>
      <c r="M7" s="124" t="s">
        <v>5361</v>
      </c>
      <c r="N7" s="124" t="s">
        <v>5362</v>
      </c>
      <c r="O7" s="72" t="s">
        <v>1211</v>
      </c>
      <c r="P7" s="123"/>
      <c r="Q7" s="123"/>
      <c r="R7" s="72" t="s">
        <v>1458</v>
      </c>
      <c r="S7" s="27" t="s">
        <v>5363</v>
      </c>
      <c r="T7" s="72" t="s">
        <v>1027</v>
      </c>
      <c r="U7" s="195" t="s">
        <v>2571</v>
      </c>
      <c r="V7" s="124" t="s">
        <v>5364</v>
      </c>
      <c r="W7" s="124" t="s">
        <v>5365</v>
      </c>
      <c r="X7" s="124" t="s">
        <v>5366</v>
      </c>
      <c r="Y7" s="27" t="s">
        <v>5367</v>
      </c>
    </row>
    <row r="8" ht="15.0" customHeight="1">
      <c r="A8" s="138" t="s">
        <v>261</v>
      </c>
      <c r="B8" s="195" t="s">
        <v>2140</v>
      </c>
      <c r="C8" s="195" t="s">
        <v>2141</v>
      </c>
      <c r="D8" s="72" t="s">
        <v>5297</v>
      </c>
      <c r="E8" s="124" t="s">
        <v>5368</v>
      </c>
      <c r="F8" s="124" t="s">
        <v>5369</v>
      </c>
      <c r="G8" s="124" t="s">
        <v>5370</v>
      </c>
      <c r="H8" s="72" t="s">
        <v>49</v>
      </c>
      <c r="I8" s="124" t="s">
        <v>5371</v>
      </c>
      <c r="J8" s="124" t="s">
        <v>5372</v>
      </c>
      <c r="K8" s="27" t="s">
        <v>5373</v>
      </c>
      <c r="L8" s="27" t="s">
        <v>5374</v>
      </c>
      <c r="M8" s="124" t="s">
        <v>2143</v>
      </c>
      <c r="N8" s="124" t="s">
        <v>5375</v>
      </c>
      <c r="O8" s="72" t="s">
        <v>1211</v>
      </c>
      <c r="P8" s="123"/>
      <c r="Q8" s="123"/>
      <c r="R8" s="72" t="s">
        <v>1211</v>
      </c>
      <c r="S8" s="27" t="s">
        <v>5376</v>
      </c>
      <c r="T8" s="72" t="s">
        <v>1002</v>
      </c>
      <c r="U8" s="195" t="s">
        <v>2571</v>
      </c>
      <c r="V8" s="124" t="s">
        <v>5377</v>
      </c>
      <c r="W8" s="72" t="s">
        <v>5378</v>
      </c>
      <c r="X8" s="124" t="s">
        <v>5379</v>
      </c>
      <c r="Y8" s="124" t="s">
        <v>5380</v>
      </c>
    </row>
    <row r="9" ht="16.5" customHeight="1">
      <c r="A9" s="138" t="s">
        <v>261</v>
      </c>
      <c r="B9" s="195" t="s">
        <v>5381</v>
      </c>
      <c r="C9" s="490" t="s">
        <v>3078</v>
      </c>
      <c r="D9" s="72" t="s">
        <v>5311</v>
      </c>
      <c r="E9" s="124" t="s">
        <v>3079</v>
      </c>
      <c r="F9" s="72" t="s">
        <v>5382</v>
      </c>
      <c r="G9" s="124" t="s">
        <v>5383</v>
      </c>
      <c r="H9" s="124" t="s">
        <v>5384</v>
      </c>
      <c r="I9" s="124" t="s">
        <v>5385</v>
      </c>
      <c r="J9" s="124" t="s">
        <v>5386</v>
      </c>
      <c r="K9" s="124" t="s">
        <v>5387</v>
      </c>
      <c r="L9" s="124" t="s">
        <v>5388</v>
      </c>
      <c r="M9" s="72" t="s">
        <v>5378</v>
      </c>
      <c r="N9" s="124" t="s">
        <v>5389</v>
      </c>
      <c r="O9" s="72" t="s">
        <v>1458</v>
      </c>
      <c r="P9" s="27" t="s">
        <v>5390</v>
      </c>
      <c r="Q9" s="27" t="s">
        <v>5391</v>
      </c>
      <c r="R9" s="72" t="s">
        <v>1458</v>
      </c>
      <c r="S9" s="27" t="s">
        <v>5392</v>
      </c>
      <c r="T9" s="72" t="s">
        <v>5393</v>
      </c>
      <c r="U9" s="195" t="s">
        <v>2571</v>
      </c>
      <c r="V9" s="27" t="s">
        <v>5394</v>
      </c>
      <c r="W9" s="124" t="s">
        <v>5395</v>
      </c>
      <c r="X9" s="124" t="s">
        <v>5396</v>
      </c>
      <c r="Y9" s="27" t="s">
        <v>5397</v>
      </c>
    </row>
    <row r="10" ht="17.25" customHeight="1">
      <c r="A10" s="138" t="s">
        <v>261</v>
      </c>
      <c r="B10" s="195" t="s">
        <v>2147</v>
      </c>
      <c r="C10" s="195" t="s">
        <v>2148</v>
      </c>
      <c r="D10" s="72" t="s">
        <v>5297</v>
      </c>
      <c r="E10" s="124" t="s">
        <v>5398</v>
      </c>
      <c r="F10" s="124" t="s">
        <v>5399</v>
      </c>
      <c r="G10" s="72" t="s">
        <v>5400</v>
      </c>
      <c r="H10" s="72" t="s">
        <v>49</v>
      </c>
      <c r="I10" s="124" t="s">
        <v>5401</v>
      </c>
      <c r="J10" s="124" t="s">
        <v>5402</v>
      </c>
      <c r="K10" s="124" t="s">
        <v>5403</v>
      </c>
      <c r="L10" s="124" t="s">
        <v>5404</v>
      </c>
      <c r="M10" s="124" t="s">
        <v>2150</v>
      </c>
      <c r="N10" s="124" t="s">
        <v>5405</v>
      </c>
      <c r="O10" s="72" t="s">
        <v>1211</v>
      </c>
      <c r="P10" s="123"/>
      <c r="Q10" s="123"/>
      <c r="R10" s="72" t="s">
        <v>1211</v>
      </c>
      <c r="S10" s="27" t="s">
        <v>5406</v>
      </c>
      <c r="T10" s="72" t="s">
        <v>1027</v>
      </c>
      <c r="U10" s="195" t="s">
        <v>2571</v>
      </c>
      <c r="V10" s="27" t="s">
        <v>5407</v>
      </c>
      <c r="W10" s="72" t="s">
        <v>5408</v>
      </c>
      <c r="X10" s="27" t="s">
        <v>5409</v>
      </c>
      <c r="Y10" s="124" t="s">
        <v>5410</v>
      </c>
    </row>
    <row r="11" ht="16.5" customHeight="1">
      <c r="A11" s="138" t="s">
        <v>261</v>
      </c>
      <c r="B11" s="195" t="s">
        <v>2155</v>
      </c>
      <c r="C11" s="195" t="s">
        <v>2156</v>
      </c>
      <c r="D11" s="72" t="s">
        <v>5297</v>
      </c>
      <c r="E11" s="27" t="s">
        <v>5411</v>
      </c>
      <c r="F11" s="27" t="s">
        <v>5412</v>
      </c>
      <c r="G11" s="27" t="s">
        <v>5413</v>
      </c>
      <c r="H11" s="72" t="s">
        <v>49</v>
      </c>
      <c r="I11" s="27" t="s">
        <v>5414</v>
      </c>
      <c r="J11" s="27" t="s">
        <v>5415</v>
      </c>
      <c r="K11" s="27" t="s">
        <v>5416</v>
      </c>
      <c r="L11" s="27" t="s">
        <v>5417</v>
      </c>
      <c r="M11" s="27" t="s">
        <v>2158</v>
      </c>
      <c r="N11" s="124" t="s">
        <v>5418</v>
      </c>
      <c r="O11" s="72" t="s">
        <v>1211</v>
      </c>
      <c r="P11" s="123"/>
      <c r="Q11" s="123"/>
      <c r="R11" s="72" t="s">
        <v>1211</v>
      </c>
      <c r="S11" s="27" t="s">
        <v>5419</v>
      </c>
      <c r="T11" s="72" t="s">
        <v>5420</v>
      </c>
      <c r="U11" s="195" t="s">
        <v>2571</v>
      </c>
      <c r="V11" s="124" t="s">
        <v>5421</v>
      </c>
      <c r="W11" s="27" t="s">
        <v>5422</v>
      </c>
      <c r="X11" s="27" t="s">
        <v>5423</v>
      </c>
      <c r="Y11" s="27" t="s">
        <v>5424</v>
      </c>
    </row>
    <row r="12" ht="15.0" customHeight="1">
      <c r="A12" s="138" t="s">
        <v>261</v>
      </c>
      <c r="B12" s="195" t="s">
        <v>2163</v>
      </c>
      <c r="C12" s="195" t="s">
        <v>2164</v>
      </c>
      <c r="D12" s="72" t="s">
        <v>5297</v>
      </c>
      <c r="E12" s="27" t="s">
        <v>5425</v>
      </c>
      <c r="F12" s="72" t="s">
        <v>2167</v>
      </c>
      <c r="G12" s="72" t="s">
        <v>1675</v>
      </c>
      <c r="H12" s="72" t="s">
        <v>559</v>
      </c>
      <c r="I12" s="27" t="s">
        <v>5426</v>
      </c>
      <c r="J12" s="72" t="s">
        <v>5427</v>
      </c>
      <c r="K12" s="27" t="s">
        <v>5428</v>
      </c>
      <c r="L12" s="27" t="s">
        <v>5429</v>
      </c>
      <c r="M12" s="27" t="s">
        <v>2166</v>
      </c>
      <c r="N12" s="27" t="s">
        <v>5430</v>
      </c>
      <c r="O12" s="72" t="s">
        <v>1211</v>
      </c>
      <c r="P12" s="123"/>
      <c r="Q12" s="123"/>
      <c r="R12" s="72" t="s">
        <v>1211</v>
      </c>
      <c r="S12" s="27" t="s">
        <v>5431</v>
      </c>
      <c r="T12" s="72" t="s">
        <v>1027</v>
      </c>
      <c r="U12" s="195" t="s">
        <v>2571</v>
      </c>
      <c r="V12" s="124" t="s">
        <v>5432</v>
      </c>
      <c r="W12" s="27" t="s">
        <v>5433</v>
      </c>
      <c r="X12" s="27" t="s">
        <v>5434</v>
      </c>
      <c r="Y12" s="27" t="s">
        <v>5435</v>
      </c>
    </row>
    <row r="13" ht="15.0" customHeight="1">
      <c r="A13" s="138" t="s">
        <v>261</v>
      </c>
      <c r="B13" s="195" t="s">
        <v>5436</v>
      </c>
      <c r="C13" s="490" t="s">
        <v>3009</v>
      </c>
      <c r="D13" s="72" t="s">
        <v>5297</v>
      </c>
      <c r="E13" s="27" t="s">
        <v>5437</v>
      </c>
      <c r="F13" s="27" t="s">
        <v>5438</v>
      </c>
      <c r="G13" s="27" t="s">
        <v>5439</v>
      </c>
      <c r="H13" s="72" t="s">
        <v>49</v>
      </c>
      <c r="I13" s="27" t="s">
        <v>5440</v>
      </c>
      <c r="J13" s="27" t="s">
        <v>5441</v>
      </c>
      <c r="K13" s="27" t="s">
        <v>5442</v>
      </c>
      <c r="L13" s="27" t="s">
        <v>5443</v>
      </c>
      <c r="M13" s="27" t="s">
        <v>5444</v>
      </c>
      <c r="N13" s="27" t="s">
        <v>5445</v>
      </c>
      <c r="O13" s="72" t="s">
        <v>1211</v>
      </c>
      <c r="P13" s="123"/>
      <c r="Q13" s="123"/>
      <c r="R13" s="72" t="s">
        <v>1211</v>
      </c>
      <c r="S13" s="27" t="s">
        <v>5446</v>
      </c>
      <c r="T13" s="72" t="s">
        <v>3247</v>
      </c>
      <c r="U13" s="195" t="s">
        <v>2571</v>
      </c>
      <c r="V13" s="26" t="s">
        <v>2864</v>
      </c>
      <c r="W13" s="27" t="s">
        <v>4435</v>
      </c>
      <c r="X13" s="27" t="s">
        <v>5447</v>
      </c>
      <c r="Y13" s="27" t="s">
        <v>5448</v>
      </c>
    </row>
    <row r="14" ht="15.75" customHeight="1">
      <c r="A14" s="138" t="s">
        <v>261</v>
      </c>
      <c r="B14" s="195" t="s">
        <v>5449</v>
      </c>
      <c r="C14" s="490" t="s">
        <v>3080</v>
      </c>
      <c r="D14" s="72" t="s">
        <v>5297</v>
      </c>
      <c r="E14" s="124" t="s">
        <v>3081</v>
      </c>
      <c r="F14" s="26" t="s">
        <v>5450</v>
      </c>
      <c r="G14" s="72" t="s">
        <v>5451</v>
      </c>
      <c r="H14" s="72" t="s">
        <v>49</v>
      </c>
      <c r="I14" s="124" t="s">
        <v>5452</v>
      </c>
      <c r="J14" s="124" t="s">
        <v>5453</v>
      </c>
      <c r="K14" s="27" t="s">
        <v>5454</v>
      </c>
      <c r="L14" s="124" t="s">
        <v>5455</v>
      </c>
      <c r="M14" s="124" t="s">
        <v>5456</v>
      </c>
      <c r="N14" s="124" t="s">
        <v>5457</v>
      </c>
      <c r="O14" s="72" t="s">
        <v>1458</v>
      </c>
      <c r="P14" s="27" t="s">
        <v>5458</v>
      </c>
      <c r="Q14" s="27" t="s">
        <v>5459</v>
      </c>
      <c r="R14" s="72" t="s">
        <v>1458</v>
      </c>
      <c r="S14" s="124" t="s">
        <v>5460</v>
      </c>
      <c r="T14" s="72" t="s">
        <v>5461</v>
      </c>
      <c r="U14" s="195" t="s">
        <v>2571</v>
      </c>
      <c r="V14" s="124" t="s">
        <v>5462</v>
      </c>
      <c r="W14" s="72" t="s">
        <v>5463</v>
      </c>
      <c r="X14" s="124" t="s">
        <v>5464</v>
      </c>
      <c r="Y14" s="124" t="s">
        <v>5465</v>
      </c>
    </row>
    <row r="15" ht="17.25" customHeight="1">
      <c r="A15" s="138" t="s">
        <v>261</v>
      </c>
      <c r="B15" s="195" t="s">
        <v>5466</v>
      </c>
      <c r="C15" s="490" t="s">
        <v>3082</v>
      </c>
      <c r="D15" s="123"/>
      <c r="E15" s="123"/>
      <c r="F15" s="123"/>
      <c r="G15" s="123"/>
      <c r="H15" s="123"/>
      <c r="I15" s="123"/>
      <c r="J15" s="123"/>
      <c r="K15" s="123"/>
      <c r="L15" s="123"/>
      <c r="M15" s="123"/>
      <c r="N15" s="123"/>
      <c r="O15" s="72" t="s">
        <v>1458</v>
      </c>
      <c r="P15" s="124" t="s">
        <v>5467</v>
      </c>
      <c r="Q15" s="124" t="s">
        <v>5468</v>
      </c>
      <c r="R15" s="72" t="s">
        <v>1458</v>
      </c>
      <c r="S15" s="123"/>
      <c r="T15" s="123"/>
      <c r="U15" s="195" t="s">
        <v>2571</v>
      </c>
      <c r="V15" s="123"/>
      <c r="W15" s="123"/>
      <c r="X15" s="123"/>
      <c r="Y15" s="123"/>
    </row>
    <row r="16" ht="16.5" customHeight="1">
      <c r="A16" s="138" t="s">
        <v>261</v>
      </c>
      <c r="B16" s="195" t="s">
        <v>5469</v>
      </c>
      <c r="C16" s="490" t="s">
        <v>3083</v>
      </c>
      <c r="D16" s="72" t="s">
        <v>5311</v>
      </c>
      <c r="E16" s="124" t="s">
        <v>3084</v>
      </c>
      <c r="F16" s="27" t="s">
        <v>5470</v>
      </c>
      <c r="G16" s="27" t="s">
        <v>5471</v>
      </c>
      <c r="H16" s="72" t="s">
        <v>49</v>
      </c>
      <c r="I16" s="27" t="s">
        <v>5472</v>
      </c>
      <c r="J16" s="27" t="s">
        <v>5473</v>
      </c>
      <c r="K16" s="27" t="s">
        <v>5474</v>
      </c>
      <c r="L16" s="27" t="s">
        <v>5475</v>
      </c>
      <c r="M16" s="27" t="s">
        <v>5476</v>
      </c>
      <c r="N16" s="27" t="s">
        <v>5477</v>
      </c>
      <c r="O16" s="72" t="s">
        <v>1458</v>
      </c>
      <c r="P16" s="27" t="s">
        <v>5478</v>
      </c>
      <c r="Q16" s="72" t="s">
        <v>5479</v>
      </c>
      <c r="R16" s="72" t="s">
        <v>1458</v>
      </c>
      <c r="S16" s="27" t="s">
        <v>5480</v>
      </c>
      <c r="T16" s="72" t="s">
        <v>5481</v>
      </c>
      <c r="U16" s="195" t="s">
        <v>2571</v>
      </c>
      <c r="V16" s="72" t="s">
        <v>5482</v>
      </c>
      <c r="W16" s="27" t="s">
        <v>5483</v>
      </c>
      <c r="X16" s="124" t="s">
        <v>5484</v>
      </c>
      <c r="Y16" s="27" t="s">
        <v>5485</v>
      </c>
    </row>
    <row r="17" ht="14.25" customHeight="1">
      <c r="A17" s="138" t="s">
        <v>261</v>
      </c>
      <c r="B17" s="195" t="s">
        <v>5486</v>
      </c>
      <c r="C17" s="490" t="s">
        <v>3163</v>
      </c>
      <c r="D17" s="72" t="s">
        <v>5297</v>
      </c>
      <c r="E17" s="27" t="s">
        <v>5487</v>
      </c>
      <c r="F17" s="26" t="s">
        <v>5488</v>
      </c>
      <c r="G17" s="27" t="s">
        <v>5489</v>
      </c>
      <c r="H17" s="72" t="s">
        <v>559</v>
      </c>
      <c r="I17" s="27" t="s">
        <v>5490</v>
      </c>
      <c r="J17" s="27" t="s">
        <v>5491</v>
      </c>
      <c r="K17" s="27" t="s">
        <v>5492</v>
      </c>
      <c r="L17" s="27" t="s">
        <v>5493</v>
      </c>
      <c r="M17" s="27" t="s">
        <v>5494</v>
      </c>
      <c r="N17" s="27" t="s">
        <v>5495</v>
      </c>
      <c r="O17" s="72" t="s">
        <v>5016</v>
      </c>
      <c r="P17" s="123"/>
      <c r="Q17" s="123"/>
      <c r="R17" s="72" t="s">
        <v>5016</v>
      </c>
      <c r="S17" s="27" t="s">
        <v>5496</v>
      </c>
      <c r="T17" s="72" t="s">
        <v>1780</v>
      </c>
      <c r="U17" s="195" t="s">
        <v>2571</v>
      </c>
      <c r="V17" s="27" t="s">
        <v>5497</v>
      </c>
      <c r="W17" s="27" t="s">
        <v>5498</v>
      </c>
      <c r="X17" s="27" t="s">
        <v>5499</v>
      </c>
      <c r="Y17" s="27" t="s">
        <v>5500</v>
      </c>
    </row>
    <row r="18" ht="13.5" customHeight="1">
      <c r="A18" s="138" t="s">
        <v>261</v>
      </c>
      <c r="B18" s="195" t="s">
        <v>5501</v>
      </c>
      <c r="C18" s="490" t="s">
        <v>3085</v>
      </c>
      <c r="D18" s="72" t="s">
        <v>5311</v>
      </c>
      <c r="E18" s="27" t="s">
        <v>3086</v>
      </c>
      <c r="F18" s="27" t="s">
        <v>5502</v>
      </c>
      <c r="G18" s="26" t="s">
        <v>5503</v>
      </c>
      <c r="H18" s="72" t="s">
        <v>49</v>
      </c>
      <c r="I18" s="27" t="s">
        <v>5504</v>
      </c>
      <c r="J18" s="124" t="s">
        <v>5505</v>
      </c>
      <c r="K18" s="27" t="s">
        <v>5506</v>
      </c>
      <c r="L18" s="27" t="s">
        <v>5507</v>
      </c>
      <c r="M18" s="27" t="s">
        <v>5508</v>
      </c>
      <c r="N18" s="27" t="s">
        <v>5509</v>
      </c>
      <c r="O18" s="72" t="s">
        <v>1458</v>
      </c>
      <c r="P18" s="27" t="s">
        <v>5510</v>
      </c>
      <c r="Q18" s="27" t="s">
        <v>5511</v>
      </c>
      <c r="R18" s="72" t="s">
        <v>1458</v>
      </c>
      <c r="S18" s="27" t="s">
        <v>5512</v>
      </c>
      <c r="T18" s="72" t="s">
        <v>5513</v>
      </c>
      <c r="U18" s="195" t="s">
        <v>2571</v>
      </c>
      <c r="V18" s="27" t="s">
        <v>5514</v>
      </c>
      <c r="W18" s="27" t="s">
        <v>5515</v>
      </c>
      <c r="X18" s="27" t="s">
        <v>5516</v>
      </c>
      <c r="Y18" s="27" t="s">
        <v>5517</v>
      </c>
    </row>
    <row r="19" ht="12.75" customHeight="1">
      <c r="A19" s="138" t="s">
        <v>261</v>
      </c>
      <c r="B19" s="195" t="s">
        <v>5518</v>
      </c>
      <c r="C19" s="490" t="s">
        <v>3087</v>
      </c>
      <c r="D19" s="72" t="s">
        <v>5297</v>
      </c>
      <c r="E19" s="26" t="s">
        <v>3088</v>
      </c>
      <c r="F19" s="26" t="s">
        <v>5519</v>
      </c>
      <c r="G19" s="72" t="s">
        <v>5520</v>
      </c>
      <c r="H19" s="124" t="s">
        <v>5521</v>
      </c>
      <c r="I19" s="27" t="s">
        <v>5522</v>
      </c>
      <c r="J19" s="27" t="s">
        <v>5523</v>
      </c>
      <c r="K19" s="27" t="s">
        <v>5524</v>
      </c>
      <c r="L19" s="27" t="s">
        <v>5525</v>
      </c>
      <c r="M19" s="72" t="s">
        <v>5526</v>
      </c>
      <c r="N19" s="27" t="s">
        <v>5527</v>
      </c>
      <c r="O19" s="72" t="s">
        <v>1458</v>
      </c>
      <c r="P19" s="27" t="s">
        <v>5528</v>
      </c>
      <c r="Q19" s="27" t="s">
        <v>5529</v>
      </c>
      <c r="R19" s="72" t="s">
        <v>1458</v>
      </c>
      <c r="S19" s="27" t="s">
        <v>5530</v>
      </c>
      <c r="T19" s="72" t="s">
        <v>5531</v>
      </c>
      <c r="U19" s="195" t="s">
        <v>2571</v>
      </c>
      <c r="V19" s="124" t="s">
        <v>5532</v>
      </c>
      <c r="W19" s="27" t="s">
        <v>5533</v>
      </c>
      <c r="X19" s="27" t="s">
        <v>5534</v>
      </c>
      <c r="Y19" s="26" t="s">
        <v>5535</v>
      </c>
    </row>
    <row r="20" ht="15.75" customHeight="1">
      <c r="A20" s="138" t="s">
        <v>261</v>
      </c>
      <c r="B20" s="195" t="s">
        <v>5536</v>
      </c>
      <c r="C20" s="490" t="s">
        <v>3089</v>
      </c>
      <c r="D20" s="72" t="s">
        <v>5311</v>
      </c>
      <c r="E20" s="27" t="s">
        <v>3090</v>
      </c>
      <c r="F20" s="27" t="s">
        <v>5537</v>
      </c>
      <c r="G20" s="27" t="s">
        <v>5538</v>
      </c>
      <c r="H20" s="72" t="s">
        <v>49</v>
      </c>
      <c r="I20" s="27" t="s">
        <v>5539</v>
      </c>
      <c r="J20" s="27" t="s">
        <v>5540</v>
      </c>
      <c r="K20" s="27" t="s">
        <v>5541</v>
      </c>
      <c r="L20" s="27" t="s">
        <v>5542</v>
      </c>
      <c r="M20" s="124" t="s">
        <v>5494</v>
      </c>
      <c r="N20" s="27" t="s">
        <v>5543</v>
      </c>
      <c r="O20" s="72" t="s">
        <v>1458</v>
      </c>
      <c r="P20" s="27" t="s">
        <v>5544</v>
      </c>
      <c r="Q20" s="27" t="s">
        <v>5545</v>
      </c>
      <c r="R20" s="72" t="s">
        <v>1458</v>
      </c>
      <c r="S20" s="27" t="s">
        <v>5546</v>
      </c>
      <c r="T20" s="72" t="s">
        <v>5043</v>
      </c>
      <c r="U20" s="195" t="s">
        <v>2571</v>
      </c>
      <c r="V20" s="27" t="s">
        <v>5547</v>
      </c>
      <c r="W20" s="27" t="s">
        <v>5548</v>
      </c>
      <c r="X20" s="27" t="s">
        <v>5549</v>
      </c>
      <c r="Y20" s="27" t="s">
        <v>5550</v>
      </c>
    </row>
    <row r="21">
      <c r="A21" s="138" t="s">
        <v>261</v>
      </c>
      <c r="B21" s="195" t="s">
        <v>5551</v>
      </c>
      <c r="C21" s="490" t="s">
        <v>3010</v>
      </c>
      <c r="D21" s="123"/>
      <c r="E21" s="123"/>
      <c r="F21" s="123"/>
      <c r="G21" s="123"/>
      <c r="H21" s="123"/>
      <c r="I21" s="123"/>
      <c r="J21" s="123"/>
      <c r="K21" s="123"/>
      <c r="L21" s="123"/>
      <c r="M21" s="123"/>
      <c r="N21" s="123"/>
      <c r="O21" s="72" t="s">
        <v>5127</v>
      </c>
      <c r="P21" s="123"/>
      <c r="Q21" s="123"/>
      <c r="R21" s="72" t="s">
        <v>1211</v>
      </c>
      <c r="S21" s="123"/>
      <c r="T21" s="123"/>
      <c r="U21" s="195" t="s">
        <v>2571</v>
      </c>
      <c r="V21" s="123"/>
      <c r="W21" s="123"/>
      <c r="X21" s="123"/>
      <c r="Y21" s="123"/>
    </row>
    <row r="22" ht="15.0" customHeight="1">
      <c r="A22" s="138" t="s">
        <v>261</v>
      </c>
      <c r="B22" s="195" t="s">
        <v>2172</v>
      </c>
      <c r="C22" s="195" t="s">
        <v>2173</v>
      </c>
      <c r="D22" s="72" t="s">
        <v>5297</v>
      </c>
      <c r="E22" s="27" t="s">
        <v>5552</v>
      </c>
      <c r="F22" s="27" t="s">
        <v>5553</v>
      </c>
      <c r="G22" s="27" t="s">
        <v>5554</v>
      </c>
      <c r="H22" s="72" t="s">
        <v>559</v>
      </c>
      <c r="I22" s="27" t="s">
        <v>5555</v>
      </c>
      <c r="J22" s="27" t="s">
        <v>5556</v>
      </c>
      <c r="K22" s="27" t="s">
        <v>5557</v>
      </c>
      <c r="L22" s="27" t="s">
        <v>5558</v>
      </c>
      <c r="M22" s="124" t="s">
        <v>2175</v>
      </c>
      <c r="N22" s="27" t="s">
        <v>5559</v>
      </c>
      <c r="O22" s="72" t="s">
        <v>1211</v>
      </c>
      <c r="P22" s="123"/>
      <c r="Q22" s="123"/>
      <c r="R22" s="72" t="s">
        <v>1211</v>
      </c>
      <c r="S22" s="27" t="s">
        <v>5560</v>
      </c>
      <c r="T22" s="72" t="s">
        <v>5043</v>
      </c>
      <c r="U22" s="195" t="s">
        <v>2571</v>
      </c>
      <c r="V22" s="124" t="s">
        <v>5561</v>
      </c>
      <c r="W22" s="27" t="s">
        <v>5562</v>
      </c>
      <c r="X22" s="27" t="s">
        <v>5563</v>
      </c>
      <c r="Y22" s="27" t="s">
        <v>5564</v>
      </c>
    </row>
    <row r="23" ht="15.75" customHeight="1">
      <c r="A23" s="138" t="s">
        <v>261</v>
      </c>
      <c r="B23" s="195" t="s">
        <v>5565</v>
      </c>
      <c r="C23" s="490" t="s">
        <v>3173</v>
      </c>
      <c r="D23" s="72" t="s">
        <v>5297</v>
      </c>
      <c r="E23" s="27" t="s">
        <v>5566</v>
      </c>
      <c r="F23" s="27" t="s">
        <v>5567</v>
      </c>
      <c r="G23" s="27" t="s">
        <v>5568</v>
      </c>
      <c r="H23" s="72" t="s">
        <v>49</v>
      </c>
      <c r="I23" s="27" t="s">
        <v>5569</v>
      </c>
      <c r="J23" s="27" t="s">
        <v>5570</v>
      </c>
      <c r="K23" s="27" t="s">
        <v>5571</v>
      </c>
      <c r="L23" s="27" t="s">
        <v>5572</v>
      </c>
      <c r="M23" s="27" t="s">
        <v>5573</v>
      </c>
      <c r="N23" s="27" t="s">
        <v>5574</v>
      </c>
      <c r="O23" s="72" t="s">
        <v>1211</v>
      </c>
      <c r="P23" s="123"/>
      <c r="Q23" s="123"/>
      <c r="R23" s="72" t="s">
        <v>1211</v>
      </c>
      <c r="S23" s="27" t="s">
        <v>5575</v>
      </c>
      <c r="T23" s="72" t="s">
        <v>5043</v>
      </c>
      <c r="U23" s="195" t="s">
        <v>2571</v>
      </c>
      <c r="V23" s="27" t="s">
        <v>5576</v>
      </c>
      <c r="W23" s="27" t="s">
        <v>5577</v>
      </c>
      <c r="X23" s="27" t="s">
        <v>5578</v>
      </c>
      <c r="Y23" s="27" t="s">
        <v>5579</v>
      </c>
    </row>
    <row r="24" ht="13.5" customHeight="1">
      <c r="A24" s="138" t="s">
        <v>261</v>
      </c>
      <c r="B24" s="195" t="s">
        <v>2179</v>
      </c>
      <c r="C24" s="195" t="s">
        <v>2180</v>
      </c>
      <c r="D24" s="72" t="s">
        <v>5297</v>
      </c>
      <c r="E24" s="27" t="s">
        <v>5580</v>
      </c>
      <c r="F24" s="27" t="s">
        <v>5581</v>
      </c>
      <c r="G24" s="27" t="s">
        <v>5582</v>
      </c>
      <c r="H24" s="72" t="s">
        <v>559</v>
      </c>
      <c r="I24" s="27" t="s">
        <v>5583</v>
      </c>
      <c r="J24" s="27" t="s">
        <v>5584</v>
      </c>
      <c r="K24" s="27" t="s">
        <v>5585</v>
      </c>
      <c r="L24" s="27" t="s">
        <v>5586</v>
      </c>
      <c r="M24" s="27" t="s">
        <v>2182</v>
      </c>
      <c r="N24" s="27" t="s">
        <v>5587</v>
      </c>
      <c r="O24" s="72" t="s">
        <v>5016</v>
      </c>
      <c r="P24" s="123"/>
      <c r="Q24" s="123"/>
      <c r="R24" s="72" t="s">
        <v>5016</v>
      </c>
      <c r="S24" s="27" t="s">
        <v>5588</v>
      </c>
      <c r="T24" s="72" t="s">
        <v>1341</v>
      </c>
      <c r="U24" s="195" t="s">
        <v>2571</v>
      </c>
      <c r="V24" s="27" t="s">
        <v>5589</v>
      </c>
      <c r="W24" s="27" t="s">
        <v>5590</v>
      </c>
      <c r="X24" s="27" t="s">
        <v>5591</v>
      </c>
      <c r="Y24" s="27" t="s">
        <v>5592</v>
      </c>
    </row>
    <row r="25" ht="15.75" customHeight="1">
      <c r="A25" s="138" t="s">
        <v>261</v>
      </c>
      <c r="B25" s="195" t="s">
        <v>5593</v>
      </c>
      <c r="C25" s="490" t="s">
        <v>3012</v>
      </c>
      <c r="D25" s="72" t="s">
        <v>5297</v>
      </c>
      <c r="E25" s="27" t="s">
        <v>5594</v>
      </c>
      <c r="F25" s="27" t="s">
        <v>5595</v>
      </c>
      <c r="G25" s="27" t="s">
        <v>5596</v>
      </c>
      <c r="H25" s="72" t="s">
        <v>49</v>
      </c>
      <c r="I25" s="27" t="s">
        <v>5597</v>
      </c>
      <c r="J25" s="27" t="s">
        <v>5598</v>
      </c>
      <c r="K25" s="27" t="s">
        <v>5599</v>
      </c>
      <c r="L25" s="27" t="s">
        <v>5600</v>
      </c>
      <c r="M25" s="27" t="s">
        <v>5601</v>
      </c>
      <c r="N25" s="27" t="s">
        <v>5602</v>
      </c>
      <c r="O25" s="72" t="s">
        <v>931</v>
      </c>
      <c r="P25" s="123"/>
      <c r="Q25" s="123"/>
      <c r="R25" s="72" t="s">
        <v>1211</v>
      </c>
      <c r="S25" s="27" t="s">
        <v>5603</v>
      </c>
      <c r="T25" s="27" t="s">
        <v>5604</v>
      </c>
      <c r="U25" s="195" t="s">
        <v>2571</v>
      </c>
      <c r="V25" s="27" t="s">
        <v>5605</v>
      </c>
      <c r="W25" s="27" t="s">
        <v>5606</v>
      </c>
      <c r="X25" s="27" t="s">
        <v>5607</v>
      </c>
      <c r="Y25" s="27" t="s">
        <v>5608</v>
      </c>
    </row>
    <row r="26" ht="15.0" customHeight="1">
      <c r="A26" s="138" t="s">
        <v>261</v>
      </c>
      <c r="B26" s="195" t="s">
        <v>5609</v>
      </c>
      <c r="C26" s="490" t="s">
        <v>3167</v>
      </c>
      <c r="D26" s="72" t="s">
        <v>5297</v>
      </c>
      <c r="E26" s="27" t="s">
        <v>5610</v>
      </c>
      <c r="F26" s="27" t="s">
        <v>3171</v>
      </c>
      <c r="G26" s="27" t="s">
        <v>3170</v>
      </c>
      <c r="H26" s="72" t="s">
        <v>559</v>
      </c>
      <c r="I26" s="27" t="s">
        <v>5611</v>
      </c>
      <c r="J26" s="27" t="s">
        <v>5612</v>
      </c>
      <c r="K26" s="27" t="s">
        <v>5613</v>
      </c>
      <c r="L26" s="27" t="s">
        <v>5614</v>
      </c>
      <c r="M26" s="27" t="s">
        <v>3169</v>
      </c>
      <c r="N26" s="27" t="s">
        <v>5615</v>
      </c>
      <c r="O26" s="72" t="s">
        <v>1211</v>
      </c>
      <c r="P26" s="123"/>
      <c r="Q26" s="123"/>
      <c r="R26" s="72" t="s">
        <v>1211</v>
      </c>
      <c r="S26" s="27" t="s">
        <v>5616</v>
      </c>
      <c r="T26" s="72" t="s">
        <v>3172</v>
      </c>
      <c r="U26" s="195" t="s">
        <v>2571</v>
      </c>
      <c r="V26" s="124" t="s">
        <v>5617</v>
      </c>
      <c r="W26" s="27" t="s">
        <v>5618</v>
      </c>
      <c r="X26" s="27" t="s">
        <v>5619</v>
      </c>
      <c r="Y26" s="27" t="s">
        <v>5620</v>
      </c>
    </row>
    <row r="27" ht="15.0" customHeight="1">
      <c r="A27" s="138" t="s">
        <v>261</v>
      </c>
      <c r="B27" s="195" t="s">
        <v>5621</v>
      </c>
      <c r="C27" s="490" t="s">
        <v>3161</v>
      </c>
      <c r="D27" s="72" t="s">
        <v>5297</v>
      </c>
      <c r="E27" s="27" t="s">
        <v>5622</v>
      </c>
      <c r="F27" s="27" t="s">
        <v>5623</v>
      </c>
      <c r="G27" s="124" t="s">
        <v>5624</v>
      </c>
      <c r="H27" s="72" t="s">
        <v>559</v>
      </c>
      <c r="I27" s="27" t="s">
        <v>5625</v>
      </c>
      <c r="J27" s="27" t="s">
        <v>5626</v>
      </c>
      <c r="K27" s="27" t="s">
        <v>5627</v>
      </c>
      <c r="L27" s="27" t="s">
        <v>5628</v>
      </c>
      <c r="M27" s="27" t="s">
        <v>5629</v>
      </c>
      <c r="N27" s="27" t="s">
        <v>5630</v>
      </c>
      <c r="O27" s="72" t="s">
        <v>1211</v>
      </c>
      <c r="P27" s="123"/>
      <c r="Q27" s="123"/>
      <c r="R27" s="72" t="s">
        <v>1211</v>
      </c>
      <c r="S27" s="27" t="s">
        <v>5631</v>
      </c>
      <c r="T27" s="72" t="s">
        <v>5632</v>
      </c>
      <c r="U27" s="195" t="s">
        <v>2571</v>
      </c>
      <c r="V27" s="72" t="s">
        <v>1394</v>
      </c>
      <c r="W27" s="27" t="s">
        <v>5633</v>
      </c>
      <c r="X27" s="27" t="s">
        <v>5634</v>
      </c>
      <c r="Y27" s="27" t="s">
        <v>5635</v>
      </c>
    </row>
    <row r="28" ht="15.0" customHeight="1">
      <c r="A28" s="138" t="s">
        <v>261</v>
      </c>
      <c r="B28" s="195" t="s">
        <v>2187</v>
      </c>
      <c r="C28" s="195" t="s">
        <v>2188</v>
      </c>
      <c r="D28" s="72" t="s">
        <v>5297</v>
      </c>
      <c r="E28" s="27" t="s">
        <v>5636</v>
      </c>
      <c r="F28" s="27" t="s">
        <v>5637</v>
      </c>
      <c r="G28" s="27" t="s">
        <v>5638</v>
      </c>
      <c r="H28" s="72" t="s">
        <v>49</v>
      </c>
      <c r="I28" s="27" t="s">
        <v>5639</v>
      </c>
      <c r="J28" s="27" t="s">
        <v>5640</v>
      </c>
      <c r="K28" s="27" t="s">
        <v>5641</v>
      </c>
      <c r="L28" s="27" t="s">
        <v>5642</v>
      </c>
      <c r="M28" s="27" t="s">
        <v>2190</v>
      </c>
      <c r="N28" s="27" t="s">
        <v>5643</v>
      </c>
      <c r="O28" s="72" t="s">
        <v>1211</v>
      </c>
      <c r="P28" s="123"/>
      <c r="Q28" s="123"/>
      <c r="R28" s="72" t="s">
        <v>1211</v>
      </c>
      <c r="S28" s="27" t="s">
        <v>5644</v>
      </c>
      <c r="T28" s="72" t="s">
        <v>5531</v>
      </c>
      <c r="U28" s="195" t="s">
        <v>2571</v>
      </c>
      <c r="V28" s="27" t="s">
        <v>5645</v>
      </c>
      <c r="W28" s="27" t="s">
        <v>5646</v>
      </c>
      <c r="X28" s="27" t="s">
        <v>5647</v>
      </c>
      <c r="Y28" s="27" t="s">
        <v>5648</v>
      </c>
    </row>
    <row r="29" ht="15.0" customHeight="1">
      <c r="A29" s="138" t="s">
        <v>261</v>
      </c>
      <c r="B29" s="195" t="s">
        <v>5649</v>
      </c>
      <c r="C29" s="490" t="s">
        <v>3091</v>
      </c>
      <c r="D29" s="72" t="s">
        <v>5311</v>
      </c>
      <c r="E29" s="27" t="s">
        <v>5650</v>
      </c>
      <c r="F29" s="123"/>
      <c r="G29" s="123"/>
      <c r="H29" s="72" t="s">
        <v>559</v>
      </c>
      <c r="I29" s="27" t="s">
        <v>5651</v>
      </c>
      <c r="J29" s="27" t="s">
        <v>5652</v>
      </c>
      <c r="K29" s="27" t="s">
        <v>5653</v>
      </c>
      <c r="L29" s="27" t="s">
        <v>5654</v>
      </c>
      <c r="M29" s="123"/>
      <c r="N29" s="123"/>
      <c r="O29" s="72" t="s">
        <v>1458</v>
      </c>
      <c r="P29" s="27" t="s">
        <v>5655</v>
      </c>
      <c r="Q29" s="27" t="s">
        <v>5656</v>
      </c>
      <c r="R29" s="72" t="s">
        <v>1458</v>
      </c>
      <c r="S29" s="27" t="s">
        <v>5657</v>
      </c>
      <c r="T29" s="123"/>
      <c r="U29" s="195" t="s">
        <v>2571</v>
      </c>
      <c r="V29" s="123"/>
      <c r="W29" s="123"/>
      <c r="X29" s="123"/>
      <c r="Y29" s="123"/>
    </row>
    <row r="30" ht="15.0" customHeight="1">
      <c r="A30" s="138" t="s">
        <v>261</v>
      </c>
      <c r="B30" s="195" t="s">
        <v>2196</v>
      </c>
      <c r="C30" s="195" t="s">
        <v>2197</v>
      </c>
      <c r="D30" s="72" t="s">
        <v>5297</v>
      </c>
      <c r="E30" s="27" t="s">
        <v>5658</v>
      </c>
      <c r="F30" s="26" t="s">
        <v>5659</v>
      </c>
      <c r="G30" s="26" t="s">
        <v>2320</v>
      </c>
      <c r="H30" s="72" t="s">
        <v>49</v>
      </c>
      <c r="I30" s="27" t="s">
        <v>5660</v>
      </c>
      <c r="J30" s="27" t="s">
        <v>5661</v>
      </c>
      <c r="K30" s="27" t="s">
        <v>5662</v>
      </c>
      <c r="L30" s="27" t="s">
        <v>5663</v>
      </c>
      <c r="M30" s="27" t="s">
        <v>2199</v>
      </c>
      <c r="N30" s="27" t="s">
        <v>5664</v>
      </c>
      <c r="O30" s="72" t="s">
        <v>1211</v>
      </c>
      <c r="P30" s="123"/>
      <c r="Q30" s="123"/>
      <c r="R30" s="72" t="s">
        <v>1211</v>
      </c>
      <c r="S30" s="27" t="s">
        <v>5665</v>
      </c>
      <c r="T30" s="72" t="s">
        <v>5043</v>
      </c>
      <c r="U30" s="195" t="s">
        <v>2571</v>
      </c>
      <c r="V30" s="27" t="s">
        <v>5666</v>
      </c>
      <c r="W30" s="27" t="s">
        <v>5667</v>
      </c>
      <c r="X30" s="27" t="s">
        <v>5668</v>
      </c>
      <c r="Y30" s="27" t="s">
        <v>5669</v>
      </c>
    </row>
    <row r="31" ht="17.25" customHeight="1">
      <c r="A31" s="138" t="s">
        <v>261</v>
      </c>
      <c r="B31" s="195" t="s">
        <v>2205</v>
      </c>
      <c r="C31" s="195" t="s">
        <v>2206</v>
      </c>
      <c r="D31" s="72" t="s">
        <v>5297</v>
      </c>
      <c r="E31" s="27" t="s">
        <v>5670</v>
      </c>
      <c r="F31" s="26" t="s">
        <v>5671</v>
      </c>
      <c r="G31" s="26" t="s">
        <v>5672</v>
      </c>
      <c r="H31" s="72" t="s">
        <v>49</v>
      </c>
      <c r="I31" s="27" t="s">
        <v>5673</v>
      </c>
      <c r="J31" s="26" t="s">
        <v>5674</v>
      </c>
      <c r="K31" s="27" t="s">
        <v>5675</v>
      </c>
      <c r="L31" s="27" t="s">
        <v>5676</v>
      </c>
      <c r="M31" s="27" t="s">
        <v>2208</v>
      </c>
      <c r="N31" s="27" t="s">
        <v>5677</v>
      </c>
      <c r="O31" s="72" t="s">
        <v>5016</v>
      </c>
      <c r="P31" s="123"/>
      <c r="Q31" s="123"/>
      <c r="R31" s="72" t="s">
        <v>1211</v>
      </c>
      <c r="S31" s="27" t="s">
        <v>5678</v>
      </c>
      <c r="T31" s="72" t="s">
        <v>1396</v>
      </c>
      <c r="U31" s="195" t="s">
        <v>2571</v>
      </c>
      <c r="V31" s="27" t="s">
        <v>5407</v>
      </c>
      <c r="W31" s="27" t="s">
        <v>5679</v>
      </c>
      <c r="X31" s="27" t="s">
        <v>5680</v>
      </c>
      <c r="Y31" s="27" t="s">
        <v>5681</v>
      </c>
    </row>
    <row r="32" ht="14.25" customHeight="1">
      <c r="A32" s="138" t="s">
        <v>261</v>
      </c>
      <c r="B32" s="195" t="s">
        <v>5682</v>
      </c>
      <c r="C32" s="490" t="s">
        <v>3014</v>
      </c>
      <c r="D32" s="72" t="s">
        <v>5311</v>
      </c>
      <c r="E32" s="27" t="s">
        <v>5683</v>
      </c>
      <c r="F32" s="27" t="s">
        <v>5684</v>
      </c>
      <c r="G32" s="27" t="s">
        <v>5685</v>
      </c>
      <c r="H32" s="72" t="s">
        <v>49</v>
      </c>
      <c r="I32" s="27" t="s">
        <v>5686</v>
      </c>
      <c r="J32" s="26" t="s">
        <v>5687</v>
      </c>
      <c r="K32" s="27" t="s">
        <v>5683</v>
      </c>
      <c r="L32" s="27" t="s">
        <v>5688</v>
      </c>
      <c r="M32" s="27" t="s">
        <v>5689</v>
      </c>
      <c r="N32" s="27" t="s">
        <v>5690</v>
      </c>
      <c r="O32" s="72" t="s">
        <v>1211</v>
      </c>
      <c r="P32" s="123"/>
      <c r="Q32" s="123"/>
      <c r="R32" s="72" t="s">
        <v>1211</v>
      </c>
      <c r="S32" s="27" t="s">
        <v>5691</v>
      </c>
      <c r="T32" s="72" t="s">
        <v>5393</v>
      </c>
      <c r="U32" s="195" t="s">
        <v>2571</v>
      </c>
      <c r="V32" s="27" t="s">
        <v>5692</v>
      </c>
      <c r="W32" s="27" t="s">
        <v>5693</v>
      </c>
      <c r="X32" s="27" t="s">
        <v>5694</v>
      </c>
      <c r="Y32" s="27" t="s">
        <v>5695</v>
      </c>
    </row>
    <row r="33">
      <c r="A33" s="138" t="s">
        <v>93</v>
      </c>
      <c r="B33" s="195" t="s">
        <v>5696</v>
      </c>
      <c r="C33" s="195" t="s">
        <v>3093</v>
      </c>
      <c r="D33" s="123"/>
      <c r="E33" s="123"/>
      <c r="F33" s="123"/>
      <c r="G33" s="123"/>
      <c r="H33" s="123"/>
      <c r="I33" s="123"/>
      <c r="J33" s="123"/>
      <c r="K33" s="123"/>
      <c r="L33" s="123"/>
      <c r="M33" s="123"/>
      <c r="N33" s="123"/>
      <c r="O33" s="123"/>
      <c r="P33" s="72" t="s">
        <v>5697</v>
      </c>
      <c r="Q33" s="123"/>
      <c r="R33" s="123"/>
      <c r="S33" s="123"/>
      <c r="T33" s="123"/>
      <c r="U33" s="195" t="s">
        <v>2571</v>
      </c>
      <c r="V33" s="123"/>
      <c r="W33" s="123"/>
      <c r="X33" s="123"/>
      <c r="Y33" s="123"/>
    </row>
    <row r="34">
      <c r="A34" s="73" t="s">
        <v>93</v>
      </c>
      <c r="B34" s="491" t="s">
        <v>1841</v>
      </c>
      <c r="C34" s="491" t="s">
        <v>1842</v>
      </c>
      <c r="D34" s="123"/>
      <c r="E34" s="123"/>
      <c r="F34" s="123"/>
      <c r="G34" s="72" t="s">
        <v>5698</v>
      </c>
      <c r="H34" s="72" t="s">
        <v>49</v>
      </c>
      <c r="I34" s="72" t="s">
        <v>2216</v>
      </c>
      <c r="J34" s="72" t="s">
        <v>5699</v>
      </c>
      <c r="K34" s="72" t="s">
        <v>5700</v>
      </c>
      <c r="L34" s="123"/>
      <c r="M34" s="72" t="s">
        <v>998</v>
      </c>
      <c r="N34" s="123"/>
      <c r="O34" s="72" t="s">
        <v>931</v>
      </c>
      <c r="P34" s="123"/>
      <c r="Q34" s="123"/>
      <c r="R34" s="72" t="s">
        <v>1211</v>
      </c>
      <c r="S34" s="72" t="s">
        <v>5701</v>
      </c>
      <c r="T34" s="72" t="s">
        <v>1027</v>
      </c>
      <c r="U34" s="195" t="s">
        <v>2571</v>
      </c>
      <c r="V34" s="72" t="s">
        <v>2864</v>
      </c>
      <c r="W34" s="72" t="s">
        <v>5702</v>
      </c>
      <c r="X34" s="72" t="s">
        <v>5434</v>
      </c>
      <c r="Y34" s="123"/>
    </row>
    <row r="35">
      <c r="A35" s="138" t="s">
        <v>93</v>
      </c>
      <c r="B35" s="491" t="s">
        <v>5703</v>
      </c>
      <c r="C35" s="491" t="s">
        <v>3094</v>
      </c>
      <c r="D35" s="123"/>
      <c r="E35" s="123"/>
      <c r="F35" s="123"/>
      <c r="G35" s="123"/>
      <c r="H35" s="123"/>
      <c r="I35" s="123"/>
      <c r="J35" s="123"/>
      <c r="K35" s="123"/>
      <c r="L35" s="123"/>
      <c r="M35" s="123"/>
      <c r="N35" s="123"/>
      <c r="O35" s="72" t="s">
        <v>963</v>
      </c>
      <c r="P35" s="72" t="s">
        <v>5704</v>
      </c>
      <c r="Q35" s="123"/>
      <c r="R35" s="123"/>
      <c r="S35" s="123"/>
      <c r="T35" s="123"/>
      <c r="U35" s="195" t="s">
        <v>2571</v>
      </c>
      <c r="V35" s="123"/>
      <c r="W35" s="123"/>
      <c r="X35" s="123"/>
      <c r="Y35" s="123"/>
    </row>
    <row r="36">
      <c r="A36" s="73" t="s">
        <v>93</v>
      </c>
      <c r="B36" s="491" t="s">
        <v>5705</v>
      </c>
      <c r="C36" s="491" t="s">
        <v>3095</v>
      </c>
      <c r="D36" s="123"/>
      <c r="E36" s="123"/>
      <c r="F36" s="123"/>
      <c r="G36" s="123"/>
      <c r="H36" s="123"/>
      <c r="I36" s="123"/>
      <c r="J36" s="123"/>
      <c r="K36" s="123"/>
      <c r="L36" s="123"/>
      <c r="M36" s="123"/>
      <c r="N36" s="123"/>
      <c r="O36" s="72" t="s">
        <v>963</v>
      </c>
      <c r="P36" s="72" t="s">
        <v>1375</v>
      </c>
      <c r="Q36" s="123"/>
      <c r="R36" s="123"/>
      <c r="S36" s="123"/>
      <c r="T36" s="72" t="s">
        <v>1027</v>
      </c>
      <c r="U36" s="195" t="s">
        <v>2571</v>
      </c>
      <c r="V36" s="123"/>
      <c r="W36" s="123"/>
      <c r="X36" s="123"/>
      <c r="Y36" s="123"/>
    </row>
    <row r="37">
      <c r="A37" s="138" t="s">
        <v>93</v>
      </c>
      <c r="B37" s="491" t="s">
        <v>5706</v>
      </c>
      <c r="C37" s="491" t="s">
        <v>3096</v>
      </c>
      <c r="D37" s="123"/>
      <c r="E37" s="123"/>
      <c r="F37" s="123"/>
      <c r="G37" s="123"/>
      <c r="H37" s="123"/>
      <c r="I37" s="123"/>
      <c r="J37" s="123"/>
      <c r="K37" s="123"/>
      <c r="L37" s="123"/>
      <c r="M37" s="123"/>
      <c r="N37" s="123"/>
      <c r="O37" s="72" t="s">
        <v>963</v>
      </c>
      <c r="P37" s="72" t="s">
        <v>1375</v>
      </c>
      <c r="Q37" s="123"/>
      <c r="R37" s="123"/>
      <c r="S37" s="123"/>
      <c r="T37" s="123"/>
      <c r="U37" s="195" t="s">
        <v>2571</v>
      </c>
      <c r="V37" s="123"/>
      <c r="W37" s="123"/>
      <c r="X37" s="123"/>
      <c r="Y37" s="123"/>
    </row>
    <row r="38">
      <c r="A38" s="73" t="s">
        <v>93</v>
      </c>
      <c r="B38" s="491" t="s">
        <v>5707</v>
      </c>
      <c r="C38" s="491" t="s">
        <v>3097</v>
      </c>
      <c r="D38" s="123"/>
      <c r="E38" s="123"/>
      <c r="F38" s="123"/>
      <c r="G38" s="123"/>
      <c r="H38" s="123"/>
      <c r="I38" s="123"/>
      <c r="J38" s="123"/>
      <c r="K38" s="123"/>
      <c r="L38" s="123"/>
      <c r="M38" s="123"/>
      <c r="N38" s="123"/>
      <c r="O38" s="72" t="s">
        <v>963</v>
      </c>
      <c r="P38" s="72" t="s">
        <v>1375</v>
      </c>
      <c r="Q38" s="123"/>
      <c r="R38" s="123"/>
      <c r="S38" s="123"/>
      <c r="T38" s="123"/>
      <c r="U38" s="195" t="s">
        <v>2571</v>
      </c>
      <c r="V38" s="123"/>
      <c r="W38" s="123"/>
      <c r="X38" s="123"/>
      <c r="Y38" s="123"/>
    </row>
    <row r="39">
      <c r="A39" s="138" t="s">
        <v>93</v>
      </c>
      <c r="B39" s="491" t="s">
        <v>5708</v>
      </c>
      <c r="C39" s="491" t="s">
        <v>3098</v>
      </c>
      <c r="D39" s="123"/>
      <c r="E39" s="123"/>
      <c r="F39" s="123"/>
      <c r="G39" s="123"/>
      <c r="H39" s="123"/>
      <c r="I39" s="123"/>
      <c r="J39" s="123"/>
      <c r="K39" s="123"/>
      <c r="L39" s="123"/>
      <c r="M39" s="123"/>
      <c r="N39" s="123"/>
      <c r="O39" s="72" t="s">
        <v>963</v>
      </c>
      <c r="P39" s="72" t="s">
        <v>1375</v>
      </c>
      <c r="Q39" s="123"/>
      <c r="R39" s="123"/>
      <c r="S39" s="72" t="s">
        <v>5709</v>
      </c>
      <c r="T39" s="123"/>
      <c r="U39" s="195" t="s">
        <v>2571</v>
      </c>
      <c r="V39" s="123"/>
      <c r="W39" s="123"/>
      <c r="X39" s="123"/>
      <c r="Y39" s="123"/>
    </row>
    <row r="40">
      <c r="A40" s="73" t="s">
        <v>93</v>
      </c>
      <c r="B40" s="491" t="s">
        <v>5710</v>
      </c>
      <c r="C40" s="491" t="s">
        <v>1408</v>
      </c>
      <c r="D40" s="123"/>
      <c r="E40" s="123"/>
      <c r="F40" s="123"/>
      <c r="G40" s="123"/>
      <c r="H40" s="123"/>
      <c r="I40" s="123"/>
      <c r="J40" s="123"/>
      <c r="K40" s="123"/>
      <c r="L40" s="123"/>
      <c r="M40" s="123"/>
      <c r="N40" s="123"/>
      <c r="O40" s="72" t="s">
        <v>963</v>
      </c>
      <c r="P40" s="72" t="s">
        <v>1375</v>
      </c>
      <c r="Q40" s="123"/>
      <c r="R40" s="123"/>
      <c r="S40" s="123"/>
      <c r="T40" s="123"/>
      <c r="U40" s="195" t="s">
        <v>2571</v>
      </c>
      <c r="V40" s="123"/>
      <c r="W40" s="123"/>
      <c r="X40" s="123"/>
      <c r="Y40" s="123"/>
    </row>
    <row r="41">
      <c r="A41" s="138" t="s">
        <v>93</v>
      </c>
      <c r="B41" s="491" t="s">
        <v>1848</v>
      </c>
      <c r="C41" s="491" t="s">
        <v>1849</v>
      </c>
      <c r="D41" s="123"/>
      <c r="E41" s="123"/>
      <c r="F41" s="72" t="s">
        <v>5711</v>
      </c>
      <c r="G41" s="72" t="s">
        <v>5712</v>
      </c>
      <c r="H41" s="72" t="s">
        <v>47</v>
      </c>
      <c r="I41" s="72" t="s">
        <v>2216</v>
      </c>
      <c r="J41" s="72" t="s">
        <v>2216</v>
      </c>
      <c r="K41" s="72" t="s">
        <v>5713</v>
      </c>
      <c r="L41" s="123"/>
      <c r="M41" s="72" t="s">
        <v>998</v>
      </c>
      <c r="N41" s="123"/>
      <c r="O41" s="72" t="s">
        <v>931</v>
      </c>
      <c r="P41" s="123"/>
      <c r="Q41" s="123"/>
      <c r="R41" s="72" t="s">
        <v>931</v>
      </c>
      <c r="S41" s="72" t="s">
        <v>5714</v>
      </c>
      <c r="T41" s="72" t="s">
        <v>1780</v>
      </c>
      <c r="U41" s="195" t="s">
        <v>2571</v>
      </c>
      <c r="V41" s="72" t="s">
        <v>5715</v>
      </c>
      <c r="W41" s="72" t="s">
        <v>5716</v>
      </c>
      <c r="X41" s="72" t="s">
        <v>5082</v>
      </c>
      <c r="Y41" s="123"/>
    </row>
    <row r="42">
      <c r="A42" s="73" t="s">
        <v>93</v>
      </c>
      <c r="B42" s="491" t="s">
        <v>5717</v>
      </c>
      <c r="C42" s="491" t="s">
        <v>3099</v>
      </c>
      <c r="D42" s="123"/>
      <c r="E42" s="123"/>
      <c r="F42" s="123"/>
      <c r="G42" s="123"/>
      <c r="H42" s="123"/>
      <c r="I42" s="123"/>
      <c r="J42" s="123"/>
      <c r="K42" s="123"/>
      <c r="L42" s="123"/>
      <c r="M42" s="123"/>
      <c r="N42" s="123"/>
      <c r="O42" s="72" t="s">
        <v>963</v>
      </c>
      <c r="P42" s="72" t="s">
        <v>1375</v>
      </c>
      <c r="Q42" s="123"/>
      <c r="R42" s="123"/>
      <c r="S42" s="123"/>
      <c r="T42" s="123"/>
      <c r="U42" s="195" t="s">
        <v>2571</v>
      </c>
      <c r="V42" s="123"/>
      <c r="W42" s="123"/>
      <c r="X42" s="123"/>
      <c r="Y42" s="123"/>
    </row>
    <row r="43">
      <c r="A43" s="138" t="s">
        <v>93</v>
      </c>
      <c r="B43" s="491" t="s">
        <v>5718</v>
      </c>
      <c r="C43" s="491" t="s">
        <v>3100</v>
      </c>
      <c r="D43" s="123"/>
      <c r="E43" s="123"/>
      <c r="F43" s="123"/>
      <c r="G43" s="123"/>
      <c r="H43" s="123"/>
      <c r="I43" s="123"/>
      <c r="J43" s="123"/>
      <c r="K43" s="123"/>
      <c r="L43" s="123"/>
      <c r="M43" s="123"/>
      <c r="N43" s="123"/>
      <c r="O43" s="72" t="s">
        <v>963</v>
      </c>
      <c r="P43" s="72" t="s">
        <v>5719</v>
      </c>
      <c r="Q43" s="123"/>
      <c r="R43" s="123"/>
      <c r="S43" s="123"/>
      <c r="T43" s="123"/>
      <c r="U43" s="195" t="s">
        <v>2571</v>
      </c>
      <c r="V43" s="123"/>
      <c r="W43" s="123"/>
      <c r="X43" s="123"/>
      <c r="Y43" s="123"/>
    </row>
    <row r="44">
      <c r="A44" s="73" t="s">
        <v>93</v>
      </c>
      <c r="B44" s="491" t="s">
        <v>5720</v>
      </c>
      <c r="C44" s="491" t="s">
        <v>3101</v>
      </c>
      <c r="D44" s="123"/>
      <c r="E44" s="123"/>
      <c r="F44" s="123"/>
      <c r="G44" s="123"/>
      <c r="H44" s="123"/>
      <c r="I44" s="123"/>
      <c r="J44" s="123"/>
      <c r="K44" s="123"/>
      <c r="L44" s="123"/>
      <c r="M44" s="123"/>
      <c r="N44" s="123"/>
      <c r="O44" s="72" t="s">
        <v>963</v>
      </c>
      <c r="P44" s="72" t="s">
        <v>1375</v>
      </c>
      <c r="Q44" s="123"/>
      <c r="R44" s="123"/>
      <c r="S44" s="123"/>
      <c r="T44" s="123"/>
      <c r="U44" s="195" t="s">
        <v>2571</v>
      </c>
      <c r="V44" s="123"/>
      <c r="W44" s="123"/>
      <c r="X44" s="123"/>
      <c r="Y44" s="123"/>
    </row>
    <row r="45">
      <c r="A45" s="138" t="s">
        <v>93</v>
      </c>
      <c r="B45" s="491" t="s">
        <v>5721</v>
      </c>
      <c r="C45" s="491" t="s">
        <v>3102</v>
      </c>
      <c r="D45" s="123"/>
      <c r="E45" s="123"/>
      <c r="F45" s="123"/>
      <c r="G45" s="123"/>
      <c r="H45" s="123"/>
      <c r="I45" s="123"/>
      <c r="J45" s="123"/>
      <c r="K45" s="123"/>
      <c r="L45" s="123"/>
      <c r="M45" s="123"/>
      <c r="N45" s="123"/>
      <c r="O45" s="72" t="s">
        <v>963</v>
      </c>
      <c r="P45" s="72" t="s">
        <v>1375</v>
      </c>
      <c r="Q45" s="123"/>
      <c r="R45" s="123"/>
      <c r="S45" s="123"/>
      <c r="T45" s="123"/>
      <c r="U45" s="195" t="s">
        <v>2571</v>
      </c>
      <c r="V45" s="123"/>
      <c r="W45" s="123"/>
      <c r="X45" s="123"/>
      <c r="Y45" s="123"/>
    </row>
    <row r="46">
      <c r="A46" s="73" t="s">
        <v>93</v>
      </c>
      <c r="B46" s="491" t="s">
        <v>5722</v>
      </c>
      <c r="C46" s="491" t="s">
        <v>3103</v>
      </c>
      <c r="D46" s="123"/>
      <c r="E46" s="123"/>
      <c r="F46" s="123"/>
      <c r="G46" s="123"/>
      <c r="H46" s="123"/>
      <c r="I46" s="123"/>
      <c r="J46" s="123"/>
      <c r="K46" s="123"/>
      <c r="L46" s="123"/>
      <c r="M46" s="123"/>
      <c r="N46" s="123"/>
      <c r="O46" s="72" t="s">
        <v>963</v>
      </c>
      <c r="P46" s="72" t="s">
        <v>4582</v>
      </c>
      <c r="Q46" s="123"/>
      <c r="R46" s="123"/>
      <c r="S46" s="123"/>
      <c r="T46" s="72" t="s">
        <v>1780</v>
      </c>
      <c r="U46" s="195" t="s">
        <v>2571</v>
      </c>
      <c r="V46" s="123"/>
      <c r="W46" s="123"/>
      <c r="X46" s="123"/>
      <c r="Y46" s="123"/>
    </row>
    <row r="47">
      <c r="A47" s="138" t="s">
        <v>93</v>
      </c>
      <c r="B47" s="491" t="s">
        <v>5723</v>
      </c>
      <c r="C47" s="491" t="s">
        <v>3104</v>
      </c>
      <c r="D47" s="123"/>
      <c r="E47" s="123"/>
      <c r="F47" s="123"/>
      <c r="G47" s="123"/>
      <c r="H47" s="123"/>
      <c r="I47" s="123"/>
      <c r="J47" s="123"/>
      <c r="K47" s="123"/>
      <c r="L47" s="123"/>
      <c r="M47" s="123"/>
      <c r="N47" s="123"/>
      <c r="O47" s="72" t="s">
        <v>963</v>
      </c>
      <c r="P47" s="72" t="s">
        <v>5724</v>
      </c>
      <c r="Q47" s="123"/>
      <c r="R47" s="123"/>
      <c r="S47" s="123"/>
      <c r="T47" s="123"/>
      <c r="U47" s="195" t="s">
        <v>2571</v>
      </c>
      <c r="V47" s="123"/>
      <c r="W47" s="123"/>
      <c r="X47" s="123"/>
      <c r="Y47" s="123"/>
    </row>
    <row r="48">
      <c r="A48" s="73" t="s">
        <v>93</v>
      </c>
      <c r="B48" s="491" t="s">
        <v>5725</v>
      </c>
      <c r="C48" s="491" t="s">
        <v>3105</v>
      </c>
      <c r="D48" s="123"/>
      <c r="E48" s="123"/>
      <c r="F48" s="123"/>
      <c r="G48" s="123"/>
      <c r="H48" s="123"/>
      <c r="I48" s="123"/>
      <c r="J48" s="123"/>
      <c r="K48" s="123"/>
      <c r="L48" s="123"/>
      <c r="M48" s="123"/>
      <c r="N48" s="123"/>
      <c r="O48" s="72" t="s">
        <v>963</v>
      </c>
      <c r="P48" s="123"/>
      <c r="Q48" s="123"/>
      <c r="R48" s="123"/>
      <c r="S48" s="123"/>
      <c r="T48" s="123"/>
      <c r="U48" s="195" t="s">
        <v>2571</v>
      </c>
      <c r="V48" s="123"/>
      <c r="W48" s="123"/>
      <c r="X48" s="123"/>
      <c r="Y48" s="123"/>
    </row>
    <row r="49">
      <c r="A49" s="138" t="s">
        <v>93</v>
      </c>
      <c r="B49" s="491" t="s">
        <v>5726</v>
      </c>
      <c r="C49" s="491" t="s">
        <v>3106</v>
      </c>
      <c r="D49" s="123"/>
      <c r="E49" s="123"/>
      <c r="F49" s="123"/>
      <c r="G49" s="123"/>
      <c r="H49" s="123"/>
      <c r="I49" s="123"/>
      <c r="J49" s="123"/>
      <c r="K49" s="123"/>
      <c r="L49" s="123"/>
      <c r="M49" s="123"/>
      <c r="N49" s="123"/>
      <c r="O49" s="72" t="s">
        <v>963</v>
      </c>
      <c r="P49" s="72" t="s">
        <v>5727</v>
      </c>
      <c r="Q49" s="123"/>
      <c r="R49" s="123"/>
      <c r="S49" s="123"/>
      <c r="T49" s="123"/>
      <c r="U49" s="195" t="s">
        <v>2569</v>
      </c>
      <c r="V49" s="123"/>
      <c r="W49" s="123"/>
      <c r="X49" s="123"/>
      <c r="Y49" s="123"/>
    </row>
    <row r="50">
      <c r="A50" s="73" t="s">
        <v>93</v>
      </c>
      <c r="B50" s="491" t="s">
        <v>5728</v>
      </c>
      <c r="C50" s="491" t="s">
        <v>3107</v>
      </c>
      <c r="D50" s="123"/>
      <c r="E50" s="123"/>
      <c r="F50" s="123"/>
      <c r="G50" s="123"/>
      <c r="H50" s="123"/>
      <c r="I50" s="123"/>
      <c r="J50" s="123"/>
      <c r="K50" s="123"/>
      <c r="L50" s="123"/>
      <c r="M50" s="123"/>
      <c r="N50" s="123"/>
      <c r="O50" s="72" t="s">
        <v>963</v>
      </c>
      <c r="P50" s="72" t="s">
        <v>5729</v>
      </c>
      <c r="Q50" s="123"/>
      <c r="R50" s="123"/>
      <c r="S50" s="123"/>
      <c r="T50" s="123"/>
      <c r="U50" s="195" t="s">
        <v>2569</v>
      </c>
      <c r="V50" s="123"/>
      <c r="W50" s="123"/>
      <c r="X50" s="123"/>
      <c r="Y50" s="123"/>
    </row>
    <row r="51">
      <c r="A51" s="138" t="s">
        <v>93</v>
      </c>
      <c r="B51" s="491" t="s">
        <v>5730</v>
      </c>
      <c r="C51" s="491" t="s">
        <v>3108</v>
      </c>
      <c r="D51" s="123"/>
      <c r="E51" s="123"/>
      <c r="F51" s="123"/>
      <c r="G51" s="123"/>
      <c r="H51" s="123"/>
      <c r="I51" s="123"/>
      <c r="J51" s="123"/>
      <c r="K51" s="123"/>
      <c r="L51" s="123"/>
      <c r="M51" s="123"/>
      <c r="N51" s="123"/>
      <c r="O51" s="72" t="s">
        <v>963</v>
      </c>
      <c r="P51" s="72" t="s">
        <v>1375</v>
      </c>
      <c r="Q51" s="123"/>
      <c r="R51" s="123"/>
      <c r="S51" s="123"/>
      <c r="T51" s="123"/>
      <c r="U51" s="195" t="s">
        <v>2569</v>
      </c>
      <c r="V51" s="123"/>
      <c r="W51" s="123"/>
      <c r="X51" s="123"/>
      <c r="Y51" s="123"/>
    </row>
    <row r="52">
      <c r="A52" s="73" t="s">
        <v>93</v>
      </c>
      <c r="B52" s="491" t="s">
        <v>5731</v>
      </c>
      <c r="C52" s="491" t="s">
        <v>3109</v>
      </c>
      <c r="D52" s="123"/>
      <c r="E52" s="123"/>
      <c r="F52" s="123"/>
      <c r="G52" s="123"/>
      <c r="H52" s="123"/>
      <c r="I52" s="123"/>
      <c r="J52" s="123"/>
      <c r="K52" s="123"/>
      <c r="L52" s="123"/>
      <c r="M52" s="123"/>
      <c r="N52" s="123"/>
      <c r="O52" s="72" t="s">
        <v>963</v>
      </c>
      <c r="P52" s="72" t="s">
        <v>5732</v>
      </c>
      <c r="Q52" s="123"/>
      <c r="R52" s="123"/>
      <c r="S52" s="123"/>
      <c r="T52" s="123"/>
      <c r="U52" s="195" t="s">
        <v>2569</v>
      </c>
      <c r="V52" s="123"/>
      <c r="W52" s="123"/>
      <c r="X52" s="123"/>
      <c r="Y52" s="123"/>
    </row>
    <row r="53">
      <c r="A53" s="138" t="s">
        <v>93</v>
      </c>
      <c r="B53" s="491" t="s">
        <v>5733</v>
      </c>
      <c r="C53" s="491" t="s">
        <v>3110</v>
      </c>
      <c r="D53" s="123"/>
      <c r="E53" s="123"/>
      <c r="F53" s="123"/>
      <c r="G53" s="123"/>
      <c r="H53" s="123"/>
      <c r="I53" s="123"/>
      <c r="J53" s="123"/>
      <c r="K53" s="123"/>
      <c r="L53" s="123"/>
      <c r="M53" s="123"/>
      <c r="N53" s="123"/>
      <c r="O53" s="72" t="s">
        <v>963</v>
      </c>
      <c r="P53" s="72" t="s">
        <v>1375</v>
      </c>
      <c r="Q53" s="123"/>
      <c r="R53" s="123"/>
      <c r="S53" s="123"/>
      <c r="T53" s="123"/>
      <c r="U53" s="195" t="s">
        <v>2569</v>
      </c>
      <c r="V53" s="123"/>
      <c r="W53" s="123"/>
      <c r="X53" s="123"/>
      <c r="Y53" s="123"/>
    </row>
    <row r="54">
      <c r="A54" s="492" t="s">
        <v>93</v>
      </c>
      <c r="B54" s="493" t="s">
        <v>5734</v>
      </c>
      <c r="C54" s="493" t="s">
        <v>3111</v>
      </c>
      <c r="D54" s="131"/>
      <c r="E54" s="131"/>
      <c r="F54" s="131"/>
      <c r="G54" s="131"/>
      <c r="H54" s="131"/>
      <c r="I54" s="131"/>
      <c r="J54" s="131"/>
      <c r="K54" s="131"/>
      <c r="L54" s="131"/>
      <c r="M54" s="131"/>
      <c r="N54" s="131"/>
      <c r="O54" s="129" t="s">
        <v>963</v>
      </c>
      <c r="P54" s="129" t="s">
        <v>1375</v>
      </c>
      <c r="Q54" s="131"/>
      <c r="R54" s="131"/>
      <c r="S54" s="131"/>
      <c r="T54" s="131"/>
      <c r="U54" s="494" t="s">
        <v>2569</v>
      </c>
      <c r="V54" s="131"/>
      <c r="W54" s="131"/>
      <c r="X54" s="131"/>
      <c r="Y54" s="131"/>
      <c r="Z54" s="16"/>
      <c r="AA54" s="16"/>
    </row>
    <row r="55">
      <c r="A55" s="138" t="s">
        <v>181</v>
      </c>
      <c r="B55" s="195" t="s">
        <v>1381</v>
      </c>
      <c r="C55" s="195" t="s">
        <v>1382</v>
      </c>
      <c r="D55" s="72" t="s">
        <v>5311</v>
      </c>
      <c r="E55" s="123"/>
      <c r="F55" s="26" t="s">
        <v>5735</v>
      </c>
      <c r="G55" s="72" t="s">
        <v>5736</v>
      </c>
      <c r="H55" s="72" t="s">
        <v>47</v>
      </c>
      <c r="I55" s="72" t="s">
        <v>5737</v>
      </c>
      <c r="J55" s="72" t="s">
        <v>5738</v>
      </c>
      <c r="K55" s="72" t="s">
        <v>5739</v>
      </c>
      <c r="L55" s="72" t="s">
        <v>5740</v>
      </c>
      <c r="M55" s="72" t="s">
        <v>1765</v>
      </c>
      <c r="N55" s="72" t="s">
        <v>5741</v>
      </c>
      <c r="O55" s="72" t="s">
        <v>5742</v>
      </c>
      <c r="P55" s="123"/>
      <c r="Q55" s="123"/>
      <c r="R55" s="72" t="s">
        <v>1211</v>
      </c>
      <c r="S55" s="72" t="s">
        <v>5743</v>
      </c>
      <c r="T55" s="72" t="s">
        <v>1386</v>
      </c>
      <c r="U55" s="195" t="s">
        <v>2569</v>
      </c>
      <c r="V55" s="72" t="s">
        <v>5744</v>
      </c>
      <c r="W55" s="123"/>
      <c r="X55" s="72" t="s">
        <v>5745</v>
      </c>
      <c r="Y55" s="72" t="s">
        <v>5746</v>
      </c>
    </row>
    <row r="56">
      <c r="A56" s="138" t="s">
        <v>181</v>
      </c>
      <c r="B56" s="195" t="s">
        <v>5747</v>
      </c>
      <c r="C56" s="195" t="s">
        <v>3112</v>
      </c>
      <c r="D56" s="123"/>
      <c r="E56" s="123"/>
      <c r="F56" s="123"/>
      <c r="G56" s="123"/>
      <c r="H56" s="123"/>
      <c r="I56" s="123"/>
      <c r="J56" s="123"/>
      <c r="K56" s="123"/>
      <c r="L56" s="123"/>
      <c r="M56" s="123"/>
      <c r="N56" s="123"/>
      <c r="O56" s="72" t="s">
        <v>1458</v>
      </c>
      <c r="P56" s="72" t="s">
        <v>5748</v>
      </c>
      <c r="Q56" s="123"/>
      <c r="R56" s="72" t="s">
        <v>1211</v>
      </c>
      <c r="S56" s="123"/>
      <c r="T56" s="123"/>
      <c r="U56" s="195" t="s">
        <v>2569</v>
      </c>
      <c r="V56" s="123"/>
      <c r="W56" s="123"/>
      <c r="X56" s="123"/>
      <c r="Y56" s="123"/>
    </row>
    <row r="57">
      <c r="A57" s="138" t="s">
        <v>181</v>
      </c>
      <c r="B57" s="195" t="s">
        <v>1391</v>
      </c>
      <c r="C57" s="195" t="s">
        <v>1392</v>
      </c>
      <c r="D57" s="123"/>
      <c r="E57" s="123"/>
      <c r="F57" s="72" t="s">
        <v>5749</v>
      </c>
      <c r="G57" s="72" t="s">
        <v>1949</v>
      </c>
      <c r="H57" s="72" t="s">
        <v>49</v>
      </c>
      <c r="I57" s="72" t="s">
        <v>5750</v>
      </c>
      <c r="J57" s="72" t="s">
        <v>5751</v>
      </c>
      <c r="K57" s="72" t="s">
        <v>5752</v>
      </c>
      <c r="L57" s="72" t="s">
        <v>5753</v>
      </c>
      <c r="M57" s="72" t="s">
        <v>5754</v>
      </c>
      <c r="N57" s="72" t="s">
        <v>5755</v>
      </c>
      <c r="O57" s="72" t="s">
        <v>1211</v>
      </c>
      <c r="P57" s="123"/>
      <c r="Q57" s="123"/>
      <c r="R57" s="72" t="s">
        <v>1211</v>
      </c>
      <c r="S57" s="72" t="s">
        <v>5756</v>
      </c>
      <c r="T57" s="72" t="s">
        <v>1396</v>
      </c>
      <c r="U57" s="195" t="s">
        <v>2569</v>
      </c>
      <c r="V57" s="72" t="s">
        <v>620</v>
      </c>
      <c r="W57" s="123"/>
      <c r="X57" s="72" t="s">
        <v>5757</v>
      </c>
      <c r="Y57" s="123"/>
    </row>
    <row r="58">
      <c r="A58" s="138" t="s">
        <v>181</v>
      </c>
      <c r="B58" s="195" t="s">
        <v>5758</v>
      </c>
      <c r="C58" s="195" t="s">
        <v>3113</v>
      </c>
      <c r="D58" s="123"/>
      <c r="E58" s="123"/>
      <c r="F58" s="123"/>
      <c r="G58" s="72"/>
      <c r="H58" s="72"/>
      <c r="I58" s="123"/>
      <c r="J58" s="123"/>
      <c r="K58" s="123"/>
      <c r="L58" s="123"/>
      <c r="M58" s="123"/>
      <c r="N58" s="123"/>
      <c r="O58" s="72" t="s">
        <v>1458</v>
      </c>
      <c r="P58" s="72" t="s">
        <v>5759</v>
      </c>
      <c r="Q58" s="123"/>
      <c r="R58" s="72" t="s">
        <v>1211</v>
      </c>
      <c r="S58" s="123"/>
      <c r="T58" s="123"/>
      <c r="U58" s="195" t="s">
        <v>2569</v>
      </c>
      <c r="V58" s="123"/>
      <c r="W58" s="123"/>
      <c r="X58" s="123"/>
      <c r="Y58" s="123"/>
    </row>
    <row r="59">
      <c r="A59" s="138" t="s">
        <v>181</v>
      </c>
      <c r="B59" s="195" t="s">
        <v>5760</v>
      </c>
      <c r="C59" s="195" t="s">
        <v>3114</v>
      </c>
      <c r="D59" s="123"/>
      <c r="E59" s="123"/>
      <c r="F59" s="123"/>
      <c r="G59" s="123"/>
      <c r="H59" s="123"/>
      <c r="I59" s="123"/>
      <c r="J59" s="123"/>
      <c r="K59" s="123"/>
      <c r="L59" s="123"/>
      <c r="M59" s="123"/>
      <c r="N59" s="123"/>
      <c r="O59" s="72" t="s">
        <v>1458</v>
      </c>
      <c r="P59" s="72" t="s">
        <v>5748</v>
      </c>
      <c r="Q59" s="123"/>
      <c r="R59" s="72" t="s">
        <v>1211</v>
      </c>
      <c r="S59" s="123"/>
      <c r="T59" s="123"/>
      <c r="U59" s="195" t="s">
        <v>2569</v>
      </c>
      <c r="V59" s="123"/>
      <c r="W59" s="123"/>
      <c r="X59" s="123"/>
      <c r="Y59" s="123"/>
    </row>
    <row r="60">
      <c r="A60" s="138" t="s">
        <v>181</v>
      </c>
      <c r="B60" s="195" t="s">
        <v>5761</v>
      </c>
      <c r="C60" s="195" t="s">
        <v>3115</v>
      </c>
      <c r="D60" s="123"/>
      <c r="E60" s="123"/>
      <c r="F60" s="123"/>
      <c r="G60" s="123"/>
      <c r="H60" s="123"/>
      <c r="I60" s="123"/>
      <c r="J60" s="123"/>
      <c r="K60" s="123"/>
      <c r="L60" s="123"/>
      <c r="M60" s="123"/>
      <c r="N60" s="123"/>
      <c r="O60" s="72" t="s">
        <v>1458</v>
      </c>
      <c r="P60" s="72" t="s">
        <v>5748</v>
      </c>
      <c r="Q60" s="123"/>
      <c r="R60" s="72" t="s">
        <v>1211</v>
      </c>
      <c r="S60" s="123"/>
      <c r="T60" s="123"/>
      <c r="U60" s="195" t="s">
        <v>2569</v>
      </c>
      <c r="V60" s="123"/>
      <c r="W60" s="123"/>
      <c r="X60" s="123"/>
      <c r="Y60" s="123"/>
    </row>
    <row r="61">
      <c r="A61" s="138" t="s">
        <v>181</v>
      </c>
      <c r="B61" s="195" t="s">
        <v>1400</v>
      </c>
      <c r="C61" s="195" t="s">
        <v>1401</v>
      </c>
      <c r="D61" s="123"/>
      <c r="E61" s="123"/>
      <c r="F61" s="123"/>
      <c r="G61" s="123"/>
      <c r="H61" s="72" t="s">
        <v>49</v>
      </c>
      <c r="I61" s="72" t="s">
        <v>5762</v>
      </c>
      <c r="J61" s="72" t="s">
        <v>2216</v>
      </c>
      <c r="K61" s="72" t="s">
        <v>5763</v>
      </c>
      <c r="L61" s="72" t="s">
        <v>2216</v>
      </c>
      <c r="M61" s="72" t="s">
        <v>1765</v>
      </c>
      <c r="N61" s="123"/>
      <c r="O61" s="72" t="s">
        <v>1211</v>
      </c>
      <c r="P61" s="123"/>
      <c r="Q61" s="123"/>
      <c r="R61" s="72" t="s">
        <v>1211</v>
      </c>
      <c r="S61" s="72" t="s">
        <v>5764</v>
      </c>
      <c r="T61" s="72" t="s">
        <v>5765</v>
      </c>
      <c r="U61" s="195" t="s">
        <v>2569</v>
      </c>
      <c r="V61" s="72" t="s">
        <v>1003</v>
      </c>
      <c r="W61" s="123"/>
      <c r="X61" s="72" t="s">
        <v>5766</v>
      </c>
      <c r="Y61" s="123"/>
    </row>
    <row r="62">
      <c r="A62" s="138" t="s">
        <v>181</v>
      </c>
      <c r="B62" s="195" t="s">
        <v>1407</v>
      </c>
      <c r="C62" s="195" t="s">
        <v>1408</v>
      </c>
      <c r="D62" s="123"/>
      <c r="E62" s="123"/>
      <c r="F62" s="72" t="s">
        <v>5767</v>
      </c>
      <c r="G62" s="123"/>
      <c r="H62" s="72" t="s">
        <v>49</v>
      </c>
      <c r="I62" s="72" t="s">
        <v>5768</v>
      </c>
      <c r="J62" s="72" t="s">
        <v>5769</v>
      </c>
      <c r="K62" s="72" t="s">
        <v>5770</v>
      </c>
      <c r="L62" s="72" t="s">
        <v>2216</v>
      </c>
      <c r="M62" s="72" t="s">
        <v>998</v>
      </c>
      <c r="N62" s="123"/>
      <c r="O62" s="72" t="s">
        <v>1211</v>
      </c>
      <c r="P62" s="123"/>
      <c r="Q62" s="123"/>
      <c r="R62" s="72" t="s">
        <v>1211</v>
      </c>
      <c r="S62" s="72" t="s">
        <v>5771</v>
      </c>
      <c r="T62" s="123"/>
      <c r="U62" s="195" t="s">
        <v>2569</v>
      </c>
      <c r="V62" s="72" t="s">
        <v>620</v>
      </c>
      <c r="W62" s="123"/>
      <c r="X62" s="72" t="s">
        <v>5772</v>
      </c>
      <c r="Y62" s="123"/>
    </row>
    <row r="63">
      <c r="A63" s="138" t="s">
        <v>181</v>
      </c>
      <c r="B63" s="195" t="s">
        <v>5773</v>
      </c>
      <c r="C63" s="195" t="s">
        <v>3116</v>
      </c>
      <c r="D63" s="123"/>
      <c r="E63" s="123"/>
      <c r="F63" s="123"/>
      <c r="G63" s="123"/>
      <c r="H63" s="123"/>
      <c r="I63" s="123"/>
      <c r="J63" s="123"/>
      <c r="K63" s="123"/>
      <c r="L63" s="123"/>
      <c r="M63" s="123"/>
      <c r="N63" s="123"/>
      <c r="O63" s="72" t="s">
        <v>1458</v>
      </c>
      <c r="P63" s="72" t="s">
        <v>5774</v>
      </c>
      <c r="Q63" s="123"/>
      <c r="R63" s="72" t="s">
        <v>1211</v>
      </c>
      <c r="S63" s="123"/>
      <c r="T63" s="123"/>
      <c r="U63" s="195" t="s">
        <v>2569</v>
      </c>
      <c r="V63" s="123"/>
      <c r="W63" s="123"/>
      <c r="X63" s="123"/>
      <c r="Y63" s="123"/>
    </row>
    <row r="64">
      <c r="A64" s="138" t="s">
        <v>181</v>
      </c>
      <c r="B64" s="195" t="s">
        <v>5775</v>
      </c>
      <c r="C64" s="195" t="s">
        <v>3117</v>
      </c>
      <c r="D64" s="123"/>
      <c r="E64" s="123"/>
      <c r="F64" s="123"/>
      <c r="G64" s="123"/>
      <c r="H64" s="123"/>
      <c r="I64" s="123"/>
      <c r="J64" s="123"/>
      <c r="K64" s="123"/>
      <c r="L64" s="123"/>
      <c r="M64" s="123"/>
      <c r="N64" s="123"/>
      <c r="O64" s="72" t="s">
        <v>1458</v>
      </c>
      <c r="P64" s="72" t="s">
        <v>5776</v>
      </c>
      <c r="Q64" s="123"/>
      <c r="R64" s="72" t="s">
        <v>1211</v>
      </c>
      <c r="S64" s="123"/>
      <c r="T64" s="123"/>
      <c r="U64" s="195" t="s">
        <v>2569</v>
      </c>
      <c r="V64" s="123"/>
      <c r="W64" s="123"/>
      <c r="X64" s="123"/>
      <c r="Y64" s="123"/>
    </row>
    <row r="65">
      <c r="A65" s="138" t="s">
        <v>181</v>
      </c>
      <c r="B65" s="195" t="s">
        <v>5777</v>
      </c>
      <c r="C65" s="195" t="s">
        <v>3118</v>
      </c>
      <c r="D65" s="123"/>
      <c r="E65" s="123"/>
      <c r="F65" s="123"/>
      <c r="G65" s="123"/>
      <c r="H65" s="123"/>
      <c r="I65" s="123"/>
      <c r="J65" s="123"/>
      <c r="K65" s="123"/>
      <c r="L65" s="123"/>
      <c r="M65" s="123"/>
      <c r="N65" s="123"/>
      <c r="O65" s="72" t="s">
        <v>1458</v>
      </c>
      <c r="P65" s="72" t="s">
        <v>5776</v>
      </c>
      <c r="Q65" s="123"/>
      <c r="R65" s="72" t="s">
        <v>1211</v>
      </c>
      <c r="S65" s="123"/>
      <c r="T65" s="123"/>
      <c r="U65" s="195" t="s">
        <v>2569</v>
      </c>
      <c r="V65" s="123"/>
      <c r="W65" s="123"/>
      <c r="X65" s="123"/>
      <c r="Y65" s="123"/>
    </row>
    <row r="66">
      <c r="A66" s="138" t="s">
        <v>181</v>
      </c>
      <c r="B66" s="195" t="s">
        <v>5778</v>
      </c>
      <c r="C66" s="195" t="s">
        <v>3119</v>
      </c>
      <c r="D66" s="123"/>
      <c r="E66" s="123"/>
      <c r="F66" s="123"/>
      <c r="G66" s="123"/>
      <c r="H66" s="123"/>
      <c r="I66" s="123"/>
      <c r="J66" s="123"/>
      <c r="K66" s="123"/>
      <c r="L66" s="123"/>
      <c r="M66" s="123"/>
      <c r="N66" s="123"/>
      <c r="O66" s="72" t="s">
        <v>1458</v>
      </c>
      <c r="P66" s="72" t="s">
        <v>5779</v>
      </c>
      <c r="Q66" s="123"/>
      <c r="R66" s="72" t="s">
        <v>1211</v>
      </c>
      <c r="S66" s="123"/>
      <c r="T66" s="123"/>
      <c r="U66" s="195" t="s">
        <v>2569</v>
      </c>
      <c r="V66" s="123"/>
      <c r="W66" s="123"/>
      <c r="X66" s="123"/>
      <c r="Y66" s="123"/>
    </row>
    <row r="67">
      <c r="A67" s="138" t="s">
        <v>181</v>
      </c>
      <c r="B67" s="195" t="s">
        <v>5780</v>
      </c>
      <c r="C67" s="195" t="s">
        <v>3120</v>
      </c>
      <c r="D67" s="123"/>
      <c r="E67" s="123"/>
      <c r="F67" s="123"/>
      <c r="G67" s="123"/>
      <c r="H67" s="123"/>
      <c r="I67" s="123"/>
      <c r="J67" s="123"/>
      <c r="K67" s="123"/>
      <c r="L67" s="123"/>
      <c r="M67" s="123"/>
      <c r="N67" s="123"/>
      <c r="O67" s="72" t="s">
        <v>1458</v>
      </c>
      <c r="P67" s="72" t="s">
        <v>5781</v>
      </c>
      <c r="Q67" s="123"/>
      <c r="R67" s="72" t="s">
        <v>1211</v>
      </c>
      <c r="S67" s="123"/>
      <c r="T67" s="123"/>
      <c r="U67" s="195" t="s">
        <v>2569</v>
      </c>
      <c r="V67" s="123"/>
      <c r="W67" s="123"/>
      <c r="X67" s="123"/>
      <c r="Y67" s="123"/>
    </row>
    <row r="68">
      <c r="A68" s="138" t="s">
        <v>181</v>
      </c>
      <c r="B68" s="195" t="s">
        <v>5782</v>
      </c>
      <c r="C68" s="195" t="s">
        <v>3121</v>
      </c>
      <c r="D68" s="123"/>
      <c r="E68" s="123"/>
      <c r="F68" s="123"/>
      <c r="G68" s="123"/>
      <c r="H68" s="123"/>
      <c r="I68" s="123"/>
      <c r="J68" s="123"/>
      <c r="K68" s="123"/>
      <c r="L68" s="123"/>
      <c r="M68" s="123"/>
      <c r="N68" s="123"/>
      <c r="O68" s="72" t="s">
        <v>1458</v>
      </c>
      <c r="P68" s="72" t="s">
        <v>5783</v>
      </c>
      <c r="Q68" s="123"/>
      <c r="R68" s="72" t="s">
        <v>1211</v>
      </c>
      <c r="S68" s="123"/>
      <c r="T68" s="123"/>
      <c r="U68" s="195" t="s">
        <v>2569</v>
      </c>
      <c r="V68" s="123"/>
      <c r="W68" s="123"/>
      <c r="X68" s="123"/>
      <c r="Y68" s="123"/>
    </row>
    <row r="69">
      <c r="A69" s="138" t="s">
        <v>181</v>
      </c>
      <c r="B69" s="195" t="s">
        <v>5784</v>
      </c>
      <c r="C69" s="195" t="s">
        <v>3122</v>
      </c>
      <c r="D69" s="123"/>
      <c r="E69" s="123"/>
      <c r="F69" s="123"/>
      <c r="G69" s="123"/>
      <c r="H69" s="123"/>
      <c r="I69" s="123"/>
      <c r="J69" s="123"/>
      <c r="K69" s="123"/>
      <c r="L69" s="123"/>
      <c r="M69" s="123"/>
      <c r="N69" s="123"/>
      <c r="O69" s="72" t="s">
        <v>1458</v>
      </c>
      <c r="P69" s="72" t="s">
        <v>5748</v>
      </c>
      <c r="Q69" s="123"/>
      <c r="R69" s="72" t="s">
        <v>1211</v>
      </c>
      <c r="S69" s="123"/>
      <c r="T69" s="123"/>
      <c r="U69" s="195" t="s">
        <v>2567</v>
      </c>
      <c r="V69" s="123"/>
      <c r="W69" s="123"/>
      <c r="X69" s="123"/>
      <c r="Y69" s="123"/>
    </row>
    <row r="70">
      <c r="A70" s="138" t="s">
        <v>181</v>
      </c>
      <c r="B70" s="195" t="s">
        <v>5785</v>
      </c>
      <c r="C70" s="195" t="s">
        <v>3123</v>
      </c>
      <c r="D70" s="123"/>
      <c r="E70" s="123"/>
      <c r="F70" s="123"/>
      <c r="G70" s="123"/>
      <c r="H70" s="123"/>
      <c r="I70" s="123"/>
      <c r="J70" s="123"/>
      <c r="K70" s="123"/>
      <c r="L70" s="123"/>
      <c r="M70" s="123"/>
      <c r="N70" s="123"/>
      <c r="O70" s="72" t="s">
        <v>1458</v>
      </c>
      <c r="P70" s="72" t="s">
        <v>5748</v>
      </c>
      <c r="Q70" s="123"/>
      <c r="R70" s="72" t="s">
        <v>1211</v>
      </c>
      <c r="S70" s="123"/>
      <c r="T70" s="123"/>
      <c r="U70" s="195" t="s">
        <v>2567</v>
      </c>
      <c r="V70" s="123"/>
      <c r="W70" s="123"/>
      <c r="X70" s="123"/>
      <c r="Y70" s="123"/>
    </row>
    <row r="71">
      <c r="A71" s="138" t="s">
        <v>181</v>
      </c>
      <c r="B71" s="195" t="s">
        <v>5786</v>
      </c>
      <c r="C71" s="195" t="s">
        <v>3124</v>
      </c>
      <c r="D71" s="123"/>
      <c r="E71" s="123"/>
      <c r="F71" s="123"/>
      <c r="G71" s="123"/>
      <c r="H71" s="123"/>
      <c r="I71" s="123"/>
      <c r="J71" s="123"/>
      <c r="K71" s="123"/>
      <c r="L71" s="123"/>
      <c r="M71" s="123"/>
      <c r="N71" s="123"/>
      <c r="O71" s="72" t="s">
        <v>1458</v>
      </c>
      <c r="P71" s="72" t="s">
        <v>5748</v>
      </c>
      <c r="Q71" s="123"/>
      <c r="R71" s="72" t="s">
        <v>1211</v>
      </c>
      <c r="S71" s="123"/>
      <c r="T71" s="123"/>
      <c r="U71" s="195" t="s">
        <v>2567</v>
      </c>
      <c r="V71" s="123"/>
      <c r="W71" s="123"/>
      <c r="X71" s="123"/>
      <c r="Y71" s="123"/>
    </row>
    <row r="72">
      <c r="A72" s="138" t="s">
        <v>181</v>
      </c>
      <c r="B72" s="195" t="s">
        <v>5787</v>
      </c>
      <c r="C72" s="195" t="s">
        <v>3125</v>
      </c>
      <c r="D72" s="123"/>
      <c r="E72" s="123"/>
      <c r="F72" s="123"/>
      <c r="G72" s="123"/>
      <c r="H72" s="123"/>
      <c r="I72" s="123"/>
      <c r="J72" s="123"/>
      <c r="K72" s="123"/>
      <c r="L72" s="123"/>
      <c r="M72" s="123"/>
      <c r="N72" s="123"/>
      <c r="O72" s="72" t="s">
        <v>1458</v>
      </c>
      <c r="P72" s="72" t="s">
        <v>5748</v>
      </c>
      <c r="Q72" s="123"/>
      <c r="R72" s="72" t="s">
        <v>1211</v>
      </c>
      <c r="S72" s="123"/>
      <c r="T72" s="123"/>
      <c r="U72" s="195" t="s">
        <v>2567</v>
      </c>
      <c r="V72" s="123"/>
      <c r="W72" s="123"/>
      <c r="X72" s="123"/>
      <c r="Y72" s="123"/>
    </row>
    <row r="73">
      <c r="A73" s="138" t="s">
        <v>181</v>
      </c>
      <c r="B73" s="195" t="s">
        <v>5788</v>
      </c>
      <c r="C73" s="195" t="s">
        <v>3126</v>
      </c>
      <c r="D73" s="123"/>
      <c r="E73" s="123"/>
      <c r="F73" s="123"/>
      <c r="G73" s="123"/>
      <c r="H73" s="123"/>
      <c r="I73" s="123"/>
      <c r="J73" s="123"/>
      <c r="K73" s="123"/>
      <c r="L73" s="123"/>
      <c r="M73" s="123"/>
      <c r="N73" s="123"/>
      <c r="O73" s="72" t="s">
        <v>1458</v>
      </c>
      <c r="P73" s="72" t="s">
        <v>5748</v>
      </c>
      <c r="Q73" s="123"/>
      <c r="R73" s="72" t="s">
        <v>1211</v>
      </c>
      <c r="S73" s="123"/>
      <c r="T73" s="123"/>
      <c r="U73" s="195" t="s">
        <v>2567</v>
      </c>
      <c r="V73" s="123"/>
      <c r="W73" s="123"/>
      <c r="X73" s="123"/>
      <c r="Y73" s="123"/>
    </row>
    <row r="74">
      <c r="A74" s="138" t="s">
        <v>181</v>
      </c>
      <c r="B74" s="195" t="s">
        <v>5789</v>
      </c>
      <c r="C74" s="195" t="s">
        <v>3127</v>
      </c>
      <c r="D74" s="123"/>
      <c r="E74" s="123"/>
      <c r="F74" s="123"/>
      <c r="G74" s="123"/>
      <c r="H74" s="123"/>
      <c r="I74" s="123"/>
      <c r="J74" s="123"/>
      <c r="K74" s="123"/>
      <c r="L74" s="123"/>
      <c r="M74" s="123"/>
      <c r="N74" s="123"/>
      <c r="O74" s="72" t="s">
        <v>1458</v>
      </c>
      <c r="P74" s="72" t="s">
        <v>5748</v>
      </c>
      <c r="Q74" s="123"/>
      <c r="R74" s="72" t="s">
        <v>1211</v>
      </c>
      <c r="S74" s="123"/>
      <c r="T74" s="123"/>
      <c r="U74" s="195" t="s">
        <v>2567</v>
      </c>
      <c r="V74" s="123"/>
      <c r="W74" s="123"/>
      <c r="X74" s="123"/>
      <c r="Y74" s="123"/>
    </row>
    <row r="75">
      <c r="A75" s="138" t="s">
        <v>181</v>
      </c>
      <c r="B75" s="195" t="s">
        <v>5790</v>
      </c>
      <c r="C75" s="195" t="s">
        <v>3128</v>
      </c>
      <c r="D75" s="123"/>
      <c r="E75" s="123"/>
      <c r="F75" s="123"/>
      <c r="G75" s="123"/>
      <c r="H75" s="123"/>
      <c r="I75" s="123"/>
      <c r="J75" s="123"/>
      <c r="K75" s="123"/>
      <c r="L75" s="123"/>
      <c r="M75" s="123"/>
      <c r="N75" s="123"/>
      <c r="O75" s="72" t="s">
        <v>1458</v>
      </c>
      <c r="P75" s="72" t="s">
        <v>5748</v>
      </c>
      <c r="Q75" s="123"/>
      <c r="R75" s="72" t="s">
        <v>1211</v>
      </c>
      <c r="S75" s="123"/>
      <c r="T75" s="123"/>
      <c r="U75" s="195" t="s">
        <v>2567</v>
      </c>
      <c r="V75" s="123"/>
      <c r="W75" s="123"/>
      <c r="X75" s="123"/>
      <c r="Y75" s="123"/>
    </row>
    <row r="76">
      <c r="A76" s="138" t="s">
        <v>181</v>
      </c>
      <c r="B76" s="195" t="s">
        <v>5791</v>
      </c>
      <c r="C76" s="195" t="s">
        <v>3129</v>
      </c>
      <c r="D76" s="123"/>
      <c r="E76" s="123"/>
      <c r="F76" s="123"/>
      <c r="G76" s="123"/>
      <c r="H76" s="123"/>
      <c r="I76" s="123"/>
      <c r="J76" s="123"/>
      <c r="K76" s="123"/>
      <c r="L76" s="123"/>
      <c r="M76" s="123"/>
      <c r="N76" s="123"/>
      <c r="O76" s="72" t="s">
        <v>1458</v>
      </c>
      <c r="P76" s="72" t="s">
        <v>5748</v>
      </c>
      <c r="Q76" s="123"/>
      <c r="R76" s="72" t="s">
        <v>1211</v>
      </c>
      <c r="S76" s="123"/>
      <c r="T76" s="123"/>
      <c r="U76" s="195" t="s">
        <v>2567</v>
      </c>
      <c r="V76" s="123"/>
      <c r="W76" s="123"/>
      <c r="X76" s="123"/>
      <c r="Y76" s="123"/>
    </row>
    <row r="77">
      <c r="A77" s="138" t="s">
        <v>181</v>
      </c>
      <c r="B77" s="195" t="s">
        <v>5792</v>
      </c>
      <c r="C77" s="195" t="s">
        <v>3130</v>
      </c>
      <c r="D77" s="123"/>
      <c r="E77" s="123"/>
      <c r="F77" s="123"/>
      <c r="H77" s="123"/>
      <c r="I77" s="123"/>
      <c r="J77" s="123"/>
      <c r="K77" s="123"/>
      <c r="L77" s="123"/>
      <c r="M77" s="123"/>
      <c r="N77" s="123"/>
      <c r="O77" s="72" t="s">
        <v>1458</v>
      </c>
      <c r="P77" s="72" t="s">
        <v>5748</v>
      </c>
      <c r="Q77" s="123"/>
      <c r="R77" s="72" t="s">
        <v>1211</v>
      </c>
      <c r="S77" s="123"/>
      <c r="T77" s="123"/>
      <c r="U77" s="195" t="s">
        <v>2567</v>
      </c>
      <c r="V77" s="123"/>
      <c r="W77" s="123"/>
      <c r="X77" s="123"/>
      <c r="Y77" s="123"/>
    </row>
    <row r="78">
      <c r="A78" s="138" t="s">
        <v>181</v>
      </c>
      <c r="B78" s="195" t="s">
        <v>1415</v>
      </c>
      <c r="C78" s="195" t="s">
        <v>1416</v>
      </c>
      <c r="D78" s="123"/>
      <c r="E78" s="123"/>
      <c r="F78" s="72" t="s">
        <v>5793</v>
      </c>
      <c r="G78" s="123"/>
      <c r="H78" s="72" t="s">
        <v>49</v>
      </c>
      <c r="I78" s="72" t="s">
        <v>5794</v>
      </c>
      <c r="J78" s="72" t="s">
        <v>2216</v>
      </c>
      <c r="K78" s="72" t="s">
        <v>5795</v>
      </c>
      <c r="L78" s="72" t="s">
        <v>612</v>
      </c>
      <c r="M78" s="72" t="s">
        <v>1765</v>
      </c>
      <c r="N78" s="123"/>
      <c r="O78" s="72" t="s">
        <v>1211</v>
      </c>
      <c r="P78" s="123"/>
      <c r="Q78" s="123"/>
      <c r="R78" s="72" t="s">
        <v>1211</v>
      </c>
      <c r="S78" s="72" t="s">
        <v>5796</v>
      </c>
      <c r="T78" s="123"/>
      <c r="U78" s="195" t="s">
        <v>2567</v>
      </c>
      <c r="V78" s="72" t="s">
        <v>1122</v>
      </c>
      <c r="W78" s="123"/>
      <c r="X78" s="123"/>
      <c r="Y78" s="123"/>
    </row>
    <row r="79">
      <c r="A79" s="138" t="s">
        <v>181</v>
      </c>
      <c r="B79" s="195" t="s">
        <v>5797</v>
      </c>
      <c r="C79" s="195" t="s">
        <v>3131</v>
      </c>
      <c r="D79" s="123"/>
      <c r="E79" s="123"/>
      <c r="F79" s="123"/>
      <c r="G79" s="123"/>
      <c r="H79" s="123"/>
      <c r="I79" s="123"/>
      <c r="J79" s="123"/>
      <c r="K79" s="123"/>
      <c r="L79" s="123"/>
      <c r="M79" s="123"/>
      <c r="N79" s="123"/>
      <c r="O79" s="72" t="s">
        <v>1458</v>
      </c>
      <c r="P79" s="72" t="s">
        <v>5798</v>
      </c>
      <c r="Q79" s="123"/>
      <c r="R79" s="72" t="s">
        <v>1211</v>
      </c>
      <c r="S79" s="123"/>
      <c r="T79" s="123"/>
      <c r="U79" s="195" t="s">
        <v>2567</v>
      </c>
      <c r="V79" s="123"/>
      <c r="W79" s="123"/>
      <c r="X79" s="123"/>
      <c r="Y79" s="123"/>
    </row>
    <row r="80">
      <c r="A80" s="138" t="s">
        <v>181</v>
      </c>
      <c r="B80" s="195" t="s">
        <v>5799</v>
      </c>
      <c r="C80" s="195" t="s">
        <v>3132</v>
      </c>
      <c r="D80" s="123"/>
      <c r="E80" s="123"/>
      <c r="F80" s="123"/>
      <c r="G80" s="123"/>
      <c r="H80" s="123"/>
      <c r="I80" s="123"/>
      <c r="J80" s="123"/>
      <c r="K80" s="123"/>
      <c r="L80" s="123"/>
      <c r="M80" s="123"/>
      <c r="N80" s="123"/>
      <c r="O80" s="72" t="s">
        <v>1458</v>
      </c>
      <c r="P80" s="72" t="s">
        <v>5748</v>
      </c>
      <c r="Q80" s="123"/>
      <c r="R80" s="72" t="s">
        <v>1211</v>
      </c>
      <c r="S80" s="123"/>
      <c r="T80" s="123"/>
      <c r="U80" s="195" t="s">
        <v>2565</v>
      </c>
      <c r="V80" s="123"/>
      <c r="W80" s="123"/>
      <c r="X80" s="123"/>
      <c r="Y80" s="123"/>
    </row>
    <row r="81">
      <c r="A81" s="138" t="s">
        <v>181</v>
      </c>
      <c r="B81" s="195" t="s">
        <v>5800</v>
      </c>
      <c r="C81" s="195" t="s">
        <v>3133</v>
      </c>
      <c r="D81" s="123"/>
      <c r="E81" s="123"/>
      <c r="F81" s="123"/>
      <c r="G81" s="123"/>
      <c r="H81" s="123"/>
      <c r="I81" s="123"/>
      <c r="J81" s="123"/>
      <c r="K81" s="123"/>
      <c r="L81" s="123"/>
      <c r="M81" s="123"/>
      <c r="N81" s="123"/>
      <c r="O81" s="72" t="s">
        <v>1458</v>
      </c>
      <c r="P81" s="72" t="s">
        <v>5748</v>
      </c>
      <c r="Q81" s="123"/>
      <c r="R81" s="72" t="s">
        <v>1211</v>
      </c>
      <c r="S81" s="123"/>
      <c r="T81" s="123"/>
      <c r="U81" s="195" t="s">
        <v>2565</v>
      </c>
      <c r="V81" s="123"/>
      <c r="W81" s="123"/>
      <c r="X81" s="123"/>
      <c r="Y81" s="123"/>
    </row>
    <row r="82">
      <c r="A82" s="138" t="s">
        <v>181</v>
      </c>
      <c r="B82" s="195" t="s">
        <v>5801</v>
      </c>
      <c r="C82" s="195" t="s">
        <v>3134</v>
      </c>
      <c r="D82" s="123"/>
      <c r="E82" s="123"/>
      <c r="F82" s="123"/>
      <c r="G82" s="123"/>
      <c r="H82" s="123"/>
      <c r="I82" s="123"/>
      <c r="J82" s="123"/>
      <c r="K82" s="123"/>
      <c r="L82" s="123"/>
      <c r="M82" s="123"/>
      <c r="N82" s="123"/>
      <c r="O82" s="72" t="s">
        <v>1458</v>
      </c>
      <c r="P82" s="72" t="s">
        <v>5776</v>
      </c>
      <c r="Q82" s="123"/>
      <c r="R82" s="72" t="s">
        <v>1211</v>
      </c>
      <c r="S82" s="123"/>
      <c r="T82" s="123"/>
      <c r="U82" s="195" t="s">
        <v>2565</v>
      </c>
      <c r="V82" s="123"/>
      <c r="W82" s="123"/>
      <c r="X82" s="123"/>
      <c r="Y82" s="123"/>
    </row>
    <row r="83">
      <c r="A83" s="138" t="s">
        <v>181</v>
      </c>
      <c r="B83" s="195" t="s">
        <v>5802</v>
      </c>
      <c r="C83" s="195" t="s">
        <v>3135</v>
      </c>
      <c r="D83" s="123"/>
      <c r="E83" s="123"/>
      <c r="F83" s="123"/>
      <c r="G83" s="123"/>
      <c r="H83" s="123"/>
      <c r="I83" s="123"/>
      <c r="J83" s="123"/>
      <c r="K83" s="123"/>
      <c r="L83" s="123"/>
      <c r="M83" s="123"/>
      <c r="N83" s="123"/>
      <c r="O83" s="72" t="s">
        <v>1458</v>
      </c>
      <c r="P83" s="72" t="s">
        <v>5748</v>
      </c>
      <c r="Q83" s="123"/>
      <c r="R83" s="72" t="s">
        <v>1211</v>
      </c>
      <c r="S83" s="123"/>
      <c r="T83" s="123"/>
      <c r="U83" s="195" t="s">
        <v>2565</v>
      </c>
      <c r="V83" s="123"/>
      <c r="W83" s="123"/>
      <c r="X83" s="123"/>
      <c r="Y83" s="123"/>
    </row>
    <row r="84">
      <c r="A84" s="138" t="s">
        <v>181</v>
      </c>
      <c r="B84" s="195" t="s">
        <v>5803</v>
      </c>
      <c r="C84" s="195" t="s">
        <v>3136</v>
      </c>
      <c r="D84" s="123"/>
      <c r="E84" s="123"/>
      <c r="F84" s="123"/>
      <c r="G84" s="123"/>
      <c r="H84" s="123"/>
      <c r="I84" s="123"/>
      <c r="J84" s="123"/>
      <c r="K84" s="123"/>
      <c r="L84" s="123"/>
      <c r="M84" s="123"/>
      <c r="N84" s="123"/>
      <c r="O84" s="72" t="s">
        <v>1458</v>
      </c>
      <c r="P84" s="72" t="s">
        <v>5748</v>
      </c>
      <c r="Q84" s="123"/>
      <c r="R84" s="72" t="s">
        <v>1211</v>
      </c>
      <c r="S84" s="123"/>
      <c r="T84" s="123"/>
      <c r="U84" s="195" t="s">
        <v>2565</v>
      </c>
      <c r="V84" s="123"/>
      <c r="W84" s="123"/>
      <c r="X84" s="123"/>
      <c r="Y84" s="123"/>
    </row>
    <row r="85">
      <c r="A85" s="138" t="s">
        <v>181</v>
      </c>
      <c r="B85" s="195" t="s">
        <v>5804</v>
      </c>
      <c r="C85" s="195" t="s">
        <v>3137</v>
      </c>
      <c r="D85" s="123"/>
      <c r="E85" s="123"/>
      <c r="F85" s="123"/>
      <c r="G85" s="123"/>
      <c r="H85" s="123"/>
      <c r="I85" s="123"/>
      <c r="J85" s="123"/>
      <c r="K85" s="123"/>
      <c r="L85" s="123"/>
      <c r="M85" s="123"/>
      <c r="N85" s="123"/>
      <c r="O85" s="72" t="s">
        <v>1458</v>
      </c>
      <c r="P85" s="72" t="s">
        <v>5748</v>
      </c>
      <c r="Q85" s="123"/>
      <c r="R85" s="72" t="s">
        <v>1211</v>
      </c>
      <c r="S85" s="123"/>
      <c r="T85" s="123"/>
      <c r="U85" s="195" t="s">
        <v>2565</v>
      </c>
      <c r="V85" s="123"/>
      <c r="W85" s="123"/>
      <c r="X85" s="123"/>
      <c r="Y85" s="123"/>
    </row>
    <row r="86">
      <c r="A86" s="138" t="s">
        <v>181</v>
      </c>
      <c r="B86" s="195" t="s">
        <v>5805</v>
      </c>
      <c r="C86" s="195" t="s">
        <v>3138</v>
      </c>
      <c r="D86" s="123"/>
      <c r="E86" s="123"/>
      <c r="F86" s="123"/>
      <c r="G86" s="123"/>
      <c r="H86" s="123"/>
      <c r="I86" s="123"/>
      <c r="J86" s="123"/>
      <c r="K86" s="123"/>
      <c r="L86" s="123"/>
      <c r="M86" s="123"/>
      <c r="N86" s="123"/>
      <c r="O86" s="72" t="s">
        <v>1458</v>
      </c>
      <c r="P86" s="72" t="s">
        <v>5748</v>
      </c>
      <c r="Q86" s="123"/>
      <c r="R86" s="72" t="s">
        <v>1211</v>
      </c>
      <c r="S86" s="123"/>
      <c r="T86" s="123"/>
      <c r="U86" s="195" t="s">
        <v>2565</v>
      </c>
      <c r="V86" s="123"/>
      <c r="W86" s="123"/>
      <c r="X86" s="123"/>
      <c r="Y86" s="123"/>
    </row>
    <row r="87">
      <c r="A87" s="138" t="s">
        <v>181</v>
      </c>
      <c r="B87" s="195" t="s">
        <v>5806</v>
      </c>
      <c r="C87" s="195" t="s">
        <v>3139</v>
      </c>
      <c r="D87" s="123"/>
      <c r="E87" s="123"/>
      <c r="F87" s="123"/>
      <c r="G87" s="123"/>
      <c r="H87" s="123"/>
      <c r="I87" s="123"/>
      <c r="J87" s="123"/>
      <c r="K87" s="123"/>
      <c r="L87" s="123"/>
      <c r="M87" s="123"/>
      <c r="N87" s="123"/>
      <c r="O87" s="72" t="s">
        <v>1458</v>
      </c>
      <c r="P87" s="72" t="s">
        <v>5776</v>
      </c>
      <c r="Q87" s="123"/>
      <c r="R87" s="72" t="s">
        <v>1211</v>
      </c>
      <c r="S87" s="123"/>
      <c r="T87" s="123"/>
      <c r="U87" s="195" t="s">
        <v>2565</v>
      </c>
      <c r="V87" s="123"/>
      <c r="W87" s="123"/>
      <c r="X87" s="123"/>
      <c r="Y87" s="123"/>
    </row>
    <row r="88">
      <c r="A88" s="138" t="s">
        <v>181</v>
      </c>
      <c r="B88" s="195" t="s">
        <v>1422</v>
      </c>
      <c r="C88" s="195" t="s">
        <v>1423</v>
      </c>
      <c r="D88" s="123"/>
      <c r="E88" s="123"/>
      <c r="F88" s="72" t="s">
        <v>5807</v>
      </c>
      <c r="G88" s="123"/>
      <c r="H88" s="72" t="s">
        <v>49</v>
      </c>
      <c r="I88" s="72" t="s">
        <v>5808</v>
      </c>
      <c r="J88" s="72" t="s">
        <v>5809</v>
      </c>
      <c r="K88" s="72" t="s">
        <v>5810</v>
      </c>
      <c r="L88" s="72" t="s">
        <v>2216</v>
      </c>
      <c r="M88" s="72" t="s">
        <v>5811</v>
      </c>
      <c r="N88" s="123"/>
      <c r="O88" s="72" t="s">
        <v>1211</v>
      </c>
      <c r="P88" s="123"/>
      <c r="Q88" s="123"/>
      <c r="R88" s="72" t="s">
        <v>1211</v>
      </c>
      <c r="S88" s="72" t="s">
        <v>5812</v>
      </c>
      <c r="T88" s="123"/>
      <c r="U88" s="195" t="s">
        <v>2565</v>
      </c>
      <c r="V88" s="123"/>
      <c r="W88" s="123"/>
      <c r="X88" s="123"/>
      <c r="Y88" s="123"/>
    </row>
    <row r="89">
      <c r="A89" s="138" t="s">
        <v>181</v>
      </c>
      <c r="B89" s="195" t="s">
        <v>5813</v>
      </c>
      <c r="C89" s="195" t="s">
        <v>3140</v>
      </c>
      <c r="D89" s="123"/>
      <c r="E89" s="123"/>
      <c r="F89" s="123"/>
      <c r="G89" s="123"/>
      <c r="H89" s="123"/>
      <c r="I89" s="123"/>
      <c r="J89" s="123"/>
      <c r="K89" s="123"/>
      <c r="L89" s="123"/>
      <c r="M89" s="123"/>
      <c r="N89" s="123"/>
      <c r="O89" s="72" t="s">
        <v>1458</v>
      </c>
      <c r="P89" s="72" t="s">
        <v>5748</v>
      </c>
      <c r="Q89" s="123"/>
      <c r="R89" s="72" t="s">
        <v>1211</v>
      </c>
      <c r="S89" s="123"/>
      <c r="T89" s="123"/>
      <c r="U89" s="195" t="s">
        <v>2565</v>
      </c>
      <c r="V89" s="123"/>
      <c r="W89" s="123"/>
      <c r="X89" s="123"/>
      <c r="Y89" s="123"/>
    </row>
    <row r="90">
      <c r="A90" s="138" t="s">
        <v>181</v>
      </c>
      <c r="B90" s="195" t="s">
        <v>5814</v>
      </c>
      <c r="C90" s="195" t="s">
        <v>3141</v>
      </c>
      <c r="D90" s="123"/>
      <c r="E90" s="123"/>
      <c r="F90" s="123"/>
      <c r="G90" s="123"/>
      <c r="H90" s="123"/>
      <c r="I90" s="123"/>
      <c r="J90" s="123"/>
      <c r="K90" s="123"/>
      <c r="L90" s="123"/>
      <c r="M90" s="123"/>
      <c r="N90" s="123"/>
      <c r="O90" s="72" t="s">
        <v>1458</v>
      </c>
      <c r="P90" s="72" t="s">
        <v>5798</v>
      </c>
      <c r="Q90" s="123"/>
      <c r="R90" s="72" t="s">
        <v>1211</v>
      </c>
      <c r="S90" s="123"/>
      <c r="T90" s="123"/>
      <c r="U90" s="195" t="s">
        <v>2565</v>
      </c>
      <c r="V90" s="123"/>
      <c r="W90" s="123"/>
      <c r="X90" s="123"/>
      <c r="Y90" s="123"/>
    </row>
    <row r="91">
      <c r="A91" s="138" t="s">
        <v>181</v>
      </c>
      <c r="B91" s="195" t="s">
        <v>5815</v>
      </c>
      <c r="C91" s="195" t="s">
        <v>3142</v>
      </c>
      <c r="D91" s="123"/>
      <c r="E91" s="123"/>
      <c r="F91" s="123"/>
      <c r="G91" s="123"/>
      <c r="H91" s="123"/>
      <c r="I91" s="123"/>
      <c r="J91" s="123"/>
      <c r="K91" s="123"/>
      <c r="L91" s="123"/>
      <c r="M91" s="123"/>
      <c r="N91" s="123"/>
      <c r="O91" s="72" t="s">
        <v>1458</v>
      </c>
      <c r="P91" s="72" t="s">
        <v>5748</v>
      </c>
      <c r="Q91" s="123"/>
      <c r="R91" s="72" t="s">
        <v>1211</v>
      </c>
      <c r="S91" s="123"/>
      <c r="T91" s="123"/>
      <c r="U91" s="195" t="s">
        <v>2565</v>
      </c>
      <c r="V91" s="123"/>
      <c r="W91" s="123"/>
      <c r="X91" s="123"/>
      <c r="Y91" s="123"/>
    </row>
    <row r="92">
      <c r="A92" s="138" t="s">
        <v>181</v>
      </c>
      <c r="B92" s="195" t="s">
        <v>5816</v>
      </c>
      <c r="C92" s="195" t="s">
        <v>3143</v>
      </c>
      <c r="D92" s="123"/>
      <c r="E92" s="123"/>
      <c r="F92" s="123"/>
      <c r="G92" s="123"/>
      <c r="H92" s="123"/>
      <c r="I92" s="123"/>
      <c r="J92" s="123"/>
      <c r="K92" s="123"/>
      <c r="L92" s="123"/>
      <c r="M92" s="123"/>
      <c r="N92" s="123"/>
      <c r="O92" s="72" t="s">
        <v>1458</v>
      </c>
      <c r="P92" s="72" t="s">
        <v>5748</v>
      </c>
      <c r="Q92" s="123"/>
      <c r="R92" s="72" t="s">
        <v>1211</v>
      </c>
      <c r="S92" s="123"/>
      <c r="T92" s="123"/>
      <c r="U92" s="195" t="s">
        <v>2565</v>
      </c>
      <c r="V92" s="123"/>
      <c r="W92" s="123"/>
      <c r="X92" s="123"/>
      <c r="Y92" s="123"/>
    </row>
    <row r="93">
      <c r="A93" s="138" t="s">
        <v>181</v>
      </c>
      <c r="B93" s="195" t="s">
        <v>5817</v>
      </c>
      <c r="C93" s="195" t="s">
        <v>3144</v>
      </c>
      <c r="D93" s="123"/>
      <c r="E93" s="123"/>
      <c r="F93" s="123"/>
      <c r="G93" s="123"/>
      <c r="H93" s="123"/>
      <c r="I93" s="123"/>
      <c r="J93" s="123"/>
      <c r="K93" s="123"/>
      <c r="L93" s="123"/>
      <c r="M93" s="123"/>
      <c r="N93" s="123"/>
      <c r="O93" s="72" t="s">
        <v>1458</v>
      </c>
      <c r="P93" s="72" t="s">
        <v>5748</v>
      </c>
      <c r="Q93" s="123"/>
      <c r="R93" s="72" t="s">
        <v>1211</v>
      </c>
      <c r="S93" s="123"/>
      <c r="T93" s="123"/>
      <c r="U93" s="195" t="s">
        <v>2565</v>
      </c>
      <c r="V93" s="123"/>
      <c r="W93" s="123"/>
      <c r="X93" s="123"/>
      <c r="Y93" s="123"/>
    </row>
    <row r="94">
      <c r="A94" s="138" t="s">
        <v>181</v>
      </c>
      <c r="B94" s="195" t="s">
        <v>407</v>
      </c>
      <c r="C94" s="195" t="s">
        <v>408</v>
      </c>
      <c r="D94" s="123"/>
      <c r="E94" s="123"/>
      <c r="F94" s="123"/>
      <c r="G94" s="123"/>
      <c r="H94" s="123"/>
      <c r="I94" s="123"/>
      <c r="J94" s="123"/>
      <c r="K94" s="123"/>
      <c r="L94" s="123"/>
      <c r="M94" s="123"/>
      <c r="N94" s="123"/>
      <c r="O94" s="72" t="s">
        <v>1458</v>
      </c>
      <c r="P94" s="72" t="s">
        <v>5748</v>
      </c>
      <c r="Q94" s="123"/>
      <c r="R94" s="72" t="s">
        <v>1211</v>
      </c>
      <c r="S94" s="123"/>
      <c r="T94" s="123"/>
      <c r="U94" s="195" t="s">
        <v>2565</v>
      </c>
      <c r="V94" s="123"/>
      <c r="W94" s="123"/>
      <c r="X94" s="123"/>
      <c r="Y94" s="123"/>
    </row>
    <row r="95">
      <c r="A95" s="138" t="s">
        <v>181</v>
      </c>
      <c r="B95" s="195" t="s">
        <v>5818</v>
      </c>
      <c r="C95" s="195" t="s">
        <v>3145</v>
      </c>
      <c r="D95" s="123"/>
      <c r="E95" s="123"/>
      <c r="F95" s="123"/>
      <c r="G95" s="123"/>
      <c r="H95" s="123"/>
      <c r="I95" s="123"/>
      <c r="J95" s="123"/>
      <c r="K95" s="123"/>
      <c r="L95" s="123"/>
      <c r="M95" s="123"/>
      <c r="N95" s="123"/>
      <c r="O95" s="72" t="s">
        <v>1458</v>
      </c>
      <c r="P95" s="72" t="s">
        <v>5748</v>
      </c>
      <c r="Q95" s="123"/>
      <c r="R95" s="72" t="s">
        <v>1211</v>
      </c>
      <c r="S95" s="123"/>
      <c r="T95" s="123"/>
      <c r="U95" s="195" t="s">
        <v>2565</v>
      </c>
      <c r="V95" s="123"/>
      <c r="W95" s="123"/>
      <c r="X95" s="123"/>
      <c r="Y95" s="123"/>
    </row>
    <row r="96">
      <c r="A96" s="138" t="s">
        <v>181</v>
      </c>
      <c r="B96" s="195" t="s">
        <v>5819</v>
      </c>
      <c r="C96" s="195" t="s">
        <v>3146</v>
      </c>
      <c r="D96" s="123"/>
      <c r="E96" s="123"/>
      <c r="F96" s="123"/>
      <c r="G96" s="123"/>
      <c r="H96" s="123"/>
      <c r="I96" s="123"/>
      <c r="J96" s="123"/>
      <c r="K96" s="123"/>
      <c r="L96" s="123"/>
      <c r="M96" s="123"/>
      <c r="N96" s="123"/>
      <c r="O96" s="72" t="s">
        <v>1458</v>
      </c>
      <c r="P96" s="72" t="s">
        <v>5748</v>
      </c>
      <c r="Q96" s="123"/>
      <c r="R96" s="72" t="s">
        <v>1211</v>
      </c>
      <c r="S96" s="123"/>
      <c r="T96" s="123"/>
      <c r="U96" s="195" t="s">
        <v>2563</v>
      </c>
      <c r="V96" s="123"/>
      <c r="W96" s="123"/>
      <c r="X96" s="123"/>
      <c r="Y96" s="123"/>
    </row>
    <row r="97">
      <c r="A97" s="138" t="s">
        <v>181</v>
      </c>
      <c r="B97" s="195" t="s">
        <v>5820</v>
      </c>
      <c r="C97" s="195" t="s">
        <v>3147</v>
      </c>
      <c r="D97" s="123"/>
      <c r="E97" s="123"/>
      <c r="F97" s="123"/>
      <c r="G97" s="123"/>
      <c r="H97" s="123"/>
      <c r="I97" s="123"/>
      <c r="J97" s="123"/>
      <c r="K97" s="123"/>
      <c r="L97" s="123"/>
      <c r="M97" s="123"/>
      <c r="N97" s="123"/>
      <c r="O97" s="72" t="s">
        <v>1458</v>
      </c>
      <c r="P97" s="72" t="s">
        <v>5748</v>
      </c>
      <c r="Q97" s="123"/>
      <c r="R97" s="72" t="s">
        <v>1211</v>
      </c>
      <c r="S97" s="123"/>
      <c r="T97" s="123"/>
      <c r="U97" s="195" t="s">
        <v>2563</v>
      </c>
      <c r="V97" s="123"/>
      <c r="W97" s="123"/>
      <c r="X97" s="123"/>
      <c r="Y97" s="123"/>
    </row>
    <row r="98">
      <c r="A98" s="138" t="s">
        <v>181</v>
      </c>
      <c r="B98" s="195" t="s">
        <v>1430</v>
      </c>
      <c r="C98" s="195" t="s">
        <v>1431</v>
      </c>
      <c r="D98" s="123"/>
      <c r="E98" s="123"/>
      <c r="F98" s="72" t="s">
        <v>5821</v>
      </c>
      <c r="G98" s="72" t="s">
        <v>5822</v>
      </c>
      <c r="H98" s="72" t="s">
        <v>49</v>
      </c>
      <c r="I98" s="72" t="s">
        <v>5823</v>
      </c>
      <c r="J98" s="72" t="s">
        <v>5824</v>
      </c>
      <c r="K98" s="72" t="s">
        <v>5825</v>
      </c>
      <c r="L98" s="72" t="s">
        <v>612</v>
      </c>
      <c r="M98" s="72" t="s">
        <v>1765</v>
      </c>
      <c r="N98" s="123"/>
      <c r="O98" s="72" t="s">
        <v>1211</v>
      </c>
      <c r="P98" s="123"/>
      <c r="Q98" s="123"/>
      <c r="R98" s="72" t="s">
        <v>1211</v>
      </c>
      <c r="S98" s="123"/>
      <c r="T98" s="72" t="s">
        <v>1436</v>
      </c>
      <c r="U98" s="195" t="s">
        <v>2563</v>
      </c>
      <c r="V98" s="72" t="s">
        <v>5826</v>
      </c>
      <c r="W98" s="123"/>
      <c r="X98" s="123"/>
      <c r="Y98" s="123"/>
    </row>
    <row r="99">
      <c r="A99" s="138" t="s">
        <v>181</v>
      </c>
      <c r="B99" s="195" t="s">
        <v>5827</v>
      </c>
      <c r="C99" s="195" t="s">
        <v>3148</v>
      </c>
      <c r="D99" s="123"/>
      <c r="E99" s="123"/>
      <c r="F99" s="123"/>
      <c r="G99" s="123"/>
      <c r="H99" s="123"/>
      <c r="I99" s="123"/>
      <c r="J99" s="123"/>
      <c r="K99" s="123"/>
      <c r="L99" s="123"/>
      <c r="M99" s="123"/>
      <c r="N99" s="123"/>
      <c r="O99" s="72" t="s">
        <v>1458</v>
      </c>
      <c r="P99" s="72" t="s">
        <v>5748</v>
      </c>
      <c r="Q99" s="123"/>
      <c r="R99" s="72" t="s">
        <v>1211</v>
      </c>
      <c r="S99" s="123"/>
      <c r="T99" s="123"/>
      <c r="U99" s="195" t="s">
        <v>5828</v>
      </c>
      <c r="V99" s="123"/>
      <c r="W99" s="123"/>
      <c r="X99" s="123"/>
      <c r="Y99" s="123"/>
    </row>
    <row r="100">
      <c r="A100" s="138" t="s">
        <v>181</v>
      </c>
      <c r="B100" s="195" t="s">
        <v>5829</v>
      </c>
      <c r="C100" s="195" t="s">
        <v>5829</v>
      </c>
      <c r="D100" s="123"/>
      <c r="E100" s="123"/>
      <c r="F100" s="123"/>
      <c r="G100" s="123"/>
      <c r="H100" s="123"/>
      <c r="I100" s="123"/>
      <c r="J100" s="123"/>
      <c r="K100" s="123"/>
      <c r="L100" s="123"/>
      <c r="M100" s="123"/>
      <c r="N100" s="123"/>
      <c r="O100" s="72" t="s">
        <v>1458</v>
      </c>
      <c r="P100" s="72" t="s">
        <v>5798</v>
      </c>
      <c r="Q100" s="123"/>
      <c r="R100" s="72" t="s">
        <v>1211</v>
      </c>
      <c r="S100" s="123"/>
      <c r="T100" s="123"/>
      <c r="U100" s="195" t="s">
        <v>5828</v>
      </c>
      <c r="V100" s="123"/>
      <c r="W100" s="123"/>
      <c r="X100" s="123"/>
      <c r="Y100" s="123"/>
    </row>
    <row r="101">
      <c r="A101" s="138" t="s">
        <v>181</v>
      </c>
      <c r="B101" s="195" t="s">
        <v>5830</v>
      </c>
      <c r="C101" s="195" t="s">
        <v>3150</v>
      </c>
      <c r="D101" s="123"/>
      <c r="E101" s="123"/>
      <c r="F101" s="123"/>
      <c r="G101" s="123"/>
      <c r="H101" s="123"/>
      <c r="I101" s="123"/>
      <c r="J101" s="123"/>
      <c r="K101" s="123"/>
      <c r="L101" s="123"/>
      <c r="M101" s="123"/>
      <c r="N101" s="123"/>
      <c r="O101" s="72" t="s">
        <v>1458</v>
      </c>
      <c r="P101" s="72" t="s">
        <v>5748</v>
      </c>
      <c r="Q101" s="123"/>
      <c r="R101" s="72" t="s">
        <v>1211</v>
      </c>
      <c r="S101" s="123"/>
      <c r="T101" s="123"/>
      <c r="U101" s="195" t="s">
        <v>5828</v>
      </c>
      <c r="V101" s="123"/>
      <c r="W101" s="123"/>
      <c r="X101" s="123"/>
      <c r="Y101" s="123"/>
    </row>
    <row r="102">
      <c r="A102" s="138" t="s">
        <v>181</v>
      </c>
      <c r="B102" s="195" t="s">
        <v>5831</v>
      </c>
      <c r="C102" s="195" t="s">
        <v>3151</v>
      </c>
      <c r="D102" s="123"/>
      <c r="E102" s="123"/>
      <c r="F102" s="123"/>
      <c r="G102" s="123"/>
      <c r="H102" s="123"/>
      <c r="I102" s="123"/>
      <c r="J102" s="123"/>
      <c r="K102" s="123"/>
      <c r="L102" s="123"/>
      <c r="M102" s="123"/>
      <c r="N102" s="123"/>
      <c r="O102" s="72" t="s">
        <v>1458</v>
      </c>
      <c r="P102" s="72" t="s">
        <v>5776</v>
      </c>
      <c r="Q102" s="123"/>
      <c r="R102" s="72" t="s">
        <v>1211</v>
      </c>
      <c r="S102" s="123"/>
      <c r="T102" s="123"/>
      <c r="U102" s="195" t="s">
        <v>5832</v>
      </c>
      <c r="V102" s="123"/>
      <c r="W102" s="123"/>
      <c r="X102" s="123"/>
      <c r="Y102" s="123"/>
    </row>
    <row r="103">
      <c r="A103" s="138" t="s">
        <v>181</v>
      </c>
      <c r="B103" s="195" t="s">
        <v>5833</v>
      </c>
      <c r="C103" s="195" t="s">
        <v>3152</v>
      </c>
      <c r="D103" s="123"/>
      <c r="E103" s="123"/>
      <c r="F103" s="72"/>
      <c r="G103" s="123"/>
      <c r="H103" s="123"/>
      <c r="I103" s="123"/>
      <c r="J103" s="123"/>
      <c r="K103" s="123"/>
      <c r="L103" s="123"/>
      <c r="M103" s="123"/>
      <c r="N103" s="123"/>
      <c r="O103" s="72" t="s">
        <v>1458</v>
      </c>
      <c r="P103" s="72" t="s">
        <v>5776</v>
      </c>
      <c r="Q103" s="123"/>
      <c r="R103" s="72" t="s">
        <v>1211</v>
      </c>
      <c r="S103" s="123"/>
      <c r="T103" s="123"/>
      <c r="U103" s="195" t="s">
        <v>5832</v>
      </c>
      <c r="V103" s="123"/>
      <c r="W103" s="123"/>
      <c r="X103" s="123"/>
      <c r="Y103" s="123"/>
    </row>
    <row r="104">
      <c r="A104" s="138" t="s">
        <v>181</v>
      </c>
      <c r="B104" s="195" t="s">
        <v>5834</v>
      </c>
      <c r="C104" s="195" t="s">
        <v>3153</v>
      </c>
      <c r="D104" s="123"/>
      <c r="E104" s="123"/>
      <c r="F104" s="123"/>
      <c r="G104" s="123"/>
      <c r="H104" s="123"/>
      <c r="I104" s="123"/>
      <c r="J104" s="123"/>
      <c r="K104" s="123"/>
      <c r="L104" s="123"/>
      <c r="M104" s="123"/>
      <c r="N104" s="123"/>
      <c r="O104" s="72" t="s">
        <v>1458</v>
      </c>
      <c r="P104" s="72" t="s">
        <v>5798</v>
      </c>
      <c r="Q104" s="123"/>
      <c r="R104" s="72" t="s">
        <v>1211</v>
      </c>
      <c r="S104" s="123"/>
      <c r="T104" s="123"/>
      <c r="U104" s="195" t="s">
        <v>5832</v>
      </c>
      <c r="V104" s="123"/>
      <c r="W104" s="123"/>
      <c r="X104" s="123"/>
      <c r="Y104" s="123"/>
    </row>
    <row r="105">
      <c r="A105" s="138" t="s">
        <v>181</v>
      </c>
      <c r="B105" s="195" t="s">
        <v>5835</v>
      </c>
      <c r="C105" s="195" t="s">
        <v>3154</v>
      </c>
      <c r="D105" s="123"/>
      <c r="E105" s="123"/>
      <c r="F105" s="123"/>
      <c r="G105" s="123"/>
      <c r="H105" s="123"/>
      <c r="I105" s="123"/>
      <c r="J105" s="123"/>
      <c r="K105" s="123"/>
      <c r="L105" s="123"/>
      <c r="M105" s="123"/>
      <c r="N105" s="123"/>
      <c r="O105" s="72" t="s">
        <v>1458</v>
      </c>
      <c r="P105" s="72" t="s">
        <v>5836</v>
      </c>
      <c r="Q105" s="123"/>
      <c r="R105" s="72" t="s">
        <v>1211</v>
      </c>
      <c r="S105" s="123"/>
      <c r="T105" s="123"/>
      <c r="U105" s="195" t="s">
        <v>5832</v>
      </c>
      <c r="V105" s="123"/>
      <c r="W105" s="123"/>
      <c r="X105" s="123"/>
      <c r="Y105" s="123"/>
    </row>
    <row r="106">
      <c r="A106" s="138" t="s">
        <v>181</v>
      </c>
      <c r="B106" s="195" t="s">
        <v>5837</v>
      </c>
      <c r="C106" s="195" t="s">
        <v>3155</v>
      </c>
      <c r="D106" s="123"/>
      <c r="E106" s="123"/>
      <c r="F106" s="123"/>
      <c r="G106" s="123"/>
      <c r="H106" s="123"/>
      <c r="I106" s="123"/>
      <c r="J106" s="123"/>
      <c r="K106" s="123"/>
      <c r="L106" s="123"/>
      <c r="M106" s="123"/>
      <c r="N106" s="123"/>
      <c r="O106" s="72" t="s">
        <v>1458</v>
      </c>
      <c r="P106" s="72" t="s">
        <v>5836</v>
      </c>
      <c r="Q106" s="123"/>
      <c r="R106" s="72" t="s">
        <v>1211</v>
      </c>
      <c r="S106" s="123"/>
      <c r="T106" s="123"/>
      <c r="U106" s="195" t="s">
        <v>5838</v>
      </c>
      <c r="V106" s="123"/>
      <c r="W106" s="123"/>
      <c r="X106" s="123"/>
      <c r="Y106" s="123"/>
    </row>
    <row r="107">
      <c r="A107" s="138" t="s">
        <v>181</v>
      </c>
      <c r="B107" s="195" t="s">
        <v>5839</v>
      </c>
      <c r="C107" s="195" t="s">
        <v>3156</v>
      </c>
      <c r="D107" s="123"/>
      <c r="E107" s="123"/>
      <c r="F107" s="123"/>
      <c r="G107" s="123"/>
      <c r="H107" s="123"/>
      <c r="I107" s="123"/>
      <c r="J107" s="123"/>
      <c r="K107" s="123"/>
      <c r="L107" s="123"/>
      <c r="M107" s="123"/>
      <c r="N107" s="123"/>
      <c r="O107" s="72" t="s">
        <v>1458</v>
      </c>
      <c r="P107" s="72" t="s">
        <v>5836</v>
      </c>
      <c r="Q107" s="123"/>
      <c r="R107" s="72" t="s">
        <v>1211</v>
      </c>
      <c r="S107" s="123"/>
      <c r="T107" s="123"/>
      <c r="U107" s="195" t="s">
        <v>5838</v>
      </c>
      <c r="V107" s="123"/>
      <c r="W107" s="123"/>
      <c r="X107" s="123"/>
      <c r="Y107" s="123"/>
    </row>
    <row r="108">
      <c r="A108" s="138" t="s">
        <v>181</v>
      </c>
      <c r="B108" s="195" t="s">
        <v>5840</v>
      </c>
      <c r="C108" s="195" t="s">
        <v>3157</v>
      </c>
      <c r="D108" s="123"/>
      <c r="E108" s="123"/>
      <c r="F108" s="123"/>
      <c r="G108" s="123"/>
      <c r="H108" s="123"/>
      <c r="I108" s="123"/>
      <c r="J108" s="123"/>
      <c r="K108" s="123"/>
      <c r="L108" s="123"/>
      <c r="M108" s="123"/>
      <c r="N108" s="123"/>
      <c r="O108" s="72" t="s">
        <v>1458</v>
      </c>
      <c r="P108" s="72" t="s">
        <v>5836</v>
      </c>
      <c r="Q108" s="123"/>
      <c r="R108" s="72" t="s">
        <v>1211</v>
      </c>
      <c r="S108" s="123"/>
      <c r="T108" s="123"/>
      <c r="U108" s="195" t="s">
        <v>5838</v>
      </c>
      <c r="V108" s="123"/>
      <c r="W108" s="123"/>
      <c r="X108" s="123"/>
      <c r="Y108" s="12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