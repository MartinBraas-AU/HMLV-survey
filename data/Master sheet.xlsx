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2"/>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meline " sheetId="1" r:id="rId4"/>
    <sheet state="visible" name="RQs" sheetId="2" r:id="rId5"/>
    <sheet state="visible" name="Info" sheetId="3" r:id="rId6"/>
    <sheet state="visible" name="Master sheet" sheetId="4" r:id="rId7"/>
    <sheet state="visible" name="Cleaned Master sheet" sheetId="5" r:id="rId8"/>
    <sheet state="visible" name="Methods and tech keywords searc" sheetId="6" r:id="rId9"/>
    <sheet state="visible" name="Counts (definitions.tex)" sheetId="7" r:id="rId10"/>
    <sheet state="visible" name="Possibly relevant papers" sheetId="8" r:id="rId11"/>
    <sheet state="visible" name="Extras" sheetId="9" r:id="rId12"/>
    <sheet state="visible" name="People writing" sheetId="10" r:id="rId13"/>
    <sheet state="visible" name="Related Reviews" sheetId="11" r:id="rId14"/>
    <sheet state="visible" name="Discarded" sheetId="12" r:id="rId15"/>
    <sheet state="visible" name="Tasks" sheetId="13" r:id="rId16"/>
    <sheet state="visible" name="Master query" sheetId="14" r:id="rId17"/>
    <sheet state="visible" name="Prisma overview" sheetId="15" r:id="rId18"/>
    <sheet state="visible" name="P1" sheetId="16" r:id="rId19"/>
    <sheet state="visible" name="P2" sheetId="17" r:id="rId20"/>
    <sheet state="visible" name="P3" sheetId="18" r:id="rId21"/>
    <sheet state="visible" name="P4" sheetId="19" r:id="rId22"/>
    <sheet state="visible" name="P5" sheetId="20" r:id="rId23"/>
    <sheet state="visible" name="P6" sheetId="21" r:id="rId24"/>
    <sheet state="visible" name="P7" sheetId="22" r:id="rId25"/>
    <sheet state="visible" name="Exclussion basis" sheetId="23" r:id="rId26"/>
    <sheet state="visible" name="Snowballing" sheetId="24" r:id="rId27"/>
    <sheet state="visible" name="Reviewers" sheetId="25" r:id="rId28"/>
    <sheet state="visible" name="Timeline" sheetId="26" r:id="rId29"/>
    <sheet state="visible" name="L0 Snowballing" sheetId="27" r:id="rId30"/>
    <sheet state="visible" name="L1 Snowballing" sheetId="28" r:id="rId31"/>
  </sheets>
  <definedNames>
    <definedName hidden="1" localSheetId="5" name="_xlnm._FilterDatabase">'Methods and tech keywords searc'!$A$1:$B$110</definedName>
  </definedNames>
  <calcPr/>
  <extLst>
    <ext uri="GoogleSheetsCustomDataVersion2">
      <go:sheetsCustomData xmlns:go="http://customooxmlschemas.google.com/" r:id="rId32" roundtripDataChecksum="WJnPcR9/oC3mNX2g/uQWIQLdTIShEW2O6xH+BlL6x+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10">
      <text>
        <t xml:space="preserve">======
ID#AAAB4K3-qVw
Anonymous    (2026-04-09 08:48:14)
L4</t>
      </text>
    </comment>
    <comment authorId="0" ref="F58">
      <text>
        <t xml:space="preserve">======
ID#AAAB4K3-qVs
Anonymous    (2026-04-09 08:47:55)
L4</t>
      </text>
    </comment>
    <comment authorId="0" ref="F52">
      <text>
        <t xml:space="preserve">======
ID#AAAB4K3-qVo
Anonymous    (2026-04-09 08:47:46)
L4</t>
      </text>
    </comment>
    <comment authorId="0" ref="F91">
      <text>
        <t xml:space="preserve">======
ID#AAAB4K3-qVk
Anonymous    (2026-04-09 08:46:53)
L3/L4</t>
      </text>
    </comment>
    <comment authorId="0" ref="F36">
      <text>
        <t xml:space="preserve">======
ID#AAAB4K3-qVg
Anonymous    (2026-04-09 08:46:33)
L3/L4</t>
      </text>
    </comment>
    <comment authorId="0" ref="F34">
      <text>
        <t xml:space="preserve">======
ID#AAAB4K3-qVc
Anonymous    (2026-04-09 08:46:24)
L3/L4</t>
      </text>
    </comment>
    <comment authorId="0" ref="F205">
      <text>
        <t xml:space="preserve">======
ID#AAAB45KTWIQ
Anonymous    (2026-04-08 11:37:51)
L3/L4</t>
      </text>
    </comment>
    <comment authorId="0" ref="I112">
      <text>
        <t xml:space="preserve">======
ID#AAAB1LoY74U
Anonymous    (2026-02-27 11:58:03)
(proof-of-concept)</t>
      </text>
    </comment>
    <comment authorId="0" ref="J181">
      <text>
        <t xml:space="preserve">======
ID#AAAB0cL3pIY
Anonymous    (2026-02-16 10:44:44)
Experts evaluate the results also</t>
      </text>
    </comment>
    <comment authorId="0" ref="G171">
      <text>
        <t xml:space="preserve">======
ID#AAAB0bY8m04
Anonymous    (2026-02-16 09:36:38)
dataset (NASA C-MAPSS from simulation)</t>
      </text>
    </comment>
    <comment authorId="0" ref="G127">
      <text>
        <t xml:space="preserve">======
ID#AAAB0a8r2bQ
Anonymous    (2026-02-15 12:54:29)
Extended benchmark</t>
      </text>
    </comment>
    <comment authorId="0" ref="J102">
      <text>
        <t xml:space="preserve">======
ID#AAAB0a4DuD0
Anonymous    (2026-02-15 10:34:49)
Industrial data from how the manufacturing env is, not data points.</t>
      </text>
    </comment>
    <comment authorId="0" ref="G90">
      <text>
        <t xml:space="preserve">======
ID#AAAB0P3yKQk
Anonymous    (2026-02-13 08:43:59)
Uses Kacem dataset, but cannot see if its a benchmark</t>
      </text>
    </comment>
    <comment authorId="0" ref="O1">
      <text>
        <t xml:space="preserve">======
ID#AAAB0MuEE_E
Anonymous    (2026-02-12 13:13:19)
None = General Manufacturing</t>
      </text>
    </comment>
    <comment authorId="0" ref="G82">
      <text>
        <t xml:space="preserve">======
ID#AAAB0MbFVjE
Anonymous    (2026-02-12 08:47:01)
P3: When i looked at the paper i found that the paper did not use a simulation. and the case study they referee to is not industrial but from a lab.</t>
      </text>
    </comment>
    <comment authorId="0" ref="G75">
      <text>
        <t xml:space="preserve">======
ID#AAAB0MbFVi4
Anonymous    (2026-02-12 07:40:20)
P3: "Hybrid - Simulation + Physical setup" Im not sure what physical setup means here, is this a lab or?</t>
      </text>
    </comment>
    <comment authorId="0" ref="J1">
      <text>
        <t xml:space="preserve">======
ID#AAAB0A--61g
Anonymous    (2026-02-09 12:04:33)
"-": Missing information
------
ID#AAAB0NtDDu8
Anonymous    (2026-02-12 14:22:47)
https://github.com/bulentsoykan/Dataset-benchmark-job-shop-scheduling-problem
------
ID#AAAB0iVVux8
Anonymous    (2026-02-19 10:23:04)
Industrial data both covers sensor/measurement data and layout/environment information from actual production.
------
ID#AAAB0iVVuyA
Anonymous    (2026-02-19 10:25:06)
Some papers extends/constructs based on benchmarks, this counts as using benchmark.</t>
      </text>
    </comment>
    <comment authorId="0" ref="G27">
      <text>
        <t xml:space="preserve">======
ID#AAAB0A--6z0
Anonymous    (2026-02-09 11:26:56)
P1: Guess this was scenarios?</t>
      </text>
    </comment>
    <comment authorId="0" ref="L17">
      <text>
        <t xml:space="preserve">======
ID#AAAB0A--6ys
Filip Dzigurski    (2026-02-09 09:57:07)
P1 check</t>
      </text>
    </comment>
    <comment authorId="0" ref="L16">
      <text>
        <t xml:space="preserve">======
ID#AAAB0A--6yo
Filip Dzigurski    (2026-02-09 09:56:24)
P1: what does this stand for?</t>
      </text>
    </comment>
    <comment authorId="0" ref="L8">
      <text>
        <t xml:space="preserve">======
ID#AAAB0A--6yk
Filip Dzigurski    (2026-02-09 09:49:28)
P1: is ADP Automatic Data Processing?
------
ID#AAAB0A--6zw
SAMRA YOUSAF    (2026-02-09 11:20:27)
approximate dynamic programming i guess</t>
      </text>
    </comment>
  </commentList>
  <extLst>
    <ext uri="GoogleSheetsCustomDataVersion2">
      <go:sheetsCustomData xmlns:go="http://customooxmlschemas.google.com/" r:id="rId1" roundtripDataSignature="AMtx7mi5M4vakCEEF3zSjd66w/u6vYmA6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31">
      <text>
        <t xml:space="preserve">======
ID#AAABxkb7BAs
Jannik Fibiger    (2025-12-16 14:11:07)
Supply Chain</t>
      </text>
    </comment>
    <comment authorId="0" ref="I30">
      <text>
        <t xml:space="preserve">======
ID#AAABxkb7BAo
Jannik Fibiger    (2025-12-16 14:10:53)
Enterprise ig</t>
      </text>
    </comment>
    <comment authorId="0" ref="I28">
      <text>
        <t xml:space="preserve">======
ID#AAABxkb7BAk
Jannik Fibiger    (2025-12-16 14:10:21)
Enterprise</t>
      </text>
    </comment>
  </commentList>
  <extLst>
    <ext uri="GoogleSheetsCustomDataVersion2">
      <go:sheetsCustomData xmlns:go="http://customooxmlschemas.google.com/" r:id="rId1" roundtripDataSignature="AMtx7mjZN7MStFa3qY+Hryk2636hChXTT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V10">
      <text>
        <t xml:space="preserve">======
ID#AAAByd3uXyI
Anonymous    (2026-01-12 10:21:56)
I guess this is empty?</t>
      </text>
    </comment>
    <comment authorId="0" ref="I10">
      <text>
        <t xml:space="preserve">======
ID#AAAByXYXB1c
Anonymous    (2026-01-07 10:30:40)
Pls tag the manufacturing level here</t>
      </text>
    </comment>
  </commentList>
  <extLst>
    <ext uri="GoogleSheetsCustomDataVersion2">
      <go:sheetsCustomData xmlns:go="http://customooxmlschemas.google.com/" r:id="rId1" roundtripDataSignature="AMtx7mgnWs0f1aLYRZR9Xv3lFJ6ibIVoiA=="/>
    </ext>
  </extLst>
</comments>
</file>

<file path=xl/sharedStrings.xml><?xml version="1.0" encoding="utf-8"?>
<sst xmlns="http://schemas.openxmlformats.org/spreadsheetml/2006/main" count="15458" uniqueCount="5828">
  <si>
    <t>Januar</t>
  </si>
  <si>
    <t>Februar</t>
  </si>
  <si>
    <t>Marts</t>
  </si>
  <si>
    <t>Task</t>
  </si>
  <si>
    <t>Write findings/topics from reviewed papers</t>
  </si>
  <si>
    <t>FINAL</t>
  </si>
  <si>
    <t>deadline</t>
  </si>
  <si>
    <t>Snowballing</t>
  </si>
  <si>
    <t>Structure</t>
  </si>
  <si>
    <t>Methodology (Lead)</t>
  </si>
  <si>
    <t>Distributed Writing</t>
  </si>
  <si>
    <t>Discussion</t>
  </si>
  <si>
    <t>Conclusion</t>
  </si>
  <si>
    <t>Introduction</t>
  </si>
  <si>
    <t>Refinement / Alignment (Figures, text, tables,...)</t>
  </si>
  <si>
    <t>Professors reviews</t>
  </si>
  <si>
    <t>Polishing</t>
  </si>
  <si>
    <t>Planning &amp; Status Meeting Teams</t>
  </si>
  <si>
    <t>M</t>
  </si>
  <si>
    <t>Legend:</t>
  </si>
  <si>
    <t>P = Planned / Expected</t>
  </si>
  <si>
    <t>D = Delayed</t>
  </si>
  <si>
    <t>Done = Completed</t>
  </si>
  <si>
    <t>X = Extended</t>
  </si>
  <si>
    <t>Group 1</t>
  </si>
  <si>
    <t>What existing decision support methods has had the biggest improvements in manufacturing?</t>
  </si>
  <si>
    <t>Where specifically are these improvements found and measured?</t>
  </si>
  <si>
    <t>In industry 4.0 related technologies, which are most widespread for current decision support improvements in manufacturing?</t>
  </si>
  <si>
    <t xml:space="preserve">Group 2 </t>
  </si>
  <si>
    <t>Which decision problems are addressed by decision support approaches in HMLV manufacturing, and which problem characteristics are reported as challenging? (dynamic environment, random arrivals of jobs, real-time, large-scale/scalability).</t>
  </si>
  <si>
    <t>Which methods and enabling technologies are used for decision support in HMLV manufacturing systems?</t>
  </si>
  <si>
    <t>What decision objectives does decision support in HMLV manufacturing have? (makespan, energy consumption, ...)</t>
  </si>
  <si>
    <t>How are decision support approaches for HMLV manufacturing evaluated, and what limitations are reported regarding their applicability and deployment?</t>
  </si>
  <si>
    <t>Group 3</t>
  </si>
  <si>
    <t>Are there similarities between decision-support tools stemming from different levels of production?</t>
  </si>
  <si>
    <t>What is the most common area/subject tackled in decision-support in HMLV?</t>
  </si>
  <si>
    <t>- Job Shop Scheduling Problem</t>
  </si>
  <si>
    <t>- L2: Factory level</t>
  </si>
  <si>
    <t>Which technologies are seeing the most focus when addressing decisions-support in HMLV?</t>
  </si>
  <si>
    <t>What are the different drivers behind decision-making in each production level?</t>
  </si>
  <si>
    <t>What are the main drivers behind the development of decision-making tools in and across all production levels</t>
  </si>
  <si>
    <t>Potential Categories</t>
  </si>
  <si>
    <t>Production Levels</t>
  </si>
  <si>
    <t xml:space="preserve">Tool: i.e. AI, Methodology, Simulation, </t>
  </si>
  <si>
    <t>Decision objective: Makespan, energy consumption, robustness/resilience</t>
  </si>
  <si>
    <t>L0</t>
  </si>
  <si>
    <t>Machine/Process level - A single machine, workstation and process. Such as an CNC machine.</t>
  </si>
  <si>
    <t>L1</t>
  </si>
  <si>
    <t>Line/Cell level - A group of machines or processes that interact. An example could be a manufacturing cell with two robots and two CNC machines.</t>
  </si>
  <si>
    <t>L2</t>
  </si>
  <si>
    <t>Factory level - An entire factory consisting of multiple lines or cells, or where the paper is concerned with a group of machines.</t>
  </si>
  <si>
    <t>L3/L4</t>
  </si>
  <si>
    <t>Enterprise/Supply chain - Multiple factories/plants or external partners across a supply chain.</t>
  </si>
  <si>
    <t>Claimed contribution vs actual contribution</t>
  </si>
  <si>
    <r>
      <rPr>
        <rFont val="Verdana"/>
        <color theme="1"/>
      </rPr>
      <t xml:space="preserve">What I had in mind was the following:
The claimed contribution is </t>
    </r>
    <r>
      <rPr>
        <rFont val="Verdana"/>
        <b/>
        <color theme="1"/>
      </rPr>
      <t>what the authors of the paper claim their contribution to be</t>
    </r>
    <r>
      <rPr>
        <rFont val="Verdana"/>
        <color theme="1"/>
      </rPr>
      <t xml:space="preserve">. This is often mentioned in the abstract, put in bullets in the end of the introduction,  hopefully address during the discussion, and lastly touch upon in the conclusion. However, authors do unfortunately occasionally over sell their contributions and/or fail to highlight what is the main takeaway from the paper (so it can be ‘bad’ in both directions). Hence, I often note </t>
    </r>
    <r>
      <rPr>
        <rFont val="Verdana"/>
        <b/>
        <color theme="1"/>
      </rPr>
      <t>what I think is the actual contribution of the paper</t>
    </r>
    <r>
      <rPr>
        <rFont val="Verdana"/>
        <color theme="1"/>
      </rPr>
      <t>. Naturally, for a good peer-review paper the claimed contribution and what you think is a contribution should align almost exactly.</t>
    </r>
  </si>
  <si>
    <t>For example, some papers only evaluate their performance in a very limited set of scenarios</t>
  </si>
  <si>
    <t>Or stating three contributions where two of them are roughly the same but rephrased slightly different to get a total of three contributions (which for some reason looks better…. or something..)</t>
  </si>
  <si>
    <t>key_id</t>
  </si>
  <si>
    <t>Title</t>
  </si>
  <si>
    <t>Relevance Score</t>
  </si>
  <si>
    <t>Reasoning</t>
  </si>
  <si>
    <t>Methods</t>
  </si>
  <si>
    <t>Technologies</t>
  </si>
  <si>
    <t>Automated Manufacturing Level</t>
  </si>
  <si>
    <t>Negatives Found</t>
  </si>
  <si>
    <t>Manfufacturing level</t>
  </si>
  <si>
    <t>Reviewer</t>
  </si>
  <si>
    <t>Snowball?</t>
  </si>
  <si>
    <t>Reviewer Suggested</t>
  </si>
  <si>
    <t>Page count</t>
  </si>
  <si>
    <t>L0 Count</t>
  </si>
  <si>
    <t>L1 Count</t>
  </si>
  <si>
    <t>L2 Count</t>
  </si>
  <si>
    <t>L3 Count</t>
  </si>
  <si>
    <t>L4 Count</t>
  </si>
  <si>
    <t>L3/L4 Count</t>
  </si>
  <si>
    <t>L0/L1/L2/L3/L4</t>
  </si>
  <si>
    <t>Count All</t>
  </si>
  <si>
    <t>Filtered L0 Count</t>
  </si>
  <si>
    <t>Filtered L1 Count</t>
  </si>
  <si>
    <t>Filtered L2 Count</t>
  </si>
  <si>
    <t>Filtered L3 Count</t>
  </si>
  <si>
    <t>Filtered L4 Count</t>
  </si>
  <si>
    <t>Filtered L3/L4 Count</t>
  </si>
  <si>
    <t>Filtered L0/L1/L2/L3/L4 Count</t>
  </si>
  <si>
    <t>All filtered count</t>
  </si>
  <si>
    <t>2024_unleashing_mixed-reality_capability_in_deep_reinforcement_learning-based_robot_motion_generation_towards_safe_human–robot_collaboration</t>
  </si>
  <si>
    <t>Unleashing mixed-reality capability in Deep Reinforcement Learning-based robot motion generation towards safe human–robot collaboration</t>
  </si>
  <si>
    <t>++</t>
  </si>
  <si>
    <t>Core tech (19) + manufacturing (6) + strong decision or scheduling/simulation/robotics signal</t>
  </si>
  <si>
    <t>reinforcement learning, simulation</t>
  </si>
  <si>
    <t>deep learning, human-robot collaboration, reinforcement learning, robot</t>
  </si>
  <si>
    <t>Unclassified</t>
  </si>
  <si>
    <t>P5</t>
  </si>
  <si>
    <t>2024_rtmn_2.0—an_extension_of_robot_task_modeling_and_notation_(rtmn)_focused_on_human–robot_collaboration</t>
  </si>
  <si>
    <t>RTMN 2.0—An Extension of Robot Task Modeling and Notation (RTMN) Focused on Human–Robot Collaboration</t>
  </si>
  <si>
    <t>Core tech (17) + manufacturing (4) + strong decision or scheduling/simulation/robotics signal</t>
  </si>
  <si>
    <t>hrc, robot</t>
  </si>
  <si>
    <t>2024_design_and_optimization_of_smt_reflow_soldering_curves_driven_by_digital_twins</t>
  </si>
  <si>
    <t>Design and Optimization of SMT Reflow Soldering Curves Driven by Digital Twins</t>
  </si>
  <si>
    <t>Core tech (4) + manufacturing (2) + strong decision or scheduling/simulation/robotics signal</t>
  </si>
  <si>
    <t>optimization</t>
  </si>
  <si>
    <t>digital twin</t>
  </si>
  <si>
    <t>2023_knowledge-driven_framework_for_industrial_robotic_systems</t>
  </si>
  <si>
    <t>Knowledge-driven framework for industrial robotic systems</t>
  </si>
  <si>
    <t>Core tech (7) + manufacturing (2) + strong decision or scheduling/simulation/robotics signal</t>
  </si>
  <si>
    <t>robot, robotics</t>
  </si>
  <si>
    <t>2022_towards_data-driven_additive_manufacturing_processes</t>
  </si>
  <si>
    <t>Towards data-driven additive manufacturing processes</t>
  </si>
  <si>
    <t>Core tech (3) + manufacturing (6) + strong decision or scheduling/simulation/robotics signal</t>
  </si>
  <si>
    <t>data driven, data-driven</t>
  </si>
  <si>
    <t>2022_applied_reinforcement_learning_for_decision_making_in_industrial_simulation_environments</t>
  </si>
  <si>
    <t>Applied Reinforcement Learning for Decision Making in Industrial Simulation Environments</t>
  </si>
  <si>
    <t>Core tech (6) + manufacturing (1) + strong decision or scheduling/simulation/robotics signal</t>
  </si>
  <si>
    <t>artificial intelligence, machine learning, reinforcement learning</t>
  </si>
  <si>
    <t>Factory</t>
  </si>
  <si>
    <t>2022_toward_a_collaborative_sensor_network_integration_for_smes’_zero-defect_manufacturing</t>
  </si>
  <si>
    <t>Toward a Collaborative Sensor Network Integration for SMEs’ Zero-Defect Manufacturing</t>
  </si>
  <si>
    <t>Core tech (6) + manufacturing (8) + strong decision or scheduling/simulation/robotics signal</t>
  </si>
  <si>
    <t>artificial intelligence, cpps, cyber-physical production systems, iiot, internet of things</t>
  </si>
  <si>
    <t>2021_digital_twin_as_a_tool_to_select_ct_scan_parameters</t>
  </si>
  <si>
    <t>Digital Twin as a Tool to Select CT Scan Parameters</t>
  </si>
  <si>
    <t>Core tech (3) + manufacturing (4) + strong decision or scheduling/simulation/robotics signal</t>
  </si>
  <si>
    <t>2019_an_energy-aware_multiobjective_optimization_framework_to_minimize_total_tardiness_and_energy_cost_on_a_single-machine_nonpreemptive_scheduling</t>
  </si>
  <si>
    <t>An Energy-Aware Multiobjective Optimization Framework to Minimize Total Tardiness and Energy Cost on a Single-Machine Nonpreemptive Scheduling</t>
  </si>
  <si>
    <t>Core tech (3) + manufacturing (7) + strong decision or scheduling/simulation/robotics signal</t>
  </si>
  <si>
    <t>genetic algorithm, optimization</t>
  </si>
  <si>
    <t>internet of things</t>
  </si>
  <si>
    <t>Managerial/business/policy focus</t>
  </si>
  <si>
    <t>2024_balancing_heterogeneous_assembly_line_with_multi-skilled_human-robot_collaboration_via_adaptive_cooperative_co-evolutionary_algorithm</t>
  </si>
  <si>
    <t>Balancing heterogeneous assembly line with multi-skilled human-robot collaboration via Adaptive cooperative co-evolutionary algorithm</t>
  </si>
  <si>
    <t>Core tech (12) + manufacturing (3) + strong decision or scheduling/simulation/robotics signal</t>
  </si>
  <si>
    <t>evolutionary algorithm, metaheuristic, q-learning, reinforcement learning</t>
  </si>
  <si>
    <t>cobots, hrc, human-robot collaboration, reinforcement learning, robot</t>
  </si>
  <si>
    <t>2024_data-driven_simulation-based_decision_support_system_for_resource_allocation_in_industry_4.0_and_smart_manufacturing</t>
  </si>
  <si>
    <t>Data-driven simulation-based decision support system for resource allocation in industry 4.0 and smart manufacturing</t>
  </si>
  <si>
    <t>Core tech (5) + manufacturing (10) + strong decision or scheduling/simulation/robotics signal</t>
  </si>
  <si>
    <t>optimization, simulation</t>
  </si>
  <si>
    <t>artificial intelligence, data-driven</t>
  </si>
  <si>
    <t>2024_deep_reinforcement_learning_with_a_look-ahead_search_for_robotic_cell_scheduling</t>
  </si>
  <si>
    <t>Deep Reinforcement Learning With a Look-Ahead Search for Robotic Cell Scheduling</t>
  </si>
  <si>
    <t>Core tech (9) + manufacturing (7) + strong decision or scheduling/simulation/robotics signal</t>
  </si>
  <si>
    <t>reinforcement learning</t>
  </si>
  <si>
    <t>deep learning, reinforcement learning, robot</t>
  </si>
  <si>
    <t>2024_power_consumption_and_process_cost_prediction_of_customized_products_using_explainable_ai:_a_case_in_the_steel_industry</t>
  </si>
  <si>
    <t>Power Consumption and Process Cost Prediction of Customized Products Using Explainable AI: A Case in the Steel Industry</t>
  </si>
  <si>
    <t>forecasting, random forest</t>
  </si>
  <si>
    <t>artificial intelligence, data driven, data-driven, machine learning</t>
  </si>
  <si>
    <t>2023_versatile_information_provisioning_in_a_configure-to-order_production_environment;_a_case_study</t>
  </si>
  <si>
    <t>Versatile information provisioning in a configure-to-order production environment; a case study</t>
  </si>
  <si>
    <t>Core tech (4) + manufacturing (1) + strong decision or scheduling/simulation/robotics signal</t>
  </si>
  <si>
    <t>digital twin, iot, robot</t>
  </si>
  <si>
    <t>2023_implementation_scheme_and_research_of_iot_electronic_"intelligent_manufacturing"_based_on_mes_system</t>
  </si>
  <si>
    <t>Implementation Scheme and Research of IoT Electronic "intelligent Manufacturing" Based on MES System</t>
  </si>
  <si>
    <t>Core tech (5) + manufacturing (21) + strong decision or scheduling/simulation/robotics signal</t>
  </si>
  <si>
    <t>internet of things, iot</t>
  </si>
  <si>
    <t>2022_production_task_allocation_decision_based_on_cloud_robot_cell-line</t>
  </si>
  <si>
    <t>Production Task Allocation Decision Based on Cloud Robot Cell-Line</t>
  </si>
  <si>
    <t>Core tech (8) + manufacturing (11) + strong decision or scheduling/simulation/robotics signal</t>
  </si>
  <si>
    <t>internet of things, robot, robotics</t>
  </si>
  <si>
    <t>2021_monte_carlo_tree_search_for_online_decision_making_in_smart_industrial_production</t>
  </si>
  <si>
    <t>Monte Carlo Tree Search for online decision making in smart industrial production</t>
  </si>
  <si>
    <t>simulation</t>
  </si>
  <si>
    <t>hrc, human-robot collaboration</t>
  </si>
  <si>
    <t>2020_computer_vision-enabled_hcps_assembly_workstations_swarm_for_enhancing_responsiveness_in_mass_customization</t>
  </si>
  <si>
    <t>Computer Vision-enabled HCPS Assembly Workstations Swarm for Enhancing Responsiveness in Mass Customization</t>
  </si>
  <si>
    <t>Core tech (4) + manufacturing (4) + strong decision or scheduling/simulation/robotics signal</t>
  </si>
  <si>
    <t>cyber-physical system, robot, robotics</t>
  </si>
  <si>
    <t>2019_multiagent_using_solving_the_job_scheduling_problem_in_the_industry_4.0</t>
  </si>
  <si>
    <t>Multiagent using solving the job scheduling problem in the industry 4.0</t>
  </si>
  <si>
    <t>Core tech (5) + manufacturing (3) + strong decision or scheduling/simulation/robotics signal</t>
  </si>
  <si>
    <t>cps, internet of things, iot</t>
  </si>
  <si>
    <t>2018_mobile_robot_scheduling_for_cycle_time_optimization_in_flow-shop_cells,_a_case_study</t>
  </si>
  <si>
    <t>Mobile robot scheduling for cycle time optimization in flow-shop cells, a case study</t>
  </si>
  <si>
    <t>Core tech (11) + manufacturing (7) + strong decision or scheduling/simulation/robotics signal</t>
  </si>
  <si>
    <t>metaheuristic, optimization</t>
  </si>
  <si>
    <t>robot</t>
  </si>
  <si>
    <t>2024_transitioning_trends_into_action:_a_simulation-based_digital_twin_architecture_for_enhanced_strategic_and_operational_decision-making</t>
  </si>
  <si>
    <t>Transitioning trends into action: A simulation-based Digital Twin architecture for enhanced strategic and operational decision-making</t>
  </si>
  <si>
    <t>Core tech (5) + manufacturing (7) + strong decision or scheduling/simulation/robotics signal</t>
  </si>
  <si>
    <t>artificial intelligence, digital twin, robotics</t>
  </si>
  <si>
    <t>P2</t>
  </si>
  <si>
    <t>2024_learning-enabled_flexible_job-shop_scheduling_for_scalable_smart_manufacturing</t>
  </si>
  <si>
    <t>Learning-enabled flexible job-shop scheduling for scalable smart manufacturing</t>
  </si>
  <si>
    <t>agvs, reinforcement learning</t>
  </si>
  <si>
    <t>2024_a_deep_reinforcement_learning_based_approach_for_dynamic_job_shop_scheduling_considering_variable_processing_time</t>
  </si>
  <si>
    <t>A deep reinforcement learning based approach for dynamic job shop scheduling considering variable processing time</t>
  </si>
  <si>
    <t>Core tech (6) + manufacturing (10) + strong decision or scheduling/simulation/robotics signal</t>
  </si>
  <si>
    <t>genetic algorithm, markov decision process, reinforcement learning</t>
  </si>
  <si>
    <t>deep learning, reinforcement learning</t>
  </si>
  <si>
    <t>2024_a_machine_learning-based_simulation_metamodeling_method_for_dynamic_scheduling_in_smart_manufacturing_systems</t>
  </si>
  <si>
    <t>A machine learning-based simulation metamodeling method for dynamic scheduling in smart manufacturing systems</t>
  </si>
  <si>
    <t>Core tech (4) + manufacturing (12) + strong decision or scheduling/simulation/robotics signal</t>
  </si>
  <si>
    <t>boosting, simulation</t>
  </si>
  <si>
    <t>digital twin, machine learning</t>
  </si>
  <si>
    <t>2024_two-stage_double_deep_q-network_algorithm_considering_external_non-dominant_set_for_multi-objective_dynamic_flexible_job_shop_scheduling_problems</t>
  </si>
  <si>
    <t>Two-stage double deep Q-network algorithm considering external non-dominant set for multi-objective dynamic flexible job shop scheduling problems</t>
  </si>
  <si>
    <t>Core tech (6) + manufacturing (9) + strong decision or scheduling/simulation/robotics signal</t>
  </si>
  <si>
    <t>deep q-network, optimization, reinforcement learning</t>
  </si>
  <si>
    <t>2024_optimizing_industrial_maintenance_scheduling_through_deep_reinforcement_learning_and_simulation_integration</t>
  </si>
  <si>
    <t>Optimizing Industrial Maintenance Scheduling Through Deep Reinforcement Learning and Simulation Integration</t>
  </si>
  <si>
    <t>Core tech (4) + manufacturing (6) + strong decision or scheduling/simulation/robotics signal</t>
  </si>
  <si>
    <t>2024_a_recurrent_reinforcement_learning_strategy_for_optimal_scheduling_of_partially_observable_job-shop_and_flow-shop_batch_chemical_plants_under_uncertainty</t>
  </si>
  <si>
    <t>A recurrent reinforcement learning strategy for optimal scheduling of partially observable job-shop and flow-shop batch chemical plants under uncertainty</t>
  </si>
  <si>
    <t>q-learning, reinforcement learning</t>
  </si>
  <si>
    <t>2024_machine_learning_prediction_model_for_dynamic_scheduling_of_hybrid_flow-shop_based_on_metaheuristic</t>
  </si>
  <si>
    <t>Machine Learning prediction model for Dynamic Scheduling of Hybrid Flow-Shop based on Metaheuristic</t>
  </si>
  <si>
    <t>Core tech (2) + manufacturing (7) + strong decision or scheduling/simulation/robotics signal</t>
  </si>
  <si>
    <t>genetic algorithm, metaheuristic, optimization</t>
  </si>
  <si>
    <t>machine learning</t>
  </si>
  <si>
    <t>2024_rainbow_versus_deep_q-network:_a_reinforcement_learning_comparison_on_the_flexible_job-shop_problem</t>
  </si>
  <si>
    <t>Rainbow Versus Deep Q-Network: A Reinforcement Learning Comparison on the Flexible Job-Shop Problem</t>
  </si>
  <si>
    <t>deep q-network, dqn, optimization, reinforcement learning</t>
  </si>
  <si>
    <t>2024_"smart"_lead_time_prediction_in_smes_environments:_a_theoretical_framework_proposal</t>
  </si>
  <si>
    <t>"smart" Lead Time Prediction in SMEs environments: A theoretical framework proposal</t>
  </si>
  <si>
    <t>Core tech (2) + manufacturing (6) + strong decision or scheduling/simulation/robotics signal</t>
  </si>
  <si>
    <t>forecasting</t>
  </si>
  <si>
    <t>analytics</t>
  </si>
  <si>
    <t>2024_solving_flexible_job-shop_scheduling_problem_with_heterogeneous_graph_neural_network_based_on_relation_and_deep_reinforcement_learning</t>
  </si>
  <si>
    <t>Solving Flexible Job-Shop Scheduling Problem with Heterogeneous Graph Neural Network Based on Relation and Deep Reinforcement Learning</t>
  </si>
  <si>
    <t>attention mechanism, feature extraction, graph neural network, optimization, ppo, reinforcement learning</t>
  </si>
  <si>
    <t>neural network, reinforcement learning</t>
  </si>
  <si>
    <t>2024_the_use_of_reinforcement_learning_for_material_flow_control:_an_assessment_by_simulation</t>
  </si>
  <si>
    <t>The use of reinforcement learning for material flow control: An assessment by simulation</t>
  </si>
  <si>
    <t>Core tech (5) + manufacturing (8) + strong decision or scheduling/simulation/robotics signal</t>
  </si>
  <si>
    <t>2024_smart_scheduling_of_dynamic_job_shop_based_on_discrete_event_simulation_and_deep_reinforcement_learning</t>
  </si>
  <si>
    <t>Smart scheduling of dynamic job shop based on discrete event simulation and deep reinforcement learning</t>
  </si>
  <si>
    <t>Core tech (6) + manufacturing (7) + strong decision or scheduling/simulation/robotics signal</t>
  </si>
  <si>
    <t>optimization, ppo, reinforcement learning, simulation</t>
  </si>
  <si>
    <t>2024_fast_pareto_set_approximation_for_multi-objective_flexible_job_shop_scheduling_via_parallel_preference-conditioned_graph_reinforcement_learning</t>
  </si>
  <si>
    <t>Fast Pareto set approximation for multi-objective flexible job shop scheduling via parallel preference-conditioned graph reinforcement learning</t>
  </si>
  <si>
    <t>Core tech (7) + manufacturing (7) + strong decision or scheduling/simulation/robotics signal</t>
  </si>
  <si>
    <t>evolutionary algorithm, graph neural network, reinforcement learning</t>
  </si>
  <si>
    <t>deep learning, neural network, reinforcement learning</t>
  </si>
  <si>
    <t>2024_a_double_deep_q-network_framework_for_a_flexible_job_shop_scheduling_problem_with_dynamic_job_arrivals_and_urgent_job_insertions</t>
  </si>
  <si>
    <t>A Double Deep Q-Network framework for a flexible job shop scheduling problem with dynamic job arrivals and urgent job insertions</t>
  </si>
  <si>
    <t>Core tech (3) + manufacturing (10) + strong decision or scheduling/simulation/robotics signal</t>
  </si>
  <si>
    <t>deep q-network, optimization, q-learning, reinforcement learning, simulation</t>
  </si>
  <si>
    <t>2024_introducing_petrirl:_an_innovative_framework_for_jssp_resolution_integrating_petri_nets_and_event-based_reinforcement_learning</t>
  </si>
  <si>
    <t>Introducing PetriRL: An innovative framework for JSSP resolution integrating Petri nets and event-based reinforcement learning</t>
  </si>
  <si>
    <t>2024_multi-agent_reinforcement_learning_for_job_shop_scheduling_in_dynamic_environments</t>
  </si>
  <si>
    <t>Multi-Agent Reinforcement Learning for Job Shop Scheduling in Dynamic Environments</t>
  </si>
  <si>
    <t>Core tech (7) + manufacturing (6) + strong decision or scheduling/simulation/robotics signal</t>
  </si>
  <si>
    <t>graph neural network, multi-agent reinforcement learning, optimization, reinforcement learning</t>
  </si>
  <si>
    <t>machine learning, neural network, reinforcement learning</t>
  </si>
  <si>
    <t>2024_an_end-to-end_deep_reinforcement_learning_method_based_on_graph_neural_network_for_distributed_job-shop_scheduling_problem</t>
  </si>
  <si>
    <t>An end-to-end deep reinforcement learning method based on graph neural network for distributed job-shop scheduling problem</t>
  </si>
  <si>
    <t>Core tech (8) + manufacturing (7) + strong decision or scheduling/simulation/robotics signal</t>
  </si>
  <si>
    <t>feature extraction, gnn, graph neural network, markov decision process, mdp, optimization, ppo, reinforcement learning</t>
  </si>
  <si>
    <t>2024_job_shop_smart_manufacturing_scheduling_by_deep_reinforcement_learning</t>
  </si>
  <si>
    <t>Job shop smart manufacturing scheduling by deep reinforcement learning</t>
  </si>
  <si>
    <t>Core tech (8) + manufacturing (16) + strong decision or scheduling/simulation/robotics signal</t>
  </si>
  <si>
    <t>markov decision process, mdp, ppo, reinforcement learning</t>
  </si>
  <si>
    <t>deep learning, digital twin, reinforcement learning</t>
  </si>
  <si>
    <t>2024_flexible_job_shop_scheduling_via_dual_attention_network-based_reinforcement_learning</t>
  </si>
  <si>
    <t>Flexible Job Shop Scheduling via Dual Attention Network-Based Reinforcement Learning</t>
  </si>
  <si>
    <t>Core tech (6) + manufacturing (5) + strong decision or scheduling/simulation/robotics signal</t>
  </si>
  <si>
    <t>attention mechanism, feature extraction, reinforcement learning</t>
  </si>
  <si>
    <t>2024_artificial_intelligence-based_method_for_forecasting_flowtime_in_job_shops</t>
  </si>
  <si>
    <t>Artificial intelligence-based method for forecasting flowtime in job shops</t>
  </si>
  <si>
    <t>artificial intelligence</t>
  </si>
  <si>
    <t>P7</t>
  </si>
  <si>
    <t>2024_unified_drl_for_enhanced_flexible_job-shop_scheduling_with_transportation_constraints</t>
  </si>
  <si>
    <t>Unified DRL for Enhanced Flexible Job-Shop Scheduling with Transportation Constraints</t>
  </si>
  <si>
    <t>Core tech (6) + manufacturing (4) + strong decision or scheduling/simulation/robotics signal</t>
  </si>
  <si>
    <t>optimization, ppo, reinforcement learning</t>
  </si>
  <si>
    <t>agv, agvs, reinforcement learning</t>
  </si>
  <si>
    <t>2024_production-logistics_collaborative_scheduling_in_dynamic_flexible_job_shops_via_multi-objective_deep_reinforcement_learning</t>
  </si>
  <si>
    <t>Production-Logistics Collaborative Scheduling in Dynamic Flexible Job Shops via Multi-Objective Deep Reinforcement Learning</t>
  </si>
  <si>
    <t>P4</t>
  </si>
  <si>
    <t>2024_a_rule_and_network_dual-driven_dynamic_scheduling_approach_for_complex_flexible_manufacturing_job_shop</t>
  </si>
  <si>
    <t>A Rule and Network Dual-Driven Dynamic Scheduling Approach for Complex Flexible Manufacturing Job Shop</t>
  </si>
  <si>
    <t>Core tech (2) + manufacturing (14) + strong decision or scheduling/simulation/robotics signal</t>
  </si>
  <si>
    <t>neural network</t>
  </si>
  <si>
    <t>2024_deriving_adequate_insights_in_hmlv_manufacturing</t>
  </si>
  <si>
    <t>Deriving adequate insights in HMLV manufacturing</t>
  </si>
  <si>
    <t>Core tech (2) + manufacturing (10) + strong decision or scheduling/simulation/robotics signal</t>
  </si>
  <si>
    <t>2024_research_on_the_application_of_evolutionary_algorithms_enhanced_by_deep_learning_in_intelligent_manufacturing_scheduling</t>
  </si>
  <si>
    <t>Research on the Application of Evolutionary Algorithms Enhanced by Deep Learning in Intelligent Manufacturing Scheduling</t>
  </si>
  <si>
    <t>actor-critic, genetic algorithm, metaheuristic, reinforcement learning</t>
  </si>
  <si>
    <t>deep learning, machine learning, reinforcement learning</t>
  </si>
  <si>
    <t>2024_investigation_of_non-value-added_activities_to_reduce_lead_time_in_the_mass-customized_glass_process_industry</t>
  </si>
  <si>
    <t>INVESTIGATION OF NON-VALUE-ADDED ACTIVITIES TO REDUCE LEAD TIME IN THE MASS-CUSTOMIZED GLASS PROCESS INDUSTRY</t>
  </si>
  <si>
    <t>Core tech (2) + manufacturing (1) + strong decision or scheduling/simulation/robotics signal</t>
  </si>
  <si>
    <t>optimization, reinforcement learning, tabu search</t>
  </si>
  <si>
    <t>2024_digital_twin-based_multi-granularity_synchronisation_for_production-warehousing_under_batch_processing_mode</t>
  </si>
  <si>
    <t>Digital twin-based multi-granularity synchronisation for production-warehousing under batch processing mode</t>
  </si>
  <si>
    <t>Core tech (3) + manufacturing (2) + strong decision or scheduling/simulation/robotics signal</t>
  </si>
  <si>
    <t>2024_deep_reinforcement_learning_based_on_graph_neural_network_for_flexible_job_shop_scheduling_problem_with_lot_streaming</t>
  </si>
  <si>
    <t>Deep Reinforcement Learning Based on Graph Neural Network for Flexible Job Shop Scheduling Problem with Lot Streaming</t>
  </si>
  <si>
    <t>Core tech (9) + manufacturing (4) + strong decision or scheduling/simulation/robotics signal</t>
  </si>
  <si>
    <t>gnn, graph neural network, optimization, ppo, reinforcement learning</t>
  </si>
  <si>
    <t>11 pages</t>
  </si>
  <si>
    <t>2024_a_multi-action_reinforcement_learning_framework_via_pointer_graph_neural_network_for_flexible_job-shop_scheduling_problems_with_resource_transfer</t>
  </si>
  <si>
    <t>A Multi-action Reinforcement Learning Framework via Pointer Graph Neural Network for Flexible Job-Shop Scheduling Problems with Resource Transfer</t>
  </si>
  <si>
    <t>Core tech (6) + manufacturing (2) + strong decision or scheduling/simulation/robotics signal</t>
  </si>
  <si>
    <t>graph neural network, optimization, ppo, reinforcement learning</t>
  </si>
  <si>
    <t>2024_energy_estimation_and_production_scheduling_in_job_shop_using_machine_learning</t>
  </si>
  <si>
    <t>Energy Estimation and Production Scheduling in Job Shop Using Machine Learning</t>
  </si>
  <si>
    <t>Core tech (4) + manufacturing (14) + strong decision or scheduling/simulation/robotics signal</t>
  </si>
  <si>
    <t>genetic algorithm</t>
  </si>
  <si>
    <t>machine learning, neural network</t>
  </si>
  <si>
    <t>2024_reducing_lead_times_in_manufacturing_with_real-time_data_visualizations</t>
  </si>
  <si>
    <t>Reducing Lead Times in Manufacturing with Real-Time Data Visualizations</t>
  </si>
  <si>
    <t>2024_deep_reinforcement_learning_for_dynamic_flexible_job-shop_scheduling_with_automated_guided_vehicles</t>
  </si>
  <si>
    <t>Deep Reinforcement Learning for Dynamic Flexible Job-Shop Scheduling with Automated Guided Vehicles</t>
  </si>
  <si>
    <t>deep q network, markov decision process, mdp, reinforcement learning</t>
  </si>
  <si>
    <t>agv, agvs, deep learning, reinforcement learning</t>
  </si>
  <si>
    <t>2024_expert-guided_deep_reinforcement_learning_for_flexible_job_shop_scheduling_problem</t>
  </si>
  <si>
    <t>Expert-Guided Deep Reinforcement Learning for Flexible Job Shop Scheduling Problem</t>
  </si>
  <si>
    <t>Core tech (11) + manufacturing (4) + strong decision or scheduling/simulation/robotics signal</t>
  </si>
  <si>
    <t>gnn, graph neural network, reinforcement learning</t>
  </si>
  <si>
    <t>2024_challenges_of_industrial_wastewater_treatment:_utilizing_membrane_bioreactors_(mbrs)_in_conjunction_with_artificial_intelligence_(ai)_technology</t>
  </si>
  <si>
    <t>Challenges of industrial wastewater treatment: utilizing Membrane bioreactors (MBRs) in conjunction with artificial intelligence (AI) technology</t>
  </si>
  <si>
    <t>artificial intelligence, neural network</t>
  </si>
  <si>
    <t>2024_a_digital_twin-based_decision_support_system_for_dynamic_labor_planning</t>
  </si>
  <si>
    <t>A Digital Twin-Based Decision Support System for Dynamic Labor Planning</t>
  </si>
  <si>
    <t>artificial intelligence, digital twin</t>
  </si>
  <si>
    <t>2024_designing_distributed_decision-making_authorities_for_smart_factories–understanding_the_role_of_manufacturing_network_architecture</t>
  </si>
  <si>
    <t>Designing distributed decision-making authorities for smart factories–understanding the role of manufacturing network architecture</t>
  </si>
  <si>
    <t>cps</t>
  </si>
  <si>
    <t>2024_large-scale_dynamic_scheduling_for_flexible_job-shop_with_random_arrivals_of_new_jobs_by_hierarchical_reinforcement_learning</t>
  </si>
  <si>
    <t>Large-Scale Dynamic Scheduling for Flexible Job-Shop with Random Arrivals of New Jobs by Hierarchical Reinforcement Learning</t>
  </si>
  <si>
    <t>gnn, graph neural network, markov decision process, mdp, multilayer perceptron, optimization, reinforcement learning</t>
  </si>
  <si>
    <t>2023_dynamic_scheduling_for_flexible_job_shop_with_insufficient_transportation_resources_via_graph_neural_network_and_deep_reinforcement_learning</t>
  </si>
  <si>
    <t>Dynamic scheduling for flexible job shop with insufficient transportation resources via graph neural network and deep reinforcement learning</t>
  </si>
  <si>
    <t>Core tech (14) + manufacturing (7) + strong decision or scheduling/simulation/robotics signal</t>
  </si>
  <si>
    <t>agv, agvs, deep learning, neural network, reinforcement learning</t>
  </si>
  <si>
    <t>2023_a_cooperative_hierarchical_deep_reinforcement_learning_based_multi-agent_method_for_distributed_job_shop_scheduling_problem_with_random_job_arrivals</t>
  </si>
  <si>
    <t>A cooperative hierarchical deep reinforcement learning based multi-agent method for distributed job shop scheduling problem with random job arrivals</t>
  </si>
  <si>
    <t>deep q-network, dqn, mdp, reinforcement learning</t>
  </si>
  <si>
    <t>2023_multi-objective_green_scheduling_of_integrated_flexible_job_shop_and_automated_guided_vehicles</t>
  </si>
  <si>
    <t>Multi-objective green scheduling of integrated flexible job shop and automated guided vehicles</t>
  </si>
  <si>
    <t>agvs</t>
  </si>
  <si>
    <t>2023_a_deep_multi-agent_reinforcement_learning_approach_to_solve_dynamic_job_shop_scheduling_problem</t>
  </si>
  <si>
    <t>A deep multi-agent reinforcement learning approach to solve dynamic job shop scheduling problem</t>
  </si>
  <si>
    <t>Core tech (12) + manufacturing (11) + strong decision or scheduling/simulation/robotics signal</t>
  </si>
  <si>
    <t>deep q-network, multi-agent reinforcement learning, reinforcement learning, simulation</t>
  </si>
  <si>
    <t>data-driven, deep learning, reinforcement learning</t>
  </si>
  <si>
    <t>2023_optimization_experiment_of_production_processes_using_a_dynamic_decision_support_method:_a_solution_to_complex_problems_in_industrial_manufacturing_for_small_and_medium-sized_enterprises</t>
  </si>
  <si>
    <t>Optimization Experiment of Production Processes Using a Dynamic Decision Support Method: A Solution to Complex Problems in Industrial Manufacturing for Small and Medium-Sized Enterprises</t>
  </si>
  <si>
    <t>2023_flexible_job-shop_scheduling_via_graph_neural_network_and_deep_reinforcement_learning</t>
  </si>
  <si>
    <t>Flexible Job-Shop Scheduling via Graph Neural Network and Deep Reinforcement Learning</t>
  </si>
  <si>
    <t>Core tech (8) + manufacturing (2) + strong decision or scheduling/simulation/robotics signal</t>
  </si>
  <si>
    <t>2023_extracting_key_value_streams_using_process_mining_and_machine_learning</t>
  </si>
  <si>
    <t>Extracting Key Value Streams Using Process Mining and Machine Learning</t>
  </si>
  <si>
    <t>data mining</t>
  </si>
  <si>
    <t>P3</t>
  </si>
  <si>
    <t>2023_job_shop_scheduling_problem_using_proximal_policy_optimization</t>
  </si>
  <si>
    <t>Job Shop Scheduling Problem Using Proximal Policy Optimization</t>
  </si>
  <si>
    <t>markov decision process, optimization, ppo, reinforcement learning, simulation</t>
  </si>
  <si>
    <t>2023_deep_learning_enabling_digital_twin_applications_in_production_scheduling:_case_of_flexible_job_shop_manufacturing_environment</t>
  </si>
  <si>
    <t>Deep Learning Enabling Digital Twin Applications in Production Scheduling: Case of Flexible Job Shop Manufacturing Environment</t>
  </si>
  <si>
    <t>Core tech (6) + manufacturing (12) + strong decision or scheduling/simulation/robotics signal</t>
  </si>
  <si>
    <t>data-driven, deep learning, digital twin</t>
  </si>
  <si>
    <t>2023_deep_q_network_method_for_dynamic_job_shop_scheduling_problem</t>
  </si>
  <si>
    <t>Deep Q Network Method for Dynamic Job Shop Scheduling Problem</t>
  </si>
  <si>
    <t>Core tech (7) + manufacturing (8) + strong decision or scheduling/simulation/robotics signal</t>
  </si>
  <si>
    <t>deep q network, dqn, optimization, reinforcement learning</t>
  </si>
  <si>
    <t>2023_learning_to_schedule_(l2s):_adaptive_job_shop_scheduling_using_double_deep_q_network</t>
  </si>
  <si>
    <t>Learning to schedule (L2S): adaptive job shop scheduling using double deep Q network</t>
  </si>
  <si>
    <t>2023_reinforcement_learning-based_dynamic_production-logistics-integrated_tasks_allocation_in_smart_factories</t>
  </si>
  <si>
    <t>Reinforcement learning-based dynamic production-logistics-integrated tasks allocation in smart factories</t>
  </si>
  <si>
    <t>Core tech (5) + manufacturing (6) + strong decision or scheduling/simulation/robotics signal</t>
  </si>
  <si>
    <t>iiot, reinforcement learning</t>
  </si>
  <si>
    <t>2022_dynamic_job_shop_scheduling_based_on_deep_reinforcement_learning_for_multi-agent_manufacturing_systems</t>
  </si>
  <si>
    <t>Dynamic job shop scheduling based on deep reinforcement learning for multi-agent manufacturing systems</t>
  </si>
  <si>
    <t>Core tech (7) + manufacturing (12) + strong decision or scheduling/simulation/robotics signal</t>
  </si>
  <si>
    <t>multi-layer perceptron, optimization, ppo, reinforcement learning</t>
  </si>
  <si>
    <t>artificial intelligence, deep learning, edge computing, reinforcement learning</t>
  </si>
  <si>
    <t>2022_a_multi-dimensional_cognitive_framework_for_cognitive_manufacturing_based_on_oar_model</t>
  </si>
  <si>
    <t>A multi-dimensional cognitive framework for cognitive manufacturing based on OAR model</t>
  </si>
  <si>
    <t>Core tech (9) + manufacturing (18) + strong decision or scheduling/simulation/robotics signal</t>
  </si>
  <si>
    <t>artificial intelligence, digital twin, internet of things</t>
  </si>
  <si>
    <t>2022_dynamic_scheduling_optimization_of_production_workshops_based_on_digital_twin</t>
  </si>
  <si>
    <t>Dynamic Scheduling Optimization of Production Workshops Based on Digital Twin</t>
  </si>
  <si>
    <t>digital twin, neural network</t>
  </si>
  <si>
    <t>2022_real-time_scheduling_for_distributed_permutation_flowshops_with_dynamic_job_arrivals_using_deep_reinforcement_learning</t>
  </si>
  <si>
    <t>Real-time scheduling for distributed permutation flowshops with dynamic job arrivals using deep reinforcement learning</t>
  </si>
  <si>
    <t>Core tech (6) + manufacturing (6) + strong decision or scheduling/simulation/robotics signal</t>
  </si>
  <si>
    <t>actor-critic, deep q-network, dqn, reinforcement learning</t>
  </si>
  <si>
    <t>2022_solving_job_scheduling_problems_in_a_resource_preemption_environment_with_multi-agent_reinforcement_learning</t>
  </si>
  <si>
    <t>Solving job scheduling problems in a resource preemption environment with multi-agent reinforcement learning</t>
  </si>
  <si>
    <t>Core tech (10) + manufacturing (10) + strong decision or scheduling/simulation/robotics signal</t>
  </si>
  <si>
    <t>markov decision process, multi-agent reinforcement learning, reinforcement learning</t>
  </si>
  <si>
    <t>reinforcement learning, robot</t>
  </si>
  <si>
    <t>2022_digital_twin-enabled_dynamic_scheduling_with_preventive_maintenance_using_a_double-layer_q-learning_algorithm</t>
  </si>
  <si>
    <t>Digital twin-enabled dynamic scheduling with preventive maintenance using a double-layer Q-learning algorithm</t>
  </si>
  <si>
    <t>metaheuristic, q-learning, reinforcement learning</t>
  </si>
  <si>
    <t>digital twin, reinforcement learning</t>
  </si>
  <si>
    <t>2022_an_approach_for_joint_scheduling_of_production_and_predictive_maintenance_activities</t>
  </si>
  <si>
    <t>An approach for joint scheduling of production and predictive maintenance activities</t>
  </si>
  <si>
    <t>Core tech (8) + manufacturing (5) + strong decision or scheduling/simulation/robotics signal</t>
  </si>
  <si>
    <t>predictive maintenance</t>
  </si>
  <si>
    <t>2022_improving_delivery_performance_in_high-mix_low-volume_manufacturing_by_model-based_and_data-driven_methods</t>
  </si>
  <si>
    <t>Improving Delivery Performance in High-Mix Low-Volume Manufacturing by Model-Based and Data-Driven Methods</t>
  </si>
  <si>
    <t>Core tech (2) + manufacturing (11) + strong decision or scheduling/simulation/robotics signal</t>
  </si>
  <si>
    <t>model-based, simulation</t>
  </si>
  <si>
    <t>data-driven, machine learning</t>
  </si>
  <si>
    <t>2022_joint_decision-making_of_parallel_machine_scheduling_restricted_in_job-machine_release_time_and_preventive_maintenance_with_remaining_useful_life_constraints</t>
  </si>
  <si>
    <t>Joint decision-making of parallel machine scheduling restricted in job-machine release time and preventive maintenance with remaining useful life constraints</t>
  </si>
  <si>
    <t>Core tech (2) + manufacturing (2) + strong decision or scheduling/simulation/robotics signal</t>
  </si>
  <si>
    <t>gru, optimization, recurrent neural network</t>
  </si>
  <si>
    <t>neural network, predictive maintenance</t>
  </si>
  <si>
    <t>2022_dynamic_scheduling_method_for_job-shop_manufacturing_systems_by_deep_reinforcement_learning_with_proximal_policy_optimization</t>
  </si>
  <si>
    <t>Dynamic Scheduling Method for Job-Shop Manufacturing Systems by Deep Reinforcement Learning with Proximal Policy Optimization</t>
  </si>
  <si>
    <t>Core tech (4) + manufacturing (7) + strong decision or scheduling/simulation/robotics signal</t>
  </si>
  <si>
    <t>2022_the_multiple_uses_of_monte-carlo_tree_search</t>
  </si>
  <si>
    <t>The Multiple Uses of Monte-Carlo Tree Search</t>
  </si>
  <si>
    <t>Core tech (4) + manufacturing (3) + strong decision or scheduling/simulation/robotics signal</t>
  </si>
  <si>
    <t>artificial intelligence, human-robot collaboration</t>
  </si>
  <si>
    <t>2022_real-time_data-driven_dynamic_scheduling_for_flexible_job_shop_with_insufficient_transportation_resources_using_hybrid_deep_q_network</t>
  </si>
  <si>
    <t>Real-time data-driven dynamic scheduling for flexible job shop with insufficient transportation resources using hybrid deep Q network</t>
  </si>
  <si>
    <t>Core tech (4) + manufacturing (9) + strong decision or scheduling/simulation/robotics signal</t>
  </si>
  <si>
    <t>deep q network, markov decision process, optimization, reinforcement learning</t>
  </si>
  <si>
    <t>2022_reinforcement_learning_for_online_optimization_of_job-shop_scheduling_in_a_smart_manufacturing_factory</t>
  </si>
  <si>
    <t>Reinforcement learning for online optimization of job-shop scheduling in a smart manufacturing factory</t>
  </si>
  <si>
    <t>Core tech (4) + manufacturing (10) + strong decision or scheduling/simulation/robotics signal</t>
  </si>
  <si>
    <t>optimization, reinforcement learning</t>
  </si>
  <si>
    <t>artificial intelligence, reinforcement learning</t>
  </si>
  <si>
    <t>2022_improved_q-learning_algorithm_for_solving_permutation_flow_shop_scheduling_problems</t>
  </si>
  <si>
    <t>Improved Q-learning algorithm for solving permutation flow shop scheduling problems</t>
  </si>
  <si>
    <t>Core tech (2) + manufacturing (5) + strong decision or scheduling/simulation/robotics signal</t>
  </si>
  <si>
    <t>model based, optimization, q-learning, reinforcement learning, simulation</t>
  </si>
  <si>
    <t>2022_predictive_maintenance_integrated_production_scheduling_by_applying_deep_generative_prognostics_models:_approach,_formulation_and_solution</t>
  </si>
  <si>
    <t>Predictive maintenance integrated production scheduling by applying deep generative prognostics models: approach, formulation and solution</t>
  </si>
  <si>
    <t>Core tech (5) + manufacturing (5) + strong decision or scheduling/simulation/robotics signal</t>
  </si>
  <si>
    <t>2022_a_conceptual_framework_of_cyber-physical_remanufacturing_system</t>
  </si>
  <si>
    <t>A Conceptual Framework of Cyber-Physical Remanufacturing System</t>
  </si>
  <si>
    <t>Core tech (6) + manufacturing (3) + strong decision or scheduling/simulation/robotics signal</t>
  </si>
  <si>
    <t>cps, cyber physical system, cyber-physical system, digital twin</t>
  </si>
  <si>
    <t>P1</t>
  </si>
  <si>
    <t>2022_demonstration_of_the_feasibility_of_real_time_application_of_machine_learning_to_production_scheduling</t>
  </si>
  <si>
    <t>Demonstration of the Feasibility of Real Time Application of Machine Learning to Production Scheduling</t>
  </si>
  <si>
    <t>gp, optimization, simulation</t>
  </si>
  <si>
    <t>2022_using_a_systems_approach_to_model_a_process_digital_twin</t>
  </si>
  <si>
    <t>Using a systems approach to model a process digital twin</t>
  </si>
  <si>
    <t>2022_predicting_makespan_in_flexible_job_shop_scheduling_problem_using_machine_learning</t>
  </si>
  <si>
    <t>Predicting makespan in Flexible Job Shop Scheduling Problem using Machine Learning</t>
  </si>
  <si>
    <t>decision tree, forecasting</t>
  </si>
  <si>
    <t>artificial intelligence, machine learning</t>
  </si>
  <si>
    <t>2022_a_dynamic_programming-based_heuristic_algorithm_for_a_flexible_job_shop_scheduling_problem_of_a_matrix_system_in_automotive_industry</t>
  </si>
  <si>
    <t>A dynamic programming-based heuristic algorithm for a flexible job shop scheduling problem of a matrix system in automotive industry</t>
  </si>
  <si>
    <t>Core tech (4) + manufacturing (8) + strong decision or scheduling/simulation/robotics signal</t>
  </si>
  <si>
    <t>markov decision process, mdp, simulation</t>
  </si>
  <si>
    <t>amr, autonomous mobile robot</t>
  </si>
  <si>
    <t>2022_deep_reinforcement_learning-based_job_shop_scheduling_of_smart_manufacturing</t>
  </si>
  <si>
    <t>Deep Reinforcement Learning-Based Job Shop Scheduling of Smart Manufacturing</t>
  </si>
  <si>
    <t>actor critic, actor-critic, markov decision process, mdp, reinforcement learning</t>
  </si>
  <si>
    <t>2022_scalability_investigation_of_double_deep_q_learning_for_factory_layout_planning</t>
  </si>
  <si>
    <t>Scalability investigation of Double Deep Q Learning for factory layout planning</t>
  </si>
  <si>
    <t>optimization, q learning, q-learning, reinforcement learning</t>
  </si>
  <si>
    <t>2022_predictive_maintenance_decision_making_based_on_reinforcement_learning_in_multistage_production_systems</t>
  </si>
  <si>
    <t>Predictive Maintenance Decision Making Based on Reinforcement Learning in Multistage Production Systems</t>
  </si>
  <si>
    <t>Core tech (11) + manufacturing (10) + strong decision or scheduling/simulation/robotics signal</t>
  </si>
  <si>
    <t>gp, reinforcement learning, simulation</t>
  </si>
  <si>
    <t>predictive maintenance, reinforcement learning</t>
  </si>
  <si>
    <t>2022_simultaneous_part_input_sequencing_and_robot_scheduling_for_mass_customisation</t>
  </si>
  <si>
    <t>Simultaneous part input sequencing and robot scheduling for mass customisation</t>
  </si>
  <si>
    <t>2021_multi-agent_reinforcement_learning_for_online_scheduling_in_smart_factories</t>
  </si>
  <si>
    <t>Multi-agent reinforcement learning for online scheduling in smart factories</t>
  </si>
  <si>
    <t>Core tech (16) + manufacturing (13) + strong decision or scheduling/simulation/robotics signal</t>
  </si>
  <si>
    <t>multi-agent reinforcement learning, reinforcement learning</t>
  </si>
  <si>
    <t>artificial intelligence, cps, cyber physical system, cyber-physical system, internet of things, iot, reinforcement learning</t>
  </si>
  <si>
    <t>2021_data-driven_dispatching_rules_mining_and_real-time_decision-making_methodology_in_intelligent_manufacturing_shop_floor_with_uncertainty</t>
  </si>
  <si>
    <t>Data-driven dispatching rules mining and real-time decision-making methodology in intelligent manufacturing shop floor with uncertainty</t>
  </si>
  <si>
    <t>metaheuristic</t>
  </si>
  <si>
    <t>2021_smart_digital_twin_for_zdm-based_job-shop_scheduling</t>
  </si>
  <si>
    <t>Smart digital twin for ZDM-based job-shop scheduling</t>
  </si>
  <si>
    <t>Core tech (9) + manufacturing (10) + strong decision or scheduling/simulation/robotics signal</t>
  </si>
  <si>
    <t>optimization, reinforcement learning, simulation</t>
  </si>
  <si>
    <t>artificial intelligence, deep learning, digital twin, internet of things, reinforcement learning</t>
  </si>
  <si>
    <t>2021_evolutionary_game_based_real-time_scheduling_for_energy-efficient_distributed_and_flexible_job_shop</t>
  </si>
  <si>
    <t>Evolutionary game based real-time scheduling for energy-efficient distributed and flexible job shop</t>
  </si>
  <si>
    <t>edge computing, iiot, internet of things</t>
  </si>
  <si>
    <t>2021_artificial-intelligence-driven_customized_manufacturing_factory:_key_technologies,_applications,_and_challenges</t>
  </si>
  <si>
    <t>Artificial-Intelligence-Driven Customized Manufacturing Factory: Key Technologies, Applications, and Challenges</t>
  </si>
  <si>
    <t>Core tech (5) + manufacturing (16) + strong decision or scheduling/simulation/robotics signal</t>
  </si>
  <si>
    <t>artificial intelligence, edge computing, internet of things, machine learning</t>
  </si>
  <si>
    <t>2021_deep_reinforcement_learning_based_actor-critic_framework_for_decision-making_actions_in_production_scheduling</t>
  </si>
  <si>
    <t>Deep Reinforcement Learning based Actor-Critic Framework for Decision-Making Actions in Production Scheduling</t>
  </si>
  <si>
    <t>actor critic, actor-critic, reinforcement learning</t>
  </si>
  <si>
    <t>2021_autonomous_decision-making_method_of_transportation_process_for_flexible_job_shop_scheduling_problem_based_on_reinforcement_learning</t>
  </si>
  <si>
    <t>Autonomous decision-making method of transportation process for flexible job shop scheduling problem based on reinforcement learning</t>
  </si>
  <si>
    <t>deep q-network, dqn, reinforcement learning</t>
  </si>
  <si>
    <t>agv, deep learning, reinforcement learning</t>
  </si>
  <si>
    <t>2021_a_prescriptive_maintenance_system_for_intelligent_production_planning_and_control_in_a_smart_cyber-physical_production_line</t>
  </si>
  <si>
    <t>A prescriptive maintenance system for intelligent production planning and control in a smart cyber-physical production line</t>
  </si>
  <si>
    <t>Core tech (5) + manufacturing (13) + strong decision or scheduling/simulation/robotics signal</t>
  </si>
  <si>
    <t>artificial intelligence, cyber physical system, cyber-physical production systems, digital twin</t>
  </si>
  <si>
    <t>2021_reinforcement_learning_with_composite_rewards_for_production_scheduling_in_a_smart_factory</t>
  </si>
  <si>
    <t>Reinforcement Learning with Composite Rewards for Production Scheduling in a Smart Factory</t>
  </si>
  <si>
    <t>Core tech (7) + manufacturing (21) + strong decision or scheduling/simulation/robotics signal</t>
  </si>
  <si>
    <t>artificial intelligence, data-driven, neural network, reinforcement learning</t>
  </si>
  <si>
    <t>2021_modeling_and_implementation_of_a_digital_twin_of_material_flows_based_on_physics_simulation</t>
  </si>
  <si>
    <t>Modeling and implementation of a digital twin of material flows based on physics simulation</t>
  </si>
  <si>
    <t>cyber physical system, cyber-physical production systems, digital twin</t>
  </si>
  <si>
    <t>2020_simulation_optimization_framework_for_online_deployment_and_adjustment_of_reconfigurable_machines_in_job_shops</t>
  </si>
  <si>
    <t>Simulation optimization framework for online deployment and adjustment of reconfigurable machines in job shops</t>
  </si>
  <si>
    <t>2020_a_middleware_platform_for_intelligent_automation:_an_industrial_prototype_implementation</t>
  </si>
  <si>
    <t>A Middleware Platform for Intelligent Automation: An Industrial Prototype Implementation</t>
  </si>
  <si>
    <t>Core tech (3) + manufacturing (1) + strong decision or scheduling/simulation/robotics signal</t>
  </si>
  <si>
    <t>analytics, artificial intelligence</t>
  </si>
  <si>
    <t>2020_the_spatio-temporal_modeling_and_integration_of_manufacturing_big_data_in_job_shop:_an_ontology-based_approach</t>
  </si>
  <si>
    <t>The Spatio-Temporal Modeling and Integration of Manufacturing Big Data in Job Shop: An Ontology-Based Approach</t>
  </si>
  <si>
    <t>Core tech (4) + manufacturing (13) + strong decision or scheduling/simulation/robotics signal</t>
  </si>
  <si>
    <t>data-driven, internet of things</t>
  </si>
  <si>
    <t>P6</t>
  </si>
  <si>
    <t>2020_research_on_adaptive_job_shop_scheduling_problems_based_on_dueling_double_dqn</t>
  </si>
  <si>
    <t>Research on adaptive job shop scheduling problems based on dueling double DQN</t>
  </si>
  <si>
    <t>Core tech (7) + manufacturing (9) + strong decision or scheduling/simulation/robotics signal</t>
  </si>
  <si>
    <t>cnn, convolutional neural network, deep q-network, dqn, reinforcement learning</t>
  </si>
  <si>
    <t>2020_prescriptive_system_for_reconfigurable_manufacturing_systems_considering_variable_demand_and_production_rates</t>
  </si>
  <si>
    <t>Prescriptive system for reconfigurable manufacturing systems considering variable demand and production rates</t>
  </si>
  <si>
    <t>genetic algorithm, optimization, simulation</t>
  </si>
  <si>
    <t>artificial intelligence, internet of things</t>
  </si>
  <si>
    <t>2020_performance_assessment_methodology_for_ai-supported_decision-making_in_production_management</t>
  </si>
  <si>
    <t>Performance assessment methodology for AI-supported decision-making in production management</t>
  </si>
  <si>
    <t>Core tech (5) + manufacturing (2) + strong decision or scheduling/simulation/robotics signal</t>
  </si>
  <si>
    <t>2020_the_research_of_flexible_scheduling_of_workshop_based_on_artificial_fish_swarm_algorithm_and_knowledge_mining</t>
  </si>
  <si>
    <t>The Research of Flexible Scheduling of Workshop Based on Artificial Fish Swarm Algorithm and Knowledge Mining</t>
  </si>
  <si>
    <t>Core tech (2) + manufacturing (13) + strong decision or scheduling/simulation/robotics signal</t>
  </si>
  <si>
    <t>data mining, decision tree, optimization</t>
  </si>
  <si>
    <t>data-driven</t>
  </si>
  <si>
    <t>2019_an_agent-based_process_mining_architecture_for_emergent_behavior_analysis</t>
  </si>
  <si>
    <t>An agent-based process mining architecture for emergent behavior analysis</t>
  </si>
  <si>
    <t>agvs, internet of things</t>
  </si>
  <si>
    <t>2019_towards_a_data-driven_predictive-reactive_production_scheduling_approach_based_on_inventory_availability</t>
  </si>
  <si>
    <t>Towards a data-driven predictive-reactive production scheduling approach based on inventory availability</t>
  </si>
  <si>
    <t>Core tech (8) + manufacturing (9) + strong decision or scheduling/simulation/robotics signal</t>
  </si>
  <si>
    <t>data driven, data-driven, machine learning</t>
  </si>
  <si>
    <t>2019_formulation_and_solution_for_the_predictive_maintenance_integrated_job_shop_scheduling_problem</t>
  </si>
  <si>
    <t>Formulation and solution for the predictive maintenance integrated job shop scheduling problem</t>
  </si>
  <si>
    <t>2019_a_multi-objective_reinforcement_learning_algorithm_for_jssp</t>
  </si>
  <si>
    <t>A Multi-objective Reinforcement Learning Algorithm for JSSP</t>
  </si>
  <si>
    <t>multi-agent reinforcement learning, optimization, reinforcement learning</t>
  </si>
  <si>
    <t>machine learning, reinforcement learning</t>
  </si>
  <si>
    <t>2019_design,_implementation_and_evaluation_of_reinforcement_learning_for_an_adaptive_order_dispatching_in_job_shop_manufacturing_systems</t>
  </si>
  <si>
    <t>Design, implementation and evaluation of reinforcement learning for an adaptive order dispatching in job shop manufacturing systems</t>
  </si>
  <si>
    <t>2019_data_analytics-based_decision_support_workflow_for_high-mix_low-volume_production_systems</t>
  </si>
  <si>
    <t>Data analytics-based decision support workflow for high-mix low-volume production systems</t>
  </si>
  <si>
    <t>analytics, machine learning</t>
  </si>
  <si>
    <t>2018_a_machine_learning_approach_applied_to_energy_prediction_in_job_shop_environments</t>
  </si>
  <si>
    <t>A machine learning approach applied to energy prediction in job shop environments</t>
  </si>
  <si>
    <t>2018_solving_the_job-shop_scheduling_problem_in_the_industry_4.0_era</t>
  </si>
  <si>
    <t>Solving the Job-Shop Scheduling Problem in the Industry 4.0 Era</t>
  </si>
  <si>
    <t>2018_manufacturing_flow_time_estimation_using_the_model-tree_induction_approach_in_a_dynamic_job_shop_environment</t>
  </si>
  <si>
    <t>Manufacturing flow time estimation using the model-tree induction approach in a dynamic job shop environment</t>
  </si>
  <si>
    <t>data mining, simulation, supervised learning</t>
  </si>
  <si>
    <t>2022_research_on_production_process_control_method_of_discrete_manufacturing_digital_workshop</t>
  </si>
  <si>
    <t>Research on Production Process Control Method of Discrete Manufacturing Digital Workshop</t>
  </si>
  <si>
    <t>Core tech (7) + manufacturing (10) + strong decision or scheduling/simulation/robotics signal</t>
  </si>
  <si>
    <t>artificial intelligence, data driven, data-driven, internet of things</t>
  </si>
  <si>
    <t>2022_deep_reinforcement_learning_multi-agent_system_for_resource_allocation_in_industrial_internet_of_things</t>
  </si>
  <si>
    <t>Deep Reinforcement Learning Multi-Agent System for Resource Allocation in Industrial Internet of Things</t>
  </si>
  <si>
    <t>Core tech (14) + manufacturing (2) + strong decision or scheduling/simulation/robotics signal</t>
  </si>
  <si>
    <t>deep learning, iiot, internet of things, reinforcement learning, robotics</t>
  </si>
  <si>
    <t>2024_a_subgraph-based_hierarchical_q-learning_approach_to_optimal_resource_scheduling_for_complex_industrial_networks</t>
  </si>
  <si>
    <t>A Subgraph-Based Hierarchical Q-Learning Approach to Optimal Resource Scheduling for Complex Industrial Networks</t>
  </si>
  <si>
    <t>L3</t>
  </si>
  <si>
    <t>2024_manufacturing_task_data_chain-driven_production_logistics_trajectory_analysis_and_optimization_decision_making_method</t>
  </si>
  <si>
    <t>Manufacturing task data chain-driven production logistics trajectory analysis and optimization decision making method</t>
  </si>
  <si>
    <t>data driven</t>
  </si>
  <si>
    <t>2024_learning_to_schedule_dynamic_distributed_reconfigurable_workshops_using_expected_deep_q-network</t>
  </si>
  <si>
    <t>Learning to schedule dynamic distributed reconfigurable workshops using expected deep Q-network</t>
  </si>
  <si>
    <t>deep q-network, reinforcement learning</t>
  </si>
  <si>
    <t>2023_addressing_distributional_shifts_in_operations_management:_the_case_of_order_fulfillment_in_customized_production</t>
  </si>
  <si>
    <t>Addressing distributional shifts in operations management: The case of order fulfillment in customized production</t>
  </si>
  <si>
    <t>Core tech (3) + manufacturing (3) + strong decision or scheduling/simulation/robotics signal</t>
  </si>
  <si>
    <t>2023_establishment_of_an_appropriate_data_analytic_platform_for_developing_a_wisdom_manufacturing_system_using_decision_techniques</t>
  </si>
  <si>
    <t>Establishment of an Appropriate Data Analytic Platform for Developing a Wisdom Manufacturing System Using Decision Techniques</t>
  </si>
  <si>
    <t>Core tech (3) + manufacturing (11) + strong decision or scheduling/simulation/robotics signal</t>
  </si>
  <si>
    <t>2020_blockchain-based_reputation_management_for_custom_manufacturing_service_in_the_peer-to-peer_networking_environment</t>
  </si>
  <si>
    <t>Blockchain-based reputation management for custom manufacturing service in the peer-to-peer networking environment</t>
  </si>
  <si>
    <t>iiot, industrial iot, internet of things, iot</t>
  </si>
  <si>
    <t>2023_collaborative_contracting_for_manufacturing-as-a-service_(maas)_by_information_content_measurement_and_decision_tree_learning</t>
  </si>
  <si>
    <t>Collaborative contracting for Manufacturing-as-a-Service (MaaS) by information content measurement and decision tree learning</t>
  </si>
  <si>
    <t>decision tree</t>
  </si>
  <si>
    <t>L4</t>
  </si>
  <si>
    <t>2024_transforming_supply_chain_management_with_aritifical_intellgience,_machine_learning,_deep_learning,_quantum_computing,_and_cloud_computing:_innovation_for_boosting_efficiency_and_reinforcing_resiliecne_in_australian_indsutry_5.0</t>
  </si>
  <si>
    <t>TRANSFORMING SUPPLY CHAIN MANAGEMENT WITH ARITIFICAL INTELLGIENCE, MACHINE LEARNING, DEEP LEARNING, QUANTUM COMPUTING, AND CLOUD COMPUTING: INNOVATION FOR BOOSTING EFFICIENCY AND REINFORCING RESILIECNE IN AUSTRALIAN INDSUTRY 5.0</t>
  </si>
  <si>
    <t>boosting</t>
  </si>
  <si>
    <t>data driven, deep learning, machine learning</t>
  </si>
  <si>
    <t>2024_decision_support_tools_for_product_customisation:_an_in-depth_review</t>
  </si>
  <si>
    <t>Decision support tools for product customisation: an in-depth review</t>
  </si>
  <si>
    <t>2024_enhancing_internal_supply_chain_management_in_manufacturing_through_a_simulation-based_digital_twin_platform</t>
  </si>
  <si>
    <t>Enhancing internal supply chain management in manufacturing through a simulation-based digital twin platform</t>
  </si>
  <si>
    <t>Core tech (5) + manufacturing (9) + strong decision or scheduling/simulation/robotics signal</t>
  </si>
  <si>
    <t>analytics, digital twin</t>
  </si>
  <si>
    <t>2022_the_contribution_of_digital_technology_to_the_forecasting_of_supply_chain_development,_in_it_products,_modeling_and_simulation_of_the_problem</t>
  </si>
  <si>
    <t>The Contribution of Digital Technology to the Forecasting of Supply Chain Development, in IT Products, Modeling and Simulation of the Problem</t>
  </si>
  <si>
    <t>forecasting, simulation</t>
  </si>
  <si>
    <t>2022_a_bilevel_production_planning_using_machine_learning-based_customer_modeling</t>
  </si>
  <si>
    <t>A bilevel production planning using machine learning-based customer modeling</t>
  </si>
  <si>
    <t>Core tech (4) + manufacturing (11) + strong decision or scheduling/simulation/robotics signal</t>
  </si>
  <si>
    <t>2022_digital_twin-driven_performance_optimization_for_hazardous_waste_landfill_systems</t>
  </si>
  <si>
    <t>Digital Twin-Driven Performance Optimization for Hazardous Waste Landfill Systems</t>
  </si>
  <si>
    <t>2021_responding_to_market_turbulence_by_big_data_analytics_and_mass_customization_capability</t>
  </si>
  <si>
    <t>Responding to market turbulence by big data analytics and mass customization capability</t>
  </si>
  <si>
    <t>Core tech (7) + manufacturing (1) + strong decision or scheduling/simulation/robotics signal</t>
  </si>
  <si>
    <t>analytics, data driven, data-driven</t>
  </si>
  <si>
    <t>2020_order_fulfilment_progress_estimation_for_collaborative_manufacturing_enabled_by_industrial_internet_of_things</t>
  </si>
  <si>
    <t>Order fulfilment progress estimation for collaborative manufacturing enabled by industrial internet of things</t>
  </si>
  <si>
    <t>iiot, internet of things</t>
  </si>
  <si>
    <t>2019_a_data-driven_method_for_decision_support_systems_in_mass_production_and_mass_customization</t>
  </si>
  <si>
    <t>A Data-Driven Method for Decision Support Systems in Mass Production and Mass Customization</t>
  </si>
  <si>
    <t>2018_on_the_design_complexity_of_cyberphysical_production_systems</t>
  </si>
  <si>
    <t>On the design complexity of cyberphysical production systems</t>
  </si>
  <si>
    <t>cyberphysical production systems, internet of things</t>
  </si>
  <si>
    <t>2020_toward_the_fourth_industrial_revolution_on_real-time_customization</t>
  </si>
  <si>
    <t>Toward the Fourth Industrial Revolution on Real-Time Customization</t>
  </si>
  <si>
    <t>Duplicate</t>
  </si>
  <si>
    <t>same</t>
  </si>
  <si>
    <t>x</t>
  </si>
  <si>
    <t>2025_uncertainty-aware_power_consumption_prediction_in_customized_stainless-steel_manufacturing:_a_comparative_study_of_hierarchical_bayesian_and_deep_neural_models</t>
  </si>
  <si>
    <t>Uncertainty-aware power consumption prediction in customized stainless-steel manufacturing: A comparative study of hierarchical Bayesian and deep neural models</t>
  </si>
  <si>
    <t>=++</t>
  </si>
  <si>
    <t>Core tech (9) + manufacturing (9) + strong decision or scheduling/simulation/robotics signal</t>
  </si>
  <si>
    <t>cnn, convolutional neural network, forecasting, gradient descent, linear regression, optimization</t>
  </si>
  <si>
    <t>analytics, data-driven, deep learning, neural network</t>
  </si>
  <si>
    <t>None</t>
  </si>
  <si>
    <t>2025_mamhsan:_a_multi-agent_deep_reinforcement_learning_framework_based_on_multi-head_self-attention_network_with_heterogeneous_graph_embedding_for_flexible_job_shop_scheduling</t>
  </si>
  <si>
    <t>MAMHSAN: A multi-agent deep reinforcement learning framework based on multi-head self-attention network with heterogeneous graph embedding for flexible job shop scheduling</t>
  </si>
  <si>
    <t>Core tech (9) + manufacturing (8) + strong decision or scheduling/simulation/robotics signal</t>
  </si>
  <si>
    <t>feature extraction, markov decision process, mdp, multi-agent reinforcement learning, optimization, ppo, reinforcement learning</t>
  </si>
  <si>
    <t>2025_material_delivery_optimization_for_make-to-order_reconfigurable_job_shops_using_an_improved_chaotic_multi-verse_algorithm</t>
  </si>
  <si>
    <t>Material delivery optimization for make-to-order reconfigurable job shops using an improved chaotic multi-verse algorithm</t>
  </si>
  <si>
    <t>agv, agvs</t>
  </si>
  <si>
    <t>2025_graph-based_deep_reinforcement_learning_for_dynamic_scheduling_of_flexible_job-shop_considering_worker_fatigue_and_multi-skill_factors</t>
  </si>
  <si>
    <t>Graph-based deep reinforcement learning for dynamic scheduling of flexible job-shop considering worker fatigue and multi-skill factors</t>
  </si>
  <si>
    <t>Core tech (5) + manufacturing (1) + strong decision or scheduling/simulation/robotics signal</t>
  </si>
  <si>
    <t>feature extraction, graph neural network, markov decision process, mdp, optimization, ppo, reinforcement learning</t>
  </si>
  <si>
    <t>2025_knowledge-_and_data-driven_hybrid_method_for_lot_streaming_scheduling_in_hybrid_flowshop_with_dynamic_order_arrivals</t>
  </si>
  <si>
    <t>Knowledge- and data-driven hybrid method for lot streaming scheduling in hybrid flowshop with dynamic order arrivals</t>
  </si>
  <si>
    <t>data driven, data-driven, reinforcement learning</t>
  </si>
  <si>
    <t>2025_probing_an_autonomous_decision-making_production_mechanism_of_the_digital_twin_shop-floor_based_on_the_industrial_large_model</t>
  </si>
  <si>
    <t>Probing an Autonomous Decision-making Production Mechanism of the Digital Twin Shop-floor based on the Industrial Large Model</t>
  </si>
  <si>
    <t>Core tech (11) + manufacturing (2) + strong decision or scheduling/simulation/robotics signal</t>
  </si>
  <si>
    <t>deep q-network, gnn, online learning, reinforcement learning, simulation</t>
  </si>
  <si>
    <t>digital twin, neural network, reinforcement learning</t>
  </si>
  <si>
    <t>2025_evolutionary_experience-guided_deep_reinforcement_learning_for_job_shop_scheduling_with_agv_transportation_constraints_in_flexible_manufacturing_system</t>
  </si>
  <si>
    <t>Evolutionary experience-guided deep reinforcement learning for job shop scheduling with AGV transportation constraints in flexible manufacturing system</t>
  </si>
  <si>
    <t>feature extraction, genetic algorithm, optimization, reinforcement learning, representation learning, transformer</t>
  </si>
  <si>
    <t>2025_graph_neural_network_and_expert-guided_deep_reinforcement_learning_for_solving_flexible_job-shop_scheduling_problem</t>
  </si>
  <si>
    <t>Graph neural network and expert-guided deep reinforcement learning for solving flexible job-shop scheduling problem</t>
  </si>
  <si>
    <t>Core tech (13) + manufacturing (1) + strong decision or scheduling/simulation/robotics signal</t>
  </si>
  <si>
    <t>feature extraction, gnn, graph neural network, reinforcement learning</t>
  </si>
  <si>
    <t>2025_deep_reinforcement_learning_based_proximal_policy_optimization_algorithm_for_dynamic_job_shop_scheduling</t>
  </si>
  <si>
    <t>Deep reinforcement learning based proximal policy optimization algorithm for dynamic job shop scheduling</t>
  </si>
  <si>
    <t>2025_dynamic_scheduling_for_dual-resource_constrained_flexible_job-shop_via_semantic-aware_graph_modelling_and_deep_reinforcement_learning</t>
  </si>
  <si>
    <t>Dynamic scheduling for dual-resource constrained flexible job-shop via semantic-aware graph modelling and deep reinforcement learning</t>
  </si>
  <si>
    <t>ppo, reinforcement learning</t>
  </si>
  <si>
    <t>2025_a_flexible_job_shop_scheduling_method_based_on_heterogeneous_disjunctive_graph_and_deep_reinforcement_learning</t>
  </si>
  <si>
    <t>A flexible job shop scheduling method based on heterogeneous disjunctive graph and deep reinforcement learning</t>
  </si>
  <si>
    <t>Core tech (9) + manufacturing (6) + strong decision or scheduling/simulation/robotics signal</t>
  </si>
  <si>
    <t>feature extraction, model based, optimization, ppo, reinforcement learning</t>
  </si>
  <si>
    <t>agv, agvs, machine learning, reinforcement learning</t>
  </si>
  <si>
    <t>2025_demand-driven_hierarchical_integrated_planning-scheduling_control_for_a_mobile_robot-operated_flexible_smart_manufacturing_system</t>
  </si>
  <si>
    <t>Demand-driven hierarchical integrated planning-scheduling control for a mobile robot-operated flexible smart manufacturing system</t>
  </si>
  <si>
    <t>markov decision process, marl, mdp, multi-agent reinforcement learning, policy gradient</t>
  </si>
  <si>
    <t>2025_toward_the_theoretical_foundations_of_industry_6.0:_a_framework_for_ai-driven_decentralized_manufacturing_control</t>
  </si>
  <si>
    <t>Toward the Theoretical Foundations of Industry 6.0: A Framework for AI-Driven Decentralized Manufacturing Control</t>
  </si>
  <si>
    <t>artificial intelligence, cyber physical system, internet of things</t>
  </si>
  <si>
    <t>2025_optimizing_markov_decision_process_state_design_for_deep_reinforcement_learning_manufacturing_scheduling_using_bayesian_optimization</t>
  </si>
  <si>
    <t>Optimizing Markov decision process state design for deep reinforcement learning manufacturing scheduling using Bayesian optimization</t>
  </si>
  <si>
    <t>bayesian optimization, markov decision process, optimization, reinforcement learning, supervised learning</t>
  </si>
  <si>
    <t>2025_inventory_routing_problem_of_automotive_parts_considering_time-varying_demands:_a_machine_learning_enhanced_branch-and-price_approach</t>
  </si>
  <si>
    <t>Inventory routing problem of automotive parts considering time-varying demands: A machine learning enhanced branch-and-price approach</t>
  </si>
  <si>
    <t>2025_a_matheuristic_method_for_the_automated_guided_vehicle_scheduling_problem_with_flexible_charging_and_job_release</t>
  </si>
  <si>
    <t>A matheuristic method for the automated guided vehicle scheduling problem with flexible charging and job release</t>
  </si>
  <si>
    <t>2025_deep_reinforcement_learning_for_data-driven_scheduling_in_multi-variety_and_small-batch_flexible_job_shops:_integrating_fluid_models_for_enhanced_optimization</t>
  </si>
  <si>
    <t>Deep reinforcement learning for data-driven scheduling in multi-variety and small-batch flexible job shops: Integrating fluid models for enhanced optimization</t>
  </si>
  <si>
    <t>data driven, data-driven, deep learning, internet of things, iot, reinforcement learning</t>
  </si>
  <si>
    <t>2025_optimization_scheduling_of_dynamic_industrial_systems_based_on_reinforcement_learning</t>
  </si>
  <si>
    <t>Optimization Scheduling of Dynamic Industrial Systems Based on Reinforcement Learning</t>
  </si>
  <si>
    <t>feature engineering, feature extraction, optimization, policy gradient, reinforcement learning</t>
  </si>
  <si>
    <t>2025_cognitive_digital_twin_for_multiobjective_production_scheduling</t>
  </si>
  <si>
    <t>Cognitive Digital Twin for Multiobjective Production Scheduling</t>
  </si>
  <si>
    <t>Core tech (7) + manufacturing (15) + strong decision or scheduling/simulation/robotics signal</t>
  </si>
  <si>
    <t>2025_flexible_job_shop_scheduling_based_on_learnable_graph_convolutional_attention_networks_and_reinforcement_learning</t>
  </si>
  <si>
    <t>Flexible job shop scheduling based on learnable graph convolutional attention networks and reinforcement learning</t>
  </si>
  <si>
    <t>feature extraction, reinforcement learning</t>
  </si>
  <si>
    <t>2025_multi-agent_cooperative_multi-network_group_framework_for_energy-efficient_distributed_fuzzy_flexible_job_shop_scheduling_problem</t>
  </si>
  <si>
    <t>Multi-agent cooperative multi-network group framework for energy-efficient distributed fuzzy flexible job shop scheduling problem</t>
  </si>
  <si>
    <t>dqn, markov decision process, multi-agent reinforcement learning</t>
  </si>
  <si>
    <t>iiot, internet of things, reinforcement learning</t>
  </si>
  <si>
    <t>2025_deep_reinforcement_learning_approach_for_a_dynamic_flexible_job_shop_problem_with_sequence_dependent_setup_times</t>
  </si>
  <si>
    <t>Deep reinforcement learning approach for a dynamic flexible job shop problem with sequence dependent setup times</t>
  </si>
  <si>
    <t>actor-critic, deep q-network, markov decision process, optimization, reinforcement learning</t>
  </si>
  <si>
    <t>2025_integrated_heterogeneous_graph_and_reinforcement_learning_enabled_efficient_scheduling_for_surface_mount_technology_workshop</t>
  </si>
  <si>
    <t>Integrated heterogeneous graph and reinforcement learning enabled efficient scheduling for surface mount technology workshop</t>
  </si>
  <si>
    <t>federated learning, graph neural network, reinforcement learning</t>
  </si>
  <si>
    <t>2025_research_on_a_multi-agent_job_shop_scheduling_method_based_on_improved_game_evolution</t>
  </si>
  <si>
    <t>Research on a Multi-Agent Job Shop Scheduling Method Based on Improved Game Evolution</t>
  </si>
  <si>
    <t>genetic algorithm, optimization, particle swarm optimization, pso</t>
  </si>
  <si>
    <t>agv</t>
  </si>
  <si>
    <t>2025_generating_textual_explanations_for_scheduling_systems_leveraging_the_reasoning_capabilities_of_large_language_models</t>
  </si>
  <si>
    <t>Generating textual explanations for scheduling systems leveraging the reasoning capabilities of large language models</t>
  </si>
  <si>
    <t>few-shot learning, gpt</t>
  </si>
  <si>
    <t>2025_ai-driven_data_analytics_for_enhanced_mass_customization_in_production</t>
  </si>
  <si>
    <t>AI-Driven Data Analytics for Enhanced Mass Customization in Production</t>
  </si>
  <si>
    <t>k-means</t>
  </si>
  <si>
    <t>analytics, artificial intelligence, machine learning</t>
  </si>
  <si>
    <t>2025_dynamic_multi-objective_flexible_job-shop_scheduling_via_dynamic_dual_attention_network-based_deep_reinforcement_learning</t>
  </si>
  <si>
    <t>Dynamic multi-objective flexible job-shop scheduling via dynamic dual attention network-based deep reinforcement learning</t>
  </si>
  <si>
    <t>metaheuristic, multi-agent reinforcement learning, optimization, reinforcement learning</t>
  </si>
  <si>
    <t>2025_deep_reinforcement_learning_algorithm_incorporating_problem_characteristics_for_dynamic_multi-objective_permutation_flow-shop_scheduling_problem</t>
  </si>
  <si>
    <t>Deep reinforcement learning algorithm incorporating problem characteristics for dynamic multi-objective permutation flow-shop scheduling problem</t>
  </si>
  <si>
    <t>Core tech (7) + manufacturing (5) + strong decision or scheduling/simulation/robotics signal</t>
  </si>
  <si>
    <t>2025_efjsp-ibdr:_energy-efficient_flexible_job_shop_scheduling_under_incentive-based_demand_response_via_graph_reinforcement_learning_with_dual_attention_mechanism</t>
  </si>
  <si>
    <t>EFJSP-IBDR: Energy-efficient flexible job shop scheduling under incentive-based demand response via graph reinforcement learning with dual attention mechanism</t>
  </si>
  <si>
    <t>attention mechanism, graph neural network, markov decision process, mdp, optimization, reinforcement learning</t>
  </si>
  <si>
    <t>2025_solving_industrial_chain_job_scheduling_problems_through_a_deep_reinforcement_learning_method_with_decay_strategy</t>
  </si>
  <si>
    <t>Solving industrial chain job scheduling problems through a deep reinforcement learning method with decay strategy</t>
  </si>
  <si>
    <t>2025_a_self-imitation_learning_approach_for_scheduling_evaporation_and_encapsulation_stages_of_oled_display_manufacturing_systems</t>
  </si>
  <si>
    <t>A self-imitation learning approach for scheduling evaporation and encapsulation stages of OLED display manufacturing systems</t>
  </si>
  <si>
    <t>2025_modelling_with_neural_networks_and_time-series_forecasting_inventory_control_and_cost_reduction_in_supply_chain_process</t>
  </si>
  <si>
    <t>Modelling with Neural Networks and Time-Series Forecasting Inventory Control and Cost Reduction in Supply Chain Process</t>
  </si>
  <si>
    <t>forecasting, time-series</t>
  </si>
  <si>
    <t>2025_self-learning_brainstorm_optimization_for_synchronization_of_operations_and_maintenance_toward_dual_resource-constrained_flexible_job_shops</t>
  </si>
  <si>
    <t>Self-learning brainstorm optimization for synchronization of operations and maintenance toward dual resource-constrained flexible job shops</t>
  </si>
  <si>
    <t>k-means, optimization, q-learning, reinforcement learning</t>
  </si>
  <si>
    <t>2025_production-logistics_collaborative_scheduling_in_dynamic_flexible_job_shops_using_nested-hierarchical_deep_reinforcement_learning</t>
  </si>
  <si>
    <t>Production-logistics collaborative scheduling in dynamic flexible job shops using nested-hierarchical deep reinforcement learning</t>
  </si>
  <si>
    <t>2025_dual_operation_aggregation_graph_neural_networks_for_solving_flexible_job-shop_scheduling_problem_with_reinforcement_learning</t>
  </si>
  <si>
    <t>Dual Operation Aggregation Graph Neural Networks for Solving Flexible Job-Shop Scheduling Problem with Reinforcement Learning</t>
  </si>
  <si>
    <t>gnn, graph neural network, optimization, reinforcement learning</t>
  </si>
  <si>
    <t>2025_a_multi-trigger_mechanism_design_for_rescheduling_decision_assistance_in_smart_job_shops_based_on_machine_learning</t>
  </si>
  <si>
    <t>A Multi-Trigger Mechanism Design for Rescheduling Decision Assistance in Smart Job Shops Based on Machine Learning</t>
  </si>
  <si>
    <t>Core tech (3) + manufacturing (5) + strong decision or scheduling/simulation/robotics signal</t>
  </si>
  <si>
    <t>multilayer perceptron, optimization</t>
  </si>
  <si>
    <t>2025_dynamic_scheduling_for_multi-objective_flexible_job_shop_via_deep_reinforcement_learning</t>
  </si>
  <si>
    <t>Dynamic scheduling for multi-objective flexible job shop via deep reinforcement learning</t>
  </si>
  <si>
    <t>markov decision process, optimization, reinforcement learning, representation learning</t>
  </si>
  <si>
    <t>2025_applying_decision_transformers_to_enhance_neural_local_search_on_the_job_shop_scheduling_problem</t>
  </si>
  <si>
    <t>Applying Decision Transformers to Enhance Neural Local Search on the Job Shop Scheduling Problem</t>
  </si>
  <si>
    <t>optimization, reinforcement learning, transformer</t>
  </si>
  <si>
    <t>2025_smart_scheduling_of_hanging_workshop_via_digital_twin_and_deep_reinforcement_learning</t>
  </si>
  <si>
    <t>Smart scheduling of hanging workshop via digital twin and deep reinforcement learning</t>
  </si>
  <si>
    <t>graph neural network, markov decision process, mdp, optimization, ppo, reinforcement learning</t>
  </si>
  <si>
    <t>2025_a_multi-action_deep_reinforcement_learning_based_on_bilstm_for_flexible_job_shop_scheduling_problem_with_tight_time</t>
  </si>
  <si>
    <t>A Multi-Action Deep Reinforcement Learning Based on BiLSTM for Flexible Job Shop Scheduling Problem with Tight Time</t>
  </si>
  <si>
    <t>markov decision process, mdp, optimization, ppo, reinforcement learning</t>
  </si>
  <si>
    <t>2025_optimizing_dynamic_flexible_job_shop_scheduling_using_an_evolutionary_multitask_optimization_framework_and_genetic_programming</t>
  </si>
  <si>
    <t>Optimizing Dynamic Flexible Job Shop Scheduling Using an Evolutionary Multitask Optimization Framework and Genetic Programming</t>
  </si>
  <si>
    <t>Core tech (3) + manufacturing (12) + strong decision or scheduling/simulation/robotics signal</t>
  </si>
  <si>
    <t>gp, optimization, reinforcement learning</t>
  </si>
  <si>
    <t>data-driven, reinforcement learning</t>
  </si>
  <si>
    <t>2025_adapted_q-learning_for_the_blocking_job_shop_scheduling_problem</t>
  </si>
  <si>
    <t>Adapted Q-Learning for the Blocking Job Shop Scheduling Problem</t>
  </si>
  <si>
    <t>federated learning, markov decision process, optimization, q-learning, reinforcement learning</t>
  </si>
  <si>
    <t>2025_discrete_event_simulation-driven_method_solving_permutation_flowshop_scheduling_problem_in_digital_twins</t>
  </si>
  <si>
    <t>Discrete Event Simulation-Driven Method Solving Permutation Flowshop Scheduling Problem in Digital Twins</t>
  </si>
  <si>
    <t>Core tech (4) + manufacturing (5) + strong decision or scheduling/simulation/robotics signal</t>
  </si>
  <si>
    <t>2025_time_series_methods_and_business_intelligent_tools_for_budget_planning—case_study</t>
  </si>
  <si>
    <t>Time Series Methods and Business Intelligent Tools for Budget Planning—Case Study</t>
  </si>
  <si>
    <t>forecasting, linear regression, simulation, time series, xgboost</t>
  </si>
  <si>
    <t>2025_a_dynamic_scheduling_method_combining_iterative_optimization_and_deep_reinforcement_learning_to_solve_sudden_disturbance_events_in_a_flexible_manufacturing_process</t>
  </si>
  <si>
    <t>A Dynamic Scheduling Method Combining Iterative Optimization and Deep Reinforcement Learning to Solve Sudden Disturbance Events in a Flexible Manufacturing Process</t>
  </si>
  <si>
    <t>2025_an_lstm_network-based_genetic_algorithm_for_integrated_procurement_and_scheduling_optimisation</t>
  </si>
  <si>
    <t>An LSTM network-based genetic algorithm for integrated procurement and scheduling optimisation</t>
  </si>
  <si>
    <t>genetic algorithm, lstm, recurrent neural network, rnn, supervised learning, tabu search</t>
  </si>
  <si>
    <t>2025_dynamic_production_scheduling_and_maintenance_planning_under_opportunistic_grouping</t>
  </si>
  <si>
    <t>Dynamic production scheduling and maintenance planning under opportunistic grouping</t>
  </si>
  <si>
    <t>deep q-network, dqn, genetic algorithm, optimization, particle swarm optimization, reinforcement learning</t>
  </si>
  <si>
    <t>2025_a_hybrid_data-driven_optimization_and_decision-making_approach_for_a_digital_twin_environment:_towards_customizing_production_platforms</t>
  </si>
  <si>
    <t>A hybrid data-driven optimization and decision-making approach for a digital twin environment: Towards customizing production platforms</t>
  </si>
  <si>
    <t>Core tech (3) + manufacturing (13) + strong decision or scheduling/simulation/robotics signal</t>
  </si>
  <si>
    <t>data-driven, digital twin</t>
  </si>
  <si>
    <t>2025_diverse_policy_generation_for_the_flexible_job-shop_scheduling_problem_via_deep_reinforcement_learning_with_a_novel_graph_representation</t>
  </si>
  <si>
    <t>Diverse policy generation for the flexible job-shop scheduling problem via deep reinforcement learning with a novel graph representation</t>
  </si>
  <si>
    <t>graph neural network, markov decision process, reinforcement learning</t>
  </si>
  <si>
    <t>2025_a_learning-assisted_bi-population_evolutionary_algorithm_for_distributed_flexible_job-shop_scheduling_with_maintenance_decisions</t>
  </si>
  <si>
    <t>A Learning-Assisted Bi-Population Evolutionary Algorithm for Distributed Flexible Job-Shop Scheduling With Maintenance Decisions</t>
  </si>
  <si>
    <t>evolutionary algorithm, optimization, reinforcement learning</t>
  </si>
  <si>
    <t>2025_a_novel_mixed_integer_programming_model_with_precedence_relation-based_decision_variables_for_non-cyclic_scheduling_of_cluster_tools</t>
  </si>
  <si>
    <t>A Novel Mixed Integer Programming Model with Precedence Relation-Based Decision Variables for Non-Cyclic Scheduling of Cluster Tools</t>
  </si>
  <si>
    <t>2025_a_hierarchical_multi-action_deep_reinforcement_learning_method_for_dynamic_distributed_job-shop_scheduling_problem_with_job_arrivals</t>
  </si>
  <si>
    <t>A Hierarchical Multi-Action Deep Reinforcement Learning Method for Dynamic Distributed Job-Shop Scheduling Problem with Job Arrivals</t>
  </si>
  <si>
    <t>Core tech (8) + manufacturing (8) + strong decision or scheduling/simulation/robotics signal</t>
  </si>
  <si>
    <t>actor-critic, feature extraction, gnn, graph neural network, markov decision process, mdp, optimization, ppo, reinforcement learning</t>
  </si>
  <si>
    <t>deep learning, machine learning, neural network, reinforcement learning</t>
  </si>
  <si>
    <t>2025_hybrid_task_scheduling_in_cloud_manufacturing_with_sparse-reward_deep_reinforcement_learning</t>
  </si>
  <si>
    <t>Hybrid Task Scheduling in Cloud Manufacturing With Sparse-Reward Deep Reinforcement Learning</t>
  </si>
  <si>
    <t>Core tech (10) + manufacturing (13) + strong decision or scheduling/simulation/robotics signal</t>
  </si>
  <si>
    <t>markov decision process, optimization, reinforcement learning</t>
  </si>
  <si>
    <t>deep learning, internet of things, iot, machine learning, reinforcement learning</t>
  </si>
  <si>
    <t>2025_real-time_decision-support_system_for_high-mix_low-volume_production_scheduling_in_industry_4.0</t>
  </si>
  <si>
    <t>Real-Time Decision-Support System for High-Mix Low-Volume Production Scheduling in Industry 4.0</t>
  </si>
  <si>
    <t>Core tech (9) + manufacturing (13) + strong decision or scheduling/simulation/robotics signal</t>
  </si>
  <si>
    <t>forecasting, lstm, time-series</t>
  </si>
  <si>
    <t>analytics, data-driven, deep learning, machine learning</t>
  </si>
  <si>
    <t>2025_navigating_the_fourth_industrial_revolution:_a_comprehensive_review_of_industry_4.0_technologies_and_their_global_adoption</t>
  </si>
  <si>
    <t>Navigating the Fourth Industrial Revolution: A Comprehensive Review of Industry 4.0 Technologies and Their Global Adoption</t>
  </si>
  <si>
    <t>Core tech (17) + manufacturing (6) + strong decision or scheduling/simulation/robotics signal</t>
  </si>
  <si>
    <t>analytics, artificial intelligence, cps, cyber physical system, internet of things, iot</t>
  </si>
  <si>
    <t>2025_a_spatiotemporal_graph_neural_network_based_deep_reinforcement_learning_method_for_online_distributed_job-shop_scheduling_problem</t>
  </si>
  <si>
    <t>A Spatiotemporal Graph Neural Network Based Deep Reinforcement Learning Method for Online Distributed Job-Shop Scheduling Problem</t>
  </si>
  <si>
    <t>actor-critic, gnn, graph neural network, markov decision process, multi-layer perceptron, optimization, q-learning, reinforcement learning, simulation</t>
  </si>
  <si>
    <t>2025_gart:_graph_neural_network-based_adaptive_and_robust_task_scheduler_for_heterogeneous_distributed_computing</t>
  </si>
  <si>
    <t>GART: Graph Neural Network-Based Adaptive and Robust Task Scheduler for Heterogeneous Distributed Computing</t>
  </si>
  <si>
    <t>2025_smart_reconfigurable_manufacturing_system_based_on_semantic_models_and_multicriteria_decision_making</t>
  </si>
  <si>
    <t>Smart Reconfigurable Manufacturing System Based on Semantic Models and Multicriteria Decision Making</t>
  </si>
  <si>
    <t>analytics, artificial intelligence, iiot</t>
  </si>
  <si>
    <t>2025_experience_replay-driven_evolutionary_reinforcement_learning_for_dynamic_flexible_flow_shop_scheduling</t>
  </si>
  <si>
    <t>Experience Replay-Driven Evolutionary Reinforcement Learning for Dynamic Flexible Flow Shop Scheduling</t>
  </si>
  <si>
    <t>markov decision process, mdp, reinforcement learning</t>
  </si>
  <si>
    <t>2025_graph-augmented_deep_reinforcement_learning_for_key_feature_extraction_in_fjsp</t>
  </si>
  <si>
    <t>Graph-Augmented Deep Reinforcement Learning for Key Feature Extraction in FJSP</t>
  </si>
  <si>
    <t>feature extraction, markov decision process, mdp, optimization, ppo, reinforcement learning</t>
  </si>
  <si>
    <t>2025_strategic_decision-making_for_the_job_shop_layout:_ai-trained_metamodel_using_modelling_and_simulation_results</t>
  </si>
  <si>
    <t>Strategic decision-making for the job shop layout: AI-trained metamodel using modelling and simulation results</t>
  </si>
  <si>
    <t>2025_research_on_multi-objective_scheduling_optimization_of_flexible_workshop_considering_the_transportation_energy_consumption_of_agv</t>
  </si>
  <si>
    <t>Research on Multi-objective Scheduling Optimization of Flexible Workshop Considering the Transportation Energy Consumption of AGV</t>
  </si>
  <si>
    <t>2025_a_flexible_job_shop_scheduling_method_via_a_hybrid_dual_attention_network_and_mamba_approach</t>
  </si>
  <si>
    <t>A Flexible Job Shop Scheduling Method via a Hybrid Dual Attention Network and Mamba Approach</t>
  </si>
  <si>
    <t>deep learning, reinforcement learning, robotics</t>
  </si>
  <si>
    <t>2025_navigating_demand_forecasting_in_make-to-order_manufacturing:_the_role_of_global_models_and_intermittent_time-series</t>
  </si>
  <si>
    <t>Navigating demand forecasting in make-to-order manufacturing: the role of global models and intermittent time-series</t>
  </si>
  <si>
    <t>forecasting, time series, time-series</t>
  </si>
  <si>
    <t>deep learning, machine learning</t>
  </si>
  <si>
    <t>2025_dynamic_flexible_job_shop_scheduling_problem_considering_multiple_types_of_dynamic_events</t>
  </si>
  <si>
    <t>Dynamic flexible job shop scheduling problem considering multiple types of dynamic events</t>
  </si>
  <si>
    <t>2025_a_multi-agent_deep_reinforcement_learning_framework_for_solving_dynamic_distributed_flexible_job_shop_scheduling_in_industrial_internet_of_things</t>
  </si>
  <si>
    <t>A Multi-agent Deep Reinforcement Learning Framework for Solving Dynamic Distributed Flexible Job Shop Scheduling in Industrial Internet of Things</t>
  </si>
  <si>
    <t>deep q network, reinforcement learning, simulation</t>
  </si>
  <si>
    <t>2025_a_hierarchical_multi-agent_reinforcement_learning_framework_to_optimizing_distributed_flexible_manufacturing_systems_with_integrated_assembly_and_logistics</t>
  </si>
  <si>
    <t>A Hierarchical Multi-agent Reinforcement Learning Framework to Optimizing Distributed Flexible Manufacturing Systems with Integrated Assembly and Logistics</t>
  </si>
  <si>
    <t>deep q-network, model-based, multi-agent reinforcement learning, optimization, reinforcement learning</t>
  </si>
  <si>
    <t>2025_energy-efficient_distributed_heterogeneous_hybrid_flow-shop_scheduling_using_graph_neural_network_and_deep_reinforcement_learning</t>
  </si>
  <si>
    <t>Energy-efficient Distributed Heterogeneous Hybrid Flow-shop Scheduling Using Graph Neural Network and Deep Reinforcement Learning</t>
  </si>
  <si>
    <t>2025_pathfinder:_deep_reinforcement_learning-based_scheduling_for_multi-robot_systems_in_smart_factories_with_mass_customization</t>
  </si>
  <si>
    <t>Pathfinder: Deep Reinforcement Learning-Based Scheduling for Multi-Robot Systems in Smart Factories with Mass Customization</t>
  </si>
  <si>
    <t>Core tech (12) + manufacturing (7) + strong decision or scheduling/simulation/robotics signal</t>
  </si>
  <si>
    <t>2025_evolutionary_strategies_with_dual_graph_reinforcement_learning_for_flexible_job_shop_scheduling_problem</t>
  </si>
  <si>
    <t>Evolutionary Strategies with Dual Graph Reinforcement Learning for Flexible Job Shop Scheduling Problem</t>
  </si>
  <si>
    <t>gnn, graph neural network, optimization, policy gradient, reinforcement learning</t>
  </si>
  <si>
    <t>2025_implementing_hybrid_tsetlin_machine_and_q-learning_for_solving_the_job_shop_scheduling</t>
  </si>
  <si>
    <t>Implementing Hybrid Tsetlin Machine and Q-Learning for Solving the Job Shop Scheduling</t>
  </si>
  <si>
    <t>optimization, pattern recognition, q-learning, reinforcement learning</t>
  </si>
  <si>
    <t>2025_permutation-invariant_and_equivariant_multiagent_reinforcement_learning_for_flexible_manufacturing_in_industrial_iot</t>
  </si>
  <si>
    <t>Permutation-Invariant and Equivariant Multiagent Reinforcement Learning for Flexible Manufacturing in Industrial IoT</t>
  </si>
  <si>
    <t>graph neural network, marl, multi-agent reinforcement learning, multiagent reinforcement learning</t>
  </si>
  <si>
    <t>iiot, industrial iot, internet of things, neural network, reinforcement learning</t>
  </si>
  <si>
    <t>2025_cloud_job_scheduling_using_deadline-based_task_optimisation_algorithm_in_internet_of_things</t>
  </si>
  <si>
    <t>Cloud Job Scheduling Using Deadline-Based Task Optimisation Algorithm in Internet of Things</t>
  </si>
  <si>
    <t>Core tech (11) + manufacturing (1) + strong decision or scheduling/simulation/robotics signal</t>
  </si>
  <si>
    <t>data-driven, internet of things, iot</t>
  </si>
  <si>
    <t>2025_multi-objective_scheduling_for_green_flexible_assembly_job-shop_system_via_multi-agent_deep_reinforcement_learning_with_game_theory</t>
  </si>
  <si>
    <t>Multi-Objective Scheduling for Green Flexible Assembly Job-Shop System via Multi-Agent Deep Reinforcement Learning With Game Theory</t>
  </si>
  <si>
    <t>convolutional neural network, markov decision process, mdp, optimization, policy gradient, reinforcement learning</t>
  </si>
  <si>
    <t>2025_solving_flexible_job-shop_problem_considering_skilled_workers_via_multi-domain_graph_attention_network</t>
  </si>
  <si>
    <t>Solving flexible job-shop problem considering skilled workers via multi-domain graph attention network</t>
  </si>
  <si>
    <t>markov decision process, reinforcement learning</t>
  </si>
  <si>
    <t>2025_exploring_the_potential_of_llm-based_chatbots_for_task_scheduling_in_robot_operations</t>
  </si>
  <si>
    <t>Exploring the Potential of LLM-based Chatbots for Task Scheduling in Robot Operations</t>
  </si>
  <si>
    <t>model-based, optimization</t>
  </si>
  <si>
    <t>artificial intelligence, autonomous mobile robot, robot</t>
  </si>
  <si>
    <t>2025_a_machine_learning_approach_for_engineer-to-order_firms_to_predict_supplier_performance_in_critical_supply_chains</t>
  </si>
  <si>
    <t>A machine learning approach for engineer-to-order firms to predict supplier performance in critical supply chains</t>
  </si>
  <si>
    <t>boosting, logistic regression, random forest, support vector machine</t>
  </si>
  <si>
    <t>2025_energy-aware_dynamic_rescheduling_of_flexible_manufacturing_system_using_edge-cloud_collaborative_decision-making_method</t>
  </si>
  <si>
    <t>Energy-aware dynamic rescheduling of flexible manufacturing system using edge-cloud collaborative decision-making method</t>
  </si>
  <si>
    <t>deep q network, dqn, model based, reinforcement learning</t>
  </si>
  <si>
    <t>2025_agent-based_communication_for_fault_diagnosis_in_skill-based_production_environments_using_messages_based_on_i4.0_language_and_asset_administration_shells</t>
  </si>
  <si>
    <t>Agent-Based Communication for Fault Diagnosis in Skill-Based Production Environments Using Messages Based on I4.0 Language and Asset Administration Shells</t>
  </si>
  <si>
    <t>Core tech (5) + manufacturing (4) + strong decision or scheduling/simulation/robotics signal</t>
  </si>
  <si>
    <t>cpps, cyber-physical production systems, fault detection</t>
  </si>
  <si>
    <t>2025_hybrid_mts/mto_production_scheduling_with_cloud_orders:_a_mathematical_model_based_on_an_empirical_study</t>
  </si>
  <si>
    <t>Hybrid MTS/MTO production scheduling with cloud orders: a mathematical model based on an empirical study</t>
  </si>
  <si>
    <t>model based, optimization</t>
  </si>
  <si>
    <t>2025_explainable_reinforcement_learning_in_job-shop_scheduling:_a_systematic_literature_review</t>
  </si>
  <si>
    <t>Explainable reinforcement learning in job-shop scheduling: A systematic literature review</t>
  </si>
  <si>
    <t>Core tech (11) + manufacturing (5) + strong decision or scheduling/simulation/robotics signal</t>
  </si>
  <si>
    <t>2025_reinforcement_learning_in_dynamic_job_shop_scheduling:_a_comprehensive_review_of_ai-driven_approaches_in_modern_manufacturing</t>
  </si>
  <si>
    <t>Reinforcement learning in dynamic job shop scheduling: a comprehensive review of AI-driven approaches in modern manufacturing</t>
  </si>
  <si>
    <t>2024_designing_digital_twin_with_iot_and_ai_in_warehouse_to_support_optimization_and_safety_in_engineer-to-order_manufacturing_process_for_prefabricated_building_products</t>
  </si>
  <si>
    <t>Designing Digital Twin with IoT and AI in Warehouse to Support Optimization and Safety in Engineer-to-Order Manufacturing Process for Prefabricated Building Products</t>
  </si>
  <si>
    <t>Core tech (15) + manufacturing (10) + strong decision or scheduling/simulation/robotics signal</t>
  </si>
  <si>
    <t>artificial intelligence, digital twin, internet of things, iot</t>
  </si>
  <si>
    <t>P4--</t>
  </si>
  <si>
    <t>2023_data-driven_product_optimization_capabilities_to_enhance_sustainability_and_environmental_compliance_in_a_marine_manufacturing_context</t>
  </si>
  <si>
    <t>Data-driven product optimization capabilities to enhance sustainability and environmental compliance in a marine manufacturing context</t>
  </si>
  <si>
    <t>2022_the_complexity_of_data-driven_in_engineer-to-order_enterprise_supply-chains</t>
  </si>
  <si>
    <t>The Complexity of Data-Driven in Engineer-To-Order Enterprise Supply-Chains</t>
  </si>
  <si>
    <t>Core tech (7) + manufacturing (4) + strong decision or scheduling/simulation/robotics signal</t>
  </si>
  <si>
    <t>2018_big_data_analytics_for_operations_management_in_engineer-to-order_manufacturing</t>
  </si>
  <si>
    <t>Big data analytics for operations management in engineer-to-order manufacturing</t>
  </si>
  <si>
    <t>data mining, forecasting, simulation</t>
  </si>
  <si>
    <t>2024_flexible_symbiosis_for_simulation_optimization_in_production_scheduling:_a_design_strategy_for_adaptive_decision_support_in_industry_5.0</t>
  </si>
  <si>
    <t>Flexible Symbiosis for Simulation Optimization in Production Scheduling: A Design Strategy for Adaptive Decision Support in Industry 5.0</t>
  </si>
  <si>
    <t>=+</t>
  </si>
  <si>
    <t>Industry 4.0 digitalization (6) + tech (1)</t>
  </si>
  <si>
    <t>2024_practical_algorithms_for_weakly_flexible_job_scheduling_for_smart_mold_component_process</t>
  </si>
  <si>
    <t>Practical algorithms for weakly flexible job scheduling for smart mold component process</t>
  </si>
  <si>
    <t>Industry 4.0 digitalization (2) + tech (1)</t>
  </si>
  <si>
    <t>2024_long-sighted_dispatching_rules_for_manufacturing_scheduling_problem_in_industry_4.0_hybrid_approach</t>
  </si>
  <si>
    <t>Long-sighted dispatching rules for manufacturing scheduling problem in Industry 4.0 hybrid approach</t>
  </si>
  <si>
    <t>Industry 4.0 digitalization (5) + tech (1)</t>
  </si>
  <si>
    <t>2024_leveraging_auto-generative_simulation_for_decision_support_in_engineer-to-order_manufacturing</t>
  </si>
  <si>
    <t>Leveraging Auto-generative Simulation for Decision Support in Engineer-to-Order Manufacturing</t>
  </si>
  <si>
    <t>Industry 4.0 digitalization (7) + tech (1)</t>
  </si>
  <si>
    <t>2022_framework_development_and_evaluation_of_industry_4.0_technological_aspects_towards_improving_the_circular_economy-based_supply_chain</t>
  </si>
  <si>
    <t>Framework development and evaluation of Industry 4.0 technological aspects towards improving the circular economy-based supply chain</t>
  </si>
  <si>
    <t>Industry 4.0 digitalization (11) + tech (1)</t>
  </si>
  <si>
    <t>2022_job_shop_rescheduling_with_rework_and_reconditioning_in_industry_4.0:_an_event-driven_approach</t>
  </si>
  <si>
    <t>Job shop rescheduling with rework and reconditioning in Industry 4.0: an event-driven approach</t>
  </si>
  <si>
    <t>Industry 4.0 digitalization (3) + tech (1)</t>
  </si>
  <si>
    <t>robotics</t>
  </si>
  <si>
    <t>2022_toward_smart_manufacturing_scheduling_from_an_ontological_approach_of_job-shop_uncertainty_sources</t>
  </si>
  <si>
    <t>Toward smart manufacturing scheduling from an ontological approach of job-shop uncertainty sources</t>
  </si>
  <si>
    <t>2021_towards_a_mass_customization_in_the_fashion_industry:_an_evolutionary_decision_aid_model_for_apparel_product_platform_design_and_optimization</t>
  </si>
  <si>
    <t>Towards a mass customization in the fashion industry: An evolutionary decision aid model for apparel product platform design and optimization</t>
  </si>
  <si>
    <t>2021_real-time_integrated_production-scheduling_and_maintenance-planning_in_a_flexible_job_shop_with_machine_deterioration_and_condition-based_maintenance</t>
  </si>
  <si>
    <t>Real-time integrated production-scheduling and maintenance-planning in a flexible job shop with machine deterioration and condition-based maintenance</t>
  </si>
  <si>
    <t>2020_digital_transformation_to_empower_smart_production_for_industry_3.5_and_an_empirical_study_for_textile_dyeing</t>
  </si>
  <si>
    <t>Digital transformation to empower smart production for Industry 3.5 and an empirical study for textile dyeing</t>
  </si>
  <si>
    <t>Industry 4.0 digitalization (8) + tech (1)</t>
  </si>
  <si>
    <t>2019_industry_4.0:_key_questions_in_manufacturing</t>
  </si>
  <si>
    <t>Industry 4.0: Key Questions in Manufacturing</t>
  </si>
  <si>
    <t>iot</t>
  </si>
  <si>
    <t>2018_digital_manufacturing_applicability_of_a_laser_sintered_component_for_automotive_industry:_a_case_study</t>
  </si>
  <si>
    <t>Digital manufacturing applicability of a laser sintered component for automotive industry: a case study</t>
  </si>
  <si>
    <t>cyber physical system</t>
  </si>
  <si>
    <t>2018_mass_customization_model_in_food_industry_using_industry_4.0_standard_with_fuzzy-based_multi-criteria_decision_making_methodology</t>
  </si>
  <si>
    <t>Mass customization model in food industry using industry 4.0 standard with fuzzy-based multi-criteria decision making methodology</t>
  </si>
  <si>
    <t>2018_petri_net_model_of_a_smart_factory_in_the_frame_of_industry_4.0</t>
  </si>
  <si>
    <t>Petri Net Model of a Smart Factory in the Frame of Industry 4.0</t>
  </si>
  <si>
    <t>remove</t>
  </si>
  <si>
    <t>2020_deep_reinforcement_learning_based_agvs_real-time_scheduling_with_mixed_rule_for_flexible_shop_floor_in_industry_4.0</t>
  </si>
  <si>
    <t>Deep reinforcement learning based AGVs real-time scheduling with mixed rule for flexible shop floor in industry 4.0</t>
  </si>
  <si>
    <t>Yes</t>
  </si>
  <si>
    <t>2019_multi-objective_optimization_for_energy-efficient_flexible_job_shop_scheduling_problem_with_transportation_constraints</t>
  </si>
  <si>
    <t>Multi-objective optimization for energy-efficient flexible job shop scheduling problem with transportation constraints</t>
  </si>
  <si>
    <t>2020_an_improved_artificial_bee_colony_algorithm_for_solving_multi-objective_low-carbon_flexible_job_shop_scheduling_problem</t>
  </si>
  <si>
    <t>An improved artificial bee colony algorithm for solving multi-objective low-carbon flexible job shop scheduling problem</t>
  </si>
  <si>
    <t>2020_a_self-learning_genetic_algorithm_based_on_reinforcement_learning_for_flexible_job-shop_scheduling_problem</t>
  </si>
  <si>
    <t>A self-learning genetic algorithm based on reinforcement learning for flexible job-shop scheduling problem</t>
  </si>
  <si>
    <t>2020_learning_to_dispatch_for_job_shop_scheduling_via_deep_reinforcement_learning</t>
  </si>
  <si>
    <t>Learning to Dispatch for Job Shop Scheduling via Deep Reinforcement Learning</t>
  </si>
  <si>
    <t>An efficient two-stage genetic algorithm for a flexible job-shop scheduling problem with sequence dependent attached/detached setup, machine release date and lag-time</t>
  </si>
  <si>
    <t>Multiobjective Optimization of Energy-Efficient JOB-Shop Scheduling with Dynamic Reference Point-Based Fuzzy Relative Entropy</t>
  </si>
  <si>
    <t xml:space="preserve">  </t>
  </si>
  <si>
    <t>DOI</t>
  </si>
  <si>
    <t>Snowball (Yes/No)</t>
  </si>
  <si>
    <t>Manufacturing level (L0,L1,L2,L3/L4)</t>
  </si>
  <si>
    <t>Old Evaluation (Scenarios, Simulation, Case study,…)</t>
  </si>
  <si>
    <t>Primary Evaluation(s)</t>
  </si>
  <si>
    <t>Evaluation setting</t>
  </si>
  <si>
    <t>Data Source</t>
  </si>
  <si>
    <t>Country</t>
  </si>
  <si>
    <t>Date</t>
  </si>
  <si>
    <t>Industry</t>
  </si>
  <si>
    <t>DSS focus</t>
  </si>
  <si>
    <t>DSS focus (broard groups)</t>
  </si>
  <si>
    <t>Job-shop variations</t>
  </si>
  <si>
    <t xml:space="preserve">Metrics </t>
  </si>
  <si>
    <t>Improvement goals or objectives (What they try to achieve)</t>
  </si>
  <si>
    <t>comments</t>
  </si>
  <si>
    <t>Bibtex ref</t>
  </si>
  <si>
    <t>Cited in survey? Yes/No</t>
  </si>
  <si>
    <t>Special/different papers notes for discussion</t>
  </si>
  <si>
    <t>https://doi.org/10.1109/WSC57314.2022.10015436</t>
  </si>
  <si>
    <t>No</t>
  </si>
  <si>
    <t>Industrial Case study</t>
  </si>
  <si>
    <t>Offline industrial</t>
  </si>
  <si>
    <t>static evaluation</t>
  </si>
  <si>
    <t>Industrial data</t>
  </si>
  <si>
    <t>classic ML, MES, hyper-/meta-heuristic</t>
  </si>
  <si>
    <t>GP, OO</t>
  </si>
  <si>
    <t>Netherlands</t>
  </si>
  <si>
    <t>Semiconductor</t>
  </si>
  <si>
    <t>Scheduling</t>
  </si>
  <si>
    <t>makespan minisation</t>
  </si>
  <si>
    <t>Improved scheduling of wafer production</t>
  </si>
  <si>
    <t>Ghasemi2022Demonstration</t>
  </si>
  <si>
    <t>https://doi.org/10.1016/j.ifacol.2022.09.677</t>
  </si>
  <si>
    <t>Indutrial Case study</t>
  </si>
  <si>
    <t>industrial case study</t>
  </si>
  <si>
    <t>DT</t>
  </si>
  <si>
    <t>Metal &amp; machining</t>
  </si>
  <si>
    <t>Lead time prediction</t>
  </si>
  <si>
    <t>Forecasting &amp; prediction</t>
  </si>
  <si>
    <t xml:space="preserve">Tardiness </t>
  </si>
  <si>
    <t xml:space="preserve">improved planning and control </t>
  </si>
  <si>
    <t>Herkes2022Using</t>
  </si>
  <si>
    <t>https://doi.org/10.1016/j.ifacol.2022.09.305</t>
  </si>
  <si>
    <t>scenario</t>
  </si>
  <si>
    <t>synthetic</t>
  </si>
  <si>
    <t>classic ML</t>
  </si>
  <si>
    <t>Random Forest</t>
  </si>
  <si>
    <t>France</t>
  </si>
  <si>
    <t>Not specified</t>
  </si>
  <si>
    <t>Flexible Job Shop Scheduling</t>
  </si>
  <si>
    <t>Makespan minimisation</t>
  </si>
  <si>
    <t xml:space="preserve">Predict production plan feasibility </t>
  </si>
  <si>
    <t>Tremblet2022Predicting</t>
  </si>
  <si>
    <t>https://doi.org/10.1109/CASE49997.2022.9926440</t>
  </si>
  <si>
    <t>Simulation</t>
  </si>
  <si>
    <t>synthetic+industrial data</t>
  </si>
  <si>
    <t>AGV/AMR, heuristics</t>
  </si>
  <si>
    <t>MDP, Costum Heuristic, dynamic programming</t>
  </si>
  <si>
    <t>South Korea</t>
  </si>
  <si>
    <t>Automotive</t>
  </si>
  <si>
    <t xml:space="preserve">AMR routing optimisation in an FJSSP </t>
  </si>
  <si>
    <t>Kim2022A</t>
  </si>
  <si>
    <t>https://doi.org/10.32604/cmc.2022.030803</t>
  </si>
  <si>
    <t>Illustrative Case study+Benchmark</t>
  </si>
  <si>
    <r>
      <rPr>
        <rFont val="Calibri"/>
        <color rgb="FF000000"/>
        <sz val="11.0"/>
      </rPr>
      <t>benchmark data (</t>
    </r>
    <r>
      <rPr>
        <rFont val="Calibri"/>
        <color rgb="FF1155CC"/>
        <sz val="11.0"/>
        <u/>
      </rPr>
      <t>ft06, ft10 (Fisher);  (Applegate &amp; Cook); (Lawrence</t>
    </r>
    <r>
      <rPr>
        <rFont val="Calibri"/>
        <color rgb="FF000000"/>
        <sz val="11.0"/>
      </rPr>
      <t>))</t>
    </r>
  </si>
  <si>
    <t>ML</t>
  </si>
  <si>
    <t>GNN, MDP, A2C, RL</t>
  </si>
  <si>
    <t>Egypt</t>
  </si>
  <si>
    <t>Job Shop Scheduling</t>
  </si>
  <si>
    <t>Finding the optimal scheduling policy</t>
  </si>
  <si>
    <t>ElSayed2022Deep</t>
  </si>
  <si>
    <t>https://doi.org/10.1016/j.procir.2022.04.027</t>
  </si>
  <si>
    <t>Scenario</t>
  </si>
  <si>
    <t>Synthetic</t>
  </si>
  <si>
    <t>DQN, RL</t>
  </si>
  <si>
    <t>Germany</t>
  </si>
  <si>
    <t>Plant layout</t>
  </si>
  <si>
    <t>Plant layout &amp; reconfiguration</t>
  </si>
  <si>
    <t>Machine utilisation</t>
  </si>
  <si>
    <t xml:space="preserve">Optimising scheduling based on total distance traveled </t>
  </si>
  <si>
    <t>Klar2022Scalability</t>
  </si>
  <si>
    <t>https://doi.org/10.1109/ACCESS.2022.3151170</t>
  </si>
  <si>
    <t>ADP, Experience replay, markov chain model, RL</t>
  </si>
  <si>
    <t>China</t>
  </si>
  <si>
    <t>Predictive maintenance</t>
  </si>
  <si>
    <t>finding the best predictive maintenance model</t>
  </si>
  <si>
    <t>Feng2022Predictive</t>
  </si>
  <si>
    <t>YesNo</t>
  </si>
  <si>
    <t>https://doi.org/10.1080/00207543.2021.1894369</t>
  </si>
  <si>
    <t>heuristic</t>
  </si>
  <si>
    <t>Costum Heuristic, SRPT, SPT, EDD</t>
  </si>
  <si>
    <t xml:space="preserve">Optimsing simultaneous part input sequencing and robot scheduling </t>
  </si>
  <si>
    <t>He2022Simultaneous</t>
  </si>
  <si>
    <t>https://doi.org/10.1016/j.rcim.2021.102202</t>
  </si>
  <si>
    <t>lab case study</t>
  </si>
  <si>
    <t>lab data</t>
  </si>
  <si>
    <t>CPS, IoT, ML, MAS, AGV/AMR</t>
  </si>
  <si>
    <t>RL</t>
  </si>
  <si>
    <t>Improved Scheduling</t>
  </si>
  <si>
    <t>Zhou2021Multiagent</t>
  </si>
  <si>
    <t>https://doi.org/10.3390/s21144836</t>
  </si>
  <si>
    <t>Simulation+Sensitivity analysis</t>
  </si>
  <si>
    <t>IGEP, Discovered dispatching rules</t>
  </si>
  <si>
    <t>Makespan &amp; Tardiness</t>
  </si>
  <si>
    <t>Improved scheduling</t>
  </si>
  <si>
    <t>Zhang2021Datadriven</t>
  </si>
  <si>
    <t>https://doi.org/10.1016/j.jclepro.2021.126093</t>
  </si>
  <si>
    <t>Industrial Case study+scenario+Simulation</t>
  </si>
  <si>
    <t>IoT, Edge Computing</t>
  </si>
  <si>
    <t>Evolutionary Game</t>
  </si>
  <si>
    <t>Makespan</t>
  </si>
  <si>
    <t>improved scheduling</t>
  </si>
  <si>
    <t>Wang2021Evolutionary</t>
  </si>
  <si>
    <t>https://doi.org/10.1109/JPROC.2020.3034808</t>
  </si>
  <si>
    <t>lab Case study</t>
  </si>
  <si>
    <t>AI, CPS, IoT, Edge Computing, Cloud Computing, AGV/AMR, OPC UA</t>
  </si>
  <si>
    <t>systems engineering</t>
  </si>
  <si>
    <t>Food packaging</t>
  </si>
  <si>
    <t>N/A</t>
  </si>
  <si>
    <t>Exploring AI in customised manufacturing</t>
  </si>
  <si>
    <t>Wan2021ArtificialIntelligenceDriven</t>
  </si>
  <si>
    <t>https://doi.org/10.1016/j.procir.2021.11.307</t>
  </si>
  <si>
    <t>Industrial Case study+simulation</t>
  </si>
  <si>
    <t>industrial data+synthetic</t>
  </si>
  <si>
    <t>DT, heuristic</t>
  </si>
  <si>
    <t>Italy</t>
  </si>
  <si>
    <t>Developing prescriptive maintenance</t>
  </si>
  <si>
    <t>Padovano2021A</t>
  </si>
  <si>
    <t>https://doi.org/10.1109/ACCESS.2020.3046784</t>
  </si>
  <si>
    <t>indsutrial case study+simulation+scenarios</t>
  </si>
  <si>
    <t>Q-learning, Composite Reward Modeling, MDP, RL</t>
  </si>
  <si>
    <t>Zhou2021Reinforcement</t>
  </si>
  <si>
    <t>https://doi.org/10.1016/j.jmsy.2020.04.015</t>
  </si>
  <si>
    <t>lab case study+simulation</t>
  </si>
  <si>
    <t>DT, CPS, OPC UA, Simulation</t>
  </si>
  <si>
    <t>systems engineering, UML modeling</t>
  </si>
  <si>
    <t>Simulation generation</t>
  </si>
  <si>
    <t>Visualization &amp; simulation</t>
  </si>
  <si>
    <t>Makespan minimsation</t>
  </si>
  <si>
    <t>Develop digital twin enabled material handling system</t>
  </si>
  <si>
    <t>Glatt2021Modeling</t>
  </si>
  <si>
    <t>https://doi.org/10.1109/IEEM45057.2020.9309782</t>
  </si>
  <si>
    <t>case study+simulation+scenarios</t>
  </si>
  <si>
    <t>simulation+scenarios</t>
  </si>
  <si>
    <t>DT, CPS, Simulation</t>
  </si>
  <si>
    <t>Heuristic</t>
  </si>
  <si>
    <t>Reconfigurability</t>
  </si>
  <si>
    <t>Makespan minimisation?</t>
  </si>
  <si>
    <t>creating a real-time adjustment of reconfigurable or multi-functional machines DT</t>
  </si>
  <si>
    <t>Feng2020Simulation</t>
  </si>
  <si>
    <t>https://doi.org/10.1016/j.compind.2020.103329</t>
  </si>
  <si>
    <t>lab data+industrial data</t>
  </si>
  <si>
    <t>CPS, IoT, AI, OPC UA, Edge Computing, SCADA, ERP, MES</t>
  </si>
  <si>
    <t>costume scheduling method</t>
  </si>
  <si>
    <t>Portugal</t>
  </si>
  <si>
    <t>Pharmaceutical</t>
  </si>
  <si>
    <t>Data collection and visualization</t>
  </si>
  <si>
    <t>Robustness --&gt; delay rate, machine utilization rate, number of used machine, mean total waiting time (TWT)</t>
  </si>
  <si>
    <t>Proposing a platform providing real-time decision support</t>
  </si>
  <si>
    <t>Coito2020A</t>
  </si>
  <si>
    <t>https://doi.org/10.1016/j.jmsy.2025.10.010</t>
  </si>
  <si>
    <t>indsutrial case study</t>
  </si>
  <si>
    <t>HBLR, HBNN, FCN, 1D-CNN, NUTS, ADVI, SVGD, DL</t>
  </si>
  <si>
    <t>Power consumption prediction</t>
  </si>
  <si>
    <t>Energy Efficiency</t>
  </si>
  <si>
    <t>Improved power prediction model for customised stainless-steel production</t>
  </si>
  <si>
    <t>Chawalitanont2025Uncertaintyaware</t>
  </si>
  <si>
    <t>https://doi.org/10.1016/j.cie.2025.111466</t>
  </si>
  <si>
    <t>benchmark+scenario</t>
  </si>
  <si>
    <r>
      <rPr>
        <rFont val="Calibri"/>
        <color rgb="FF000000"/>
        <sz val="11.0"/>
      </rPr>
      <t xml:space="preserve">synthetic+benchmark data  </t>
    </r>
    <r>
      <rPr>
        <rFont val="Calibri"/>
        <color rgb="FF1155CC"/>
        <sz val="11.0"/>
        <u/>
      </rPr>
      <t>Barnes, Brandimarte, Dauzere, and Hurink (edata, rdata, vdata)</t>
    </r>
  </si>
  <si>
    <t>GNN, HGE, MDP, PPO, RL</t>
  </si>
  <si>
    <t xml:space="preserve">Improved scheduling </t>
  </si>
  <si>
    <t>Zhang2025MAMHSAN</t>
  </si>
  <si>
    <t>https://doi.org/10.1016/j.swevo.2025.102167</t>
  </si>
  <si>
    <t>industrial case study+sensitivety analysis</t>
  </si>
  <si>
    <t>offline industrial</t>
  </si>
  <si>
    <t>AGV/AMR, metaheuristic</t>
  </si>
  <si>
    <t>Cylinder production</t>
  </si>
  <si>
    <t>Reconfigurable Job Shop Scheduling</t>
  </si>
  <si>
    <t>Makespan minimisation / Machine utilisation</t>
  </si>
  <si>
    <t>Improved AGV order delivery</t>
  </si>
  <si>
    <t>Xiao2025Material</t>
  </si>
  <si>
    <t>https://doi.org/10.3390/su17052198</t>
  </si>
  <si>
    <t>check</t>
  </si>
  <si>
    <t>MLP, classification, DL</t>
  </si>
  <si>
    <t>Dynamic Job Shop Scheduling</t>
  </si>
  <si>
    <t>Robustness --&gt; machine learning metrics: Confusion matrix, Accuracy, Precision, Recall, ROC curve, AUC</t>
  </si>
  <si>
    <t>Decision making on rescheduling timing and location</t>
  </si>
  <si>
    <t>Duan2025A</t>
  </si>
  <si>
    <t>https://doi.org/10.1016/j.asoc.2025.112787</t>
  </si>
  <si>
    <t>synthetic+benchmark data (Not typically used).</t>
  </si>
  <si>
    <t>PPO, MDP, RL</t>
  </si>
  <si>
    <t>Dynamic flexible job shop scheduling</t>
  </si>
  <si>
    <t>Improved rescheduling for dynamic event handling</t>
  </si>
  <si>
    <t>Yuan2025Dynamic</t>
  </si>
  <si>
    <t>https://doi.org/10.3390/ai6030048</t>
  </si>
  <si>
    <r>
      <rPr>
        <rFont val="Calibri"/>
        <color rgb="FF000000"/>
        <sz val="11.0"/>
      </rPr>
      <t xml:space="preserve">synthetic+benchmark data </t>
    </r>
    <r>
      <rPr>
        <rFont val="Calibri"/>
        <color rgb="FF1155CC"/>
        <sz val="11.0"/>
        <u/>
      </rPr>
      <t>taillard</t>
    </r>
  </si>
  <si>
    <t>Decision Transformer, Imitation Learning, Neural Local Search, RL</t>
  </si>
  <si>
    <t>WaubertdePuiseau2025Applying</t>
  </si>
  <si>
    <t>https://doi.org/10.1007/s10696-024-09543-z</t>
  </si>
  <si>
    <r>
      <rPr>
        <rFont val="Calibri"/>
        <color rgb="FF000000"/>
        <sz val="11.0"/>
      </rPr>
      <t>synthetic+ benchmark mk (</t>
    </r>
    <r>
      <rPr>
        <rFont val="Calibri"/>
        <color rgb="FF1155CC"/>
        <sz val="11.0"/>
        <u/>
      </rPr>
      <t>Brandimarte</t>
    </r>
    <r>
      <rPr>
        <rFont val="Calibri"/>
        <color rgb="FF000000"/>
        <sz val="11.0"/>
      </rPr>
      <t xml:space="preserve"> 1993) and la (</t>
    </r>
    <r>
      <rPr>
        <rFont val="Calibri"/>
        <color rgb="FF1155CC"/>
        <sz val="11.0"/>
        <u/>
      </rPr>
      <t xml:space="preserve">Hurink </t>
    </r>
    <r>
      <rPr>
        <rFont val="Calibri"/>
        <color rgb="FF000000"/>
        <sz val="11.0"/>
      </rPr>
      <t>et al. 1994)</t>
    </r>
  </si>
  <si>
    <t>DT, ML</t>
  </si>
  <si>
    <t>PPO, MDP, graph embedding, GNN, RL</t>
  </si>
  <si>
    <t>Pan2025Smart</t>
  </si>
  <si>
    <t>https://doi.org/10.1145/3709026.3709038</t>
  </si>
  <si>
    <t>MDP, PPO, BiLSTM, RL</t>
  </si>
  <si>
    <t xml:space="preserve">Improved scheduling, minimising waiting time </t>
  </si>
  <si>
    <t>Wang2025A</t>
  </si>
  <si>
    <t>https://doi.org/10.1109/TASE.2024.3386562</t>
  </si>
  <si>
    <t>Scenarios</t>
  </si>
  <si>
    <t>TPN, MIP</t>
  </si>
  <si>
    <t>Ahn2025A</t>
  </si>
  <si>
    <t>https://doi.org/10.1109/TASE.2024.3380644</t>
  </si>
  <si>
    <t>scenario+industrial case study</t>
  </si>
  <si>
    <t>MDP, GNN, PPO, RL, MAS</t>
  </si>
  <si>
    <t>Dynamic Distributed Job Shop Scheduling</t>
  </si>
  <si>
    <t>Robustness --&gt; makespan  and machine idle time (MIT)</t>
  </si>
  <si>
    <t>Handling uncertain disturbance from job arrivals</t>
  </si>
  <si>
    <t>Huang2025A</t>
  </si>
  <si>
    <t>https://doi.org/10.1109/TASE.2024.3371250</t>
  </si>
  <si>
    <t>industrial data+synthetic+benchmark data (Not typically used).</t>
  </si>
  <si>
    <t>MDP, Twin DDPG, HER, RL</t>
  </si>
  <si>
    <t xml:space="preserve">Minimising Makespan by solving hybrid task scheduling problem </t>
  </si>
  <si>
    <t>Wang2025Hybrid</t>
  </si>
  <si>
    <t>https://doi.org/10.3390/PR8080912</t>
  </si>
  <si>
    <t>simulation+survey study+risk analysis</t>
  </si>
  <si>
    <t>synthetic+industrial data (survey)</t>
  </si>
  <si>
    <t>MB, GA</t>
  </si>
  <si>
    <t>Hungary</t>
  </si>
  <si>
    <t xml:space="preserve">Minimising makespan by consindering the results of risks analysis of HMLV manufacturing </t>
  </si>
  <si>
    <t>Long2025RealTime</t>
  </si>
  <si>
    <t>https://doi.org/10.1007/s00170-021-08163-3</t>
  </si>
  <si>
    <t>scenario+simulation</t>
  </si>
  <si>
    <t>TPN, SPT, LPT, BAS</t>
  </si>
  <si>
    <t>Colombia</t>
  </si>
  <si>
    <t>Robustness --&gt; Relative Peformance Difference (RPD) + stability metric</t>
  </si>
  <si>
    <t xml:space="preserve">Improving rescheduling </t>
  </si>
  <si>
    <t>Meja2022Job</t>
  </si>
  <si>
    <t>2025_joint_optimization_of_maintenance_and_quality_inspection_for_multi-stage_manufacturing_system_based_on_genetic_reinforcement_learning</t>
  </si>
  <si>
    <t>Joint Optimization of Maintenance and Quality Inspection for Multi-Stage Manufacturing System Based on Genetic Reinforcement Learning</t>
  </si>
  <si>
    <t>https://doi.org/10.1002/qre.70027</t>
  </si>
  <si>
    <t>simulation+scenario</t>
  </si>
  <si>
    <t>GLR, MDP, RL</t>
  </si>
  <si>
    <t>robustness --&gt; costs (maintenance, inspection, buffer penalties) and performance indcators Machine reliability + product quality (probability of producing defective items)</t>
  </si>
  <si>
    <t>Optimising buffer stock, quality inspection</t>
  </si>
  <si>
    <t>Wang2025Joint</t>
  </si>
  <si>
    <t>2025_natural_language-driven_production_planning:_integrating_large_language_models_with_automatic_simulation_model_generation_in_manufacturing_systems</t>
  </si>
  <si>
    <t>Natural language-driven production planning: integrating large language models with automatic simulation model generation in manufacturing systems</t>
  </si>
  <si>
    <t>https://doi.org/10.1007/s10845-025-02732-z</t>
  </si>
  <si>
    <t>none of the above</t>
  </si>
  <si>
    <t>none/Other</t>
  </si>
  <si>
    <t>AI</t>
  </si>
  <si>
    <t>LLM, DES, ASMG</t>
  </si>
  <si>
    <t>Improving resource utilisation, bottleneck identification, and production scheduling</t>
  </si>
  <si>
    <t>Elbasheer2025Natural</t>
  </si>
  <si>
    <t>2025_a_refined_two-stage_fuzzy_hybrid_decision_making_support_framework_for_enhancing_logistics_and_manufacturing_integration</t>
  </si>
  <si>
    <t>A refined two-stage fuzzy hybrid decision making support framework for enhancing logistics and manufacturing integration</t>
  </si>
  <si>
    <t>https://doi.org/10.1016/j.aei.2025.103780</t>
  </si>
  <si>
    <t>industrial case study+sensitivity analysis</t>
  </si>
  <si>
    <t>industrial data</t>
  </si>
  <si>
    <t>QFD, DEMATEL, MULTIMOORA, IVTFN</t>
  </si>
  <si>
    <t>Logistics</t>
  </si>
  <si>
    <t>Logistics &amp; supply chain</t>
  </si>
  <si>
    <t>Robustness (resilience)  --&gt; MULTIMOORA score (ranking-based)</t>
  </si>
  <si>
    <t xml:space="preserve">Improving resilience in supply chain </t>
  </si>
  <si>
    <t>Yang2025Refined</t>
  </si>
  <si>
    <t>yes</t>
  </si>
  <si>
    <t>2023_a_multi-objective_bi-level_leader-follower_joint_optimization_for_concurrent_design_of_product_family_and_assembly_system</t>
  </si>
  <si>
    <t>A multi-objective Bi-level leader-follower joint optimization for concurrent design of product family and assembly system</t>
  </si>
  <si>
    <t>https://doi.org/10.1016/j.cie.2023.109035</t>
  </si>
  <si>
    <t>industrial case study+scenario</t>
  </si>
  <si>
    <t>MOBLP, LFJO, custom GA, DSM</t>
  </si>
  <si>
    <t>Australia</t>
  </si>
  <si>
    <t>Product family modularization</t>
  </si>
  <si>
    <t xml:space="preserve">Maximising profit </t>
  </si>
  <si>
    <t>Hossain2023Multiobjective</t>
  </si>
  <si>
    <t>2025_a_deep_reinforcement_learning_driven_bi-population_evolutionary_optimization_for_precast_concrete_scheduling_with_production_transportation</t>
  </si>
  <si>
    <t>A deep reinforcement learning driven bi-population evolutionary optimization for precast concrete scheduling with production transportation</t>
  </si>
  <si>
    <t>https://doi.org/10.1016/j.cie.2025.111354</t>
  </si>
  <si>
    <t>ML, metaheuristic</t>
  </si>
  <si>
    <t>Evolutionary Algorithm, MILP, DQN, MDP, Costum heuristic operators, RL, MAS</t>
  </si>
  <si>
    <t>Precast concrete</t>
  </si>
  <si>
    <t>Distributed flexible job SSP</t>
  </si>
  <si>
    <t xml:space="preserve">Makespan / Energy efficiency </t>
  </si>
  <si>
    <t>Improving these metrics through B-DQN</t>
  </si>
  <si>
    <t>Du2025Deep</t>
  </si>
  <si>
    <t>2025_dynamic_integrated_process_planning_and_scheduling_under_multi-resource_constraints_in_workshops_with_reconfigurable_manufacturing_cells:_a_novel_hyper-heuristic_approach</t>
  </si>
  <si>
    <t>Dynamic integrated process planning and scheduling under multi-resource constraints in workshops with reconfigurable manufacturing cells: a novel hyper-heuristic approach</t>
  </si>
  <si>
    <t>https://doi.org/10.1016/j.eswa.2025.128337</t>
  </si>
  <si>
    <t>GP, Bloat control</t>
  </si>
  <si>
    <t>Robustness --&gt; makespan, total tardiness, total reconfiguraiton time, worker load balancing, equioment load balancing</t>
  </si>
  <si>
    <t>Adressing the dynamic integrated process planning and scheduling under multi-resrouce constraints in workshops with reconfigurable manufacturing cells problem</t>
  </si>
  <si>
    <t>I think this falls into L1</t>
  </si>
  <si>
    <t>Guo2025Dynamic</t>
  </si>
  <si>
    <t>https://doi.org/10.1016/j.cie.2024.110616</t>
  </si>
  <si>
    <t>simulation+lab case study</t>
  </si>
  <si>
    <t>lab data+synthetic</t>
  </si>
  <si>
    <t>DT, IoT, AMR/AGV</t>
  </si>
  <si>
    <t>DES</t>
  </si>
  <si>
    <t xml:space="preserve">Enhance operational efficiency and facilitate adoption of the manufacturing as a service paradigm </t>
  </si>
  <si>
    <t>Santos2024Transitioning</t>
  </si>
  <si>
    <t>https://doi.org/10.1016/j.jmsy.2024.09.011</t>
  </si>
  <si>
    <r>
      <rPr>
        <rFont val="Calibri"/>
        <color rgb="FF000000"/>
        <sz val="11.0"/>
      </rPr>
      <t xml:space="preserve">synthetic+Public benchmark </t>
    </r>
    <r>
      <rPr>
        <rFont val="Calibri"/>
        <color rgb="FF1155CC"/>
        <sz val="11.0"/>
        <u/>
      </rPr>
      <t>Brandimarte</t>
    </r>
  </si>
  <si>
    <t>AGV/AMR, ML</t>
  </si>
  <si>
    <t>GNN, MDP, RL</t>
  </si>
  <si>
    <t>Tackling the scale generalisation challenge of FJSSP</t>
  </si>
  <si>
    <t>Moon2024Learningenabled</t>
  </si>
  <si>
    <t>https://doi.org/10.1145/3690931.3690993</t>
  </si>
  <si>
    <r>
      <rPr>
        <rFont val="Calibri"/>
        <color rgb="FF000000"/>
        <sz val="11.0"/>
      </rPr>
      <t xml:space="preserve">synthetic+Public benchmark ft06 </t>
    </r>
    <r>
      <rPr>
        <rFont val="Calibri"/>
        <color rgb="FF1155CC"/>
        <sz val="11.0"/>
        <u/>
      </rPr>
      <t>Fisher</t>
    </r>
  </si>
  <si>
    <t>MDP, RL</t>
  </si>
  <si>
    <t xml:space="preserve">Improving scheduling </t>
  </si>
  <si>
    <t>Yang2024A</t>
  </si>
  <si>
    <t>https://doi.org/10.1016/j.cie.2024.110507</t>
  </si>
  <si>
    <t>simulation+sensitivity analysis</t>
  </si>
  <si>
    <t>classic ML, DT</t>
  </si>
  <si>
    <t>Simulation, Adaptive Boosting Regressor</t>
  </si>
  <si>
    <t>Canada</t>
  </si>
  <si>
    <t>Nejati2024A</t>
  </si>
  <si>
    <t>https://doi.org/10.1016/j.swevo.2024.101660</t>
  </si>
  <si>
    <t>scenarios</t>
  </si>
  <si>
    <t>static</t>
  </si>
  <si>
    <t>DQN, MDP, PPO, RL</t>
  </si>
  <si>
    <t>Robustness --&gt; Total weighted tardiness (TWT) and Machine utilization</t>
  </si>
  <si>
    <t>Yue2024Twostage</t>
  </si>
  <si>
    <t>https://doi.org/10.1016/j.compchemeng.2024.108748</t>
  </si>
  <si>
    <t>Chemical</t>
  </si>
  <si>
    <t>RangelMartnez2024A</t>
  </si>
  <si>
    <t>https://doi.org/10.1016/j.ifacol.2024.09.176</t>
  </si>
  <si>
    <t>benchmark</t>
  </si>
  <si>
    <r>
      <rPr>
        <rFont val="Calibri"/>
        <color rgb="FF000000"/>
        <sz val="11.0"/>
      </rPr>
      <t xml:space="preserve">benchmark dataset </t>
    </r>
    <r>
      <rPr>
        <rFont val="Calibri"/>
        <color rgb="FF1155CC"/>
        <sz val="11.0"/>
        <u/>
      </rPr>
      <t xml:space="preserve">Brandimarte </t>
    </r>
    <r>
      <rPr>
        <rFont val="Calibri"/>
        <color rgb="FF000000"/>
        <sz val="11.0"/>
      </rPr>
      <t xml:space="preserve">and </t>
    </r>
    <r>
      <rPr>
        <rFont val="Calibri"/>
        <color rgb="FF1155CC"/>
        <sz val="11.0"/>
        <u/>
      </rPr>
      <t>Dauzere</t>
    </r>
  </si>
  <si>
    <t>DQN, MDP, RAINBOW, RL</t>
  </si>
  <si>
    <t xml:space="preserve">Improved Scheduling </t>
  </si>
  <si>
    <t>Corra2024Rainbow</t>
  </si>
  <si>
    <t>https://doi.org/10.3390/machines12080584</t>
  </si>
  <si>
    <r>
      <rPr>
        <rFont val="Calibri"/>
        <color rgb="FF000000"/>
        <sz val="11.0"/>
      </rPr>
      <t>benchmark dataset mk (</t>
    </r>
    <r>
      <rPr>
        <rFont val="Calibri"/>
        <color rgb="FF1155CC"/>
        <sz val="11.0"/>
        <u/>
      </rPr>
      <t>Brandimarte</t>
    </r>
    <r>
      <rPr>
        <rFont val="Calibri"/>
        <color rgb="FF000000"/>
        <sz val="11.0"/>
      </rPr>
      <t xml:space="preserve">) and </t>
    </r>
    <r>
      <rPr>
        <rFont val="Calibri"/>
        <color rgb="FF1155CC"/>
        <sz val="11.0"/>
        <u/>
      </rPr>
      <t xml:space="preserve">Hurink </t>
    </r>
    <r>
      <rPr>
        <rFont val="Calibri"/>
        <color rgb="FF000000"/>
        <sz val="11.0"/>
      </rPr>
      <t>(edata, rdata, vdata</t>
    </r>
  </si>
  <si>
    <t>GNN, HGNNR, PPO, MDP, RL</t>
  </si>
  <si>
    <t>flexible Job Shop Scheduling</t>
  </si>
  <si>
    <t>Tang2024Solving</t>
  </si>
  <si>
    <t>https://doi.org/10.1016/j.ijpe.2024.109312</t>
  </si>
  <si>
    <t>DES, RL</t>
  </si>
  <si>
    <t>Material flow control</t>
  </si>
  <si>
    <t>Improving delivery performance</t>
  </si>
  <si>
    <t>He2024The</t>
  </si>
  <si>
    <t>https://doi.org/10.1007/s10845-023-02189-y</t>
  </si>
  <si>
    <t>PPO, DES, RL</t>
  </si>
  <si>
    <t>Robustness --&gt; mean Tardiness</t>
  </si>
  <si>
    <t>Improving dynamic scheduling with disruptive event</t>
  </si>
  <si>
    <t>Wang2024Smart</t>
  </si>
  <si>
    <t>https://doi.org/10.1016/j.swevo.2024.101605</t>
  </si>
  <si>
    <t>scenario+benchmark</t>
  </si>
  <si>
    <r>
      <rPr>
        <rFont val="Calibri"/>
        <color rgb="FF000000"/>
        <sz val="11.0"/>
      </rPr>
      <t xml:space="preserve">synthetic+ benchmark ft </t>
    </r>
    <r>
      <rPr>
        <rFont val="Calibri"/>
        <color rgb="FF1155CC"/>
        <sz val="11.0"/>
        <u/>
      </rPr>
      <t>Fisher</t>
    </r>
    <r>
      <rPr>
        <rFont val="Calibri"/>
        <color rgb="FF000000"/>
        <sz val="11.0"/>
      </rPr>
      <t xml:space="preserve">, la </t>
    </r>
    <r>
      <rPr>
        <rFont val="Calibri"/>
        <color rgb="FF1155CC"/>
        <sz val="11.0"/>
        <u/>
      </rPr>
      <t>Hurink</t>
    </r>
    <r>
      <rPr>
        <rFont val="Calibri"/>
        <color rgb="FF000000"/>
        <sz val="11.0"/>
      </rPr>
      <t xml:space="preserve">, </t>
    </r>
    <r>
      <rPr>
        <rFont val="Calibri"/>
        <color rgb="FF1155CC"/>
        <sz val="11.0"/>
        <u/>
      </rPr>
      <t>orb</t>
    </r>
    <r>
      <rPr>
        <rFont val="Calibri"/>
        <color rgb="FF000000"/>
        <sz val="11.0"/>
      </rPr>
      <t>,</t>
    </r>
  </si>
  <si>
    <t>GNN, MDP, PPO, Pareto, RL</t>
  </si>
  <si>
    <t xml:space="preserve">Improved scheduling in terms of workload and makespan </t>
  </si>
  <si>
    <t>Su2024Fast</t>
  </si>
  <si>
    <t>https://doi.org/10.1016/j.engappai.2024.108487</t>
  </si>
  <si>
    <t>DQN, MDP, RL</t>
  </si>
  <si>
    <t>Makespan / Tardiness</t>
  </si>
  <si>
    <t xml:space="preserve">Improved scheduling when urgent jobs are included </t>
  </si>
  <si>
    <t>Lu2024A</t>
  </si>
  <si>
    <t>https://doi.org/10.1016/j.jmsy.2024.04.028</t>
  </si>
  <si>
    <r>
      <rPr>
        <rFont val="Calibri"/>
        <color rgb="FF000000"/>
        <sz val="11.0"/>
      </rPr>
      <t xml:space="preserve">synthetic+benchmark dataset </t>
    </r>
    <r>
      <rPr>
        <rFont val="Calibri"/>
        <color rgb="FF1155CC"/>
        <sz val="11.0"/>
        <u/>
      </rPr>
      <t>taillard</t>
    </r>
  </si>
  <si>
    <t>MDP, PPO, RL</t>
  </si>
  <si>
    <t>job shop Scheduling</t>
  </si>
  <si>
    <t>Lassoued2024Introducing</t>
  </si>
  <si>
    <t>https://doi.org/10.3390/su16083234</t>
  </si>
  <si>
    <t xml:space="preserve">lab case study+benchmark </t>
  </si>
  <si>
    <r>
      <rPr>
        <rFont val="Calibri"/>
        <color rgb="FF000000"/>
        <sz val="11.0"/>
      </rPr>
      <t xml:space="preserve">lab data+benchmark data </t>
    </r>
    <r>
      <rPr>
        <rFont val="Calibri"/>
        <color rgb="FF1155CC"/>
        <sz val="11.0"/>
        <u/>
      </rPr>
      <t xml:space="preserve">dmu </t>
    </r>
    <r>
      <rPr>
        <rFont val="Calibri"/>
        <color rgb="FF000000"/>
        <sz val="11.0"/>
      </rPr>
      <t xml:space="preserve">and  </t>
    </r>
    <r>
      <rPr>
        <rFont val="Calibri"/>
        <color rgb="FF1155CC"/>
        <sz val="11.0"/>
        <u/>
      </rPr>
      <t xml:space="preserve">Brandimarte </t>
    </r>
    <r>
      <rPr>
        <rFont val="Calibri"/>
        <color rgb="FF000000"/>
        <sz val="11.0"/>
      </rPr>
      <t xml:space="preserve">and </t>
    </r>
    <r>
      <rPr>
        <rFont val="Calibri"/>
        <color rgb="FF1155CC"/>
        <sz val="11.0"/>
        <u/>
      </rPr>
      <t>Hurink</t>
    </r>
  </si>
  <si>
    <t>GNN, MDP, MAPPO, RL, MAS</t>
  </si>
  <si>
    <t>Packaging</t>
  </si>
  <si>
    <t xml:space="preserve">Improved dynamic scheduling </t>
  </si>
  <si>
    <t>Pu2024MultiAgent</t>
  </si>
  <si>
    <t>https://doi.org/10.1016/j.eswa.2023.121756</t>
  </si>
  <si>
    <r>
      <rPr>
        <rFont val="Calibri"/>
        <color rgb="FF000000"/>
        <sz val="11.0"/>
      </rPr>
      <t xml:space="preserve">benchmark dataset </t>
    </r>
    <r>
      <rPr>
        <rFont val="Calibri"/>
        <color rgb="FF1155CC"/>
        <sz val="11.0"/>
        <u/>
      </rPr>
      <t>taillard</t>
    </r>
  </si>
  <si>
    <t>GNN, MDP, PPO, RL</t>
  </si>
  <si>
    <t>distributed job shop scheduling</t>
  </si>
  <si>
    <t xml:space="preserve">Improved distributed scheduling </t>
  </si>
  <si>
    <t>Huang2024An</t>
  </si>
  <si>
    <t>https://doi.org/10.1016/j.jii.2024.100582</t>
  </si>
  <si>
    <t>MDP, PPO, DES, RL</t>
  </si>
  <si>
    <t>Spain</t>
  </si>
  <si>
    <t xml:space="preserve">Improving smart manufacturing scheduling </t>
  </si>
  <si>
    <t>SerranoRuiz2024Job</t>
  </si>
  <si>
    <t>https://doi.org/10.1109/TNNLS.2023.3306421</t>
  </si>
  <si>
    <r>
      <rPr>
        <rFont val="Calibri"/>
        <color rgb="FF000000"/>
        <sz val="11.0"/>
      </rPr>
      <t xml:space="preserve">synthetic+benchmark dataset </t>
    </r>
    <r>
      <rPr>
        <rFont val="Calibri"/>
        <color rgb="FF1155CC"/>
        <sz val="11.0"/>
        <u/>
      </rPr>
      <t xml:space="preserve">Brandimarte </t>
    </r>
    <r>
      <rPr>
        <rFont val="Calibri"/>
        <color rgb="FF000000"/>
        <sz val="11.0"/>
      </rPr>
      <t xml:space="preserve">and </t>
    </r>
    <r>
      <rPr>
        <rFont val="Calibri"/>
        <color rgb="FF1155CC"/>
        <sz val="11.0"/>
        <u/>
      </rPr>
      <t xml:space="preserve">Hurink </t>
    </r>
  </si>
  <si>
    <t>DAN, PPO, RL</t>
  </si>
  <si>
    <t xml:space="preserve">Imrpoved scheduling </t>
  </si>
  <si>
    <t>Wang2024Flexible</t>
  </si>
  <si>
    <t>https://doi.org/10.1016/j.engappai.2025.111356</t>
  </si>
  <si>
    <r>
      <rPr>
        <rFont val="Calibri"/>
        <color rgb="FF000000"/>
        <sz val="11.0"/>
      </rPr>
      <t xml:space="preserve">synthetic+benchmark dataset </t>
    </r>
    <r>
      <rPr>
        <rFont val="Calibri"/>
        <color rgb="FF1155CC"/>
        <sz val="11.0"/>
        <u/>
      </rPr>
      <t>Deroussi and Norre</t>
    </r>
    <r>
      <rPr>
        <rFont val="Calibri"/>
        <color rgb="FF000000"/>
        <sz val="11.0"/>
      </rPr>
      <t xml:space="preserve"> and </t>
    </r>
    <r>
      <rPr>
        <rFont val="Calibri"/>
        <color rgb="FF1155CC"/>
        <sz val="11.0"/>
        <u/>
      </rPr>
      <t>Hurink</t>
    </r>
  </si>
  <si>
    <t>ML, AGV/AMR</t>
  </si>
  <si>
    <t>PPO, MLP embedding, MDP, GNN, RL</t>
  </si>
  <si>
    <t xml:space="preserve">Improved scheduling including AGVs </t>
  </si>
  <si>
    <t>Zhao2025A</t>
  </si>
  <si>
    <t>https://doi.org/10.1016/j.rcim.2025.103015</t>
  </si>
  <si>
    <t>AGV/AMR, FMS, ML</t>
  </si>
  <si>
    <t>MDP, MAS, RL</t>
  </si>
  <si>
    <t>USA</t>
  </si>
  <si>
    <t>Robustness --&gt; throughput, robot movement cost, permanent production loss, production count</t>
  </si>
  <si>
    <t xml:space="preserve">Improved demand driven scheduling </t>
  </si>
  <si>
    <t>Li2025Demanddriven</t>
  </si>
  <si>
    <t>https://doi.org/10.1093/jcde/qwaf100</t>
  </si>
  <si>
    <t>BO, MDP, RL</t>
  </si>
  <si>
    <t>Yoo2025Optimizing</t>
  </si>
  <si>
    <t>https://doi.org/10.1016/j.tre.2025.104297</t>
  </si>
  <si>
    <t>IP</t>
  </si>
  <si>
    <t>Tardiness(?) (Inventory and transportation cost)</t>
  </si>
  <si>
    <t xml:space="preserve">Improved inventory routing </t>
  </si>
  <si>
    <t>Wang2025Inventory</t>
  </si>
  <si>
    <t>https://doi.org/10.1007/s11227-025-07586-z</t>
  </si>
  <si>
    <t>DAN, RL, MAS</t>
  </si>
  <si>
    <t>Aerospace</t>
  </si>
  <si>
    <t xml:space="preserve">Improved flexible scheduling </t>
  </si>
  <si>
    <t>Zeng2025Dynamic</t>
  </si>
  <si>
    <t>https://doi.org/10.1016/j.eswa.2025.127340</t>
  </si>
  <si>
    <t>lab case study+benchmark+scenario</t>
  </si>
  <si>
    <r>
      <rPr>
        <rFont val="Calibri"/>
        <color rgb="FF000000"/>
        <sz val="11.0"/>
      </rPr>
      <t xml:space="preserve">benchmark dataset </t>
    </r>
    <r>
      <rPr>
        <rFont val="Calibri"/>
        <color rgb="FF1155CC"/>
        <sz val="11.0"/>
        <u/>
      </rPr>
      <t xml:space="preserve">kacem </t>
    </r>
    <r>
      <rPr>
        <rFont val="Calibri"/>
        <color rgb="FF000000"/>
        <sz val="11.0"/>
      </rPr>
      <t xml:space="preserve">+ </t>
    </r>
    <r>
      <rPr>
        <rFont val="Calibri"/>
        <color rgb="FF1155CC"/>
        <sz val="11.0"/>
        <u/>
      </rPr>
      <t xml:space="preserve">Dauzere </t>
    </r>
    <r>
      <rPr>
        <rFont val="Calibri"/>
        <color rgb="FF000000"/>
        <sz val="11.0"/>
      </rPr>
      <t xml:space="preserve">+ </t>
    </r>
    <r>
      <rPr>
        <rFont val="Calibri"/>
        <color rgb="FF1155CC"/>
        <sz val="11.0"/>
        <u/>
      </rPr>
      <t xml:space="preserve">Brandimarte </t>
    </r>
    <r>
      <rPr>
        <rFont val="Calibri"/>
        <color rgb="FF000000"/>
        <sz val="11.0"/>
      </rPr>
      <t xml:space="preserve"> + lab data</t>
    </r>
  </si>
  <si>
    <t>Attention Mechanism, GNN, MDP, RL</t>
  </si>
  <si>
    <t>Energy Efficiency / Makespan</t>
  </si>
  <si>
    <t>Liu2025EFJSPIBDR</t>
  </si>
  <si>
    <t>https://doi.org/10.1109/ACCESS.2025.3631334</t>
  </si>
  <si>
    <t>RMS</t>
  </si>
  <si>
    <t>Ontology</t>
  </si>
  <si>
    <t>Brazil</t>
  </si>
  <si>
    <t>Laboratory</t>
  </si>
  <si>
    <t>Robustness(?) --&gt; (quality, availability, cost, lead time)</t>
  </si>
  <si>
    <t>Improved process reconfiguration</t>
  </si>
  <si>
    <t>Canciglieri2025Smart</t>
  </si>
  <si>
    <t>https://doi.org/10.1109/DOCS67533.2025.11200734</t>
  </si>
  <si>
    <t>Dynamic flexible flow shop</t>
  </si>
  <si>
    <t>Wang2025Experience</t>
  </si>
  <si>
    <t>Not HMLV</t>
  </si>
  <si>
    <t>https://doi.org/10.23919/CCC64809.2025.11178931</t>
  </si>
  <si>
    <t>benchmar+scenario</t>
  </si>
  <si>
    <r>
      <rPr>
        <rFont val="Calibri"/>
        <color rgb="FF000000"/>
        <sz val="11.0"/>
      </rPr>
      <t xml:space="preserve">synthetic+benchmark dataset </t>
    </r>
    <r>
      <rPr>
        <rFont val="Calibri"/>
        <color rgb="FF1155CC"/>
        <sz val="11.0"/>
        <u/>
      </rPr>
      <t>Brandimarte</t>
    </r>
  </si>
  <si>
    <t>MDP, PPO, GNN, IB, RL</t>
  </si>
  <si>
    <t>Du2025GraphAugmented</t>
  </si>
  <si>
    <t>2024_data-driven_advisory_system_for_industrial_manufacturing._application_to_the_aluminum_extrusion_process</t>
  </si>
  <si>
    <t>Data-driven advisory system for industrial manufacturing. Application to the aluminum extrusion process</t>
  </si>
  <si>
    <t>https://doi.org/10.1016/j.knosys.2024.111631</t>
  </si>
  <si>
    <t>indsutrial Case study</t>
  </si>
  <si>
    <t>Data Mining, DL</t>
  </si>
  <si>
    <t>Poland</t>
  </si>
  <si>
    <t>Process parameter recommendation</t>
  </si>
  <si>
    <t>Robustness (Zero defects) --&gt; ML metrics: prediction accuracy (Qc, Qd), correlation coefficient (Pearson), classification accuracy, compatibility indices (Cc, Cd)</t>
  </si>
  <si>
    <t>Improved material processing aiming for Zero Defects</t>
  </si>
  <si>
    <t>Kochański2024Datadriven</t>
  </si>
  <si>
    <t>2024_enhancing_fms_performance_through_multi-agent_systems_in_the_context_of_industry_4.0</t>
  </si>
  <si>
    <t>Enhancing FMS Performance through Multi-Agent Systems in the Context of Industry 4.0</t>
  </si>
  <si>
    <t>https://doi.org/10.24846/V33I2Y202401</t>
  </si>
  <si>
    <t>FMS</t>
  </si>
  <si>
    <t>DES, MAS</t>
  </si>
  <si>
    <t>Chile</t>
  </si>
  <si>
    <t>Robustness (adaptability) --&gt; Cycle time, Robot utilisation, production rate, assembly time, waiting time</t>
  </si>
  <si>
    <t>Lefranc2024Enhancing</t>
  </si>
  <si>
    <t>robustness implicitely</t>
  </si>
  <si>
    <t>2024_multi-objective_optimization_of_transfer_line_balancing_problem_considering_cycle_time_and_energy_expenditure</t>
  </si>
  <si>
    <t>Multi-objective optimization of transfer line balancing problem considering cycle time and energy expenditure</t>
  </si>
  <si>
    <t>https://doi.org/10.1016/j.procir.2024.10.255</t>
  </si>
  <si>
    <t>NSGA-II, Pareto, MILP</t>
  </si>
  <si>
    <t xml:space="preserve">Makespan (cycle time) / Energy efficiency </t>
  </si>
  <si>
    <t>Imrpoved Transfer Line balancing</t>
  </si>
  <si>
    <t>Petersen2024Multiobjective</t>
  </si>
  <si>
    <t>2024_out-of-order_architecture_for_real-time_data-driven_resilient_planning_and_scheduling_of_cyber-physical_manufacturing_systems</t>
  </si>
  <si>
    <t>Out-of-Order Architecture for Real-Time Data-Driven Resilient Planning and Scheduling of Cyber-Physical Manufacturing Systems</t>
  </si>
  <si>
    <t>https://doi.org/10.1109/TASE.2025.3563084</t>
  </si>
  <si>
    <t>Simulation+scenario</t>
  </si>
  <si>
    <t>Robustness (resilience)  --&gt; On-Time Delivery Rate (OTDR) of customer orders and Average Order Flow Time (AOFT)</t>
  </si>
  <si>
    <t>Improving resilience through developing out-of-order architecture</t>
  </si>
  <si>
    <t>Li2026Outoforder</t>
  </si>
  <si>
    <t>realtime data</t>
  </si>
  <si>
    <t>2023_self-decision_mechanisms_of_smart_production_systems_based_on_improved_uncertainty_theory_and_user-cfa</t>
  </si>
  <si>
    <t>Self-decision mechanisms of smart production systems based on improved uncertainty theory and user-CFA</t>
  </si>
  <si>
    <t>https://doi.org/10.1016/j.cie.2023.109453</t>
  </si>
  <si>
    <t>GA</t>
  </si>
  <si>
    <t>Robustness --&gt; total travel distance, number of AGV transport failures</t>
  </si>
  <si>
    <t>Improved scheduling for smart production systems through automated decision making</t>
  </si>
  <si>
    <t>Qu2023Selfdecision</t>
  </si>
  <si>
    <t>2022_increasing_flexibility_and_productivity_in_industry_4.0_production_networks_with_autonomous_mobile_robots_and_smart_intralogistics</t>
  </si>
  <si>
    <t>Increasing flexibility and productivity in Industry 4.0 production networks with autonomous mobile robots and smart intralogistics</t>
  </si>
  <si>
    <t>https://doi.org/10.1007/s10479-020-03526-7</t>
  </si>
  <si>
    <t>AGV/AMR, FMS</t>
  </si>
  <si>
    <t>Norway</t>
  </si>
  <si>
    <t>Robustness --&gt; throughput, cost profit ratio , additional profit, additional cost</t>
  </si>
  <si>
    <t>Improved flexibility and productivity through AMR usage</t>
  </si>
  <si>
    <t>Fragapane2020Increasing</t>
  </si>
  <si>
    <t>2021_production_intralogistics_automation_based_on_3d_simulation_analysis</t>
  </si>
  <si>
    <t>Production intralogistics automation based on 3d simulation analysis</t>
  </si>
  <si>
    <t>https://doi.org/10.36897/jme/137081</t>
  </si>
  <si>
    <t>Industrial case study</t>
  </si>
  <si>
    <t>Industrial data+synthetic</t>
  </si>
  <si>
    <t>AGV/AMR</t>
  </si>
  <si>
    <t>Estonia</t>
  </si>
  <si>
    <t>Food</t>
  </si>
  <si>
    <t>Tardiness</t>
  </si>
  <si>
    <t xml:space="preserve">Improved tardines through AGV implementation </t>
  </si>
  <si>
    <t>Mahmood2021Production</t>
  </si>
  <si>
    <t>https://doi.org/10.1109/IEEM58616.2023.10406397</t>
  </si>
  <si>
    <t>simulation+dynamic scenario</t>
  </si>
  <si>
    <t>Improved dynamic scheduling</t>
  </si>
  <si>
    <t>Wang2023Job</t>
  </si>
  <si>
    <t>https://doi.org/10.1109/WSC60868.2023.10407811</t>
  </si>
  <si>
    <t>surrogate modling, RNN, MLP, MHA, DL</t>
  </si>
  <si>
    <t>Changing heavy algorithms with DRL+DT</t>
  </si>
  <si>
    <t>Ghasemi2023Deep</t>
  </si>
  <si>
    <t>https://doi.org/10.1007/978-3-031-43524-9_10</t>
  </si>
  <si>
    <r>
      <rPr/>
      <t xml:space="preserve">synthetic+ benchmark ft </t>
    </r>
    <r>
      <rPr>
        <color rgb="FF1155CC"/>
        <u/>
      </rPr>
      <t>Fisher, Lawrence, orb</t>
    </r>
    <r>
      <rPr/>
      <t>,</t>
    </r>
  </si>
  <si>
    <t>DQN, MDP, Q-learning, RL</t>
  </si>
  <si>
    <t>Turkey</t>
  </si>
  <si>
    <t>Improve scheduling</t>
  </si>
  <si>
    <t>Workneh2023Deep</t>
  </si>
  <si>
    <t>https://doi.org/10.1080/23080477.2023.2187528</t>
  </si>
  <si>
    <r>
      <rPr/>
      <t xml:space="preserve">benchmark ft </t>
    </r>
    <r>
      <rPr>
        <color rgb="FF1155CC"/>
        <u/>
      </rPr>
      <t>Fisher</t>
    </r>
    <r>
      <rPr/>
      <t xml:space="preserve">, </t>
    </r>
    <r>
      <rPr>
        <color rgb="FF1155CC"/>
        <u/>
      </rPr>
      <t>Lawrence</t>
    </r>
    <r>
      <rPr/>
      <t xml:space="preserve">, </t>
    </r>
    <r>
      <rPr>
        <color rgb="FF1155CC"/>
        <u/>
      </rPr>
      <t>orb</t>
    </r>
    <r>
      <rPr/>
      <t>,</t>
    </r>
  </si>
  <si>
    <t>Morocco</t>
  </si>
  <si>
    <t>no</t>
  </si>
  <si>
    <t>Perform in stochastic production environment</t>
  </si>
  <si>
    <t>Workneh2023Learning</t>
  </si>
  <si>
    <t>https://doi.org/10.1016/j.rcim.2022.102412</t>
  </si>
  <si>
    <t>Edge Computing, ML, AGV/AMR, Robot, cloud computing, IoT, CPS</t>
  </si>
  <si>
    <t>MLP, PPO, MDP, distributed decision-making, CNP, RL, MAS</t>
  </si>
  <si>
    <t>Tardiness, Profit, Algorithm execution time</t>
  </si>
  <si>
    <t>Multi-objective scheduling</t>
  </si>
  <si>
    <t>Zhang2022Dynamic</t>
  </si>
  <si>
    <t>A multi-dimensional cognitive framework for cognitive manufacturing based OAR model</t>
  </si>
  <si>
    <t>https://doi.org/10.1016/j.jmsy.2022.09.019</t>
  </si>
  <si>
    <t>lab case study+prototype</t>
  </si>
  <si>
    <t>Ontology, OAR, LSTM, Markov Chain, Bayesian Network, DL</t>
  </si>
  <si>
    <t xml:space="preserve">Theoretical framework for new approach </t>
  </si>
  <si>
    <t>Jiang2022A</t>
  </si>
  <si>
    <t>https://doi.org/10.1016/j.aei.2022.101776</t>
  </si>
  <si>
    <t>MDP, DQN, A2C, RL</t>
  </si>
  <si>
    <t>Distributed dynamic flow shop scheduling</t>
  </si>
  <si>
    <t>Tardiness cost</t>
  </si>
  <si>
    <t>Reducing lateness penalties</t>
  </si>
  <si>
    <t>Yang2022Realtime</t>
  </si>
  <si>
    <t>realtime (not HMLV)</t>
  </si>
  <si>
    <t>https://doi.org/10.1016/j.rcim.2022.102324</t>
  </si>
  <si>
    <t>MDP, QMIX, RL, MAS</t>
  </si>
  <si>
    <t>Job shop Scheduling</t>
  </si>
  <si>
    <t>Improve scheduling accuracy</t>
  </si>
  <si>
    <t>Wang2022Solving</t>
  </si>
  <si>
    <t>https://doi.org/10.1016/j.cor.2022.105823</t>
  </si>
  <si>
    <t>simulation+benchmark</t>
  </si>
  <si>
    <t>synthetic+ benchmark mk (Brandimarte)</t>
  </si>
  <si>
    <t>ML, DT</t>
  </si>
  <si>
    <t>Q-Learning, MDP, RL</t>
  </si>
  <si>
    <t>Improving dynamic scheduling with preventive maintenance</t>
  </si>
  <si>
    <t>Yan2022Digital</t>
  </si>
  <si>
    <t>worker ressource</t>
  </si>
  <si>
    <t>https://doi.org/10.1016/j.jmsy.2022.08.005</t>
  </si>
  <si>
    <t>Contract-Net Protocol, FIFO, MAS</t>
  </si>
  <si>
    <t>Maintenance criteria</t>
  </si>
  <si>
    <t>Joint scheduling and maintenance</t>
  </si>
  <si>
    <t>Bencheikh2022An</t>
  </si>
  <si>
    <t>Job shop environment</t>
  </si>
  <si>
    <t>https://doi.org/10.3390/app12115618</t>
  </si>
  <si>
    <t>Industrial Case Study+simulation</t>
  </si>
  <si>
    <t>ML, Plant Simulation software</t>
  </si>
  <si>
    <t>DES, k-means</t>
  </si>
  <si>
    <t>Pneumatic components</t>
  </si>
  <si>
    <t>Demand forecasting</t>
  </si>
  <si>
    <t>Improving daily decision support</t>
  </si>
  <si>
    <t>Gdri2022Improving</t>
  </si>
  <si>
    <t>https://doi.org/10.1016/j.ress.2022.108429</t>
  </si>
  <si>
    <t>lab data+synthetic (unspesified benchmark_data)</t>
  </si>
  <si>
    <t>ML, CHECK</t>
  </si>
  <si>
    <t>TLBO, GRU, 1D CNN, MIP, RL</t>
  </si>
  <si>
    <t>Makespan + machining penalty</t>
  </si>
  <si>
    <t>Jointly improving scheduling and PM</t>
  </si>
  <si>
    <t>He2022Joint</t>
  </si>
  <si>
    <t>https://doi.org/10.3390/su14095177</t>
  </si>
  <si>
    <t>synthetic+industrial data (structurel insperied).</t>
  </si>
  <si>
    <t>PPO, DES, MDP, RL</t>
  </si>
  <si>
    <t>United Kingdom</t>
  </si>
  <si>
    <t>Looking just into algorithm performance</t>
  </si>
  <si>
    <t>Zhang2022Dynamicb</t>
  </si>
  <si>
    <t>https://doi.org/10.1016/j.rcim.2021.102283</t>
  </si>
  <si>
    <t>Makespan + Energy consumption</t>
  </si>
  <si>
    <t>Improve dynamic scheduling with multiobjective optimisation</t>
  </si>
  <si>
    <t>Li2022Realtime</t>
  </si>
  <si>
    <t>https://doi.org/10.1016/j.cie.2025.111465</t>
  </si>
  <si>
    <t>Scenario+benchmark</t>
  </si>
  <si>
    <t>synthetic+benchmark Homayouni and Fontes (Fattahi using Brandimarte + Chambers and Barnes)</t>
  </si>
  <si>
    <t>ML, AGV/AMR, metaheuristic</t>
  </si>
  <si>
    <t>GNN, MDP, GA, RL</t>
  </si>
  <si>
    <t>Improving scheduling with AGVs</t>
  </si>
  <si>
    <t>Li2025Evolutionary</t>
  </si>
  <si>
    <t>https://doi.org/10.1016/j.cor.2025.107149</t>
  </si>
  <si>
    <r>
      <rPr/>
      <t xml:space="preserve">synthetic+benchmark </t>
    </r>
    <r>
      <rPr>
        <color rgb="FF1155CC"/>
        <u/>
      </rPr>
      <t>FT-crowston</t>
    </r>
    <r>
      <rPr/>
      <t xml:space="preserve">, </t>
    </r>
    <r>
      <rPr>
        <color rgb="FF1155CC"/>
        <u/>
      </rPr>
      <t>LA, SWV</t>
    </r>
  </si>
  <si>
    <t>PPO, MDP, PPO, RL</t>
  </si>
  <si>
    <t>Dynamic job Shop Scheduling</t>
  </si>
  <si>
    <t>Delay time + Process time</t>
  </si>
  <si>
    <t>Improve dynamic scheduling</t>
  </si>
  <si>
    <t>Yuan2025Deep</t>
  </si>
  <si>
    <t>https://doi.org/10.1016/j.knosys.2025.114192</t>
  </si>
  <si>
    <t>PPO, KG, MDP, GNN, RL</t>
  </si>
  <si>
    <t>Makespan + production cost</t>
  </si>
  <si>
    <t>Improve real-time adaptive scheduling</t>
  </si>
  <si>
    <t>Hu2025Dynamic</t>
  </si>
  <si>
    <t>https://doi.org/10.1016/j.aei.2025.103195</t>
  </si>
  <si>
    <t>MDP, PPO, RL, MAS</t>
  </si>
  <si>
    <t>Makespan + Logistics cost</t>
  </si>
  <si>
    <t>Enable collaboration between production and logistics</t>
  </si>
  <si>
    <t>Shi2025Productionlogistics</t>
  </si>
  <si>
    <t>https://doi.org/10.1109/TEVC.2025.3543770</t>
  </si>
  <si>
    <t>Crane, metaheuristic</t>
  </si>
  <si>
    <t>Makespan + Tardiness</t>
  </si>
  <si>
    <t>Improve dynamic re/scheduling</t>
  </si>
  <si>
    <t>Chen2025Optimizing</t>
  </si>
  <si>
    <t>https://doi.org/10.3390/math13010004</t>
  </si>
  <si>
    <t>synthetic+benchmark Kacem</t>
  </si>
  <si>
    <t>ML, AVG/AMR, metaheuristic</t>
  </si>
  <si>
    <t>DQN, GA, MDP, RL</t>
  </si>
  <si>
    <t xml:space="preserve">Improve rescheduling </t>
  </si>
  <si>
    <t>Yan2025A</t>
  </si>
  <si>
    <t>2025_cloud-fog-edge_based_computing_architechture_and_a_hierarchical_decision_approach_for_distributed_synchronized_manufacturing_systems</t>
  </si>
  <si>
    <t>Cloud-fog-edge based computing architechture and a hierarchical decision approach for distributed synchronized manufacturing systems</t>
  </si>
  <si>
    <t>https://doi.org/10.1016/j.aei.2025.103386</t>
  </si>
  <si>
    <t>--up</t>
  </si>
  <si>
    <t>synthetic+industrial data (operational parameters)</t>
  </si>
  <si>
    <t>DT, cloud computing, fog computing, edge computing, metaheuristic</t>
  </si>
  <si>
    <t>GA, ALNS, TS, ATC, HSC, Interior-point method</t>
  </si>
  <si>
    <t>Total system cost(production + distribution)</t>
  </si>
  <si>
    <t>Improving distribution across factories</t>
  </si>
  <si>
    <t>Hong2025Cloudfogedge</t>
  </si>
  <si>
    <r>
      <rPr>
        <rFont val="Calibri, sans-serif"/>
        <color rgb="FF1155CC"/>
        <sz val="11.0"/>
        <u/>
      </rPr>
      <t>https://doi.org/10.1109/SMC54092.2024.10831278</t>
    </r>
  </si>
  <si>
    <t>PPO,weight-decomposition, neighborhood-inheritance, RL, MAS</t>
  </si>
  <si>
    <t>Minimise makespan &amp; Total logistics cost</t>
  </si>
  <si>
    <t>Shi2024ProductionLogistics</t>
  </si>
  <si>
    <t>https://doi.org/10.1109/ICMLCA63499.2024.10754379</t>
  </si>
  <si>
    <t>Benchmark</t>
  </si>
  <si>
    <t>Hurink J benchmark and Behnke D benchmark</t>
  </si>
  <si>
    <t>A2C, MDP, GA, K-means clustering, DNN, RL</t>
  </si>
  <si>
    <t>India</t>
  </si>
  <si>
    <t>Sun2024Research</t>
  </si>
  <si>
    <r>
      <rPr>
        <rFont val="Calibri, sans-serif"/>
        <color rgb="FF1155CC"/>
        <sz val="11.0"/>
        <u/>
      </rPr>
      <t>https://doi.org/10.1080/00207543.2024.2408671</t>
    </r>
  </si>
  <si>
    <t>Instudtrial Case study</t>
  </si>
  <si>
    <t>DT, metaheuristic</t>
  </si>
  <si>
    <t>GA, ALNS</t>
  </si>
  <si>
    <t>Paint</t>
  </si>
  <si>
    <t>Production cost, production time, storage cost, storage time</t>
  </si>
  <si>
    <t>enhancing production-logistics synchronisation</t>
  </si>
  <si>
    <t>Zhang2024Digital</t>
  </si>
  <si>
    <r>
      <rPr>
        <rFont val="Calibri, sans-serif"/>
        <color rgb="FF1155CC"/>
        <sz val="11.0"/>
        <u/>
      </rPr>
      <t>https://doi.org/10.1007/978-981-97-5675-9_8</t>
    </r>
  </si>
  <si>
    <t>GNN, PPO, MDP, RL</t>
  </si>
  <si>
    <t>He2024Deep</t>
  </si>
  <si>
    <t>https://doi.org/10.1007/978-981-97-5581-3_15</t>
  </si>
  <si>
    <t>Energy efficiency</t>
  </si>
  <si>
    <t>Xu2024Ab</t>
  </si>
  <si>
    <t>https://doi.org/10.1109/ACCESS.2024.3430218</t>
  </si>
  <si>
    <t>ML, Plant Simulation software, metaheuristic</t>
  </si>
  <si>
    <t>Genetic Algorithm, DL</t>
  </si>
  <si>
    <t>Pereira2024Energy</t>
  </si>
  <si>
    <r>
      <rPr>
        <rFont val="Calibri, sans-serif"/>
        <color rgb="FF1155CC"/>
        <sz val="11.0"/>
        <u/>
      </rPr>
      <t>https://doi.org/10.1007/978-981-97-0194-0_11</t>
    </r>
  </si>
  <si>
    <t>DQN, MDP, DQN, SPT,LPT,SRT,LRT,SDT,SRWT,MMUR,SMPT,SRTT,MAUR, RL</t>
  </si>
  <si>
    <t>Hou2024Deep</t>
  </si>
  <si>
    <r>
      <rPr>
        <rFont val="Calibri, sans-serif"/>
        <color rgb="FF1155CC"/>
        <sz val="11.0"/>
        <u/>
      </rPr>
      <t>https://doi.org/10.1007/978-981-97-2275-4_4</t>
    </r>
  </si>
  <si>
    <t>GNN, MDP, FIFO,SPT,MOR,MWKR, RL</t>
  </si>
  <si>
    <t>Zhang2024ExpertGuided</t>
  </si>
  <si>
    <t>https://doi.org/10.1109/TII.2023.3272661</t>
  </si>
  <si>
    <t>GNN, MDP, MLP, MAS, RL</t>
  </si>
  <si>
    <t>Solving the dynamic flexible job shop scheduling problem (improved scheduling)</t>
  </si>
  <si>
    <t>Lei2024LargeScale</t>
  </si>
  <si>
    <r>
      <rPr>
        <rFont val="Calibri, sans-serif"/>
        <color rgb="FF1155CC"/>
        <sz val="11.0"/>
        <u/>
      </rPr>
      <t>https://doi.org/10.1016/j.cie.2023.109718</t>
    </r>
  </si>
  <si>
    <t>scenario+industrial case study+Benchmark</t>
  </si>
  <si>
    <r>
      <rPr>
        <rFont val="Calibri, sans-serif"/>
        <color rgb="FF000000"/>
        <sz val="11.0"/>
      </rPr>
      <t>Synthetic+industrial data+Benchmark (</t>
    </r>
    <r>
      <rPr>
        <rFont val="Calibri, sans-serif"/>
        <color rgb="FF1155CC"/>
        <sz val="11.0"/>
        <u/>
      </rPr>
      <t>HAM,2020 based on HUdata (Hurink,) flexible job shop (sdata, edata, rdata, vdata with 3 layouts)</t>
    </r>
    <r>
      <rPr>
        <rFont val="Calibri, sans-serif"/>
        <color rgb="FF000000"/>
        <sz val="11.0"/>
      </rPr>
      <t>)</t>
    </r>
  </si>
  <si>
    <t>GNN, Graph embidding, MDP, PPO, RL</t>
  </si>
  <si>
    <t>Electronics</t>
  </si>
  <si>
    <t>Zhang2023Dynamic</t>
  </si>
  <si>
    <r>
      <rPr>
        <rFont val="Calibri, sans-serif"/>
        <color rgb="FF1155CC"/>
        <sz val="11.0"/>
        <u/>
      </rPr>
      <t>https://doi.org/10.1016/j.cie.2023.109650</t>
    </r>
  </si>
  <si>
    <t>scenario+industrial Case study</t>
  </si>
  <si>
    <t xml:space="preserve">Synthetic+industrial data </t>
  </si>
  <si>
    <t>DQN, MDP, RL, MAS</t>
  </si>
  <si>
    <t>Huang2023A</t>
  </si>
  <si>
    <r>
      <rPr>
        <rFont val="Calibri, sans-serif"/>
        <color rgb="FF1155CC"/>
        <sz val="11.0"/>
        <u/>
      </rPr>
      <t>https://doi.org/10.1016/j.engappai.2023.106864</t>
    </r>
  </si>
  <si>
    <r>
      <rPr>
        <rFont val="Calibri, sans-serif"/>
        <color rgb="FF000000"/>
        <sz val="11.0"/>
        <u/>
      </rPr>
      <t xml:space="preserve">synthetic based on </t>
    </r>
    <r>
      <rPr>
        <rFont val="Calibri, sans-serif"/>
        <color rgb="FF0000FF"/>
        <sz val="11.0"/>
        <u/>
      </rPr>
      <t>Expanded_benchmark instances Mk01-Mk15 from Braindimarte</t>
    </r>
  </si>
  <si>
    <t>MMIP, costum NSGA-II heuristic (EHA)</t>
  </si>
  <si>
    <t>Xu2023Multiobjective</t>
  </si>
  <si>
    <r>
      <rPr>
        <rFont val="Calibri, sans-serif"/>
        <color rgb="FF1155CC"/>
        <sz val="11.0"/>
        <u/>
      </rPr>
      <t>https://doi.org/10.1109/TII.2022.3189725</t>
    </r>
  </si>
  <si>
    <r>
      <rPr>
        <rFont val="Calibri, sans-serif"/>
        <color rgb="FF000000"/>
        <sz val="11.0"/>
      </rPr>
      <t>Synthetic+Benchmark data (</t>
    </r>
    <r>
      <rPr>
        <rFont val="Calibri, sans-serif"/>
        <color rgb="FF1155CC"/>
        <sz val="11.0"/>
        <u/>
      </rPr>
      <t>Braindimarte mk01-mk10</t>
    </r>
    <r>
      <rPr>
        <rFont val="Calibri, sans-serif"/>
        <color rgb="FF000000"/>
        <sz val="11.0"/>
      </rPr>
      <t xml:space="preserve"> and </t>
    </r>
    <r>
      <rPr>
        <rFont val="Calibri, sans-serif"/>
        <color rgb="FF1155CC"/>
        <sz val="11.0"/>
        <u/>
      </rPr>
      <t>Hurink la instances (rdata, edata, and vdata)</t>
    </r>
    <r>
      <rPr>
        <rFont val="Calibri, sans-serif"/>
        <color rgb="FF000000"/>
        <sz val="11.0"/>
      </rPr>
      <t>).</t>
    </r>
  </si>
  <si>
    <t>GNN, MDP, PPO, MLP, RL</t>
  </si>
  <si>
    <t>Song2023Flexible</t>
  </si>
  <si>
    <r>
      <rPr>
        <rFont val="Calibri, sans-serif"/>
        <color rgb="FF1155CC"/>
        <sz val="11.0"/>
        <u/>
      </rPr>
      <t>https://doi.org/10.1016/j.future.2024.05.058</t>
    </r>
  </si>
  <si>
    <t>Genetic Algorithm, rule based?</t>
  </si>
  <si>
    <t>machine utilisation</t>
  </si>
  <si>
    <t xml:space="preserve">improved Scheduling </t>
  </si>
  <si>
    <t>Zhou2024Practical</t>
  </si>
  <si>
    <r>
      <rPr>
        <rFont val="Calibri, sans-serif"/>
        <color rgb="FF1155CC"/>
        <sz val="11.0"/>
        <u/>
      </rPr>
      <t>https://doi.org/10.1016/j.cie.2025.111342</t>
    </r>
  </si>
  <si>
    <t>Simulation+Industrial case study+benchmark+scenario.</t>
  </si>
  <si>
    <r>
      <rPr>
        <rFont val="Calibri, sans-serif"/>
        <color rgb="FF000000"/>
        <sz val="11.0"/>
      </rPr>
      <t xml:space="preserve">indutrial data+Synethic+benchmark </t>
    </r>
    <r>
      <rPr>
        <rFont val="Calibri, sans-serif"/>
        <color rgb="FF1155CC"/>
        <sz val="11.0"/>
        <u/>
      </rPr>
      <t>fattahi</t>
    </r>
    <r>
      <rPr>
        <rFont val="Calibri, sans-serif"/>
        <color rgb="FF000000"/>
        <sz val="11.0"/>
      </rPr>
      <t>.</t>
    </r>
  </si>
  <si>
    <t>ML, IoT</t>
  </si>
  <si>
    <t>DQN, fluid model, DES, RL</t>
  </si>
  <si>
    <t>Ding2025Deep</t>
  </si>
  <si>
    <r>
      <rPr>
        <rFont val="Calibri, sans-serif"/>
        <color rgb="FF1155CC"/>
        <sz val="11.0"/>
        <u/>
      </rPr>
      <t>https://doi.org/10.3390/app151810108</t>
    </r>
  </si>
  <si>
    <r>
      <rPr>
        <rFont val="Calibri, sans-serif"/>
        <color rgb="FF000000"/>
        <sz val="11.0"/>
      </rPr>
      <t>Synthetic+Benchmark dataset. (</t>
    </r>
    <r>
      <rPr>
        <rFont val="Calibri, sans-serif"/>
        <color rgb="FF1155CC"/>
        <sz val="11.0"/>
        <u/>
      </rPr>
      <t xml:space="preserve">Brandimarte </t>
    </r>
    <r>
      <rPr>
        <rFont val="Calibri, sans-serif"/>
        <color rgb="FF000000"/>
        <sz val="11.0"/>
      </rPr>
      <t xml:space="preserve">[40], </t>
    </r>
    <r>
      <rPr>
        <rFont val="Calibri, sans-serif"/>
        <color rgb="FF1155CC"/>
        <sz val="11.0"/>
        <u/>
      </rPr>
      <t xml:space="preserve">Dauzère </t>
    </r>
    <r>
      <rPr>
        <rFont val="Calibri, sans-serif"/>
        <color rgb="FF000000"/>
        <sz val="11.0"/>
      </rPr>
      <t xml:space="preserve">[41], </t>
    </r>
    <r>
      <rPr>
        <rFont val="Calibri, sans-serif"/>
        <color rgb="FF1155CC"/>
        <sz val="11.0"/>
        <u/>
      </rPr>
      <t xml:space="preserve">Taillard </t>
    </r>
    <r>
      <rPr>
        <rFont val="Calibri, sans-serif"/>
        <color rgb="FF000000"/>
        <sz val="11.0"/>
      </rPr>
      <t xml:space="preserve">[42], </t>
    </r>
    <r>
      <rPr>
        <rFont val="Calibri, sans-serif"/>
        <color rgb="FF1155CC"/>
        <sz val="11.0"/>
        <u/>
      </rPr>
      <t xml:space="preserve">Demirkol </t>
    </r>
    <r>
      <rPr>
        <rFont val="Calibri, sans-serif"/>
        <color rgb="FF000000"/>
        <sz val="11.0"/>
      </rPr>
      <t xml:space="preserve">[43], and </t>
    </r>
    <r>
      <rPr>
        <rFont val="Calibri, sans-serif"/>
        <color rgb="FF1155CC"/>
        <sz val="11.0"/>
        <u/>
      </rPr>
      <t xml:space="preserve">Lawrence </t>
    </r>
    <r>
      <rPr>
        <rFont val="Calibri, sans-serif"/>
        <color rgb="FF000000"/>
        <sz val="11.0"/>
      </rPr>
      <t>[44])</t>
    </r>
  </si>
  <si>
    <t>PPO, MDP, Masking, RL</t>
  </si>
  <si>
    <t>tardiness</t>
  </si>
  <si>
    <t>Zhang2025Optimization</t>
  </si>
  <si>
    <r>
      <rPr>
        <rFont val="Calibri, sans-serif"/>
        <color rgb="FF1155CC"/>
        <sz val="11.0"/>
        <u/>
      </rPr>
      <t>https://doi.org/10.1115/1.4068980</t>
    </r>
  </si>
  <si>
    <t>DT, AGV/AMR</t>
  </si>
  <si>
    <t>Lee2025Cognitive</t>
  </si>
  <si>
    <r>
      <rPr>
        <rFont val="Calibri, sans-serif"/>
        <color rgb="FF1155CC"/>
        <sz val="11.0"/>
        <u/>
      </rPr>
      <t>https://doi.org/10.1016/j.jfranklin.2025.107944</t>
    </r>
  </si>
  <si>
    <r>
      <rPr>
        <rFont val="Calibri, sans-serif"/>
        <color rgb="FF000000"/>
        <sz val="11.0"/>
      </rPr>
      <t>Synthetic+benchmark datasets (</t>
    </r>
    <r>
      <rPr>
        <rFont val="Calibri, sans-serif"/>
        <color rgb="FF1155CC"/>
        <sz val="11.0"/>
        <u/>
      </rPr>
      <t>Dauzere</t>
    </r>
    <r>
      <rPr>
        <rFont val="Calibri, sans-serif"/>
        <color rgb="FF000000"/>
        <sz val="11.0"/>
      </rPr>
      <t xml:space="preserve">, </t>
    </r>
    <r>
      <rPr>
        <rFont val="Calibri, sans-serif"/>
        <color rgb="FF1155CC"/>
        <sz val="11.0"/>
        <u/>
      </rPr>
      <t>Brandimarte</t>
    </r>
    <r>
      <rPr>
        <rFont val="Calibri, sans-serif"/>
        <color rgb="FF000000"/>
        <sz val="11.0"/>
      </rPr>
      <t xml:space="preserve">, </t>
    </r>
    <r>
      <rPr>
        <rFont val="Calibri, sans-serif"/>
        <color rgb="FF1155CC"/>
        <sz val="11.0"/>
        <u/>
      </rPr>
      <t>Hurink</t>
    </r>
    <r>
      <rPr>
        <rFont val="Calibri, sans-serif"/>
        <color rgb="FF000000"/>
        <sz val="11.0"/>
      </rPr>
      <t>)</t>
    </r>
  </si>
  <si>
    <t>GNN, MDP, DBSCAN, MLP, RL</t>
  </si>
  <si>
    <t>Zhong2025Flexible</t>
  </si>
  <si>
    <r>
      <rPr>
        <rFont val="Calibri, sans-serif"/>
        <color rgb="FF1155CC"/>
        <sz val="11.0"/>
        <u/>
      </rPr>
      <t>https://doi.org/10.1080/17509653.2025.2498119</t>
    </r>
  </si>
  <si>
    <t>Classic ML</t>
  </si>
  <si>
    <t>Ensemble Methods, Gradient Boosting, SMOTE, Randomized Search, 5-fold cross-validation</t>
  </si>
  <si>
    <t>Nuclear</t>
  </si>
  <si>
    <t>Risk supplier assessment</t>
  </si>
  <si>
    <t>Supplier performance</t>
  </si>
  <si>
    <t xml:space="preserve">Improved decision making on supplier choice </t>
  </si>
  <si>
    <t>Sherwin2025A</t>
  </si>
  <si>
    <r>
      <rPr>
        <rFont val="Calibri, sans-serif"/>
        <color rgb="FF1155CC"/>
        <sz val="11.0"/>
        <u/>
      </rPr>
      <t>https://doi.org/10.1080/0951192X.2024.2343677</t>
    </r>
  </si>
  <si>
    <t>industrial Case study</t>
  </si>
  <si>
    <t>ML, Cloud computing, Edge computing</t>
  </si>
  <si>
    <t>DQN, MDP, composite rules, RL</t>
  </si>
  <si>
    <t>energy efficiency</t>
  </si>
  <si>
    <t xml:space="preserve">improved scheduling </t>
  </si>
  <si>
    <t>Li2025Energyaware</t>
  </si>
  <si>
    <r>
      <rPr>
        <rFont val="Calibri, sans-serif"/>
        <color rgb="FF1155CC"/>
        <sz val="11.0"/>
        <u/>
      </rPr>
      <t>https://doi.org/10.1007/978-3-031-86489-6_17</t>
    </r>
  </si>
  <si>
    <t>No quanative benchmark or statistical experiments (Proof-of-Concept (Fcous on implementaiton))</t>
  </si>
  <si>
    <t>Other</t>
  </si>
  <si>
    <t>CPS</t>
  </si>
  <si>
    <t>MAS</t>
  </si>
  <si>
    <t>Fault detection</t>
  </si>
  <si>
    <t>Improved fault detection in manual production</t>
  </si>
  <si>
    <t>Rubel2025AgentBased</t>
  </si>
  <si>
    <t>2020_energy-efficient_single-machine_scheduling_problem_with_controllable_job_processing_times_under_differential_electricity_pricing</t>
  </si>
  <si>
    <t>Energy-efficient single-machine scheduling problem with controllable job processing times under differential electricity pricing</t>
  </si>
  <si>
    <t>https://doi.org/10.1016/j.resconrec.2020.104902</t>
  </si>
  <si>
    <t>Metaheuristic</t>
  </si>
  <si>
    <t>Genetic Algorithm, Fuzzy Logic, MILP</t>
  </si>
  <si>
    <t>Taiwan</t>
  </si>
  <si>
    <t>total energy cost</t>
  </si>
  <si>
    <t>Minimise total energy consumption</t>
  </si>
  <si>
    <t>Tsao2020Energyefficient</t>
  </si>
  <si>
    <t>2020_idle_time_and_capacity_control_for_a_single_machine_scheduling_problem_with_dynamic_electricity_pricing</t>
  </si>
  <si>
    <t>Idle time and capacity control for a single machine scheduling problem with dynamic electricity pricing</t>
  </si>
  <si>
    <t>https://doi.org/10.1007/s12063-020-00156-x</t>
  </si>
  <si>
    <t>MINLP, costume heuristic</t>
  </si>
  <si>
    <t>Just-In-Time cost (too early or tardiness (too late)), total operations energy cost, idle energy cost, repair cost</t>
  </si>
  <si>
    <t>Creating an energy-efficient production schedule</t>
  </si>
  <si>
    <t>Lee2020Idle</t>
  </si>
  <si>
    <t>2020_smart_energy-aware_manufacturing_plant_scheduling_under_uncertainty:_a_risk-based_multi-objective_robust_optimization_approach</t>
  </si>
  <si>
    <t>Smart Energy-Aware Manufacturing Plant Scheduling under Uncertainty: A Risk-Based Multi-Objective Robust Optimization Approach</t>
  </si>
  <si>
    <t>https://doi.org/10.1016/j.energy.2020.118385</t>
  </si>
  <si>
    <t>MILP, conditional value at risk (CVaR), robust optimization</t>
  </si>
  <si>
    <t>Iran</t>
  </si>
  <si>
    <t>co2 emmision,  economic cost, comfort cost, (mb scenario expected cost + robustness penalties (want to ensure that shcedules performing well in general are those which is chossen)).</t>
  </si>
  <si>
    <t xml:space="preserve">Scheduling according to energy pricing </t>
  </si>
  <si>
    <t>Golpira2020Smart</t>
  </si>
  <si>
    <t>2023_energy-efficient_single-machine_scheduling_with_release_dates_under_time-of-use_electricity_tariffs</t>
  </si>
  <si>
    <t>Energy-efficient single-machine scheduling with release dates under time-of-use electricity tariffs</t>
  </si>
  <si>
    <t>https://doi.org/10.1016/j.jclepro.2023.136228</t>
  </si>
  <si>
    <t>MILP, Tabu Search</t>
  </si>
  <si>
    <t>total electricity cost</t>
  </si>
  <si>
    <t xml:space="preserve">Energy efficient Single machine scheduling </t>
  </si>
  <si>
    <t>Wu2023Energyefficient</t>
  </si>
  <si>
    <t>2025_a_multi-objective_artificial_bee_colony_algorithm_for_single_machine_scheduling_with_family_setup_under_tou_tariffs</t>
  </si>
  <si>
    <t>A multi-objective artificial bee colony algorithm for single machine scheduling with family setup under TOU tariffs</t>
  </si>
  <si>
    <t>https://doi.org/10.1080/00207543.2024.2431178</t>
  </si>
  <si>
    <t>Multi-objective Artificial Bee Colony (MABC), Hypervolume indicator, Local Integer Programming, Heuristic neighbourhood search</t>
  </si>
  <si>
    <t>Pressure vessels</t>
  </si>
  <si>
    <t>total electricity cost, tardiness</t>
  </si>
  <si>
    <t>Minimising total tardiness and energy useage</t>
  </si>
  <si>
    <t>Xue2025Multiobjective</t>
  </si>
  <si>
    <t>x (Special in that it is comprehensive and does multi-objective optimisation.</t>
  </si>
  <si>
    <t>2025_a_simheuristic_approach_to_optimize_energy_consumption_in_the_single-machine_scheduling_problem_with_stochastic_processing_times</t>
  </si>
  <si>
    <t>A simheuristic approach to optimize energy consumption in the single-machine scheduling problem with stochastic processing times</t>
  </si>
  <si>
    <t>https://doi.org/10.1016/j.cie.2025.111580</t>
  </si>
  <si>
    <t>scnario</t>
  </si>
  <si>
    <t>Simulated Annealing, GRASP, Monte Carlo Simulation, MILP</t>
  </si>
  <si>
    <t>total energy consumption</t>
  </si>
  <si>
    <t xml:space="preserve">Single Machine scheduling </t>
  </si>
  <si>
    <t>Bittencourt2025Simheuristic</t>
  </si>
  <si>
    <t>2016_an_efficient_greedy_insertion_heuristic_for_energy-conscious_single_machine_scheduling_problem_under_time-of-use_electricity_tariffs</t>
  </si>
  <si>
    <t>An efficient greedy insertion heuristic for energy-conscious single machine scheduling problem under time-of-use electricity tariffs</t>
  </si>
  <si>
    <t>https://doi.org/10.1016/j.jclepro.2016.03.150</t>
  </si>
  <si>
    <t>MILP, Greedy priority rule</t>
  </si>
  <si>
    <t>Che2016Efficient</t>
  </si>
  <si>
    <t>https://doi.org/10.1016/j.jmsy.2024.03.015</t>
  </si>
  <si>
    <t>synthetic+lab data</t>
  </si>
  <si>
    <t>ML, Robot, MR-HMD</t>
  </si>
  <si>
    <t>Simulation, SAC (soft A2C), MDP, IK, RL</t>
  </si>
  <si>
    <t>Human-robot collaboration</t>
  </si>
  <si>
    <t>Developing safe HRCs</t>
  </si>
  <si>
    <t>Li2024Unleashing</t>
  </si>
  <si>
    <t>x (Does something different)</t>
  </si>
  <si>
    <t>https://doi.org/10.3390/app14010283</t>
  </si>
  <si>
    <t>Questionnaires and interviews</t>
  </si>
  <si>
    <t>Robot</t>
  </si>
  <si>
    <t>Switzerland</t>
  </si>
  <si>
    <t>Creating no-code version of RTMN?</t>
  </si>
  <si>
    <t>ZhangSprenger2024RTMN</t>
  </si>
  <si>
    <t>https://doi.org/10.1109/MSN63567.2024.00058</t>
  </si>
  <si>
    <t>Process monitoring</t>
  </si>
  <si>
    <t>N/A (development time)</t>
  </si>
  <si>
    <t>optimising development time using DT</t>
  </si>
  <si>
    <t>Yu2024Design</t>
  </si>
  <si>
    <t>https://doi.org/10.1007/s10845-021-01826-8</t>
  </si>
  <si>
    <t>Lab environment with industrial pilot test case</t>
  </si>
  <si>
    <t>Robot, camera</t>
  </si>
  <si>
    <t>ontology</t>
  </si>
  <si>
    <t>Austria</t>
  </si>
  <si>
    <t>Production setup</t>
  </si>
  <si>
    <t>Robustness --&gt; Planning computation time, plan cost, object recognition precision, object recognition accuracy, qualitative metrics (flexibility, programming effort reduction, adaptability)</t>
  </si>
  <si>
    <t xml:space="preserve">Enabling flexible robot planning </t>
  </si>
  <si>
    <t>Hoebert2023Knowledgedriven</t>
  </si>
  <si>
    <t>https://doi.org/10.1109/WSC57314.2022.10015282</t>
  </si>
  <si>
    <t>ML, Simio simulation</t>
  </si>
  <si>
    <t>DES, DQN, MDP, RL</t>
  </si>
  <si>
    <t>Combining DT and DES</t>
  </si>
  <si>
    <t>Devanga2022Applied</t>
  </si>
  <si>
    <t>https://doi.org/10.1007/978-3-031-14844-6_3</t>
  </si>
  <si>
    <t>Case study, 3-axis universal machining center</t>
  </si>
  <si>
    <t>IoT, CPS</t>
  </si>
  <si>
    <t>Defect prevenetion</t>
  </si>
  <si>
    <t>Developing a sensor network</t>
  </si>
  <si>
    <t>Tanane2022Toward</t>
  </si>
  <si>
    <t>https://doi.org/10.1109/TEM.2018.2846627</t>
  </si>
  <si>
    <t>Case study</t>
  </si>
  <si>
    <t>Genetic Algorithm, MIP, WSM</t>
  </si>
  <si>
    <t>Tardiness + energy cost</t>
  </si>
  <si>
    <t>Developing energy-aware scheduling framework</t>
  </si>
  <si>
    <t>Rubaiee2019An</t>
  </si>
  <si>
    <t>https://doi.org/10.1016/j.swevo.2024.101762</t>
  </si>
  <si>
    <r>
      <rPr/>
      <t xml:space="preserve">litterature data+benchmark data </t>
    </r>
    <r>
      <rPr>
        <color rgb="FF1155CC"/>
        <u/>
      </rPr>
      <t>scholl ALBP</t>
    </r>
  </si>
  <si>
    <t>Robot, ML, Metaheuristic</t>
  </si>
  <si>
    <t>Co-Evolutionary Algorithm, MILP, MDP, Q-learning, RL</t>
  </si>
  <si>
    <t>Productivity + cost</t>
  </si>
  <si>
    <t>Improving assembly lines with skilled human-robot colllab</t>
  </si>
  <si>
    <t>Tian2024Balancing</t>
  </si>
  <si>
    <t>https://doi.org/10.1016/j.jmsy.2023.11.019</t>
  </si>
  <si>
    <t>FACTs Analyzer simulation, metaheuristic</t>
  </si>
  <si>
    <t>costume NSGA-ll, meta-learning</t>
  </si>
  <si>
    <t>Sweden</t>
  </si>
  <si>
    <t>Marine engine</t>
  </si>
  <si>
    <t>Operator allocation</t>
  </si>
  <si>
    <t>Max. throughput, min. operators, min. number of forklifts</t>
  </si>
  <si>
    <t>Supporting resource-allocation decisions</t>
  </si>
  <si>
    <t>Mahmoodi2024Datadriven</t>
  </si>
  <si>
    <t>https://doi.org/10.1109/TSMC.2023.3317390</t>
  </si>
  <si>
    <t>Robot, ML</t>
  </si>
  <si>
    <t>LAS, DQN, RL</t>
  </si>
  <si>
    <t>Improve cell scheduling with DRL</t>
  </si>
  <si>
    <t>Kim2024Deep</t>
  </si>
  <si>
    <t>https://doi.org/10.1016/j.procir.2023.09.195</t>
  </si>
  <si>
    <t>DT, IoT, Robot, OPC UA</t>
  </si>
  <si>
    <t>Bicycles</t>
  </si>
  <si>
    <t>Dashboard perspectives</t>
  </si>
  <si>
    <t>Versatile and adaptive information for digital twins</t>
  </si>
  <si>
    <t>Slot2023Versatile</t>
  </si>
  <si>
    <t>https://doi.org/10.1155/2022/5892943</t>
  </si>
  <si>
    <t>Robot, metahueristic</t>
  </si>
  <si>
    <t>QFA</t>
  </si>
  <si>
    <t>Transport cost + tardiness cost</t>
  </si>
  <si>
    <t>Optimising cloud manufacturing</t>
  </si>
  <si>
    <t>Du2022Production</t>
  </si>
  <si>
    <t>https://doi.org/10.1016/j.compind.2021.103433</t>
  </si>
  <si>
    <t>scenario+lab case study</t>
  </si>
  <si>
    <t>Robot, AGV/AMR</t>
  </si>
  <si>
    <t>simulation, MCTS</t>
  </si>
  <si>
    <t>Production cycle completition time</t>
  </si>
  <si>
    <t>MCTS for rapid online scheduling</t>
  </si>
  <si>
    <t>Senington2021Monte</t>
  </si>
  <si>
    <t>https://doi.org/10.1016/j.asoc.2025.113474</t>
  </si>
  <si>
    <r>
      <rPr/>
      <t xml:space="preserve">synthetic based on extended_benchmark dataset of (lei Lei01-Lei05 </t>
    </r>
    <r>
      <rPr>
        <color rgb="FF1155CC"/>
        <u/>
      </rPr>
      <t>link1</t>
    </r>
    <r>
      <rPr/>
      <t xml:space="preserve"> and </t>
    </r>
    <r>
      <rPr>
        <color rgb="FF1155CC"/>
        <u/>
      </rPr>
      <t>link2</t>
    </r>
    <r>
      <rPr/>
      <t xml:space="preserve">, Reman </t>
    </r>
    <r>
      <rPr>
        <color rgb="FF1155CC"/>
        <u/>
      </rPr>
      <t>Remai01-Reman08</t>
    </r>
    <r>
      <rPr/>
      <t xml:space="preserve">, and Li </t>
    </r>
    <r>
      <rPr>
        <color rgb="FF1155CC"/>
        <u/>
      </rPr>
      <t>FMK01-FMK10</t>
    </r>
    <r>
      <rPr/>
      <t>)</t>
    </r>
  </si>
  <si>
    <t>Distributed fuzzy flexible job shop scheduling</t>
  </si>
  <si>
    <t>Makespan + energy consumption</t>
  </si>
  <si>
    <t>Energy efficient D fuzzy FJS scheduling</t>
  </si>
  <si>
    <t>Zhang2025Multiagent</t>
  </si>
  <si>
    <t>https://doi.org/10.1016/j.cie.2025.111310</t>
  </si>
  <si>
    <t>A2C, DQN, MDP, MILP, MDP, RL</t>
  </si>
  <si>
    <t>Improve dynamic FJSP</t>
  </si>
  <si>
    <t>Yan2025Deep</t>
  </si>
  <si>
    <t>https://doi.org/10.1016/j.ins.2025.122023</t>
  </si>
  <si>
    <t>GNN, DQN, MDP, RL</t>
  </si>
  <si>
    <t>Distributed flowshop</t>
  </si>
  <si>
    <t>Improving real-time scheduling</t>
  </si>
  <si>
    <t>Zhang2025Integrated</t>
  </si>
  <si>
    <t>https://doi.org/10.32604/cmc.2025.065153</t>
  </si>
  <si>
    <r>
      <rPr/>
      <t>benchmark (</t>
    </r>
    <r>
      <rPr>
        <color rgb="FF1155CC"/>
        <u/>
      </rPr>
      <t>ft06, ft10 (Fisher); orb1–orb5 (Applegate &amp; Cook); la11–la30 (Lawrence); abz5, abz7–abz9 (Adams, Balas &amp; Zawack); ta61–ta63, ta71–ta72 (Taillard)</t>
    </r>
    <r>
      <rPr/>
      <t>)</t>
    </r>
  </si>
  <si>
    <t>Utilisation</t>
  </si>
  <si>
    <t>Improving dynamic mutlirobot scheduling</t>
  </si>
  <si>
    <t>Lyu2025Pathfinder</t>
  </si>
  <si>
    <t>https://doi.org/10.1109/CEC65147.2025.11043017</t>
  </si>
  <si>
    <t>GNN, Policy Gradient, MDP, ES, RL</t>
  </si>
  <si>
    <t>Solving FJSS</t>
  </si>
  <si>
    <t>Yang2025Evolutionary</t>
  </si>
  <si>
    <t>https://doi.org/10.1016/j.jmsy.2021.09.018</t>
  </si>
  <si>
    <t>Simulation (benchmark problems)</t>
  </si>
  <si>
    <r>
      <rPr/>
      <t xml:space="preserve">synthetic based on extended_benchmark </t>
    </r>
    <r>
      <rPr>
        <color rgb="FF1155CC"/>
        <u/>
      </rPr>
      <t>fattahi</t>
    </r>
  </si>
  <si>
    <t>HGA, Markov chains</t>
  </si>
  <si>
    <t>Tardiness cost + maintenance cost</t>
  </si>
  <si>
    <t>Joint optimisation for scheduling and PM</t>
  </si>
  <si>
    <t>Ghaleb2021Realtime</t>
  </si>
  <si>
    <t>2025_job_shop_scheduling_problem_with_a_dual-gripper_robot</t>
  </si>
  <si>
    <t>Job shop scheduling problem with a dual-gripper robot</t>
  </si>
  <si>
    <t>https://doi.org/10.1080/24725854.2025.2561569</t>
  </si>
  <si>
    <t>metahueristic</t>
  </si>
  <si>
    <t>MILP, SA</t>
  </si>
  <si>
    <t>Makespan + robot energy consumption</t>
  </si>
  <si>
    <t>Efficient task sequences for robots</t>
  </si>
  <si>
    <t>Mao2025Job</t>
  </si>
  <si>
    <t>2025_predictive_model-based_multi-objective_optimization_with_life-long_meta-learning_for_designing_unreliable_production_systems</t>
  </si>
  <si>
    <t>Predictive model-based multi-objective optimization with life-long meta-learning for designing unreliable production systems</t>
  </si>
  <si>
    <t>https://doi.org/10.1016/j.cor.2025.107011</t>
  </si>
  <si>
    <t>DES, costume NSGA-ll, random forest regressor, VNS, LLML, DL</t>
  </si>
  <si>
    <t>Max. Throughput, min. buffers, operators and AMRs</t>
  </si>
  <si>
    <t>Optimise with model-based multi-objective</t>
  </si>
  <si>
    <t>Mahmoodi2025Predictive</t>
  </si>
  <si>
    <t>replaces a computationally heavy simulation model with random forest regressor, because of its long runtime.</t>
  </si>
  <si>
    <t>https://doi.org/10.1109/ICIEA49774.2020.9101999</t>
  </si>
  <si>
    <t>improve decision support</t>
  </si>
  <si>
    <t>Fang2020The</t>
  </si>
  <si>
    <t>https://doi.org/10.1109/ACCESS.2020.3029868</t>
  </si>
  <si>
    <r>
      <rPr/>
      <t xml:space="preserve">synthetic+benchmark data </t>
    </r>
    <r>
      <rPr>
        <color rgb="FF1155CC"/>
        <u/>
      </rPr>
      <t>ft (Fisher and Thompson), abz (Adam, Balas and Zawack), la Lawrence, orb (Applegate and Cook), yn (Yamada and Nakano), swv (Storer, Wu and Vaccari), ta Taillard</t>
    </r>
    <r>
      <rPr/>
      <t xml:space="preserve"> and </t>
    </r>
    <r>
      <rPr>
        <color rgb="FF1155CC"/>
        <u/>
      </rPr>
      <t>dmu (Demirkol, Metha and Uzsoy)</t>
    </r>
    <r>
      <rPr/>
      <t>.</t>
    </r>
  </si>
  <si>
    <t>CNN, MDP, DQN, RL</t>
  </si>
  <si>
    <t>Adaptive job SSP</t>
  </si>
  <si>
    <t>improves scheduling efficiency</t>
  </si>
  <si>
    <t>Han2020Research</t>
  </si>
  <si>
    <t>paper_6.pdf</t>
  </si>
  <si>
    <t>RMS, metaheuristic</t>
  </si>
  <si>
    <t>Reconfigurarbility</t>
  </si>
  <si>
    <t>Robustness --&gt; differential (expected vs actual produced elements), availability, elements produced, processing time</t>
  </si>
  <si>
    <t>reduce production loss</t>
  </si>
  <si>
    <t>Baltazar2020Prescriptive</t>
  </si>
  <si>
    <t>https://doi.org/10.1016/j.procir.2020.03.047</t>
  </si>
  <si>
    <t>improve decision making</t>
  </si>
  <si>
    <t>Burggrf2020Performance</t>
  </si>
  <si>
    <t>Can be used to argue for AI vs human on a demonstrating level (very lightly).</t>
  </si>
  <si>
    <t>https://doi.org/10.1007/978-3-030-53956-6_10</t>
  </si>
  <si>
    <t>Artificial fish swarm</t>
  </si>
  <si>
    <t>Flexible Job SSP</t>
  </si>
  <si>
    <t>minimize makespan</t>
  </si>
  <si>
    <t>Peng2020The</t>
  </si>
  <si>
    <t>https://doi.org/10.1109/EDOCW.2019.00022</t>
  </si>
  <si>
    <t>Data Mining, MAS</t>
  </si>
  <si>
    <t>improves process visiblity</t>
  </si>
  <si>
    <t>Bemthuis2019An</t>
  </si>
  <si>
    <t>https://doi.org/10.1109/ICPHM.2019.8819397</t>
  </si>
  <si>
    <t>Simulation+benchmark</t>
  </si>
  <si>
    <r>
      <rPr/>
      <t xml:space="preserve">Benchmark data </t>
    </r>
    <r>
      <rPr>
        <color rgb="FF1155CC"/>
        <u/>
      </rPr>
      <t>Fisher</t>
    </r>
  </si>
  <si>
    <t>GA, SA</t>
  </si>
  <si>
    <t>Maintenance integrated job SSP</t>
  </si>
  <si>
    <t>improve scheduling</t>
  </si>
  <si>
    <t>Zhai2019Formulation</t>
  </si>
  <si>
    <t>https://doi.org/10.1007/978-3-030-30487-4_44</t>
  </si>
  <si>
    <r>
      <rPr/>
      <t>Benchmark data benchmark data</t>
    </r>
    <r>
      <rPr>
        <color rgb="FF1155CC"/>
        <u/>
      </rPr>
      <t xml:space="preserve"> ft (Fisher and Thompson), abz (Adam, Balas and Zawack), la Lawrence, orb (Applegate and Cook)</t>
    </r>
    <r>
      <rPr/>
      <t>.</t>
    </r>
  </si>
  <si>
    <t>Pareto, RL, MAS</t>
  </si>
  <si>
    <t>Job SSP</t>
  </si>
  <si>
    <t>Makespan+Tardiness</t>
  </si>
  <si>
    <t>optimize multiple scheduling objectives</t>
  </si>
  <si>
    <t>MndezHernndez2019A</t>
  </si>
  <si>
    <t>https://doi.org/10.1016/j.procir.2019.03.041</t>
  </si>
  <si>
    <t>ANN, RL</t>
  </si>
  <si>
    <t>reduce fault isolation time</t>
  </si>
  <si>
    <t>Kuhnle2019Design</t>
  </si>
  <si>
    <t xml:space="preserve"> Job shop environment</t>
  </si>
  <si>
    <t>https://doi.org/10.1016/j.cirp.2019.04.001</t>
  </si>
  <si>
    <t xml:space="preserve">Simulation+indsutrial case study </t>
  </si>
  <si>
    <t>reduce makespan</t>
  </si>
  <si>
    <t>Gdri2019Data</t>
  </si>
  <si>
    <t>https://doi.org/10.3390/technologies6040107</t>
  </si>
  <si>
    <t>MAS, heuristic</t>
  </si>
  <si>
    <t>Robustness --&gt; Work-in-Progress (WIP), number of setup operations, demand fulfillment (throughput vs demand), inventory level, machine utilization</t>
  </si>
  <si>
    <t>optimise decision making</t>
  </si>
  <si>
    <t>Leusin2018Solving</t>
  </si>
  <si>
    <t>https://doi.org/10.1109/ICCNEA57056.2022.00091</t>
  </si>
  <si>
    <t>indstrial case study+prototype</t>
  </si>
  <si>
    <t>Improve real-time visibility and intelligent control of shop-floor operations</t>
  </si>
  <si>
    <t>Yang2022Research</t>
  </si>
  <si>
    <t>Mostly conceptual</t>
  </si>
  <si>
    <t>https://doi.org/10.1016/j.asoc.2025.113712</t>
  </si>
  <si>
    <t>Industrial Case study+benchmark</t>
  </si>
  <si>
    <r>
      <rPr/>
      <t xml:space="preserve">industrial data+ synthetic based on benchmark data </t>
    </r>
    <r>
      <rPr>
        <color rgb="FF1155CC"/>
        <u/>
      </rPr>
      <t>Brandimarte</t>
    </r>
  </si>
  <si>
    <t>dynamic flexible job shop scheduling</t>
  </si>
  <si>
    <t>makespan</t>
  </si>
  <si>
    <t>improve schedulling efficiency</t>
  </si>
  <si>
    <t>Hu2025Graphbased</t>
  </si>
  <si>
    <t>https://doi.org/10.1016/j.ins.2025.121906</t>
  </si>
  <si>
    <r>
      <rPr/>
      <t xml:space="preserve">benchmark data taillard, </t>
    </r>
    <r>
      <rPr>
        <color rgb="FF1155CC"/>
        <u/>
      </rPr>
      <t xml:space="preserve">dmu </t>
    </r>
    <r>
      <rPr/>
      <t xml:space="preserve">(Demirkol, Metha and Uzsoy), </t>
    </r>
    <r>
      <rPr>
        <color rgb="FF1155CC"/>
        <u/>
      </rPr>
      <t>la, ft, abz, orb, swv</t>
    </r>
  </si>
  <si>
    <t>improve schedulling decisions</t>
  </si>
  <si>
    <t>Hua2025Solving</t>
  </si>
  <si>
    <t>https://doi.org/10.1016/j.rcim.2024.102917</t>
  </si>
  <si>
    <t>MDP, CNN, RL</t>
  </si>
  <si>
    <t>optimise scheduling</t>
  </si>
  <si>
    <t>Lee2025A</t>
  </si>
  <si>
    <t>https://doi.org/10.1016/j.engappai.2024.109488</t>
  </si>
  <si>
    <r>
      <rPr/>
      <t xml:space="preserve">benchmark data </t>
    </r>
    <r>
      <rPr>
        <color rgb="FF1155CC"/>
        <u/>
      </rPr>
      <t>Behnke and vdata Hurink</t>
    </r>
  </si>
  <si>
    <t>improve scheduling performance under dynamic conditions</t>
  </si>
  <si>
    <t>Echeverria2025Diverse</t>
  </si>
  <si>
    <t>https://doi.org/10.1016/j.procs.2024.01.130</t>
  </si>
  <si>
    <t>improve resource utilization for better decision support</t>
  </si>
  <si>
    <t>Elbasheer2024Leveraging</t>
  </si>
  <si>
    <t>https://doi.org/10.1109/ICARSC65809.2025.10970151</t>
  </si>
  <si>
    <t>LLM, AGV/AMR</t>
  </si>
  <si>
    <t>improve reliability of schedules</t>
  </si>
  <si>
    <t>Rema2025Exploring</t>
  </si>
  <si>
    <t>Bad results</t>
  </si>
  <si>
    <t>https://doi.org/10.1016/j.asoc.2025.113531</t>
  </si>
  <si>
    <r>
      <rPr/>
      <t xml:space="preserve">synthetic+benchmark data </t>
    </r>
    <r>
      <rPr>
        <color rgb="FF1155CC"/>
        <u/>
      </rPr>
      <t>Boccia</t>
    </r>
  </si>
  <si>
    <t>improve makespan</t>
  </si>
  <si>
    <t>Zhou2025A</t>
  </si>
  <si>
    <t>https://doi.org/10.1109/TCSI.2023.3328901</t>
  </si>
  <si>
    <t>Simulations</t>
  </si>
  <si>
    <t>improve scheduling efficiency using RL</t>
  </si>
  <si>
    <t>Zhang2024Ab</t>
  </si>
  <si>
    <t>https://doi.org/10.1016/j.aei.2023.102307</t>
  </si>
  <si>
    <t>ML, RMS</t>
  </si>
  <si>
    <t>DQN, MILP, RL</t>
  </si>
  <si>
    <t>improve real time scheduling efficiency</t>
  </si>
  <si>
    <t>Yang2024Learning</t>
  </si>
  <si>
    <t>https://doi.org/10.1016/j.ifacol.2025.09.354</t>
  </si>
  <si>
    <t>Clustering, ANN, DL</t>
  </si>
  <si>
    <t>Customization level prediction</t>
  </si>
  <si>
    <t>robustness --&gt; classification accuracy, confusion matrix, clustering quality</t>
  </si>
  <si>
    <t>improve decision making for mass customization</t>
  </si>
  <si>
    <t>PatalasMaliszewska2025AIDriven</t>
  </si>
  <si>
    <t>https://doi.org/10.1109/TEVC.2024.3400043</t>
  </si>
  <si>
    <r>
      <rPr/>
      <t xml:space="preserve">synthetic+extended_benchmark data mk </t>
    </r>
    <r>
      <rPr>
        <color rgb="FF1155CC"/>
        <u/>
      </rPr>
      <t>Brandimarte</t>
    </r>
    <r>
      <rPr/>
      <t xml:space="preserve">, DP01-10 </t>
    </r>
    <r>
      <rPr>
        <color rgb="FF1155CC"/>
        <u/>
      </rPr>
      <t>Dauzere</t>
    </r>
  </si>
  <si>
    <t>EA, heuristics, MILP, RL</t>
  </si>
  <si>
    <t>Distributed Flexible Job SSP</t>
  </si>
  <si>
    <t>makespan+energy consumption</t>
  </si>
  <si>
    <t>balance production efficiency and maintenance decisions</t>
  </si>
  <si>
    <t>Yan2025Ab</t>
  </si>
  <si>
    <t>https://doi.org/10.1016/j.procir.2018.03.098</t>
  </si>
  <si>
    <t>industrial case study+simulation</t>
  </si>
  <si>
    <t>Heuristics, simulation, random-forrest</t>
  </si>
  <si>
    <t>Slovenia</t>
  </si>
  <si>
    <t>Robustness --&gt; work-system work overload (WSO), prediction accuracy, forecasting error</t>
  </si>
  <si>
    <t>improve production quality and delivery reliability</t>
  </si>
  <si>
    <t>Kozjek2018Big</t>
  </si>
  <si>
    <t>https://doi.org/10.1007/s40436-023-00454-0</t>
  </si>
  <si>
    <t>Power equipment</t>
  </si>
  <si>
    <t>data dtiven optimisation to improve production logistics</t>
  </si>
  <si>
    <t>Ling2024Manufacturing</t>
  </si>
  <si>
    <t>https://doi.org/10.1111/poms.14021</t>
  </si>
  <si>
    <t>GAN, MILP, DL</t>
  </si>
  <si>
    <t>improve robustness of predictions under distributional shifts</t>
  </si>
  <si>
    <t>Senoner2023Addressing</t>
  </si>
  <si>
    <t>2025_towards_a_trusted_synchronized_decision_making_method_for_social_production_logistics_systems_based_on_blockchain_and_digital_twin</t>
  </si>
  <si>
    <t>towards a trusted synchronized decision making method for social production logistics systems based on blockchain and digital twin</t>
  </si>
  <si>
    <t>https://doi.org/10.1016/j.rcim.2025.102965</t>
  </si>
  <si>
    <t>indsutrial case study+simulation</t>
  </si>
  <si>
    <t>DT, Blockchain</t>
  </si>
  <si>
    <t>Air conditioner</t>
  </si>
  <si>
    <t>logistics</t>
  </si>
  <si>
    <t>robustness --&gt; total production cost, total distribution cost, total warehousing cost, delay penalty cost, total system cost, completion time</t>
  </si>
  <si>
    <t>improve scalabiity and real worls validation for multi-enterprise systems</t>
  </si>
  <si>
    <t>Zhang2025Trusted</t>
  </si>
  <si>
    <t>2025_a digital_twin_and_big_data_driven_opti_state_control_framework_for_production_logistics_synchronisation_system</t>
  </si>
  <si>
    <t>a digital twin and big data driven opti state control framework for production logistics synchronisation system</t>
  </si>
  <si>
    <t>https://doi.org/10.1049/cim2.70024</t>
  </si>
  <si>
    <t>DT, Heuristic</t>
  </si>
  <si>
    <t>Heuristics, simulation</t>
  </si>
  <si>
    <t>improve real time adabtability and validation on real world production data</t>
  </si>
  <si>
    <t>Zhang2025Digital</t>
  </si>
  <si>
    <t>2025_digital_twin_based_adaptive_opti_state_control_approach_for_production_logistics_synchronisation_system</t>
  </si>
  <si>
    <t>digital twin based adaptive opti state control approach for production logistics synchronisation system</t>
  </si>
  <si>
    <t>https://doi.org/10.1080/00207543.2025.2546030</t>
  </si>
  <si>
    <t>enhance real time disruption response</t>
  </si>
  <si>
    <t>deployd</t>
  </si>
  <si>
    <t>Zhang2025Digitala</t>
  </si>
  <si>
    <t>https://doi.org/10.1177/16878132221086120</t>
  </si>
  <si>
    <t>MDP, DQN, RL</t>
  </si>
  <si>
    <t>Improve scheduling in dynamic environments</t>
  </si>
  <si>
    <t>Zhou2022Reinforcement</t>
  </si>
  <si>
    <t>https://doi.org/10.1007/s11740-021-01064-0</t>
  </si>
  <si>
    <t>benchmark+dataset+industrial case study</t>
  </si>
  <si>
    <r>
      <rPr>
        <color rgb="FF1155CC"/>
        <u/>
      </rPr>
      <t>benchmark mk (Brandimarte)</t>
    </r>
    <r>
      <rPr>
        <color theme="1"/>
      </rPr>
      <t>+industrial data+synthetic</t>
    </r>
  </si>
  <si>
    <t>GA, simulation</t>
  </si>
  <si>
    <t>Balance time efficiency and cost in multi objective schedduling</t>
  </si>
  <si>
    <t>Zhai2022Predictive</t>
  </si>
  <si>
    <t>https://doi.org/10.1108/VJIKMS-08-2021-0146</t>
  </si>
  <si>
    <t>DL, ANN, MLP</t>
  </si>
  <si>
    <t>Home appliances</t>
  </si>
  <si>
    <t>improve accurate prediction of job flowtime for better scheduling</t>
  </si>
  <si>
    <t>Modesti2024Artificial</t>
  </si>
  <si>
    <t>https://doi.org/10.1109/CAC63892.2024.10864691</t>
  </si>
  <si>
    <r>
      <rPr>
        <color theme="1"/>
      </rPr>
      <t>synthetic+benchmark data (</t>
    </r>
    <r>
      <rPr>
        <color rgb="FF1155CC"/>
        <u/>
      </rPr>
      <t>Which is not indicated</t>
    </r>
    <r>
      <rPr>
        <color theme="1"/>
      </rPr>
      <t>)</t>
    </r>
  </si>
  <si>
    <t>PPO, GNN, Attention mechanism, MDP, RL</t>
  </si>
  <si>
    <t>Wang2024Unified</t>
  </si>
  <si>
    <t>https://doi.org/10.1109/ICICIS52592.2021.9694207</t>
  </si>
  <si>
    <r>
      <rPr>
        <color theme="1"/>
      </rPr>
      <t xml:space="preserve">synthetic+benchmark data </t>
    </r>
    <r>
      <rPr>
        <color rgb="FF1155CC"/>
        <u/>
      </rPr>
      <t>Demirkol</t>
    </r>
  </si>
  <si>
    <t>RL, A2C, CNN, LSTM, MDP</t>
  </si>
  <si>
    <t>improve decision quality in dynamic environments</t>
  </si>
  <si>
    <t>Elsayed2021Deep</t>
  </si>
  <si>
    <t>https://doi.org/10.1109/MLISE54096.2021.00049</t>
  </si>
  <si>
    <t>benchmark kacem</t>
  </si>
  <si>
    <t>Yan2021Autonomous</t>
  </si>
  <si>
    <t>https://doi.org/10.1080/00207543.2023.2217285</t>
  </si>
  <si>
    <t>DES, MILP, MAS</t>
  </si>
  <si>
    <t>robustness --&gt; total production costs, logistics costs, makespan, computation time</t>
  </si>
  <si>
    <t>Antons2024Designing</t>
  </si>
  <si>
    <t>https://doi.org/10.1016/j.cor.2023.106294</t>
  </si>
  <si>
    <t>Simulation, MDP, RL, MAS</t>
  </si>
  <si>
    <t>Singapore</t>
  </si>
  <si>
    <t>Liu2023A</t>
  </si>
  <si>
    <t>https://doi.org/10.3390/s23094498</t>
  </si>
  <si>
    <t>Blockchain</t>
  </si>
  <si>
    <t>Lithuania</t>
  </si>
  <si>
    <t>Production optimization</t>
  </si>
  <si>
    <t>reduce schedulling time</t>
  </si>
  <si>
    <t>Skr2023Optimization</t>
  </si>
  <si>
    <t>https://doi.org/10.1080/00207543.2024.2434948</t>
  </si>
  <si>
    <t>DL, GA, LSTM, Tabu Search</t>
  </si>
  <si>
    <t>improve real world robustness under uncertainity</t>
  </si>
  <si>
    <t>Bubak2025An</t>
  </si>
  <si>
    <t>https://doi.org/10.1016/j.cie.2024.110646</t>
  </si>
  <si>
    <t>Improve generalization to real-world dynamic shop conditions</t>
  </si>
  <si>
    <t>Ouahabi2025Dynamic</t>
  </si>
  <si>
    <t>https://doi.org/10.1016/j.ijpe.2024.109447</t>
  </si>
  <si>
    <t>Real industrial case study+simulation</t>
  </si>
  <si>
    <t>industrial data+synthetic+expert knowledge</t>
  </si>
  <si>
    <t>GA, Simulation</t>
  </si>
  <si>
    <t>improve scheddulling</t>
  </si>
  <si>
    <t>Lee2025Ab</t>
  </si>
  <si>
    <t>https://doi.org/10.1109/ICESEP66633.2025.11155526</t>
  </si>
  <si>
    <t>Pareto, NSGA-II</t>
  </si>
  <si>
    <t>optimize scheduling and energy consumption</t>
  </si>
  <si>
    <t>Ma2025Research</t>
  </si>
  <si>
    <t>https://doi.org/10.1109/FASTA65681.2025.11138246</t>
  </si>
  <si>
    <r>
      <rPr>
        <color rgb="FF424242"/>
      </rPr>
      <t xml:space="preserve">synthetic+benchmark data mk </t>
    </r>
    <r>
      <rPr>
        <color rgb="FF1155CC"/>
        <u/>
      </rPr>
      <t xml:space="preserve">Brandimarte </t>
    </r>
    <r>
      <rPr>
        <color rgb="FF424242"/>
      </rPr>
      <t xml:space="preserve">and hurink </t>
    </r>
    <r>
      <rPr>
        <color theme="1"/>
      </rPr>
      <t>rdata,vdata,edata</t>
    </r>
    <r>
      <rPr>
        <color rgb="FF424242"/>
      </rPr>
      <t xml:space="preserve"> </t>
    </r>
  </si>
  <si>
    <t>DAN, PPO, MDP, RL</t>
  </si>
  <si>
    <t>Li2025Ab</t>
  </si>
  <si>
    <t>https://www.diva-portal.org/smash/record.jsf?pid=diva2%3A1991113&amp;dswid=8075</t>
  </si>
  <si>
    <t>simulation+industrial case study</t>
  </si>
  <si>
    <t>TSB, Prophet</t>
  </si>
  <si>
    <t>Vietnam</t>
  </si>
  <si>
    <t>improve forcasting accuracy under demand conditions</t>
  </si>
  <si>
    <t>Flyckt2025Navigating</t>
  </si>
  <si>
    <t>L3, and will be removed from L2 table</t>
  </si>
  <si>
    <t>https://doi.org/10.1080/00207543.2025.2550454</t>
  </si>
  <si>
    <t>DQN, Dispatching Rules, PPO, MDP, RL</t>
  </si>
  <si>
    <t>makespan+tardiness</t>
  </si>
  <si>
    <t>improve robustness under dcynamic conditions</t>
  </si>
  <si>
    <t>Yi2025Dynamic</t>
  </si>
  <si>
    <t>Total simulation</t>
  </si>
  <si>
    <t>https://doi.org/10.1109/JIOT.2025.3584811</t>
  </si>
  <si>
    <t>GNN, MDP, RL, MAS</t>
  </si>
  <si>
    <t>improve scalability</t>
  </si>
  <si>
    <t>Zeng2025PermutationInvariant</t>
  </si>
  <si>
    <t>https://doi.org/10.1109/ACCESS.2025.3577044</t>
  </si>
  <si>
    <t>benchmark+scenario+industrial case study</t>
  </si>
  <si>
    <r>
      <rPr>
        <color theme="1"/>
      </rPr>
      <t xml:space="preserve">benchmark mk </t>
    </r>
    <r>
      <rPr>
        <color rgb="FF1155CC"/>
        <u/>
      </rPr>
      <t>Brandimarte</t>
    </r>
    <r>
      <rPr>
        <color theme="1"/>
      </rPr>
      <t>+synthetic+industrial data</t>
    </r>
  </si>
  <si>
    <t>Pareto, MDP, RL, MAS</t>
  </si>
  <si>
    <t>Pump manufacturing</t>
  </si>
  <si>
    <t>flexible assembly job shop scheduling</t>
  </si>
  <si>
    <t>Improve generalization beyond single-case evaluation and real-world scalability</t>
  </si>
  <si>
    <t>Wang2025MultiObjective</t>
  </si>
  <si>
    <t>https://doi.org/10.1080/00207543.2025.2512226</t>
  </si>
  <si>
    <t>RL, GNN, attention mechanism, MDP</t>
  </si>
  <si>
    <t>improve real world scalability with complex worker constraints</t>
  </si>
  <si>
    <t>Zhong2025Solving</t>
  </si>
  <si>
    <t>https://doi.org/10.1016/j.cie.2024.110006</t>
  </si>
  <si>
    <t>Dispatching Rules</t>
  </si>
  <si>
    <t>Improve trade-off between scheduling efficiency and energy optimization</t>
  </si>
  <si>
    <t>Salatiello2024Longsighted</t>
  </si>
  <si>
    <t>2026_an_innovative_meta–heuristic_for_balancing_and_scheduling_human–robot_collaborative_assembly_lines_in_industry_5.0</t>
  </si>
  <si>
    <t>An innovative meta–heuristic for balancing and scheduling human–robot collaborative assembly lines in Industry 5.0</t>
  </si>
  <si>
    <t>https://doi.org/10.1080/21681015.2025.2533436</t>
  </si>
  <si>
    <t>Simulation-based evaluation using real automotive case studies and benchmark datasets.</t>
  </si>
  <si>
    <t>industrial+synthetic</t>
  </si>
  <si>
    <t>Robot, FMS, Metaheuristic</t>
  </si>
  <si>
    <t>SA</t>
  </si>
  <si>
    <t>Japan</t>
  </si>
  <si>
    <t>No (Assembly Line Balancing Problem)</t>
  </si>
  <si>
    <t>reduce cycle time while balancing workload between human and robot</t>
  </si>
  <si>
    <t>Fits into L1 better?</t>
  </si>
  <si>
    <t>Zhang2025Innovative</t>
  </si>
  <si>
    <t>2026_deep_reinforcement_learning_for_scheduling_semiconductor_cluster_tools_in_varying_configurations</t>
  </si>
  <si>
    <t>Deep reinforcement learning for scheduling semiconductor cluster tools in varying configurations</t>
  </si>
  <si>
    <t>https://doi.org/10.1038/s41598-025-31722-7</t>
  </si>
  <si>
    <t>Simulation based evaluation using a realistic cluster tool simulator</t>
  </si>
  <si>
    <t>DQN, DES, PPO, RL, MAS</t>
  </si>
  <si>
    <t>Improve scheduling efficiency under varying tool configurations</t>
  </si>
  <si>
    <t>Fits into L1 or L0 better?</t>
  </si>
  <si>
    <t>Choi2025Deep</t>
  </si>
  <si>
    <t>2026_knowledge_guided_drl_for_intelligent_reconfiguration_and_scheduling_in_customized_and_personalized_manufacturing_workshop</t>
  </si>
  <si>
    <t>Knowledge Guided DRL for Intelligent Reconfiguration and Scheduling in Customized and Personalized Manufacturing Workshop</t>
  </si>
  <si>
    <t>https://doi.org/10.1109/TII.2025.3610442</t>
  </si>
  <si>
    <t>Simulation-based evaluation on constructed reconfigurable CPP scheduling instances.</t>
  </si>
  <si>
    <t>RL, PPO, MDP</t>
  </si>
  <si>
    <t>minimize delays in production</t>
  </si>
  <si>
    <t>-------</t>
  </si>
  <si>
    <t>Lan2026Knowledge</t>
  </si>
  <si>
    <t>2026_unrelated_parallel_machine_scheduling_problem_with_setup_times_and_additional_resources:_an_enhanced_metaheuristic_to_address_resource-related_infeasibilities</t>
  </si>
  <si>
    <t>Unrelated parallel machine scheduling problem with setup times and additional resources: an enhanced metaheuristic to address resource-related infeasibilities</t>
  </si>
  <si>
    <t>https://doi.org/10.1007/s10479-026-07065-5</t>
  </si>
  <si>
    <t>Large scale computational bechmarking on 1000 synthetic instances</t>
  </si>
  <si>
    <t>synthetic based on_benchmark Taillard (1993), Vallada and Ruiz (2011), Báez et al. (2019), Berthier et
al. (2022), Fanjul-Peyró et al. (2019)</t>
  </si>
  <si>
    <t>costume metaheuristic</t>
  </si>
  <si>
    <t>No (Unrelated Parallel Machine Scheduling Problem)</t>
  </si>
  <si>
    <t>improve solution quality under constraints</t>
  </si>
  <si>
    <t>Yepes-borrero2026Unrelated</t>
  </si>
  <si>
    <t>2025_a_framework_for_3d_plant_simulation_of_meal-kit-packaging_robot_automation_system</t>
  </si>
  <si>
    <t>A Framework for 3D Plant Simulation of Meal-Kit-Packaging Robot Automation System</t>
  </si>
  <si>
    <t>https://doi.org/10.3390/app15084116</t>
  </si>
  <si>
    <t>Manual vs single robot double robot layouts</t>
  </si>
  <si>
    <t>CAD</t>
  </si>
  <si>
    <t>optimize robot configuration</t>
  </si>
  <si>
    <t>Kim2025Framework</t>
  </si>
  <si>
    <t>2025_a_learning-based_assembly_sequence_planning_method_using_neural_combinatorial_optimization_with_satisfactory_generalization_ability</t>
  </si>
  <si>
    <t>A Learning-Based Assembly Sequence Planning Method Using Neural Combinatorial Optimization With Satisfactory Generalization Ability</t>
  </si>
  <si>
    <t>https://doi.org/10.1109/TASE.2024.3493617</t>
  </si>
  <si>
    <t>Simulation assembly graphs</t>
  </si>
  <si>
    <t>RL, Neural Combinatorial Optimisation</t>
  </si>
  <si>
    <t>No (Sequence Planning Problem)</t>
  </si>
  <si>
    <t>robustness --&gt; movement distance, angular rotation time, total time consumption</t>
  </si>
  <si>
    <t>Hou2025Learningbased</t>
  </si>
  <si>
    <t>2025_a_dual_spatial_temporal_neural_network_for_bottleneck_prediction_in_manufacturing_systems</t>
  </si>
  <si>
    <t>A dual spatial temporal neural network for bottleneck prediction in manufacturing systems</t>
  </si>
  <si>
    <t>https://doi.org/10.1016/j.engappai.2025.111586</t>
  </si>
  <si>
    <t>Stochastic production line simulation</t>
  </si>
  <si>
    <t>DL, GRU</t>
  </si>
  <si>
    <t>Bottleneck prediction</t>
  </si>
  <si>
    <t>improve bottleneck prediction</t>
  </si>
  <si>
    <t>Cen2025Dual</t>
  </si>
  <si>
    <t>2025_a_hybrid_optimization_approach_integrating_genetic_algorithm_and_monte_carlo_tree_search_for_multi-machine_scheduling_in_manufacturing_irregular_solid_wood_furniture_parts</t>
  </si>
  <si>
    <t>A hybrid optimization approach integrating genetic algorithm and Monte Carlo tree search for multi-machine scheduling in manufacturing irregular solid wood furniture parts</t>
  </si>
  <si>
    <t>https://doi.org/10.1080/17480272.2025.2505133</t>
  </si>
  <si>
    <t>Real furniture production case</t>
  </si>
  <si>
    <t>GA, MCTS</t>
  </si>
  <si>
    <t>Furniture</t>
  </si>
  <si>
    <t>improve machine utilization and workload</t>
  </si>
  <si>
    <t>Fu2025Hybrid</t>
  </si>
  <si>
    <t>Was L3, moved L1.</t>
  </si>
  <si>
    <t>2025_collaborative_optimization_of_intelligent_manufacturing_system_and_industrial_design_based_on_improved_genetic_algorithm</t>
  </si>
  <si>
    <t>Collaborative optimization of intelligent manufacturing system and industrial design based on improved genetic algorithm</t>
  </si>
  <si>
    <t>https://doi.org/10.1007/s12008-025-02316-4</t>
  </si>
  <si>
    <t>10 manufactruing cases</t>
  </si>
  <si>
    <t>Combined design and production optimization</t>
  </si>
  <si>
    <t>robustness --&gt; production efficiency (output per unit time), total cost (materials + equipment + labor), defect rate</t>
  </si>
  <si>
    <t>Wang2025Collaborative</t>
  </si>
  <si>
    <t>2025_data-driven_layout_design_for_smart_remanufacturing:_a_flexible_optimization_model_and_a_case_study</t>
  </si>
  <si>
    <t>Data-driven layout design for smart remanufacturing: a flexible optimization model and a case study</t>
  </si>
  <si>
    <t>https://doi.org/10.1007/s12008-025-02296-5</t>
  </si>
  <si>
    <t>10 numerical cases</t>
  </si>
  <si>
    <t>RMS, Metaheuristic</t>
  </si>
  <si>
    <t>MILP, simulation, SA</t>
  </si>
  <si>
    <t>resuce material handling cost</t>
  </si>
  <si>
    <t>Afari2025Datadriven</t>
  </si>
  <si>
    <t>2025_from_black_box_to_analytical_insight:_a_data-driven_evaluation_of_technological_sustainability_in_manufacturing_supply_chains</t>
  </si>
  <si>
    <t>From black box to analytical insight: A data-driven evaluation of technological sustainability in manufacturing supply chains</t>
  </si>
  <si>
    <t>https://doi.org/10.1016/j.sca.2025.100171</t>
  </si>
  <si>
    <t>One-year longitudinal comparison</t>
  </si>
  <si>
    <t>Ceramic tile</t>
  </si>
  <si>
    <t>Supply chain</t>
  </si>
  <si>
    <t>improve sustainability assessment</t>
  </si>
  <si>
    <t>Fits better into L3/L4?</t>
  </si>
  <si>
    <t>Vacchi2025Black</t>
  </si>
  <si>
    <t>2025_generative_ai-powered_planning:_a_hybrid_graph-diffusion_approach_for_demand-driven_flexible_manufacturing_systems</t>
  </si>
  <si>
    <t>Generative AI-powered planning: A hybrid graph-diffusion approach for demand-driven flexible manufacturing systems</t>
  </si>
  <si>
    <t>https://doi.org/10.1016/j.jmsy.2025.08.016</t>
  </si>
  <si>
    <t>200 FSMS instances</t>
  </si>
  <si>
    <t>FMS, AGV/AMR, ML</t>
  </si>
  <si>
    <t>DL, GNN, Diffusion</t>
  </si>
  <si>
    <t>robustness --&gt; demand satisfaction rate, yield/output, resource utilization (number of workstations/buffers/robots), resource efficiency, Permanent Production Loss (PPL), ICC alignment rate (%), topology constraint adherence (%), material flow continuity rate, robustness under disruptions (yield under downtime)</t>
  </si>
  <si>
    <t>improve robustness and planning</t>
  </si>
  <si>
    <t>Li2025Generative</t>
  </si>
  <si>
    <t>2025_hybrid_deep_learning-reinforcement_learning_for_adaptive_human-robot_task_allocation_in_industry_5.0</t>
  </si>
  <si>
    <t>Hybrid Deep Learning-Reinforcement Learning for Adaptive Human-Robot Task Allocation in Industry 5.0</t>
  </si>
  <si>
    <t>https://doi.org/10.3390/systems13080631</t>
  </si>
  <si>
    <t>1000 DT simulation episodes</t>
  </si>
  <si>
    <t>DQN, CNN, PPO, RL</t>
  </si>
  <si>
    <t>throughput, mental workload (fatigue), Safety (completed tasks without collission)</t>
  </si>
  <si>
    <t>Increase throughput while reducing operator fatigue</t>
  </si>
  <si>
    <t>Urrea2025Hybrid</t>
  </si>
  <si>
    <t>2025_real-time_scheduling_for_production-logistics_collaborative_environment_using_multi-agent_deep_reinforcement_learning</t>
  </si>
  <si>
    <t>Real-time scheduling for production-logistics collaborative environment using multi-agent deep reinforcement learning</t>
  </si>
  <si>
    <t>https://doi.org/10.1016/j.aei.2025.103216</t>
  </si>
  <si>
    <t>-</t>
  </si>
  <si>
    <t>synthetic+ industrial data</t>
  </si>
  <si>
    <t>MAPPO, MAS, RL</t>
  </si>
  <si>
    <t>Ship components</t>
  </si>
  <si>
    <t>scheduling</t>
  </si>
  <si>
    <t>JSSP (kinda, same math but quite different case, I will still count it as JSSP)</t>
  </si>
  <si>
    <t>total tardiness</t>
  </si>
  <si>
    <t>Reduce makespan by improving coordination between production and logistics in real-time scheduling</t>
  </si>
  <si>
    <t>Minimize Makespan</t>
  </si>
  <si>
    <t>Li2025Realtime</t>
  </si>
  <si>
    <t>2025_dynamic_scheduling_for_flexible_job-shop_with_reconfigurable_manufacturing_cells_considering_dynamic_job_arrivals_based_on_deep_reinforcement_learning</t>
  </si>
  <si>
    <t>Dynamic scheduling for flexible job-shop with reconfigurable manufacturing cells considering dynamic job arrivals based on deep reinforcement learning</t>
  </si>
  <si>
    <t>https://doi.org/10.1080/00207543.2025.2497961</t>
  </si>
  <si>
    <t>RMS, ML</t>
  </si>
  <si>
    <t>RL, DQN, MDP</t>
  </si>
  <si>
    <t>Dynamic FLexible JSSP</t>
  </si>
  <si>
    <t>makespan, total tardiness</t>
  </si>
  <si>
    <t>Optimise scheduling instability</t>
  </si>
  <si>
    <t>Minimize Tradiness, Minimize Makespan</t>
  </si>
  <si>
    <t>Zheng2025Dynamic</t>
  </si>
  <si>
    <t>2025_collaborative_contracting_for_manufacturing-as-a-service_maas_by_information_content_measurement_and_decision_tree_learning</t>
  </si>
  <si>
    <t>https://doi.org/10.1016/j.aei.2023.101911</t>
  </si>
  <si>
    <t>Decision Tree</t>
  </si>
  <si>
    <t xml:space="preserve">Orthodontic brace </t>
  </si>
  <si>
    <t>Manufacturing service selection</t>
  </si>
  <si>
    <t>Robustness --&gt; Degree of Satisfaction</t>
  </si>
  <si>
    <t>Select the best-matching manufacturing service provider</t>
  </si>
  <si>
    <t>Customer satisfaction</t>
  </si>
  <si>
    <t>Gong2023Collaborative</t>
  </si>
  <si>
    <t>2025_enhancing_internal_supply_chain_management_in_manufacturing_through_a_simulation-based_digital_twin_platform</t>
  </si>
  <si>
    <t>https://doi.org/10.1016/j.cie.2024.110670</t>
  </si>
  <si>
    <t>Oil and gas</t>
  </si>
  <si>
    <t>Production planning</t>
  </si>
  <si>
    <t>Robustness --&gt; Flow Time, Tardiness, Number of Late Orders</t>
  </si>
  <si>
    <t>Improve internal supply chain performance through better production planning using digital twin</t>
  </si>
  <si>
    <t>Minimize  Tardiness</t>
  </si>
  <si>
    <t>Cimino2024Enhancing</t>
  </si>
  <si>
    <t>This paper uses digital twin for decision support.</t>
  </si>
  <si>
    <t>Keyword</t>
  </si>
  <si>
    <t>Abbrivations</t>
  </si>
  <si>
    <t>Keywords dispatching rules</t>
  </si>
  <si>
    <t>mixed integer linear programming</t>
  </si>
  <si>
    <t>MILP</t>
  </si>
  <si>
    <t>Shortest Processing Time</t>
  </si>
  <si>
    <t>SPT</t>
  </si>
  <si>
    <t>mixed integer programming</t>
  </si>
  <si>
    <t>MIP</t>
  </si>
  <si>
    <t>Longest Processing Time</t>
  </si>
  <si>
    <t>LPT</t>
  </si>
  <si>
    <t>constraint programming</t>
  </si>
  <si>
    <t>CP</t>
  </si>
  <si>
    <t>Shortest Remaining Time</t>
  </si>
  <si>
    <t>SRT</t>
  </si>
  <si>
    <t>dispatching rules</t>
  </si>
  <si>
    <t>DR</t>
  </si>
  <si>
    <t>Longest Remaining Time</t>
  </si>
  <si>
    <t>LRT</t>
  </si>
  <si>
    <t>simulated annealing</t>
  </si>
  <si>
    <t>Shortest Due Time</t>
  </si>
  <si>
    <t>SDT</t>
  </si>
  <si>
    <t>tabu search</t>
  </si>
  <si>
    <t>TS</t>
  </si>
  <si>
    <t>Shortest Remaining Working Time</t>
  </si>
  <si>
    <t>SRWT</t>
  </si>
  <si>
    <t>Minimum Machine Utilization Rate</t>
  </si>
  <si>
    <t>MMUR</t>
  </si>
  <si>
    <t>evolutionary algorithm</t>
  </si>
  <si>
    <t>EA</t>
  </si>
  <si>
    <t>Shortest Machine Processing Time</t>
  </si>
  <si>
    <t>SMPT</t>
  </si>
  <si>
    <t>memetic algorithm</t>
  </si>
  <si>
    <t>MA</t>
  </si>
  <si>
    <t>Shortest Remaining Transit Time</t>
  </si>
  <si>
    <t>SRTT</t>
  </si>
  <si>
    <t>local search</t>
  </si>
  <si>
    <t>LS</t>
  </si>
  <si>
    <t>Minimum AGV Utilization Rate</t>
  </si>
  <si>
    <t>MAUR</t>
  </si>
  <si>
    <t>neighbourhood search</t>
  </si>
  <si>
    <t>–</t>
  </si>
  <si>
    <t>greedy randomized adaptive search</t>
  </si>
  <si>
    <t>GRASP</t>
  </si>
  <si>
    <t>Classic disparting rules</t>
  </si>
  <si>
    <t>non dominated sorting genetic algorithm II</t>
  </si>
  <si>
    <t>NSGA-II</t>
  </si>
  <si>
    <t>FIFO</t>
  </si>
  <si>
    <t>First In First Out</t>
  </si>
  <si>
    <t>markov decision process</t>
  </si>
  <si>
    <t>MDP</t>
  </si>
  <si>
    <t>proximal policy optimization</t>
  </si>
  <si>
    <t>PPO</t>
  </si>
  <si>
    <t>MOR</t>
  </si>
  <si>
    <t>Most Operations Remaining</t>
  </si>
  <si>
    <t>deep q network</t>
  </si>
  <si>
    <t>DQN</t>
  </si>
  <si>
    <t>MWKR</t>
  </si>
  <si>
    <t>Most Work Remaining</t>
  </si>
  <si>
    <t>q learning</t>
  </si>
  <si>
    <t>QL</t>
  </si>
  <si>
    <t>SRPT</t>
  </si>
  <si>
    <t>Shortest Remaining Processing Time</t>
  </si>
  <si>
    <t>multi agent reinforcement learning</t>
  </si>
  <si>
    <t>MARL</t>
  </si>
  <si>
    <t>graph neural networks</t>
  </si>
  <si>
    <t>GNN</t>
  </si>
  <si>
    <t>random forest</t>
  </si>
  <si>
    <t>RF</t>
  </si>
  <si>
    <t>support vector machine</t>
  </si>
  <si>
    <t>SVM</t>
  </si>
  <si>
    <t>Composite rules</t>
  </si>
  <si>
    <t>gradient boosting</t>
  </si>
  <si>
    <t>GB</t>
  </si>
  <si>
    <t>Max processing capacity + Shortest processing time</t>
  </si>
  <si>
    <t>FMXP + SPT</t>
  </si>
  <si>
    <t>Max processing capacity + Longest processing time</t>
  </si>
  <si>
    <t>FMXP + LPT</t>
  </si>
  <si>
    <t>logistic regression</t>
  </si>
  <si>
    <t>LR</t>
  </si>
  <si>
    <t>Max processing capacity + Min remaining batch</t>
  </si>
  <si>
    <t>FMXP + MIRB</t>
  </si>
  <si>
    <t>fuzzy logic</t>
  </si>
  <si>
    <t>FL</t>
  </si>
  <si>
    <t>Max processing capacity + Max remaining batch</t>
  </si>
  <si>
    <t>FMXP + MARB</t>
  </si>
  <si>
    <t>multi criteria decision making</t>
  </si>
  <si>
    <t>MCDM</t>
  </si>
  <si>
    <t>Min processing capacity + Shortest processing time</t>
  </si>
  <si>
    <t>FMNP + SPT</t>
  </si>
  <si>
    <t>mixed integer nonlinear programming</t>
  </si>
  <si>
    <t>MINLP</t>
  </si>
  <si>
    <t>Min processing capacity + Longest processing time</t>
  </si>
  <si>
    <t>FMNP + LPT</t>
  </si>
  <si>
    <t>robust optimization</t>
  </si>
  <si>
    <t>RO</t>
  </si>
  <si>
    <t>Min processing capacity + Min remaining batch</t>
  </si>
  <si>
    <t>FMNP + MIRB</t>
  </si>
  <si>
    <t>conditional value at risk</t>
  </si>
  <si>
    <t>CVaR</t>
  </si>
  <si>
    <t>Min processing capacity + Max remaining batch</t>
  </si>
  <si>
    <t>FMNP + MARB</t>
  </si>
  <si>
    <t>discrete event simulation</t>
  </si>
  <si>
    <t>petri net</t>
  </si>
  <si>
    <t>PN</t>
  </si>
  <si>
    <t>Composite and classis dispatching rules</t>
  </si>
  <si>
    <t>monte carlo tree search</t>
  </si>
  <si>
    <t>MCTS</t>
  </si>
  <si>
    <t>artificial bee colony</t>
  </si>
  <si>
    <t>ABC</t>
  </si>
  <si>
    <t>multi objective artificial bee colony</t>
  </si>
  <si>
    <t>MOABC</t>
  </si>
  <si>
    <t>hypervolume indicator</t>
  </si>
  <si>
    <t>HV</t>
  </si>
  <si>
    <t>Least Operations Remaining</t>
  </si>
  <si>
    <t>LOR</t>
  </si>
  <si>
    <t>clustering</t>
  </si>
  <si>
    <t>Least Work Remaining</t>
  </si>
  <si>
    <t>LWR</t>
  </si>
  <si>
    <t>bayesian learning</t>
  </si>
  <si>
    <t>Minimum Slack</t>
  </si>
  <si>
    <t>MS</t>
  </si>
  <si>
    <t>game theory</t>
  </si>
  <si>
    <t>Earliest Due Date</t>
  </si>
  <si>
    <t>EDD</t>
  </si>
  <si>
    <t>local integer programming</t>
  </si>
  <si>
    <t>Critical Ratio</t>
  </si>
  <si>
    <t>CR</t>
  </si>
  <si>
    <t>Slack Time Over Processing Time</t>
  </si>
  <si>
    <t>STOP</t>
  </si>
  <si>
    <t>mulit-objective mixed-integer programming (MMIP)</t>
  </si>
  <si>
    <t>MMIP</t>
  </si>
  <si>
    <t>Least Work Remaining + Shortest Processing Time</t>
  </si>
  <si>
    <t>LWRSPT</t>
  </si>
  <si>
    <t>improved gene express program</t>
  </si>
  <si>
    <t>IGEP</t>
  </si>
  <si>
    <t>Critical Ratio + Shortest Processing Time</t>
  </si>
  <si>
    <t>CRSPT</t>
  </si>
  <si>
    <t>Reinforcement lerning</t>
  </si>
  <si>
    <t>Dual-attention network</t>
  </si>
  <si>
    <t>DAN</t>
  </si>
  <si>
    <t>multi-agent proximal policy optimization</t>
  </si>
  <si>
    <t>MAPPO</t>
  </si>
  <si>
    <t>Flexible manufacturing system</t>
  </si>
  <si>
    <t>bayesian optimization</t>
  </si>
  <si>
    <t>BO</t>
  </si>
  <si>
    <t>Bi-Directional Long Short-Term Memory Network</t>
  </si>
  <si>
    <t>BiLSTM</t>
  </si>
  <si>
    <t>Integer Programming</t>
  </si>
  <si>
    <t>Timed Petri Net</t>
  </si>
  <si>
    <t>TPN</t>
  </si>
  <si>
    <t>Markov Decision Process</t>
  </si>
  <si>
    <t>Graph Neural Network</t>
  </si>
  <si>
    <t>Graph Isomorphism Network</t>
  </si>
  <si>
    <t>GIN</t>
  </si>
  <si>
    <t>Deep Q-Network</t>
  </si>
  <si>
    <t>Approximate Dynamic Programming</t>
  </si>
  <si>
    <t>ADP</t>
  </si>
  <si>
    <t>Unified Modeling Language</t>
  </si>
  <si>
    <t>UML</t>
  </si>
  <si>
    <t>Hierarchical Bayesian Linear Regression</t>
  </si>
  <si>
    <t>HBLR</t>
  </si>
  <si>
    <t>Hierarchical Bayesian Neural Network</t>
  </si>
  <si>
    <t>HBNN</t>
  </si>
  <si>
    <t>Fully Connected Network</t>
  </si>
  <si>
    <t>FCN</t>
  </si>
  <si>
    <t>One-Dimensional Convolutional Neural Network</t>
  </si>
  <si>
    <t>1D-CNN</t>
  </si>
  <si>
    <t>No-U-Turn Sampler</t>
  </si>
  <si>
    <t>NUTS</t>
  </si>
  <si>
    <t>Automatic Differentiation Variational Inference</t>
  </si>
  <si>
    <t>ADVI</t>
  </si>
  <si>
    <t>Stein Variational Gradient Descent</t>
  </si>
  <si>
    <t>SVGD</t>
  </si>
  <si>
    <t>Multi-Layer Perceptron</t>
  </si>
  <si>
    <t>MLP</t>
  </si>
  <si>
    <t>Reconfigurable Manufacturing system</t>
  </si>
  <si>
    <t>Information bottleneck</t>
  </si>
  <si>
    <t>IB</t>
  </si>
  <si>
    <t>twin deep deterministic policy gradient</t>
  </si>
  <si>
    <t>Twin DDPG</t>
  </si>
  <si>
    <t>Hindsight experience replay</t>
  </si>
  <si>
    <t>HER</t>
  </si>
  <si>
    <t>Multi-broker</t>
  </si>
  <si>
    <t>MB</t>
  </si>
  <si>
    <t>Beam A Search</t>
  </si>
  <si>
    <t>BAS</t>
  </si>
  <si>
    <t>Genetic reinforcement learning</t>
  </si>
  <si>
    <t>GLR</t>
  </si>
  <si>
    <t>automatic simulation model generation</t>
  </si>
  <si>
    <t>ASMG</t>
  </si>
  <si>
    <t>large language model</t>
  </si>
  <si>
    <t>LLM</t>
  </si>
  <si>
    <t>Interval-Valued Triangular Fuzzy Numbers</t>
  </si>
  <si>
    <t>IVTFN</t>
  </si>
  <si>
    <t>Quality Function Deployment</t>
  </si>
  <si>
    <t>QFD</t>
  </si>
  <si>
    <t>Decision-Making Trial and Evaluation Laboratory</t>
  </si>
  <si>
    <t>DEMATEL</t>
  </si>
  <si>
    <t>Multi-Objective Optimization by Ratio Analysis plus the Full Multiplicative Form</t>
  </si>
  <si>
    <t>MULTIMOORA</t>
  </si>
  <si>
    <t>Multi-Objective Bi-Level Programming</t>
  </si>
  <si>
    <t>MOBLP</t>
  </si>
  <si>
    <t>Leader–Follower Joint Optimization</t>
  </si>
  <si>
    <t>LFJO</t>
  </si>
  <si>
    <t>Design Structure Matrix</t>
  </si>
  <si>
    <t>DSM</t>
  </si>
  <si>
    <t>Genetic programming</t>
  </si>
  <si>
    <t>GP</t>
  </si>
  <si>
    <t>Ordinal Optimization</t>
  </si>
  <si>
    <t>OO</t>
  </si>
  <si>
    <t>Gated recurrent unit</t>
  </si>
  <si>
    <t>GRU</t>
  </si>
  <si>
    <t>Neural Combinatorial Optimisation</t>
  </si>
  <si>
    <t>NCO</t>
  </si>
  <si>
    <t>Computer Aided Design</t>
  </si>
  <si>
    <t>Multi-agent system</t>
  </si>
  <si>
    <t>SAM</t>
  </si>
  <si>
    <t>Multi-Head Attention</t>
  </si>
  <si>
    <t>MHA</t>
  </si>
  <si>
    <t>Contract Net Protocol</t>
  </si>
  <si>
    <t>CNP</t>
  </si>
  <si>
    <t>Object–Attribute–Relation</t>
  </si>
  <si>
    <t>OAR</t>
  </si>
  <si>
    <t>actor-critic</t>
  </si>
  <si>
    <t>A2C</t>
  </si>
  <si>
    <t>teaching and learning based optimization</t>
  </si>
  <si>
    <t>TLBO</t>
  </si>
  <si>
    <t>Knowledge Graph</t>
  </si>
  <si>
    <t>KG</t>
  </si>
  <si>
    <t>Analytical Target Cascading</t>
  </si>
  <si>
    <t>ATC</t>
  </si>
  <si>
    <t>Hierarchical Synchronous Control</t>
  </si>
  <si>
    <t>HSC</t>
  </si>
  <si>
    <t>variable neighborhood search</t>
  </si>
  <si>
    <t>VNS</t>
  </si>
  <si>
    <t>Lifelong Meta-Learning</t>
  </si>
  <si>
    <t>LLML</t>
  </si>
  <si>
    <t>hybrid genetic algorithm</t>
  </si>
  <si>
    <t>HGA</t>
  </si>
  <si>
    <t>Evolutionary Strategies (Gaussian perturbation)</t>
  </si>
  <si>
    <t>ES</t>
  </si>
  <si>
    <t>Monte Carlo Tree Search</t>
  </si>
  <si>
    <t>Quantum Firefly Algorithm</t>
  </si>
  <si>
    <t>look-ahead search</t>
  </si>
  <si>
    <t>LAS</t>
  </si>
  <si>
    <t>weighted sum method</t>
  </si>
  <si>
    <t>WSM</t>
  </si>
  <si>
    <t>Soft Actor Critic</t>
  </si>
  <si>
    <t>SAC</t>
  </si>
  <si>
    <t>Inverse KInematics</t>
  </si>
  <si>
    <t>IK</t>
  </si>
  <si>
    <t>LaTeX variable</t>
  </si>
  <si>
    <t>Description</t>
  </si>
  <si>
    <t>Formula result</t>
  </si>
  <si>
    <t>Scheduling vs non-scheduling</t>
  </si>
  <si>
    <t>Overall Counts</t>
  </si>
  <si>
    <t>rawScheduling</t>
  </si>
  <si>
    <t>rawScriptFilteretOut</t>
  </si>
  <si>
    <t>The number of papers removed by the relevance script</t>
  </si>
  <si>
    <t>rawNonscheduling</t>
  </si>
  <si>
    <t>rawScriptFilteretMaybeRelevant</t>
  </si>
  <si>
    <t>The number of maybe relevant</t>
  </si>
  <si>
    <t>procentSCheduling</t>
  </si>
  <si>
    <t>rawScriptFilteretMaybeNotRelevant</t>
  </si>
  <si>
    <t>The number of not relevant</t>
  </si>
  <si>
    <t>procentNonscheduling</t>
  </si>
  <si>
    <t>rawIncludedPapers</t>
  </si>
  <si>
    <t>Total included papers</t>
  </si>
  <si>
    <t>procentQuality</t>
  </si>
  <si>
    <t>rawQueryIdentifiedPapers</t>
  </si>
  <si>
    <t>Query identified (manual - not in this sheet)</t>
  </si>
  <si>
    <t>By Manufacturing Level</t>
  </si>
  <si>
    <t>rawProcessPapers</t>
  </si>
  <si>
    <t>L0 - Process level</t>
  </si>
  <si>
    <t>rawLinePapers</t>
  </si>
  <si>
    <t>L1 - Line level</t>
  </si>
  <si>
    <t>rawFactoryPapers</t>
  </si>
  <si>
    <t>L2 - Factory level</t>
  </si>
  <si>
    <t>rawEnterprisePapers</t>
  </si>
  <si>
    <t>L3 - Enterprise level</t>
  </si>
  <si>
    <t>By Industry</t>
  </si>
  <si>
    <t>rawNoIndustryPapers</t>
  </si>
  <si>
    <t>No industry specified ("Not specified" or "None")</t>
  </si>
  <si>
    <t>rawIndustryIdentifiedPapers</t>
  </si>
  <si>
    <t>Has an industry</t>
  </si>
  <si>
    <t>rawElectronicsPapers</t>
  </si>
  <si>
    <t>Electronics + Semiconductor</t>
  </si>
  <si>
    <t>rawMetalAndMachiningPapers</t>
  </si>
  <si>
    <t>rawAutomotivePapers</t>
  </si>
  <si>
    <t>rawProcessIndustryPapers</t>
  </si>
  <si>
    <t>Process industry (Chemical, Food, Pharmaceutical, etc.)</t>
  </si>
  <si>
    <t>rawMachineryAndEquipmentPapers</t>
  </si>
  <si>
    <t>Machinery &amp; Equipment</t>
  </si>
  <si>
    <t>rawAerospacePapers</t>
  </si>
  <si>
    <t>By DSS Focus</t>
  </si>
  <si>
    <t>rawSchedulingPapers</t>
  </si>
  <si>
    <t>rawlogisticsPapers</t>
  </si>
  <si>
    <t>Logistics &amp; Supply chain</t>
  </si>
  <si>
    <t>rawPlantLayoutPapers</t>
  </si>
  <si>
    <t>rawForecastingPapers</t>
  </si>
  <si>
    <t>rawVisAndSimPapers</t>
  </si>
  <si>
    <t>rawQualityPapers</t>
  </si>
  <si>
    <t>Quality &amp; maintenance</t>
  </si>
  <si>
    <t>rawHumanRobotPapers</t>
  </si>
  <si>
    <t>By Year</t>
  </si>
  <si>
    <t>twentyPapers</t>
  </si>
  <si>
    <t>2020 (incl. 2016-2019)</t>
  </si>
  <si>
    <t>twentyOnePapers</t>
  </si>
  <si>
    <t>2021</t>
  </si>
  <si>
    <t>twentyTwoPapers</t>
  </si>
  <si>
    <t>2022</t>
  </si>
  <si>
    <t>twentyThreePapers</t>
  </si>
  <si>
    <t>2023</t>
  </si>
  <si>
    <t>twentyFourPapers</t>
  </si>
  <si>
    <t>2024</t>
  </si>
  <si>
    <t>twentyFivePapers</t>
  </si>
  <si>
    <t>2025</t>
  </si>
  <si>
    <t>twentySixPapers</t>
  </si>
  <si>
    <t>2026</t>
  </si>
  <si>
    <t>By Country</t>
  </si>
  <si>
    <t>chinaPapers</t>
  </si>
  <si>
    <t>germanyPapers</t>
  </si>
  <si>
    <t>By Evaluation Setting</t>
  </si>
  <si>
    <t>rawSimulationEvalPapers</t>
  </si>
  <si>
    <t>rawStaticEvalPapers</t>
  </si>
  <si>
    <t>Static evaluation</t>
  </si>
  <si>
    <t>rawLabEvalPapers</t>
  </si>
  <si>
    <t>Lab case study</t>
  </si>
  <si>
    <t>rawIndustrialEvalPapers</t>
  </si>
  <si>
    <t>Industrial case study / setting</t>
  </si>
  <si>
    <t>rawOtherEvalPapers</t>
  </si>
  <si>
    <t>By Data Source</t>
  </si>
  <si>
    <t>rawSyntheticDataPapers</t>
  </si>
  <si>
    <t>Contains 'synthetic' (case-insensitive)</t>
  </si>
  <si>
    <t>rawIndustrialDataPapers</t>
  </si>
  <si>
    <t>Contains 'industrial'</t>
  </si>
  <si>
    <t>rawBenchmarkDataPapers</t>
  </si>
  <si>
    <t>Contains 'benchmark'</t>
  </si>
  <si>
    <t>rawLabDataPapers</t>
  </si>
  <si>
    <t>Contains 'lab'</t>
  </si>
  <si>
    <t>Factory Level (L2) - Scheduling vs Non-scheduling</t>
  </si>
  <si>
    <t>rawFactorySchedulingPapers</t>
  </si>
  <si>
    <t>L2 + Scheduling</t>
  </si>
  <si>
    <t>rawFactoryNonSchedulingPapers</t>
  </si>
  <si>
    <t>L2 + NOT Scheduling</t>
  </si>
  <si>
    <t>Factory Level (L2) - Job-shop Variants</t>
  </si>
  <si>
    <t>rawFJSPPapers</t>
  </si>
  <si>
    <t>Flexible JSP (not dynamic, not distributed)</t>
  </si>
  <si>
    <t>rawJSPPapers</t>
  </si>
  <si>
    <t>JSP (not flexible, not dynamic, not distributed)</t>
  </si>
  <si>
    <t>rawDFJSPPapers</t>
  </si>
  <si>
    <t>Dynamic Flexible JSP</t>
  </si>
  <si>
    <t>rawDJSPPapers</t>
  </si>
  <si>
    <t>Dynamic JSP (not flexible)</t>
  </si>
  <si>
    <t>rawDistributedPapers</t>
  </si>
  <si>
    <t>Distributed variants</t>
  </si>
  <si>
    <t>Factory Level (L2) - Objectives/Metrics</t>
  </si>
  <si>
    <t>rawFactoryMakespanPapers</t>
  </si>
  <si>
    <t>L2 + metrics contain 'makespan'</t>
  </si>
  <si>
    <t>rawFactoryRobustnessPapers</t>
  </si>
  <si>
    <t>L2 + metrics contain 'robust' or 'stability'</t>
  </si>
  <si>
    <t>rawFactoryTardinessPapers</t>
  </si>
  <si>
    <t>L2 + metrics contain 'tardiness'</t>
  </si>
  <si>
    <t>rawFactoryEnergyPapers</t>
  </si>
  <si>
    <t>L2 + metrics contain 'energy'</t>
  </si>
  <si>
    <t>rawFactoryUtilisationPapers</t>
  </si>
  <si>
    <t>L2 + metrics contain 'utilisation' or 'utilization'</t>
  </si>
  <si>
    <t>Factory Level (L2) - Technologies</t>
  </si>
  <si>
    <t>rawFactoryHeuristicsPapers</t>
  </si>
  <si>
    <t>L2 + tech contains 'Heuristics/Metaheuristics'</t>
  </si>
  <si>
    <t>rawFactoryRLPapers</t>
  </si>
  <si>
    <t>L2 + tech contains 'RL'</t>
  </si>
  <si>
    <t>rawFactoryDLPapers</t>
  </si>
  <si>
    <t>L2 + tech contains 'DL'</t>
  </si>
  <si>
    <t>rawFactoryClassicMLPapers</t>
  </si>
  <si>
    <t>L2 + tech contains 'classic ML'</t>
  </si>
  <si>
    <t>rawFactoryMLPapers</t>
  </si>
  <si>
    <t>L2 + tech contains 'ML'</t>
  </si>
  <si>
    <t>rawFactoryAIPapers</t>
  </si>
  <si>
    <t>L2 + tech contains 'AI'</t>
  </si>
  <si>
    <t>rawFactoryCPSPapers</t>
  </si>
  <si>
    <t>L2 + tech contains 'CPS'</t>
  </si>
  <si>
    <t>rawFactoryIoTPapers</t>
  </si>
  <si>
    <t>L2 + tech contains 'IoT'</t>
  </si>
  <si>
    <t>rawFactoryDTPapers</t>
  </si>
  <si>
    <t>L2 + tech contains 'DT'</t>
  </si>
  <si>
    <t>rawFactoryAGVPapers</t>
  </si>
  <si>
    <t>L2 + tech contains 'AGV'</t>
  </si>
  <si>
    <t>Factory Level (L2) - Methods</t>
  </si>
  <si>
    <t>rawFactoryPPOPapers</t>
  </si>
  <si>
    <t>L2 + methods contain 'PPO'</t>
  </si>
  <si>
    <t>rawFactoryDQNPapers</t>
  </si>
  <si>
    <t>L2 + methods contain 'DQN'</t>
  </si>
  <si>
    <t>rawFactoryGNNPapers</t>
  </si>
  <si>
    <t>L2 + methods contain 'GNN'</t>
  </si>
  <si>
    <t>rawFactoryMARLPapers</t>
  </si>
  <si>
    <t>L2 + methods contain 'MARL'</t>
  </si>
  <si>
    <t>rawFactoryGAPapers</t>
  </si>
  <si>
    <t>L2 + methods contain 'Genetic algorithm'</t>
  </si>
  <si>
    <t>Factory Level (L2) - Evaluation Setting</t>
  </si>
  <si>
    <t>rawFactorySimulationEval</t>
  </si>
  <si>
    <t>L2 + simulation</t>
  </si>
  <si>
    <t>rawFactoryStaticEval</t>
  </si>
  <si>
    <t>L2 + static evaluation</t>
  </si>
  <si>
    <t>rawFactoryLabEval</t>
  </si>
  <si>
    <t>L2 + lab case study</t>
  </si>
  <si>
    <t>rawFactoryIndustrialEval</t>
  </si>
  <si>
    <t>L2 + industrial</t>
  </si>
  <si>
    <t>rawFactoryOther</t>
  </si>
  <si>
    <t>L2 + Other</t>
  </si>
  <si>
    <t>Process level (L0) - Evaluation Setting</t>
  </si>
  <si>
    <t>rawProcessSimulationEval</t>
  </si>
  <si>
    <t>L0 + simulation</t>
  </si>
  <si>
    <t>rawProcessStaticEval</t>
  </si>
  <si>
    <t>L0 + static evaluation</t>
  </si>
  <si>
    <t>rawProcessLabEval</t>
  </si>
  <si>
    <t>L0 + lab case study</t>
  </si>
  <si>
    <t>rawProcessIndustrialEval</t>
  </si>
  <si>
    <t>L0 + industrial</t>
  </si>
  <si>
    <t>rawProcessOther</t>
  </si>
  <si>
    <t>L0 + Other</t>
  </si>
  <si>
    <t>Process level (L1) - Evaluation Setting</t>
  </si>
  <si>
    <t>rawLineSimulationEval</t>
  </si>
  <si>
    <t>L1 + simulation</t>
  </si>
  <si>
    <t>rawLineStaticEval</t>
  </si>
  <si>
    <t>L1 + static evaluation</t>
  </si>
  <si>
    <t>rawLineLabEval</t>
  </si>
  <si>
    <t>L1 + lab case study</t>
  </si>
  <si>
    <t>rawLineIndustrialEval</t>
  </si>
  <si>
    <t>L1 + industrial</t>
  </si>
  <si>
    <t>rawLineOther</t>
  </si>
  <si>
    <t>L1 + Other</t>
  </si>
  <si>
    <t>Process level (L3) - Evaluation Setting</t>
  </si>
  <si>
    <t>rawEnterpriseSimulationEval</t>
  </si>
  <si>
    <t>L3 + simulation</t>
  </si>
  <si>
    <t>rawEnterpriseStaticEval</t>
  </si>
  <si>
    <t>L3 + static evaluation</t>
  </si>
  <si>
    <t>rawEnterpriseLabEval</t>
  </si>
  <si>
    <t>L3 + lab case study</t>
  </si>
  <si>
    <t>rawEnterpriseIndustrialEval</t>
  </si>
  <si>
    <t>L3 + industrial</t>
  </si>
  <si>
    <t>rawEnterpriseOther</t>
  </si>
  <si>
    <t>L3 + Other</t>
  </si>
  <si>
    <t>Factory Level (L2) - Data sources</t>
  </si>
  <si>
    <t>L2 + industrial data</t>
  </si>
  <si>
    <t>L2 + lab data</t>
  </si>
  <si>
    <t>L2 + synthetic</t>
  </si>
  <si>
    <t>L2 + benchmark</t>
  </si>
  <si>
    <t>Number of heuristic and metaheuristic</t>
  </si>
  <si>
    <t>rawHeuristic</t>
  </si>
  <si>
    <t>rawMetaheuristic</t>
  </si>
  <si>
    <t>Enterprise and supply chain Level (L3) - Technologies</t>
  </si>
  <si>
    <t>rawEnterpriseHeuristicsPapers</t>
  </si>
  <si>
    <t>L2 + tech contains 'Heuristics'</t>
  </si>
  <si>
    <t>rawEnterpriseRLPapers</t>
  </si>
  <si>
    <t>rawEnterpriseDLPapers</t>
  </si>
  <si>
    <t>rawEnterpriseMLPapers</t>
  </si>
  <si>
    <t>rawEnterpriseAIPapers</t>
  </si>
  <si>
    <t>rawEnterpriseCPSPapers</t>
  </si>
  <si>
    <t>rawEnterpriseIoTPapers</t>
  </si>
  <si>
    <t>rawEnterpriseDTPapers</t>
  </si>
  <si>
    <t>rawEnterpriseAGVPapers</t>
  </si>
  <si>
    <t>Year</t>
  </si>
  <si>
    <t>2025_panoptic_migrating_birds_optimization_with_gcn-guided_population_iteration:_a_feature-guided_intelligent_optimizer_(fgio)_for_flexible_job_shop_scheduling</t>
  </si>
  <si>
    <t>Panoptic migrating birds optimization with GCN-guided population iteration: a feature-guided intelligent optimizer (FGIO) for flexible job shop scheduling</t>
  </si>
  <si>
    <t>https://doi.org/10.1007/s12351-025-00977-3</t>
  </si>
  <si>
    <t>*</t>
  </si>
  <si>
    <t>Manufacturing (3) + some technology relevance (1)</t>
  </si>
  <si>
    <t>metaheuristic, optimization, reinforcement learning</t>
  </si>
  <si>
    <t>2025_a_group_decision_making_scheduling_method_for_flexible_job_shop_integrating_blockchain_and_rule_mining</t>
  </si>
  <si>
    <t>A group decision making scheduling method for flexible job shop integrating blockchain and rule mining</t>
  </si>
  <si>
    <t>https://doi.org/10.1016/j.engappai.2025.111783</t>
  </si>
  <si>
    <t>Manufacturing (8) + some technology relevance (1)</t>
  </si>
  <si>
    <t>cyber-physical system</t>
  </si>
  <si>
    <t>2025_balanced_adaptive_subspace_collaboration_for_mixed_pareto-lexicographic_multi-objective_problems_with_priority_levels</t>
  </si>
  <si>
    <t>Balanced Adaptive Subspace Collaboration for Mixed Pareto-Lexicographic Multi-Objective Problems with Priority Levels</t>
  </si>
  <si>
    <t>https://doi.org/10.1609/aaai.v39i25.34907</t>
  </si>
  <si>
    <t>Manufacturing (2) + some technology relevance (1)</t>
  </si>
  <si>
    <t>evolutionary algorithm, optimization</t>
  </si>
  <si>
    <t>2025_advancing_mass_customization_in_capital_goods_manufacturing_through_standard_man_hours_(smh)_modelling_and_esg_considerations</t>
  </si>
  <si>
    <t>Advancing Mass Customization in Capital Goods Manufacturing Through Standard Man Hours (SMH) Modelling and ESG Considerations</t>
  </si>
  <si>
    <t>https://doi.org/10.1007/978-3-031-77012-8_7</t>
  </si>
  <si>
    <t>Manufacturing (4) + some technology relevance (1)</t>
  </si>
  <si>
    <t>2025_a_dueling_dqn_framework_for_solving_multi-objective_flexible_job_shop_scheduling_with_urgent_job_insertions_and_machine_breakdowns</t>
  </si>
  <si>
    <t>A Dueling DQN Framework for Solving Multi-objective Flexible Job Shop Scheduling with Urgent Job Insertions and Machine Breakdowns</t>
  </si>
  <si>
    <t>https://doi.org/10.1007/978-981-96-9901-8_31</t>
  </si>
  <si>
    <t>Manufacturing (6) + some technology relevance (1)</t>
  </si>
  <si>
    <t>data mining, deep q-network, dqn, optimization, reinforcement learning</t>
  </si>
  <si>
    <t>2025_multi-agent_communication_for_dynamic_job-shop_scheduling:_a_robust_single-machine_scheduling_model_with_genetic_algorithm_optimization</t>
  </si>
  <si>
    <t>Multi-Agent Communication for Dynamic Job-Shop Scheduling: A Robust Single-Machine Scheduling Model With Genetic Algorithm Optimization</t>
  </si>
  <si>
    <t>https://doi.org/10.1109/ACCESS.2025.3569568</t>
  </si>
  <si>
    <t>Manufacturing (5) + some technology relevance (1)</t>
  </si>
  <si>
    <t>2025_influencing_factors_on_worker_task_sequencing_decisions_in_a_medium-sized_hydraulic_cylinder_manufacturer</t>
  </si>
  <si>
    <t>Influencing factors on worker task sequencing decisions in a medium-sized hydraulic cylinder manufacturer</t>
  </si>
  <si>
    <t>https://doi.org/10.1016/j.procs.2025.01.244</t>
  </si>
  <si>
    <t>2024_optimization_of_process,_knowledge,_and_manufacturing_management_in_customized_production:_a_graph-based_approach_for_manufacturing_planning</t>
  </si>
  <si>
    <t>Optimization of Process, Knowledge, and Manufacturing Management in Customized Production: A Graph-Based Approach for Manufacturing Planning</t>
  </si>
  <si>
    <t>https://doi.org/10.1016/j.ifacol.2024.09.103</t>
  </si>
  <si>
    <t>Manufacturing (10) + some technology relevance (1)</t>
  </si>
  <si>
    <t>2024_multi-enterprise_dynamic_task_scheduling_approach_for_industrial_internet-of-things</t>
  </si>
  <si>
    <t>Multi-enterprise Dynamic Task Scheduling Approach for Industrial Internet-of-things</t>
  </si>
  <si>
    <t>https://doi.org/10.23919/CCC63176.2024.10661681</t>
  </si>
  <si>
    <t>Manufacturing (14) + some technology relevance (1)</t>
  </si>
  <si>
    <t>2023_integrating_information,_financial,_and_material_flows_in_a_chemical_supply_chain</t>
  </si>
  <si>
    <t>Integrating information, financial, and material flows in a chemical supply chain</t>
  </si>
  <si>
    <t>https://doi.org/10.1016/j.compchemeng.2023.108363</t>
  </si>
  <si>
    <t>2023_a_decision_support_framework_for_sustainable_production_planning_of_paper_recycling_systems</t>
  </si>
  <si>
    <t>A decision support framework for sustainable production planning of paper recycling systems</t>
  </si>
  <si>
    <t>https://doi.org/10.1016/j.cie.2023.109500</t>
  </si>
  <si>
    <t>2023_optimizing_dispatching_strategies_for_semiconductor_manufacturing_facilities_with_genetic_programming</t>
  </si>
  <si>
    <t>Optimizing dispatching strategies for semiconductor manufacturing facilities with genetic programming</t>
  </si>
  <si>
    <t>Manufacturing (7) + some technology relevance (1)</t>
  </si>
  <si>
    <t>optimization, simulator</t>
  </si>
  <si>
    <t>2023_automatically_evolving_preference-based_dispatching_rules_for_multi-objective_job_shop_scheduling</t>
  </si>
  <si>
    <t>Automatically evolving preference-based dispatching rules for multi-objective job shop scheduling</t>
  </si>
  <si>
    <t>https://doi.org/10.1007/s10951-023-00783-9</t>
  </si>
  <si>
    <t>2023_toward_automated_algorithm_configuration_for_distributed_hybrid_flow_shop_scheduling_with_multiprocessor_tasks</t>
  </si>
  <si>
    <t>Toward automated algorithm configuration for distributed hybrid flow shop scheduling with multiprocessor tasks</t>
  </si>
  <si>
    <t>https://doi.org/10.1016/j.knosys.2023.110309</t>
  </si>
  <si>
    <t>markov decision process, mdp, metaheuristic, optimization, q-learning, reinforcement learning</t>
  </si>
  <si>
    <t>2023_batch_sizing_control_of_a_flow_shop_based_on_the_entropy-function_theorems</t>
  </si>
  <si>
    <t>Batch sizing control of a flow shop based on the entropy-function theorems</t>
  </si>
  <si>
    <t>https://doi.org/10.1016/j.eswa.2022.118958</t>
  </si>
  <si>
    <t>2023_a_genetic_algorithm_for_a_real-life_scheduling_problem_in_the_valve_industry</t>
  </si>
  <si>
    <t>A Genetic Algorithm for a Real-Life Scheduling Problem in the Valve Industry</t>
  </si>
  <si>
    <t>https://doi.org/10.1007/978-3-031-24457-5_55</t>
  </si>
  <si>
    <t>2023_multiple_size_cutting_stock_problem_in_steel_industry</t>
  </si>
  <si>
    <t>Multiple Size Cutting Stock Problem in Steel Industry</t>
  </si>
  <si>
    <t>https://doi.org/10.1007/978-3-031-24457-5_61</t>
  </si>
  <si>
    <t>2023_design_of_intelligent_decision_support_system_for_production_collaboration_in_flexible_packaging_printing_enterprises</t>
  </si>
  <si>
    <t>Design of Intelligent Decision Support System for Production Collaboration in Flexible Packaging Printing Enterprises</t>
  </si>
  <si>
    <t>https://doi.org/10.1007/978-981-19-9024-3_57</t>
  </si>
  <si>
    <t>2023_job_scheduling_problem_in_the_production_of_electrical_equipment</t>
  </si>
  <si>
    <t>Job Scheduling Problem in the Production of Electrical Equipment</t>
  </si>
  <si>
    <t>https://doi.org/10.1007/978-3-031-24457-5_65</t>
  </si>
  <si>
    <t>2022_an_application_of_a_decision_support_system_enabled_by_a_hybrid_algorithmic_framework_for_production_scheduling_in_an_sme_manufacturer</t>
  </si>
  <si>
    <t>An Application of a Decision Support System Enabled by a Hybrid Algorithmic Framework for Production Scheduling in an SME Manufacturer</t>
  </si>
  <si>
    <t>https://doi.org/10.3390/a15100372</t>
  </si>
  <si>
    <t>Manufacturing (9) + some technology relevance (1)</t>
  </si>
  <si>
    <t>2022_a_skill-_and_feature-based_approach_to_planning_process_monitoring_in_assembly_planning</t>
  </si>
  <si>
    <t>A skill- and feature-based approach to planning process monitoring in assembly planning</t>
  </si>
  <si>
    <t>https://doi.org/10.1007/s00170-022-09931-5</t>
  </si>
  <si>
    <t>2022_solving_scheduling_problems_with_integrated_online_sustainability_observation_using_heuristic_optimization</t>
  </si>
  <si>
    <t>Solving scheduling problems with integrated online sustainability observation using heuristic optimization</t>
  </si>
  <si>
    <t>https://doi.org/10.24425/bpasts.2022.143830</t>
  </si>
  <si>
    <t>genetic algorithm, metaheuristic, optimization, tabu search</t>
  </si>
  <si>
    <t>2022_additive_or_conventional_manufacturing_for_spare_parts:_effect_of_failure_rate_uncertainty_on_the_sourcing_option_decision</t>
  </si>
  <si>
    <t>Additive or Conventional Manufacturing for Spare Parts: Effect of Failure Rate Uncertainty on the Sourcing Option Decision</t>
  </si>
  <si>
    <t>https://doi.org/10.1016/j.ifacol.2022.09.543</t>
  </si>
  <si>
    <t>Manufacturing (11) + some technology relevance (1)</t>
  </si>
  <si>
    <t>2021_predicting_performance_indicators_with_anns_for_ai-based_online_scheduling_in_dynamically_interconnected_assembly_systems</t>
  </si>
  <si>
    <t>Predicting performance indicators with ANNs for AI-based online scheduling in dynamically interconnected assembly systems</t>
  </si>
  <si>
    <t>https://doi.org/10.1007/s11740-021-01057-z</t>
  </si>
  <si>
    <t>2021_a_decision_support_system_to_operationalize_customer-centric_sustainability</t>
  </si>
  <si>
    <t>A Decision Support System to Operationalize Customer-Centric Sustainability</t>
  </si>
  <si>
    <t>https://doi.org/10.1016/j.procir.2021.10.019</t>
  </si>
  <si>
    <t>2021_fms_scheduling_integration_for_mass_customization</t>
  </si>
  <si>
    <t>FMS Scheduling Integration for Mass Customization</t>
  </si>
  <si>
    <t>https://doi.org/10.1007/978-3-030-85902-2_54</t>
  </si>
  <si>
    <t>2020_bim-based_decision_support_system_for_automated_manufacturability_check_of_wood_frame_assemblies</t>
  </si>
  <si>
    <t>BIM-based decision support system for automated manufacturability check of wood frame assemblies</t>
  </si>
  <si>
    <t>https://doi.org/10.1016/j.autcon.2019.103065</t>
  </si>
  <si>
    <t>2020_product_platforms_design,_selection_and_customisation_in_high-variety_manufacturing</t>
  </si>
  <si>
    <t>Product platforms design, selection and customisation in high-variety manufacturing</t>
  </si>
  <si>
    <t>https://doi.org/10.1080/00207543.2019.1602745</t>
  </si>
  <si>
    <t>2020_creation_of_digital_production_twins_for_the_optimization_of_value_creation_in_single_and_small_batch_production</t>
  </si>
  <si>
    <t>Creation of digital production twins for the optimization of value creation in single and small batch production</t>
  </si>
  <si>
    <t>https://doi.org/10.1016/j.procir.2020.04.125</t>
  </si>
  <si>
    <t>2020_mathematical_modeling_and_a_hybridized_bacterial_foraging_optimization_algorithm_for_the_flexible_job-shop_scheduling_problem_with_sequencing_flexibility</t>
  </si>
  <si>
    <t>Mathematical modeling and a hybridized bacterial foraging optimization algorithm for the flexible job-shop scheduling problem with sequencing flexibility</t>
  </si>
  <si>
    <t>https://doi.org/10.1016/j.jmsy.2019.11.010</t>
  </si>
  <si>
    <t>optimization, simulated annealing</t>
  </si>
  <si>
    <t>2019_a_knee-point_driven_multi-objective_evolutionary_algorithm_for_flexible_job_shop_scheduling</t>
  </si>
  <si>
    <t>A Knee-Point Driven Multi-objective Evolutionary Algorithm for Flexible Job Shop Scheduling</t>
  </si>
  <si>
    <t>https://doi.org/10.1109/SSCI44817.2019.9002654</t>
  </si>
  <si>
    <t>2019_decentralized_line_equipment_detection_and_production_control_by_multi-agent_technology</t>
  </si>
  <si>
    <t>Decentralized line equipment detection and production control by multi-agent technology</t>
  </si>
  <si>
    <t>https://doi.org/10.1109/IECON.2019.8926900</t>
  </si>
  <si>
    <t>2019_a_decision_support_system_for_a_critical_time_constraint_tunnel</t>
  </si>
  <si>
    <t>A decision support system for a critical time constraint tunnel</t>
  </si>
  <si>
    <t>https://doi.org/10.1109/ASMC.2019.8791812</t>
  </si>
  <si>
    <t>2018_integrating_simulation_modelling_and_multi_criteria_decision_making_for_customer_focused_scheduling_in_job_shops</t>
  </si>
  <si>
    <t>Integrating simulation modelling and multi criteria decision making for customer focused scheduling in job shops</t>
  </si>
  <si>
    <t>https://doi.org/10.1016/j.simpat.2019.101990</t>
  </si>
  <si>
    <t>2018_a_multi-purpose_operational_capacity_and_production_planning_tool</t>
  </si>
  <si>
    <t>A multi-purpose operational capacity and production planning tool</t>
  </si>
  <si>
    <t>https://doi.org/10.1109/ASMC.2018.8373203</t>
  </si>
  <si>
    <t>2018_energy-efficient_concurrent_assessment_of_industrial_robot_operation_based_on_association_rules_in_manufacturing</t>
  </si>
  <si>
    <t>Energy-efficient concurrent assessment of industrial robot operation based on association rules in manufacturing</t>
  </si>
  <si>
    <t>https://doi.org/10.1109/ICNSC.2018.8361334</t>
  </si>
  <si>
    <t>Manufacturing (17) + some technology relevance (1)</t>
  </si>
  <si>
    <t>Towards a sustainable, human-centric and resilient European industry</t>
  </si>
  <si>
    <r>
      <rPr>
        <color rgb="FF1155CC"/>
        <u/>
      </rPr>
      <t>https://data.europa.eu/doi/10.2777/308407</t>
    </r>
  </si>
  <si>
    <t>YesBut</t>
  </si>
  <si>
    <t>All</t>
  </si>
  <si>
    <t>European Union</t>
  </si>
  <si>
    <t>Manufacturing</t>
  </si>
  <si>
    <t>Used to better argue for resilience as a driver of decision support in SC, but in principle you can use it on all levels. I just found quite a few articles on resilience so I wanted to give some background knowledge</t>
  </si>
  <si>
    <t xml:space="preserve">This paper does not count towards total included papers. </t>
  </si>
  <si>
    <t>Section name</t>
  </si>
  <si>
    <t>Authors</t>
  </si>
  <si>
    <t>Introduction of findings RQ4</t>
  </si>
  <si>
    <t>Mikkel</t>
  </si>
  <si>
    <t>Introduction of findings RQ2: What process level decision support tries to achieve, and how it is measured?</t>
  </si>
  <si>
    <t>Rasmus</t>
  </si>
  <si>
    <t>Related works</t>
  </si>
  <si>
    <t>Malthe</t>
  </si>
  <si>
    <t>Introduction of decision support in HMLV at the enterprise or Supply chain level (write+reference)+ cleaning RQ2 section</t>
  </si>
  <si>
    <t>Samra</t>
  </si>
  <si>
    <t>Cited in paper</t>
  </si>
  <si>
    <t>Theme Group</t>
  </si>
  <si>
    <t>Review Scope</t>
  </si>
  <si>
    <t>Papers Reviewed</t>
  </si>
  <si>
    <t>Manufacturing Context</t>
  </si>
  <si>
    <t>DSS Focus</t>
  </si>
  <si>
    <t>Methods Covered</t>
  </si>
  <si>
    <t>Mfg Levels (L0-L3)</t>
  </si>
  <si>
    <t>Key Contribution</t>
  </si>
  <si>
    <t>Gap relative to our survey</t>
  </si>
  <si>
    <t>Notes</t>
  </si>
  <si>
    <t>Abstract</t>
  </si>
  <si>
    <t>Gan2023Review</t>
  </si>
  <si>
    <t>A Review of the High-Mix, Low-Volume Manufacturing Industry</t>
  </si>
  <si>
    <t>https://doi.org/10.3390/app13031687</t>
  </si>
  <si>
    <t>HMLV broad</t>
  </si>
  <si>
    <t>Broad review of HMLV production research from 2000-2022</t>
  </si>
  <si>
    <t>HMLV</t>
  </si>
  <si>
    <t>Production planning, scheduling, Industry 4.0</t>
  </si>
  <si>
    <t>General (not method-specific)</t>
  </si>
  <si>
    <t>L0-L3</t>
  </si>
  <si>
    <t>Comprehensive mapping of HMLV research landscape, identifies production planning as central research area</t>
  </si>
  <si>
    <t>Does not focus specifically on DSS methods or technologies; no systematic RQ-based analysis of decision support</t>
  </si>
  <si>
    <t>Closest to our survey. Need to add to bib.</t>
  </si>
  <si>
    <t>The high-mix, low-volume (HMLV) industry has seen growth in the need for product customisation with research to increase manufacturers’ flexibility for the variation in market demands. This paper reviews 152 documents from 2000 to October 2022, discussing work related to HMLV production. From an industrial perspective, this paper analyses the industries with HMLV, revealing production sectors and research areas, categorising the developed work, type of validation, and applications. The results show that most work is not industry-specific, with production planning as the central aspect of the research. While other parts of the production processes and value chain received less attention, the semiconductor and electronics industries are the two most researched with substantial validation, leaving gaps in other industries. Earlier work primarily focused on the theoretical development of production planning; however, the development of Industry 4.0 technologies advocates decision support systems for reactive production planning. This period sees the rise in robotics and automation, with improved robotics capability and human—robot collaboration. Assembly assistance systems were developed for manual production to aid operators in managing the variety of information. This paper serves as a reference for the HMLV manufacturing industry in a structured manner while identifying potential for future research in this field.</t>
  </si>
  <si>
    <t>Tahmina2023Survey</t>
  </si>
  <si>
    <t>A Survey of Smart Manufacturing for High-Mix Low-Volume Production in Defense and Aerospace Industries</t>
  </si>
  <si>
    <t>https://doi.org/10.1007/978-3-031-18326-3_24</t>
  </si>
  <si>
    <t>Smart manufacturing for HMLV in defense and aerospace</t>
  </si>
  <si>
    <t>HMLV (defense, aerospace)</t>
  </si>
  <si>
    <t>Process planning, flexible assembly, smart manufacturing</t>
  </si>
  <si>
    <t>Robotics, additive manufacturing, data-driven decision making</t>
  </si>
  <si>
    <t>L0-L2</t>
  </si>
  <si>
    <t>Reviews system-level and process-level flexibility solutions for HMLV in defense/aerospace</t>
  </si>
  <si>
    <t>Sector-specific (defense/aerospace); does not systematically review DSS approaches or scheduling methods</t>
  </si>
  <si>
    <t>Need to add to bib.</t>
  </si>
  <si>
    <t>Defense and aerospace industries usually possess unique high-mix low-volume production characteristics. This uniqueness generally calls for pro- hibitive production costs and long production lead-time. One of the major trends in advanced, smart manufacturing is to be more responsive and better readiness while ensuring the same or higher production quality and lower cost. This study reviews the state-of-the-art manufacturing technologies to solve these issues and previews two levels of flexibility, i.e., system and process, that could potentially reduce the costs while increasing the production volume in such a scenario. The main contribution of the work includes an assessment of the current solutions for HMLV scenarios, especially within the defense of aerospace sectors, and a survey of the current and potential future practices focusing on smart production process planning and flexible assembly plan driven by emerging techniques.</t>
  </si>
  <si>
    <t>Wang2025RLlitreview</t>
  </si>
  <si>
    <t>A literature review of reinforcement learning methods applied to job-shop scheduling problems</t>
  </si>
  <si>
    <t>https://doi.org/10.1016/j.cor.2024.106929</t>
  </si>
  <si>
    <t>RL for scheduling</t>
  </si>
  <si>
    <t>RL methods for JSP, 2016-2023</t>
  </si>
  <si>
    <t>Job-shop scheduling (general)</t>
  </si>
  <si>
    <t>RL (single-agent, multi-agent, upgrade strategies)</t>
  </si>
  <si>
    <t>Systematic analysis of RL for JSP; identifies curse of dimensionality, generalization, and training time as key challenges</t>
  </si>
  <si>
    <t>Focuses on RL methods only; no HMLV context; does not cover non-scheduling DSS</t>
  </si>
  <si>
    <t>Computers &amp; Operations Research. Need to add to bib.</t>
  </si>
  <si>
    <t>The design of personalized onboard itineraries for multiple cruise passengers plays an important role in improving the tourism experience on cruise. Different from itinerary planning for city traveling, the venues on cruise suffer from strict capacity and time-window constraints due to the safety requirements, which results in the coupling effects between itineraries of multiple passengers. This study constructs an optimization model to balancing the gap between passengers while maximizing passenger benefits, develops an Adaptive Large Neighborhood Search algorithm based on Improved destruction-repair operators (IOALNS) to solve multi-passenger itinerary planning. Extensive analyses are performed to demonstrate the performance advantages of the IOALNS algorithm in solving instances with varying sizes. Finally, the test results of cruise passenger instances show that compared with existing multi-passenger travel planning algorithms, the proposed algorithm can improve passenger efficiency by at least 9.98% and reduce computation time by more than 50%. These effectively improve passenger satisfaction and operational efficiency in the cruise industry.</t>
  </si>
  <si>
    <t>Ngwu2025Reinforcement</t>
  </si>
  <si>
    <t>https://doi.org/10.1007/s10845-025-02585-6</t>
  </si>
  <si>
    <t>AI-driven approaches for dynamic JSS</t>
  </si>
  <si>
    <t>Dynamic job-shop scheduling</t>
  </si>
  <si>
    <t>Dynamic scheduling</t>
  </si>
  <si>
    <t>Evolutionary heuristics, ML, RL</t>
  </si>
  <si>
    <t>Reviews integration of AI/RL in dynamic JSS; assesses effectiveness under real-world manufacturing conditions</t>
  </si>
  <si>
    <t>Limited to dynamic JSP; no HMLV framing; does not cover L0/L1/L3 or non-scheduling DSS</t>
  </si>
  <si>
    <t>Already in bib.</t>
  </si>
  <si>
    <t>Dynamic job shop scheduling (DJSS) demands real-time adaptability under unpredictable conditions such as sudden job arrivals, equipment failures, and fluctuating demands. Traditional scheduling approaches—though foundational—often fall short when faced with rapid changes and high computational complexity. Recent developments in artificial intelligence (AI), especially reinforcement learning (RL), offer powerful alternatives by continuously refining scheduling policies through interaction with live shop-floor data. This review systematically examines AI-driven scheduling methods, highlighting how evolutionary heuristics, advanced machine learning, and RL-based algorithms each address the demands of modern manufacturing. Emphasis is placed on RL’s capacity to cope with large state spaces, handle continuous or discrete control, and integrate domain heuristics for more robust real-time decision-making. Despite these advances, challenges remain in algorithm scalability, interpretability, data availability, and standardization of performance metrics. Future directions point toward leveraging digital twins, quantum computing, hybrid models, and explainable RL to ensure more resilient, transparent, and scalable solutions. By illuminating both current achievements and persistent gaps, this review underscores the transformative potential of RL in dynamic scheduling and highlights actionable steps for broader industrial adoption.</t>
  </si>
  <si>
    <t>Chen2025DRLjobshop</t>
  </si>
  <si>
    <t>Deep reinforcement learning for job shop scheduling problems: A comprehensive literature review</t>
  </si>
  <si>
    <t>https://doi.org/10.1016/j.knosys.2025.113633</t>
  </si>
  <si>
    <t>DRL for JSP, 2019-2024</t>
  </si>
  <si>
    <t>Job-shop scheduling</t>
  </si>
  <si>
    <t>DRL (state design, action design, neural network selection)</t>
  </si>
  <si>
    <t>Detailed analysis of DRL design choices (state features, actions, network architectures) for JSP</t>
  </si>
  <si>
    <t>Method-focused; no manufacturing context or HMLV framing; does not cover non-DRL methods</t>
  </si>
  <si>
    <t>Information Sciences 2025. Need to add to bib.</t>
  </si>
  <si>
    <t>Deep reinforcement learning (DRL), which integrates the strengths of reinforcement learning (RL) with deep neural networks, has garnered significant attention in the context of job shop scheduling problems (JSP), flexible job shop scheduling problems (FJSP), and their various extensions. This paper provides a comprehensive review and critical commentary on recent advancements in the application of DRL to JSP, FJSP, and related variants. It summarizes the design approaches for state and action spaces, with a focus on the selection of neural network architectures such as multi-layer perceptron (MLP), convolutional neural network (CNN), recurrent neural network (RNN), attention mechanisms, Transformer, and graph neural network (GNN) for effective state feature extraction. Additionally, the paper introduces the concept of the alignment model (e.g., pointer network) for end-to-end learning. Furthermore, the paper categorizes benchmark-based training into three main approaches: instance-by-instance, instance class, and size-agnostic, and provides a comparative analysis of results from classical JSP studies. Finally, it discusses future research directions and emerging trends. This review serves as a valuable reference for further research on DRL-based production scheduling problems, particularly in the selection of neural network architectures, design of state and action spaces, definition of RL methods, and experimental setups.</t>
  </si>
  <si>
    <t>DalleMura2025GNN</t>
  </si>
  <si>
    <t>Graph neural networks for job shop scheduling problems: A survey</t>
  </si>
  <si>
    <t>https://doi.org/10.1016/j.cor.2024.106914</t>
  </si>
  <si>
    <t>GNN methods for JSP</t>
  </si>
  <si>
    <t>GNN, GNN+RL, GNN+MARL</t>
  </si>
  <si>
    <t>Comprehensive survey of GNN architectures for JSP representation and solution</t>
  </si>
  <si>
    <t>Technology-specific (GNN only); no HMLV or manufacturing-level analysis</t>
  </si>
  <si>
    <t>Job shop scheduling problems (JSSPs) represent a critical and challenging class of combinatorial optimization problems. Recent years have witnessed a rapid increase in the application of graph neural networks (GNNs) to solve JSSPs, albeit lacking a systematic survey of the relevant literature. This paper aims to thoroughly review prevailing GNN methods for different types of JSSPs and the closely related flow-shop scheduling problems (FSPs), especially those leveraging deep reinforcement learning (DRL). We begin by presenting the graph representations of various JSSPs, followed by an introduction to the most commonly used GNN architectures. We then review current GNN-based methods for each problem type, highlighting key technical elements such as graph representations, GNN architectures, GNN tasks, and training algorithms. Finally, we summarize and analyze the advantages and limitations of GNNs in solving JSSPs and provide potential future research opportunities. We hope this survey can motivate and inspire innovative approaches for more powerful GNN-based approaches in tackling JSSPs and other scheduling problems.</t>
  </si>
  <si>
    <t>Kasie2017DSS</t>
  </si>
  <si>
    <t>Decision support systems in manufacturing: a survey and future trends</t>
  </si>
  <si>
    <t>https://doi.org/10.1108/JM2-02-2016-0015</t>
  </si>
  <si>
    <t>DSS in manufacturing</t>
  </si>
  <si>
    <t>DSS in manufacturing broadly</t>
  </si>
  <si>
    <t>General manufacturing</t>
  </si>
  <si>
    <t>General DSS (AI, DES, knowledge-based)</t>
  </si>
  <si>
    <t>AI, DES, expert systems</t>
  </si>
  <si>
    <t>Proposes theoretical DSS framework integrating AI and DES; surveys DSS landscape in manufacturing</t>
  </si>
  <si>
    <t>Older (2017); does not cover RL-based methods; no HMLV focus</t>
  </si>
  <si>
    <t>Foundational DSS manufacturing review. Need to add to bib.</t>
  </si>
  <si>
    <t>Purpose – This paper aims to propose a theoretical decision support framework, which integrates artificial intelligence (AI), discrete-event simulation (DES) and database management technologies so as to determine the steady state flow of items (e.g. fixtures, jigs, tools, etc.) in manufacturing. Design/methodology/approach – The existing literature was carefully reviewed to address the state of the arts in decision support systems (DSS), the shortcomings of pure simulation based and pure AI-based DSS. A conceptual example is illustrated to show the integrated application of AI, simulation and database components of the proposed DSS framework. Findings – Recent DSS studies have revealed the limitations of pure simulation-based and pure AI-based DSS. A new DSS framework is required in manufacturing to address these limitations, taking into account the problems of flowing items. Research limitations/implications – The theoretical DSS framework is proposed using simple rules and equations. This implies that it is not complex for software development and implementation. Practical data are not presented in this paper. A real DSS will be developed using the proposed theoretical framework and realistic results will be presented in the near future. Originality/value – The proposed theoretical framework reveals how the integrated components of DSS can work together in manufacturing in order to determine the stable flow of items in a specific production period. Especially, the integrated performance of case-based reasoning (CBR) and DES is conceptually illustrated.</t>
  </si>
  <si>
    <t>Meilanitasari2021Review</t>
  </si>
  <si>
    <t>A Review of Prediction and Optimization for Sequence-Driven Scheduling in Job Shop Flexible Manufacturing Systems</t>
  </si>
  <si>
    <t>https://doi.org/10.3390/pr9081391</t>
  </si>
  <si>
    <t>Domain-specific</t>
  </si>
  <si>
    <t>Scheduling in job-shop FMS</t>
  </si>
  <si>
    <t>Job-shop FMS</t>
  </si>
  <si>
    <t>Scheduling and sequencing</t>
  </si>
  <si>
    <t>Prediction and optimization approaches</t>
  </si>
  <si>
    <t>Reviews scheduling methods under uncertainty (variable processing times, breakdowns, demand fluctuations)</t>
  </si>
  <si>
    <t>FMS-specific; does not frame as HMLV; limited coverage of RL/AI methods</t>
  </si>
  <si>
    <t>This article reviews the state of the art of prediction and optimization for sequence-driven scheduling in job shop flexible manufacturing systems (JS-FMSs). The objectives of the article are to (1) analyze the literature related to algorithms for sequencing and scheduling, considering domain, method, objective, sequence type, and uncertainty; and to (2) examine current challenges and future directions to promote the feasibility and usability of the relevant research. Current challenges are summarized as follows: less consideration of uncertainty factors causes a gap between the reality and the derived schedules; the use of stationary dispatching rules is limited to reflect the dynamics and flexibility; production-level scheduling is restricted to increase responsiveness owing to product-level uncertainty; and optimization is more focused, while prediction is used mostly for verification and validation, although prediction-then-optimization is the standard stream in data analytics. In future research, the degree of uncertainty should be quantified and modeled explicitly; both holistic and granular algorithms should be considered; product sequences should be incorporated; and sequence learning should be applied to implement the prediction-then-optimization stream. This would enable us to derive data-learned prediction and optimization models that output accurate and precise schedules; foresee individual product locations; and respond rapidly to dynamic and frequent changes in JS-FMSs.</t>
  </si>
  <si>
    <t>Johansen2021Role</t>
  </si>
  <si>
    <t>The role of automation in complexities of high-mix in low-volume production - a literature review</t>
  </si>
  <si>
    <t>https://doi.org/10.1016/j.procir.2021.11.245</t>
  </si>
  <si>
    <t>Automation and HRC in HMLV</t>
  </si>
  <si>
    <t>Automation, human-robot collaboration</t>
  </si>
  <si>
    <t>Robotics, automation</t>
  </si>
  <si>
    <t>L1-L2</t>
  </si>
  <si>
    <t>Reviews role of automation in managing HMLV complexity</t>
  </si>
  <si>
    <t>Focused on automation/HRC, not on DSS or scheduling optimization</t>
  </si>
  <si>
    <t>The trend in manufacturing is towards increased automation. This in combination with more customized products challenge the production systems to manage assembly of high mix in low volume (HMLV). The industry constantly explores innovative solutions to deal with this task in a more efficient way. This is a literature review over the role of automation whereby it can streamline assembly complexities of high mix in low volume productions. The paper explores how automation-based solutions within the assembly process could assist product customization efforts in the mid-sized segment.</t>
  </si>
  <si>
    <t>Exclusion Stage</t>
  </si>
  <si>
    <t>Reason for Exclusion</t>
  </si>
  <si>
    <t>discard from snowball</t>
  </si>
  <si>
    <t>discard from first search</t>
  </si>
  <si>
    <t>refference/citation scripts discard</t>
  </si>
  <si>
    <t>Total Title/Abstract</t>
  </si>
  <si>
    <t>Paper review</t>
  </si>
  <si>
    <t>Not recieved</t>
  </si>
  <si>
    <t>Optimization of reverse logistics network for electric vehicle batteries considering decommissioning forecast and carbon emission</t>
  </si>
  <si>
    <t>Should not be included</t>
  </si>
  <si>
    <t>Include this?</t>
  </si>
  <si>
    <t>Not snowball</t>
  </si>
  <si>
    <t>duplicates</t>
  </si>
  <si>
    <t>Title/Abstract</t>
  </si>
  <si>
    <t>review paper</t>
  </si>
  <si>
    <t>paper review</t>
  </si>
  <si>
    <t>shallow</t>
  </si>
  <si>
    <t>Total</t>
  </si>
  <si>
    <t>Include this??</t>
  </si>
  <si>
    <t>Snowball</t>
  </si>
  <si>
    <t>Inculde this ??</t>
  </si>
  <si>
    <t>Investigating The Engineering Design Approaches for Cutting Edge Technology Adoption in Transport Manufacturing</t>
  </si>
  <si>
    <t>Should probably not be indcluded</t>
  </si>
  <si>
    <t>A systematic review of decision tools for process selection and performance improvement in manufacturing</t>
  </si>
  <si>
    <t>Can smart manufacturing benchmark the complex landscape of global success?</t>
  </si>
  <si>
    <t>Included?</t>
  </si>
  <si>
    <t>Decision Support Within Digital Twins in Manufacturing Ecosystems: A Review</t>
  </si>
  <si>
    <t>review paper Should not be included (Potential releated work)</t>
  </si>
  <si>
    <t>Integrating Production Planning in Collaborative Manufacturing: Systematic Literature Review, and Future Research Direction</t>
  </si>
  <si>
    <t>Abstract, Introduction, quick review of rest of paper, length</t>
  </si>
  <si>
    <t>Not relevant / exclussion criteria</t>
  </si>
  <si>
    <t>Full paper requested</t>
  </si>
  <si>
    <t>Poor quality</t>
  </si>
  <si>
    <t>Theoretical context</t>
  </si>
  <si>
    <t>Not open access (paid access needed).</t>
  </si>
  <si>
    <t>Not relevant for this survey</t>
  </si>
  <si>
    <t>Shallow paper</t>
  </si>
  <si>
    <r>
      <rPr>
        <rFont val="Calibri"/>
        <color rgb="FF000000"/>
        <sz val="11.0"/>
      </rPr>
      <t xml:space="preserve">Not relevant / exclussion </t>
    </r>
    <r>
      <rPr>
        <rFont val="Calibri"/>
        <color rgb="FF1155CC"/>
        <sz val="11.0"/>
        <u/>
      </rPr>
      <t>criteria. No</t>
    </r>
    <r>
      <rPr>
        <rFont val="Calibri"/>
        <color rgb="FF000000"/>
        <sz val="11.0"/>
      </rPr>
      <t>, conceptual. They do not implement the proposed methodology --&gt; No evaluation their findings/approach only in terms of expert questinaries.</t>
    </r>
  </si>
  <si>
    <t>Not relevant / exclussion criteria. Not in the scope, more conceptual/theoretical than technical. The paper focuses on managerial, business, and policy aspects + the internal evaluation.</t>
  </si>
  <si>
    <t>Not relevant / exclussion criteria. Very company specific. The state of the company does not reflec moderm production manufucatures digitalization levels.</t>
  </si>
  <si>
    <t>review paper . Could be used for the survey in related work.</t>
  </si>
  <si>
    <t>review paper Could be utilized in the related work seciton.</t>
  </si>
  <si>
    <t>Not relevant / exclussion criteria This is an empirical industrial case study evaluating digital transformation and sustainability practices in an unnamed marine manufacturing Engineer-to-Order company.</t>
  </si>
  <si>
    <t>Not relevant / exclussion criteria.</t>
  </si>
  <si>
    <t>Review paper</t>
  </si>
  <si>
    <t>Not in the scope</t>
  </si>
  <si>
    <t>Not relevant / exclussion criteria Theoretical</t>
  </si>
  <si>
    <t>Not relevant / exclussion criteria Not in the scope</t>
  </si>
  <si>
    <t>Not relevant / exclussion criteria Not relevant in its current state</t>
  </si>
  <si>
    <t>Not relevant / exclussion criteria Low HMLV relevant, no DS relevance</t>
  </si>
  <si>
    <t>Unable to access the paper</t>
  </si>
  <si>
    <t>Not relevant / exclussion criteria No decision support</t>
  </si>
  <si>
    <t>Can't find the paper</t>
  </si>
  <si>
    <t>Not relevant / exclussion criteria Not about decision support</t>
  </si>
  <si>
    <t>Not relevant / exclussion criteria Neither about HMLV or decision support</t>
  </si>
  <si>
    <t>Not relevant / exclussion criteria Conceptual model</t>
  </si>
  <si>
    <t>Not relevant / exclussion criteria The Article is quite interesting but I don't think energy optimisation is within our scope.</t>
  </si>
  <si>
    <t>Access Request</t>
  </si>
  <si>
    <t>Not relevant / exclussion criteria Out of scope imo, they focus on resource allocation for IIoT and edge devices, not really decision-making related, at least in the sense that I feel is in scope</t>
  </si>
  <si>
    <t>I don't like the article, but you can argue for it bringing good results in terms of how LLMs perform in JSSP</t>
  </si>
  <si>
    <t>Not relevant / exclussion criteria Too Specific, develops decision support specifically for the textile dyeing transition from mass production to smart manufacturing</t>
  </si>
  <si>
    <t>Shallow It's simply not interesting. Is excel than PowerBI, KNIME etc. for this vague task to generate "wisdom for sustainable manufacturing"</t>
  </si>
  <si>
    <t>Not relevant / exclussion criteria Not related to Decision Making, I'm actually not sure what it's contribution is</t>
  </si>
  <si>
    <t>Not oppen access</t>
  </si>
  <si>
    <t>Energy Saving in Single-Machine Scheduling Management: An Improved Multi-Objective Model Based on Discrete Artificial Bee Colony Algorithm</t>
  </si>
  <si>
    <t>Not relevant / exclussion criteria Not about decision support or HMLV</t>
  </si>
  <si>
    <t>Process Simulation and Optimization of Arc Welding Robot Workstation Based on Digital Twin</t>
  </si>
  <si>
    <t>Human-Centered Solutions Based on Automated Visual Inspection System</t>
  </si>
  <si>
    <t>INSTRUCTING COLLABORATIVE ROBOTS USING LARGE LANGUAGE MODELS FOR HUMAN-ROBOT COLLABORATION</t>
  </si>
  <si>
    <t>Machine-Level Collaborative Manufacturing and Scheduling for Heterogeneous Plants</t>
  </si>
  <si>
    <t>Safety-Driven Deep Reinforcement Learning Framework for Cobots: A Sim2Real Approach</t>
  </si>
  <si>
    <t>Smart Perception for Situation Awareness in Robotic Manipulation Tasks</t>
  </si>
  <si>
    <t>An integrated mixed reality system for safety-aware human-robot collaboration using deep learning and digital twin generation</t>
  </si>
  <si>
    <t>AR-assisted digital twin-enabled robot collaborative manufacturing system with human-in-the-loop</t>
  </si>
  <si>
    <t>Cloud-Based Digital Twin for Industrial Robotics</t>
  </si>
  <si>
    <t>Knowledge-based cyber-physical systems for assembly automation</t>
  </si>
  <si>
    <t>Knowledge-based instruction of manipulation tasks for industrial robotics</t>
  </si>
  <si>
    <t>Machine Learning based Digital Twin Framework for Production Optimization in Petrochemical Industry</t>
  </si>
  <si>
    <t>Machine vision systems for industrial quality control inspections</t>
  </si>
  <si>
    <t>Motion Planning for Human-Robot Collaboration based on Reinforcement Learning</t>
  </si>
  <si>
    <t>Neural reactive path planning with Riemannian motion policies for robotic silicone sealing</t>
  </si>
  <si>
    <t>Pick and place operations in logistics using a mobile manipulator controlled with deep reinforcement learning</t>
  </si>
  <si>
    <t>Process-oriented Task Assignment for Assembly Processes with Human-robot Interaction</t>
  </si>
  <si>
    <t>Uncertainty evaluation in the prediction of defects and costs for quality inspection planning in low-volume productions</t>
  </si>
  <si>
    <t>SaRA: A Tool for Safe Human-Robot Coexistence and Collaboration through Reachability Analysis</t>
  </si>
  <si>
    <t>Shallow</t>
  </si>
  <si>
    <t>Access requested</t>
  </si>
  <si>
    <t>Not relevant / exclussion criteria Static optimisation, nothing new compared to other methods, focused mainly on algorithm</t>
  </si>
  <si>
    <t>Not relevant / exclussion criteria It is not within the scope of operational/tactical levels, this is fully economical paper concerning the budget</t>
  </si>
  <si>
    <t xml:space="preserve">Not relevant / exclussion criteria Fully algorithmic paper without any focus on HMLV </t>
  </si>
  <si>
    <t>duplicate</t>
  </si>
  <si>
    <t>Production scheduling optimization of shirt component module based on standard man-hour prediction</t>
  </si>
  <si>
    <t>A Hybrid MOO, MCGDM, and Sentiment Analysis Methodologies for Enhancing Regional Expansion Planning: A Case Study Luwu - Indonesia</t>
  </si>
  <si>
    <t>Strategic Planning</t>
  </si>
  <si>
    <t>Adaptive social manufacturing: a human-centric, resilient, and sustainable framework for advancing Industry 5.0</t>
  </si>
  <si>
    <t>Strategic planning</t>
  </si>
  <si>
    <t>Agentic Workflows Generation Based on Meta-Cognitive Chain-of-Thought Guided Monte Carlo Tree Search</t>
  </si>
  <si>
    <t>An intuitionistic fuzzy approach to assessing the barriers to quality 4.0 adoption in the footwear manufacturing industry: Implications for sustainability in emerging economy</t>
  </si>
  <si>
    <t>Barrier analysis, no DSS model or scheduling</t>
  </si>
  <si>
    <t>Assessing industry 4.0 readiness: a TOE-P framework for the sugar industry in developing economies</t>
  </si>
  <si>
    <t>Readiness framework; no operational DSS</t>
  </si>
  <si>
    <t>Automating the static and seismic design of 2-D multistorey reinforced concrete structures by using Monte Carlo Tree Search and Genetic Algorithm</t>
  </si>
  <si>
    <t>RL framing</t>
  </si>
  <si>
    <t>Automated conceptual design of mechanisms based on Thompson Sampling and Monte Carlo Tree Search</t>
  </si>
  <si>
    <t>AI-based design synthesis; not production scheduling</t>
  </si>
  <si>
    <t>From human-related to human-centric: A review of shop floor scheduling problem under Industry 5.0</t>
  </si>
  <si>
    <t>Human-centric scheduling review paper</t>
  </si>
  <si>
    <t>Intelligent workload optimisation based on a protocol-fused cloud robotics physical framework with integrated multi-sensors</t>
  </si>
  <si>
    <t>Modelling and computational simulation of operations and queue systems in a supermarket</t>
  </si>
  <si>
    <t>Multi-channel real-time access with starvation avoidance for heterogeneous data in smart factories</t>
  </si>
  <si>
    <t>Non-Cyclic Scheduling of Single-Armed Cluster Tools for Processing Two Wafer Types</t>
  </si>
  <si>
    <t>Optimizing integrated distributed flexible job-shop scheduling and customer order delivery</t>
  </si>
  <si>
    <t>Optimizing printing processes with MCTS</t>
  </si>
  <si>
    <t>Preliminary Monitoring and Observation of Fuel Cell Temperature Characteristics by Using NiCr-NiSi Thin-Film Thermocouple</t>
  </si>
  <si>
    <t>Product Design and Development in the Digital Era</t>
  </si>
  <si>
    <t>Scheduling Cluster Tools for Concurrent Processing: Deep Reinforcement Learning with Adaptive Search</t>
  </si>
  <si>
    <t>Scheduling Single-Arm Cluster Tools With an Equipment Front-End Module Subject to Wafer Residency Time Constraints</t>
  </si>
  <si>
    <t>Simulation-Based Knowledge-Driven Optimization for Efficient Production Sequencing in Hybrid Flow Shops</t>
  </si>
  <si>
    <t>Transfer line balancing problem: A comprehensive review, classification, and research avenues</t>
  </si>
  <si>
    <t>Virtual reconstruction-based digital twin shop floor: theoretical methodology, industrial software, and applications</t>
  </si>
  <si>
    <t>A Toolchain for Automated Control and Simulation of Robot Teams in Carbon-Fiber-Reinforced Polymers Production</t>
  </si>
  <si>
    <t>A framework for data-driven decision making in advanced manufacturing systems: Development and implementation</t>
  </si>
  <si>
    <t>A structured digital twinning approach to improve decision-making in manufacturing SMEs</t>
  </si>
  <si>
    <t>Application of Autonomous Mobile Robot as a Substitute for Human Factor in Order to Increase Efficiency and Safety in a Company</t>
  </si>
  <si>
    <t>Augmenting Monte Carlo Tree Search for managing service level agreements</t>
  </si>
  <si>
    <t>Balancing and Scheduling of Sustainable Flexible Transfer Lines</t>
  </si>
  <si>
    <t>Design and Implementation of Prefabricated Box Flexible Loading System Based on Cooperative Robot</t>
  </si>
  <si>
    <t>Ensuring Green Production with less CO2 Emission with a Digital Twin based Scheduling System</t>
  </si>
  <si>
    <t>Fuzzy modeling and characterization of mechanical and biological properties of a selective laser melting shape: A comprehensive study</t>
  </si>
  <si>
    <t>Interpretability of rectangle packing solutions with Monte Carlo tree search</t>
  </si>
  <si>
    <t>Performance Analysis of Multi-Tote Storage and Retrieval Autonomous Mobile Robot Systems</t>
  </si>
  <si>
    <t>Policy Making to Encourage Platform Thinking in Manufacturing: A System Dynamics-based Multi-Objective Optimization Approach</t>
  </si>
  <si>
    <t>Quantum-inspired computing technology in operations and logistics management</t>
  </si>
  <si>
    <t>Recent Progress in Data-Driven Intelligent Modeling and Optimization Algorithms for Industrial Processes</t>
  </si>
  <si>
    <t>Smart industrial information integration: a lightweight privacy protection model in an intelligent manufacturing architecture</t>
  </si>
  <si>
    <t>THE IMPLICATIONS OF INTEGRATING ARTIFICIAL INTELLIGENCE INTO DATA-DRIVEN DECISION-MAKING</t>
  </si>
  <si>
    <t>A Novel Porous Bone Scaffold Made with 3D Bioprinter Using Carboxymethyl Chitosan-Hyaluronic Acid for Knee Repair: Mechanical and Chemical Properties</t>
  </si>
  <si>
    <t>A smart Sustainable decision Support system for water management oF power plants in water stress regions</t>
  </si>
  <si>
    <t>An Introduction to Human Resources for Development and Innovation, Science Transformation into Industry Infrastructure by China’s New Universities: A Case Study of Green Materials</t>
  </si>
  <si>
    <t>Evaluation of Metal Concentration (Hg, Zn, Cu, Co, Sn, Ag, Cr and Ni) in Influent &amp; Effluent water of Dental Clinics' units</t>
  </si>
  <si>
    <t>Fabrication and evaluation of 3D bio-scaffold wound dressings for monitoring of chronic pH wounds using fuzzy logic analysis</t>
  </si>
  <si>
    <t>Global criterion optimization method for improving the porosity of porous scaffolds containing magnetic nanoparticles: Fabrication and finite element analysis</t>
  </si>
  <si>
    <t>Investigation of addition of calcium phosphate ceramic to multilayer scaffold for bone applications with improved mechanical properties: Fuzzy logic analysis</t>
  </si>
  <si>
    <t>Multi-UAV Urban Logistics Task Allocation Method Based on MCTS</t>
  </si>
  <si>
    <t>Research on Human Gesture Recognition Technology Based on SVM</t>
  </si>
  <si>
    <t>Throughput optimisation in reentrant circular regular robot cells</t>
  </si>
  <si>
    <t>A fuzzy analysis for porous bioceramic-magnetite nanoparticles-zirconia scaffold prepared by space holder technique with poly vinyl pyrrolidone (PVP) coating: Investigation of mechanical and biological properties</t>
  </si>
  <si>
    <t>A multi-criteria approach to designing and managing a renewable energy community</t>
  </si>
  <si>
    <t>An empirical study about the relationship between lean management and industry 4.0</t>
  </si>
  <si>
    <t>Blockchain Applications in UAV-Towards Aviation 4.0</t>
  </si>
  <si>
    <t>Effect of addition of Layered Double Hydroxides (LDH) on mechanical and biological properties of electrospun polycaprolactone scaffold</t>
  </si>
  <si>
    <t>Fabrication and characterization of chitosan/gelatin scaffold with bioactive glass reinforcement using PRP to regenerate bone tissue</t>
  </si>
  <si>
    <t>Fabrication and characterization of synthesized hydroxyapatite/ethanolamine for bone tissue engineering application</t>
  </si>
  <si>
    <t>How Environmentally Sustainable Is the On-Going Industrial Digitalization? Global Trends and a Swedish Perspective</t>
  </si>
  <si>
    <t>Intelligent Warehouse Robot Scheduling System Using a Modified Nondominated Sorting Algorithm</t>
  </si>
  <si>
    <t>Intelligent and Fuzzy UAV Transportation Applications in Aviation 4.0</t>
  </si>
  <si>
    <t>Investigating the performance of tricalcium phosphate bioceramic reinforced with titanium nanoparticles in friction stir welding for coating of orthopedic prostheses application</t>
  </si>
  <si>
    <t>Investigation of the Behavior of Different Ni-Ti Dental Files and Chemical Mechanical Behavior Using Finite Element Analysis</t>
  </si>
  <si>
    <t>Porous scaffold preparation analysis for knee joint using chitosan-polyvinyl alcohol-hydroxyapatite nanoparticles under fuzzy uncertainty</t>
  </si>
  <si>
    <t>Urban Planning and Design Layout Generation Based on Artificial Intelligence</t>
  </si>
  <si>
    <t>A Porous Sodium Alginate-CaSiO3 Polymer Reinforced with Graphene Nanosheet: Fabrication and Optimality Analysis</t>
  </si>
  <si>
    <t>An intelligent actuator of an indoor logistics system based on multi-sensor fusion</t>
  </si>
  <si>
    <t>Optimal capacity and operation design of a robot logistics system for the hotel industry</t>
  </si>
  <si>
    <t>scheduling mobile robots in flexible manufacturing system by an adaptive large neighborhood search</t>
  </si>
  <si>
    <t>Synergic Effects of Magnetic Nanoparticles on Hyperthermia-Based Therapy and Controlled Drug Delivery for Bone Substitute Application</t>
  </si>
  <si>
    <t>Hybrid optimisation approach for sequencing and assignment decision-making in reconfigurable assembly lines</t>
  </si>
  <si>
    <t>Multi-mobile robots and multi-trips feeding scheduling problem in smart manufacturing system: An improved hybrid genetic algorithm</t>
  </si>
  <si>
    <t>Process sequencing for a pick-and-place robot in a real-life flexible robotic cell</t>
  </si>
  <si>
    <t>Time minimization in flexible robotic cells considering intermediate input buffers: a comparative study of three well-known problems</t>
  </si>
  <si>
    <t>A mathematical model and simulated annealing algorithm for solving the cyclic scheduling problem of a flexible robotic cell</t>
  </si>
  <si>
    <t>A novel competitive hybrid approach based on grouping evolution strategy algorithm for solving U-shaped assembly line balancing problems</t>
  </si>
  <si>
    <t>Trade-off between process scheduling and production cost in cyclic flexible robotic cells</t>
  </si>
  <si>
    <t>Dynamic Flow Shop Scheduling</t>
  </si>
  <si>
    <t>A BiLSTM-IPPO Approach for Dynamic Flexible Flow Shop Scheduling with Limited Buffer Capacity</t>
  </si>
  <si>
    <t xml:space="preserve">Flow shop, not included? </t>
  </si>
  <si>
    <t>Dynamic flexible flow shop scheduling via cross-attention networks and multi-agent reinforcement learning</t>
  </si>
  <si>
    <t xml:space="preserve">Flow Shop </t>
  </si>
  <si>
    <t>Analyzing resilient performance of workers with multiple disturbances in production systems</t>
  </si>
  <si>
    <t>Not about DSS or HMLV</t>
  </si>
  <si>
    <t>Theoretical</t>
  </si>
  <si>
    <t>Flow shop</t>
  </si>
  <si>
    <t>Discrete Event Simulation: A Behavior Modeling Framework for Evaluating Production Schedules</t>
  </si>
  <si>
    <t>Conseptual framework</t>
  </si>
  <si>
    <t>Validation steps proposed (future work)</t>
  </si>
  <si>
    <t>Digital Twin, DES</t>
  </si>
  <si>
    <t>DES + Process Mining</t>
  </si>
  <si>
    <t>Belgium</t>
  </si>
  <si>
    <t>Complex network topology design on technology collaboration: small-world characteristics for intelligent manufacturing</t>
  </si>
  <si>
    <t>Dynamic scheduling for flexible job shop with new job insertions by deep reinforcement learning</t>
  </si>
  <si>
    <t>Not relevant / exclussion criteria Not fundamentally  new with respect to inital search</t>
  </si>
  <si>
    <t>A multi-action deep reinforcement learning framework for flexible Job-shop scheduling problem</t>
  </si>
  <si>
    <t>Human-level control through deep reinforcement learning</t>
  </si>
  <si>
    <t>Routing and scheduling in a flexible job shop by tabu search</t>
  </si>
  <si>
    <t>Not relevant / exclussion criteria Outdated / Public Benchmark</t>
  </si>
  <si>
    <t>Learning to dispatch for job shop scheduling via deep reinforcement learning</t>
  </si>
  <si>
    <t>Not relevant / exclussion criteria not either a conference paper or journal paper in the scopus database</t>
  </si>
  <si>
    <t>Dynamic multi-objective scheduling for flexible job shop by deep reinforcement learning</t>
  </si>
  <si>
    <t>Learning to schedule job-shop problems: representation and policy learning using graph neural network and reinforcement learning</t>
  </si>
  <si>
    <t>Deep reinforcement learning for dynamic scheduling of a flexible job shop</t>
  </si>
  <si>
    <t>Dynamic job-shop scheduling in smart manufacturing using deep reinforcement learning</t>
  </si>
  <si>
    <t>Deep reinforcement learning with double Q-Learning</t>
  </si>
  <si>
    <t>Actor-critic deep reinforcement learning for solving job shop scheduling problems</t>
  </si>
  <si>
    <t>Reinforcement Learning: An Introduction</t>
  </si>
  <si>
    <t>Real-Time Scheduling for Dynamic Partial-No-Wait Multiobjective Flexible Job Shop by Deep Reinforcement Learning</t>
  </si>
  <si>
    <t>Deep Reinforcement Learning for Dynamic Flexible Job Shop Scheduling with Random Job Arrival</t>
  </si>
  <si>
    <t>Smart Manufacturing Scheduling with Edge Computing Using Multiclass Deep Q Network</t>
  </si>
  <si>
    <t>Learn to optimise for job shop scheduling: a survey with comparison between genetic programming and reinforcement learning</t>
  </si>
  <si>
    <t>Deep reinforcement learning for machine scheduling: Methodology, the state-of-the-art, and future directions</t>
  </si>
  <si>
    <t>A Systematic Review on Reinforcement Learning for Industrial Combinatorial Optimization Problems</t>
  </si>
  <si>
    <t>Deep reinforcement learning-based dynamic scheduling for resilient and sustainable manufacturing: A systematic review</t>
  </si>
  <si>
    <t>An end-to-end decentralised scheduling framework based on deep reinforcement learning for dynamic distributed heterogeneous flowshop scheduling</t>
  </si>
  <si>
    <t>Deep reinforcement learning in smart manufacturing: A review and prospects</t>
  </si>
  <si>
    <t>Recap of Tasks:
One person needs to do this – evaluation (Mikkel)
Two person to do this - methods &amp; technologies - (Filip &amp; Samra)
One person to do the data source – (Mikkel)
Decision support focus – (Malthe)
One in charge of finings different problems for Job-shop variations – (Jannik)
Create this cleaned master sheet (Malthe &amp; Mikkel)</t>
  </si>
  <si>
    <t>Finish snowballing of L1 - (Rasmus takes the purple ones, Samra/Malthe takes the rest).</t>
  </si>
  <si>
    <t xml:space="preserve">(TITLE-ABS-KEY(hmlv OR "high mix low volume" OR "high-mix low-volume" OR "low volume high mix" OR "high variety low volume" OR "make-to-order" OR mto OR "small batch" OR "custom manufacturing" OR "mass customization" OR "job shop" OR "configure-to-order" OR cto OR "short production runs" OR "engineer-to-order OR "ETO") AND TITLE-ABS-KEY("manufact*" OR "production" OR "industr*" OR "Industry 4.0") AND TITLE-ABS-KEY("Decision Support" OR "Decision-support" OR "Decision Support System" OR "DSS" OR "Decision Making") AND PUBYEAR &gt; 2017 AND PUBYEAR &lt; 2025) AND ( LIMIT-TO ( SUBJAREA,"ENGI" ) OR LIMIT-TO ( SUBJAREA,"COMP" ) ) AND ( LIMIT-TO ( DOCTYPE,"ar" ) OR LIMIT-TO ( DOCTYPE,"cp" ) ) AND ( LIMIT-TO ( LANGUAGE,"English" ) ) </t>
  </si>
  <si>
    <t>PRISMA Stage</t>
  </si>
  <si>
    <t>Count (n)</t>
  </si>
  <si>
    <t>Identification</t>
  </si>
  <si>
    <t>Total records identified from searches</t>
  </si>
  <si>
    <t>Total number of papers found using the search query on SCOPUS</t>
  </si>
  <si>
    <t>Records removed (automation)</t>
  </si>
  <si>
    <t>Higly relevant identified by relevance script. (Including Supply chain papers)</t>
  </si>
  <si>
    <t>Records removed (duplicates)</t>
  </si>
  <si>
    <t>Removed 2 duplicates</t>
  </si>
  <si>
    <t>Screening</t>
  </si>
  <si>
    <t>Records screened (title/abstract)</t>
  </si>
  <si>
    <t>Records excluded (title/abstract)</t>
  </si>
  <si>
    <t>Eligibility</t>
  </si>
  <si>
    <t>Full-text reports sought</t>
  </si>
  <si>
    <t>Full-text not retrieved</t>
  </si>
  <si>
    <t>Full-text assessed for eligibility</t>
  </si>
  <si>
    <t>Reports excluded (with reasons)</t>
  </si>
  <si>
    <t>Included</t>
  </si>
  <si>
    <t>Studies included in the final review</t>
  </si>
  <si>
    <t>Manufacturing Level</t>
  </si>
  <si>
    <t>Strengths</t>
  </si>
  <si>
    <t>Weaknesses</t>
  </si>
  <si>
    <t>Claimed Contribution</t>
  </si>
  <si>
    <r>
      <rPr>
        <rFont val="Calibri"/>
        <b/>
        <color rgb="FFFF0000"/>
        <sz val="11.0"/>
      </rPr>
      <t xml:space="preserve">Actual Contribution </t>
    </r>
    <r>
      <rPr>
        <rFont val="Calibri"/>
        <b/>
        <color rgb="FFFF0000"/>
        <sz val="10.0"/>
      </rPr>
      <t>(See info for explanation)</t>
    </r>
  </si>
  <si>
    <t>Evaluation (Scenarios, Simulation, Case study,…)</t>
  </si>
  <si>
    <t>Gaps Identified</t>
  </si>
  <si>
    <t>Include? (Yes/No)</t>
  </si>
  <si>
    <t>Reason for exclussion</t>
  </si>
  <si>
    <t>Exclussion based on?</t>
  </si>
  <si>
    <t>Note</t>
  </si>
  <si>
    <r>
      <rPr>
        <rFont val="Calibri"/>
        <b/>
        <color rgb="FFFF0000"/>
        <sz val="11.0"/>
      </rPr>
      <t xml:space="preserve">Reviewer Suggested </t>
    </r>
    <r>
      <rPr>
        <rFont val="Calibri"/>
        <b/>
        <color rgb="FFFF0000"/>
        <sz val="10.0"/>
      </rPr>
      <t>(Provide a short reason in note column)</t>
    </r>
  </si>
  <si>
    <t>Short summary of paper</t>
  </si>
  <si>
    <t>Scheduling?</t>
  </si>
  <si>
    <t>Category Topic 2</t>
  </si>
  <si>
    <t>Category Topic 3</t>
  </si>
  <si>
    <t>Category Topic …</t>
  </si>
  <si>
    <t>A theoretical paper on a remanufacturing system. They propose an architecture, which resembles the standard architecture of every CPS. They spend a lot of time on remanufacturing methods...</t>
  </si>
  <si>
    <t>Architecture of Cyper Physical Remanufacturing System (CPRS)</t>
  </si>
  <si>
    <t>Framing the default CPS architecture differently. Mentioning remanufacturing methods</t>
  </si>
  <si>
    <t>Specifically focus on gap in remanufacturing automation</t>
  </si>
  <si>
    <t>Shallow, no real contribution, remanufacturing focus</t>
  </si>
  <si>
    <t>Other (See note)</t>
  </si>
  <si>
    <t>I recommend not including this paper, as it contributes nothing novel, and it is not relevant for decision support whatsoever</t>
  </si>
  <si>
    <t>Paper on how remanufacuring can be achieved, listing remanufacturing methods, and "contributing" with a theoretical architecture for remanufacturing, although it is the default CPS/DIgital Twin framework, which they have framed as their own contribution</t>
  </si>
  <si>
    <t>Survey, CPS = IoT, Edge communication, etc.</t>
  </si>
  <si>
    <t>Edge communication methods (OPC-UA, MQTT, etc.), default technologies found in every CPS</t>
  </si>
  <si>
    <t>UK</t>
  </si>
  <si>
    <t>genetic programming, optimization, simulation</t>
  </si>
  <si>
    <t>Comprehensive, specific use-case of ML in manufacturing, elegant solution, strong results</t>
  </si>
  <si>
    <t>Only tried 1 model, future work would explore trade-offs</t>
  </si>
  <si>
    <t>Scheduling ML algorithm for queue to completion estimation in wafer production</t>
  </si>
  <si>
    <t>Same as claimed. Good paper</t>
  </si>
  <si>
    <t>Only one algortihm tested in this case</t>
  </si>
  <si>
    <t>I recommend including this paper, as it is a concrete case study of how actual scheduling can be achieved using ML (Machine Learning)</t>
  </si>
  <si>
    <t>Concrete case of actually implementing scheduling using Machine Learning, instead of another "theoretical framework"</t>
  </si>
  <si>
    <t>Machine Learning</t>
  </si>
  <si>
    <t>NL</t>
  </si>
  <si>
    <t>Great demonstration of data-driven DT improvements in an actual factory</t>
  </si>
  <si>
    <t>Single paper is part of larger research</t>
  </si>
  <si>
    <t>Demonstration of the kind of improvements DT tech can lead to in a factory</t>
  </si>
  <si>
    <t>Case Study</t>
  </si>
  <si>
    <t>None (perhaps that you have to read more papers to get a complete picture of what they are doing here)</t>
  </si>
  <si>
    <t>I recommend including this paper, as it is a fully simulated case study of what data-driven digital twin technology can do to contribute to a manufacturing site</t>
  </si>
  <si>
    <t>Digital twin creation of production plant which has volunteered, to let researchers research what can actually be achieved using data driven digital twin technology</t>
  </si>
  <si>
    <t>Digital Twins</t>
  </si>
  <si>
    <t>Digital Twins and all that it encompasses, e.g., edge device communciation, simulation, data-driven decision making</t>
  </si>
  <si>
    <t>Specific deployment of ML random forrest and direct comparison to existing methods in the field</t>
  </si>
  <si>
    <t>Narrow focus, not exploring other ML algorithms besides Random Forrest, lacks broader comparison to other HMLV scheduling methods</t>
  </si>
  <si>
    <t>Jobshop scheduling which can evaluate whether a production plan is feasible</t>
  </si>
  <si>
    <t>Machine Learning random forrest algorithm to determine whether a production plan is feasible</t>
  </si>
  <si>
    <t>Case study, direct comparison to existing methods</t>
  </si>
  <si>
    <t>Only random forrest, and only really tested against one scheduling methods FJSP-SDST</t>
  </si>
  <si>
    <t>I recommend including this paper, as they actually went ahead and trained a ML model. This could serve as a paper proving the potential gain of using industry 4.0 technology over existing methods, and the potential gains thereof.</t>
  </si>
  <si>
    <t>Predict makespan of scheduling problem in what is essentially HMLV setting. They prove that a ML random forrest approach can outperform classic jobshop scheduling methods such as FJSP-SDST</t>
  </si>
  <si>
    <t>Random Forrest Classifier</t>
  </si>
  <si>
    <t>FR</t>
  </si>
  <si>
    <t>Multi-AMR solution relies on single-AMR value approximation; no learning-based or advanced heuristic comparison; simulation-only validation.</t>
  </si>
  <si>
    <t>DP (dynamic programming)-based heuristic scheduling algorithm for automotive matrix systems with battery-aware AMRs</t>
  </si>
  <si>
    <t>Matches claim; practical and well-evaluated scheduling algorithm.</t>
  </si>
  <si>
    <t>Simulation-based case study (Siemens Plant simulation)</t>
  </si>
  <si>
    <t>Scalability, learning-based adaption, real-time deployment</t>
  </si>
  <si>
    <t>Strong inclusion; concrete scheduling and decision support, not a generic framework</t>
  </si>
  <si>
    <t>Presents a DP-based heuristic for flexible job shop scheduling in automotive matrix systems, showing significant cycle-time reduction by explicitly accounting for AMR battery charging.</t>
  </si>
  <si>
    <t>MDP, heuristic optimization</t>
  </si>
  <si>
    <t>Scheduling, AMRs, Simulation</t>
  </si>
  <si>
    <t>KR</t>
  </si>
  <si>
    <t>Clear DRL (deep reinforcement learning) -based scheduling formulation; graph-based state representation; evaluated on standard JSSP benchmarks; outperforms classical dispatching rules</t>
  </si>
  <si>
    <t>Primarily benchmark-driven; limited industrial realism; no deployment or runtime constraints considered; architecture similr to existing DRL-JSSP work</t>
  </si>
  <si>
    <t>DRL actor-critic scheduling framework using GIN (Graph Isomorphism Networks) for flexible JSSP</t>
  </si>
  <si>
    <t>Incremental improvement over existing DRL-JSSP approaches with graph-based state encoding.</t>
  </si>
  <si>
    <t>Case study + benchmark datasets (FT, LA, ORB)</t>
  </si>
  <si>
    <t>Real-time deployment, scalability analysis, comparison to non-DRL advanced heuristics.</t>
  </si>
  <si>
    <t>Good repsentative paper for DRL-based scheduling, but not a breakthrough</t>
  </si>
  <si>
    <t>Applies an actor-critc DRL model with graph representations to job shop scheduling, achieving competitive makespan results on benchmark datasets</t>
  </si>
  <si>
    <t>Deep Reinforcement Learning</t>
  </si>
  <si>
    <t>DRL, GNN</t>
  </si>
  <si>
    <t>EG</t>
  </si>
  <si>
    <t>Addresses scalability limitations of prior RL-based layput planning; clear identification of action-space explosion; effective use of action masking and improved state representation; industrially relevant problem size (20 units)</t>
  </si>
  <si>
    <t>Single-objective optimization (transport distance only); no comparison to strong metaheuristics beyond qualitative discussion; planning-level focus (no runtime or operational integration).</t>
  </si>
  <si>
    <t>Scalable DDQN (Double Deep Q Learning)-based approach for factory layout and planning using improved state representation and action masking</t>
  </si>
  <si>
    <t>Inremental but solid methodological improvement enabling RL scalability for layout planning problems.</t>
  </si>
  <si>
    <t>Simulation-based experiments on synthetic factory layout scenarios.</t>
  </si>
  <si>
    <t>Multi-objective optimization, integration wtih production scheduling, comparison to non-RL optimization baselines</t>
  </si>
  <si>
    <t>Yes (borderline)</t>
  </si>
  <si>
    <t>Relevant for RL scalability in manufacturing, but weaker link to decision support or scheduling</t>
  </si>
  <si>
    <t>Investigates scalability og DDQN for factory layout planning and shows that action masking enables RL-based optimization for industrially relevant layout sizes.</t>
  </si>
  <si>
    <t>Deep Reinforcement Learning (DDQN)</t>
  </si>
  <si>
    <t>RL, layout optimization</t>
  </si>
  <si>
    <t>DE</t>
  </si>
  <si>
    <t>Strong analytical foundation; integrates production dynamics with maintenance decisions; clear cost-based evaluation; includes bottleneck identification method with measurable throughput gains.</t>
  </si>
  <si>
    <t>Focuses on maintenance only (no scheduling or routing decisions); simulation based validation; limited discussion of scalability to large systems.</t>
  </si>
  <si>
    <t>RL-based integrated decision model for predictive maintenance in multistage production systems.</t>
  </si>
  <si>
    <t>Well-structured maintenance decision framework with solid simulation evidence; not directly addressing scheduling</t>
  </si>
  <si>
    <t>Simulation-based case studies with policy comparison (SBP, TBP, GP)</t>
  </si>
  <si>
    <t>Join scheduling-maintenance decisions; real-time deployment; continuous health-state modeling</t>
  </si>
  <si>
    <t>Yes (contextual)</t>
  </si>
  <si>
    <t>Relevant for RL-based decision-making, but peripheral to scheduling focused surveys</t>
  </si>
  <si>
    <t>Applies reinforcement learning and approximate dynamic programming to optimize predictive maintenance decisions in multistage production systems, reducing system-wide cost and improving throughput</t>
  </si>
  <si>
    <t>Reinforcement learning, ADP</t>
  </si>
  <si>
    <t>Predictive maintenance, RL</t>
  </si>
  <si>
    <t>CN</t>
  </si>
  <si>
    <t>Clear and well-formulated simultaneous scheduling problem; strong operational relevance for mass customization; rigurous heuristic deisgn; thorough simulation with statistical validation; consistent performance gains over sequential approaches</t>
  </si>
  <si>
    <t>Heuristic-heavy and complex; no learning-based or adaptive methods; tailored to FMS (flexible manufacturing system) with single robot (limited generality); assumes high shop-floor visibility.</t>
  </si>
  <si>
    <t>A simultaneous algorithm for part input sequencing and robot scheduling in FMSs for mass customization</t>
  </si>
  <si>
    <t>Convincing demonstration that simultaneous decision-making outperforms sequential control in FMS robot-part scheduling</t>
  </si>
  <si>
    <t>Simulation-based case study with multiple baselines and statistical tests.</t>
  </si>
  <si>
    <t>Learning-based approaches; multi-robot systems; integration with higher-level planning or real-time control</t>
  </si>
  <si>
    <t>Strong operational scheduling paper; excellent non-ML baseline for comparison</t>
  </si>
  <si>
    <t>Proposes and evaluates a heuristic algorithm for simultaneous part input sequencing and robot scheduling in FMSs, showing statistically significant improvements in throughput, robot utilization, and flowtime over sequential approaches</t>
  </si>
  <si>
    <t>Heurristic scheduling, simulation</t>
  </si>
  <si>
    <t>FMS, roboy scheduling</t>
  </si>
  <si>
    <t>Strong decision-support architecture; decentralized AI schedulers with local autonomy; explicit handling of uncertainty (rush orders, machine failures); validated in a physical smart-factory testbed; clear comparison to centralized and rule-based baselines</t>
  </si>
  <si>
    <t>High system complexity; heavy engineering assuptions (RFID, IPCs everywhere); decision logic tightly coupled to production control layer; limited abstraction beyond scheduling context.</t>
  </si>
  <si>
    <t>A distributed CPS architecture with collaborative AI agents for online decision-making in smart factories</t>
  </si>
  <si>
    <t>Convincing demonstration of distributed AI-based decision support at the shop-floot level, with real-time adaptation and robustness benefits</t>
  </si>
  <si>
    <t>Real-world testbed + simulation with multiple baselines.</t>
  </si>
  <si>
    <t>Generality beyong scheduling/control; transferability to other decision layers (planning, maintenance, energy); deployment cost and scalability analysis</t>
  </si>
  <si>
    <t>Excellent example of operational decision support via distributed AI, not just an algorithmic paper</t>
  </si>
  <si>
    <t>Proposes and validates a cyber-physical, multi-agent reinforcement learning architecture where autonomous AI schedulers make real-time decisions based on local sensor data and shared experience, improving robustness and responsiveness in smart factories</t>
  </si>
  <si>
    <t>Multi-agent RL, distributed decision-making</t>
  </si>
  <si>
    <t>CPS, IoT, MARL</t>
  </si>
  <si>
    <t>Clear closed-loop decision-support architecture (offline learning + online control); mines decision rules from historical data rather than benchmarks; low computational overhead suitable for real-time use; extensive comparative simulation against classic and metaheuristic-derived rules</t>
  </si>
  <si>
    <t>Heavy tailored to dispatching-rule-based control; no learning during online phase; simulation-only validation; interpretability of evolved rules not deeply discussed</t>
  </si>
  <si>
    <t>A data-driven framework for mining appropriate dispatching rules and supporting real-time decision-making in uncertain shop-floor environments.</t>
  </si>
  <si>
    <t>Strong and well-aligned with the claim: a practical data-driven decision-support mechanism for adaptive shop-floor control</t>
  </si>
  <si>
    <t>Simulation-based case studies with large parameter sweeps (job arrivals, due-date tightness, system size)</t>
  </si>
  <si>
    <t>Online learning/adaptation; transferability to other decision layers (maintenance, energy, planning); real-time deployment evidence</t>
  </si>
  <si>
    <t>Very solid decision-support paper: architecture + learning + real-time use, not just an algorithm</t>
  </si>
  <si>
    <t>Proposes a closed-loop, data-driven decision-support framework that mines dispatching rules from historical production data using IGEP and applies them in real time to handle uncertainty in intelligent manufacturing shop floors</t>
  </si>
  <si>
    <t>Evolutionary learning, decision-rule mining</t>
  </si>
  <si>
    <t>Data-driven decision support, CPS, ML</t>
  </si>
  <si>
    <t>Clear positioning of decision support via Smart Digital Twin, well-structured architecture linking physical and virtual layers; explicit prescriptive cs autonomous decision roles; strong alignment with ZDM objectives</t>
  </si>
  <si>
    <t>Purely conceptual; no implemented algorithm or quantitative evaluation; DRL components not instantiated or benchmarked; scheduling used mainly as demonstrator</t>
  </si>
  <si>
    <t>A smart digital twin framework enabling prescriptive decision-making for ZDM-oriented job-shop scheduling</t>
  </si>
  <si>
    <t>Conceptual integration of DT + DRL + ZDM for decision support; no demonstrated performance gains</t>
  </si>
  <si>
    <t>None (conceptual paper)</t>
  </si>
  <si>
    <t>Implementation and validation; comparison with non-DT decision support systems; scalability and real-time feasibility</t>
  </si>
  <si>
    <t>Purely theoretical, no actual implementation or results</t>
  </si>
  <si>
    <t>Useful architecture for DT-based decision support, but not evidence-driven</t>
  </si>
  <si>
    <t>Proposes a conceptual Smart Digital Twin framework combining DRL and virtual-physical synchronization to support prescriptive and poentially autonomous decision-making for ZDM-oriented job-shop environments</t>
  </si>
  <si>
    <t>Conceptual DT framework, DRL (proposed)</t>
  </si>
  <si>
    <t>Digital Twin, AI-based decision support</t>
  </si>
  <si>
    <t>Clear decision-support architecture leveragin EC-IIoT; decentralized real-time decisions reduce computational complexity; integrates energy efficiency as a first-class decision objective; strong case study with extensive comparative evaluation under disturbances</t>
  </si>
  <si>
    <t>Method complexity and strong modeling assumptions; energy and scheduling tightly coupled to DFJS context; no learning or adaptation beryond game dynamics, deployment cost not discussed</t>
  </si>
  <si>
    <t>An EC-IIoT-based distributed real-time decision-support framework for energy-efficient DFJS using evolutionary game theory</t>
  </si>
  <si>
    <t>Convincing and well-validated real-time decision-support mechanism for distributed manufacturing control with measurable energy and performance gains</t>
  </si>
  <si>
    <t>Simulation-based industrial case study with static and dynamic (disturbance) scenarios</t>
  </si>
  <si>
    <t>Transferability to other decisions domains (maintenance, logistics); comparison with learning-based decision support; real-world deployment evidence</t>
  </si>
  <si>
    <t>Very strong example of real-time, decentralized decision support beyond centralized optimization</t>
  </si>
  <si>
    <t>Proposes an EC-IIoT-enabled, evolutionary game-based decision-support framework that enables real-time, decentralized production decisions in distributed job shops, achieving significant energy-efficiency and reobustness improvements</t>
  </si>
  <si>
    <t>Game-theoretic optimization, real-time decision support</t>
  </si>
  <si>
    <t>Edge computing, IIoT, distributed control</t>
  </si>
  <si>
    <t>Comprehensive and well-structured AI-driven decision-support architecture for customized manufacturing; clear layering of device, interaction, AI and service levels; strong discussion of edge-cloud split for decision latency; illustrative prototype case study (customized packaging line)</t>
  </si>
  <si>
    <t>No novel decision algorithms; evaluation focuses on feasibility rather than performance comparison; very broad scope with limited depth per decisions-support mechanism</t>
  </si>
  <si>
    <t>A holistic AI-assisted customized manufacturing framework integrating devices, data, AI, and services to enable intelligent decision-making</t>
  </si>
  <si>
    <t>High-quality survey and reference architecture for AI-based decision support in customized manufacturing; incremental empirical contribution</t>
  </si>
  <si>
    <t>Prototype case study (customized candu packaging line)</t>
  </si>
  <si>
    <t>Quantitative benchmarking; decision-quality metrics; comparison against alternative decision-support architectures; scalability analysis</t>
  </si>
  <si>
    <t>Good background and architectural anchor for decision-support surveys, but not a core technical contribution</t>
  </si>
  <si>
    <t>Surveys AI technologies for customized manufacturing and porposes a layered smart-factory architecture enabling intelligent, data-driven decision support across production, maintenance, and service functions, validated via a prototype packaging line</t>
  </si>
  <si>
    <t>Survey, system architecture</t>
  </si>
  <si>
    <t>AI-enabled decision support, CPS, edge/cloud computing</t>
  </si>
  <si>
    <t>Very strong decision-support system rather than isolated algorithm; integrates production and maintenance decisions bidirectionally; implemented prototype with realistic industrial data; clear KPI-based recommendation logic; tangible improvements in delay, variability, and responsiveness.</t>
  </si>
  <si>
    <t>Heuristic recommender (no optimality gurantees); limited operational constraints; short evaluation horizon; human-in-the-loop validation remains mandatory</t>
  </si>
  <si>
    <t>An integrated PsM-PPC decision-support framework enabling intelligent, data-driven prescription of maintenance and production plans in CPPS</t>
  </si>
  <si>
    <t>Matches claim well; a working prescriptive decision-support prototype with demonstrated industrial benefit</t>
  </si>
  <si>
    <t>Industrial case study + digital twin simulation (multiple scenarios, statistical replication)</t>
  </si>
  <si>
    <t>Scalability to larger plants; autonomous prescription; integration with long-term planning; benchmarking against learning-based prescriptive systems</t>
  </si>
  <si>
    <t>Excellent anchor paper for prescriptive decision support in smart manufacturing</t>
  </si>
  <si>
    <t>Presents a digital-twin-based prescriptive maintenance system that integrates predictive analytics, simulation, and heuristic recommendation to support intelligent production planning and control, validated in a real MTO manufacturing line</t>
  </si>
  <si>
    <t>Prescriptive analytics, simulation-based decision support</t>
  </si>
  <si>
    <t>Digital twin, AI-enabled decision support</t>
  </si>
  <si>
    <t>IT</t>
  </si>
  <si>
    <t>Explicit decision-support framing; composite reward integrates multiple operational objectives (tardiness, profit, utilization, workload balance); online adaptation to disturbances (urgent orders, machine failures); extensive comparative simulation against optimal, RL, and rule-based baselines</t>
  </si>
  <si>
    <t>Simulation-only validatuon; reward weights manually defined; centralized decision logic: limited dicussion of scalability and deployment constraints</t>
  </si>
  <si>
    <t>An AI-based scheduler using composite rewards to support real-time, multi-objective production decision-making in smart factories</t>
  </si>
  <si>
    <t>Well-aligned with claim: demonstrates effective AI-driven decision support for dynamic shop-floor control using real-time data</t>
  </si>
  <si>
    <t>Simulation-based smart factory case study with disturbance scenarios (urgent orders, machine failures)</t>
  </si>
  <si>
    <t>Adaptive or learned reward weighting; decentalized decision-making; transfer to other decision domains beyond scheduling</t>
  </si>
  <si>
    <t>Strong algorithmic decision-support paper, complements DT- and architecture-oriented works.</t>
  </si>
  <si>
    <t>Introduced a reinforcement-learning-based decision-support system with composite rewards to enable real-time, multi-objective production decisions in a smart factory, outperforming traditional and single-objective methods under uncertainty</t>
  </si>
  <si>
    <t>Reinforcement learning</t>
  </si>
  <si>
    <t>AI-based decision support</t>
  </si>
  <si>
    <t>Clear decision-support framing; real-world implementation beyond conceptual DTs; supports predictive parameter selection, real-time monitoring, and post-hop diagnosis; bidirectional control via OPC UA; strong use-case validation</t>
  </si>
  <si>
    <t>Limited to material handling domain; centralized decision logic; no learning-based optimization; scalability beyond test system not demonstrated</t>
  </si>
  <si>
    <t>A physics-simulation-based digital twin providing decision support for material flow prediction, monitoring, and diagnosis in CPPS</t>
  </si>
  <si>
    <t>Matches claim well: delivers a practical, operational digital twin that supports real-time and retrospective decision-making for material handling</t>
  </si>
  <si>
    <t>Physical testbed + simulation-based case study (material handling system)</t>
  </si>
  <si>
    <t>No adaptive or learning-based decision support; limited integration with higher-level planning or scheduling systems</t>
  </si>
  <si>
    <t>Excellent reference implementation of simulation-based decision support via digital twins; complements AI-based approaches well</t>
  </si>
  <si>
    <t>Implements a physics-based digital twin of a material handling system that supports operational decision-making through predictive simulation, real-time monitoring, and diagnostic replay using bidirectional CPS integration</t>
  </si>
  <si>
    <t>Physics-based simulation, systems engineering</t>
  </si>
  <si>
    <t>Digital Twin, CPS, OPC UA</t>
  </si>
  <si>
    <t>Clear decision-support architecture (monitor-simulate-decide-control loop); online, predictive capacity adjustment under disturbances; multi-objective formulation (delay, utilization, WIP, machine count); strong comparative evaluation against static and rule-based baselines; computationally efficient heuristic suitable for real-time use.</t>
  </si>
  <si>
    <t>Simulation-based evaluation only; centralized decision logic; heuristic optimality not guaranteed; limited discussion of scalability and industrial deployment constraints</t>
  </si>
  <si>
    <t>An online digital-twin-based simulation optimization framework for adaptive deployment and adjustment of reconfigurable machines in job shops</t>
  </si>
  <si>
    <t>Well-aligned with claim: a practical simulation-driven decision-support system enabling real-time capacity and configuration decisions</t>
  </si>
  <si>
    <t>Simulation-based case study with dynamic scenarios (machine breakdowns, rush orders)</t>
  </si>
  <si>
    <t>Integration with learning-based decision support; extension beyond capacity adjustment to other decision layers; validation with real production data</t>
  </si>
  <si>
    <t>Strong example of simulation-based online decision support, complementary to AI-centric approaches</t>
  </si>
  <si>
    <t>Presents a digital-twin-driven simulation optimization framework that supports real-time decision-making for adaptive deployment and adjustment of reconfigurable machines in job shops, demonstrating improved robustness under disturbances</t>
  </si>
  <si>
    <t>Simulation optimization, heuristic decision support</t>
  </si>
  <si>
    <t>Digital Twin, RMS, CPS</t>
  </si>
  <si>
    <t>Strong decision-support infrastructure contribution; bridges gap between conceptual industry 4.0 architectures and physical implementations; real industrial prototype with measured latency and deteerminism; explicit support for dynamic DSS triggering; robust interoperability with legacy and modern systems</t>
  </si>
  <si>
    <t>Decision logic itself is external and heuristic; scheduling algorithm not the focus; architecture-heavy with limited generalization analysis; robust interoperability with legacy and modern systems</t>
  </si>
  <si>
    <t>A middleware platform enabling real-time, data-driven decision support for intelligent automation in industry 4.0 environments</t>
  </si>
  <si>
    <t>Delivers a practical, validated middleware layer that enables responsive and interoperable decision-support systems in industrial settings</t>
  </si>
  <si>
    <t>Industrial prototype implementation (pharmaceutical QC lab) with quantitative communication latency analysis</t>
  </si>
  <si>
    <t>Integration with learning-based DSSs; scalability across multiple plants; cybersecurity and fault-tolerance evaluation under stress.</t>
  </si>
  <si>
    <t>Excellent enabling infrastructure paper for decision support; complements algorithm- and DT-focused contributions</t>
  </si>
  <si>
    <t>Presents and validates a middleware platform that enables real-time, interoperable data acquisition and preparation for dynamic decision-support systems in intelligent automation, demonstrated via an industrial pharmaceutical prototype</t>
  </si>
  <si>
    <t>System architecture, middleware-based decision support</t>
  </si>
  <si>
    <t>CPS middleware, OPC UA, fog computing</t>
  </si>
  <si>
    <t>PT</t>
  </si>
  <si>
    <t>Strong decision-support relevance via uncertainty quantification; addresses data sparsity and high variability in MTO environments; rigorous comparative benchmark between probabilistic and deterministic models; real industrial dataset; clear trade-off analysis between accuracy, calibration, and runtime; actionable guidance for MES/ERP integration</t>
  </si>
  <si>
    <t>Predictive focus only (no closed-loop control); single-factory case study; decision use is indirect (prediction informs decisions but does not prescribe actions)</t>
  </si>
  <si>
    <t>An uncertainty-aware predictive modeling framework for power consumption in customized manufacturing, benchmarking hierarchical bayesian and deep learning approaches</t>
  </si>
  <si>
    <t>Delivers a rovust, uncertainty-calibrated prediction foundation for energy-aware decision support; methodological contribution rather than a control or optimization system</t>
  </si>
  <si>
    <t>Industrial case study with stratified cross-validation; quantitative accuracy, calibration, and runtime analysis</t>
  </si>
  <si>
    <t>Closed-loop prescriptive decision support; integration with scheduling or energy optimization; real-time deployment evaluation</t>
  </si>
  <si>
    <t>Excellet uncertainty-aware decision-support enabler; complements prescriptive and optimization-based DSS papers</t>
  </si>
  <si>
    <t>Compares hierarchical Bayesian and deep neural models for power consumption prediction in customized manufacturing, showing that uncertainty-aware Bayesian models provide better-calibrated predictions to support risk-aware, energy-efficient decisiom-making</t>
  </si>
  <si>
    <t>Bayesian learning, deep learning</t>
  </si>
  <si>
    <t>Uncertainty-aware AI, manufacturing analytics</t>
  </si>
  <si>
    <t>Strong decision-support formulation via novel MD-MDP (decision-time transfer + action selection); advanced state representation combining heterogeneous graphs and attention; collaborative multi-agent architecture; extensive benchmarking with statistical validation; clear superiority over state-of-the-art DRL and heuristic baselines</t>
  </si>
  <si>
    <t>Highly complex and computation-heavy; simulation-only evaluation; tightly scoped FJSP domain; real-time feasibility and deployment cost not discussed</t>
  </si>
  <si>
    <t>A novel multi-agent DRL framework with attention-based heterogeneous graph embedding and a new MD-MDP formulation for flexible job shop decision-making</t>
  </si>
  <si>
    <t>Deliver a state-of-the-art algorithmic decision-support method for complex operational decisions; methodological advance rather than system-level DSS</t>
  </si>
  <si>
    <t>Benchmark-based simulation experiments across multiple FJSP scales with statistical analysis</t>
  </si>
  <si>
    <t>Real-world deployment; simplification for industrial adoption; extension beyond scheduling-centric decision domains</t>
  </si>
  <si>
    <t>Strong algorithmic anchor paper for learning-based decision support; cimplements DT- and simulation-driven DSS work</t>
  </si>
  <si>
    <t>Introduces a multi-agent, attention-based DRL framework with a novel decision-time-aware MDP formulation that significantly improves decision quality for complex, large-scale flexible job shop environments</t>
  </si>
  <si>
    <t>Multi-agent DRL, attention-based learning</t>
  </si>
  <si>
    <t>AI-driven decision support, MARL, graph learning</t>
  </si>
  <si>
    <t>Strong integrated decision-support formulation; jointly optimizes workstation layout, AGV routing, and delivery assignment; explicitly models demand splitting and timeliness satisfaction; advanced metaheuristic with clear ablation and benchmark comparisons; realistic cloud-edge-terminal deployment architecture; validated on practical MTO reconfigurable job shops</t>
  </si>
  <si>
    <t>Metaheuristic complexity and parameter sensitivity; centralized optimization logic; simulation-based validation; strong modeling assumptions (e.g., no congestion, homogeneous AGVs)</t>
  </si>
  <si>
    <t>A supermarket-based, cloud-edge-terminal decision-support framework with an improved chaotic multiverse optimizer for material delivery in MTO reconfigurable job shops</t>
  </si>
  <si>
    <t>Deliver a high-quality decision-support method enabling coordinated logistics and layout decisions with measureable cost and responsiveness gains</t>
  </si>
  <si>
    <t>Simulation-based industrial case study with extensive comparison to state-of-the-art metaheuristics</t>
  </si>
  <si>
    <t>Learning-based or adaptive optimization; real-time re-optimization under unexpected disturbances; transfer to intralogistics contexts</t>
  </si>
  <si>
    <t>Excellent example of multi-layer, integrated decision support combining logistics and facility decisions</t>
  </si>
  <si>
    <t>Proposes a cloud-edge-terminal decision-support framework that jointly optimizes workstation layout and AGV-based material delivery for MTO reconfigurable job shops, using an improved chaotic multi-verse algorithm to balance cost and delivery timelines</t>
  </si>
  <si>
    <t>Metaheuristic optimization, decision modeling</t>
  </si>
  <si>
    <t>AGV-based logistics, CPS, intelligent decision support</t>
  </si>
  <si>
    <t>Clear decision-support framing centered on disturbance response; explicitly separates timing and scope of rescheduling decisions; equipment-level triggers reduce over-/under-rescheduling; lightweight ML model suitable for real-time use; extensive case studies covering multiple disturbance types</t>
  </si>
  <si>
    <t>ML model limited to MLP (no comparison to other learners); centralized coordination logic; simulation-based evaluation only; decision quality depends on manually defined disturbance indicators</t>
  </si>
  <si>
    <t>A multi-trigger, ML-based decision-support method for coordinated rescheduling timing and location decisions in smart job shops under multiple disturbances</t>
  </si>
  <si>
    <t>Delivers a practical and well-validated decision-support mehcanism for disturbance-aware rescheduling, focused on scope control rather than optimization novelty</t>
  </si>
  <si>
    <t>Simulation-based case study with multiple disturbance scenarios (order insertion, machine failure, delay, material shortage)</t>
  </si>
  <si>
    <t>Learning adaptive disturbance indicators; decentralized trigger coordination; integration with prescriptive or optimization-based decision layers</t>
  </si>
  <si>
    <t>Very strong decision-support-specific paper; excellent fit for surveys on dynamic manufacturing decision assistance</t>
  </si>
  <si>
    <t>Proposes a multi-trigger, machine-learning-based decision-support approach that determines when and where rescheduling should occur in smart job shops under multiple disturbances, reducing unnecessary rescheduling and improving responsiveness</t>
  </si>
  <si>
    <t>ML-based classification, hierarchical decision rules</t>
  </si>
  <si>
    <t>Decision-support systems, ML, CPS</t>
  </si>
  <si>
    <t>Very strong decision-support formulation: redesigned state, action, and reward space aligned with dynamic and multi-objective decision-making; lightweight network architecture improves real-time feasibility; extensive benchmarking against PDRs, state-of-the-art DRL, and NSGA-III; strong generalization across problem scales and arrival distributions</t>
  </si>
  <si>
    <t>Simulation-only validation; centralized decision logic; computational complexity still non-trivial for very large-scale real-time deployment; focused narrowly on job-shop decision context</t>
  </si>
  <si>
    <t>A new DRL-based decision-support method for dynamic multi-objective flexible job shop scheduling with improved MDP modeling and lightweight architecture</t>
  </si>
  <si>
    <t>Delivers a state-of-the-art learning-based decision-support algorithm with clear empirical superiority over existing reactive and learning-based apporaches</t>
  </si>
  <si>
    <t>Extensive simulation experiments on multiple benchmark datasets with convergence, diversity, and runtime metrics</t>
  </si>
  <si>
    <t>Real-world deployment; decentralized or human-in-the-loop decision support; extension beyond scheduling-centric operational decisions</t>
  </si>
  <si>
    <t>Excellent algorithmic anchor paper for dynamic, multi-objective decision support using DRL</t>
  </si>
  <si>
    <t>Proposes a deep reinforcement learning framework with improved MDP modeling and lightweight architecture to support real-time, multi-objective decision-making in dynamic flexible job shops, outperforming both heuristic and state-of-the-art learning-based methods</t>
  </si>
  <si>
    <t>Deep reinforcement learning, policy optimization</t>
  </si>
  <si>
    <t>AI-driven decision support, DRL</t>
  </si>
  <si>
    <t>Clear decision-support perspective: learning better action sequences rather than single decisions; novel integration of DTs with learned local search; demonstrates consistent improvement over state-of-the-art DRL controllers; detailed analysis of decision behavior and time-quality trade-offs; feasible inference on consumer-grade hardware</t>
  </si>
  <si>
    <t>Purely simulation/benchmark-based; improvement margins vary by problem size; return-to-go prior has limited practical influence; domain-specific to heuristic search control</t>
  </si>
  <si>
    <t>A decision-transformer-based method that enhances learned local search heuristics by leveraging sequential decision context</t>
  </si>
  <si>
    <t>Delivers a state-of-the-art sequential decision-support mechanism for guiding complex search processes, outperforming strong DRL baselines under suitable time budgets</t>
  </si>
  <si>
    <t>Extensive benchmark-based simulation (Taillard datasets) with performance, behavior, and runtime analysis</t>
  </si>
  <si>
    <t>Transfer to real-world shop-floor DSS; extension beyond scheduling/search domains; integration with higher-level prescriptive systems</t>
  </si>
  <si>
    <t>Excellent example of sequence-aware decision suport, highly relevant for surveys on advanced AI decision mechanisms</t>
  </si>
  <si>
    <t>Uses decision transformers trained on neural local search trajectories to improve sequential decision-making in job shop scheduling, achieving state-of-the-art performance when longer decision horizons are acceptable</t>
  </si>
  <si>
    <t>Decision transformers, imitation learning</t>
  </si>
  <si>
    <t>Transformer-based decision support, AI</t>
  </si>
  <si>
    <t>Clear system-level decision-support architecture (physical-virtual-service layers); explicit use of real-time DT state for decision making; advanced graph-based state representation; strong experimental validation across synthetic and public benchmarks; good balance between solution quality and runtime</t>
  </si>
  <si>
    <t>Simulation-only validation; centralized decision logic; domain-specific to hanging workshops; deployment cost and real-time integration challenges not discussed</t>
  </si>
  <si>
    <t>A DT-based management and scheduling framework for hanging workshops using graph-embedded DRL to improve flexible job-shop decision making</t>
  </si>
  <si>
    <t>Delivers a well-integrated DT + DRL decision-support system with state-of-the-art performance on complex dynamic scheduling tasks</t>
  </si>
  <si>
    <t>Extensive simulation studies on synthetic datasets and public benchmarks (mk, la), with runtime and gap analysis</t>
  </si>
  <si>
    <t>Industrial deployment evidence; decentralized or human-in-the-loop decision support; extension to other decision domains beyond scheduling</t>
  </si>
  <si>
    <t>Excellent integrated DT + AI decision-support reference; bridges architecture and algorithm convincingly</t>
  </si>
  <si>
    <t>Proposes a digital-twin-driven decision-support framework for hanging workshops, integrating real-time monitoring with graph-based deep reinforcement learning to enable high-quality dynamic shop-floor decisions</t>
  </si>
  <si>
    <t>Digital twin, deep reinforcement learning</t>
  </si>
  <si>
    <t>DT-enabled AI decision support</t>
  </si>
  <si>
    <t>Clear decision-supoprt formulation via multi-action MDP; simultaneous operation sequencing and machine selection; BiLSTM captures temporal dependencies and generalizes across job scales; reward shaping mitigates sparisty; strong benchmarking against 20 dispatching rules and DRL baselines</t>
  </si>
  <si>
    <t>Simulation-only validation;centralized control; computational overhead of BiLSTM may limit real-time deployment; trained on static scenarios with limited adaptability to online disruptions</t>
  </si>
  <si>
    <t>A multi-action DRL framework with BiLSTM-based state representation and reward shaping for FJSP under tight-time constraints</t>
  </si>
  <si>
    <t>Deliver a solid algorithmic decision-support method for complex coupled operational decisions, with clear empirical improvements over rule-based and DRL baselines</t>
  </si>
  <si>
    <t>Benchmark-based simulation experiments across multiple problem scales (6x6 to 50x20)</t>
  </si>
  <si>
    <t>Real-worl deployment; decentralized or human-in-the-loop decision support; extension to broader operational decision contexts beyond scheduling</t>
  </si>
  <si>
    <t>Strong algorithmic anchor paper for multi-action, sequence-aware decision support using DRL</t>
  </si>
  <si>
    <t>Proposes a multi-action DRL framework using BiLSTM feature extraction and reward shaping to support complex, coupled operational decisions in flexible job shops with tight-time constraints, outperforming dispatching and DRL baselines</t>
  </si>
  <si>
    <t>Deep reinforcement learning, sequence modeling</t>
  </si>
  <si>
    <t>AI-driven decision support</t>
  </si>
  <si>
    <t>Very stron decision-support formulation: shifts from position-based to precedence-based decision variables, drastically reducing model size; handles serial, parallel, concurrent,and re-entract flows; supports single- andn dual-armed robots; rigorous deadlock prevention via TPN-derived constraints; extensive computational evaluation showing large runtime improvements over prior MIP formulations; implementable with commercial solvers (CPLEX, OR-Tools)</t>
  </si>
  <si>
    <t>Exact optimization limits scalability for very large instances; centralized decision logic; domain-specific to cluster tools; no learning or adaptive components</t>
  </si>
  <si>
    <t>A generalized, efficient MIP formulation for non-cyclic cluster tool scheduling using precedence-based decision variables derived from TPN analysis</t>
  </si>
  <si>
    <t>Delivers a state-of-the-art exact decision-support method for non-cyclic cluster tool control, with clear superiority over existing MIP models in solvability and runtime</t>
  </si>
  <si>
    <t>Extensive computational experiments across multiple wafer flows, robot configurations, and lot-switching scenarios</t>
  </si>
  <si>
    <t>Hybridization wtih learning-based or heuristic DSS; real-time rolling-horizon integration; decentralized decision architectures</t>
  </si>
  <si>
    <t>Excellent exact-optimization anchor paper for prescriptive decision support in high-mix semiconductor manufacturing</t>
  </si>
  <si>
    <t>Introduces a precedence-relation-based MIP model for non-cyclic cluster tool scheduling that significantly reduces decision variables and computation time while optimally supporting complex wafer flows and robot configurations</t>
  </si>
  <si>
    <t>Exact optimization, Petri-net-based modeling</t>
  </si>
  <si>
    <t>Optimization-driven decision support, CPS</t>
  </si>
  <si>
    <t>Excellent decision-support formulation: explicity decomposes decisions into job assignment and job sequencing; herarchical multi-action space enables scalable distributed decisions; well-desgined rescheduling logic handling four arrival cases; GNN-based global state awareness; extensive benchmarking (1350 instances) against PDRs, DRL, and metaheuristics; validated industrial case study (automotive engine manufacturing)</t>
  </si>
  <si>
    <t>High algorithmic complexity; centralized learning with decentralized execution assumptions; computational cost may limit low-latency edge deployment;  domain-specific to distributed job shops</t>
  </si>
  <si>
    <t>A hierarchical multi-action DRL framework for dynamic job-shop decision-making under uncertain job arrivls</t>
  </si>
  <si>
    <t>Delivers a state-of-the-art learning-based decision-support system for dynamic distributed manufacturing control with strong empirical and industrial validation</t>
  </si>
  <si>
    <t>Large-scale simulation benchmarks + real industrial case study</t>
  </si>
  <si>
    <t>Explicit transportation-cost modeling; machine breakdowns; human-in-the-loop decision integration; deployment cost analysis</t>
  </si>
  <si>
    <t>One of the strongest algorithmic decision-support papers in the survey; exemplary handling of uncertainty and distribution</t>
  </si>
  <si>
    <t>Proposes a heriarchical, multi-action deep reinforcement learning framework that supports real-time decision-making for dynamic distributed job shops with uncertain job arrivals, demonstrating superior adaptibility, scalability, and industrial applicability</t>
  </si>
  <si>
    <t>Heriarchical DRL, graph-based decision modeling</t>
  </si>
  <si>
    <t>AI-driven decision support, MARL-like heriarchical control</t>
  </si>
  <si>
    <t>Exceptional decision-support formulation: jointly schedules manufacturing and computational tasks; removes dependency on problem-specific reward engineering; objective HER is a genuinly novel and transferable contribution; continuous action mapping enables scalability to heterogeneous resources; extensive ablation and benchmark comparisons (11 baselines); strong generalization across unsees and larger scale scenarios; near real-time inference (&lt;1 s)</t>
  </si>
  <si>
    <t>High algorithmic and implementation complexity; centralized decision logic; simulation-based validation only; deployment, integration, and governance costs not discussed</t>
  </si>
  <si>
    <t>A sparse-reward DRL-based decision-support framework for hybrid task scheduling ing manufacturing, addressing reward sparsity and hybrid action representation</t>
  </si>
  <si>
    <t>Delivers a state-of-the-art, generalizable decision-support method for complex cloud-manufacturing environments, with methodological innovations beyond the specific application</t>
  </si>
  <si>
    <t>Large-scale simulation studies (12 scenarios, up to 1000 hybrid tasks) with ablation, scalability, and generaliztion analysis</t>
  </si>
  <si>
    <t>Real-world deployment; decentralized or human-in-the-loop decision support; extension to multi-objective or sustainability-driven decisions</t>
  </si>
  <si>
    <t>One of the strongest decision-support papers in the netire set; highly reusable methodologoy (objective HER) beyond scheduling</t>
  </si>
  <si>
    <t>Proposes a sparse-reward deep reinforcement learning framework that supports real-time decision-making for hybrid manufacturing and computational task scheduling in cloud manufacturing, achieving superiod performance, scalability, and generalization without reward engineering</t>
  </si>
  <si>
    <t>Sparse-reward DRL, POMDP-based decision modeling</t>
  </si>
  <si>
    <t>AI-driven decision support, cloud-edge manufacturing</t>
  </si>
  <si>
    <t>Very clear decision-support system framing (not just an algorithm); integrates optimization, simulation, risk analysis, and monitoring in a closed loop; explicitly designed for HMLV environments; strong alignment with industry 4.0 requirements; practical KPI-based inputs; RPA enables automation and repeatability; includes survey-based industrial readiness assessment</t>
  </si>
  <si>
    <t>Optimization core (MB-GA) is computationally expensive; largely heuristic with no optimality guarantees; validation mainly simulation- and survey-based; limited quantitative comparison against state-of-the-art learning based DSS aproaches</t>
  </si>
  <si>
    <t>A real-time, risk aware decision support system for HMLV production scheduling in industry 4.0, implemented via RPA and hybrid optimization</t>
  </si>
  <si>
    <t>Delivers a comprehensive DSS architecture and methodology combining optimization, risk analysis, and automation; stronger as a system-level DSS contribution than as an algorithmic advance</t>
  </si>
  <si>
    <t>Simulation-based experiments + survey study across SMEs in five countries</t>
  </si>
  <si>
    <t>Learning-based or adaptive optimization; real-time scalability analysis; benchmarking against modern AI-based decision support systems; long-term industrial deployment evidence</t>
  </si>
  <si>
    <t>Strong system-level decision-support reference, especially valuable for HMLV and Industry 4.0 DSS discussions</t>
  </si>
  <si>
    <t>Presents a real-time, risk-aware decision-support system for high-mix low-volume production in Industry 4.0, combining hybrid optimization, simulation, and robotic process automation to support dynamic production decisions</t>
  </si>
  <si>
    <t>Hybrid optimization, risk-aware decision support</t>
  </si>
  <si>
    <t>Industry 4.0 DSS, CPS, RPA</t>
  </si>
  <si>
    <t>HU</t>
  </si>
  <si>
    <t>Broad and well-structured contextual overview of Industry 4.0 technologies; clear mapping between technologies, benefits, challenges, and decision-making impact; useful global adoption (Europe, India, Brazil, emergin economies); explicit discussion of decision-making improvement as a motivation for I4.0; extensive tabular synthesis of prior studies</t>
  </si>
  <si>
    <t>Purely descriptive; no decision support modes, algorithms, or architectures; lacks critical comparison of DSS approaches; limited novelty beyond aggregation; weak linkage to operational or prescriptive decision support</t>
  </si>
  <si>
    <t>A comprehensive review of Industry 4.0 technologies, adoption trends, challenges, and success factors across regions and industries</t>
  </si>
  <si>
    <t>Provides contextual grounding and terminology consolidation for Industry 4.0 and data-driven decision-making, but no direct decision-support contribution</t>
  </si>
  <si>
    <t>None (review paper)</t>
  </si>
  <si>
    <t>Concrete DSS architectures; algorithmic and prescriptive decision support methods; empirical validation of decision-making improvements</t>
  </si>
  <si>
    <t>The paper is a review of the current state of industry 4.0 - it is making no contribution to be included in our survey</t>
  </si>
  <si>
    <t>Useful background and framing reference for Industry 4.0-driven decision support, not a core technical paper</t>
  </si>
  <si>
    <t>Provides a global review of Industry 4.0 technologies, adoption patterns, challenges, and success factors, highlighting their role in enabling data-driven decision-making and operational efficiency across industries</t>
  </si>
  <si>
    <t>Literature review</t>
  </si>
  <si>
    <t>Industry 4.0 ecosystem technologies</t>
  </si>
  <si>
    <t>IN</t>
  </si>
  <si>
    <t>Very strong decision-support framiong: integrates real-time detection, modeling, and corrective decision logic; explicit treatment of rescheduling policy selection rather than only optimization; hybrid policy balances objective performance (RPD) and schedule stability; rigorous and large-scale experimental design (~1M experiments); realistic modeling of rework and reconditioning events</t>
  </si>
  <si>
    <t>Centralized control assumption; no learning-based estimation of reconditioning times (assumed known); simulation-only validation; computational overhead of BAS limits real-time scalability in very large systems</t>
  </si>
  <si>
    <t>An integrated event-driven modeling and rescheduling framework for job shops with rework and reconditioning under Industry 4.0</t>
  </si>
  <si>
    <t>Delivers a well-validated decision-support methodology for disturbnce-aware rescheduling, emphasizing policy choice and stability-performance trade-offs rather than pure optimization</t>
  </si>
  <si>
    <t>Large-scale simulation study with extensive sensitivity analysis (thresholds, PRO, MTTR, instance size)</t>
  </si>
  <si>
    <t>Learning-based prediction of reconditioning times; decentralized or agent-based decision support; real industrial deployment; integration with DT or AI-based prescriptive laters</t>
  </si>
  <si>
    <t>Excellent decision-support-centric rescheduling paper; strong methodological complement to AI- and DT-based DSS work</t>
  </si>
  <si>
    <t>Proposes an event-driven decision-support framework for job-shop rescheduling under rework and reconditioning disruptions, using Petri-net modeling and hybrid rescheduling policies to balance schedule quality and stability in Industry 4.0 settings</t>
  </si>
  <si>
    <t>Event-driven decision support, Petri-net based optimization</t>
  </si>
  <si>
    <t>CO</t>
  </si>
  <si>
    <t>L3/L4 Snowballing from here</t>
  </si>
  <si>
    <t>Strong decision support signal (maintenance + inspection policy selection) in a multi-stage line with buffers; uses AI/RL for operational control decisions</t>
  </si>
  <si>
    <t>Genetic Reinforcement Learning (GA + DDQN) MDP formulation, simulation/numerical experiments, sensitivty analysis</t>
  </si>
  <si>
    <t>Reinforcement Learning (DDQN), Genetic Algorithm, "GRL" (conceptually CPS/AI-driven manufacturing, but implementation is simulation)</t>
  </si>
  <si>
    <t>Clear operational decision support: per-machine actions (PM + inspection decisions) across stages, with explicit reward/cost formulation; Compares GRL against DDQN and GA; shows differing interaction/training setups (two agent–environment interaction methods)</t>
  </si>
  <si>
    <t>Evaluation is simulation-only; strong simplifying assumptions (e.g., 100% inspection when chosen; binary quality states; inspection errors modeled but still stylized); Contribution is mostly an algorithmic hybrid + modeled environment; limited evidence of deployability/real integration.</t>
  </si>
  <si>
    <t>Jointly optimize maintenance + quality inspection in multi-stage manufacturing considering quality–reliability interaction (Q–R chain idea), buffers, and propose GRL with two interaction methods</t>
  </si>
  <si>
    <t>A simulated MMS environment with degradation/quality/buffer cost models and a GA+DDQN hybrid (GRL) that learns PM/inspection policies; demonstrates improved reward vs baselines under their modeled setting</t>
  </si>
  <si>
    <t>Simulation / numerical case study (multi-stage MMS with buffers; compares GRL1/GRL2 vs GA/DDQN and fixed “policies”)</t>
  </si>
  <si>
    <t>Real-world validation, robustness to partial observability/noisy sensing beyond simplified error rates, and integration constraints (MES/QMS/CMMS) not addressed</t>
  </si>
  <si>
    <t>Good “decision support via RL” exemplar for maintenance/inspection policy optimization at line level; not scheduling-centric</t>
  </si>
  <si>
    <t>Proposes a GA+DDQN “genetic reinforcement learning” approach to choose per-machine preventive maintenance and inspection actions over production stages in a buffered multi-stage manufacturing system, modeling quality–reliability interaction and costs; validated via simulation comparisons and sensitivity analysis</t>
  </si>
  <si>
    <t>Genetic Reinforcement Learning (GA + DDQN), MDP formulation, simulation/numerical experiments, sensitivity analysis</t>
  </si>
  <si>
    <t>Reinforcement Learning (DDQN), Genetic Algorithm, “GRL”, (conceptually CPS/AI-driven manufacturing, but implementation is simulation)</t>
  </si>
  <si>
    <t>Strong decision-support contribution focused on lowering the barrier to simulation-based production planning. While not optimizing decisions directly, the work enables decision support by making simulation model creation accessible to non-experts.</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</si>
  <si>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</si>
  <si>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</si>
  <si>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L2 - Some discussion of broader applicability</t>
  </si>
  <si>
    <t>Clear decision-support enablement by transforming natural language requests into executable simulation models; Well-structured, end-to-end framework (NL input -&gt; simulation execution -&gt; KPI analysis); Strong emphasis on usability and accessibility, addressing a real industrial bottleneck in simulation adoption</t>
  </si>
  <si>
    <t>Decision support is indirect: the system supports planners but does not autonomously decide or optimize; Evaluation is limited to simulated case studies; no industrial deployment or long-term usage reported; Relies on generic LLMs; struggles with highly specialized manufacturing domains without detailed user input</t>
  </si>
  <si>
    <t>A novel framework integrating LLMs with ASMG to allow non-expert users to generate production planning simulation models via natural language</t>
  </si>
  <si>
    <t>Demonstrates that LLM-assisted, template-constrained natural language interfaces can reliably generate executable discrete-event simulation models for production planning, significantly reducing setup time and expertise requirements</t>
  </si>
  <si>
    <t>Simulation-based case studies and performance testing across multiple manufacturing domains; comparison against traditional ASMG workflows</t>
  </si>
  <si>
    <t>Lack of real-world deployment and integration with MES/ERP systems; No assessment of decision quality improvements compared to expert-built models; Scalability and robustness under noisy or incomplete real industrial data remain open</t>
  </si>
  <si>
    <t>Valuable for the survey as an enabling technology for decision support rather than a direct decision algorithm</t>
  </si>
  <si>
    <t>Presents an LLM-enhanced automatic simulation model generation framework that converts natural language user requests into executable production planning simulation models, enabling non-expert decision makers to perform simulation-based analysis with minimal technical knowledge</t>
  </si>
  <si>
    <t>Automatic Simulation Model Generation (ASMG), Large Language Models (LLMs), rule-based action detection, template-driven prompt engineering, discrete-event simulation</t>
  </si>
  <si>
    <t>Large Language Models (Qwen 2.5 Coder), Natural Language Interfaces, Discrete-Event Simulation (Tecnomatix Plant Simulation), REST APIs, JSON-based model generation</t>
  </si>
  <si>
    <t>Partially</t>
  </si>
  <si>
    <t>Explicit decision-making support focus at the enterprise / supply-chain level, targeting logistics manufacturing integration strategy selection. However, the contribution is predominantly strategic and policy-oriented rather than operational decision support</t>
  </si>
  <si>
    <t>Two-stage fuzzy quality function development (QFD), DEMATEL, MULTIMOORA, interval-valued triangular fuzzy numbers (IVTFN), multi-criteria decision making (MCDM)</t>
  </si>
  <si>
    <t>Fuzzy decision-making frameworks, MCDM methods (QFD-DEMTEL-MULTIMOORA); no explicit industry 4.0, CPS, or data-driven operational technologies</t>
  </si>
  <si>
    <t>Clear and well-structured decision-support framework for prioritizing integration requirements, measures, and solutions across logistics and manufacturing sectors; Explicit handling of uncertainty via IVTFN, impriving robustness over crisp MDCDM approaches; Demonstrates applicability through a realistic regional case study (Pinglu Canal region, China)</t>
  </si>
  <si>
    <t>Decision support is strategic and macro-level, aimed at policymakers and enterprise managers rather than operational control or real-time decision making; Heavy reliance on expert judgement and linguistic evaluations; no data-driven or leanring-based components; No integration with actual manufacturing execution, logistics systems, or digital infrastructure</t>
  </si>
  <si>
    <t>Proposes a novel two-stage fuzzy QFD-DEMATEL-MULTIMOORA framework to identify key integration requirements, derive functional measures, and select optimal integration solutions for logistics-manufacturing integration</t>
  </si>
  <si>
    <t>Provides a structued, fuzzy MCDM-based roadmap for prioritizing logistics-manufacturing integration strategies at the enterprise and policy level; mainly supports strategic planning rather than operational decision execution</t>
  </si>
  <si>
    <t>Case study + sensitivity analysis + comparative against alternative MCDM formulations; no simulation of production or logistics operations</t>
  </si>
  <si>
    <t>Lack of oeprational validation in real production or logistics systems; no assessment of impact on actual performance metrics (throughput, lead time, cost) beyond decision rankings; Does not address dynamic, real-time decision-making contexts typical of HMLV manufacturing</t>
  </si>
  <si>
    <t>Yes (Borderline/Contextual)</t>
  </si>
  <si>
    <t>If strict focus is on operational decision support, this paper is too strategic</t>
  </si>
  <si>
    <t>Scope</t>
  </si>
  <si>
    <t>If focus strictly on operational decision support, then do not use. Could be useful as a contrast paper illustrating MCDM-based strategic decision support at L3/L4, but not representative of data-driven or real-time decision support systems</t>
  </si>
  <si>
    <t>Porposes a two-stage fuzzy QFD-DEMATEL-MULTIMOORA decision-support framework to identify prioritize, and select integration strategies for logistics and manufacturing industries, validated via a regional Chinese case study and sensitivity analysis</t>
  </si>
  <si>
    <t>Two-stage fuzzy Quality Function Deployment (QFD), DEMATEL, MULTIMOORA, interval-valued triangular fuzzy numbers (IVTFN), multi-criteria decision making (MCDM).</t>
  </si>
  <si>
    <t>Fuzzy decision-making frameworks, MCDM methods (QFD–DEMATEL–MULTIMOORA); no explicit Industry 4.0, CPS, or data-driven operational technologies.</t>
  </si>
  <si>
    <t>Strong decision-support contribution focused on hierarchical decision making for concurrent product family and assembly system design. Explicitly addresses conflicting decisions across design, manufacturing, and assembly using a structured leader–follower framework</t>
  </si>
  <si>
    <t>Multi-objective bi-level programming (MOBLP), leader–follower joint optimization (LFJO), Design Structure Matrix (DSM), interface complexity modeling, nested bi-level genetic algorithm (M-NBGA), simulation-based case study</t>
  </si>
  <si>
    <t>Optimization-based decision support, metaheuristics (genetic algorithms), DSM-based modeling; no real-time CPS or data-driven sensing components (offline decision support)</t>
  </si>
  <si>
    <t>Clear hierarchical decision-support structure separating product family decisions (leader) from supplier, manufacturing, and assembly decisions (followers); xplicit modeling of interface complexity and assembly system complexity, which are often ignored in product family design; Comprehensive mathematical formulation with well-defined objectives, constraints, and decision variables</t>
  </si>
  <si>
    <t>Entirely simulation-based; no validation using real industrial data or deployment evidence; Computational complexity is high, relying on nested genetic algorithms and extensive parameter tuning; Decision support is strategic/offline; not suitable for real-time or adaptive decision-making contexts typical of dynamic HMLV environments</t>
  </si>
  <si>
    <t>Proposes a multi-objective bi-level leader–follower optimization framework to jointly configure product families and assembly systems, explicitly accounting for interface modularity, assembly complexity, and profit maximization</t>
  </si>
  <si>
    <t>Demonstrates that hierarchical (bi-level) optimization can better balance conflicting design, manufacturing, and assembly objectives than all-in-one approaches, using a simulated refrigerator product family case</t>
  </si>
  <si>
    <t>Simulation-based numerical case study with sensitivity analysis and algorithm parameter tuning (Taguchi method); no real-world experimentation</t>
  </si>
  <si>
    <t>Lack of scalability analysis for large, highly dynamic manufacturing environments; No consideration of uncertainty, real-time disturbances, or partial observability; Integration with digital twins, MES, or real operational data remains unexplored</t>
  </si>
  <si>
    <t>Strong example of hierarchical optimization-based decision support; useful for framing how leader–follower models support complex manufacturing decisions</t>
  </si>
  <si>
    <t>Proposes a multi-objective bi-level leader–follower optimization framework that concurrently designs product family architectures and assembly systems by modeling interface complexity, assembly costs, and profit trade-offs, solved using a nested bi-level genetic algorithm and validated through simulation</t>
  </si>
  <si>
    <t>AUS</t>
  </si>
  <si>
    <t>Strong decision/scheduling signal at distributed enterprise level. Explicitly addresses multi-factory production with transportation decisions, aligning with enterprise-level decision support</t>
  </si>
  <si>
    <t>Deep reinforcement learning (DQN), bi-population evolutionary optimization, MILP modeling, multi-objective optimization (makespan, total energy consumption)</t>
  </si>
  <si>
    <t>Deep reinforcement learning, distributed scheduling systems, production–transportation integration, intelligent optimization frameworks</t>
  </si>
  <si>
    <t>Explicit modeling of multiple factories and inter-factory transportation, going beyond single-plant scheduling; Joint optimization of production, factory assignment, and transportation decisions; Well-structured hybrid approach combining RL with evolutionary optimization</t>
  </si>
  <si>
    <t>Entirely simulation-based evaluation with no industrial deployment; Strong reliance on centralized decision-making and full system observability; Domain-specific (precast concrete), limiting generalizability</t>
  </si>
  <si>
    <t>A bi-population deep Q-network framework for solving distributed flexible job shop scheduling with integrated production transportation</t>
  </si>
  <si>
    <t>Demonstrates that DRL-guided evolutionary optimization can effectively coordinate production and transportation decisions across multiple factories in a distributed manufacturing setting</t>
  </si>
  <si>
    <t>Simulation-based experiments on multiple DFJSPT benchmark instances; comparative evaluation against competitive algorithms</t>
  </si>
  <si>
    <t>Lack of real-world validation and ERP/MES integration; Scalability and real-time feasibility in operational enterprise environments not demonstrated; Transportation modeled deterministically, without uncertainty</t>
  </si>
  <si>
    <t>Strong example of enterprise-level decision support integrating production and logistics decisions across multiple plants</t>
  </si>
  <si>
    <t>Proposes a DRL-driven bi-population evolutionary framework to jointly optimize production scheduling and transportation across multiple precast concrete factories, minimizing makespan and energy consumption</t>
  </si>
  <si>
    <t>Deep reinforcement learning, evolutionary optimization</t>
  </si>
  <si>
    <t>Distributed manufacturing systems, intelligent scheduling</t>
  </si>
  <si>
    <t>PAPER ALREADY IN P6</t>
  </si>
  <si>
    <t>Strong decision support signal at line/cell level. Addresses real-time decision-making under dynamic disturbances with integrated planning, scheduling, and resource allocation</t>
  </si>
  <si>
    <t>Genetic Programming Hyper-Heuristic (GPHH), integrated mathematical modeling, multi-objective optimization, dynamic scheduling simulation</t>
  </si>
  <si>
    <t>Reconfigurable Manufacturing Cells (RMC), intelligent decision support systems, simulation-based optimization, cyber-physical production modeling</t>
  </si>
  <si>
    <t>Explicit integration of process planning, scheduling, reconfiguration, and resource allocation into a single decision framework; Designed for dynamic environments with frequent disturbances and real-time decision needs; Hyper-heuristic approach balances adaptability with computational efficiency</t>
  </si>
  <si>
    <t>Entirely simulation-based; no industrial deployment or real-time system integration; Centralized decision logic assumes high system observability; High modeling complexity may hinder practical adoption</t>
  </si>
  <si>
    <t>A dynamic integrated process planning and scheduling framework for workshops with reconfigurable manufacturing cells under multi-resource constraints</t>
  </si>
  <si>
    <t>Demonstrates that hyper-heuristic decision support can coordinate multiple tightly coupled decision layers in dynamic manufacturing cells more efficiently than traditional rescheduling or RL-only approaches</t>
  </si>
  <si>
    <t>Extensive simulation experiments with dynamically generated task arrivals; benchmark comparison against baseline and state-of-the-art algorithms</t>
  </si>
  <si>
    <t>Lack of real-world validation and MES/ERP integration; Scalability to very large industrial systems remains uncertain; Human-in-the-loop decision support not considered</t>
  </si>
  <si>
    <t>Strong example of line/cell-level decision support under dynamic, multi-resource constraints; relevant for dynamic decision support in reconfigurable manufacturing cells</t>
  </si>
  <si>
    <t>Proposes a hyper-heuristic decision support framework that dynamically integrates process planning, scheduling, reconfiguration, and resource allocation for complex manufacturing cells under uncertainty</t>
  </si>
  <si>
    <t>Hyper-heuristic optimization</t>
  </si>
  <si>
    <t>Reconfigurable manufacturing systems, simulation-based decision support</t>
  </si>
  <si>
    <t>Actual Contribution (See info for explanation)</t>
  </si>
  <si>
    <t>Research contribution</t>
  </si>
  <si>
    <t>Arhitecture/framework</t>
  </si>
  <si>
    <t>Discrete Event Simulation (FlexSim), Sync with physical twin and integration with internet of things platform, Ant Colony Optimization for scheduling</t>
  </si>
  <si>
    <t>digital twin, robotics, simulation, internet of things</t>
  </si>
  <si>
    <t>A lot of technical detail, with tech-stack, implementaion and API desciptions, good interop and real-time capabilities</t>
  </si>
  <si>
    <t xml:space="preserve">Does not compare its results with others (it is more about the SW architecture), it does not provide the code, not cost benefit analysis, configurability and generalization is unclear, no operator validation </t>
  </si>
  <si>
    <t>DT architecture with laboratory industrial validation</t>
  </si>
  <si>
    <t>Validate achitecture PoC, technical implementation</t>
  </si>
  <si>
    <t>Simuation, robotics integrated conveyer system</t>
  </si>
  <si>
    <t>Limited integration and evaluations</t>
  </si>
  <si>
    <t>Graph Scheduler, Graph Decoder, Reinforcement Learning Framework</t>
  </si>
  <si>
    <t>automated guide vehicles, REINFORCE, deep learning, multi-head attention, Graph Neural Networks</t>
  </si>
  <si>
    <t>Scale generalization (number of machines/agvs), end-to-end decision making (no human in the loop), Novel graph structure, solid benchmark and performance</t>
  </si>
  <si>
    <t>No code, limited real world testing, missing implementation details (MES integration)</t>
  </si>
  <si>
    <t>HGS scalie invariant scheduling method</t>
  </si>
  <si>
    <t>Good generalizable method and works end-to-end</t>
  </si>
  <si>
    <t>Benchmark datasets</t>
  </si>
  <si>
    <t>Unknown real world application value</t>
  </si>
  <si>
    <t>markov decision process, reinforcement learning, state representation</t>
  </si>
  <si>
    <t>deep learning, reinforcement learning, machine learning, markov decision process</t>
  </si>
  <si>
    <t xml:space="preserve">Intuitive state representation, end-to-end, addresses dynamic processing times (more generalizable) </t>
  </si>
  <si>
    <t>Low conference quality, no code, no comparisions with other newer methods, no error tolerances included in the method</t>
  </si>
  <si>
    <t>Novel state representation and processing network, end-to-end, generalizable</t>
  </si>
  <si>
    <t>Fast, simplistic, generalizable</t>
  </si>
  <si>
    <t>No error handling or modeling of other dynamic job shop conditions, only time variation</t>
  </si>
  <si>
    <t>simulation, computation reduction</t>
  </si>
  <si>
    <t>Explainations of simulation metamodels, addresses computational issues with real time digital twins, novel approach to convert scheduling sequences into vectors</t>
  </si>
  <si>
    <t>No real world validation of method, simulation used for both training and testing, no code and data available</t>
  </si>
  <si>
    <t>Machine learning based simulation approach for scheduling problem</t>
  </si>
  <si>
    <t>Addressing computation issues with digital twins</t>
  </si>
  <si>
    <t>No standard benchmarks used for validation, unclear how integration with MES works</t>
  </si>
  <si>
    <t>Semi-conductor</t>
  </si>
  <si>
    <t>Method</t>
  </si>
  <si>
    <t>deep q-network, optimization, reinforcement learning, synthetic data generation</t>
  </si>
  <si>
    <t>Incorporated machine faliures and job arrivals, thorough training descriptions</t>
  </si>
  <si>
    <t xml:space="preserve">No code and data available, </t>
  </si>
  <si>
    <t xml:space="preserve">Novel reinforment learning approach to deal with dynamic events, </t>
  </si>
  <si>
    <t>Random dataset generator, scaleable setup, reinfocement learning training</t>
  </si>
  <si>
    <t>Randomly generated dataset</t>
  </si>
  <si>
    <t>No real world validation</t>
  </si>
  <si>
    <t>This paper descibes how to use a double deep q-network algorithm for a dynamic scheduling problem. The interesting part is their description of the training algorithm and how they randomly generate the dataset. They have good figures describing their findings, but the tables are a bit overwhelming and the real world usability is a bit unclear.</t>
  </si>
  <si>
    <t>Full text not available</t>
  </si>
  <si>
    <t>deep learning, reinforcement learning, recurrent neural networks</t>
  </si>
  <si>
    <t>Good description of the case studies, data available on request, easy to read and understand what the authors did</t>
  </si>
  <si>
    <t>code available but requires waterloo university login, no comparison with other methods</t>
  </si>
  <si>
    <t>Reinforcment learning scheduling agent</t>
  </si>
  <si>
    <t>Introduction to the topic and understandable cases and applicaitons</t>
  </si>
  <si>
    <t xml:space="preserve">Error on case datasets </t>
  </si>
  <si>
    <t>The paper uses case studies but it is still a bit unclear how relevant it is for real world application</t>
  </si>
  <si>
    <t>This paper presents two scheduling problem case studies and how they used reinfocment learning to make a scheduling agent.</t>
  </si>
  <si>
    <t>metaheuristic, optimization, synthetic data generation</t>
  </si>
  <si>
    <t xml:space="preserve">machine learning, genetic algorithm </t>
  </si>
  <si>
    <t xml:space="preserve">Interesting comparison with different machine learning models, good descriptions of implementations </t>
  </si>
  <si>
    <t>Sounds like ChatGPT wrote it, their results measure accuracy and they compare only with themselves, thesis level paper, no code</t>
  </si>
  <si>
    <t>Using machine learning to decide schedules generated by genetic algorithm</t>
  </si>
  <si>
    <t>Architecture and training implementation details</t>
  </si>
  <si>
    <t>Accuracy on dataset</t>
  </si>
  <si>
    <t>Lackluster evaluation, hard to assess real world application</t>
  </si>
  <si>
    <t xml:space="preserve">This paper uses a GA algorithm to propose near optimal schedules and then an ML algorithm to select a schedule from the proposal. Different ML models are trained and compared. </t>
  </si>
  <si>
    <t>Fine introduction to problem and methodology, useful if you dont know reinforcement learning beforehand</t>
  </si>
  <si>
    <t>Few figures and tables, compares two well know techniques on a problem, low novelty value</t>
  </si>
  <si>
    <t>Comparing deep q network and rainbow on scheduling problem</t>
  </si>
  <si>
    <t>Good introduction to the topic</t>
  </si>
  <si>
    <t>Benchmark dataset</t>
  </si>
  <si>
    <t>This paper comapares rainbow and dqn for reinforcement learning on job shop scheduling problem. Their findings show that DQN.</t>
  </si>
  <si>
    <t>forecasting, logical framework</t>
  </si>
  <si>
    <t>Proposes a framework for establishing ai/ml based lead prediction specifically for small and medium enterprices, describes what components need to provide data to establish predicitve capabilities, shory and easy to read</t>
  </si>
  <si>
    <t>No concrete examples or demonstration of their proposed framework, the suggested data collection strategies have not been validated</t>
  </si>
  <si>
    <t>Proposed logical framework for establishing lead time prediction for small and medium size enterprices</t>
  </si>
  <si>
    <t>Mapping out important data sources for esablishing predictive capabilities</t>
  </si>
  <si>
    <t>Validation from actual case studies or industrial partners</t>
  </si>
  <si>
    <t>This paper talk about making a framework for establishing ai/ml capabilities for lead time prediction which will help small and medium size companies making better guarantees and understand their capacity</t>
  </si>
  <si>
    <t>lead time prediction</t>
  </si>
  <si>
    <t xml:space="preserve">Good figures and decent explainations, comprehensive comparisions, </t>
  </si>
  <si>
    <t>Incredibly wierd text and figure allignment, bit lackluster discussion and conclusion, spends a lot of time on things like hyperparameter tuning</t>
  </si>
  <si>
    <t>Combining graph neural networks and reinfocement learning</t>
  </si>
  <si>
    <t>Good figures and visualizations</t>
  </si>
  <si>
    <t>Real work applicability</t>
  </si>
  <si>
    <t>This paper presents a way to combine graph neural networks and train them with reinforcement learning on job shop scheduling problem. It has good figures but the overall quality of the paper is quesionable.</t>
  </si>
  <si>
    <t>Code can be optained on request (they are using SimPy), it is an interesting paper with a different perspective on the job shop problem, it has many technical implementation details</t>
  </si>
  <si>
    <t>A bit hard to read when you haven't heard about material flow control before, they use a lot of notation that is hard to follow</t>
  </si>
  <si>
    <t>Using reinforcement learning for material flow control</t>
  </si>
  <si>
    <t>Solid implementation explainations</t>
  </si>
  <si>
    <t xml:space="preserve">This paper talks about using reinforcment learning for the material flow control problem. This topic is more about when to dispatch orders and controlling which stations the material can go through. </t>
  </si>
  <si>
    <t>material flow control</t>
  </si>
  <si>
    <t>Code available! Highly technical explainations, good figures</t>
  </si>
  <si>
    <t>A bit hard to read and understand, seems like their method computes faster but has higher complexity</t>
  </si>
  <si>
    <t>Novel end-to-end muli objective scheduling method</t>
  </si>
  <si>
    <t>Code</t>
  </si>
  <si>
    <t>Unclear the practical use of the method as it looks complicated, but good that they provide the code</t>
  </si>
  <si>
    <t>This paper talks about multi objective scheduling, so not just optimizing the makespan but also the quality.</t>
  </si>
  <si>
    <t xml:space="preserve">They highlight that scheduling is actually a big problem in the semicondutor industry, exellent figures and explainations of what they did, very high quality paper on the topic of scheduling </t>
  </si>
  <si>
    <t xml:space="preserve">No code or data available, unclear what benchmarks they use for comparisons only a short mention of trained in simulation </t>
  </si>
  <si>
    <t>Noved deep q network for scheduling</t>
  </si>
  <si>
    <t>Solid problem descriptions and their approach</t>
  </si>
  <si>
    <t>How well it works in other industries</t>
  </si>
  <si>
    <t>This paper talks about using reinforcement learning for scheduling optimization.</t>
  </si>
  <si>
    <t>Good figures and high quality paper, talks about explainability of the output schedules, good implementation detail level</t>
  </si>
  <si>
    <t xml:space="preserve">Talks about the tech stack but does not provide the code, </t>
  </si>
  <si>
    <t>Novel framework for integrating with reinforcement learning scheduling methods to gain interpretability</t>
  </si>
  <si>
    <t>Petri Net framework for graphical representation of scheduling solutions</t>
  </si>
  <si>
    <t>This paper talks about a framework they developed for integrating with reinforcement learning based scheduling to gain explainability and graphical visualizations</t>
  </si>
  <si>
    <t>Actually tested in real world application for product boxing line,</t>
  </si>
  <si>
    <t>Tested only in very small scale</t>
  </si>
  <si>
    <t>Novel approach to solving dynamic scheduling problem</t>
  </si>
  <si>
    <t>Real world scheduling case study and deployment</t>
  </si>
  <si>
    <t>Real world case study</t>
  </si>
  <si>
    <t>Small scale</t>
  </si>
  <si>
    <t>This paper talks about using reinforcement learning for scheduling optimization and applys its solution to a real world product packaging system</t>
  </si>
  <si>
    <r>
      <rPr>
        <rFont val="Verdana"/>
        <strike/>
        <color theme="1"/>
      </rPr>
      <t>L2</t>
    </r>
    <r>
      <rPr>
        <rFont val="Verdana"/>
        <color theme="1"/>
      </rPr>
      <t xml:space="preserve"> - L4</t>
    </r>
  </si>
  <si>
    <t>Well written and is easy to read, first time i understand that the scheduling problem can acutally be across multiple factories, shows pretty impressive results</t>
  </si>
  <si>
    <t>Compares only with other reinforcment learning approcahes</t>
  </si>
  <si>
    <t xml:space="preserve">End to end graph neural network and reinforcement learining approach to distributed scheduling problem </t>
  </si>
  <si>
    <t>Easy to read and serves as one of the better papers on the topic</t>
  </si>
  <si>
    <t>Does not preform well as the number of factories increase, does not take into account dynamics</t>
  </si>
  <si>
    <t>This paper proposes a graph nerual network and reinforcement learning training strategy for a distrubuted scheduling problem, meaning that orders can be manufactured in multiple different factories and it is up to the algorithm to find the most suitable schedule accross these factories and their capabilities</t>
  </si>
  <si>
    <t>Quite nice feature descriptions, uses openAI gym and has failry transparent implementation details, explains very well what methods people use for job shop scheduling problem</t>
  </si>
  <si>
    <t>It would have been very nice if the paper provided the code since it is already quite detailed wrt. implementation</t>
  </si>
  <si>
    <t>Using reinforcement learning for the job shop scheduling problem</t>
  </si>
  <si>
    <t xml:space="preserve">A must read if you plan on implementing scheduling and using reinforcement learning </t>
  </si>
  <si>
    <t>This paper talks about using OpenAI gym to create a simulation environment for reinforcement learning for the job shop scheduling problem. It is highly technical and very detailed</t>
  </si>
  <si>
    <t>Very strong paper and one of the best in the field i have read. Presents the problem, their solution, and results very well</t>
  </si>
  <si>
    <t>Beating OR tools which has never been reported before (according to this paper)</t>
  </si>
  <si>
    <t>Good display of results and easy to follow, also provides code</t>
  </si>
  <si>
    <t>This paper is about the scheduling problem for flexible job shop. It uses an attention based network trained with reinforcement learning and it performs very well. The paper is nicly written.</t>
  </si>
  <si>
    <t>Tænker at give 2-3 af dine to sidste til Samra. (dem der lægger til sidst)</t>
  </si>
  <si>
    <t xml:space="preserve">It has nice figures, tables, and psedocode, well written paper. </t>
  </si>
  <si>
    <t>I cant really see how this paper distinguishes from other papers on the same topic, maybe just by focusing more on AGVs</t>
  </si>
  <si>
    <t xml:space="preserve">Scheduling approach for job shop with limited AGVs </t>
  </si>
  <si>
    <t>Cool figues and style, plus higher focus on AGVs and their limitations</t>
  </si>
  <si>
    <t>This paper talks about the sceduling problem with a special focus on AGVs and accounts for the dynamics of these, i.e. the transportation time</t>
  </si>
  <si>
    <t>While the paper is about scheduling and planning it feels completely different from other papers, and has a very interesting and unique take on the problem. Very well written and detailed and inspirational.</t>
  </si>
  <si>
    <t xml:space="preserve">Code not available, some of the parts can be a bit tricky to follow </t>
  </si>
  <si>
    <t>demand driven and dynamics informed scheduling and planning framework for multi-functional robots</t>
  </si>
  <si>
    <t>High degree of novelty</t>
  </si>
  <si>
    <t>The evaluation method (case study) is poorly descibed and it is difficult to picture exactly how the system works in the real world</t>
  </si>
  <si>
    <t>This paper presents a framework for optimizing scheduling and planning for robots capable of working across multiple work stations (multi-functional)</t>
  </si>
  <si>
    <t>Conceptual paper on Indsustry 6.0</t>
  </si>
  <si>
    <t>Interesting take on the production scheduling problem and has very nice figures that are clearly illustrating the concept (definitly worth checking out)</t>
  </si>
  <si>
    <t>The method is interesting and seems like something that can be easily applied, which is why it is unfortunate that they dont supply the code.</t>
  </si>
  <si>
    <t>Clear contribution in a method for feature selection in production scheduling tasks, directly enchancing the performance and reducing computational state space</t>
  </si>
  <si>
    <t xml:space="preserve">Talking about importance of feature selection (often neglected) </t>
  </si>
  <si>
    <t>Simulation (PySim)</t>
  </si>
  <si>
    <t>Could benefit from comparing with exisitng benchmarks to compare with other methods on these and not just their own simulation setup</t>
  </si>
  <si>
    <t>This paper looks a what features are useful to determine a production schedule in a flexible and dynamic environemt. It uses bayesian optimization to find the most relevant features, and RL to make the schedule from those features</t>
  </si>
  <si>
    <t>Semi-condutor</t>
  </si>
  <si>
    <t>The paper is well written and a breath of fresh air with a new topic that is not purely scheduling.</t>
  </si>
  <si>
    <t>It is a bit hard to understand as it quite different from the other papers, and it is VERY math hevy</t>
  </si>
  <si>
    <t>Method to address cost effective logisitics for high variance manufacturing companies</t>
  </si>
  <si>
    <t xml:space="preserve">Descriptions of the logicstics problem in high variance manufacturing </t>
  </si>
  <si>
    <t>Random generated test instances</t>
  </si>
  <si>
    <t xml:space="preserve">The evaluation is hard to follow, unsure how real world applicable the system is </t>
  </si>
  <si>
    <t>This paper talk about delivering parts from suppliers to automakers (with high variety) in the most time efficient way possible. While accounting for time variance in the asselbly line and inventory limitations at the automakers site.</t>
  </si>
  <si>
    <t xml:space="preserve">I really like that the authors are honest about using ChatGPT in the writing of the paper. The paper is really good and seems to have strong results. The paper also includes a real world case study which was very interesting to read about </t>
  </si>
  <si>
    <t>Proposing a RL based method for scheduling</t>
  </si>
  <si>
    <t>Clarification of real world applicability for scheduling methods. Strong results</t>
  </si>
  <si>
    <t>Case study simulation, Benchmark datasets</t>
  </si>
  <si>
    <t>This paper talks about using RL for job shop scheduling problem. The paper is really good at describing the real world usage of such system, and has great results.</t>
  </si>
  <si>
    <t xml:space="preserve">Really good review of other DRL methods for scheduling, </t>
  </si>
  <si>
    <t>Overwhelming amounts of results makes it unclear what the actual contribution of this paper is</t>
  </si>
  <si>
    <t>Novel DRL alogrithm that incoporates problem-specific characteristics</t>
  </si>
  <si>
    <t>Primarily the review of other methods i thought was the primary contribution of reading the paper</t>
  </si>
  <si>
    <t>Unclear the real world relevance</t>
  </si>
  <si>
    <t>This paper talks about improving upon existing rl methods for scheduling by expanding the algorithm. The improved algorthm seems to have better perfromacne in dynamic scenarios</t>
  </si>
  <si>
    <t>Good description on what a Pareto fronteir is. Has more focus on enegy optimization. Has real world case study. Interesting figures.</t>
  </si>
  <si>
    <t>Some of their results are hard to understand and unreadable figure lables</t>
  </si>
  <si>
    <t xml:space="preserve">Making a method that can significantly reduce energy consumption for a production line </t>
  </si>
  <si>
    <t xml:space="preserve">Enegy efficient scheduling </t>
  </si>
  <si>
    <t>Case study, benchmark datasets</t>
  </si>
  <si>
    <t>This paper talks about creating a schedule that balances enegy consumption and makespan optimization goals using DRL.</t>
  </si>
  <si>
    <t>Mechanical Components</t>
  </si>
  <si>
    <t>cannot access paper</t>
  </si>
  <si>
    <t>The paper seems to be extremely high quality, but it is not about manufacturing but rather scheduling in distributed compute clusters.</t>
  </si>
  <si>
    <t xml:space="preserve">Very interesting paper talking about the design of reconfigurable systems and the design that goes into making these systems. They also propose a software tool for assiting in the design which is very interesting and from my POV novel. They go into great software design detail aswell. The paper is overall very nicely written and a great source of inspiration to this MADE project. </t>
  </si>
  <si>
    <t xml:space="preserve">They dont compare with other methods because it is so novel. Therefore it is difficult to asses how much it improves the reconfigurability design aspects </t>
  </si>
  <si>
    <t>Improving design of reconfigurable manufacturing systems</t>
  </si>
  <si>
    <t>Building a software system that supports the decision making in designing a manufacturing system that is reconfigurable\</t>
  </si>
  <si>
    <t>Laboratory manufacturing enviornment</t>
  </si>
  <si>
    <t>This paper talks about designing a software tool that assists in designing reconfigurable manufacturing systems that are able to handle rapid design changes and potential faliures in the production line</t>
  </si>
  <si>
    <t>reconfigurability</t>
  </si>
  <si>
    <t>The paper improves on well established scheduling methods by also considering the dynamics of random job arrivals and machine breakdowns. The DRL based algorithm they develop is able to schedule jobs in real time and and performs really well.</t>
  </si>
  <si>
    <t>I get a feeling that the paper is biased since the results of the authors method are just better than what they compare with in every aspect.</t>
  </si>
  <si>
    <t>Making a method for highly dynamic scheduling in real time</t>
  </si>
  <si>
    <t>Considering dynamics such as machine breakdown and random job arrivals in the method</t>
  </si>
  <si>
    <t>Unclear</t>
  </si>
  <si>
    <t xml:space="preserve">Their description of training data generation and compraison testing is very unclear </t>
  </si>
  <si>
    <t>This paper speaks about considering the dynamics of random job arrivals and machine breakdown flexibility in the scheduling process, and implements a method for schedule generation in real time</t>
  </si>
  <si>
    <t>The paper identifies that a lot of scheduling mehods does not model the works that are on the production lines. This paper models the workers considering their skills and fatique levels when generating the production schedule. The paper also demonstrates the rescheduling property of the system by introducing the arrival of random jobs in the evaluation scenario</t>
  </si>
  <si>
    <t>The evaluation is a bit underwhelming since not many methods have same considerations so comparative analysis seems to have been difficult to make</t>
  </si>
  <si>
    <t>Considering worker effectivenice (including fatique and experience levels), in the scheduling method</t>
  </si>
  <si>
    <t>Filling the gap in the literature with method that models the line workers</t>
  </si>
  <si>
    <t>Benchmark datasets, case study (real world)</t>
  </si>
  <si>
    <t>This paper talks about modeling the workers on the production line considering their skill and fatique level while generating production schedules. The paper also consider other dynamics such as random job arrivals which triggers rescheduling.</t>
  </si>
  <si>
    <t>i couldnt find the paper online</t>
  </si>
  <si>
    <t>the paper serves as more af a conceptual paper on how to structure manufacturing ontology</t>
  </si>
  <si>
    <t>Pages</t>
  </si>
  <si>
    <t>Decision type</t>
  </si>
  <si>
    <t>https://doi.org/10.1109/IEEECONF58110.2023.10520644</t>
  </si>
  <si>
    <t>High relevance to HMLV, real case validation, new approach to family tracking problem</t>
  </si>
  <si>
    <t>No comparison with other methods used for this problem, unclear steps in solving an issue, no reasoning for feature inclusion/exclusion, only 2 clusters?</t>
  </si>
  <si>
    <t>New method to identify value streams using process mining and machine learning</t>
  </si>
  <si>
    <t>clustering method including feature generation, clustering, feature selection and evaluation</t>
  </si>
  <si>
    <t>Case study of European manufacturer that produces electronic components</t>
  </si>
  <si>
    <t>Lack of real production datasets in HMLV environment</t>
  </si>
  <si>
    <t>Paper quality, clarity of the paper</t>
  </si>
  <si>
    <t>Automated decision making</t>
  </si>
  <si>
    <t>Unsupervised ML(X-means) + GA</t>
  </si>
  <si>
    <t>Improved technique for solving JSSP using RL to improve computing time, better results compared to other techniques, efficient computation time</t>
  </si>
  <si>
    <t>Not too detailed explanation of how the algorithm is used and developed(it is required to read foundation paper on which this one is developed), would prefer bit more on how the job is split, no real world validation</t>
  </si>
  <si>
    <t>Developed Proximal Policy Optimisation-based approach for DJSP with random job arrival. Assesing model's scalability and generalisation across diverse production environments</t>
  </si>
  <si>
    <t xml:space="preserve">Developed PPO model that outperforms other dispatching rules and hyper-heuristics models,  </t>
  </si>
  <si>
    <t>Short-sighted and single decision-making for DJSP, time-consuming metaheuristics solutions, overall research framework centered on static environemnts, further research on DRL is required</t>
  </si>
  <si>
    <t>Paper with DOI: 10.1007/s10845-023-02161-w should be snowballed for this one, as it gives introduction for the solution provided by this paper</t>
  </si>
  <si>
    <t>Deep Reinforced Learning - PPO method + DES</t>
  </si>
  <si>
    <t>Nicely structured approach to problem solution(clear solution framework), comparison to another solution(performed better), refered to DT as data-driven and real time decision making, stochaistics inputs(not predefined inputs)</t>
  </si>
  <si>
    <t xml:space="preserve">no real world validation, single objective optimisation(dont know if this should be weakness), </t>
  </si>
  <si>
    <t>Using data driven models within the DT of FJS production environment aiming to provide online estimations of PS metrics enabling DT-based reactive/proactive scheduling</t>
  </si>
  <si>
    <t>It can only predict one PS metric(makespan), it is not making whole DT scheduling framework</t>
  </si>
  <si>
    <t>Highly computational intensity of simulation-driven optimisation, existing ML models are focused on dispatching rules rather then full execution, there is a lot of simplifications in existing ML reserach</t>
  </si>
  <si>
    <t>Deep Learning - RNN (LSTM and GRU) + MLP/Attention</t>
  </si>
  <si>
    <t>Europe (Netherlands, Italy, Turkey and Ireland)</t>
  </si>
  <si>
    <t>When you have reviewed the first three pls send them to me to evaluate the review process.</t>
  </si>
  <si>
    <t>Detailed explanation of proposed solution, they are solving DJSSP problem which is not reflected to great extent(claimed by authors), stochaistic environment</t>
  </si>
  <si>
    <t>No real world validation, reward function has to be optimised manually, paper mentions a lot of different optimisation objectives but focuses only on makespan</t>
  </si>
  <si>
    <t>DQN model to develop a DRL approach that optimises static instances and adapts to stochastic events, DRL scheduling environment that uses five matrices to represent changing conditions, Designed three input features that helps DQN scheduling agent</t>
  </si>
  <si>
    <t>Same as claimed</t>
  </si>
  <si>
    <t>Scenario with 6 instances from OR-library</t>
  </si>
  <si>
    <t>A lot of time required to train an agent and the challenge of developing an agent capable of acting competently in a complex scenario, JSSP solvers cant handle dynamic uncertainty, need for DRL</t>
  </si>
  <si>
    <t>Semi-automated decision making</t>
  </si>
  <si>
    <t>Deep Reinforced Learning - Deep Q Networks</t>
  </si>
  <si>
    <t>Showcases better optimisation results for JSSP problems compared against heuristics and some policy based approachs, such as PPO, paper reflects on unpredictability and solves it efficiently, gives nice theory explanation of RL, DQN and DDQN</t>
  </si>
  <si>
    <t>DDQN approach is proposed to avoid the overestimation of rewards in a noisy environment and to have training stability while selecting and evaluating actions with different networks, unpredictability of the JSSp is evaluated by reshuffling the order of jobs and varying processing time so that the agent will adapt to it to maximise the generalisation capability</t>
  </si>
  <si>
    <t>Scenario with 14 instances from OR-library</t>
  </si>
  <si>
    <t>Predefined states for scheduling problems are insufficient to address real picture of manufacturing, static scheduling requires prior knowledge, which is challenging to acquire in a stochastic situations</t>
  </si>
  <si>
    <t>Automated Decision Making</t>
  </si>
  <si>
    <t>Deep Reinforced Learning - Double Deep Q Networks</t>
  </si>
  <si>
    <t>https://doi.org/10.1080/00207543.2022.2142314</t>
  </si>
  <si>
    <t>Very good paper, nicely explained theory behind agent-based decision-making supported with clear figures and process flows, focus on moving away from centralized to decentralized scheduling</t>
  </si>
  <si>
    <t>The scale of testing(6 machines, 20 jobs), state space and reward are manually added, lacking comparsion with other methods</t>
  </si>
  <si>
    <t>A multi agent manufacturing system with online scheduling ability, self-organizing negotiation mechanism based on Contract Network Protocol, adaptive AI scheduler based on PPO to improve decision-making disturbances</t>
  </si>
  <si>
    <t>same as claimed</t>
  </si>
  <si>
    <t>Hybrid - Simulation + Physical setup</t>
  </si>
  <si>
    <t>Centralised RL scheduling are not scaling well, static models cant follow frequent disturbances, most RL's focus only on single objective</t>
  </si>
  <si>
    <t>***</t>
  </si>
  <si>
    <t>Operational Real-Time decision-making</t>
  </si>
  <si>
    <t>Deep Reinforced Learning - PPO with negotiation mechanism</t>
  </si>
  <si>
    <t>New conceptual ground in HMLV production, clear theoretical foundation through cognitive informatics, multi-dimension decision perspective</t>
  </si>
  <si>
    <t>no quantitative comparison against other methods, no systematic evaluation of algorithm choice, not fully automated</t>
  </si>
  <si>
    <t>Propose a multi-dimensional cognitive framework for cognitive manufacturing based on OAR model</t>
  </si>
  <si>
    <t>Conceptual and architectural framework for decision support, mapping between cognitive informatics and production system modeling</t>
  </si>
  <si>
    <t>Case study + prototype implementation</t>
  </si>
  <si>
    <t>Lack of cognitive framework for production systems, weak integration between human cognition and AI manufacturing</t>
  </si>
  <si>
    <t>Semi-automated</t>
  </si>
  <si>
    <t>Cognitive framework + Digital Twin + AI</t>
  </si>
  <si>
    <t>https://doi.org/10.3390/app122010451</t>
  </si>
  <si>
    <t>Real world application, focus on dynamic disturbances, integrated fault prediction with rescheduling</t>
  </si>
  <si>
    <t>Scheduling algorithm is totally unclear, limited scale of disturbances</t>
  </si>
  <si>
    <t>Workshop production scheduling method based on digital twin</t>
  </si>
  <si>
    <t>Shopfloor scan with AutoDesk Recap software for building Digital Twin, Neural network-based fault monitoring model, dynamic scheduling strategy of workshop production based on digital twin</t>
  </si>
  <si>
    <t>Industrial Case Study + Digital twin environment</t>
  </si>
  <si>
    <t>Dynamic scheduling is hard to apply in real production due to lack of real-time state visibility, most DT reserach focueses on architecture, not operational scheduling</t>
  </si>
  <si>
    <t>Quite unclear scheduling algorithm, therefore no idea for decision-making</t>
  </si>
  <si>
    <t>Operational Real-Time decision-making?</t>
  </si>
  <si>
    <t>Digital Twin + Neural network-based fault prediction + not stated which algorithm for rescheduling</t>
  </si>
  <si>
    <t>Focuses on real-time decision-making under dynamic job arrivals, claimed to be first DRL-based solution for dynamic DPFSP, well designed development structure for DRL</t>
  </si>
  <si>
    <t xml:space="preserve">Only simulation is performed, </t>
  </si>
  <si>
    <t>A DRL-based scheduling model for DPFSP is established by designing novel rewards, efficient actions and relevant state features; The procedures of training and execution for the dynamic DPFSP based on DRL</t>
  </si>
  <si>
    <t>Demonstrated better results with the DRL than traditional meta-heuristics; This study can help large-scale companies to build a real-time and intelligent distributed scheduling system under smart manufacturing</t>
  </si>
  <si>
    <t>Simulation study</t>
  </si>
  <si>
    <t>Lack of real-time methods for dynamic DPFSP, dynamic environments unexplored</t>
  </si>
  <si>
    <t>DPFSP = Distributed Permutation Flowshop Scheduling Problem</t>
  </si>
  <si>
    <t>Deep Reinforced Learning</t>
  </si>
  <si>
    <t>Explicit modeling of resource preemption, identifies limitations in existing scheduling models, novel MARL model</t>
  </si>
  <si>
    <t>only simulation is performed(even though they indentify industrial deplyoment as future work), single object minimisation, static job set assumption</t>
  </si>
  <si>
    <t>The RPE is modeled as Dec-POMDP and the overall framework of MASA is provided. Then, the MARL algorithm QMIX is applied to resolve the RPE scheduling problem</t>
  </si>
  <si>
    <t>Multi-agent decision-making architecture for scheduling, demonstration that cooperation improves scalability and stabilit</t>
  </si>
  <si>
    <t>Simulation case study</t>
  </si>
  <si>
    <t>Lack of scheduling methods that handle RP, inability to reuse solutions across varying HMLV environments, poor scalability of centralized decision-making</t>
  </si>
  <si>
    <t>RPE = Resource Preemption Environment, MARL = Multi Agent Reinforced Learning, Dec-POMDP = Decentralized Partially Observeable Markov Decision Process</t>
  </si>
  <si>
    <t>Operational scheduling under shared resource constraint</t>
  </si>
  <si>
    <t>Cooperative autonomous decision-making (MARL)</t>
  </si>
  <si>
    <t>Integration of scheduling and preventive maintenance, digital twin used as a decision enabler, consideration of workers + machines</t>
  </si>
  <si>
    <t xml:space="preserve">only simulation based, single objective optimisation, </t>
  </si>
  <si>
    <t>Proposed a DT-enabled double-layer reinforcment learning solution framework to quickly respond to uncertain disturbances in an integated FJSP problem</t>
  </si>
  <si>
    <t>DT-driven closed-loop decision architecture, hierarchical RL-based scheduling policy</t>
  </si>
  <si>
    <t>Simulation-based environment</t>
  </si>
  <si>
    <t xml:space="preserve">Scheduling and maintenance not integrated, static modeling cant handle dynamic interuptions, limited application of RL models </t>
  </si>
  <si>
    <t>Operational real-time scheduling and rescheduling</t>
  </si>
  <si>
    <t>RL (Double-Layer Q-Learning) + DT</t>
  </si>
  <si>
    <t>Integrated decision making in production and maintenance, introducing framework for prognostics and health management PRM</t>
  </si>
  <si>
    <t>No optimal method but framework between stakeholders, high computational cost for scaled problems, a lot of assumptions</t>
  </si>
  <si>
    <t>Proposed new MAS framework to solve the joint scheduling of production and maintenance operations on machines subject to predictive maintenance</t>
  </si>
  <si>
    <t>Generic&amp;centralised decision-making framework for joint scheduling, PHM framework</t>
  </si>
  <si>
    <t>Simulation-based experiments</t>
  </si>
  <si>
    <t>same as for previous maintenance&amp;production problems - no integration</t>
  </si>
  <si>
    <t>MAS = multi-agent system</t>
  </si>
  <si>
    <t xml:space="preserve">Operational/tactical </t>
  </si>
  <si>
    <t>MAS + Predictive Maintenance</t>
  </si>
  <si>
    <r>
      <rPr>
        <rFont val="Calibri, sans-serif"/>
        <strike/>
        <color rgb="FF000000"/>
        <sz val="11.0"/>
      </rPr>
      <t>L2</t>
    </r>
    <r>
      <rPr>
        <rFont val="Calibri, sans-serif"/>
        <b/>
        <strike val="0"/>
        <color rgb="FF000000"/>
        <sz val="11.0"/>
      </rPr>
      <t xml:space="preserve"> L3</t>
    </r>
  </si>
  <si>
    <t>Approach to the decision-making is very good, bit more theoretical paper so easier to comprehend, strong focus on HMLV, clear deicison-support tool</t>
  </si>
  <si>
    <t>Written by person comming from industry, clear use of chatgpt for writting, weak citation/reference list</t>
  </si>
  <si>
    <t>Identifying critical delivery drivers, combining DES with ML, improving daily lot-sizing and scheduling decisions</t>
  </si>
  <si>
    <t>Structured deicision-support workflow, method for solving complex HMLV demand patterns</t>
  </si>
  <si>
    <t>HMLV is influenced with many factors which are poorly defined, data-driven analytics are poorly integrated with theory</t>
  </si>
  <si>
    <t>Tactical/Operational decisions</t>
  </si>
  <si>
    <t>DES + ML(k-means)</t>
  </si>
  <si>
    <t>Integrated scheduling and maintenance, expression of machine reliability with RUL prediction, technicaly strong paper</t>
  </si>
  <si>
    <t>A lot of modeling assumptions, no real-time application, no learning-based scheduling</t>
  </si>
  <si>
    <t>New joint deicision-making model for scheduling planning and predictive maintenance, Novel data-driven remaining useful life prediciton method, comparative experiments using real degradation datasets and benchmark scheduling data</t>
  </si>
  <si>
    <t>Same as claimed, no real-time solution</t>
  </si>
  <si>
    <t>Simulation + benchmark study</t>
  </si>
  <si>
    <t>Separated process of scheduling and maintenance, RUL is poorly integrated in operational decisions</t>
  </si>
  <si>
    <t>RUL = Remaining Useful Life</t>
  </si>
  <si>
    <t>Operational decision-making</t>
  </si>
  <si>
    <t>Metaheuristics + Deep learning RUL prediciton</t>
  </si>
  <si>
    <t>China (1 co-author Russia)</t>
  </si>
  <si>
    <t>Fully autonomous, well handling disturbances, nice PPO framework</t>
  </si>
  <si>
    <t>only simulation based, only one transporter, reward depending RL</t>
  </si>
  <si>
    <t>Propose a DRL framework under the PPO algorithm for addressing the dynamic scheduling problem with unexpected machine failure</t>
  </si>
  <si>
    <t>Fully autonomous DRL dispatcher, handling dynamic scheduling environment</t>
  </si>
  <si>
    <t>Simulation-based experimental</t>
  </si>
  <si>
    <t>Lack of dynamic environment papers, mainly DRL are acting based on rules not acting directly, limited research on machine failure while scheduling</t>
  </si>
  <si>
    <t>PPO = Proximal Policy Optimisation</t>
  </si>
  <si>
    <t xml:space="preserve">Autonomous </t>
  </si>
  <si>
    <t>PPO + DES</t>
  </si>
  <si>
    <t>https://doi.org/10.3233/ATDE220190</t>
  </si>
  <si>
    <t>Introduces different fields of manufacturing where monte carlo can be applied</t>
  </si>
  <si>
    <t>Very broad for all areas, also this is kinda literature review paper so shouldn't be considered for the survey</t>
  </si>
  <si>
    <t>Literature review, poorly written, quite broad without any contribution</t>
  </si>
  <si>
    <t>Monte Carlo</t>
  </si>
  <si>
    <t>Real-time and data-driven decision making, researches insufficient transportation resources thats underresearched area</t>
  </si>
  <si>
    <t>Simulation only validation, single fixed layout, high complexity</t>
  </si>
  <si>
    <t>Develop a real-time data-driven dynamic scheduling method for FJSP considering insufficient transportation resources using hybrid Q network</t>
  </si>
  <si>
    <t>fully autonomous DRL scheduling agent that selects scheduling rules online</t>
  </si>
  <si>
    <t>Simulation-based</t>
  </si>
  <si>
    <t>AGV number is assumed to be sufficient in literature, MetaHeuristics are unsuitable for online rescheduling</t>
  </si>
  <si>
    <t>DRL (DQN) + GA + DES</t>
  </si>
  <si>
    <t>https://doi.org/10.1049/cim2.12042</t>
  </si>
  <si>
    <t>Those marked in the black box has been given to Samra.</t>
  </si>
  <si>
    <t xml:space="preserve">Poorly explained concept of solution, weak paper, quality of conference is low, </t>
  </si>
  <si>
    <t>Fully autonomous decision-making, introducing new problem of FJSPT, novel method</t>
  </si>
  <si>
    <t>Simulation only validation, high computational complexity</t>
  </si>
  <si>
    <t>A heterogeneous graph-based state method for FJSPT, Composite decision-making mechanism</t>
  </si>
  <si>
    <t>Fully autonomous scheduling policy, improved solutions compared to traditional scheduling policies</t>
  </si>
  <si>
    <t xml:space="preserve">Simulation-based </t>
  </si>
  <si>
    <t>Transportation constraints are either not reflected upon or oversimplified in FJSP environment</t>
  </si>
  <si>
    <t>FJSPT = Flexible Job-Scheduling Problem with Transportation constraint</t>
  </si>
  <si>
    <t>Autonomous</t>
  </si>
  <si>
    <t>Graph-based Deep Reinforced Learning</t>
  </si>
  <si>
    <t>Method combining GNN and DRL(not offently seen), strong empirical performance against FJSP benchmarks</t>
  </si>
  <si>
    <t>Static problem setting which is contradictory to HMLV environment</t>
  </si>
  <si>
    <t>Static optimisation, nothing new compared to other methods, focused mainly on algorithm</t>
  </si>
  <si>
    <t>Dynamic disturbances, nice formulation of mathematical model</t>
  </si>
  <si>
    <t>Using known scheduling policies(dispatching rules), nothing newly designed in sense of algorithm</t>
  </si>
  <si>
    <t>Proposed a scheduling decision-making method based on the PPO algorithm to respond to dynamic events in real-time</t>
  </si>
  <si>
    <t>applied PPO to DJSP, rule-selection scheduler</t>
  </si>
  <si>
    <t>Simulation + benchmark validation</t>
  </si>
  <si>
    <t>Nothing new that's not mentioned in previous papers</t>
  </si>
  <si>
    <t>Autonomously working(but heuristics are predefined, as well as dispatching rules)</t>
  </si>
  <si>
    <t>PPO + DRL</t>
  </si>
  <si>
    <t>Well covered dynamic environment, consideration of human factors, industrial case</t>
  </si>
  <si>
    <t>Crazy high complexity and maths behind the model</t>
  </si>
  <si>
    <t>DRCFJSP model incorporating worker fatigue and skill, KG-DRL integrated framework for dynamic scheduling</t>
  </si>
  <si>
    <t>high level autonomous scheduling framework for a very complex decision space</t>
  </si>
  <si>
    <t>Simulation-based case stud</t>
  </si>
  <si>
    <t>Most of the modelling in manufacturing is static, workers are treated as static resources, lack of DRL solutions</t>
  </si>
  <si>
    <t>DRCFJSP = Dual-Resource Constrained FJSP, KG = Knowledge-Graph</t>
  </si>
  <si>
    <t>Autonomous end-to-end</t>
  </si>
  <si>
    <t>KG + DRL + PPO agents</t>
  </si>
  <si>
    <t>Dynamical environment reflected, production-logistics coupled together</t>
  </si>
  <si>
    <t>It claims to be manager prefered, but there is no human-in-the-loop(Dont know if that should be fully weakness), very high complexity</t>
  </si>
  <si>
    <t>New dynamic FJS production-logistics collaborative scheduling algorithm solved with nested-hierarchical DRL framework</t>
  </si>
  <si>
    <t>Autonomous decision framework that solves dynamic production-logistics and have multi-objective optimisation</t>
  </si>
  <si>
    <t>Manufaturing and logistics decision-making is investigated separately</t>
  </si>
  <si>
    <t>Nested Hierarchical DRL</t>
  </si>
  <si>
    <t>Decoupling the classical graph into two separate ones M2O and O2O</t>
  </si>
  <si>
    <t>Static environment, single objective optimisation, high complexity</t>
  </si>
  <si>
    <t>Quality of paper, static environment, highly and not that good explained logic for developing the algorithm</t>
  </si>
  <si>
    <t>Dynamic environment, clear structure of used algorithm</t>
  </si>
  <si>
    <t>No real-time learning</t>
  </si>
  <si>
    <t>Extension of DFJSSP with crane transportation and sequence-dependent setup times, a multipopulation-based evolutionary multitask optimisation framework</t>
  </si>
  <si>
    <t>validated autonomous scheduling framework</t>
  </si>
  <si>
    <t>Over-reliance on static scheduling assumptions, limited handling of real-world constraints</t>
  </si>
  <si>
    <t>Evolutionary Multitask Optimisation + Genetic Programming</t>
  </si>
  <si>
    <t>Access Requested</t>
  </si>
  <si>
    <t>Defining DTs as decision-making instruments, introduces Sequence-Dependent Recover Time(SDRT)</t>
  </si>
  <si>
    <t>Single objective, static problem formulation, no real-time decision</t>
  </si>
  <si>
    <t>DES-driven DT framework for PFSP, introduction of SDRT with formal classification</t>
  </si>
  <si>
    <t>Modeled SDRT to PFSP, demonstration that simulation-based evaluation avoids modelling bias</t>
  </si>
  <si>
    <t>Simulation + case study</t>
  </si>
  <si>
    <t>Recovery time ignored in PFSP literature</t>
  </si>
  <si>
    <t>PFSP = Permutation Flow Shop problem, NEH = Nawaz-Enscore-Ham</t>
  </si>
  <si>
    <t>Operational autonomous decision-making</t>
  </si>
  <si>
    <t>DES + Heuristics Optimisation (NEH)</t>
  </si>
  <si>
    <t>It is not within the scope of operational/tactical levels, this is fully economical paper concerning the budget</t>
  </si>
  <si>
    <t>Explicit focus on decision-making under disturbances</t>
  </si>
  <si>
    <t>Single-objective, heavy to understand</t>
  </si>
  <si>
    <t>DRL-based autonomous decision-making method for dynamic scheduling, a GA + DDQN hybrid training and execution framework</t>
  </si>
  <si>
    <t>Well-structured autonomous rescheduling framework</t>
  </si>
  <si>
    <t>Simulation based</t>
  </si>
  <si>
    <t>Classic scheduling cant handle disturbances, heurstics are too slow</t>
  </si>
  <si>
    <t>DDQN + GA</t>
  </si>
  <si>
    <t>Something different from other papers, two step process - Anthropological and Optimisation</t>
  </si>
  <si>
    <t>No comparison to benchmarks</t>
  </si>
  <si>
    <t>Two stage platform-based design process for mass customisation</t>
  </si>
  <si>
    <t>well-structured strategic decision-support framework, integration of human expertise with algorithmic optimisation</t>
  </si>
  <si>
    <t>Semi-autonomous decision-making</t>
  </si>
  <si>
    <t>Anthropometric analysis + GA</t>
  </si>
  <si>
    <t xml:space="preserve">Fully algorithmic paper without any focus on HMLV </t>
  </si>
  <si>
    <t>SNOWBALL L3/L4</t>
  </si>
  <si>
    <t>Already included in P1 cluster</t>
  </si>
  <si>
    <t>2025_production_scheduling_optimization_of_shirt_component_module_based_on_standard_man-hour_prediction</t>
  </si>
  <si>
    <t>Paper can't be found online</t>
  </si>
  <si>
    <t>Strong focus on hierarchical decision-making, clear levelisation across organisational layers</t>
  </si>
  <si>
    <t>computationally heavy, limited autonomy at lower levels, no learning intelligence</t>
  </si>
  <si>
    <t>A cloud-fog-edge computing architecture for distributed manufacturing, a hierarhical synchronised decision-making framework</t>
  </si>
  <si>
    <t>Rigorous hierarchical decision-making structure, explicit treatment of multi-stakeholder decentralised decisions</t>
  </si>
  <si>
    <t>Industrial Case study + simulation</t>
  </si>
  <si>
    <t>Lack of secure real-time information sharing, conflicts caused by decentralised decisions, poor synchronisation between production and logistics</t>
  </si>
  <si>
    <t>Very nice methodology, but also requires high maths and complexity</t>
  </si>
  <si>
    <t>Autonomous and hierarchical optimisation-driven</t>
  </si>
  <si>
    <t>Analytical Target Cascading + GA + Adaptive Large Neighboor Search + Tabu Search</t>
  </si>
  <si>
    <t>2026_optimization_of_reverse_logistics_network_for_electric_vehicle_batteries_considering_decommissioning_forecast_and_carbon_emission</t>
  </si>
  <si>
    <t>Integrating forecasting and decision optimisation, quite novel logic of doing reverse approach</t>
  </si>
  <si>
    <t>decision making static and offline, forecasting uncertainty is not propagated into decisions</t>
  </si>
  <si>
    <t>Hybrid grey-Stanford forecasting approach for battery retirement volumes, An integrated reverse logistics network optimisation model</t>
  </si>
  <si>
    <t>solid system-level planning optimisation model, demonstration of how environmental policies influence logistics decisions</t>
  </si>
  <si>
    <t>lack of accurate battery retirement forecasting methods, insufficient integration of carbon emissions in reverse logistics</t>
  </si>
  <si>
    <t>Offline optimisation based planning</t>
  </si>
  <si>
    <t>grey and Stanford predictors</t>
  </si>
  <si>
    <t>Data source</t>
  </si>
  <si>
    <t>Framework</t>
  </si>
  <si>
    <t>Arcitecture</t>
  </si>
  <si>
    <t>Decision support focus</t>
  </si>
  <si>
    <t>Research Contribution Type</t>
  </si>
  <si>
    <r>
      <rPr>
        <rFont val="Calibri, sans-serif"/>
        <color rgb="FF1155CC"/>
        <sz val="11.0"/>
        <u/>
      </rPr>
      <t>https://doi.org/10.1109/SMC54092.2024.10831278</t>
    </r>
  </si>
  <si>
    <t>Deep reinforcement learning, multi-objective DRL, weight decomposition, neighborhood-inheritance mechanism, proximal policy optimization (PPO) as the learning method</t>
  </si>
  <si>
    <t>Deep nerual network</t>
  </si>
  <si>
    <t>Considers internal logistics resource constraints in the optimization problem (which PLCSP Intergrated with transport time does not), dynamic job arrival following an exponential distribution,</t>
  </si>
  <si>
    <t>Limited to two optimization to makespan and logistic costs (internal), Approach does not generalize to other optimization objectives, does not compare with state of the art methods, they do not mention the DRL parameter settings or description of the network. The near optimal pareto front is only shown for two instances.</t>
  </si>
  <si>
    <t>A Mulit-Objective Deep Reinforcement Learning (MODRL) method that outperformance baseline methods (NSGA-ll-R, MODRL-Centralized, Random Strategy, Composite Rules) measered on General distance, inverse generational distance, and hypervolume for dynamic production-logistics collaborative scheduling. Extends weight-decomposition and neighborhood-inheritance mechanism in training to obtain the near optimal pareto front.</t>
  </si>
  <si>
    <t>Applies, rather than invents, weight-decomposition and neighborhood-inheritance mechanism; contributes with an empirically validated MODRL dual-agent integration that outperforms baselines across GD/IGD/HV metrics.</t>
  </si>
  <si>
    <t>Simulation (With changing number of jobs and AGVs)</t>
  </si>
  <si>
    <t>Gaps found in this paper: Lack of more complex dynamic factors (layout changes, machine/AGV breakdowns, charging, path conflicts). Restricted action-space gap (uses predefined scheduling rules rather than learning optimal actions). Lack of actual manufacturing data.</t>
  </si>
  <si>
    <t>Human in the loop</t>
  </si>
  <si>
    <t>Multi agent</t>
  </si>
  <si>
    <t>Not Industry specific</t>
  </si>
  <si>
    <r>
      <rPr>
        <rFont val="Calibri, sans-serif"/>
        <color rgb="FF1155CC"/>
        <sz val="11.0"/>
        <u/>
      </rPr>
      <t>https://doi.org/10.1109/RCAE62637.2024.10834207</t>
    </r>
  </si>
  <si>
    <t>Supervised learning, classical dispatching rules, simulation to generated historical data</t>
  </si>
  <si>
    <t>Simulator, Nerual network</t>
  </si>
  <si>
    <t>Mentions other work in the field</t>
  </si>
  <si>
    <t>Compares itself againt traditional manual dispatching rules and more modern methods, authors seems to have less expertise in nerual networks, synthetic data and not real manufacturing data, limited scenarios.</t>
  </si>
  <si>
    <t xml:space="preserve">Develops a neurual network which can decide the optimal dispatching rule dinamically using offline/online framework, based on the production state. </t>
  </si>
  <si>
    <t>Scenarios/Simulation</t>
  </si>
  <si>
    <t>Papers identifies that research in dynamic flexible job shop sheduling problem is limited, Does not use real manufacturing data.</t>
  </si>
  <si>
    <t>Not indicated</t>
  </si>
  <si>
    <r>
      <rPr>
        <rFont val="Calibri, sans-serif"/>
        <color rgb="FF1155CC"/>
        <sz val="11.0"/>
        <u/>
      </rPr>
      <t>https://doi.org/10.1016/j.procir.2024.10.261</t>
    </r>
  </si>
  <si>
    <t>OEE, KPIs, Modelling, Simulation, Conceptual framework, stake holder interviews, Ishikawa (6M/8P) analysis</t>
  </si>
  <si>
    <t>data driven, data-driven, IoT, Sensors, Industrial big data, ERP/PDM/MES systems</t>
  </si>
  <si>
    <r>
      <rPr>
        <rFont val="Calibri, sans-serif"/>
        <strike/>
        <color rgb="FF000000"/>
        <sz val="11.0"/>
      </rPr>
      <t>L2</t>
    </r>
    <r>
      <rPr>
        <rFont val="Calibri, sans-serif"/>
        <b/>
        <strike val="0"/>
        <color rgb="FF000000"/>
        <sz val="11.0"/>
      </rPr>
      <t xml:space="preserve"> L3</t>
    </r>
  </si>
  <si>
    <t>Uses established existing methods to achieve better decision making in HMLV manufacturing, such as OEE and KPIs. As well as data from ERP, PDM, CAD, etc. Mulitple perspective views from stakeholders of the dicesion making process. Considers and intergrates subjective and objective factors.</t>
  </si>
  <si>
    <t>Not a novele approach, but rather an theoretical approach to achieve better decision making. Performance is assed based on the case study only focusing on OEE (Which did not get computed). The approach did only consern the two early phases of the approach. Only conceptual.</t>
  </si>
  <si>
    <t>Proposes a systematic basis for informed decision making in HMLV manufacturing environments. By using data points, indicators, perspectives and insigts. They describe how a company can obtain valuable insights in a systamtic way.</t>
  </si>
  <si>
    <t>Provides a structured decision-support methodology, mapping indicators and influential factors. By conceptual gidaence  to for better insigts in decision making, where the early phase is validated using limited OEE example.</t>
  </si>
  <si>
    <t>Case study of an manufacturing case of a contract manufacturer. The case study is varified to be good based on OEE indicator.</t>
  </si>
  <si>
    <t>Validating the appraoch accross all phases. Application of the approach in actual manufacturing setting and organisation.</t>
  </si>
  <si>
    <t>IoT sensor/machine. ERP, MES, PDM systems. Stakeholder interviews. (Data from IoT and the systems are conceptualLy used).</t>
  </si>
  <si>
    <t>General decision making</t>
  </si>
  <si>
    <t>Conseptual</t>
  </si>
  <si>
    <t>actor-critic algorithm, genetic algorithm, metaheuristic, reinforcement learning, markorb decision process, Uses population parallelization strategi using K-means clustering,</t>
  </si>
  <si>
    <t>Consider drawback of the approach --&gt; introduced complexity when using reinformcement learning models. Presents the underlying nerual network, parameters and activation functions. In the experimentation they use common benchmark sets (Hunrink J and Behnke D) for FJSP. Use known crossover techniques (POX and Uniform) and mutation (Reverse and minimal machine time mutation) in the erea of FJSP. Objectives are completion time, machine load and
energy consumption</t>
  </si>
  <si>
    <t>Does not specify how many clusters are used in the partitioning stage for parallelization. Only looks at how well it performance on the tests, but they do not evaluate if the approachs has realistic response times for real-time decision making. Compares it self against a trivial approach and not state of the art.</t>
  </si>
  <si>
    <t>A novel reinformecement learning approach modeling scheduling problems as multi-agent markov decision processes, by use of actor-critic and genetic algorithm. The approach comprehensively considers factors such as completion time, machine workload and computational efficiency.</t>
  </si>
  <si>
    <t>The actual contribution is a reinforcement learning enhanced genetic algorithm, which uses an actor–critic model to adaptively adjusts crossover and mutation probabilities during optimization/generation of a schedule. The method uses machine state information not true multi-agent decision-making and aims to reduce global makespan. While improving workload distribution and computational efficiency through parallelized population clustering. The reward function only considers makespan</t>
  </si>
  <si>
    <t>Benchmark test instances of different sizes</t>
  </si>
  <si>
    <t>Simplifies the shop floor enviroment: does not consider spatio information in the scheduling process. The paper focus only on the temporal problem. Computational cost and real-time feasibility are unaddressed, making practical deployment unclear. Comparison against other more novel approaches is lacking. Large-scale flexible shops problems. Does not consider distrubances, which happens in the real world (machine breakdown, new orders arriving dynamically).</t>
  </si>
  <si>
    <t>The objectives for the approach to optimize towards are completion time, machine load and energy comsumption.</t>
  </si>
  <si>
    <t>actor-critic with GA?</t>
  </si>
  <si>
    <r>
      <rPr>
        <rFont val="Calibri, sans-serif"/>
        <color rgb="FF1155CC"/>
        <sz val="11.0"/>
        <u/>
      </rPr>
      <t>https://doi.org/10.23055/ijietap.2024.31.5.9997</t>
    </r>
  </si>
  <si>
    <t>Unknown</t>
  </si>
  <si>
    <t>Tuff glass process industry</t>
  </si>
  <si>
    <r>
      <rPr>
        <rFont val="Calibri, sans-serif"/>
        <color rgb="FF1155CC"/>
        <sz val="11.0"/>
        <u/>
      </rPr>
      <t>https://doi.org/10.1080/00207543.2024.2408671</t>
    </r>
  </si>
  <si>
    <t>Genetic algorithm, Adaptive Large Neighborhood Search, (Mentioned: Simulated Annealing, Cooperative Optimisation, Analytical Target Cascading, Multi Disciplinary Optimisation methods)</t>
  </si>
  <si>
    <t>digital twin, Physical layer technologies (WiFi, 5G, Bluetooth, Zigbee, wired networks, LoRA)</t>
  </si>
  <si>
    <r>
      <rPr>
        <rFont val="Calibri, sans-serif"/>
        <strike/>
        <color rgb="FF000000"/>
        <sz val="11.0"/>
      </rPr>
      <t>L2</t>
    </r>
    <r>
      <rPr>
        <rFont val="Calibri, sans-serif"/>
        <b/>
        <strike val="0"/>
        <color rgb="FF000000"/>
        <sz val="11.0"/>
      </rPr>
      <t xml:space="preserve"> L3</t>
    </r>
  </si>
  <si>
    <t>Considers both temporal and spatial information in mapping production logistics scenarios.</t>
  </si>
  <si>
    <t>Does not into detail of how the digital twin is developed. The scheduling case focuses more on know the orther beforehand than taking each order in dynamically as they come.</t>
  </si>
  <si>
    <t>Coordination of decision-making units. Proposed an approach which encompasses a digital twin-based multi-level synchonised control system (DTMCS) framwork, featuring the multi-granularity synchronised control machanisms (MgSCM). As well as a collaborative optimisation model for batch production and warehouse planning.</t>
  </si>
  <si>
    <t>Through the case study, the authors evaluate how different synchronisation patterns influence system performance. The analysis identifies which pattern minimises product congestion in the logistics area, which achieves the most effective machine utilisation and the shortest makespan, and which provides the strongest resilience to disturbances such as the arrival of new customer orders that require re-planning.</t>
  </si>
  <si>
    <t>Dynamical arrival of jobs (Not pre-known sheduling problem).</t>
  </si>
  <si>
    <t>Less knowledge</t>
  </si>
  <si>
    <t>Produces different types of coatings (wood paint, latex paint, interrior paint and exterior paint)</t>
  </si>
  <si>
    <r>
      <rPr>
        <rFont val="Calibri, sans-serif"/>
        <color rgb="FF1155CC"/>
        <sz val="11.0"/>
        <u/>
      </rPr>
      <t>https://doi.org/10.1007/978-981-97-5675-9_8</t>
    </r>
  </si>
  <si>
    <t>gnn, graph neural network, optimization, ppo, reinforcement learning, "cooperative, multi-agent, actor–critic PPO system", Graph attention networks, embedding</t>
  </si>
  <si>
    <t>Well written paper (had one mistake) and goes into details of how the approach works. Uses relatively state of the art and well known methods.</t>
  </si>
  <si>
    <t>The objective of the approach is to minimize the completion time of the schedule (Single-objective, which rarely is the case). Does not explain what uth is. They happen to switch the tasks for agent s and agent l in first paragraph in section 3. Does not consider dynamic job arrival. Only equal and consistent sub-lots and compares itself against a GA and a HGA, there might is more specialized and performaned approaches.</t>
  </si>
  <si>
    <t>An innovative method using Deep reinformcement learning (DRL) with graph nearual network (GNN) to solve FJSPLS with equal and consistent sub-lots. They claim three contributions: (1) First to apply DRL to solve FJSPLS, (2) Developed a mathematical model for FJSPLS with equal and consistent sub-plots. (3) A HGFE is designed to provide the global state for dual agents. (4) A heterogeneous graph of an enhacned disjunctive graph is proposed.</t>
  </si>
  <si>
    <t>Closely the same as the stated ones. They also weakly contribute with a way of representing a flexible job shop enviroment as a graph and how this can be embedded.</t>
  </si>
  <si>
    <t>Randomly generated instances across multiple problem sizes</t>
  </si>
  <si>
    <t>Transporting of the parts to be produced between sub-lots are not considered. Single-objective optimization. Pre specified jobs not dynamical arrival of job</t>
  </si>
  <si>
    <t>Wether or not they are the first to do this kinda of approach is hard to tell. flexible job shop scheduling problem with lot streaming</t>
  </si>
  <si>
    <t>Synthetic, generates data themselves.</t>
  </si>
  <si>
    <t>Implementation</t>
  </si>
  <si>
    <t xml:space="preserve">The author claims that the approach has high potential in larger scale scheduling. Good generalization performance when tested on unseen larger scenarios. Relatively low execution time for smalla nd medium scenarios, but becomes larger for large problems.  </t>
  </si>
  <si>
    <t xml:space="preserve">The authors of the paper compares the developed approach to traditional hand-designed scheduling rules (existing heuristic scheduling rules and meta-heuristic algorithms - FIFO+SPT, FIFO+EET, MOPNR+EET, LWKR+EET, MWKR+EET, MIP). Relatively short analysis and discussion of the results. The multi-PPO algorithm or mathmatics behind are not described by the authours, just described conseptually at a high level even tho they use it in the training process. They also lack implementation details of the framework. The scenarois they use are randomly generated and does not use a known benchmark test set or actual manufucaturing data. The papers does not seem fully finished and is more focused on the embedding and create the framework for the DRL part. Cannot be used for real-time decision making (where fast actions is critical) in larger scheduling problems. (The case with 100 operations on 20 machines). </t>
  </si>
  <si>
    <t xml:space="preserve">(1) A heterogeneous graph that effectevely represents the state of the sheduling problem, information about operations and machines. This state is then embedded using their proposed Heterogenous Graph-State Mulit-Model Network (HGMN) (2) They also propose a multi-action DRl framework (3) The development of a multi-PGnN framework (4) Proposes a multi-PPO, that extends single action PPO to multi actions. This is used in the training of the proposed multi-PGN framework. </t>
  </si>
  <si>
    <t>The demomstrated approach is limited to Single-objective optimization (Makespan) tasks. They demonstrate/indicate that small and medium size scheduling problem can be used to generalize towards larger scheduling problems. The novelties in this paper are the multi-PPO (which is not described in detail) and the framework (multi-PGN framework), focused on multi action (choose an operation and machine not operation on this machine).</t>
  </si>
  <si>
    <t>The authors identifies the following gaps … (Multi-agent reinforcement learning methods could be usefull in mulit objective optimization). Real-time usage of reinformcent learning approaches is limited.</t>
  </si>
  <si>
    <t>Yes?</t>
  </si>
  <si>
    <t>FIFO+SPT (First-In-First-Out + Shortest Processing Time), FIFO+EET (First-In-First-Out + Earliest Execution Time), MOPNR+EET (Most Operations Remaining + Earliest Execution Time), LWKR+EET (Least Work Remaining + Earliest Execution Time), MWKR+EET (Most Work Remaining + Earliest Execution Time), MIP (Mixed Integer Programming)</t>
  </si>
  <si>
    <t>This paper combines state graphs embedding and multi pointer graph nerual network, with multi-PPO in the flexible Job-shop scheduling problem with ressource transfer (FJSP-RT) outperformaning traditional heuristics and meta-hueristics.</t>
  </si>
  <si>
    <t>Does not specify this.</t>
  </si>
  <si>
    <t>Neural Net framework</t>
  </si>
  <si>
    <t>Uses established tool, but it is not open source.</t>
  </si>
  <si>
    <t>Compares their ANN in estiamting consomption with commercial softwares (build software by siemens) estimated consumption. Fixed number of machines in the approach. No industrial data. Does not enclude the energy consomption directly in the optimization algorithm. Energy stages is rather simplistic (Off, idle, active). Requires retraining, if new machines with different energy patterns is introdused.</t>
  </si>
  <si>
    <t>(1) A ANN which can estimate the total energy comsumption of the machines in the job shop. (2) A Priority factor that captures patterns in the job shop and used as part of the input to th ANN.</t>
  </si>
  <si>
    <t>An ANN-based energy consumption approach for a fixed numbered machines in a job shop from schedulederived features. A key novelty is the introduction of the Priority Factor, which enables the ANN to be machine centric and not depended on the number of jobs a machine has. They domenstrate that the ANN can accuratily estimate the energy consumption within a maximum error of 1.22% to the ground truth.</t>
  </si>
  <si>
    <t>Discrete event simulation with different configurations</t>
  </si>
  <si>
    <t>An approach which can handle varying sizes opf job shops(i.e. nr. of machines). Resulting in limited scalabelity. Energy estimation of reconfigurable jog shops. Does not account for other factors than the classical sheduling problem. No dynamic enviroment. The optimization scheduling is single objective.</t>
  </si>
  <si>
    <t>This paper combines GA and ANN, with prioroty factor. The GA optmizes makespan, while the ANN estimates energy consumption based on machine schedule features (Priority factor, starting time, ending time, machine load, number of jobs). In short a combined GA-ANN approach that helps sustainable schedule dicision making.</t>
  </si>
  <si>
    <t>GA, Priority factor(Proposed by them).</t>
  </si>
  <si>
    <t>Nerual network, Plant Simulation software, devloped by Siemens PLMSoftware Inc.</t>
  </si>
  <si>
    <t>Sustainability through scheduling</t>
  </si>
  <si>
    <t>https://doi.org/10.1109/SIEDS61124.2024.10534636</t>
  </si>
  <si>
    <t>Case study of Top Notch Insert product line</t>
  </si>
  <si>
    <t>Door hardware industry</t>
  </si>
  <si>
    <r>
      <rPr>
        <rFont val="Calibri, sans-serif"/>
        <color rgb="FF1155CC"/>
        <sz val="11.0"/>
        <u/>
      </rPr>
      <t>https://doi.org/10.1007/978-981-97-0194-0_11</t>
    </r>
  </si>
  <si>
    <t>Focuses not in the classical FHSP, but also includes automated guided vehicles. Mentions other approaches which consideres AGVs (But can be time-consuming, unsuitable in enviroments where there is frequent distrubances and does not consider a dynamic and AGVs job-shop problem). The approch is validated based x initially known jobs andthen jobs arrives following poisson distribution.</t>
  </si>
  <si>
    <t>Limitied number of scenarios and small/medium scale. Is not compared against other relevant approaches, in the results section.</t>
  </si>
  <si>
    <t>(1) A mathematical model of the dynamic flexible job-shop scheduling problems with AGV is deveveloped. (2) The job-shop enviroment is modeled as a markov decision process considering processing and transportations tasks. (3) A dueling double deep Q network algorithm (D3QN ) to learn the optimal policy to minimize tardiness.</t>
  </si>
  <si>
    <t>Using the developed markov decision process and trained D3QN they demomstrate an average improvement of tardiness against 30 composite rules (Jobs rule,Machine rule, AGV rule) of 29.7% on nine scenarios.</t>
  </si>
  <si>
    <t>Real-time efficient scheduling algorithms. Mulit-objective optimizating is not the case.</t>
  </si>
  <si>
    <t>In this article a mathematical model of the dynamic flexible job-shop scheduling with AGVs problem is devloped and dueling double deep Q network optimization algorithm proposed, demonstrats … evaluated over nine scenarios.</t>
  </si>
  <si>
    <t>Deep Q network, Hurestic scheduling rules for jobs, machines and AGVs, markov decision process</t>
  </si>
  <si>
    <t>Nerual network</t>
  </si>
  <si>
    <t>Scheduling with minimization of tardiness.</t>
  </si>
  <si>
    <r>
      <rPr>
        <rFont val="Calibri, sans-serif"/>
        <color rgb="FF1155CC"/>
        <sz val="11.0"/>
        <u/>
      </rPr>
      <t>https://doi.org/10.1007/978-981-97-2275-4_4</t>
    </r>
  </si>
  <si>
    <t>Graph illutrating the idea of the proposed approach. Includes expert knoweldge into the reinformcent learning training in the inital phase of training. Compares itself against good performaing classic rules and also a DRL approach. Is scalable (generalize to larger instances - The author states that one can train on a smaller instance and get good results on higher instances).</t>
  </si>
  <si>
    <t>Does not describe the approaches real-time sufficiency. Does not utilize a benchmark test set when comparing to the other approach (tho i assume that they trained both on the same dataset). Does not exalpin why it chooses the different sizes of instances. THe performance is compared to OR-tools, which does not guarentie the optimal solutions, which might effect the interpretation of the results.</t>
  </si>
  <si>
    <t>(1) The authors proposes a novel end-to-end learning framework for solving the FJSP. An EGDRL which combines GNN and DRL, with a hybrid training strategy that uses priority dispatching rules to strenthen the earl stage training and gradually uses autonmouse policy learning. (2) They introduce a state representation of the FJSP that combines a disjuntive and operation-machine topology graph.</t>
  </si>
  <si>
    <t>Integration of "expert-guided" (priority dispatching rules) into a GNN-based deep reinforcement learning framework for FJSP, using a probabilistic hybrid training strategy that indicates improved early learning (stability and convergence).</t>
  </si>
  <si>
    <t>Randomly generated instances following predefined distributions.</t>
  </si>
  <si>
    <t>Random job arriaval (dynamic enviroment), include machine failure in scheduling problem. Mulit-objective optimization in scheduling. A generic machine learning approach that can optimize any objective.</t>
  </si>
  <si>
    <t>This paper combines GNN and DRL to make a scheduling algorithm which can optimize to minimize makespan, while imploying an "expert guided" training.</t>
  </si>
  <si>
    <t>Priority dispatching rule, Proximal Policy Optimization (PPO), reinformcent learning, markov decision process, actor-critic. Hybrid training strategy integrating expert-guidens.</t>
  </si>
  <si>
    <t>Graph netural network, nerual network. OR-tools from google.</t>
  </si>
  <si>
    <t>https://doi.org/10.1080/21681015.2024.2330401</t>
  </si>
  <si>
    <r>
      <rPr>
        <rFont val="Calibri, sans-serif"/>
        <color rgb="FF1155CC"/>
        <sz val="11.0"/>
        <u/>
      </rPr>
      <t>https://doi.org/10.1007/978-981-99-6062-0_20</t>
    </r>
  </si>
  <si>
    <t>Simpel, Considers distruption in the manufacturing environment (Worker off-day and manchine breakdown).</t>
  </si>
  <si>
    <t>Basic approach. Does not describe how the digital twin is developed or how the reallocation algorithm of the workers work. Does not describe why it choose the two strategies.</t>
  </si>
  <si>
    <t>This paper introduces a digital twin DSS that assigns workser to machines depeniding on the job and the works multi-skill level.</t>
  </si>
  <si>
    <r>
      <rPr>
        <rFont val="Calibri, sans-serif"/>
        <color rgb="FF1155CC"/>
        <sz val="11.0"/>
        <u/>
      </rPr>
      <t>https://doi.org/10.1080/00207543.2023.2217285</t>
    </r>
  </si>
  <si>
    <t>Hiarcical approach, which a divide an councer method. Considers large scale problem and shows good generalizetion results. Evaluates the results on benchmark tests and synethic generated data, compared to other type of approaches: rescheduling, dispathcing rules and Learning to choose dispatching rules, rescheduling + ant colony optimization and MIP solved by the Gurobi solver. The enviroment is dynamic and not static. The authors solves the problem from a large-scale and real-time perspective. The authors state that this approach can be extended to handle machine breakdowns as well.</t>
  </si>
  <si>
    <t>Compares itself againts well-known dispatching rules and metaheuristics. The persived performance of the approach might change if it consideres to compare against similar frameworks or state-of-the arts approaches. Only considers makespan as the optimization goal.</t>
  </si>
  <si>
    <t>(1) A novel end-to-end hierachical reinformcent learning (HRL) framework to solve large-scale DFJSP in near real-time effectively. (2) The approach utilizes a DDQN agent which optmizes the overall objective in long term, by diving the problem into a series of staic FJSPs. These are then solves by two lower level GNN-based agents. (3) The HRL framework outperformance the previouse traditional rescheduling and learning-based approaches. A well as the proposed HLR framework can be deployed with different sizes without the need for retraining. On top of this it also generalizes to different scheduling problems with different data distributions from the training data.</t>
  </si>
  <si>
    <t>Is it near real-time? Since it contains a jobbuffer? Near real-time in doing the scheduling but buffs jobs when it decides that are worth scheduling.</t>
  </si>
  <si>
    <t>Randomly generated instances and benchmark datasets</t>
  </si>
  <si>
    <t>End-to-end solution in DRL scheduling. (Most intergrates some kind of dispatching rules). Single objective optimization on large-scale dynamic scheduling problems with near real-time or real-time execution. "However, there are no publicly available instances for DFJSP in such dynamic manufacturing systems to train and evaluate the proposed HRL model" --&gt; lack of standard datasets for dynamic flexible job shop problems.</t>
  </si>
  <si>
    <t>Q-network, Double Deep Q-Network agentm. markov decision process. Multi layer perceptron. Multi Proximal Policy Optimization (Multi-PPO (optimizing towards two polocies, sharing the same critic)). Multi-agent system.</t>
  </si>
  <si>
    <t>A graph omorphism network, which is a type of Graph nerual network</t>
  </si>
  <si>
    <t>Synthetically generated using their developed simulator. Poission distributed arrival of new jobs. They also use Hurink-Vdata benchmark data.</t>
  </si>
  <si>
    <r>
      <rPr>
        <rFont val="Calibri, sans-serif"/>
        <color rgb="FF1155CC"/>
        <sz val="11.0"/>
        <u/>
      </rPr>
      <t>https://doi.org/10.1016/j.cie.2023.109718</t>
    </r>
  </si>
  <si>
    <t>agv, agvs, deep learning, neural network, reinforcement learnin</t>
  </si>
  <si>
    <t>Encludes transportation.</t>
  </si>
  <si>
    <t>Does not really address how this approach can be used by decision makers. Compares itself against combinations of traditional PDR rules for AGVs and jobs/machines. Does not address the computation time of the approach, which may limit its use in decision making. Does not consider other optimization objectives. Not deployed.</t>
  </si>
  <si>
    <t xml:space="preserve">(1) A MDP of the DFJSP-ITR problem, implemented as a heterogenous graph. (2) Designed a node embedding approach for machines, operations and AGVs (2) Introduced different AGV distribution methods and compares their performances. (3) A dynamic strategy is proposed to handle new job arrivals (4) An end-to-end DRL method capable of solving DFJSP-ITR of different sizes is proposed. </t>
  </si>
  <si>
    <t>Proposes a dynamic scheduling method for the flexible job shop problem with insufficient transportation resources (FJSP-ITR) using a heterogeneous graph neural network (HGNN) combined with deep reinforcement learning (DRL)</t>
  </si>
  <si>
    <t>Randomly generated instances of varying sizes and a real production inspired case study</t>
  </si>
  <si>
    <t>Computational scalability concerns for very large-scale instances, No real-world deployment or validation.</t>
  </si>
  <si>
    <t>flexible job shop problem with insufficient transportation resources (FJSP-ITR)</t>
  </si>
  <si>
    <t>The paper presents a DRL-based dynamic scheduling framework for flexible job shops with limited AGVs minimizing makespan.</t>
  </si>
  <si>
    <t>Reinformcent learning, PPO, PDR, Graph embedding, Graph structure to represent the shop floor. Markov Decision Process.</t>
  </si>
  <si>
    <t>Graph nerual network</t>
  </si>
  <si>
    <t>Randomly generated (synthetic)</t>
  </si>
  <si>
    <t>dynamic scheduling</t>
  </si>
  <si>
    <t>Snowball not done from here on</t>
  </si>
  <si>
    <r>
      <rPr>
        <rFont val="Calibri, sans-serif"/>
        <color rgb="FF1155CC"/>
        <sz val="11.0"/>
        <u/>
      </rPr>
      <t>https://doi.org/10.1016/j.cie.2023.109650</t>
    </r>
  </si>
  <si>
    <r>
      <rPr>
        <rFont val="Calibri, sans-serif"/>
        <strike/>
        <color rgb="FF000000"/>
        <sz val="11.0"/>
      </rPr>
      <t>L2</t>
    </r>
    <r>
      <rPr>
        <rFont val="Calibri, sans-serif"/>
        <b/>
        <strike val="0"/>
        <color rgb="FF000000"/>
        <sz val="11.0"/>
      </rPr>
      <t xml:space="preserve"> L3</t>
    </r>
  </si>
  <si>
    <t>Has a factory perspective, where one agent choosses the factory based on arriving jobs and the second agent operates at each factory in seuqncing jobs. Considers distributed job-shop scheduling and dynamic job-shop scheduling.</t>
  </si>
  <si>
    <t>Utilizes predefined rules as actions, which means that the domain knowledge is needed.</t>
  </si>
  <si>
    <t>(1) A mathematical model of the dynamic distributed flexible job-shop scheduling problem. (2) A DRL-agent mulit agent based method is proposed to solve the dynamic distributed flexible job-shop scheduling problem. (3) Markov decision processes with comprehensive state features, rules-based dispatching rules and objevtive oriented reward function. (4) A varaible thresshold probability in the training phase, to blance exploration and exploitation.</t>
  </si>
  <si>
    <t>(1) A multi-agent DQN policy selection framework (DQNP), consisting of two agents (Agent_a and Agent_S). They cooperate to schedule random arriving jobs, where agent_a assigns the factors based on the state and predefined actions and agent_s assigns the schedule sequence based on shop floor state and predefined rules. (2) Psuedo algorithm of training a DQN with policy selectin for the DJSP with random arrival. (3) A markov decision process of the dynamic distrubted job-shop scheduling problem.</t>
  </si>
  <si>
    <t>Case study on automative engine manufacturing company.</t>
  </si>
  <si>
    <t>Evaluate the proposed approach in rela production. More complex scenarios in ditributed job-shop scheduling, such as varaible processing time, the machine breakdown, etc… (Lags distribunces in the problem). Include transportation constraints in DJSP. Lack of real-time constriants inclusion in case of rescheduling needs or time critical decision making. Mulit-objective optimization, only considers makespan.</t>
  </si>
  <si>
    <t>Distributed Job-shop scheduling problem (DJSP).</t>
  </si>
  <si>
    <t>This paper proposes a mulit-agent DQN framework, whith an job to factory assigning agent and in factory scheduling agent. Demonstrating better performance over other DRL approaches (DRLC, DRLL, DRLH) and metahuristics (HGA and PSO) in instances with 3 and 4 factories. Indicating better solutions for higher number of factories.</t>
  </si>
  <si>
    <t>Markov decision process, Deep q network, multi-agent, reinforcement learning</t>
  </si>
  <si>
    <t>Nerual network.</t>
  </si>
  <si>
    <t>Synthetically generated using poisson destribution and a case study data</t>
  </si>
  <si>
    <t>distributed dynamic scheduling</t>
  </si>
  <si>
    <r>
      <rPr>
        <rFont val="Calibri, sans-serif"/>
        <color rgb="FF1155CC"/>
        <sz val="11.0"/>
        <u/>
      </rPr>
      <t>https://doi.org/10.1016/j.engappai.2023.106864</t>
    </r>
  </si>
  <si>
    <t>constrained transportation considerations (AGVs). Optimizes two objectives, which is makespan and total energy consumption. Compares itself against other mulit-objctive algorithms: three classical (NSGA-ll, SPEA2,MOEA/D) and two newer artificial bee colony algorithm (AIBC) and multi-objective discrete Jaya algorithm (MODJA). Uses Inverted Generational Distance to tune their approach to identify the most effective parameters for EHA. They experiment with having two variations of the their approach EHA1 (random initialization + three-layer encoding) and EHA2 (Without local search). Uses an exact solver (Gurobi) to varify the correctness of MMIP (But only on smaller instances).</t>
  </si>
  <si>
    <t>Does not consider disturbences of the AGVs (obsticals or breakdown and so on). No random job arrivals. Does not consider real-time decision making. Does not analyze how scalable the approach this, only CPU times is mentioned. Does not compare against learning based approaches.</t>
  </si>
  <si>
    <t>(1) Formulated a MMIP model of the problem. (2) Propposes an efficient heuristic algorithm (EHA) to solve MMIP. (3) For the EHA they present a one solution encoding scheme with greedy insertion decoding method. (4) A population initialization method is designed to balance the processing time and energy consumption. (5) Presents a local search strategy, enhancing solution qualaty and convergence speed of EHA.</t>
  </si>
  <si>
    <t>(2) The proposed method EHA illustrates better solution quality and pareto dominance to the compared algorithms. While having consistnly higher CPU time. It is more efficient in terms of solution quality and not computational time.</t>
  </si>
  <si>
    <t>Expanded benchmark test sets with varying numbers of AGVs</t>
  </si>
  <si>
    <t xml:space="preserve">Meta huristic approaches to real-time usage. A generic approach for multi-objective optimization for scheduling. Simple modeling of AGVs and their energy consumption, could include things such as AGV battery limitations, variable transport energy, or machine startup costs. </t>
  </si>
  <si>
    <t>The multi-objective green scheduling problem of integrated flexible job shop and AGVs (MOGSP-IFJS&amp;AGVs) is addressed</t>
  </si>
  <si>
    <t>The paper formulates a multi-objective green scheduling problem for integrated flexible job shops with multiple limited AGVs and proposes a modified heuristic NSGA-II–based algorithm EHA minimizing makespan and total energy consumption.</t>
  </si>
  <si>
    <t>mulit-objective mixed-integer programming (MMIP).</t>
  </si>
  <si>
    <t>AGVs</t>
  </si>
  <si>
    <t>Expanded benchmark instances Mk01-Mk15 from Braindimarte (https://link.springer.com/article/10.1007/BF02023073)</t>
  </si>
  <si>
    <r>
      <rPr>
        <rFont val="Calibri, sans-serif"/>
        <color rgb="FF1155CC"/>
        <sz val="11.0"/>
        <u/>
      </rPr>
      <t>https://doi.org/10.1109/TII.2022.3189725</t>
    </r>
  </si>
  <si>
    <t>Near real-time usage. Gets relatively close to the best algorithm known to the authors in the paper (OR-tools). (5% gap), but that approach is not usable in real-time usage. The approach generalize to larger instances, having similar distributions. The authors also show that the approach trained on the smallest instance performance the best among the PDR based methods on the unseen data set, with different distribution. The achieved makespans is lower compared to the other metahuristic and hybrid huristics, but it has considerable less execution time.</t>
  </si>
  <si>
    <t>Compares itself against classical PDRs-based methods and not newer PDR based methods.</t>
  </si>
  <si>
    <t>(1) A novel end-to-end deep reinforcement learning method that can learn high quality PDRs for the FJSP. (2) A novel heterogeneous graph representation of scheduling states. (3) A heterogenous graph nerual network is proposed.</t>
  </si>
  <si>
    <t>An DRL-based priority dispatching approach, that learns DPRs, intergrating selection and machine assigment using a heterogeneous graph representation.</t>
  </si>
  <si>
    <t>benchmark data set &amp; syntheticaly generated (30x10 and 40x10) instances.</t>
  </si>
  <si>
    <t>Dynamic inveronment. Real-time performaned scheduling. Generalize toward other scheduling problems. Multi-objective optimization. The approach does not expliticitly use past information (ex. decision patterns), only the current state. The approach is limited to immediate dispatching scheduling decisions and does not consider more long-term strategies (ex. intentially idling a job).</t>
  </si>
  <si>
    <t>An end-to-end DRL approach that combines graph nerual network and multi layer perceptron, to produce schedules minimizing makespan for the flexible job-shop scheduling problem.</t>
  </si>
  <si>
    <t>Markov decision process, PPO (actor-critic), MLP, embedding,</t>
  </si>
  <si>
    <t>Graph neural network</t>
  </si>
  <si>
    <t>?</t>
  </si>
  <si>
    <t>Synthetic data &amp; Benchmark data (mk01-mk10 and three groups of la instances (rdata, edata, and vdata).</t>
  </si>
  <si>
    <t>Flexible scheduling</t>
  </si>
  <si>
    <t>"+"</t>
  </si>
  <si>
    <r>
      <rPr>
        <rFont val="Calibri, sans-serif"/>
        <color rgb="FF1155CC"/>
        <sz val="11.0"/>
        <u/>
      </rPr>
      <t>https://doi.org/10.1016/j.future.2024.05.058</t>
    </r>
  </si>
  <si>
    <t>Considers the applicability of their proposed approach, specifically to regards to parsimony (memory usage on the testbed), reliability, and performance. They consider other aspects which is normally not included such as (computing resources (single server with limited memory), machines (idle time, office hours and efficiency), processes (types and orders), theirby demonstrating practical applicability.</t>
  </si>
  <si>
    <t>Does not compare against other approaches, only ones they themselfes have proposed. The novel problem formulation WFJSP is not directly generazible to other manufactures not in production of molds.</t>
  </si>
  <si>
    <t>(1) Formulates a novel flexible job-shop scheduling problem called weakly flexible job-shop scheduling problem (WFJSP). (2) Identification of 6 innate conflicts in WFJSP. (3) Proposes three WFJSP-specific greedy algorithms (basic greedy, Top-N, and simplified Top-N) designed for deployment within an actual database-driven system architecture. (4) A dataset consiting of 26 tasks from a manufacturing company. (5) Five metrics extended from software quality attributes are also designed, called Functionality, Usability, Reliability, Performance and Parsimony. (6) Demonstrating that GA, Top-N, and Simplified Top-N has greater Reliability, Performance and Parsimony than baseline.</t>
  </si>
  <si>
    <t xml:space="preserve">Demonstrates that Basic Greedy, Top-N, and Simplified Top-N outperform the baseline GA they implemented, when deployd in a ressource limited system. (0.1) Formulates a novel flexible job-shop scheduling problem called weakly flexible job-shop scheduling problem (WFJSP). </t>
  </si>
  <si>
    <t>Industrial case study evaluated using a simulation-based execution on a real production system under different operational settings (static and dynamic modes)</t>
  </si>
  <si>
    <t>No dynamic enviroment</t>
  </si>
  <si>
    <t>Dynamic is not whats normaly though as dynamic (here number of quantaties).</t>
  </si>
  <si>
    <t>This paper formulates a weakly flexible job-shop scheduling problem and implements and deploys greedy scheduling algorithms on a real-world case-study testbed.</t>
  </si>
  <si>
    <t>Huristic, rule-based (Greedy algorithms), Genetic Algorithm, Adapted software quality attributes into WFJSP,</t>
  </si>
  <si>
    <t>Django, MySQL, Celery, RabbitMQ, Bootstrap, jQuery, Google Charts,</t>
  </si>
  <si>
    <t>Data from Real-world production environmen</t>
  </si>
  <si>
    <t>Provides a full arcitecture with database centric design</t>
  </si>
  <si>
    <t>Weak mold Scheduling</t>
  </si>
  <si>
    <t>South korea</t>
  </si>
  <si>
    <t>Mold fabrication</t>
  </si>
  <si>
    <t>++'</t>
  </si>
  <si>
    <r>
      <rPr>
        <rFont val="Calibri, sans-serif"/>
        <color rgb="FF1155CC"/>
        <sz val="11.0"/>
        <u/>
      </rPr>
      <t>https://doi.org/10.3390/app14156835</t>
    </r>
  </si>
  <si>
    <t>Includes an industrical case study of a prefabrication of building envelope where they include the whole design phase (Defining the needs of the stakeholders, architecture creation, BIM, etc..). They have consider the full phase from material delivered to them and to the deliveary to comstumors.</t>
  </si>
  <si>
    <t>Managerial/business/policy focus. Their approach is specifically tailored to the use case, might reduce the applicability towars other companies which does not have the same setup?. The approach requeires manual BIM creation, which might be less diserable for large scale companies. Not very technical very high level on that part, only discusses concepts and does not dive further down. Does not evaluate their approach only present their theoretical idea.</t>
  </si>
  <si>
    <t>(1) Contributes to the body of knowledge on the effectiveness of user-centric-design (UCD) methodologies. (2) The potential of digital twin technologys ability to address the unqie challanges of ETOs.</t>
  </si>
  <si>
    <t>(1) This papers contribution is a design phase examplication which can inform the tairloed creation of digital twin solutions for engineer-to-order manufactures(ETO).</t>
  </si>
  <si>
    <t>Industrical case study of a prefabrication of building envelope (But it is never evaluated with experiments).</t>
  </si>
  <si>
    <t>How can user requeriemnts be prioritized when implementing DT in ETO?</t>
  </si>
  <si>
    <t>No, conceptual. They do not implement the proposed methodology --&gt; No evaluation their findings/approach only in terms of expert questinaries.</t>
  </si>
  <si>
    <t>This paper combines BIM, IoT, and AI within the digital twin architecture design with a user-centric-design approach.</t>
  </si>
  <si>
    <t>Interviews, workshops</t>
  </si>
  <si>
    <t>Digital twin technology, IoT, Building Information Model, Artificial Intelligence</t>
  </si>
  <si>
    <t>Digital twin arcitecture.</t>
  </si>
  <si>
    <t>Warehous management</t>
  </si>
  <si>
    <t>Prefabrication manufacturing</t>
  </si>
  <si>
    <t>+'</t>
  </si>
  <si>
    <r>
      <rPr>
        <rFont val="Calibri, sans-serif"/>
        <color rgb="FF1155CC"/>
        <sz val="11.0"/>
        <u/>
      </rPr>
      <t>https://doi.org/10.1108/IR-10-2021-0246</t>
    </r>
  </si>
  <si>
    <t>Uses a combination of expert knowledge and extensive literature review to define the 13 challanges in CE (circular economy).</t>
  </si>
  <si>
    <t>The study solely focuses on the rubber components manufacturing. Not a high technical focus, but rather on how to make decision and what technology to use to solve it (For managers and policymakers). They use brainstorming which is a very basic way of generating ideas. Limited number of experts are used. Limited challanges and solution are captured. Hard to follow if you dont know the decision concepts before hand.</t>
  </si>
  <si>
    <t>(1) A decision support framework which helps the implementation of circular economy in supply chain, with prioritizing industry 4.0 technological solution measures. Powered by expert (domain knowledge) and literature knowledge. (2) An extensive litterature review of the extant published work on industry 4.0, circular economy, supply chain and their connections.</t>
  </si>
  <si>
    <t>The main contribution of this paper is the development of a decision support framework which helps the implementation of circular economy in supply chain, with prioritizing industry 4.0 technological solution measures. Powered by expert (domain knowledge) and literature knowledge using fuzzy multi-criteria decision making methods.</t>
  </si>
  <si>
    <t>Not really, (Not objectevely evaluated or tested/experiements/case study).</t>
  </si>
  <si>
    <t>A framework which can aid managers and policymakers in Mulit-criteria decision-making industry broad (Not just foccussed on rubber industry in Indian manufacturing). Not real-world evaludation/validation of the framework.</t>
  </si>
  <si>
    <t>Not in the scope, more conceptual/theoretical than technical. The paper focuses on managerial, business, and policy aspects + the internal evaluation.</t>
  </si>
  <si>
    <t>Paper provide a mulit-criteria decision-makin framework for managers and poloci makers aiding implementing circular econonmy in the supply chain.</t>
  </si>
  <si>
    <t>Two-stage multi-criteria decision-making (MCDM), Interval-valued intuitionistic fuzzy logic (IVIF), Combinative distance-based assessment (CODAS), Analytic Hierarchy Process (AHP). Questionnaires, with linguistic evaluations (very important, less important, …).</t>
  </si>
  <si>
    <t>Rubber component manufacturing</t>
  </si>
  <si>
    <t>Circular Economy, supply chain</t>
  </si>
  <si>
    <r>
      <rPr>
        <rFont val="Calibri, sans-serif"/>
        <color rgb="FF1155CC"/>
        <sz val="11.0"/>
        <u/>
      </rPr>
      <t>https://doi.org/10.1016/j.cie.2025.111342</t>
    </r>
  </si>
  <si>
    <t>Compares its approach other DRL-methods aswell as different variations of its own. States their contribution explicitely. They provide the code for the DDQN fluid model.</t>
  </si>
  <si>
    <t>A limitation with the paper is that i it does not include a dynamic environment. Uses composite rules which might not be the most optimal or does requeire expert knowledge (might be an inherint limitation of DRL approaches?)</t>
  </si>
  <si>
    <t>(1) A novel data-driven scheduling framework using DRL combined with fluid dynamic models is proposed. (2) First to use fluid models in MVSB-FJSP. (3) Some of the first to apply DDQN in an integrated scheduling framework tailored to the fluid model.</t>
  </si>
  <si>
    <t>The main contribution of this paper is the development of a data-driven scheduling framework using DRL combined with fluid dynamic models in the MVSB-FJSP context.</t>
  </si>
  <si>
    <t>Discrete event simulation and benchmark.</t>
  </si>
  <si>
    <t>Deployment of the approach on an actual shop floor. Dynamic envinroment.</t>
  </si>
  <si>
    <t xml:space="preserve"> MVSB-FJSP </t>
  </si>
  <si>
    <t>Proposes a data-driven decision framework based on DRL and fluid model to minimize makespan in the Multi-Variety and Small-Batch Flexible Job Shop Scheduling Problem (MVSB-FJSP).</t>
  </si>
  <si>
    <t>Fluid Model (a linear model), DRL, Learning approach is DDQN</t>
  </si>
  <si>
    <t>Nerual network, Descrite Event Simulation (DES), CPLEX solver for the fluid model solving.</t>
  </si>
  <si>
    <t>? (Does not specify how the generated shcedules or dispathcing decisions are used in practice.)</t>
  </si>
  <si>
    <t>Synethic &amp; Benchmark data.</t>
  </si>
  <si>
    <t>scheduling problem with high vearity, batched jobs</t>
  </si>
  <si>
    <r>
      <rPr>
        <rFont val="Calibri, sans-serif"/>
        <color rgb="FF1155CC"/>
        <sz val="11.0"/>
        <u/>
      </rPr>
      <t>https://doi.org/10.3390/app151810108</t>
    </r>
  </si>
  <si>
    <t>Focuses on the dynamic flexible job shop scheduling problem (DFJSP). Considers factory and then task level decisions i believe. Has dynamic arrivals. considers response time. The response time of the full model with (policy graident, semi-supervised pre-training, and mast mechanism) has a response time of 1.38 seconds. Experiment with different variations of the final proposed model.</t>
  </si>
  <si>
    <t>Figures hard to read. Does not clearly state their contribution in an easely understandeble way. Comapres itselfs against 5 basic heuristic rules (Dispatching rules) and modern learning-based approaches, but not other types of state-of-the-art scheduling creation algorithms approaches (exact or metahuristic optimizations). The benchmarks they use are made for other scheduling problems, which might is fine. The "advanced heuristic algorithm" which the high-level policy is initialised to is never explained or decribed.</t>
  </si>
  <si>
    <t>(1) Modeling the job shop scheduling problem as a hiearachical structure, which decomposes the schdeuling task into high level decisions and low level task allocations. (2) Conduction of comprehensive comparative experiments of the proposed approach against both heuristic and intelligent algorithms.</t>
  </si>
  <si>
    <t>A HRL-based framework for the dynamic job shop scheduling that employs a two-level decision stage/structure in the traning, exploting a combination of high strategic decision and a low level machine allocation decision.</t>
  </si>
  <si>
    <t>A simulated dynamic flexible job shop environment with stochastic task arrivals.</t>
  </si>
  <si>
    <t>Metrics used are:• Cumulative Reward: The overall scheduling efficiency based on time and resource
 utilization.
 • Task Success Rate: The proportion of tasks completed before their deadlines.
 • Average Response Time: The average duration from task arrival to its completion</t>
  </si>
  <si>
    <t>The paper proposes a hierarchical reinforcement learning approach for dynamic job shop scheduling that combines high-level planning and low-level task allocation and achieves improved performance compared to heuristic (shortest processing time) and single policy baselines.</t>
  </si>
  <si>
    <t>Policy gradient optimization/learning, Markov Decision Process (MDP), hierarchical reinforcement learning, semi-supervised pre-training (Under supervised), Mask mechanism (actions which are not possible/allowed are set to zero)</t>
  </si>
  <si>
    <t>Benchmark dataset. (Brandimarte [40], Dauzère [41], Taillard [42], Demirkol [43], and Lawrence [44])</t>
  </si>
  <si>
    <t>dynamic scheduling problem</t>
  </si>
  <si>
    <r>
      <rPr>
        <rFont val="Calibri, sans-serif"/>
        <color rgb="FF1155CC"/>
        <sz val="11.0"/>
        <u/>
      </rPr>
      <t>https://doi.org/10.1115/1.4068980</t>
    </r>
  </si>
  <si>
    <t>The authors consider disruptions of the enviroment, which contains machine failires, AGV failures and transport disruption, material-handling bottlenecks and blocking, dynamic job demand (job has different arrival rates). Optimizes four objectives (expected productivity improvement, task transition congestion, worklead balancing, transport efficiency). A comprehensive experimentation and analysis of their approach.</t>
  </si>
  <si>
    <t>Makes an comparative analysis against conventional scheduling approachs (FIFO, SPT, EDD, MST, and MDD), but this might be due to none other papers optimizate the same objectives (hard to tell). The codebase is not avialable, which includes the CMAS-DT framework, the mulit-agent RL implementation and the simulator (Results a cannot be reproduced).</t>
  </si>
  <si>
    <t>Proposes a Cognitive multi-agent scheduling system for the job-shop scheduling problem in a dynamic shop environement, combining multi role-specific agent modeling, decentralized multi-agent coordination, and composite reward learning.</t>
  </si>
  <si>
    <t>.</t>
  </si>
  <si>
    <t>A case study on a digital representation of the Learning Factory at the The Pennsylvania State University, that models real-world jobshop enviroment. (Has 20 machines, 5 agvs, finitite queue capacitites, and spatial layout constraints). Metrics used are Productivity, Task Transition, Workload Balance, and Transport Efficiency. To compare against the classic scheduling methods it uses benchmark tests. To evaluate the influcence of the four optimizations objectives on the schedule results they create 216 configurations of weights reapted 32 times each (sensatitivity analysis). To evaluate on its performance on disturbances they stress tests with 5 AGVs and 5 second job inter-arrival time.</t>
  </si>
  <si>
    <t>Real factory deployment.</t>
  </si>
  <si>
    <t>------</t>
  </si>
  <si>
    <t>This paper proposes a Cognitive Digital Twin for the job-shop scheduling problem in a dynamic shop environement, combining multi role-specific agent modeling, decentralized multi-agent coordination, and composite reward learning. Results show that it outperformance traditional schudeling rules in all metrics (Time-in-system, queue-out, workload blance, transport efficiency, finished jobs).</t>
  </si>
  <si>
    <t>four-objective optimization, sensativity analysis.</t>
  </si>
  <si>
    <t>Digital twin technology, AGVs,</t>
  </si>
  <si>
    <t>Synthetic &amp; Benchmark data</t>
  </si>
  <si>
    <t>Production scheudling with for KPI objectives.</t>
  </si>
  <si>
    <r>
      <rPr>
        <rFont val="Calibri, sans-serif"/>
        <color rgb="FF1155CC"/>
        <sz val="11.0"/>
        <u/>
      </rPr>
      <t>https://doi.org/10.1016/j.jfranklin.2025.107944</t>
    </r>
  </si>
  <si>
    <t>Uses L-CAT (learnable graph convolutional attention network) which has been shown to outperform GCN (graph nerual network), GAT (Graph attention network, and CAT (Convolutional atten network) in a widerange of datasets (https://arxiv.org/abs/2211.11853). Describes the network structure. Compares also itself against "recenently" advanced DRL methods. It shortly explains core concepts of the methods used such as graph nerual networks and reinforcement learning (Nice for those who are not familiar with this).</t>
  </si>
  <si>
    <t>Compares itself against classical PDRs-based methods (Tho this seems to be generally the case in these types of papers). Not deployd in real-world manufacturing environment. How GEN2 is generated is not described to some detail. Repeats its contribution multiple times throughout the paper (in a very lenghy and unpresice way.)</t>
  </si>
  <si>
    <t>(1) Employes L-CAT to process the graph-structured data. (2) Constructs a herical state space for FJSP, consisting of a machine selection layer and an operation processing order sequencing layer. (3) The paper proposes two strategies: Aggregation of similar operations and dynamic adjustment of the statespace.</t>
  </si>
  <si>
    <t>The paper presents an end-to-end reinforcement learning and learnable graph convolutional attention network based method that utilizes aggregations of similar opperations and dynamic adjustment of the state space to solve the FJSP.</t>
  </si>
  <si>
    <t>Two synthetic datasets (GEN1 and GEN2) + five public benchmark datasets (Dauzere, Brandimarte, la(rdata), la(edata), and la(vdata))</t>
  </si>
  <si>
    <t>Mulit-objective optimization utilizing DRL and Graph nerual networks, such as costs, delivery times, and energy consumption.</t>
  </si>
  <si>
    <t>FJSP. Google OR-Tools is used as an exact solver for comparison</t>
  </si>
  <si>
    <t>This paper proposes an approach to solve the FJSP combining L-CAL and RL, utilizing two simplification methods and a hierarchical structured decision process.</t>
  </si>
  <si>
    <t>Learneble graph convolutional attention network (L-CAT), Deep reinforcement learning (DRL), Proximal Policy Optimization (PPO), Markov decision process. Disjunctive graph model. Density-Based Spatial Clustering of Applications with Noise (DBSCAN).</t>
  </si>
  <si>
    <t>Graph neurel networks, multi-layer perceptron</t>
  </si>
  <si>
    <t>Synthetic and benchmark data</t>
  </si>
  <si>
    <t>Scheduling in the flexible job shop environment.</t>
  </si>
  <si>
    <t>Intelligent manufacturing</t>
  </si>
  <si>
    <t>Machine learning, graphs</t>
  </si>
  <si>
    <r>
      <rPr>
        <rFont val="Calibri, sans-serif"/>
        <color rgb="FF1155CC"/>
        <sz val="11.0"/>
        <u/>
      </rPr>
      <t>https://doi.org/10.1080/17509653.2025.2498119</t>
    </r>
  </si>
  <si>
    <t>Well written paper. Testes multiple ML approaches. Uses actual production data. Good describtion of the dataset used and they describes various aspects such as technical capabilities, amount of past business, and geographical location of the suppliers. Handles class imbalance.</t>
  </si>
  <si>
    <t>Data is not accesible. Does not use the most state-of-the-art ML approaches, which may give better results.</t>
  </si>
  <si>
    <t>Contribution to the litterature of supplier performance is three-fold: (1) First published article which focus on a supplir performance decision support tool based on real data an ETO firm in the nuclear power supply chain. (2) First work to apply ML models trained to target performance attributes (OTD,RFTD,RFTH--&gt; SCOR metrics). (3) Demonstrates the value of predicting supplier performance and to make it available to others in the nuclear industry to make decision effecting the supply chain.</t>
  </si>
  <si>
    <t>This paper proposed an approach which utilizes GB and .. Sampling to assist in supplier choice risk assement in the ETO industry.</t>
  </si>
  <si>
    <t>Case study of the application of their approach</t>
  </si>
  <si>
    <t>Use of the same approach for firms which has less data collected and predictors. A more generalizable methodology to be used by other firms and industries</t>
  </si>
  <si>
    <t>Yes (Focused on managerial support)</t>
  </si>
  <si>
    <t>on-time delivery (OTD), right-the-first-time documentation (RFTD), right-the-first-time-hardware (RFTH).</t>
  </si>
  <si>
    <t>Combined graident boosting with the synthetic minority oversampling technique (SMOTE) and hyper parameter tuning to develop an supplier performance predictor algorithm and methodology for nuclear ETO industry.</t>
  </si>
  <si>
    <t>ML algorithm: Binary logistic regression (BLR), -- gradient boosting (GB) -- , random forest (RF), support vector machine (SVM) (-- -- er det de brugte i deres final metode), measures robustness and prediction performance using accuracy, precision, recall, F1-score and Area Under the Receiver Operating Characteristic Curve (AUC).</t>
  </si>
  <si>
    <t>Production data form the nuclear industry.</t>
  </si>
  <si>
    <t>Risk supplier assement</t>
  </si>
  <si>
    <t>Supply chain magement, ML, Supplier performance prediction</t>
  </si>
  <si>
    <r>
      <rPr>
        <rFont val="Calibri, sans-serif"/>
        <color rgb="FF1155CC"/>
        <sz val="11.0"/>
        <u/>
      </rPr>
      <t>https://doi.org/10.1080/0951192X.2024.2343677</t>
    </r>
  </si>
  <si>
    <t>Considers the dynamic disturbences envirenoment (order insertion and machine failures). Inlcudes real-time decision making capabilities, by using a combinaiton of cload and edge computing (for real-time responseness).</t>
  </si>
  <si>
    <t>Compares against traditional scheduling rules, which is enhirently not focused on energy aware scheduling (shortest processing time, longest processing time, minimum remaining batch, and maximum remaining batch). Misspelling in the abastract (training --&gt; trained). figure is hard to read and it does not seem that the energy aware approach result in big improvements. The experimentation does not have a large variation (only A1,A2,A3 - three different workpieces to manufacture), which could be furthere investigated. Claims real-time capabilities, but the authors does not quantify this anywhere (They claims this based on the arcitecture - cloud-edge).</t>
  </si>
  <si>
    <t>The paper has two main contribution claims: (1) First an edge-cloud collaboration framework which trains and updates the model in the cloud and deploys the trained model on the edge to process real-time response taks. (2) A dynamic real-time energy-aware scheduling model based on cloud-edge infrastructure utilizing DQN and characteristics of a dynamic flexible workshop.</t>
  </si>
  <si>
    <t>A cloud-edge rescheduling approach based on DQN and predefined limited action space, that demonstrate improved performance in energy consumption and makespan compared to traditional dispatcing rules in a distrubence present enviroment on batch-based manufacturing with limited product variability and intentet real-time responsiviness.</t>
  </si>
  <si>
    <t>Case study of a extrusion workshop is used to verify the energy-aware scheduling approach, with specific settings in accordanse to it.</t>
  </si>
  <si>
    <t>(re)scheduling approaches which can be deployd in latency constrained enviroments (Where real-time is critical)..</t>
  </si>
  <si>
    <t>It does not validated the real-time claim plus Its a mix of conceptual and implemented.</t>
  </si>
  <si>
    <t>This paper presents a hybrid DQN-huristic rescheduling approach for the dynamic flexible manufacturing system utilizaing cloud and edge computing to enable real-time scheduling decision at the edge from an arctitectural perspective.</t>
  </si>
  <si>
    <t>Deep G network. Hurestics (the action space - an combination of DSR and energy aware rules). Stochastic markow game.</t>
  </si>
  <si>
    <t>Cloud computing, edge computing.</t>
  </si>
  <si>
    <t>Edge-clod collaborative arcitecture.</t>
  </si>
  <si>
    <t>Edge-clod collaborative framework.</t>
  </si>
  <si>
    <t>Implementation/conseptual</t>
  </si>
  <si>
    <t>energy aware, bi-objective optimization</t>
  </si>
  <si>
    <r>
      <rPr>
        <rFont val="Calibri, sans-serif"/>
        <color rgb="FF1155CC"/>
        <sz val="11.0"/>
        <u/>
      </rPr>
      <t>https://doi.org/10.1007/978-3-031-86489-6_17</t>
    </r>
  </si>
  <si>
    <t>Uses industry 4.0 standards. Includes core industry technology (CPPS). Explains the implementation details. The proof of concept cannot be accessed.</t>
  </si>
  <si>
    <t>Lacks an actual evaluation of the proof of concept. Which more demonstrates how it could be implemented, lacking data analysis.</t>
  </si>
  <si>
    <t>Development of a communication scheme, modeling assets using AAS and the industry 4,0 language that enables automated commmunication between FDD components for a decentralized control structure and makes distributed knowledge accessible.</t>
  </si>
  <si>
    <t>Development of a communication scheme, modeling assets using AAS and the industry 4,0 language that enables automated commmunication between fault detection and diagnosis components for a decentralized control structure and makes distributed knowledge accessible, including a proof-of-concept in an smart factory demonstrator.</t>
  </si>
  <si>
    <t>Proof-of-Concept (Fcous on implementaiton)</t>
  </si>
  <si>
    <t>Does not cover the detection and diagnosis of unknown faults. ML approaches which can do similarity analysis to diagnosis similar faults.</t>
  </si>
  <si>
    <t>Only contains proof-of-concept.</t>
  </si>
  <si>
    <t>Capability-Skill-Service-Fault-Symptom model (CSSFS model). Multi-agent system.</t>
  </si>
  <si>
    <t>Cyber-physical production systems (CPPS), Asset Administration Shell (AAS), Industry 4.0 language. Knowledge-graph.</t>
  </si>
  <si>
    <t>Nothing</t>
  </si>
  <si>
    <t>Presents a system architecture.</t>
  </si>
  <si>
    <t>Fault detection and diagnosis in CPPS.</t>
  </si>
  <si>
    <t>automatic fault detection and diagnosis (FDD). ASS. Multi-agent system.</t>
  </si>
  <si>
    <r>
      <rPr>
        <rFont val="Calibri, sans-serif"/>
        <color rgb="FF1155CC"/>
        <sz val="11.0"/>
        <u/>
      </rPr>
      <t>https://doi.org/10.1080/17509653.2025.2475774</t>
    </r>
  </si>
  <si>
    <t>Uses industry 4.0 "tools". Uses real-world data from as a case study of polymer products manufucaturing company. Maximizes profit associated with idle time, (production? - mentioned before but as part of objective in discussion for some reason), tardiness, and earliness penalties. This seems to be relevant for decision-makers (What production is idk maybe capacity).</t>
  </si>
  <si>
    <t>Formulates the problem as Mixed integer linear programming which might be less applicabel in large scale factories and might break if enviroment changes. Lacks explenation of core concepts such as cloud manufacturing nad fitness value. Lacks novelty in terms of the strategies proposed for manufacturing (MTS for long term/loyal/contracted costumers) and MTO for short-term clients. This also goes for the predictive maintanence which simply follows a limit/threshold of vibration measumerents. The production periods seems to be quite static and does not include failers or other distrubences. Does not include any describtion of how the GA is used and when it is used over the MILP solver, only that it should be used in "larger instances". They should include differences of having GA and not having it. GA part is not reproducible.</t>
  </si>
  <si>
    <t>Not clearly stated.</t>
  </si>
  <si>
    <t>The paper proposes a company specific hybrid MTS/MTO order-acceptance and scheduling framework for a polymer manufacturing job shop, validated through an empirical industrial case study. It intergrates cloud-based orders and predictive maintenance, formulated as a profit-maximizing MILP objective and demonstrates scalability via GA.</t>
  </si>
  <si>
    <t>Very company specific. The state of the company does not reflec moderm production manufucatures digitalization levels.</t>
  </si>
  <si>
    <t>This paper proposes a MILP and GA based order acceptence and scheduling model for hybrid make-to-stock and make-to-order in a cloud order system in cloud manufacturing context.</t>
  </si>
  <si>
    <t>Mixed integer linear programming (MILP), CPLEX solver, OAS (order and acceptence scheduling). Genetic Algorithm (which idk). Sensitivy analysis.</t>
  </si>
  <si>
    <t>CPS, PdM, GAMS (General Algebraic Modelling System)</t>
  </si>
  <si>
    <t>Decision support (human in the loop)</t>
  </si>
  <si>
    <t>Polymere industry</t>
  </si>
  <si>
    <t>Hybrid MTO/MTS. Mathematical model. Predictive maintenance. Maximixing profit.</t>
  </si>
  <si>
    <r>
      <rPr>
        <rFont val="Calibri, sans-serif"/>
        <color rgb="FF1155CC"/>
        <sz val="11.0"/>
        <u/>
      </rPr>
      <t>https://doi.org/10.1016/j.procir.2025.01.005</t>
    </r>
  </si>
  <si>
    <t>No (Yes, related work)</t>
  </si>
  <si>
    <t>Could be used for the survey in related work.</t>
  </si>
  <si>
    <t>Explaineble reinformcement learning</t>
  </si>
  <si>
    <t>Systematic review</t>
  </si>
  <si>
    <r>
      <rPr>
        <rFont val="Calibri, sans-serif"/>
        <color rgb="FF1155CC"/>
        <sz val="11.0"/>
        <u/>
      </rPr>
      <t>https://doi.org/10.1007/s10845-025-02585-6</t>
    </r>
  </si>
  <si>
    <t>Well written, though it does have a lot of "--".</t>
  </si>
  <si>
    <t>The methodology they used in the SRL, does not follow a known approach. The search query is not accessible and other relevant SRL data.</t>
  </si>
  <si>
    <t>Has the following main goals: (1) Exploring integrations technigues of AI, in particular focus on RL in DJSS. (2) Identify the key challanges in traditional and AI-driven aproaches. (3) Asses the effectiveness of different AI methods in handling complexities of real-world manufacturing conditions.</t>
  </si>
  <si>
    <t>Could be utilized in the related work seciton.</t>
  </si>
  <si>
    <t>A review of dynamic job shop scheduling problem, with focus on AI-driven approaches, particlary RL.</t>
  </si>
  <si>
    <t>Modern manufacturing</t>
  </si>
  <si>
    <r>
      <rPr>
        <rFont val="Calibri, sans-serif"/>
        <color rgb="FF1155CC"/>
        <sz val="11.0"/>
        <u/>
      </rPr>
      <t>https://doi.org/10.1016/j.procir.2025.01.005</t>
    </r>
  </si>
  <si>
    <r>
      <rPr>
        <rFont val="Calibri, sans-serif"/>
        <color rgb="FF1155CC"/>
        <sz val="11.0"/>
        <u/>
      </rPr>
      <t>https://doi.org/10.1177/1063293X231217543</t>
    </r>
  </si>
  <si>
    <t>Uses an actual industry case contribution value on top of the litterature background. Identifies challanges in regards to harmonisation, integration and automation (limited to the two case studies).</t>
  </si>
  <si>
    <t>The paper could be strenged by consediring other HMLV type companies and/or including another company in the case study.</t>
  </si>
  <si>
    <t>A cast study of an ETO marine manufucturing company answering how industry 4.0 contribute towrads sustainable choices in product development and the short comming in existin data acquesition and data quality.</t>
  </si>
  <si>
    <t>A cast study of an ETO marine manufucturing company answering how industry 4.0 contribute towrads sustainable choices in product development and the short comming in existin data acquesition and data quality biased by the cast study.</t>
  </si>
  <si>
    <t>This is an empirical industrial case study evaluating digital transformation and sustainability practices in an unnamed marine manufacturing Engineer-to-Order company.</t>
  </si>
  <si>
    <t>This paper investigates the challanges of digital transformation in an ETO company context and how it can use digitalizaiton (Industry 4.0, digital twins,, and integrated product data (PLM, ERP, and MES) can enable more sustantiable, compliant, and efficient product development and manufacturing.</t>
  </si>
  <si>
    <t>Scientific methods (Participatory Action Research (PAR), Two case studies, field observations). Virtual engineeering. PLM system. CAD (3D models). MES &amp; ERP (linked). Single source of truth. Simulation technologies mentioned: Siemens Process Simulate and Robproc(their own).</t>
  </si>
  <si>
    <t>Concebtual use of: Digital twins, Robotics,</t>
  </si>
  <si>
    <t>Company case study</t>
  </si>
  <si>
    <t>Sustainability and engineering decsion support.</t>
  </si>
  <si>
    <t xml:space="preserve">This approach can generalize towards others product variations in design and manufacturing servicing. </t>
  </si>
  <si>
    <t>Does requerie expert knowledge to make a final decision. Relies on previous manufacturere collaboration to be effective.</t>
  </si>
  <si>
    <t>The paper proposes a MaaS contracting methodology that uses probability of meeting technical requreiments and decition tree learning on historic bussiness relation-ship performance to select most suiteble design and manufactur service providers.</t>
  </si>
  <si>
    <t>case study of Mass costimization dental.</t>
  </si>
  <si>
    <t>decision tree learning, degree of satisfaction, uncertancy modelling.</t>
  </si>
  <si>
    <t>MaaS contract selection</t>
  </si>
  <si>
    <t>Manufacturing as a service</t>
  </si>
  <si>
    <t>MaaS, collborative manufacturing</t>
  </si>
  <si>
    <t>https://easychair.org/publications/preprint/tBPM</t>
  </si>
  <si>
    <t>No (may be relavent in releated work)</t>
  </si>
  <si>
    <t>https://doi.org/10.1504/IJMR.2024.136569</t>
  </si>
  <si>
    <r>
      <rPr>
        <rFont val="Verdana"/>
        <strike/>
        <color theme="1"/>
      </rPr>
      <t xml:space="preserve">L4 </t>
    </r>
    <r>
      <rPr>
        <rFont val="Verdana"/>
        <color theme="1"/>
      </rPr>
      <t>--&gt; L3</t>
    </r>
  </si>
  <si>
    <t>The digital twin based simulation enables what-if analysis of different configurtions of the full internal supply chain or specific plants.</t>
  </si>
  <si>
    <t xml:space="preserve">The current approach depends on specifics of the company used in the case study, i.e. assumes that all plants share a unified and standardized information system. A centralized system, why may or may is desirable. </t>
  </si>
  <si>
    <t>(1) One of the first to implenent an digital twin explicitly for internal supply chain.  (2) Demonstrating how a simulation based DT can be used as decision support for multi-plant planning. (3) First to fully implement and validated the mulit-plant digital twin in a real manufacturing setting.</t>
  </si>
  <si>
    <t>A mulit-plant Digital Twin produciton planning platform</t>
  </si>
  <si>
    <t>case study of Oil &amp; Gas manufacturing sector</t>
  </si>
  <si>
    <t>lack of deployable digital twin–based production planning solutions that can operate over heterogeneous and legacy manufacturing information systems (No need for full data standardization or a unified corporate IT infrastructure).</t>
  </si>
  <si>
    <t>What-if scenario, Modular design.</t>
  </si>
  <si>
    <t>Digital Twin, Siemens Tecnomatix Plant Simulation</t>
  </si>
  <si>
    <t>corporate group’s information system database</t>
  </si>
  <si>
    <t>Manufacturing (oil-gas)</t>
  </si>
  <si>
    <t>Inter Supply Chain, Digital Twin, MTO</t>
  </si>
  <si>
    <t>https://doi.org/10.3390/forecast4040055</t>
  </si>
  <si>
    <t>Greece</t>
  </si>
  <si>
    <t>Marketing</t>
  </si>
  <si>
    <t>https://doi.org/10.1299/jamdsm.2022jamdsm0037</t>
  </si>
  <si>
    <t>Requested access</t>
  </si>
  <si>
    <t>From Large-scale</t>
  </si>
  <si>
    <t>2020 An improved artificial bee colony algorithm for solving multi-objective low-carbon flexible job shop scheduling problem</t>
  </si>
  <si>
    <r>
      <rPr>
        <rFont val="Calibri, sans-serif"/>
        <color rgb="FF1155CC"/>
        <sz val="11.0"/>
        <u/>
      </rPr>
      <t>https://doi.org/10.1016/j.asoc.2020.106544</t>
    </r>
  </si>
  <si>
    <t>From Deep Reinforcement Learning for Dynamic Flexible Job-Shop Scheduling with Automated Guided Vehicles</t>
  </si>
  <si>
    <t>Not relevant</t>
  </si>
  <si>
    <t>2020 A self-learning genetic algorithm based on reinforcement learning for flexible job-shop scheduling problem</t>
  </si>
  <si>
    <r>
      <rPr>
        <rFont val="Calibri, sans-serif"/>
        <color rgb="FF1155CC"/>
        <sz val="11.0"/>
        <u/>
      </rPr>
      <t>https://doi.org/10.1016/j.cie.2020.106778</t>
    </r>
  </si>
  <si>
    <t>relevant</t>
  </si>
  <si>
    <t>2020 Learning to Dispatch for Job Shop Scheduling via Deep Reinforcement Learning</t>
  </si>
  <si>
    <t>https://proceedings.neurips.cc/paper/2020/hash/11958dfee29b6709f48a9ba0387a2431-Abstract.html</t>
  </si>
  <si>
    <r>
      <rPr>
        <rFont val="Calibri, sans-serif"/>
        <color rgb="FF1155CC"/>
        <sz val="11.0"/>
        <u/>
      </rPr>
      <t>https://proceedings.neurips.cc/paper_files/paper/2020/file/11958dfee29b6709f48a9ba0387a2431-Paper.pdf</t>
    </r>
  </si>
  <si>
    <t>From Expert-Guided Deep Reinforcement Learning for Flexible Job Shop Scheduling Problem</t>
  </si>
  <si>
    <t>2022_multiobjective_optimization_of_energy-efficient_job-shop_scheduling_with_dynamic_reference_point-based_fuzzy_relative_entropy</t>
  </si>
  <si>
    <t>2022 Multiobjective Optimization of Energy-Efficient JOB-Shop Scheduling with Dynamic Reference Point-Based Fuzzy Relative Entropy</t>
  </si>
  <si>
    <t>2020_an_efficient_two-stage_genetic_algorithm_for_a_flexible_job-shop_scheduling_problem_with_sequence_dependent_attached/detached_setup,_machine_release_date_and_lag-time</t>
  </si>
  <si>
    <t>2020 An efficient two-stage genetic algorithm for a flexible job-shop scheduling problem with sequence dependent attached/detached setup, machine release date and lag-time</t>
  </si>
  <si>
    <t>Claimed Contribution (See info for explanation)</t>
  </si>
  <si>
    <t>Actual Contribution</t>
  </si>
  <si>
    <t>Future work</t>
  </si>
  <si>
    <t>Keywords</t>
  </si>
  <si>
    <t>Lengthy description of their setup and method. Good overview of coordinate transformation in their setup.</t>
  </si>
  <si>
    <t>The stated contributions are very difficult to understand and can be questioned whether they are actual contributions. The usecase is unclear.</t>
  </si>
  <si>
    <t>(1) A MR-augmented robot control framework, (2) A MR-augmented DRL algorithm is developed and explored to enhance safe robot motion planning in HRC scenes, (3) An on-site reative collision detection approach is developed for executing robot motion within HRC scenarios.</t>
  </si>
  <si>
    <t>Demonstrate that combining augmented reality with deep reinforcement learning can be useful for motion planning scenarios.</t>
  </si>
  <si>
    <t>Interesting modelling language. Much of the terminology is described in detail.</t>
  </si>
  <si>
    <t>Lacking evaluation. Questionable or lacking citations all over the paper. Abstract is full of random abbreviations and random sentences that doesn't belong.</t>
  </si>
  <si>
    <t>RTMN 2.0 makes is the creation of synergy between HRC modes (based on ISO standards) and HRC task types in the literature</t>
  </si>
  <si>
    <t>Present a modelling language called: robot task modeling and notation - with focus on human-robot collaboration. Its actual usecase is unclear.</t>
  </si>
  <si>
    <t>Mental safety in Human-robot collaboration</t>
  </si>
  <si>
    <t>Interesting usecase for digital twins that seems to provide some results/improvements. "The primary value of this model in engineering applications is that it can replace test boards for determining reflow soldering temperature profile, potentially shortening product development time by at least one month and reducing production costs by at least two raw material units per board, thus offering significant value for widespread application."</t>
  </si>
  <si>
    <t>No proper discussion of results. Generally not a well written paper</t>
  </si>
  <si>
    <t>Propose a digital twin architecture and its connection and interaction mechanism for reflow soldering process. Propose a digital twin-driven method for the design and optimization of reflow profile parameters. Experimental results.</t>
  </si>
  <si>
    <t>A digital twin model for SMT reflow soldering curves.</t>
  </si>
  <si>
    <t>I'm not familiar with this topic (soldering)</t>
  </si>
  <si>
    <t>Actual machines: EASA HOTTFLOW 3/20 reflow oven, FLUKE 2638A HYDRA SERIES III pyrometer. A total of 14 temperature sensors and 14 fan speed sensors.</t>
  </si>
  <si>
    <t>They presented a knowledge-based framework able to atomically transform the robotics tasks into process plans, which are further interpreted into concrete robot commands and executed</t>
  </si>
  <si>
    <t>https://doi.org/10.1145/3564695.3564778</t>
  </si>
  <si>
    <t>Not relevant in its current state</t>
  </si>
  <si>
    <t>Introduce the STRATA framework to analyse and monitor and additive manufacturing process</t>
  </si>
  <si>
    <t>Reading the conclusion it is truly amazing how this paper was accepted.</t>
  </si>
  <si>
    <t>DNF</t>
  </si>
  <si>
    <t>Simulation model complexity, advanced RL agents, data-driven models</t>
  </si>
  <si>
    <t>The paper provides a showcase on how to integrate an RL agent with a Discrete Event Simulation (DES) environment.</t>
  </si>
  <si>
    <t>Simio,</t>
  </si>
  <si>
    <t>US</t>
  </si>
  <si>
    <t>Reinforcement learning, simulation, framework, Digital twins</t>
  </si>
  <si>
    <t>Claim the answer “how to appropriately design a sensor network for zero defect manufacturing in a high-variety manufacturing environment” but only study it on a single machine</t>
  </si>
  <si>
    <t>This paper presents an answer to “how to appropriately design a sensor network for zero defect manufacturing in a high-variety manufacturing environment” by taking into account SMEs’ characteristics when aiming toward I4.0.</t>
  </si>
  <si>
    <t>The paper explore their "sensor network" on a single milling machine</t>
  </si>
  <si>
    <t>vibration, machine-cutting parameters, i.e. {tool feed rate, cutting depth, rotation speed}, tool type (shape, material, geometry).</t>
  </si>
  <si>
    <t>https://doi.org/10.1007/978-3-030-75680-2_62</t>
  </si>
  <si>
    <t>Does not clearly state their contribution(s),</t>
  </si>
  <si>
    <t>Creation and use of a digital twin to support decise parameters for a Computed Tomography (CT) system</t>
  </si>
  <si>
    <t>Digital twin,</t>
  </si>
  <si>
    <t>Strong presentation of different methods. Interesting idea/direction of reducing cost by scheduling.</t>
  </si>
  <si>
    <t xml:space="preserve">Missing reflection on </t>
  </si>
  <si>
    <r>
      <rPr>
        <rFont val="Verdana"/>
        <color theme="1"/>
      </rPr>
      <t xml:space="preserve">llustrate how the results of the multiobjective model can be utilized in decision making to select the solution among all on the Pareto front by using the Technique for Order Preference by Similarity to Ideal Solution (TOPSIS) method in a </t>
    </r>
    <r>
      <rPr>
        <rFont val="Verdana"/>
        <b/>
        <color theme="1"/>
      </rPr>
      <t>case study</t>
    </r>
    <r>
      <rPr>
        <rFont val="Verdana"/>
        <color theme="1"/>
      </rPr>
      <t>.</t>
    </r>
  </si>
  <si>
    <t>Paper introduces a method to reduce energy cost (electricity) via production scheduling. Minimize total tardiness and total energy cost on a single-machine setting.</t>
  </si>
  <si>
    <t>mixed-integer multiobjective mathematical model</t>
  </si>
  <si>
    <t>Manual</t>
  </si>
  <si>
    <t>Energy prices, production data</t>
  </si>
  <si>
    <t>Automaic/manual</t>
  </si>
  <si>
    <t>received orders, availability of resources, workstation processing times, machine failures, product rejection rates in quality inspection</t>
  </si>
  <si>
    <t>Resource allocation, Data-driven simulation, Decision support system</t>
  </si>
  <si>
    <t>They provide a thorough walkthrough of their method.</t>
  </si>
  <si>
    <t>The paper presents a Data-driven simulation (DDS) Decision support system (DSS) and evaluate on a case study in a factory in Sweden</t>
  </si>
  <si>
    <t>Use DDS-DSS in different sectors, Enhance the performance of DDS-DSS</t>
  </si>
  <si>
    <t>Data-driven simulation</t>
  </si>
  <si>
    <t>The analysis seems well carried out.</t>
  </si>
  <si>
    <t>No discussion or reflection on the work, considerable amount of hyperbole statements</t>
  </si>
  <si>
    <t>(1) Deep reinforcement learning (DRL) which comines look-ahead search (LAS) for a more accurate estimated makespan (2) Numerical verification that DRA-LA (what is that!?!?!) provides a near-optimal solution and outperforms a commercial optimization solver (3) The proposed DRL can deal with varitions on processing times</t>
  </si>
  <si>
    <t>The parper look  a at noncyclic scheduling problem of robotic cells where jovs with different processing times are processed on machines sequentially and try to reduce the makespan (the total time from the start to the finish of a set of tasks or a project)</t>
  </si>
  <si>
    <t>Automated</t>
  </si>
  <si>
    <t>Korea</t>
  </si>
  <si>
    <t>Reinforcement learning, scheduling, robot cell</t>
  </si>
  <si>
    <t>https://doi.org/10.1007/978-3-031-38165-2_135</t>
  </si>
  <si>
    <t>Low HMLV relevant, no DS relevance</t>
  </si>
  <si>
    <r>
      <rPr>
        <rFont val="Verdana"/>
        <strike/>
        <color theme="1"/>
      </rPr>
      <t>L1</t>
    </r>
    <r>
      <rPr>
        <rFont val="Verdana"/>
        <color theme="1"/>
      </rPr>
      <t xml:space="preserve"> L0</t>
    </r>
  </si>
  <si>
    <t>The company seems to implement some of the work</t>
  </si>
  <si>
    <t>Spend much space on explaning CTO (configure to order) and its problems and very little on their solution. Only evaluated on a single usecase</t>
  </si>
  <si>
    <t>Difficult to quantify</t>
  </si>
  <si>
    <t>Using digital twins to improve 'configure-to-order', in this case for custom bikes - tested on a factory in the Netherlands</t>
  </si>
  <si>
    <t>Digital twins</t>
  </si>
  <si>
    <t xml:space="preserve">Digital twin, </t>
  </si>
  <si>
    <t>Unknown - but the solution helps according to the authors</t>
  </si>
  <si>
    <t>unknown</t>
  </si>
  <si>
    <t>https://doi.org/10.1117/12.2679540</t>
  </si>
  <si>
    <t>Interesting idea</t>
  </si>
  <si>
    <t>Introduces abundant unexplained terms, such as "cloud robot". Little to none evaluation</t>
  </si>
  <si>
    <t>The paper explores production task allocation (from the angle of the optimal combination of cloud manufacturing resources).</t>
  </si>
  <si>
    <t>Mathematical model, quantum firefly algorithm (QFA)</t>
  </si>
  <si>
    <t>Task allocation, cloud manu</t>
  </si>
  <si>
    <t>The evaluation seems to be well carried out</t>
  </si>
  <si>
    <t>They neither discuss or conclude on their results (as unfortunatly normal with these papers)</t>
  </si>
  <si>
    <t>Combine MCAP (Monte Carlo Action Programming) with the real-time MCTS (Monte Carlo Tree Search) approach to ease configuration of a dynamic control system. The completed concept is demonstrated on two example cases, both modelled after industrial assembly applications, utilising HRC.</t>
  </si>
  <si>
    <t>Simulation, test cell</t>
  </si>
  <si>
    <t>The paper uses Montre Carlo Tree Search for dynamic scheduling</t>
  </si>
  <si>
    <t>Task allocation</t>
  </si>
  <si>
    <t>https://doi.org/10.1109/CASE48305.2020.9216907</t>
  </si>
  <si>
    <t>No decision support</t>
  </si>
  <si>
    <t>Flexible manual assembly, swarm intelligence, computer vision,</t>
  </si>
  <si>
    <t>https://doi.org/10.1007/s11740-017-0784-x</t>
  </si>
  <si>
    <t>Well written</t>
  </si>
  <si>
    <t>Does not clearly state the contribution</t>
  </si>
  <si>
    <t>Present a way to handle mobile robot scheduling</t>
  </si>
  <si>
    <t>The paper presents a study dealing with scheduling of a manufacturing cell with 2-3 machines and provide a solution (applicable to any number of machines). Each machine in the cell is equipped with one input and one output buffer which expand the production capacity of a cycle into two parts.</t>
  </si>
  <si>
    <t>process time, distance between stations, loading/unloading times</t>
  </si>
  <si>
    <t>Mobile robot scheduling, matrix-production</t>
  </si>
  <si>
    <t>Evaluation is only performed on benchmarks.</t>
  </si>
  <si>
    <t>(1) A novel mixed-integer linear programming (MILP) model is proposed for EE-DFFJSP, and a typical MDP model for FJSPs is extended to a novel triple-MDP formulation based on problem characteristics. (2) A multi-agent cooperative multi-network group (MACMNG) framework is introduced to handle triple-MDP. (3) Comprehensive comparisons conducted on 69 benchmark instances demonstrate MACMNG’s statistically significant superiority over state-of-the-art multi-objective algorithms across three performance metrics.</t>
  </si>
  <si>
    <t>Simulation (against 69 benchmarks)</t>
  </si>
  <si>
    <t>The paper introduce the MACMNG framework. Which, according to the authors, has significant advantages against traditional advanced approaches. The MACMNG is capable of decomposing complex challenges into correlated subproblems and creating subnetworks for cooperative parallel processing.</t>
  </si>
  <si>
    <t>Mixed-integer linear programming, Markov decision process</t>
  </si>
  <si>
    <t>Reinforcement learning, distributed flexible job-shop scheduling, energy-efficient scheduling</t>
  </si>
  <si>
    <t>They do not evaluate on real-work (or alike) scenarios</t>
  </si>
  <si>
    <t>(1) Novel mixed integer programming model (MIP) and the problem is modeled as a sequential decision-making problem. (2) A D3QN algorithm with 8 rules (3) The proposed algorithm achieves better results compared to regular used rules and algorithms in numerical studies</t>
  </si>
  <si>
    <t>Numerical study</t>
  </si>
  <si>
    <t>Consider additional objectives, such as: machine utilization and production cost</t>
  </si>
  <si>
    <t>Sequence-dependent setup times have not yet been solved for Dynamic flexible job shop scheduling (DFJSP). This paper explores DFJSP with that focus, by modeling the problem as a Markov Decision process.</t>
  </si>
  <si>
    <t>Mixed integer programming model, markov decision proces, Deep Q-Learning</t>
  </si>
  <si>
    <t>Job Shop Scheduling Problem</t>
  </si>
  <si>
    <t>(1) Utilized a heterogeneous graph structure to represent the RDFGSP (2) end-to-end decision making proecess is developed by simplifying the heterogeneous graph and integrating it with reinforcement learning.</t>
  </si>
  <si>
    <t>Study on generated data</t>
  </si>
  <si>
    <t>The authors claim that they addressing the intricate timely challenges prevalent in SMT workshops, by combining deep learning with robust reinforcement learning.</t>
  </si>
  <si>
    <t>Markov decision process, Q-Learning</t>
  </si>
  <si>
    <t>Distributed flowshow scheduling, Q-learning, reconfigurable distributed flowshop group scheduling problem (RDFGSP)</t>
  </si>
  <si>
    <t>Electronics, SMT Workshop</t>
  </si>
  <si>
    <t>https://doi.org/10.1007/s43069-025-00466-5</t>
  </si>
  <si>
    <t>Not about decision support</t>
  </si>
  <si>
    <t>https://doi.org/10.1016/j.asoc.2025.113230</t>
  </si>
  <si>
    <t>https://doi.org/10.1007/978-981-96-9901-8_32</t>
  </si>
  <si>
    <t>Flexible Job Shop Scheduling, deep reinforcement learning</t>
  </si>
  <si>
    <t>Distributed Flexible Job Shop Scheduling</t>
  </si>
  <si>
    <t>https://doi.org/10.1109/TASE.2025.3591984</t>
  </si>
  <si>
    <t>Only tested on synthetic data</t>
  </si>
  <si>
    <t>(1) Introduce an DRL approach for energy-efficient distributed heterogeneous hybrid flow-shop scheduling problem (2) Formulate an MDP that integrates decision-making for operation selection, factory allocation, and machine assignment (3) Extend Song et al's heterogeneous graph structure to. a multi-factory setting</t>
  </si>
  <si>
    <t>Simulation, Synthetic generated data</t>
  </si>
  <si>
    <t>Add additional constraints into the model</t>
  </si>
  <si>
    <t>Mixed-integer linear programming, deep reinforcement learning</t>
  </si>
  <si>
    <t>Deep reinforcement learning, energy-efficient scheduling</t>
  </si>
  <si>
    <t>Abstract is well written</t>
  </si>
  <si>
    <t>Seems like most of the conclusion is missing. Only tested in simulation</t>
  </si>
  <si>
    <t>(1) A reward function designed to support dynamic task allocation and real-time adjustments for a multi-robot job scheduling model. (2) Ten diverse scheduling rules and how to dynamically choose between them. (3) A method called Pathfinder is proposed for decision-making in custom production job scheduling.</t>
  </si>
  <si>
    <t>The paper introduce "Pathfinder", a deep reinforcement learning-based scheduling framework. It uses three metrics: execution time, completion time, and efficiency - ten "diverse" rules are created based on these metrics (E.g. shortest complete time).</t>
  </si>
  <si>
    <t>Deep reinforcement learning</t>
  </si>
  <si>
    <t>Deep reinforcement learning, production scheduling, task allocation, multi-robot system</t>
  </si>
  <si>
    <t>(1) a dual-graph representation that separately models static constraints and dynamic states, reducing computational complexity while preserving structural information. (2) a synergistic integration of ES with GNN-RL. (3) an adaptive mutation strength adjustment mechanism that dynamically responds to fitness landscape changes, accelerating convergence while maintaining diversity throughout the optimization process.</t>
  </si>
  <si>
    <t>The paper propose a ES-DGDRL method to solve the FJSP, which combines ES and policy gradients to update the policy network's parameters.</t>
  </si>
  <si>
    <t>Evolutionary strategies with dual graph reinforcement learning</t>
  </si>
  <si>
    <t>Flexible job shop scheduling, reinforcement learning, graph neural network</t>
  </si>
  <si>
    <t>https://doi.org/10.1108/RPJ-11-2017-0238</t>
  </si>
  <si>
    <t>Neither about HMLV or decision support</t>
  </si>
  <si>
    <t>Europe</t>
  </si>
  <si>
    <t>Additive manufacturing, Industry 4.0, case study</t>
  </si>
  <si>
    <t>https://doi.org/10.1177/1687814018766776</t>
  </si>
  <si>
    <r>
      <rPr>
        <rFont val="Calibri"/>
        <strike/>
        <color theme="1"/>
        <sz val="11.0"/>
      </rPr>
      <t>Unclassified</t>
    </r>
    <r>
      <rPr>
        <rFont val="Calibri"/>
        <color theme="1"/>
        <sz val="11.0"/>
      </rPr>
      <t xml:space="preserve"> L2</t>
    </r>
  </si>
  <si>
    <t>It seems to be somewhat weak on decision support. There is no evaluation?</t>
  </si>
  <si>
    <r>
      <rPr>
        <rFont val="Verdana"/>
        <strike/>
        <color theme="1"/>
      </rPr>
      <t xml:space="preserve">Yes </t>
    </r>
    <r>
      <rPr>
        <rFont val="Verdana"/>
        <color theme="1"/>
      </rPr>
      <t>No</t>
    </r>
  </si>
  <si>
    <t>The paper deals with yougurth production - and aims to develop a method for managing the production line without the need for reconfiguring while still being able to produce an entire spectrum of products.</t>
  </si>
  <si>
    <t>LabVIEW</t>
  </si>
  <si>
    <t>Hungary, Slovakia</t>
  </si>
  <si>
    <t>Indutri 4.0, IoT, mass customization</t>
  </si>
  <si>
    <t>https://doi.org/10.1016/j.ifacol.2018.03.046</t>
  </si>
  <si>
    <t>Seems like an interesting model</t>
  </si>
  <si>
    <t>Development of a Petri Net (PN) model of a smart factory using the formalism of objet PNs to represent the subtleties of the Industry 4.0 manufacturing approach.</t>
  </si>
  <si>
    <t>Petri nets, Industry 4.0</t>
  </si>
  <si>
    <t>This seems to be an important paper within the field.</t>
  </si>
  <si>
    <t>(1)  The formulation of the new problem (i.e., the joint optimization of production scheduling and maintenance planning in a flexible job shop with new job arrivals, due date changes, machines deterioration, random machine breakdowns, minimal repairs, and CBM interventions). (2) The development of a proactive-reactive scheduling approach based on a modified hybrid GA.</t>
  </si>
  <si>
    <t>(1) Apply proposed model, approach, and policies in a real-world case study from industry. (2) Examine if the proposed system can be extended to different production layouts</t>
  </si>
  <si>
    <t>The paper investigates the integration of production scheduling and maintenance planning in the context of Industry 4.0. The considered production layout is a flexible job shop in which machines are not identical and are subject to deterioration, random breakdowns, minimal repairs, and condition-based maintenance. Formulations are introduced to model each machine’s condition and the effects on the processing times and the associated maintenance and production costs. The developed formulations are integrated into a production scheduling model to find the optimal integrated plan that minimizes the expected total system cost including tardiness and maintenance costs.</t>
  </si>
  <si>
    <t>Hybrid generic algorithm</t>
  </si>
  <si>
    <t>Flexible job shop scheduling, Industry 4.0, Condition-based maintenance, production scheduling, Real-time optimization</t>
  </si>
  <si>
    <t>Decision Type</t>
  </si>
  <si>
    <t>SSP</t>
  </si>
  <si>
    <t>Although they don't go too much into detail, the model is applied in a real world case. And they are pretty good at describing how the model is made (although I'm no CS so it's hard for me to understand)</t>
  </si>
  <si>
    <t>They don't go into detail on which type of decision-making and how it will be directly used, they stick to claiming that it will aid in decision-making but nothing more</t>
  </si>
  <si>
    <t>Develops a "Spatio-Temporal model" to organise big data and provide a structured overview to ease decision-making processes</t>
  </si>
  <si>
    <t>Model development</t>
  </si>
  <si>
    <t>"existing gaps between the collected big data and the data
 driven smart applications."</t>
  </si>
  <si>
    <t xml:space="preserve">Manual decision making </t>
  </si>
  <si>
    <t>Generalisable and robuts model for JSSP</t>
  </si>
  <si>
    <t>High training cost, only focus on JSSP which is not quite representative of what is often in real life, requires advanced hardware for training which SMEs might not have access to</t>
  </si>
  <si>
    <t>Proposing an adaptive scheduling framwork combining DRL and Disjunctive Graph</t>
  </si>
  <si>
    <t>Developed a proof of concept of a DRL-based shceduling system that outperforms heuristic rules and approaches GA performance, in near real-time</t>
  </si>
  <si>
    <t>Lack of adaptive schedluing methods, Current RL limited to Small-Scale</t>
  </si>
  <si>
    <t xml:space="preserve">Automated Decision Making </t>
  </si>
  <si>
    <t>The model is able to demonstrate different aspects of RMS like evaluating flexible layout modelling to enhance quick reconfiguration decisions or showing scalability of an RMS</t>
  </si>
  <si>
    <t>No, real-world validation</t>
  </si>
  <si>
    <t>Developed a Generic PRescriptive system for RMS. Integrated a simulation with an optimisation module to enable proactive decision-making</t>
  </si>
  <si>
    <t>Demonstrates a proof of concept simulation based GA optimisation</t>
  </si>
  <si>
    <t>Lack of Proactive decision-making tools, lack of prescriptive systems for RMS, limited integration between simulation and optimisation models</t>
  </si>
  <si>
    <t xml:space="preserve">Manual Decision Making </t>
  </si>
  <si>
    <t>Novel approach within PM using IRT</t>
  </si>
  <si>
    <t>Only tested on two small perfect cases, uses students instead of experts</t>
  </si>
  <si>
    <t>Compares AI vs Human decision making in PM, integrating RL and IRT. using the CPMS framework</t>
  </si>
  <si>
    <t>Scenarios?</t>
  </si>
  <si>
    <t>Lack of systematic way to compare AI and human decision-making in PM.</t>
  </si>
  <si>
    <t>Manual Decision Making</t>
  </si>
  <si>
    <t>Focus on FJSSP, novel</t>
  </si>
  <si>
    <t>No case, doesn't show scalability,</t>
  </si>
  <si>
    <t>Propose flexbile scheduling model for JSSP using AFSA and Knowledge mining</t>
  </si>
  <si>
    <t>Existing methods lack adaptability for dynamic scenarios</t>
  </si>
  <si>
    <t>Automated scheduling decision making</t>
  </si>
  <si>
    <t>Clear description of technologies &amp; Processes, transparrent, demonstrates using simulation</t>
  </si>
  <si>
    <t>They claim that their contribution can be implemented on supply chain level, but they never actually support that claim</t>
  </si>
  <si>
    <t>Joint architecture of Agent-based modelling and process mining, validated in plant simulation</t>
  </si>
  <si>
    <t>Limited lit on using process moning for cross-organisational supply chains and agent behaviour</t>
  </si>
  <si>
    <t xml:space="preserve">I'm really confused why they keep talking about supply chain, I think they might mean value chain? The script got it right though, they claim the do supply chain but to my understanding it's L2. It is good at describing agent-based modelling though and other technologies used in the paper. Super interesting </t>
  </si>
  <si>
    <t>Automated process-level Secondary: Manual Architecture decision-making</t>
  </si>
  <si>
    <t>Good short lit review section, implemented feedback loops</t>
  </si>
  <si>
    <t>No Evaluation, vague they don't describe the ML algo or anything</t>
  </si>
  <si>
    <t>Propose a conceptual model for predictive-reactive production scheduling approach</t>
  </si>
  <si>
    <t>Conceptual Model</t>
  </si>
  <si>
    <t>Lack of scheduling approaches that consider current inventory states, gap in integration of ML and Simulation-based optimisation</t>
  </si>
  <si>
    <t>Conceptual model</t>
  </si>
  <si>
    <t xml:space="preserve">Automated production scheduling </t>
  </si>
  <si>
    <t>Clear math framework, simulation evaluation and optimisation</t>
  </si>
  <si>
    <t>Limited KPI scope, focus on makespan and robustness, nothing on cost or anything else</t>
  </si>
  <si>
    <t>Provide a new conceptual framework for maintenance integrated production scheduling</t>
  </si>
  <si>
    <t>Lack of predictive Maintenance integrated scheduling problems</t>
  </si>
  <si>
    <t>Links to resilience: claims Predictive Maintenance into scheduling enhance robustness and reduce unplanned downtime</t>
  </si>
  <si>
    <t>Automated predictive maintenance scheduling</t>
  </si>
  <si>
    <t>They claim that the Model outperforms other State of the Art algortihms</t>
  </si>
  <si>
    <t>Don't test against real-word case, only test against makespan and tardiness</t>
  </si>
  <si>
    <t>Presents a Multi-Objective Multi-Agent Reinforcement Learning Approach to solve the Job Shop Sheduling problem</t>
  </si>
  <si>
    <t>Current lit tend to optimise on one objective which doesn't reflect real world cases</t>
  </si>
  <si>
    <t>Automated Job Shop scheduling</t>
  </si>
  <si>
    <t>Easy to understand methodological approach to Reinforcement Learning in Production Control</t>
  </si>
  <si>
    <t xml:space="preserve">They correctly identify the need to State of the Art MLs to be deployed in real life cases, but stick with Simulation in the end. Hyperparameters are kinda arbitrarily decided </t>
  </si>
  <si>
    <t>Introduces an approach and guidelines for designing, implementing, and evaluating Reiforcement Learning for adaptive order dispatching</t>
  </si>
  <si>
    <t xml:space="preserve">Confirms that Reinforcement Learning outperforms heuristic dispatching rules, and confirms that RL can handle Dynamic and Uncertain environments better than traditional Approaches </t>
  </si>
  <si>
    <t>Lack of applied state of the art machine learning algorithms in industrial settings</t>
  </si>
  <si>
    <t xml:space="preserve">Automated "adaptive order dispacthing" </t>
  </si>
  <si>
    <t xml:space="preserve">Combines discrete-event simulation and data driven analytics, integrated K-means clusering, demonstrates on a real-life industrial case. Addresses the complexity of HMLV </t>
  </si>
  <si>
    <t xml:space="preserve">Limited generatlisation, No real-time implementation, narrow evaluation metrics </t>
  </si>
  <si>
    <t xml:space="preserve">Introduces an novel workflow for providing simulation-based decision support for improving KPIs of HMLV production Systems by reducing the size of the input domain with the application of Unsupervised Machine Learning Techniques </t>
  </si>
  <si>
    <t xml:space="preserve">Simulation / real case </t>
  </si>
  <si>
    <t xml:space="preserve">Lack of integrated workflows combining simulation and data analytics for HMLV decision support </t>
  </si>
  <si>
    <t>It describes a workflow for implementing broad simulation which can support different decisions, but it is quite vague on which decisions it support</t>
  </si>
  <si>
    <t xml:space="preserve">Manual Decision Evaluation using Simulation </t>
  </si>
  <si>
    <t>Tackles job-shop scheduling from an energy consumption prediction perspective</t>
  </si>
  <si>
    <t xml:space="preserve">Only looks at prediction, simple energy evaluation (Off, idle, working) </t>
  </si>
  <si>
    <t xml:space="preserve">Propose an Artificial Neural Network to predict total energy consumption in job shop systems applying machine learning techniques </t>
  </si>
  <si>
    <t>Limited exploration on energy optimisation through scheduling process planning</t>
  </si>
  <si>
    <t>The Article is quite interesting but I don't think energy optimisation is within our scope.</t>
  </si>
  <si>
    <t>Complteley unrelated to this project but: It's really interesting, espeicially since I think there could be a nice project where you abstract it further, since energy prices are known in DK through day-ahead pricing, you can estimate the total energy cost of a job-shop using the ANN fairly easily (I think) and then compare different scheduling strategies not only based on total power consumption but also on total cost.</t>
  </si>
  <si>
    <t>Energy prediction in job shop environment</t>
  </si>
  <si>
    <t xml:space="preserve">Demonstrated on a real case (although through simulation), </t>
  </si>
  <si>
    <t xml:space="preserve">Simulation only, complex implementation. </t>
  </si>
  <si>
    <t>Propose a data exchange framework in order to deal with the Job-Shop Scheduling Problem</t>
  </si>
  <si>
    <t>Simulation on Real Case</t>
  </si>
  <si>
    <t>Lack of dynamic, autonomous scheduling frameworks</t>
  </si>
  <si>
    <t xml:space="preserve">Enhancing resilience through gaoined flexibility and scalability? job shop </t>
  </si>
  <si>
    <t>Automated job shop scheduling</t>
  </si>
  <si>
    <t xml:space="preserve">Access Request </t>
  </si>
  <si>
    <t>End-to-End architecture, Industrial prototype</t>
  </si>
  <si>
    <t xml:space="preserve">The prototype lacks KPI results like throughput, cycle time, etc. </t>
  </si>
  <si>
    <t>Proposes a data-driven technical framework for production process management and control in discrete manufacturing digital workshops</t>
  </si>
  <si>
    <t xml:space="preserve">Simulation / Real case </t>
  </si>
  <si>
    <t xml:space="preserve">Current problems include, incomplete information collection, opague production monitoring, unintellignet material distribution, and unsystematic quality traceability </t>
  </si>
  <si>
    <t>Dynamic Scheduling. automated decision making</t>
  </si>
  <si>
    <t xml:space="preserve">Tested on actual hardware, decentralised to avoid single points of failure </t>
  </si>
  <si>
    <t>Only looks at CPU and bandwidth, not RAM, energy, etc.</t>
  </si>
  <si>
    <t xml:space="preserve">Applying Multi Agent Deep Reinforcement Learning to intelligent resource allocation for industrial edge devices </t>
  </si>
  <si>
    <t xml:space="preserve">Evaluated against other models </t>
  </si>
  <si>
    <t xml:space="preserve">Lacks of methods for resource allocation on resource-limited IIoT devices </t>
  </si>
  <si>
    <t xml:space="preserve">Out of scope imo, they focus on resource allocation for IIoT and edge devices, not really decision-making related, at least in the sense that I feel is in scope </t>
  </si>
  <si>
    <t xml:space="preserve">Real-time Allocation of CPU and Bandwidth for edge tasks </t>
  </si>
  <si>
    <t>Strong validation through cases and simulations</t>
  </si>
  <si>
    <t xml:space="preserve">Not clear how it models fatigue, </t>
  </si>
  <si>
    <t>Studying dual-resource cosntrained dynamic flexbile job-shop schedling problem, while cosindering worker fatigue and proficiency.</t>
  </si>
  <si>
    <t xml:space="preserve">Developing a deep reinforcement learning method for solving DRC-DFJSP, consinder worker fatigue and proficiency </t>
  </si>
  <si>
    <t xml:space="preserve">Case </t>
  </si>
  <si>
    <t>most studies on dynamic flexbile job shop scheduling problem focus on machine constraints often overlooking worker constrains</t>
  </si>
  <si>
    <t>Job shop</t>
  </si>
  <si>
    <t>Automated dynamic flexible job shop scheduling</t>
  </si>
  <si>
    <t>builds on existing literature</t>
  </si>
  <si>
    <t>propose a knowledge- and data-driven hybrid method for the hybrid flowhshop lot streaming schedule problem with dynamic order arrivals</t>
  </si>
  <si>
    <t xml:space="preserve">These models are typically tailored to fixed scenarios, which limits their flexibility and adaptability in dynamically changing environments </t>
  </si>
  <si>
    <t>automated job shop scheduling</t>
  </si>
  <si>
    <t>flow SSP</t>
  </si>
  <si>
    <t>Systematic and quite detailed. Probably easily reproducable</t>
  </si>
  <si>
    <t xml:space="preserve">Low accuracy, they only compare 2 models, </t>
  </si>
  <si>
    <t>using generalist natural language processing large language models to give human-like explanations to job shop scheduling problems</t>
  </si>
  <si>
    <t xml:space="preserve">Limited exploration on the use of LLMs in decision support </t>
  </si>
  <si>
    <t xml:space="preserve">I don't like the article, but you can argue for it bringing good results in terms of how LLMs perform in JSSP </t>
  </si>
  <si>
    <t xml:space="preserve">I guess it's a notable result that LLMs perform badly in JSSP, so it's a good source. I don't like it however, it feels like they could've done a lot more especially considering it's 30 pages about a few queries in ChatGPT. Also, LLMs are notably shit at math JSSP is a math problem I don't really get there reasoning for using generalis LLMs to try to solve it, but hey </t>
  </si>
  <si>
    <t xml:space="preserve">Guided decision support for job-shop scheduling problem </t>
  </si>
  <si>
    <t>optimization, ppo, reinforcement learning, dpl</t>
  </si>
  <si>
    <t xml:space="preserve">Outperforms other Deep Reinforcement Learning models in terms of makespan and gap indicators, achieves faster, and exhibits good generalisation </t>
  </si>
  <si>
    <t>complex compare to other models which makes the computation time slower in comparison</t>
  </si>
  <si>
    <t>Using Deep Reinforcement Learning to solve the job shop scheduling problem, uniqely by introducing DecayP30 method which incorporates dynamic weight allocation in the decision-making process</t>
  </si>
  <si>
    <t xml:space="preserve">Scenarios, using 4 existing JSSP datasets </t>
  </si>
  <si>
    <t>Lack of focus on optimal solution space and focus on policy network learning</t>
  </si>
  <si>
    <t>Outperforms other baselines, such as rule-based and meta-heuristics and other Deep Reinforcement Learning based methods in terms of tardines</t>
  </si>
  <si>
    <t>Model has to be retrained if number of machines changes, which severely limits generalisability</t>
  </si>
  <si>
    <t>Proposes a self-imitation learning based scheduling method</t>
  </si>
  <si>
    <t>Current methods like supervised learning are hard to implement due to the difficulty in optaining high-quality schedules for training</t>
  </si>
  <si>
    <t>It kinda depends, the focus is on a specific process that occours in OLED manufacturing, but we're dealing with the same scheduling problem as everywhere else</t>
  </si>
  <si>
    <t>job shop kinda</t>
  </si>
  <si>
    <t xml:space="preserve">automated scheduling, job-shop kinda? </t>
  </si>
  <si>
    <t xml:space="preserve">Outperformed other DRL methods, especially in large instances </t>
  </si>
  <si>
    <t>limited dynamic features, like station breakdown etc. Single Objective: Makespan</t>
  </si>
  <si>
    <t>Makes a Deep Reinforcement Learning model for flexible job-shop scheduling problem, but implementing a diverse set of scheduling policies and dispatching rules constraining the action space</t>
  </si>
  <si>
    <t xml:space="preserve">Current Deep Reinforcement Learning methods struggle with large instances </t>
  </si>
  <si>
    <t>Tackles a well known issue in DES</t>
  </si>
  <si>
    <t>Purely tested on hypothetical scenarios</t>
  </si>
  <si>
    <t>Introduces a novel auto-generative Discrete Event Simulation system designed to address challenges specific to Engineerin-to-Order manufacturing</t>
  </si>
  <si>
    <t xml:space="preserve">Lack of Discrete event simulation programs designed for ETO cases. typical programmes are too rigid  </t>
  </si>
  <si>
    <t>Pretty cool paper imo</t>
  </si>
  <si>
    <t xml:space="preserve">Decision support for ETO operations, Plant Simulation for ETO? </t>
  </si>
  <si>
    <t>Quantified gains, 4,5% increase station utilisation, reduced setup time, etc.</t>
  </si>
  <si>
    <t xml:space="preserve">Focused purely on Textile Dyeing industry and its operations </t>
  </si>
  <si>
    <t>Proposes a systematic approach to collect, identify, and analyse related steps and decisions. A decision support system for dyeing machine scheduling to empower smart manufacturing</t>
  </si>
  <si>
    <t>Case</t>
  </si>
  <si>
    <t>Many traditional industries are not ready to jump straight into the digital transformation</t>
  </si>
  <si>
    <t>Too Specific, develops decision support specifically for the textile dyeing transition from mass production to smart manufacturing</t>
  </si>
  <si>
    <t xml:space="preserve">Decisions support system for dyeing machine scheduling </t>
  </si>
  <si>
    <t xml:space="preserve">Compares the performance of 5 different LLMs </t>
  </si>
  <si>
    <t>Both Copilot and ChatGPT are built on the same framework which is not considered in the paper</t>
  </si>
  <si>
    <t>Compares various LLMs performance on the job shop scheduling problem, including autonomous mobile robots in the setup</t>
  </si>
  <si>
    <t>Conclusion: LLMs are not fit to solve such complex combinatorial problems such as Job-shop Scheduling</t>
  </si>
  <si>
    <t>Limited research on LLMs performance on solving job shop scheduling problems</t>
  </si>
  <si>
    <t xml:space="preserve">LLMs solving Job-shop again. I feel like this paper is better though, it compares more LLMs and is also more realistic with their results and conclusion. The other paper tries to hide that LLMs perform badly while this one is way more realistic and open about it </t>
  </si>
  <si>
    <t>LLM tries to solve Job-shop scheduling</t>
  </si>
  <si>
    <t xml:space="preserve">Unexplored and well defined problem </t>
  </si>
  <si>
    <t>Only tested against virtula benchmarks, no real world application. Singe objective: Makespan</t>
  </si>
  <si>
    <t>Introduces a new AGV scheduling problem, including a mixed integer linear program to solve it</t>
  </si>
  <si>
    <t>Scenario (tested against "benchmark problems")</t>
  </si>
  <si>
    <t xml:space="preserve">No research on AGV scheduling problem </t>
  </si>
  <si>
    <t>similar problem as job shop</t>
  </si>
  <si>
    <t>Automated job-shop scheduling including AGVs</t>
  </si>
  <si>
    <t>Tackles the Resource Scheduling Problem</t>
  </si>
  <si>
    <t xml:space="preserve">Very theoretical and high level, meaning limited practical readiness </t>
  </si>
  <si>
    <t xml:space="preserve">Proposes a "subgraph-based hierarchical Q-learning network approach to solve the optimal resource scheduling problem for complex industrial networks </t>
  </si>
  <si>
    <t xml:space="preserve">Existing methods struggle with "hierarchical info-assymetry" in complex networks </t>
  </si>
  <si>
    <t>Automated resource scheduling</t>
  </si>
  <si>
    <t>Outperforms traditional models</t>
  </si>
  <si>
    <t>Only validated against other models / No practical validation, high compute need</t>
  </si>
  <si>
    <t xml:space="preserve">desiging a Deep Reinforcement Learning based intelligent scheduling and reconfiguration system, Training and executing methods of inlligent scheduling and reoncifurations for Dynamic Distributed Reconfigurable Flowshop Scheduling Problem, proposing an a novel Expercted Deep Q-Network  </t>
  </si>
  <si>
    <t xml:space="preserve">No current studies on the Dynamic Distributed Reconfigurable Flowshops Scheduling Problem </t>
  </si>
  <si>
    <t>RMS &amp; Job shop(?)</t>
  </si>
  <si>
    <t>Real-time decision-making for selecting production line types and candidate jobs for multiple distributed reconfigurable workshops</t>
  </si>
  <si>
    <t>Comprehensive evaluation, using many different factors</t>
  </si>
  <si>
    <t>Most companies if not all use a mix of data analytical platforms, they don't evaluate if a mix of these outperform better than just using a single one</t>
  </si>
  <si>
    <t>Using Analytical Hierarchy Process to establish a suitable data analytic platform that could be used to sort, classify, and integrate data required to generate wisdom for sustainable manufacturing</t>
  </si>
  <si>
    <t xml:space="preserve">Lack of appropriate systems capable of integrating the available data and make wise inferecnes that will result in a competetive advantage of a specific organisation over its competitors </t>
  </si>
  <si>
    <t>It's simply not interesting. Is excel than PowerBI, KNIME etc. for this vague task to generate "wisdom for sustainable manufacturing"</t>
  </si>
  <si>
    <t>Evaluation of software choice</t>
  </si>
  <si>
    <t xml:space="preserve">Comprehensive reputation system, security features to enable customer privacy, simulation validated </t>
  </si>
  <si>
    <t>Limited real-world testing, complex to adopt IRL</t>
  </si>
  <si>
    <t>Propose a Peer-to-Peer netowrking based custom manufacturing service, which is an order-drive trading service between a manufacturer and a customer in the blockchain based industrial Internet of Things architecture</t>
  </si>
  <si>
    <t>lack of flexible malicipous evaluator detection</t>
  </si>
  <si>
    <t>Reputation system for supplier choice</t>
  </si>
  <si>
    <t>k-means, artificial neural networks</t>
  </si>
  <si>
    <t>Big sample size</t>
  </si>
  <si>
    <t xml:space="preserve">Relies on self-report survey data </t>
  </si>
  <si>
    <t>Presents an AI based approach to support the decision making of production managers regarding enhancing the level of Mass customisation based on examples of manufacturing companies in the automtive industry</t>
  </si>
  <si>
    <t>Lack of existing ML models determining levels of MC enabling decision-support</t>
  </si>
  <si>
    <t>Automated Decision support tool to evaluate level of Mass Customisation</t>
  </si>
  <si>
    <t>Multi-objective: makespan, maintenance, energy consumption, excellent performance in terms of convergence and diversity</t>
  </si>
  <si>
    <t>Proposing a learning assisted by-population evolutionary algorithm to solve a multi-objevtive distributed flexible job-shop problem</t>
  </si>
  <si>
    <t>Lack of multi-objective Distributed flexbile job-shops scheduling problem solutions</t>
  </si>
  <si>
    <t>Very pretentious</t>
  </si>
  <si>
    <t>Study the complexity of original equipment manufactureres data-driven engineering to order enterprise supply chain activities and introduce an optimum "best practice" framework</t>
  </si>
  <si>
    <t xml:space="preserve">Conclusion: Decision-making tools are important, which ones idk "best practice" </t>
  </si>
  <si>
    <t>Not related to Decision Making, I'm actually not sure what it's contribution is</t>
  </si>
  <si>
    <t>This paper kinda sucks ngl</t>
  </si>
  <si>
    <t>uses real-world data for analysis</t>
  </si>
  <si>
    <t>simplified assumptions, like no machine breakdowns etc.</t>
  </si>
  <si>
    <t>Develops an approach to data analytics in engineer-to-order with focus on product quality and due-date reliability</t>
  </si>
  <si>
    <t>There is a lack of models utilising back data in ETO for supporting scheduling of operations</t>
  </si>
  <si>
    <t>Decision-making support through simulations and data visualisation</t>
  </si>
  <si>
    <r>
      <rPr>
        <rFont val="Verdana"/>
        <strike/>
        <color theme="1"/>
        <sz val="11.0"/>
      </rPr>
      <t>L3</t>
    </r>
    <r>
      <rPr>
        <rFont val="Verdana"/>
        <color theme="1"/>
        <sz val="11.0"/>
      </rPr>
      <t xml:space="preserve"> / L2</t>
    </r>
  </si>
  <si>
    <t>Tested on real case</t>
  </si>
  <si>
    <t>Complex implementation need MES and RFID set up</t>
  </si>
  <si>
    <t>Proposes a production logistics trajectory analysis and optimisation decision making method driven by a manufacturing task data chain</t>
  </si>
  <si>
    <t xml:space="preserve">Need to expand evaluation dimensions beyond current indicators </t>
  </si>
  <si>
    <t xml:space="preserve">logistics efficiency optimisation </t>
  </si>
  <si>
    <r>
      <rPr>
        <rFont val="Verdana"/>
        <strike/>
        <color theme="1"/>
        <sz val="11.0"/>
      </rPr>
      <t>L3</t>
    </r>
    <r>
      <rPr>
        <rFont val="Verdana"/>
        <color theme="1"/>
        <sz val="11.0"/>
      </rPr>
      <t xml:space="preserve"> / L2</t>
    </r>
  </si>
  <si>
    <t xml:space="preserve">Validated against real-world data, outperforms baseline models  </t>
  </si>
  <si>
    <t xml:space="preserve">Quite complex, could be difficult to implement </t>
  </si>
  <si>
    <t>Propose a data-driven approacg vased on adversarial learning, which allows for accoutning for distributional shifts in manufacturing settings with high degrees of product customisation</t>
  </si>
  <si>
    <t>They developed a model to predict order throughput times and thus perform job shop scheduling on highly customisable product production</t>
  </si>
  <si>
    <t>Lack of knowledge on producting scheduling in industries that experience frequent distributional shifts</t>
  </si>
  <si>
    <t>Automated production scheduling, for highly customised products</t>
  </si>
  <si>
    <t>10.1016/j.rcim.2025.102965</t>
  </si>
  <si>
    <t>blockchain, digital twin</t>
  </si>
  <si>
    <t xml:space="preserve">large cost saving potential of 35% </t>
  </si>
  <si>
    <t>very conceptual, only validated on one test case</t>
  </si>
  <si>
    <t>Designed a blockchain and digital twin-based trusted synchronised decision-making framework</t>
  </si>
  <si>
    <t>Lack of trusted decison-making models in social production logistics systems</t>
  </si>
  <si>
    <t>automated decision-making of production logistics</t>
  </si>
  <si>
    <t>10.1049/cim2.70024</t>
  </si>
  <si>
    <t>digital twin, big data</t>
  </si>
  <si>
    <t>shows improved operational efficiency</t>
  </si>
  <si>
    <t>scenario-based, limited knowledge on generalisability</t>
  </si>
  <si>
    <t xml:space="preserve">Proposes a digital twin and big data based opti state control system integrating adaptive opt-state control and predictive opti-state control. Imrpoving operation efficiency in the production logistics process </t>
  </si>
  <si>
    <t>tradtional production-logistics synchronisation systems have difficulty handling the ever-increasing fluctuations, goals, and disturbances</t>
  </si>
  <si>
    <t>predictive planning and intervention</t>
  </si>
  <si>
    <t>10.1080/00207543.2025.2546030</t>
  </si>
  <si>
    <t xml:space="preserve">digital twin, Opti-state Control System, </t>
  </si>
  <si>
    <t>Robust and adaptive solution, demonstrated improved equipment and warehouse utilisation, real-worl implementation</t>
  </si>
  <si>
    <t>scope of disturbances not fully clear, generalisability?</t>
  </si>
  <si>
    <t xml:space="preserve">develops a multi-granularity state network to guide the development of a digital twin-based Adaptive Opti-state Control System </t>
  </si>
  <si>
    <t xml:space="preserve">So far most papers discuss either very general decision-support tools that can tackle multiple decisions, simply give an overview of the data, or tackle the Job Shop Scheduling Problem. I definetly think that a small section can be targetted towards JSSP since it is quite prevelant at least in the litterature here. I would also suggest that we skip L3, since I only have 4 articles on it, and no one else really has any, but I guess we could also conclude that this is a gap? </t>
  </si>
  <si>
    <t>Addresses online real time scheduling, not offline planning &amp; Clear formulation of RL–JSSP mapping and state</t>
  </si>
  <si>
    <t>Limited testbed scale i.e small number of machines and jobs</t>
  </si>
  <si>
    <t>A smart RL scheduler with composite rewards for online job-shop scheduling , Improved adaptability and learning efficiency in dynamic HMLV environments</t>
  </si>
  <si>
    <t>A well-engineered DQN-based scheduling framework showing that reward shaping significantly improves online scheduling performance</t>
  </si>
  <si>
    <t>Simulation based evaluation, scenarios include urgent orders, machine failures,simultaneous jobs</t>
  </si>
  <si>
    <t>Lack of real world industrial validation, no discussion of deployment cost, data requirements,</t>
  </si>
  <si>
    <t>not excluded</t>
  </si>
  <si>
    <t>RL based online job shop scheduling framework that adapts schedules in real time under dynamic events using a smart manufacturing setting.</t>
  </si>
  <si>
    <t>Reinforcement Learning, optimisation</t>
  </si>
  <si>
    <t>AI, reinforcement learning, smart manufacturing systems</t>
  </si>
  <si>
    <t>real time scheduling(operational decision making)</t>
  </si>
  <si>
    <t>Clear algorithmic improvement over standard Q learning,  benchmark evaluation on multiple problem sizes</t>
  </si>
  <si>
    <t>only makespan focused, purely simulation based</t>
  </si>
  <si>
    <t>Q learning algorithm that outperforms standard Qlearning and hybrid heuristics for permutation flow shop scheduling</t>
  </si>
  <si>
    <t>hybrid RLheuristic scheduling method with measurable makespan improvements on benchmark datasets</t>
  </si>
  <si>
    <t>simulation against benchmark datasets</t>
  </si>
  <si>
    <t>no multi objective scheduling e.g energy , tardiness</t>
  </si>
  <si>
    <t xml:space="preserve">    ----------</t>
  </si>
  <si>
    <t>Improved q learning approach for permutation flowshop scheduling that integrates the NEH heuristic and makespan based rewards to guide learning. The method is evaluated against benchmark instances and shows improved makespan performance compared to q learning and hybrid baselines.</t>
  </si>
  <si>
    <t>q learning, optimisation</t>
  </si>
  <si>
    <t>Artificial Intelligence, reinforcement learning</t>
  </si>
  <si>
    <t>production scheduling</t>
  </si>
  <si>
    <t>Strong integration of machine health production with scheduling decisions using real industrial data</t>
  </si>
  <si>
    <t>very high computational complexity</t>
  </si>
  <si>
    <t>A novel PdM integrated scheduling framework combining deep prognostics with multi objective optimization</t>
  </si>
  <si>
    <t>Actually demonstrates feasibility of health aware scheduling, but remains simulation heavy and computationally expensive for real time use</t>
  </si>
  <si>
    <t>Datasets (C-MAPSS for simulation), real industrial case study</t>
  </si>
  <si>
    <t>Computationally heavy and limited scalability</t>
  </si>
  <si>
    <t xml:space="preserve">    -----------</t>
  </si>
  <si>
    <t>Proposes an integrated predictive maintenance aware production scheduling framework that combines deep generative PHM models with a two stage genetic algorithm to jointly optimize scheduling and maintenance decisions in flexible job shops using both simulated and real industrial data.</t>
  </si>
  <si>
    <t>Predictive maintenance, GA</t>
  </si>
  <si>
    <t>GA, deep learning , predictive maintenance</t>
  </si>
  <si>
    <t>Uses real production data to support due date and flowtime decisions in job shops.</t>
  </si>
  <si>
    <t>Relies on manual data input and assumes stable operating conditions.</t>
  </si>
  <si>
    <t>An AI based artifact that improves real-time flowtime and due date forecasting to support production planning decisions.</t>
  </si>
  <si>
    <t>A NN-based forecasting tool that provides more accurate flowtime estimates than rule based methods.</t>
  </si>
  <si>
    <t>Industrial case study with real production data and comparative benchmarking</t>
  </si>
  <si>
    <t>Does not address dynamic rescheduling or integartion with extensive decision support systems.</t>
  </si>
  <si>
    <t xml:space="preserve">      ---------</t>
  </si>
  <si>
    <t>Presents an AI-based decision-support method that forecasts flowtime and due dates in job shops using real industrial data.</t>
  </si>
  <si>
    <t>Artificial neural networks, regression based forecasting</t>
  </si>
  <si>
    <t>Artificial intelligence, machine learning, neural networks</t>
  </si>
  <si>
    <t>Production planning and due-date decision support</t>
  </si>
  <si>
    <t>Integrates machine scheduling and AGV dispatching into a single decision framework.</t>
  </si>
  <si>
    <t>Assumes static environment only</t>
  </si>
  <si>
    <t>Presenting DRL approach that jointly schedules machines and AGVs for FJSPT with improved efficiency.</t>
  </si>
  <si>
    <t>A DRL based scheduling algorithm that improves makespan in simulated factory scenarios.</t>
  </si>
  <si>
    <t>Simulation based evaluationusing synthetic data and benchmark instances.</t>
  </si>
  <si>
    <t>No explicit support for dynamic systems</t>
  </si>
  <si>
    <t xml:space="preserve">     ---------</t>
  </si>
  <si>
    <t>Uses deep reinforcement learning to support factiory level scheduling decisions by jointly assigning machines and AVGs in flexible job shops</t>
  </si>
  <si>
    <t xml:space="preserve">Scheduling decision support </t>
  </si>
  <si>
    <t>Models production scheduling explicitly as a sequential decision-making process.</t>
  </si>
  <si>
    <t>Decision support remains very algorithm centric with no human or operator interaction.</t>
  </si>
  <si>
    <t>drl based actor critic framework that improves decision making quality in flexible job shop scheduling.</t>
  </si>
  <si>
    <t>drl scheduling model achieves lower completion times than heuristic rules in simulation and benchmark tests.</t>
  </si>
  <si>
    <t>Simulation based evaluation using industrial type dataset and standard benchmarks.</t>
  </si>
  <si>
    <t>Does not address dynamic job shop disturbances or real world deployment</t>
  </si>
  <si>
    <t>This paper applies a deep actor critic reinforcement learning framework to support production scheduling decisions in flexible job shops.</t>
  </si>
  <si>
    <t>DRL, actor critic, convolutional NN, LSTM</t>
  </si>
  <si>
    <t>Artificial intelligence, deep learning, reinforcement learning</t>
  </si>
  <si>
    <t>Operational scheduling decision support</t>
  </si>
  <si>
    <t>Separates production scheduling and transportation decision-making, which improves flexibility. Uses DQN to enable fast, adaptive decisions under changing job orders.</t>
  </si>
  <si>
    <t>Experiments are conducted on a small benchmark dataset (Kacem 4×5). Validation is limited to simulation only, with no real factory deployment.</t>
  </si>
  <si>
    <t>Proposes a DQN-based autonomous transportation decision method for flexible job shop scheduling.</t>
  </si>
  <si>
    <t>Demonstrates that DQN can select transportation rules dynamically to reduce makespan in simulated FJSP scenarios.</t>
  </si>
  <si>
    <t>Simulation-based evaluation using standard FJSP benchmark data.</t>
  </si>
  <si>
    <t>No real time industrial validation or comparison with human in the loop decision systems.</t>
  </si>
  <si>
    <t xml:space="preserve">      --------</t>
  </si>
  <si>
    <t>Uses reinforcement learning to autonomously support transportation decisions (AGV routing) in flexible job shop scheduling under simulated conditions.</t>
  </si>
  <si>
    <t>Operational transportation decision support (AGV dispatching and routing in job shops).</t>
  </si>
  <si>
    <r>
      <rPr>
        <rFont val="Calibri, sans-serif"/>
        <color rgb="FF1155CC"/>
        <sz val="11.0"/>
        <u/>
      </rPr>
      <t>https://doi.org/10.1080/00207543.2023.2217285</t>
    </r>
  </si>
  <si>
    <t>Clearly shows how manufacturing topology directly influences control performance.</t>
  </si>
  <si>
    <t>Results are fully simulation based with no real factory validation</t>
  </si>
  <si>
    <t>Extends a scheduling complexity framework to include manufacturing network topology as a key factor in decision making authority design.</t>
  </si>
  <si>
    <t>Provides quantitative evidence that distributed control performs better under high variability and complex network structures.</t>
  </si>
  <si>
    <t>Simulation-based evaluation, assembly line, and multi plant scenarios with varying production loads.</t>
  </si>
  <si>
    <t>Does not address human decision makers, organizational constraints, or real world deployment issues.</t>
  </si>
  <si>
    <t>This paper studies how manufacturing network structure (job shop, assembly line, multi-plant) affects whether centralized or distributed decision-making works better, using simulation based cost and performance comparisons.</t>
  </si>
  <si>
    <t>Multi agent based discrete event simulation</t>
  </si>
  <si>
    <t>cyber physical systems cps</t>
  </si>
  <si>
    <t>Strategic and operational decision-making related to production control architecture</t>
  </si>
  <si>
    <t>Handles dynamic job arrivals well and scales better than single agent RL in complex job shops.</t>
  </si>
  <si>
    <t>Very high computational complexity</t>
  </si>
  <si>
    <t>Proposes a deep multi-agent RL framework for real time dynamic job shop scheduling.</t>
  </si>
  <si>
    <t>Presented MARL scheduling architecture that consistently outperforms priority rules and existing drl baselines in simulation.</t>
  </si>
  <si>
    <t>Siimulation experiments under multiple utilization rates and dynamic job arrival scenarios</t>
  </si>
  <si>
    <t>Computationally Expensive, no real world deployment</t>
  </si>
  <si>
    <t>Presents a multi agent reinforcement learning based decision-support approach that enables decentralized, real-time scheduling in dynamic job shops by allowing machines to coordinate scheduling decisions autonomously.</t>
  </si>
  <si>
    <t>data driven, deep learning, reinforcement learning</t>
  </si>
  <si>
    <t>Operational scheduling decisions</t>
  </si>
  <si>
    <t xml:space="preserve"> IIoT, sensors, basic data analytics.</t>
  </si>
  <si>
    <t>explicitly integrates human factors such as employee skills, availability, and wages into production planning.</t>
  </si>
  <si>
    <t>Optimization logic is mostly rule based and lacks advanced AI or learning based adaptation.</t>
  </si>
  <si>
    <t>Proposes a dynamic decision support method that improves production planning using real time data in SMEs</t>
  </si>
  <si>
    <t>Demonstrates a practical DSS that reduces production time by about 10% in a real SME case study.</t>
  </si>
  <si>
    <t>Real industrial case study in a Lithuanian metal processing SME using historical production data.</t>
  </si>
  <si>
    <t>Not designed for large-scale factories and does not support fully automated or AI-driven decision-making.</t>
  </si>
  <si>
    <t>Presents a practical decision support method for SMEs that combines real-time production data and human workforce factors to improve dynamic production planning.</t>
  </si>
  <si>
    <t>optimisation</t>
  </si>
  <si>
    <t>Industry 4.0 technologies, IIoT, sensors, basic data analytics.</t>
  </si>
  <si>
    <t>Operational production planning and resource allocation decisions.</t>
  </si>
  <si>
    <t>Demonstrates integrated decision making with reduced computation time on a real industrial case.</t>
  </si>
  <si>
    <t>Very high computational complexity and strong modelling assumptions.</t>
  </si>
  <si>
    <t>Proposes a novel GA–LSTM approach for efficient integrated procurement production planning.</t>
  </si>
  <si>
    <t>Efficient cost approximation inside GA enabling scalable integrated operational planning.</t>
  </si>
  <si>
    <t>Real industrial case study with extensive simulation under multiple cost scenarios. PCB Manufactruing</t>
  </si>
  <si>
    <t>Limited generalisability beyond the specific PCB manufacturing context.</t>
  </si>
  <si>
    <t xml:space="preserve">     --------</t>
  </si>
  <si>
    <t>Hybrid GA–LSTM framework integrates procurement and scheduling decisions at the operational level using rolling horizon planning</t>
  </si>
  <si>
    <t>Operational decision-making.</t>
  </si>
  <si>
    <t>Jointly optimizes production and maintenance under dynamic and uncertain shop-floor conditions.</t>
  </si>
  <si>
    <t>Very high computational complexity and simulation heavy evaluation.</t>
  </si>
  <si>
    <t>Introduces a novel HDRL based framework for joint flexible job-shop scheduling and maintenance planning.</t>
  </si>
  <si>
    <t>Demonstrates effective hierarchical DRL coordination between scheduling and maintenance decisions.</t>
  </si>
  <si>
    <t>Simulation-based evaluation with multiple dynamic job-shop scenarios.</t>
  </si>
  <si>
    <t>Lack of real-world industrial deployment and scalability analysis.</t>
  </si>
  <si>
    <t xml:space="preserve">      -------</t>
  </si>
  <si>
    <t>Hierarchical DRL coordinates production scheduling and maintenance decisions using digital twin data. Simulation results show improved performance over GA, PSO, CP, and non-hierarchical DRL.</t>
  </si>
  <si>
    <t>Hierarchical deep reinforcement learning, Deep Q-Network, constraint programming, dispatching rules.</t>
  </si>
  <si>
    <t>Digital twin, artificial intelligence, deep reinforcement learning.</t>
  </si>
  <si>
    <t>Provides a structured, data driven decision support framework validated on a real SME case.</t>
  </si>
  <si>
    <t>Heavy reliance on simulation and surrogate modeling with limited real time adaptability.</t>
  </si>
  <si>
    <t>Proposes a hybrid SOMCDM framework for selecting customized production platforms in digital twin environments.</t>
  </si>
  <si>
    <t>Demonstrates effective integration of simulation, GA, and MCDM for SME production layout decisions.</t>
  </si>
  <si>
    <t>Real industrial case study of a labor-intensive 3D printer assembly factory.</t>
  </si>
  <si>
    <t>Not designed for real-time rescheduling or dynamic shop-floor disturbances.</t>
  </si>
  <si>
    <t>YES</t>
  </si>
  <si>
    <t xml:space="preserve">       -------</t>
  </si>
  <si>
    <t>Hybrid SOMCDM framework supports SME production platform selection using digital twin simulation data. Case study shows measurable performance improvement over the existing layout.</t>
  </si>
  <si>
    <t>Simulation–optimization, surrogate modeling (MARS), genetic algorithm, TOPSIS (MCDM).</t>
  </si>
  <si>
    <t>Digital twin, data-driven optimization, artificial intelligence.</t>
  </si>
  <si>
    <t>Strategic and operational decision making</t>
  </si>
  <si>
    <t>Singapore.</t>
  </si>
  <si>
    <t>No?</t>
  </si>
  <si>
    <t>Explicitly models AGV transportation energy within flexible job-shop scheduling.</t>
  </si>
  <si>
    <t>Relies on static assumptions and lacks real time rescheduling capability.</t>
  </si>
  <si>
    <t>Introduces an improved NSGA-II model for energy efficient FJSP with AGV transportation.</t>
  </si>
  <si>
    <t>Demonstrates trade-offs between makespan and energy consumption via Pareto solutions.</t>
  </si>
  <si>
    <t>Simulation-based evaluation using real automotive parts workshop data.</t>
  </si>
  <si>
    <t>No digital twin integration or adaptive decision-making under disturbances.</t>
  </si>
  <si>
    <t xml:space="preserve">       --------</t>
  </si>
  <si>
    <t>Multi-objective FJSP integrates AGV transportation energy into scheduling optimization.Pareto solutions support energy- or time-prioritized operational decisions</t>
  </si>
  <si>
    <t>Multi-objective optimization, NSGA-II, hybrid chromosome encoding, Pareto optimization.</t>
  </si>
  <si>
    <t>AGV systems, energy-aware manufacturing, optimization algorithms.</t>
  </si>
  <si>
    <t>Effectively captures local–global dependencies with linear computational complexity.</t>
  </si>
  <si>
    <t>High training cost and purely simulation based validation.</t>
  </si>
  <si>
    <t>Proposes the first DAN Mamba hybrid framework for scalable FJSP optimization.</t>
  </si>
  <si>
    <t>Demonstrates improved makespan and generalization over state-of-the-art DRL baselines.</t>
  </si>
  <si>
    <t>Synthetic large-scale datasets and classical FJSP benchmark instances.</t>
  </si>
  <si>
    <t>No real-world industrial deployment or real-time rescheduling evaluation.</t>
  </si>
  <si>
    <t>Hybrid attention–state-space DRL framework for flexible job-shop scheduling. Outperforms heuristics and DRL baselines in makespan and scalability.</t>
  </si>
  <si>
    <t>Deep reinforcement learning, dual attention network, Mamba state-space model, PPO.</t>
  </si>
  <si>
    <t>Artificial intelligence, deep learning, cyber-physical production systems.</t>
  </si>
  <si>
    <t>china</t>
  </si>
  <si>
    <t>Handles intermittent demand using hybrid statistical DL models</t>
  </si>
  <si>
    <t>No integration with real time shop floor data</t>
  </si>
  <si>
    <t>Proposes hybrid forecasting approach for MTO demand variability. MTO-Make to order</t>
  </si>
  <si>
    <t>Demonstrates ARIMA–LSTM superiority via comparative experiments</t>
  </si>
  <si>
    <t>Simulation-based experiments on historical demand data</t>
  </si>
  <si>
    <t>No linkage to scheduling or digital twin execution</t>
  </si>
  <si>
    <t>Compares global and intermittent demand forecasting models for make-to-order manufacturing.Shows hybrid ARIMA–LSTM improves forecasting accuracy for strategic planning.</t>
  </si>
  <si>
    <t>Hybrid ARIMA–LSTM, global forecasting models, time-series analysis</t>
  </si>
  <si>
    <t>Artificial intelligence, deep learning, time-series analytics</t>
  </si>
  <si>
    <t>demand forecasting, strategic planning</t>
  </si>
  <si>
    <t>Explicitly models multiple dynamic events with reduced action-space complexity.</t>
  </si>
  <si>
    <t>Depends on predefined dispatching rules and simulation based environments.</t>
  </si>
  <si>
    <t>Proposes a DDQN APS framework with event driven action space construction.</t>
  </si>
  <si>
    <t>Demonstrates improved tardiness reduction through adaptive rule selection under dynamics.</t>
  </si>
  <si>
    <t>Large-scale simulation experiments across multiple dynamic production scenarios.</t>
  </si>
  <si>
    <t>No digital twin integration or real-time industrial deployment.</t>
  </si>
  <si>
    <t>DDQN dynamically selects dispatching rules based on detected shop-floor events. Event-specific action spaces improve tardiness performance and robustness.</t>
  </si>
  <si>
    <t>Double Deep Q-Network (DDQN), action space pre-screening, dispatching rule selection.</t>
  </si>
  <si>
    <t>Deep reinforcement learning, intelligent manufacturing systems</t>
  </si>
  <si>
    <t>Operational real-time decision-making.</t>
  </si>
  <si>
    <t>Ensures scalability and generalization across variable sized manufacturing systems.</t>
  </si>
  <si>
    <t>Focuses on coordination learning rather than explicit production scheduling objectives.</t>
  </si>
  <si>
    <t>Introduces a symmetry aware MARL framework for flexible manufacturing environments.</t>
  </si>
  <si>
    <t>Demonstrates improved coordination and robustness under varying system configurations.</t>
  </si>
  <si>
    <t>Simulation-based IIoT-enabled flexible manufacturing environments.</t>
  </si>
  <si>
    <t>No integration with digital twin models or real industrial deployment.</t>
  </si>
  <si>
    <t>Permutation-aware MARL enables scalable and robust control in flexible manufacturing.Results show improved coordination compared to standard MARL baselines.</t>
  </si>
  <si>
    <t>Multi-agent reinforcement learning, permutation-invariant networks, permutation-equivariant policy learning.</t>
  </si>
  <si>
    <t>Industrial IoT, artificial intelligence, multi-agent systems.</t>
  </si>
  <si>
    <t>Operational distributed decision-making.</t>
  </si>
  <si>
    <t>Explicitly considers task deadlines in scheduling</t>
  </si>
  <si>
    <t>No real industrial or manufacturing case study</t>
  </si>
  <si>
    <t>Introduces a deadline aware scheduling algorithm for IoT cloud jobs</t>
  </si>
  <si>
    <t>Demonstrates improved scheduling metrics via simulation</t>
  </si>
  <si>
    <t>No integration with manufacturing systems or digital twins</t>
  </si>
  <si>
    <t>Proposes a deadline-based cloud job scheduling algorithm for IoT workloads.Improves task completion rate and reduces deadline violations via simulation.</t>
  </si>
  <si>
    <t>Deadline-based task optimization algorithm</t>
  </si>
  <si>
    <t>Cloud computing, Internet of Things (IoT)</t>
  </si>
  <si>
    <t>Operational scheduling</t>
  </si>
  <si>
    <t>Simultaneously addresses productivity and environmental objectives in flexible assembly systems.</t>
  </si>
  <si>
    <t>Fully simulation based with high training and coordination complexity.</t>
  </si>
  <si>
    <t>Proposes a MADRL game theoretic framework for green flexible assembly job shop scheduling.</t>
  </si>
  <si>
    <t>Demonstrates effective coordination among agents to balance makespan and energy objectives.</t>
  </si>
  <si>
    <t>Simulation experiments under multiple green production scenarios.</t>
  </si>
  <si>
    <t>No real-world industrial validation or digital twin integration.</t>
  </si>
  <si>
    <t>NO</t>
  </si>
  <si>
    <t>MADRL integrates game theory for multi-objective green assembly scheduling.Results show improved trade-offs between efficiency and energy consumption.</t>
  </si>
  <si>
    <t>Multi-agent deep reinforcement learning, game theory, reward decomposition, cooperative learning.</t>
  </si>
  <si>
    <t>Artificial intelligence, green manufacturing, multi-agent systems.</t>
  </si>
  <si>
    <t>Operational multi-objective decision-making.</t>
  </si>
  <si>
    <t>Explicitly incorporates worker skills and cross-domain dependencies into scheduling decisions.</t>
  </si>
  <si>
    <t>Simulation based evaluation with high model complexity and training cost.</t>
  </si>
  <si>
    <t>Proposes a novel multi domain GAT framework for FJSP with skilled worker constraints.</t>
  </si>
  <si>
    <t>Demonstrates improved scheduling performance by jointly learning job–machine–worker representations.</t>
  </si>
  <si>
    <t>Benchmark based simulation experiments under multiple worker skill configurations.</t>
  </si>
  <si>
    <t>No real-world industrial validation or dynamic rescheduling analysis.</t>
  </si>
  <si>
    <t>Multi-domain GAT models jobs, machines, and workers for skill-aware scheduling. Results outperform heuristic and learning-based baselines on benchmark datasets.</t>
  </si>
  <si>
    <t>Graph attention network, multi-domain graph modeling, deep reinforcement learning.</t>
  </si>
  <si>
    <t>Artificial intelligence, graph neural networks, human-in-the-loop manufacturing.</t>
  </si>
  <si>
    <t>Operational human-centered decision-making.</t>
  </si>
  <si>
    <t>Longsighted dispatching rules, Dynamic NEH, workload balancing heuristics.</t>
  </si>
  <si>
    <t>Dispatching decisions are made by evaluating combinations of jobs, not single jobs. Full factorial design (machines, WIP, JRQ, distributions).</t>
  </si>
  <si>
    <t>Only flow shop systems are considered. No machine failures, disruptions, or rework, which are common in real factories.</t>
  </si>
  <si>
    <t>Introduces long-sighted dispatching rules for hybrid Industry 4.0 scheduling.</t>
  </si>
  <si>
    <t>Demonstrates better steady and transient performance than classical dispatching rules.</t>
  </si>
  <si>
    <t>Agent based discrete-event simulation under steady and transient conditions.</t>
  </si>
  <si>
    <t>No job-shop evaluation or real-time industrial deployment.</t>
  </si>
  <si>
    <t>Long sighted dispatching reduces short-term bias in Industry 4.0 scheduling. Simulation results show improved throughput and predictability.</t>
  </si>
  <si>
    <t>Long-sighted dispatching rules, Dynamic-NEH, workload balancing heuristics.</t>
  </si>
  <si>
    <t>Industry 4.0, manufacturing execution systems, decision-support heuristics.</t>
  </si>
  <si>
    <t>Operational decision making</t>
  </si>
  <si>
    <t>Conceptual framework, top-down analysis</t>
  </si>
  <si>
    <t>Clear structured guidance linking manufacturing type to Industry 4.0 elements and KPIs.</t>
  </si>
  <si>
    <t>no optimization model, and no empirical/industrial validation.</t>
  </si>
  <si>
    <t>Defines key questions and indicators to guide Industry 4.0 implementation decisions.</t>
  </si>
  <si>
    <t>Practical checklist and mapping table for best-fit selection and KPI redesign.</t>
  </si>
  <si>
    <t>conceptual discussion only.</t>
  </si>
  <si>
    <t>Lacks quantitative validation, operational scheduling integration</t>
  </si>
  <si>
    <t>Top-down Industry 4.0 guidance: best-fit selection, business case factors, and new indicators.</t>
  </si>
  <si>
    <t>Conceptual framework, top-down analysis, comparative manufacturing-type mapping.</t>
  </si>
  <si>
    <t>Industry 4.0, CPS, IoT, data analytics</t>
  </si>
  <si>
    <t>Strategic and managerial</t>
  </si>
  <si>
    <t>Romania</t>
  </si>
  <si>
    <t>no?</t>
  </si>
  <si>
    <t>Exclusion basis</t>
  </si>
  <si>
    <t>Title/Abstract/Introduction/Conclusion</t>
  </si>
  <si>
    <t>Link</t>
  </si>
  <si>
    <t>Added by</t>
  </si>
  <si>
    <t>Assigment</t>
  </si>
  <si>
    <t xml:space="preserve">They review it themselfs. </t>
  </si>
  <si>
    <t>Reviewers</t>
  </si>
  <si>
    <t>Names</t>
  </si>
  <si>
    <t>Martin</t>
  </si>
  <si>
    <t xml:space="preserve">Filip </t>
  </si>
  <si>
    <t>Jannik</t>
  </si>
  <si>
    <t>Week 50</t>
  </si>
  <si>
    <t>Week 51</t>
  </si>
  <si>
    <t>Week 52</t>
  </si>
  <si>
    <t>Week 1</t>
  </si>
  <si>
    <t>Week 2</t>
  </si>
  <si>
    <t>Week 3</t>
  </si>
  <si>
    <t>Week 4</t>
  </si>
  <si>
    <t>Week 5</t>
  </si>
  <si>
    <t>Week 6</t>
  </si>
  <si>
    <t>Week 7</t>
  </si>
  <si>
    <t>Week 9</t>
  </si>
  <si>
    <t>Week 10</t>
  </si>
  <si>
    <t>Submit date</t>
  </si>
  <si>
    <t>Review assigned papers</t>
  </si>
  <si>
    <t>19th of January</t>
  </si>
  <si>
    <t>6th of Marts</t>
  </si>
  <si>
    <t>26th of January</t>
  </si>
  <si>
    <t>10 th of February</t>
  </si>
  <si>
    <t>Refinement / Alignment</t>
  </si>
  <si>
    <t>9th of February</t>
  </si>
  <si>
    <t>Discussion &amp; Conclusion / Intro</t>
  </si>
  <si>
    <t>5th of February</t>
  </si>
  <si>
    <t>15th of February</t>
  </si>
  <si>
    <t>Cited_key_id</t>
  </si>
  <si>
    <t>Topic/Theame</t>
  </si>
  <si>
    <t>Includes uncertancy, consideres varaible energy prices and ressource allocation uncertainty, problem is constrained by carbon footprint and budget seems relevant. Scales reasonably well to larger problem.</t>
  </si>
  <si>
    <t xml:space="preserve">Rather short, mistakes in the text, Does not compare against other similar/modern approaches at the time, making it hard to tell how good it performance. </t>
  </si>
  <si>
    <t>(1) single-machine model for energy-effeciency (ll) The proposed model determines the optimal processing times of jobs, based on an optimal schedule policy (iii) Inclution of the uncertencies of resource allocation to compress job processing imte.</t>
  </si>
  <si>
    <t>Proposes a hybrid approach; a GA and type 2 fuzzy logic system for schedule generation that handles uncertainty in resource allocation costs under constraints on budget and carbon footprint.</t>
  </si>
  <si>
    <t>Randomly generated instances</t>
  </si>
  <si>
    <t>Lack of industrial data validation and comparison against other methods is limited.</t>
  </si>
  <si>
    <t>This paper proposed a single machine scheduling for energy effeciency for 1 day horizon, combining GA and type 2 fuzzy logic with  resource allocation uncertancy and varying energy prices.</t>
  </si>
  <si>
    <t>Genetic algorithm, type 2 fuzzy logic, mixed-interger programming model</t>
  </si>
  <si>
    <t>Optimization software (Lingo software)</t>
  </si>
  <si>
    <t>Single machine scheduling</t>
  </si>
  <si>
    <t>Energy consumption, Green manufacturing, Energy-aware manufacturing</t>
  </si>
  <si>
    <t>Compares against similar techniques (Other huristics, ladaptive large neighrhood search, genetic algorithm). Describes each "benchmark heuristic". USes real-energy parameters from a drilling machine.</t>
  </si>
  <si>
    <t>It would be nice to see its performance against other energy-awatre approaches.</t>
  </si>
  <si>
    <t>Proposes a dynamic control algorithm determing an energy efficient single-machine schedule with machine capacity and scheduled turn-offs. It demonstrates improved performance compared to benchmark huristics.</t>
  </si>
  <si>
    <t>Randomgly generated instances + real energy parameters from a HAAS VF0 milling machine</t>
  </si>
  <si>
    <t>Lack of explicit industry deployment. Lack of scalable energy optmization.</t>
  </si>
  <si>
    <t>Multi-objective (minizing just-in-time costs, machine repair, and energy comsumptiond)</t>
  </si>
  <si>
    <t xml:space="preserve">The paper presents a scheduling method for single-machine scheduling that automatically adjusts production timing, machine speed, and shutdown periods to reduce energy use and operational costs. </t>
  </si>
  <si>
    <t>mixed integer nonlinear programming (nonlinear optimization problem)</t>
  </si>
  <si>
    <t>Production managers</t>
  </si>
  <si>
    <t>machine parameters</t>
  </si>
  <si>
    <t>Single machine scheduling supporting job sequencing and arrival timing</t>
  </si>
  <si>
    <t>United States</t>
  </si>
  <si>
    <t>Does not only consider manufacturing energy consumption, but also non-manufacturing energy consumptions.  Constraints covers manufacturing precedence, capacity, energy balance, and comfort. Comfort is mostly related to the workers. Compared to other energy related papers this one includes local-energy generation in this case wind turbines and fule cells.</t>
  </si>
  <si>
    <t>Limited applicability of the approach as it assumes grid-connected microgrid. Hard to follow, when details are presented in additional material.</t>
  </si>
  <si>
    <t>The paper proposes a risk-aware robust MILP framework that integrates manufacturing scheduling with multi-energy microgrid management to optimize cost, emissions, and comfort under uncertainty</t>
  </si>
  <si>
    <t>It connects production scheduling with multi-energy microgrid optimization under uncertainty using a robust MILP</t>
  </si>
  <si>
    <t>Randomly generated based on a fixed job shop setup, but with different destribution for wind speed, heat, cooling, power demands.Evaluated against a baseline, where electricity is supplied directly from the grid (no on site energy production).</t>
  </si>
  <si>
    <t>The system complexity is a barrier for adaptation in real-world manufacturing. Lack of dynamic job arrivals in energy aware schuduling (Since they tend to use one-day ahead electricty knowledge).</t>
  </si>
  <si>
    <t>Multi-objective optimization.</t>
  </si>
  <si>
    <t>The paper presents a mathematical system that helps factories decide when to run machines and how to produce or purchase energy. It combines local energy generation technologies with traditional grid electricity and factory operations</t>
  </si>
  <si>
    <t>mixed integer linear programming, conditional value at risk (CVaR), robust optimization</t>
  </si>
  <si>
    <t>GAMS with CPLEX solver (Solver for mixed integer lenar programming problems). Grid connected microgrid. Combined cooling, heat, and power system.  Smart Grid infrastructure. Combined Cooling, Heat, and Power system (produces electrecity, heat, cooling from a fuel source, ex. gas). Different equipments (Lighting, dishwasher, washing machine, color Tv, Cooker hob, Air conditionors, computers, printers, scanners, heaiting, residential fridge, indsutrial fridge, cooling)</t>
  </si>
  <si>
    <t>Decision maker</t>
  </si>
  <si>
    <t>Energy-aware production planning of manufacturing and non-manufacturing aspects.</t>
  </si>
  <si>
    <t>Proof-of-concept</t>
  </si>
  <si>
    <t>Green manufacturing</t>
  </si>
  <si>
    <t>2022_energy_saving_in_single-machine_scheduling_management:_an_improved_multi-objective_model_based_on_discrete_artificial_bee_colony_algorithm</t>
  </si>
  <si>
    <t>https://doi.org/10.3390/sym14030561</t>
  </si>
  <si>
    <t>Questionable title when they do not explicitely have energy minimization as an objective.</t>
  </si>
  <si>
    <t>Green manufacturing, Energy-aware manufacturing</t>
  </si>
  <si>
    <t>time of use electricy cost is consistent with other of this type of research. Models that certain tasks can only start after a certain time which is more realistic. Tries to handle larger problems to be feaseble, by taking a two-step huristic approach and deviding the problem in specific periods where electric cost is the same.</t>
  </si>
  <si>
    <t>The algorithm is difficult to apply to other machine environments. Hard to follow.</t>
  </si>
  <si>
    <t>The paper formulates a single-machine scheduling problem with release dates under TOU electricity tariffs and proposes MILP models alongside a scalable two-stage heuristic that demonstrates close to optimal energy cost reductions for different instances and a real-world example.</t>
  </si>
  <si>
    <t>Randomly generated instances + evaluated on a real-life example, they compare against earliest release date scheduling rule.</t>
  </si>
  <si>
    <t>Lack of mixed integer linear programming approaches which can show reaseble peformance on larger scale problems. Hard to addapt to other machine environments, as it is manufacturing with one machine, huristics might not apply as well to other environments.</t>
  </si>
  <si>
    <t>Metrics:: Total electricty cost, CPU time, optimality gap relative to lower bounds.</t>
  </si>
  <si>
    <t>This paper formulates the single-machine scheduling problem with release dates under time-of-use tariffs as T-MILP and P-MILP optimization models and compares them with a two-stage heuristic, showing that the heuristic achieves comparable performance with significantly lower computational time</t>
  </si>
  <si>
    <t>Time-indexed mixed interger linear programming, Perido-based MILP, Constructive huristic (A huristic they themselves create), tabu search.</t>
  </si>
  <si>
    <t>CPLEX solver</t>
  </si>
  <si>
    <t>Synthetic + real-world example</t>
  </si>
  <si>
    <t>Single machine energy-aware scheduling</t>
  </si>
  <si>
    <t>manufactuing</t>
  </si>
  <si>
    <t>Energy-aware manufacturing</t>
  </si>
  <si>
    <t>2023_process_simulation_and_optimization_of_arc_welding_robot_workstation_based_on_digital_twin</t>
  </si>
  <si>
    <t>https://doi.org/10.3390/machines11010053</t>
  </si>
  <si>
    <t>Good figures, detailed explenation of implementation. Real-time synchronization and monitoring via DT data interaction and UI visualization</t>
  </si>
  <si>
    <t>Can be hard to realise in small and medium enterprises. Relatively simpel models (kinematics). Baselines comparison is basic, and the approach would be more interresting to see its performance against state-of-the-art.</t>
  </si>
  <si>
    <t>A  digital twin of a line of sight robot arm arc welder workstation, with 3d visualisation, monitorin, optimal start position optimization and path planning. Consisting of three different unit level digital twins.</t>
  </si>
  <si>
    <t xml:space="preserve">The paper introduces MILP formulations and a scalable two-stage heuristic to optimize single-machine schedules with release dates under time-varying electricity prices, demonstrating cost reductions </t>
  </si>
  <si>
    <t>Interresting paper but does not specifically talk about HMLV.</t>
  </si>
  <si>
    <t>This paper studies the arc welding process optimisation for a robot cell, by presenting a proof-of-concept of a digital twin based arch welding robot workstation. It synchornizes real and virtul data in real time and utilizes kinematic modeling and PSo to optimizal robot base inital position to reduce welding cycle time and improve the smoothness.</t>
  </si>
  <si>
    <t>Partical swarm algorithm, collisition detection using oriented bounding box</t>
  </si>
  <si>
    <t>Digital Twin, 3D visualisation, Unity, Solid works, sensors/controllers/PLC data, communication via fieldbus/UDP/Ethernet/EtherCAT, data via JSON/API, HTTP/socket networking for virtual-physical interaction</t>
  </si>
  <si>
    <t>human operator</t>
  </si>
  <si>
    <t>Process optimization</t>
  </si>
  <si>
    <t>Manufacturing with welding production</t>
  </si>
  <si>
    <t>Digital Twin and optimization</t>
  </si>
  <si>
    <t>2024_human-centered_solutions_based_on_automated_visual_inspection_system</t>
  </si>
  <si>
    <t>https://doi.org/10.1007/978-3-031-71743-7_13</t>
  </si>
  <si>
    <t>No HMLV focus</t>
  </si>
  <si>
    <t>Different but no HMLV focus</t>
  </si>
  <si>
    <t>2024_instructing_collaborative_robots_using_large_language_models_for_human-robot_collaboration</t>
  </si>
  <si>
    <t>2024_machine-level_collaborative_manufacturing_and_scheduling_for_heterogeneous_plants</t>
  </si>
  <si>
    <t>https://doi.org/10.1109/JIOT.2024.3354251</t>
  </si>
  <si>
    <t>2024_safety-driven_deep_reinforcement_learning_framework_for_cobots:_a_sim2real_approach</t>
  </si>
  <si>
    <t>https://doi.org/10.1109/CoDIT62066.2024.10708345</t>
  </si>
  <si>
    <t>Interresting tho, how safety can be included into human-robot collaboration that utilizes DRL.</t>
  </si>
  <si>
    <t>2024_smart_perception_for_situation_awareness_in_robotic_manipulation_tasks</t>
  </si>
  <si>
    <t>https://doi.org/10.1109/ACCESS.2024.3389091</t>
  </si>
  <si>
    <t>Not manufacturing</t>
  </si>
  <si>
    <t>time-of-use tarrifs. Has mulitple opbjectives in the optimization process (total energy cost and tardiness). Setup times between different jobs where the sequence matter, this is a measure i havent seen in others i have read (P4). Compares against other known meta-huristics (NSGA-II, SPEA2, and MOEA/D algorithms). In small instances they compare against MILP solved by CPLEX 12.8. Experiments and analysis the effectiviness of method applied in the mulit-objective algorithm (neighbourhood structureselection mode, HV contribution-based solutioncomparison strategy, local intensification by IPs). Has case study on two cases compared against EDD configs )fig 9.).</t>
  </si>
  <si>
    <t>Does not compare against state-of-the-art approaches.</t>
  </si>
  <si>
    <t xml:space="preserve">Proposes a multi-objective artificial bee colony based algorithm, augmented with initialisation heuristics and multi-directional neighbourhood structures. </t>
  </si>
  <si>
    <t>Randomly generated instances+Case study</t>
  </si>
  <si>
    <t>Lack of studies in scheduling problem characterised by sequence-dependent family setups. Lack of single machine scheduling papers having variations in machine statesm such as machine degradation and preventitive maintenance.</t>
  </si>
  <si>
    <t>Job shop, bottleneck focus.</t>
  </si>
  <si>
    <t>This paper addresses the joint scheduling of total tardiness and total energy cost under time-of-use tarrifs. It proposes a multi-objective artificial bee colony based algorithm.</t>
  </si>
  <si>
    <t>Meta huristic, multi-objective artificial bee colony, external archive set, hypervolume indicator, mixed integer linear programming (MILP), used to compare against.</t>
  </si>
  <si>
    <t>CPLEX 12.8, for the MILP solving.</t>
  </si>
  <si>
    <t>Synthetic+industrial data</t>
  </si>
  <si>
    <t>Single machine scheduling in time of use tarrifs.</t>
  </si>
  <si>
    <t>General manufacturing (could fall into setup family)</t>
  </si>
  <si>
    <t>Energy consumption, Energy-aware manufacturing</t>
  </si>
  <si>
    <t xml:space="preserve">Again time-of-use tarrifs (realistic in most countries). Models real-world uncertainty, using its stochastic approach. </t>
  </si>
  <si>
    <t>Only compares against a determinstic version (MILP), could be strengthened by including additional stochastic or uncertainty-aware optimization methods.</t>
  </si>
  <si>
    <t>Proposes a simhuristices combining SA and GRASP, demonstrating good results compared to MILP solution under fixed processing times.</t>
  </si>
  <si>
    <t>Lack of studies combine stochastic + green scheduling. Lack of TOU based stochastic models. Lack of benchmark data. Lack of multi-objective optimization in green manufacturing. Lack of sensiteivy analysis/robustness analysis.</t>
  </si>
  <si>
    <t>Job shop, metrics used are Expected value, Value at Risk, and conditional value at risk.</t>
  </si>
  <si>
    <t>This paper proposes a simheuristic algorithm, integrating simulated annealing and greedy randomized adaptive search procedure, to address the single-machine scheduling problem with enviromental uncertancy factors.</t>
  </si>
  <si>
    <t>meta huristics: simulated annealing and greedy randomized adaptive search procedure. Monte carlo simulation. Mixed integer linear programming (MILP), used to compare against.</t>
  </si>
  <si>
    <t>Gurobi solver, for the MILP solving.</t>
  </si>
  <si>
    <t>Decision makers</t>
  </si>
  <si>
    <t>Brasil</t>
  </si>
  <si>
    <t>time-of-use tarrifs type problem. Contains thereom proof, which is rare among others i have read. Achieves 31.44% better energy cost compared to the companis normal scheduling approach.</t>
  </si>
  <si>
    <t xml:space="preserve">The time complexity is O(m^2). </t>
  </si>
  <si>
    <t>The paper proposes an efficient greedy insertion heuristic algorithm that assigns jobs to time periods with varying energy costs, demonstrating good performance compared to a MILP model solved with the CPLEX solver within a reasonable computation time.</t>
  </si>
  <si>
    <t>Case study+Randmly generated instances</t>
  </si>
  <si>
    <t>Infeasebility of MILP optimization problems.</t>
  </si>
  <si>
    <t>This paper investiagtes the single machine scheduling case under time-of-use tarrifs. Proposes a efficient greddy insertion huristic, which acieves close to same results as the MILP optimization.</t>
  </si>
  <si>
    <t>CPLEX solver, to solve the MILP</t>
  </si>
  <si>
    <t>2022_an_integrated_mixed_reality_system_for_safety-aware_human-robot_collaboration_using_deep_learning_and_digital_twin_generation</t>
  </si>
  <si>
    <t>https://doi.org/10.1016/j.rcim.2021.102258</t>
  </si>
  <si>
    <t>2022_ar-assisted_digital_twin-enabled_robot_collaborative_manufacturing_system_with_human-in-the-loop</t>
  </si>
  <si>
    <t>https://doi.org/10.1016/j.rcim.2022.102321</t>
  </si>
  <si>
    <t>2019_cloud-based_digital_twin_for_industrial_robotics</t>
  </si>
  <si>
    <t>https://doi.org/10.1007/978-3-030-27878-6_9</t>
  </si>
  <si>
    <t>https://doi.org/10.1080/21693277.2019.1618746</t>
  </si>
  <si>
    <t>L0?</t>
  </si>
  <si>
    <t>https://doi.org/10.1016/j.rcim.2014.07.004</t>
  </si>
  <si>
    <t>https://doi.org/10.1016/j.ijinfomgt.2019.05.020</t>
  </si>
  <si>
    <t>No HMLV/decision support focus</t>
  </si>
  <si>
    <t>https://doi.org/10.1007/978-3-030-01614-2_58</t>
  </si>
  <si>
    <t>No HMLV, production line</t>
  </si>
  <si>
    <t>https://doi.org/10.1109/CASE49997.2022.9926471</t>
  </si>
  <si>
    <t>https://doi.org/10.1016/j.rcim.2022.102518</t>
  </si>
  <si>
    <t>https://doi.org/10.3390/app9020348</t>
  </si>
  <si>
    <t>https://doi.org/10.1016/j.procir.2016.02.080</t>
  </si>
  <si>
    <t>https://doi.org/10.1007/s00170-020-05356-0</t>
  </si>
  <si>
    <t>Not L0</t>
  </si>
  <si>
    <t>https://doi.org/10.1109/ICRA46639.2022.9811952</t>
  </si>
  <si>
    <t>Low direct HMLV focus, but suitable for HMLV</t>
  </si>
  <si>
    <t>reviwer _id</t>
  </si>
  <si>
    <t>\++</t>
  </si>
  <si>
    <t>addresses fluctuating demand via more human-robot assembly scheduling</t>
  </si>
  <si>
    <t>Task relocation Heuristics</t>
  </si>
  <si>
    <t>Human robot collaboration, meta heuristics, simulated annealing</t>
  </si>
  <si>
    <t>Dynamic task reallocation, handles multi human-machine collaboration tasks</t>
  </si>
  <si>
    <t>No real time deployment or human in the loop decision interaction</t>
  </si>
  <si>
    <t>A novel meta-heuristic to jointly optimize cycle time and operator allocation in HRC assembly lines.</t>
  </si>
  <si>
    <t>An improved simulated annealing algorithm showing better optimization performance than prior heuristics.</t>
  </si>
  <si>
    <t>Lacks real time decision support or operators feedback</t>
  </si>
  <si>
    <t>-----</t>
  </si>
  <si>
    <t>Proposes an enhanced simulated annealing approach for balancing and scheduling human–robot collaborative assembly lines, validated through automotive case studies and benchmark problems.</t>
  </si>
  <si>
    <t>Optimization framework for balancing and scheduling in human–robot collaborative assembly systems.</t>
  </si>
  <si>
    <t>Decision Support for task allocation and resource managment at assembly level</t>
  </si>
  <si>
    <t>Centralized optimization framework based on enhanced adaptive simulated annealing.</t>
  </si>
  <si>
    <t>\+</t>
  </si>
  <si>
    <t>Addresses intelligent scheduling using DRL but focuses on semiconductor fabs rather than HMLV layouts.</t>
  </si>
  <si>
    <t>DQN and multi agent DQN scheduling policies</t>
  </si>
  <si>
    <t>Deep reinforcement learning, simulation</t>
  </si>
  <si>
    <t>Learns adaptive scheduling policies that generalize across different tool configurations.</t>
  </si>
  <si>
    <t>Requires high computational training effort</t>
  </si>
  <si>
    <t>A DRL-based scheduling framework for semiconductor cluster tools under varying conditions.</t>
  </si>
  <si>
    <t>Demonstrates DRL feasibility for complex tool scheduling in simulated semiconductor environments.</t>
  </si>
  <si>
    <t>No real time implementation, no human in loop decision support</t>
  </si>
  <si>
    <t>Uses DQN and multi-agent DQN to improve scheduling performance of semiconductor cluster tools, showing throughput gains over heuristic policies in simulation.</t>
  </si>
  <si>
    <t>Semiconductor Manufacturing</t>
  </si>
  <si>
    <t>Application of deep reinforcement learning to complex induxtrial tool scheduling</t>
  </si>
  <si>
    <t>Automated decision support for scheduling under changing system configurations.</t>
  </si>
  <si>
    <t>Centralized and multi-agent DRL framework coupled with a discrete-event simulator.</t>
  </si>
  <si>
    <t>2026_investigating_the_engineering_design_approaches_for_cutting_edge_technology_adoption_in_transport_manufacturing</t>
  </si>
  <si>
    <t>Directly targets decision support for reconfiguration and scheduling in customized, small-batch manufacturing systems.</t>
  </si>
  <si>
    <t>Knowledge-guided deep reinforcement learning using PPO with action masking.</t>
  </si>
  <si>
    <t>Deep reinforcement Learning</t>
  </si>
  <si>
    <t>Explicitly models machine reconfiguration time and reduces action-space dimensionality.</t>
  </si>
  <si>
    <t>Validated only in simulated environments with synthetically generated instances.</t>
  </si>
  <si>
    <t>A KGDRL framework that enables efficient reconfiguration-aware scheduling for CPP workshops.</t>
  </si>
  <si>
    <t>Demonstrates improved convergence and makespan reduction over DRL and heuristic baselines.</t>
  </si>
  <si>
    <t>No real-time deployment or digital twin implementation despite being discussed as future work.</t>
  </si>
  <si>
    <t>Introduces a knowledge-guided DRL method for reconfiguration-aware scheduling in customized manufacturing, achieving robust makespan improvements in simulation.</t>
  </si>
  <si>
    <t>Customised and personalized manufacturing</t>
  </si>
  <si>
    <t>Integration of domain knowledge into DRL for scalable reconfiguration-aware scheduling.</t>
  </si>
  <si>
    <t>Decision support for intelligent resource reconfiguration and job scheduling.</t>
  </si>
  <si>
    <t>Edge–cloud and wireless CMfg framework with KGDRL-based scheduling engine.</t>
  </si>
  <si>
    <t>Directly addresses realistic scheduling with setup-resource constraints relevant to Industry 4.0/5.0 production.</t>
  </si>
  <si>
    <t>Enhanced GRASP (E-GRASP) with selective repair and resource-aware construction.</t>
  </si>
  <si>
    <t>Metaheuristics, GRASP, combinatorial optimization.</t>
  </si>
  <si>
    <t>Explicit  handling of setup resource infeasibilities with strong scalability to large instances</t>
  </si>
  <si>
    <t>purely algorithmic with no real time DSS</t>
  </si>
  <si>
    <t>A new metaheuristic that efficiently manages setup-resource infeasibilities in UPMSR-S problems.</t>
  </si>
  <si>
    <t>Demonstrates consistent and statistically significant performance gains over GRASP variants.</t>
  </si>
  <si>
    <t>no human in loop support, no adaptive learning</t>
  </si>
  <si>
    <t>Introduces an enhanced GRASP with selective repair to efficiently solve resource-constrained parallel machine scheduling.</t>
  </si>
  <si>
    <t>spain</t>
  </si>
  <si>
    <t>Manufacturing(ceramic, food processing)</t>
  </si>
  <si>
    <t>Advanced metaheuristic design for realistic resource constrained scheduling problem</t>
  </si>
  <si>
    <t>Offline optimization support for production scheduling under limited resources.</t>
  </si>
  <si>
    <t>E-GRASP framework with construction, local search, selective repair, and evaluation phases.</t>
  </si>
  <si>
    <t>2025_a_bilstm-ippo_approach_for_dynamic_flexible_flow_shop_scheduling_with_limited_buffer_capacity</t>
  </si>
  <si>
    <t>Directly addresses real time scheduling in flow shops with dynamic arrival constraints</t>
  </si>
  <si>
    <t>BiLSTM-enhanced Improved Proximal Policy Optimization (IPPO).</t>
  </si>
  <si>
    <t>BiLSTM,PPO Gantt chart</t>
  </si>
  <si>
    <t>handles dynamic constraints</t>
  </si>
  <si>
    <t>purely simulation based</t>
  </si>
  <si>
    <t>BiLSTM-IPPO framework for solving DFFSP-LBC with dynamic job arrivals</t>
  </si>
  <si>
    <t>Demostrates superior performance over heuristics</t>
  </si>
  <si>
    <t>simulation experiments on static and dynamic flowshop benchmarks</t>
  </si>
  <si>
    <t>no real time industry implementation</t>
  </si>
  <si>
    <t>Uses BiLSTM-IPPO to optimize dynamic flexible flow shop scheduling with limited buffers, achieving robust makespan improvements.</t>
  </si>
  <si>
    <t>flexible flowshop</t>
  </si>
  <si>
    <t>Advanced DRL architecture for complex dynamic shops</t>
  </si>
  <si>
    <t>Automated real time scheduling decision support</t>
  </si>
  <si>
    <t>BiLSTM feature extractor</t>
  </si>
  <si>
    <t>Focus on plant level simulation</t>
  </si>
  <si>
    <t>3D plant simulation</t>
  </si>
  <si>
    <t>Delta robots, LiDAR</t>
  </si>
  <si>
    <t>KPI based comparison</t>
  </si>
  <si>
    <t>simulation only, do real time deployment</t>
  </si>
  <si>
    <t>Framework for robot-based meal-kit packaging simulation</t>
  </si>
  <si>
    <t>Quantified layout trade-offs via digital simulation</t>
  </si>
  <si>
    <t>no real time decision logic</t>
  </si>
  <si>
    <t>Simulation-driven redesign of a food packaging line using robots.</t>
  </si>
  <si>
    <t>Food or Packaging</t>
  </si>
  <si>
    <t>case study</t>
  </si>
  <si>
    <t>Layout planning</t>
  </si>
  <si>
    <t>Digital twin like 3D plant simulation</t>
  </si>
  <si>
    <t>2025_a_hybrid_moo,_mcgdm,_and_sentiment_analysis_methodologies_for_enhancing_regional_expansion_planning:_a_case_study_luwu_-_indonesia</t>
  </si>
  <si>
    <t>MOO, MCGDM</t>
  </si>
  <si>
    <t>NLP, Optimisation</t>
  </si>
  <si>
    <t>Not manufactruing specific</t>
  </si>
  <si>
    <t>Multi-criteria, qulaitative, quantitative</t>
  </si>
  <si>
    <t>No production focus</t>
  </si>
  <si>
    <t>Integrated framework for regional expansion</t>
  </si>
  <si>
    <t>Decision support model for policy expansion</t>
  </si>
  <si>
    <t>no industrial validation</t>
  </si>
  <si>
    <t>Outside manufacturing scope</t>
  </si>
  <si>
    <t>Strategic policy focus</t>
  </si>
  <si>
    <t>Hybrid decision-making for regional growth planning.</t>
  </si>
  <si>
    <t>Indonesia</t>
  </si>
  <si>
    <t>Regional development</t>
  </si>
  <si>
    <t>Decision Framework</t>
  </si>
  <si>
    <t>Strategic Expansion decision</t>
  </si>
  <si>
    <t>MOO–MCGDM–Sentiment pipeline</t>
  </si>
  <si>
    <t>Core assembly planning problem</t>
  </si>
  <si>
    <t>neural combinatorial optimisation</t>
  </si>
  <si>
    <t>GNN, RL</t>
  </si>
  <si>
    <t>good generalization to new products</t>
  </si>
  <si>
    <t>Offline planning only</t>
  </si>
  <si>
    <t>Learning based ASP framework</t>
  </si>
  <si>
    <t>Data driven alternative to heuristic</t>
  </si>
  <si>
    <t>no real factory validation</t>
  </si>
  <si>
    <t>Neural model for assembly sequence planning.</t>
  </si>
  <si>
    <t>Discrete manufacturing</t>
  </si>
  <si>
    <t>algorithm</t>
  </si>
  <si>
    <t>Assembly planning decisions</t>
  </si>
  <si>
    <t>Sequence decoder</t>
  </si>
  <si>
    <t>Direct bottleneck prediction in production lines</t>
  </si>
  <si>
    <t>Dual spatio-temporal neural network</t>
  </si>
  <si>
    <t>GCN, GRU, attention mechanisms</t>
  </si>
  <si>
    <t>Captures dynamic spatial–temporal dependencies</t>
  </si>
  <si>
    <t>Simulation data only</t>
  </si>
  <si>
    <t>New Dual-BDSTN for bottleneck prediction</t>
  </si>
  <si>
    <t>Improved bottleneck prediction accuracy</t>
  </si>
  <si>
    <t>no real factory deployment</t>
  </si>
  <si>
    <t>Spatio-temporal DL for bottleneck prediction.</t>
  </si>
  <si>
    <t>singapore</t>
  </si>
  <si>
    <t>Manuf systems</t>
  </si>
  <si>
    <t>Predictive modeling method</t>
  </si>
  <si>
    <t>Proactive bottleneck identification</t>
  </si>
  <si>
    <t>Dual GCN–GRU with attention</t>
  </si>
  <si>
    <t>Direct shop-floor scheduling problem</t>
  </si>
  <si>
    <t>Handles irregular parts &amp; setups</t>
  </si>
  <si>
    <t>Case specific</t>
  </si>
  <si>
    <t>Hybrid GA–MCTS scheduler</t>
  </si>
  <si>
    <t>Better makespan than GA alone</t>
  </si>
  <si>
    <t>No real-time rescheduling</t>
  </si>
  <si>
    <t>Hybrid GA–MCTS for irregular part scheduling.</t>
  </si>
  <si>
    <t>furniture manufacturing</t>
  </si>
  <si>
    <t>Scheduling optimization method</t>
  </si>
  <si>
    <t>Operational scheduling support</t>
  </si>
  <si>
    <t>GA global + MCTS local search</t>
  </si>
  <si>
    <t>2025_a_systematic_review_of_decision_tools_for_process_selection_and_performance_improvement_in_manufacturing</t>
  </si>
  <si>
    <t>Core manufacturing decision review</t>
  </si>
  <si>
    <t>Systematic literature review</t>
  </si>
  <si>
    <t>MCDA, LCA, AI, simulation</t>
  </si>
  <si>
    <t>Clear process-level focus</t>
  </si>
  <si>
    <t>No empirical validation</t>
  </si>
  <si>
    <t>Unified review of decision tools</t>
  </si>
  <si>
    <t>Process-level tool taxonomy</t>
  </si>
  <si>
    <t>37 journal papers reviewed</t>
  </si>
  <si>
    <t>Poor sustainability integration</t>
  </si>
  <si>
    <t>Review of decision tools for manufacturing processes.</t>
  </si>
  <si>
    <t>Process selection decisions</t>
  </si>
  <si>
    <t>Tool comparison</t>
  </si>
  <si>
    <t>2025_adaptive_social_manufacturing:_a_human-centric,_resilient,_and_sustainable_framework_for_advancing_industry_5.0</t>
  </si>
  <si>
    <t xml:space="preserve">Dual SLR, </t>
  </si>
  <si>
    <t>IIOT</t>
  </si>
  <si>
    <t>human centric integration, validation with real case</t>
  </si>
  <si>
    <t>computationally heavy</t>
  </si>
  <si>
    <t>New ASM framework for Industry 5.0</t>
  </si>
  <si>
    <t>Governance+capability model</t>
  </si>
  <si>
    <t>healthcare manufacturer</t>
  </si>
  <si>
    <t>no quantitative performance model</t>
  </si>
  <si>
    <t>Too conceptual; lacks DSS models</t>
  </si>
  <si>
    <t>Framework-only, no scheduling/planning</t>
  </si>
  <si>
    <t>human centric governance framework for sustainable digital manufacturing</t>
  </si>
  <si>
    <t>sweden</t>
  </si>
  <si>
    <t>health care manufacturing</t>
  </si>
  <si>
    <t>conceptual</t>
  </si>
  <si>
    <t>strategic governance</t>
  </si>
  <si>
    <t>adaptive governance framework</t>
  </si>
  <si>
    <t>2025_agentic_workflows_generation_based_on_meta-cognitive_chain-of-thought_guided_monte_carlo_tree_search</t>
  </si>
  <si>
    <t>AI based, not manufactruing</t>
  </si>
  <si>
    <t>not related to manufacturing</t>
  </si>
  <si>
    <t>2025_an_intuitionistic_fuzzy_approach_to_assessing_the_barriers_to_quality_4.0_adoption_in_the_footwear_manufacturing_industry:_implications_for_sustainability_in_emerging_economy</t>
  </si>
  <si>
    <t>IVT2IF–DEMATEL (MCDM)</t>
  </si>
  <si>
    <t>Fuzzy logic, DEMATEL</t>
  </si>
  <si>
    <t>Structured barrier prioritization</t>
  </si>
  <si>
    <t>Survey-based only</t>
  </si>
  <si>
    <t>Barrier ranking for Quality 4.0 adoption</t>
  </si>
  <si>
    <t>Prioritized 16 adoption barriers</t>
  </si>
  <si>
    <t>Expert survey (12 experts)</t>
  </si>
  <si>
    <t>No real factory validation, no algorithmic solution</t>
  </si>
  <si>
    <t>No operational DSS or scheduling contribution</t>
  </si>
  <si>
    <t>strategic level</t>
  </si>
  <si>
    <t>Fuzzy-based prioritization of Q4.0 adoption barriers in footwear sector</t>
  </si>
  <si>
    <t>Bangladesh</t>
  </si>
  <si>
    <t>footwear</t>
  </si>
  <si>
    <t>Barrier taxonomy + ranking</t>
  </si>
  <si>
    <t>strategic adoption</t>
  </si>
  <si>
    <t>IVT2IF-DEMATEL framework</t>
  </si>
  <si>
    <t>2025_analyzing_resilient_performance_of_workers_with_multiple_disturbances_in_production_systems</t>
  </si>
  <si>
    <t>Direct human-resilience modeling in production</t>
  </si>
  <si>
    <t>FRAM</t>
  </si>
  <si>
    <t>FRAM, CPC, Human reliability</t>
  </si>
  <si>
    <t>Quantifies compound disturbances</t>
  </si>
  <si>
    <t>No scheduling optimization</t>
  </si>
  <si>
    <t>FRAM-based simulation for resilient performance</t>
  </si>
  <si>
    <t>Identifies critical CPC factors</t>
  </si>
  <si>
    <t>Case study + semi-quantitative simulation</t>
  </si>
  <si>
    <t>No integration with planning DSS</t>
  </si>
  <si>
    <t>FRAM-based simulation of human resilience under multiple shopfloor disturbances</t>
  </si>
  <si>
    <t>Marine engine manufacturing</t>
  </si>
  <si>
    <t>Human resilience modeling framework</t>
  </si>
  <si>
    <t>Operational resilience support</t>
  </si>
  <si>
    <t>FRAM with expert feedback-loop extension</t>
  </si>
  <si>
    <t>2025_assessing_industry_4.0_readiness:_a_toe-p_framework_for_the_sugar_industry_in_developing_economies</t>
  </si>
  <si>
    <t>TOE extended (TOE-P)</t>
  </si>
  <si>
    <t>IoT, AI</t>
  </si>
  <si>
    <t>Sector-specific framework,adds process dimensions</t>
  </si>
  <si>
    <t>coputationally heavy</t>
  </si>
  <si>
    <t>TOE-P readiness model for sugar sector</t>
  </si>
  <si>
    <t>Extended TOE with process dimension</t>
  </si>
  <si>
    <t>Expert interviews + 4 case studies</t>
  </si>
  <si>
    <t>No real-time implementation</t>
  </si>
  <si>
    <t>No production scheduling or DSS modeling</t>
  </si>
  <si>
    <t>Strategic/assessment level only</t>
  </si>
  <si>
    <t>TOE-P readiness framework for Industry 4.0 adoption in Indian sugar sector</t>
  </si>
  <si>
    <t>india</t>
  </si>
  <si>
    <t>Sugar manufacturing</t>
  </si>
  <si>
    <t>Conceptual readiness framework</t>
  </si>
  <si>
    <t>Strategic readiness assessment</t>
  </si>
  <si>
    <t>Technology Organization Environment Process</t>
  </si>
  <si>
    <t>2025_automating_the_static_and_seismic_design_of_2-d_multistorey_reinforced_concrete_structures_by_using_monte_carlo_tree_search_and_genetic_algorithm</t>
  </si>
  <si>
    <t>MCTS + GA</t>
  </si>
  <si>
    <t>RL, GA</t>
  </si>
  <si>
    <t>Not (civil structural design)</t>
  </si>
  <si>
    <t>Tabula rasa approach</t>
  </si>
  <si>
    <t>High computational cost</t>
  </si>
  <si>
    <t>AI agents for automated RC building design</t>
  </si>
  <si>
    <t>GA/MCTS framework + payoff model</t>
  </si>
  <si>
    <t xml:space="preserve">case study </t>
  </si>
  <si>
    <t>No industrial manufacturing context</t>
  </si>
  <si>
    <t>Civil structural design focus</t>
  </si>
  <si>
    <t>Product/building design stage only</t>
  </si>
  <si>
    <t>GA–MCTS automation of seismic RC building design using cost–GHG payoff</t>
  </si>
  <si>
    <t>italy</t>
  </si>
  <si>
    <t>civil construction</t>
  </si>
  <si>
    <t>AI-driven structural design framework</t>
  </si>
  <si>
    <t>Design-stage optimization</t>
  </si>
  <si>
    <t>Hybrid GA</t>
  </si>
  <si>
    <t>2025_automated_conceptual_design_of_mechanisms_based_on_thompson_sampling_and_monte_carlo_tree_search</t>
  </si>
  <si>
    <t>TS + MCTS (Dirichlet MCTS)</t>
  </si>
  <si>
    <t>MCTS, Thompson Sampling, Bayesian inference</t>
  </si>
  <si>
    <t>No hyperparameter tuning</t>
  </si>
  <si>
    <t>No scheduling/rescheduling</t>
  </si>
  <si>
    <t>D-MCTS for automated mechanism design</t>
  </si>
  <si>
    <t>Outperforms GA, UCT, Greedy</t>
  </si>
  <si>
    <t>No real-time production context</t>
  </si>
  <si>
    <t>Not related to production scheduling or DSS</t>
  </si>
  <si>
    <t>Product conceptual design level</t>
  </si>
  <si>
    <t>TS-guided MCTS for automated conceptual mechanism synthesis</t>
  </si>
  <si>
    <t>Mechanical equipment design</t>
  </si>
  <si>
    <t>AI-based combinatorial search algorithm</t>
  </si>
  <si>
    <t>Design-stage decision support</t>
  </si>
  <si>
    <t>Dirichlet-based MCTS (D-MCTS)</t>
  </si>
  <si>
    <t>2025_can_smart_manufacturing_benchmark_the_complex_landscape_of_global_success?</t>
  </si>
  <si>
    <t>Direct manufacturing cell + scheduling optimization</t>
  </si>
  <si>
    <t>Two-level GA (layout + staffing)</t>
  </si>
  <si>
    <t>GA, adaptive mutation, Matlab GUI</t>
  </si>
  <si>
    <t>Flow-shop scheduling model</t>
  </si>
  <si>
    <t>Limited real factory validation</t>
  </si>
  <si>
    <t>industrial design optimization via IGA</t>
  </si>
  <si>
    <t>Adaptive GA for mixed flow shop</t>
  </si>
  <si>
    <t>Scalability not fully analyzed</t>
  </si>
  <si>
    <t>Adaptive GA for collaborative manufacturing cell and flow-shop scheduling optimization</t>
  </si>
  <si>
    <t>discrete manufacturing</t>
  </si>
  <si>
    <t>Adaptive GA scheduling + cell optimization framework</t>
  </si>
  <si>
    <t>Operational scheduling optimization</t>
  </si>
  <si>
    <t>Two-level adaptive GA architecture</t>
  </si>
  <si>
    <t>2025_complex_network_topology_design_on_technology_collaboration:_small-world_characteristics_for_intelligent_manufacturing</t>
  </si>
  <si>
    <t>Direct intelligent manufacturing network design (factory-level)</t>
  </si>
  <si>
    <t>Topology Network Design (TND), Benders Decomposition (BD)</t>
  </si>
  <si>
    <t>Complex networks, BD</t>
  </si>
  <si>
    <t>Factory-level real case (43-node TCN)</t>
  </si>
  <si>
    <t>Strategic/tactical level only</t>
  </si>
  <si>
    <t>Small-world-based TCN replication model</t>
  </si>
  <si>
    <t>MIP model with clustering + closeness constraints</t>
  </si>
  <si>
    <t>Numerical experiments (50–110 nodes)</t>
  </si>
  <si>
    <t>No production scheduling linkage</t>
  </si>
  <si>
    <t>Small world constrained topology design for scalable intelligent manufacturing collaboration networks</t>
  </si>
  <si>
    <t>Discrete manufacturing (home appliances)</t>
  </si>
  <si>
    <t>Network-structured intelligent manufacturing design model</t>
  </si>
  <si>
    <t>Strategic/tactical architecture planning</t>
  </si>
  <si>
    <t>Small-world-constrained TND + BD decomposition</t>
  </si>
  <si>
    <t>Direct layout optimization for smart remanufacturing</t>
  </si>
  <si>
    <t>FE-UA-FLP (MILP reformulation)</t>
  </si>
  <si>
    <t>MILP, Metaheuristics, Smart systems, Data-driven modeling</t>
  </si>
  <si>
    <t>Fixed-dimension layout model, Real industrial case (alternator plant)</t>
  </si>
  <si>
    <t>2D only, Flow-shop assumption</t>
  </si>
  <si>
    <t>Flexible-envelope UA-FLP for smart remanufacturing</t>
  </si>
  <si>
    <t>Metaheuristic-based fast layout generation</t>
  </si>
  <si>
    <t>Limited high-mix/job shop extension</t>
  </si>
  <si>
    <t>Data-driven flexible-envelope layout optimization for smart remanufacturing with metaheuristic search</t>
  </si>
  <si>
    <t>Remanufacturing</t>
  </si>
  <si>
    <t>Adaptive layout optimization framework</t>
  </si>
  <si>
    <t>Operational layout reconfiguration</t>
  </si>
  <si>
    <t>metaheuristic engine + updatable interaction matrix</t>
  </si>
  <si>
    <t>2025_decision_support_within_digital_twins_in_manufacturing_ecosystems:_a_review</t>
  </si>
  <si>
    <t>Core review on DT–DSS integration in manufacturing</t>
  </si>
  <si>
    <t>Systematic Literature Review</t>
  </si>
  <si>
    <t>Digital Twins, DSS</t>
  </si>
  <si>
    <t>Explicit DT–DSS integration focus</t>
  </si>
  <si>
    <t>Conceptual synthesis only</t>
  </si>
  <si>
    <t>Comprehensive review of DT-based Decision Support in Manufacturing Ecosystems</t>
  </si>
  <si>
    <t>Decision-type taxonomy (planning, maintenance, scheduling)</t>
  </si>
  <si>
    <t>157 full-text articles</t>
  </si>
  <si>
    <t>Limited real automated feedback loops</t>
  </si>
  <si>
    <t>Systematic review of Decision Support integration within Digital Twins for manufacturing planning, scheduling, and maintenance</t>
  </si>
  <si>
    <t>Spain+Germany collaboration (EU context)</t>
  </si>
  <si>
    <t>Manufacturing ecosystems</t>
  </si>
  <si>
    <t>State-of-the-art synthesis + integration gaps</t>
  </si>
  <si>
    <t>Strategic, tactical, and operational decision support</t>
  </si>
  <si>
    <t>Closed loop DT DSS conceptual architecture</t>
  </si>
  <si>
    <t>2025_discrete_event_simulation:_a_behavior_modeling_framework_for_evaluating_production_schedules</t>
  </si>
  <si>
    <t>Direct schedule evaluation via DES + DT</t>
  </si>
  <si>
    <t>KPI-based comparison</t>
  </si>
  <si>
    <t>Framework-level only</t>
  </si>
  <si>
    <t>Unified DES-based behavior modeling framework for schedule evaluation</t>
  </si>
  <si>
    <t>Evaluation metrics (MSE, MAE, KPIs)</t>
  </si>
  <si>
    <t>No case study validation</t>
  </si>
  <si>
    <t>DES-based digital twin framework for evaluating production schedules using event logs and KPI comparison</t>
  </si>
  <si>
    <t xml:space="preserve">Manufacturing and logistics </t>
  </si>
  <si>
    <t>Generalized DT–DES schedule evaluation framework</t>
  </si>
  <si>
    <t>Schedule evaluation &amp; performance analysis</t>
  </si>
  <si>
    <t>PN-assisted DES digital twin + KPI evaluation loop</t>
  </si>
  <si>
    <t>2025_dynamic_flexible_flow_shop_scheduling_via_cross-attention_networks_and_multi-agent_reinforcement_learning</t>
  </si>
  <si>
    <t>Direct dynamic flexible flow shop scheduling (DFFSP)</t>
  </si>
  <si>
    <t>Multi-Agent RL (IPPO)</t>
  </si>
  <si>
    <t>DRL, PPO Ghantt chart</t>
  </si>
  <si>
    <t>Explicit dynamic scheduling</t>
  </si>
  <si>
    <t>No digital twin integration, synthetic instances only</t>
  </si>
  <si>
    <t>Cross-attention MARL for DFFSP</t>
  </si>
  <si>
    <t>Dual-agent (job + machine) IPPO, Gantt-chart state encoding</t>
  </si>
  <si>
    <t>Static + dynamic synthetic instances</t>
  </si>
  <si>
    <t>No explainability</t>
  </si>
  <si>
    <t>Multi-agent DRL with cross-attention for dynamic flexible flow shop scheduling</t>
  </si>
  <si>
    <t>china + sweden</t>
  </si>
  <si>
    <t>Attention-based MARL scheduling framework</t>
  </si>
  <si>
    <t>Operational real-time scheduling</t>
  </si>
  <si>
    <t>Dual-agent IPPO + multi-head cross-attention</t>
  </si>
  <si>
    <t>Technological sustainability assessment at organizational supply-chain level (not scheduling-focused)</t>
  </si>
  <si>
    <t>Life Cycle Thinking alignment</t>
  </si>
  <si>
    <t>ERP, SCADA, KPI systems</t>
  </si>
  <si>
    <t>Clear technological sustainability dimension</t>
  </si>
  <si>
    <t>Limited prescriptive analytics</t>
  </si>
  <si>
    <t>Organizational Technological Sustainability Assessment (O-TSA)</t>
  </si>
  <si>
    <t>Three-dimension framework (IOA, OP, TQ)</t>
  </si>
  <si>
    <t>conceptual mention only</t>
  </si>
  <si>
    <t>Data-driven composite index framework to assess and monitor technological sustainability in manufacturing supply chains</t>
  </si>
  <si>
    <t>Ceramic manufacturing supply chain</t>
  </si>
  <si>
    <t>Organizational-level technological sustainability index</t>
  </si>
  <si>
    <t>Strategic performance assessment</t>
  </si>
  <si>
    <t>Three-dimension hierarchical weighted index</t>
  </si>
  <si>
    <t>2025_from_human-related_to_human-centric:_a_review_of_shop_floor_scheduling_problem_under_industry_5.0</t>
  </si>
  <si>
    <t>Human-centric scheduling review</t>
  </si>
  <si>
    <t>Clear human-factor taxonomy</t>
  </si>
  <si>
    <t>Conceptual-heavy</t>
  </si>
  <si>
    <t>Human-Centric Shop Floor Scheduling (HCSFS) framework</t>
  </si>
  <si>
    <t>Gap analysis of human factors integration</t>
  </si>
  <si>
    <t>Too conceptual</t>
  </si>
  <si>
    <t>Not layout-oriented</t>
  </si>
  <si>
    <t>Conceptual review on human-centric scheduling under Industry 5.0; lacks layout and HMLV decision support focus.</t>
  </si>
  <si>
    <t>Direct FSMS configuration planning</t>
  </si>
  <si>
    <t>Graph Diffusion</t>
  </si>
  <si>
    <t>Demand-driven configuration generation</t>
  </si>
  <si>
    <t>High model complexity</t>
  </si>
  <si>
    <t>Hybrid Graph-Diffusion generative planning for FSMS</t>
  </si>
  <si>
    <t>Constraint-aware discrete diffusion for layout generation</t>
  </si>
  <si>
    <t>Explainability of diffusion decisions limited</t>
  </si>
  <si>
    <t>Hybrid graph-based discrete diffusion model for demand-driven flexible manufacturing layout and robot allocation planning with ICC-guided refinement.</t>
  </si>
  <si>
    <t>Flexible Smart Manufacturing Systems (FSMS)</t>
  </si>
  <si>
    <t>Hybrid graph-diffusion generative layout planning model</t>
  </si>
  <si>
    <t>Demand-driven system configuration</t>
  </si>
  <si>
    <t>Discrete Diffusion</t>
  </si>
  <si>
    <t>Direct adaptive task allocation DSS at shopfloor level</t>
  </si>
  <si>
    <t>CNN + DDQN</t>
  </si>
  <si>
    <t>Deep Learning</t>
  </si>
  <si>
    <t>Closed-loop adaptive control</t>
  </si>
  <si>
    <t>Simulation-only</t>
  </si>
  <si>
    <t>Hybrid DL–RL adaptive HRC task allocation</t>
  </si>
  <si>
    <t>CNN-based fatigue estimation</t>
  </si>
  <si>
    <t>No real factory validation</t>
  </si>
  <si>
    <t>Hybrid CNN–DDQN framework for fatigue-aware adaptive human-robot task allocation using digital twin simulation.</t>
  </si>
  <si>
    <t>Hybrid DL–RL human-aware allocation model</t>
  </si>
  <si>
    <t>Operational adaptive task allocation</t>
  </si>
  <si>
    <t>Digital twin feedback loop</t>
  </si>
  <si>
    <t>2025_integrating_production_planning_in_collaborative_manufacturing:_systematic_literature_review,_and_future_research_direction</t>
  </si>
  <si>
    <t>Production Planning integration</t>
  </si>
  <si>
    <t>Systematic Literature Review (SLR)</t>
  </si>
  <si>
    <t>Optimization models</t>
  </si>
  <si>
    <t>Decision-level classification</t>
  </si>
  <si>
    <t>Conceptual</t>
  </si>
  <si>
    <t>decision level + methods</t>
  </si>
  <si>
    <t>Classification by decision level &amp; modeling</t>
  </si>
  <si>
    <t>Weak performance measurement focus</t>
  </si>
  <si>
    <t>SLR identifying integration gaps between collaborative manufacturing and production planning across decision levels.</t>
  </si>
  <si>
    <t>multi-industry review</t>
  </si>
  <si>
    <t>Taxonomy and integration roadmap for CM–PP</t>
  </si>
  <si>
    <t>Strategic and operational planning support in collaborative networks</t>
  </si>
  <si>
    <t>SLR classification framework</t>
  </si>
  <si>
    <t>2025_intelligent_workload_optimisation_based_on_a_protocol-fused_cloud_robotics_physical_framework_with_integrated_multi-sensors</t>
  </si>
  <si>
    <t>not available</t>
  </si>
  <si>
    <t>MILP, ISA</t>
  </si>
  <si>
    <t>Evaluation</t>
  </si>
  <si>
    <t>(1) Address job shop scheduling problem with a dual-gripper robot (2) Propose two MILP models (3) Develop improved simulated annealing (ISA) algo. (4) Validate performance through computational experiments.</t>
  </si>
  <si>
    <t>Address the job shop scheduling problem in a bufferless job shop environment, in which multiple job types are served by a dual-gripper robot.</t>
  </si>
  <si>
    <t>JSS</t>
  </si>
  <si>
    <t>2025_modelling_and_computational_simulation_of_operations_and_queue_systems_in_a_supermarket</t>
  </si>
  <si>
    <t>Focus on supermarket</t>
  </si>
  <si>
    <t>2025_multi-channel_real-time_access_with_starvation_avoidance_for_heterogeneous_data_in_smart_factories</t>
  </si>
  <si>
    <t>2025_non-cyclic_scheduling_of_single-armed_cluster_tools_for_processing_two_wafer_types</t>
  </si>
  <si>
    <t>2025_optimizing_integrated_distributed_flexible_job-shop_scheduling_and_customer_order_delivery</t>
  </si>
  <si>
    <t>2025_optimizing_printing_processes_with_mcts</t>
  </si>
  <si>
    <t>The paper looks at automation of sheet imposition (i.e. optimizing printing)</t>
  </si>
  <si>
    <t>2025_out-of-order_architecture_for_real-time_data-driven_resilient_planning_and_scheduling_of_cyber-physical_manufacturing_systems</t>
  </si>
  <si>
    <t>Discrete-event simulation, predictive model-based multi-objective optimization (PMB-MOO)</t>
  </si>
  <si>
    <t>ML, DES</t>
  </si>
  <si>
    <t>Propose a predictive model-based multi-objective optimization (PMB-MOO) approach to address Hybrid flow shops buffer and resource allocation (HFS-B&amp;RA).</t>
  </si>
  <si>
    <t>The study addresses buffer and resource allocation (B&amp;RA) in high-mix, low-volume hybrid flow shops (HFSs) with feed-forward quality inspection</t>
  </si>
  <si>
    <t>Marine engine production</t>
  </si>
  <si>
    <t>Buffer and resource allocation</t>
  </si>
  <si>
    <t>2025_preliminary_monitoring_and_observation_of_fuel_cell_temperature_characteristics_by_using_nicr-nisi_thin-film_thermocouple</t>
  </si>
  <si>
    <t>2025_product_design_and_development_in_the_digital_era</t>
  </si>
  <si>
    <t>Review</t>
  </si>
  <si>
    <t>2025_scheduling_cluster_tools_for_concurrent_processing:_deep_reinforcement_learning_with_adaptive_search</t>
  </si>
  <si>
    <t>2025_scheduling_single-arm_cluster_tools_with_an_equipment_front-end_module_subject_to_wafer_residency_time_constraints</t>
  </si>
  <si>
    <t>2025_simulation-based_knowledge-driven_optimization_for_efficient_production_sequencing_in_hybrid_flow_shops</t>
  </si>
  <si>
    <t>2025_transfer_line_balancing_problem:_a_comprehensive_review,_classification,_and_research_avenues</t>
  </si>
  <si>
    <t>About high-volume production</t>
  </si>
  <si>
    <t>2025_virtual_reconstruction-based_digital_twin_shop_floor:_theoretical_methodology,_industrial_software,_and_applications</t>
  </si>
  <si>
    <t>2024_a_toolchain_for_automated_control_and_simulation_of_robot_teams_in_carbon-fiber-reinforced_polymers_production</t>
  </si>
  <si>
    <t>Not HMLV nor decision support</t>
  </si>
  <si>
    <t>2024_a_framework_for_data-driven_decision_making_in_advanced_manufacturing_systems:_development_and_implementation</t>
  </si>
  <si>
    <t>Not HMLV (but strong seems 'strong' on decision support)</t>
  </si>
  <si>
    <t>2024_a_structured_digital_twinning_approach_to_improve_decision-making_in_manufacturing_smes</t>
  </si>
  <si>
    <t>2024_application_of_autonomous_mobile_robot_as_a_substitute_for_human_factor_in_order_to_increase_efficiency_and_safety_in_a_company</t>
  </si>
  <si>
    <t>Not HMLV, weak decision support</t>
  </si>
  <si>
    <t>2024_augmenting_monte_carlo_tree_search_for_managing_service_level_agreements</t>
  </si>
  <si>
    <t>2024_balancing_and_scheduling_of_sustainable_flexible_transfer_lines</t>
  </si>
  <si>
    <t>Data cleaning, reccomendation system</t>
  </si>
  <si>
    <t xml:space="preserve">Database, Machine Learning, </t>
  </si>
  <si>
    <t>The paper identifies issues with manufacturing data and proposes a method for dealing with that and  builds a system to give good reccomendations</t>
  </si>
  <si>
    <t>The figures are really bad and it is kind of difficult to understand what it is the system is acutally reccomending to the users and how it is doing it and how it is traiend etc.</t>
  </si>
  <si>
    <t>Building a valuable system for a company and sharing their methodology</t>
  </si>
  <si>
    <t xml:space="preserve">Talking about something other than scheduling </t>
  </si>
  <si>
    <t xml:space="preserve">No comparison with other works which makes sense since it is specialized system </t>
  </si>
  <si>
    <t>yes*</t>
  </si>
  <si>
    <t>This paper talk about building a reccomendation system based on the data that a specific company has stored in their database. The paper is really hard to understand and is not the best quality. It is only accepted because it is a bit unique in a sense.</t>
  </si>
  <si>
    <t>Aluminium components</t>
  </si>
  <si>
    <t>process parameters reccomendation</t>
  </si>
  <si>
    <t>framework</t>
  </si>
  <si>
    <t>2024_design_and_implementation_of_prefabricated_box_flexible_loading_system_based_on_cooperative_robot</t>
  </si>
  <si>
    <t>not about manufacturing</t>
  </si>
  <si>
    <t>Multi agent systems, flexible manufacturing systems</t>
  </si>
  <si>
    <t>Simple paper which is relativly easy to understand, has good explainations, graphics and flow. Has a more unique use cases and methodology. It is in a sence a scheduling paper but not in the sense that they create a schedule and execute it</t>
  </si>
  <si>
    <t xml:space="preserve">Does not provide a lot of implementation details </t>
  </si>
  <si>
    <t>Building a multi agent system for flexible manufacturing</t>
  </si>
  <si>
    <t>Demonstration of how to build a system in simulation</t>
  </si>
  <si>
    <t xml:space="preserve">Case strudy (simulated) </t>
  </si>
  <si>
    <t>Compares with its own baseline</t>
  </si>
  <si>
    <t xml:space="preserve">This paper talks about the process of building a mult agent system for flexible manufactuing line where there are essentially multiple stations where the material can go for processing and the authors try to optimize the machine utilization </t>
  </si>
  <si>
    <t>multi agent systems</t>
  </si>
  <si>
    <t>2024_ensuring_green_production_with_less_co2_emission_with_a_digital_twin_based_scheduling_system</t>
  </si>
  <si>
    <t xml:space="preserve">it is not detailed enought for my to understand, it is basically just an conceptual paper (but with some implementation that is just not clear enough) </t>
  </si>
  <si>
    <t>2024_fuzzy_modeling_and_characterization_of_mechanical_and_biological_properties_of_a_selective_laser_melting_shape:_a_comprehensive_study</t>
  </si>
  <si>
    <t>2024_interpretability_of_rectangle_packing_solutions_with_monte_carlo_tree_search</t>
  </si>
  <si>
    <t xml:space="preserve">This paper talks about balancing energy consumption and productivity, and comes with a solution that brings down the energy usage of a company by a lot while only making a small compromise in terms of productivit </t>
  </si>
  <si>
    <t>Developing a scheduling method for balancing enegy consumption and productivity</t>
  </si>
  <si>
    <t>This paper talks about creating a scheduling strategy for balancing energy consumption and throughput which are two contradictive KPIs.</t>
  </si>
  <si>
    <t>Germany/Sweden</t>
  </si>
  <si>
    <t>sceduling</t>
  </si>
  <si>
    <t>CPU architecture inspiration</t>
  </si>
  <si>
    <t>Really interesting idea and quite novel to take a largely solved problem (CPU) architecture, and use that as inspiration to make a manufacturing line.</t>
  </si>
  <si>
    <t>Unsure if this is geenraly useful for all types of manufacturing systems</t>
  </si>
  <si>
    <t>Using OoO CPU architecture style to create a manufacturing plant layout that is optimized for tackling uncertanties in production</t>
  </si>
  <si>
    <t>This paper talks about using the out-of-order CPU architecture as inspiration for making a manufacturing plant setup that is optimized for dealing with uncertainties such as machine breakdown, arrival of new order etc.</t>
  </si>
  <si>
    <t>plant layout</t>
  </si>
  <si>
    <t>2024_performance_analysis_of_multi-tote_storage_and_retrieval_autonomous_mobile_robot_systems</t>
  </si>
  <si>
    <t>it is about warehousing</t>
  </si>
  <si>
    <t>2024_policy_making_to_encourage_platform_thinking_in_manufacturing:_a_system_dynamics-based_multi-objective_optimization_approach</t>
  </si>
  <si>
    <t>conceptual paper</t>
  </si>
  <si>
    <t>2024_quantum-inspired_computing_technology_in_operations_and_logistics_management</t>
  </si>
  <si>
    <t>2024_recent_progress_in_data-driven_intelligent_modeling_and_optimization_algorithms_for_industrial_processes</t>
  </si>
  <si>
    <t>3 page editorial</t>
  </si>
  <si>
    <t>2024_smart_industrial_information_integration:_a_lightweight_privacy_protection_model_in_an_intelligent_manufacturing_architecture</t>
  </si>
  <si>
    <t>only avaliable upon request</t>
  </si>
  <si>
    <t>2024_the_implications_of_integrating_artificial_intelligence_into_data-driven_decision-making</t>
  </si>
  <si>
    <t>literature review</t>
  </si>
  <si>
    <t>2023_a_novel_porous_bone_scaffold_made_with_3d_bioprinter_using_carboxymethyl_chitosan-hyaluronic_acid_for_knee_repair:_mechanical_and_chemical_properties</t>
  </si>
  <si>
    <t>2023_a_smart_sustainable_decision_support_system_for_water_management_of_power_plants_in_water_stress_regions</t>
  </si>
  <si>
    <t>2023_an_introduction_to_human_resources_for_development_and_innovation,_science_transformation_into_industry_infrastructure_by_china’s_new_universities:_a_case_study_of_green_materials</t>
  </si>
  <si>
    <t>2023_evaluation_of_metal_concentration_(hg,_zn,_cu,_co,_sn,_ag,_cr_and_ni)_in_influent_&amp;_effluent_water_of_dental_clinics'_units</t>
  </si>
  <si>
    <t>2023_fabrication_and_evaluation_of_3d_bio-scaffold_wound_dressings_for_monitoring_of_chronic_ph_wounds_using_fuzzy_logic_analysis</t>
  </si>
  <si>
    <t>2023_global_criterion_optimization_method_for_improving_the_porosity_of_porous_scaffolds_containing_magnetic_nanoparticles:_fabrication_and_finite_element_analysis</t>
  </si>
  <si>
    <t>2023_investigation_of_addition_of_calcium_phosphate_ceramic_to_multilayer_scaffold_for_bone_applications_with_improved_mechanical_properties:_fuzzy_logic_analysis</t>
  </si>
  <si>
    <t>2023_multi-uav_urban_logistics_task_allocation_method_based_on_mcts</t>
  </si>
  <si>
    <t>2023_research_on_human_gesture_recognition_technology_based_on_svm</t>
  </si>
  <si>
    <t>automated guided vehicles</t>
  </si>
  <si>
    <t>Knowledgeble paper about AGV utiliaztion</t>
  </si>
  <si>
    <t>Making a method that optimizes the usage of AGVs in smart manufacturing</t>
  </si>
  <si>
    <t>This paper talks about finding the optimal AGV configuration to achieve the shortest path to deliver materials to produciton units when needed and reducing the amount of redunant AGVs</t>
  </si>
  <si>
    <t>2023_throughput_optimisation_in_reentrant_circular_regular_robot_cells</t>
  </si>
  <si>
    <t>only available upon request</t>
  </si>
  <si>
    <t>2022_a_fuzzy_analysis_for_porous_bioceramic-magnetite_nanoparticles-zirconia_scaffold_prepared_by_space_holder_technique_with_poly_vinyl_pyrrolidone_(pvp)_coating:_investigation_of_mechanical_and_biological_properties</t>
  </si>
  <si>
    <t>2022_a_multi-criteria_approach_to_designing_and_managing_a_renewable_energy_community</t>
  </si>
  <si>
    <t>2022_an_empirical_study_about_the_relationship_between_lean_management_and_industry_4.0</t>
  </si>
  <si>
    <t>2022_blockchain_applications_in_uav-towards_aviation_4.0</t>
  </si>
  <si>
    <t>2022_effect_of_addition_of_layered_double_hydroxides_(ldh)_on_mechanical_and_biological_properties_of_electrospun_polycaprolactone_scaffold</t>
  </si>
  <si>
    <t>2022_fabrication_and_characterization_of_chitosan/gelatin_scaffold_with_bioactive_glass_reinforcement_using_prp_to_regenerate_bone_tissue</t>
  </si>
  <si>
    <t>2022_fabrication_and_characterization_of_synthesized_hydroxyapatite/ethanolamine_for_bone_tissue_engineering_application</t>
  </si>
  <si>
    <t>2022_how_environmentally_sustainable_is_the_on-going_industrial_digitalization?_global_trends_and_a_swedish_perspective</t>
  </si>
  <si>
    <t xml:space="preserve">Autonumous moblie robots, </t>
  </si>
  <si>
    <t>Interesting and novel usage of AMRs to handle material flow between stations. Conducts thorough analysis of when AMRs are suitable for production to increase productivity, flexibility, and ablility to produce HMLV products.</t>
  </si>
  <si>
    <t>No demonstration</t>
  </si>
  <si>
    <t>Making an analytical framework for assessing the successful implementation of AMRs in production and the benefits of doing so</t>
  </si>
  <si>
    <t>Analytical</t>
  </si>
  <si>
    <t>This paper talks about using AMRs as conveyer belts to move materials from one station to the other. The paper proposes an analytical way to assses the benefits of using AMRs in this way.</t>
  </si>
  <si>
    <t>2022_intelligent_warehouse_robot_scheduling_system_using_a_modified_nondominated_sorting_algorithm</t>
  </si>
  <si>
    <t>2022_intelligent_and_fuzzy_uav_transportation_applications_in_aviation_4.0</t>
  </si>
  <si>
    <t>2022_investigating_the_performance_of_tricalcium_phosphate_bioceramic_reinforced_with_titanium_nanoparticles_in_friction_stir_welding_for_coating_of_orthopedic_prostheses_application</t>
  </si>
  <si>
    <t>2022_investigation_of_the_behavior_of_different_ni-ti_dental_files_and_chemical_mechanical_behavior_using_finite_element_analysis</t>
  </si>
  <si>
    <t>2022_porous_scaffold_preparation_analysis_for_knee_joint_using_chitosan-polyvinyl_alcohol-hydroxyapatite_nanoparticles_under_fuzzy_uncertainty</t>
  </si>
  <si>
    <t>2022_urban_planning_and_design_layout_generation_based_on_artificial_intelligence</t>
  </si>
  <si>
    <t>2021_a_porous_sodium_alginate-casio3_polymer_reinforced_with_graphene_nanosheet:_fabrication_and_optimality_analysis</t>
  </si>
  <si>
    <t>2021_an_intelligent_actuator_of_an_indoor_logistics_system_based_on_multi-sensor_fusion</t>
  </si>
  <si>
    <t>automated guided vehivles</t>
  </si>
  <si>
    <t xml:space="preserve">3D simulations, </t>
  </si>
  <si>
    <t xml:space="preserve">Cool paper talking about how to transition from manually moving crates around using forklifts to using AMRs instaead to decrease the workload on the humans. </t>
  </si>
  <si>
    <t>Unclear how to approach has been applied</t>
  </si>
  <si>
    <t>Using 3D simulations to plan the transition from manual transportation of parts to automated</t>
  </si>
  <si>
    <t>Food production</t>
  </si>
  <si>
    <t>2020_optimal_capacity_and_operation_design_of_a_robot_logistics_system_for_the_hotel_industry</t>
  </si>
  <si>
    <t>2020</t>
  </si>
  <si>
    <t>2020_scheduling_mobile_robots_in_flexible_manufacturing_system_by_an_adaptive_large_neighborhood_search</t>
  </si>
  <si>
    <t>2020_synergic_effects_of_magnetic_nanoparticles_on_hyperthermia-based_therapy_and_controlled_drug_delivery_for_bone_substitute_application</t>
  </si>
  <si>
    <t>2019_hybrid_optimisation_approach_for_sequencing_and_assignment_decision-making_in_reconfigurable_assembly_lines</t>
  </si>
  <si>
    <t>2019</t>
  </si>
  <si>
    <t>2019_multi-mobile_robots_and_multi-trips_feeding_scheduling_problem_in_smart_manufacturing_system:_an_improved_hybrid_genetic_algorithm</t>
  </si>
  <si>
    <t>2019_process_sequencing_for_a_pick-and-place_robot_in_a_real-life_flexible_robotic_cell</t>
  </si>
  <si>
    <t>2019_time_minimization_in_flexible_robotic_cells_considering_intermediate_input_buffers:_a_comparative_study_of_three_well-known_problems</t>
  </si>
  <si>
    <t>too specific problem</t>
  </si>
  <si>
    <t>2018_a_mathematical_model_and_simulated_annealing_algorithm_for_solving_the_cyclic_scheduling_problem_of_a_flexible_robotic_cell</t>
  </si>
  <si>
    <t>2018</t>
  </si>
  <si>
    <t>2018_a_novel_competitive_hybrid_approach_based_on_grouping_evolution_strategy_algorithm_for_solving_u-shaped_assembly_line_balancing_problems</t>
  </si>
  <si>
    <t>2018_trade-off_between_process_scheduling_and_production_cost_in_cyclic_flexible_robotic_cells</t>
  </si>
</sst>
</file>

<file path=xl/styles.xml><?xml version="1.0" encoding="utf-8"?>
<styleSheet xmlns="http://schemas.openxmlformats.org/spreadsheetml/2006/main" xmlns:x14ac="http://schemas.microsoft.com/office/spreadsheetml/2009/9/ac" xmlns:mc="http://schemas.openxmlformats.org/markup-compatibility/2006">
  <fonts count="125">
    <font>
      <sz val="11.0"/>
      <color theme="1"/>
      <name val="Verdana"/>
      <scheme val="minor"/>
    </font>
    <font>
      <b/>
      <sz val="12.0"/>
      <color rgb="FF000000"/>
      <name val="Calibri"/>
    </font>
    <font/>
    <font>
      <b/>
      <color theme="1"/>
      <name val="Verdana"/>
      <scheme val="minor"/>
    </font>
    <font>
      <sz val="12.0"/>
      <color rgb="FF000000"/>
      <name val="Calibri"/>
    </font>
    <font>
      <color theme="1"/>
      <name val="Verdana"/>
      <scheme val="minor"/>
    </font>
    <font>
      <sz val="11.0"/>
      <color theme="1"/>
      <name val="Calibri"/>
    </font>
    <font>
      <sz val="16.0"/>
      <color theme="1"/>
      <name val="Verdana"/>
      <scheme val="minor"/>
    </font>
    <font>
      <sz val="11.0"/>
      <color rgb="FF000000"/>
      <name val="Calibri"/>
    </font>
    <font>
      <b/>
      <sz val="11.0"/>
      <color rgb="FF000000"/>
      <name val="Calibri"/>
    </font>
    <font>
      <b/>
      <sz val="11.0"/>
      <color theme="1"/>
      <name val="Calibri"/>
    </font>
    <font>
      <color rgb="FF1F1F1F"/>
      <name val="ElsevierGulliver"/>
    </font>
    <font>
      <b/>
      <sz val="11.0"/>
      <color rgb="FFFF0000"/>
      <name val="Calibri"/>
    </font>
    <font>
      <b/>
      <sz val="11.0"/>
      <color rgb="FFFFC000"/>
      <name val="Calibri"/>
    </font>
    <font>
      <b/>
      <sz val="11.0"/>
      <color rgb="FF434343"/>
      <name val="Calibri"/>
    </font>
    <font>
      <u/>
      <color rgb="FF0000FF"/>
    </font>
    <font>
      <sz val="11.0"/>
      <color theme="1"/>
      <name val="Verdana"/>
    </font>
    <font>
      <u/>
      <color rgb="FF0000FF"/>
    </font>
    <font>
      <u/>
      <sz val="11.0"/>
      <color rgb="FF000000"/>
      <name val="Calibri"/>
    </font>
    <font>
      <color rgb="FFEA9999"/>
      <name val="Verdana"/>
      <scheme val="minor"/>
    </font>
    <font>
      <u/>
      <color rgb="FF0000FF"/>
    </font>
    <font>
      <u/>
      <color rgb="FF0000FF"/>
    </font>
    <font>
      <u/>
      <color rgb="FF0000FF"/>
    </font>
    <font>
      <u/>
      <sz val="11.0"/>
      <color rgb="FF0000FF"/>
      <name val="Calibri"/>
    </font>
    <font>
      <u/>
      <sz val="11.0"/>
      <color rgb="FF000000"/>
      <name val="Calibri"/>
    </font>
    <font>
      <u/>
      <sz val="11.0"/>
      <color rgb="FF000000"/>
      <name val="Calibri"/>
    </font>
    <font>
      <u/>
      <sz val="11.0"/>
      <color rgb="FF000000"/>
      <name val="Calibri"/>
    </font>
    <font>
      <u/>
      <sz val="11.0"/>
      <color rgb="FF000000"/>
      <name val="Calibri"/>
    </font>
    <font>
      <color rgb="FF000000"/>
      <name val="Verdana"/>
      <scheme val="minor"/>
    </font>
    <font>
      <u/>
      <color rgb="FF0000FF"/>
    </font>
    <font>
      <u/>
      <color rgb="FF0000FF"/>
    </font>
    <font>
      <u/>
      <sz val="11.0"/>
      <color rgb="FF0000FF"/>
      <name val="Calibri"/>
    </font>
    <font>
      <u/>
      <color rgb="FF0000FF"/>
      <name val="Verdana"/>
      <scheme val="minor"/>
    </font>
    <font>
      <u/>
      <sz val="11.0"/>
      <color rgb="FF0000FF"/>
      <name val="Calibri"/>
    </font>
    <font>
      <u/>
      <color rgb="FF0000FF"/>
    </font>
    <font>
      <u/>
      <color rgb="FF0000FF"/>
    </font>
    <font>
      <color theme="1"/>
      <name val="Calibri"/>
    </font>
    <font>
      <u/>
      <sz val="11.0"/>
      <color rgb="FF0000FF"/>
      <name val="Calibri"/>
    </font>
    <font>
      <u/>
      <sz val="11.0"/>
      <color rgb="FF0000FF"/>
      <name val="Calibri"/>
    </font>
    <font>
      <u/>
      <sz val="11.0"/>
      <color rgb="FF0000FF"/>
      <name val="Calibri"/>
    </font>
    <font>
      <u/>
      <sz val="11.0"/>
      <color rgb="FF0000FF"/>
      <name val="Calibri"/>
    </font>
    <font>
      <u/>
      <sz val="11.0"/>
      <color rgb="FF000000"/>
      <name val="Calibri"/>
    </font>
    <font>
      <u/>
      <sz val="11.0"/>
      <color rgb="FF000000"/>
      <name val="Calibri"/>
    </font>
    <font>
      <sz val="11.0"/>
      <color rgb="FF000000"/>
      <name val="Verdana"/>
      <scheme val="minor"/>
    </font>
    <font>
      <u/>
      <sz val="11.0"/>
      <color rgb="FF0000FF"/>
      <name val="Calibri"/>
    </font>
    <font>
      <u/>
      <sz val="11.0"/>
      <color rgb="FF0000FF"/>
      <name val="Calibri"/>
    </font>
    <font>
      <u/>
      <sz val="11.0"/>
      <color rgb="FF0000FF"/>
      <name val="Calibri"/>
    </font>
    <font>
      <u/>
      <sz val="11.0"/>
      <color rgb="FF0000FF"/>
      <name val="Calibri"/>
    </font>
    <font>
      <u/>
      <color rgb="FF27278B"/>
    </font>
    <font>
      <u/>
      <sz val="11.0"/>
      <color rgb="FF000000"/>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00FF"/>
    </font>
    <font>
      <u/>
      <color rgb="FF0000FF"/>
    </font>
    <font>
      <color rgb="FF424242"/>
      <name val="Verdana"/>
      <scheme val="minor"/>
    </font>
    <font>
      <u/>
      <color theme="1"/>
    </font>
    <font>
      <u/>
      <color theme="1"/>
    </font>
    <font>
      <u/>
      <color theme="1"/>
    </font>
    <font>
      <u/>
      <color rgb="FF424242"/>
    </font>
    <font>
      <u/>
      <sz val="11.0"/>
      <color theme="1"/>
      <name val="Calibri"/>
    </font>
    <font>
      <u/>
      <sz val="11.0"/>
      <color rgb="FF0000FF"/>
      <name val="Calibri"/>
    </font>
    <font>
      <sz val="11.0"/>
      <color rgb="FF424242"/>
      <name val="Verdana"/>
      <scheme val="minor"/>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00FF"/>
    </font>
    <font>
      <b/>
      <sz val="12.0"/>
      <color rgb="FF8890A1"/>
      <name val="Arial"/>
    </font>
    <font>
      <color rgb="FF666666"/>
      <name val="Arial"/>
    </font>
    <font>
      <b/>
      <sz val="11.0"/>
      <color theme="1"/>
      <name val="Verdana"/>
    </font>
    <font>
      <color rgb="FF222222"/>
      <name val="Arial"/>
    </font>
    <font>
      <sz val="14.0"/>
      <color rgb="FF333333"/>
      <name val="Georgia"/>
    </font>
    <font>
      <sz val="12.0"/>
      <color theme="1"/>
      <name val="Calibri"/>
    </font>
    <font>
      <sz val="11.0"/>
      <color rgb="FF000000"/>
      <name val="&quot;Aptos Narrow&quot;"/>
    </font>
    <font>
      <u/>
      <sz val="11.0"/>
      <color rgb="FF000000"/>
      <name val="Arial"/>
    </font>
    <font>
      <u/>
      <sz val="11.0"/>
      <color rgb="FF000000"/>
      <name val="&quot;Aptos Narrow&quot;"/>
    </font>
    <font>
      <sz val="11.0"/>
      <color rgb="FF000000"/>
      <name val="Arial"/>
    </font>
    <font>
      <u/>
      <sz val="11.0"/>
      <color rgb="FF000000"/>
      <name val="Arial"/>
    </font>
    <font>
      <sz val="11.0"/>
      <color rgb="FF1155CC"/>
      <name val="Calibri"/>
    </font>
    <font>
      <strike/>
      <sz val="11.0"/>
      <color theme="1"/>
      <name val="Calibri"/>
    </font>
    <font>
      <u/>
      <sz val="11.0"/>
      <color rgb="FF000000"/>
      <name val="Calibri"/>
    </font>
    <font>
      <sz val="11.0"/>
      <color rgb="FF999999"/>
      <name val="Calibri"/>
    </font>
    <font>
      <sz val="11.0"/>
      <color rgb="FF999999"/>
      <name val="Arial"/>
    </font>
    <font>
      <u/>
      <color rgb="FF0000FF"/>
      <name val="Verdana"/>
      <scheme val="minor"/>
    </font>
    <font>
      <sz val="10.0"/>
      <color rgb="FF000000"/>
      <name val="Arial"/>
    </font>
    <font>
      <b/>
      <sz val="11.0"/>
      <color rgb="FFFFFFFF"/>
      <name val="Calibri"/>
    </font>
    <font>
      <u/>
      <color rgb="FF0000FF"/>
    </font>
    <font>
      <sz val="11.0"/>
      <color rgb="FFFF0000"/>
      <name val="Calibri"/>
    </font>
    <font>
      <u/>
      <color rgb="FF0000FF"/>
    </font>
    <font>
      <u/>
      <color rgb="FF0000FF"/>
    </font>
    <font>
      <strike/>
      <sz val="11.0"/>
      <color rgb="FF000000"/>
      <name val="Calibri"/>
    </font>
    <font>
      <u/>
      <color rgb="FF0000FF"/>
    </font>
    <font>
      <u/>
      <sz val="11.0"/>
      <color rgb="FF0000FF"/>
      <name val="Calibri"/>
    </font>
    <font>
      <u/>
      <sz val="11.0"/>
      <color rgb="FF0000FF"/>
      <name val="Calibri"/>
    </font>
    <font>
      <u/>
      <sz val="11.0"/>
      <color rgb="FF0000FF"/>
      <name val="Calibri"/>
    </font>
    <font>
      <u/>
      <sz val="11.0"/>
      <color rgb="FF0000FF"/>
      <name val="Calibri"/>
    </font>
    <font>
      <u/>
      <sz val="11.0"/>
      <color rgb="FF000000"/>
      <name val="Calibri"/>
    </font>
    <font>
      <u/>
      <sz val="11.0"/>
      <color rgb="FF0000FF"/>
      <name val="Calibri"/>
    </font>
    <font>
      <u/>
      <sz val="11.0"/>
      <color rgb="FF0000FF"/>
      <name val="Calibri"/>
    </font>
    <font>
      <u/>
      <sz val="11.0"/>
      <color rgb="FF0000FF"/>
      <name val="Calibri"/>
    </font>
    <font>
      <u/>
      <color rgb="FF0000FF"/>
    </font>
    <font>
      <u/>
      <color rgb="FF0000FF"/>
    </font>
    <font>
      <u/>
      <color rgb="FF0000FF"/>
    </font>
    <font>
      <u/>
      <color rgb="FF0000FF"/>
    </font>
    <font>
      <sz val="11.0"/>
      <color theme="1"/>
      <name val="Arial"/>
    </font>
    <font>
      <u/>
      <sz val="11.0"/>
      <color rgb="FF0000FF"/>
      <name val="Arial"/>
    </font>
    <font>
      <color rgb="FFFF00FF"/>
      <name val="Verdana"/>
      <scheme val="minor"/>
    </font>
    <font>
      <u/>
      <color rgb="FFFF00FF"/>
    </font>
    <font>
      <u/>
      <color rgb="FF0000FF"/>
    </font>
    <font>
      <u/>
      <sz val="11.0"/>
      <color rgb="FF999999"/>
      <name val="Calibri"/>
    </font>
    <font>
      <u/>
      <sz val="11.0"/>
      <color rgb="FF000000"/>
      <name val="Calibri"/>
    </font>
    <font>
      <u/>
      <sz val="11.0"/>
      <color rgb="FF000000"/>
      <name val="Calibri"/>
    </font>
    <font>
      <sz val="25.0"/>
      <color theme="1"/>
      <name val="Verdana"/>
      <scheme val="minor"/>
    </font>
    <font>
      <sz val="14.0"/>
      <color theme="1"/>
      <name val="Verdana"/>
      <scheme val="minor"/>
    </font>
    <font>
      <sz val="11.0"/>
      <color rgb="FF000000"/>
      <name val="Verdana"/>
    </font>
    <font>
      <b/>
      <sz val="12.0"/>
      <color theme="1"/>
      <name val="Calibri"/>
    </font>
    <font>
      <color theme="1"/>
      <name val="Arial"/>
    </font>
    <font>
      <u/>
      <color rgb="FF0000FF"/>
      <name val="Arial"/>
    </font>
    <font>
      <u/>
      <color rgb="FF0000FF"/>
      <name val="Arial"/>
    </font>
  </fonts>
  <fills count="24">
    <fill>
      <patternFill patternType="none"/>
    </fill>
    <fill>
      <patternFill patternType="lightGray"/>
    </fill>
    <fill>
      <patternFill patternType="solid">
        <fgColor rgb="FFCCCCCC"/>
        <bgColor rgb="FFCCCCCC"/>
      </patternFill>
    </fill>
    <fill>
      <patternFill patternType="solid">
        <fgColor rgb="FFD9D9D9"/>
        <bgColor rgb="FFD9D9D9"/>
      </patternFill>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FF9900"/>
        <bgColor rgb="FFFF9900"/>
      </patternFill>
    </fill>
    <fill>
      <patternFill patternType="solid">
        <fgColor rgb="FF4A86E8"/>
        <bgColor rgb="FF4A86E8"/>
      </patternFill>
    </fill>
    <fill>
      <patternFill patternType="solid">
        <fgColor rgb="FFFFA500"/>
        <bgColor rgb="FFFFA500"/>
      </patternFill>
    </fill>
    <fill>
      <patternFill patternType="solid">
        <fgColor rgb="FFFFFFFF"/>
        <bgColor rgb="FFFFFFFF"/>
      </patternFill>
    </fill>
    <fill>
      <patternFill patternType="solid">
        <fgColor rgb="FFF4CCCC"/>
        <bgColor rgb="FFF4CCCC"/>
      </patternFill>
    </fill>
    <fill>
      <patternFill patternType="solid">
        <fgColor rgb="FF4472C4"/>
        <bgColor rgb="FF4472C4"/>
      </patternFill>
    </fill>
    <fill>
      <patternFill patternType="solid">
        <fgColor rgb="FFA9D08E"/>
        <bgColor rgb="FFA9D08E"/>
      </patternFill>
    </fill>
    <fill>
      <patternFill patternType="solid">
        <fgColor rgb="FFF8CBAD"/>
        <bgColor rgb="FFF8CBAD"/>
      </patternFill>
    </fill>
    <fill>
      <patternFill patternType="solid">
        <fgColor rgb="FFFFD966"/>
        <bgColor rgb="FFFFD966"/>
      </patternFill>
    </fill>
    <fill>
      <patternFill patternType="solid">
        <fgColor rgb="FF9DC3E6"/>
        <bgColor rgb="FF9DC3E6"/>
      </patternFill>
    </fill>
    <fill>
      <patternFill patternType="solid">
        <fgColor rgb="FF9900FF"/>
        <bgColor rgb="FF9900FF"/>
      </patternFill>
    </fill>
    <fill>
      <patternFill patternType="solid">
        <fgColor rgb="FFFF00FF"/>
        <bgColor rgb="FFFF00FF"/>
      </patternFill>
    </fill>
    <fill>
      <patternFill patternType="solid">
        <fgColor rgb="FF356854"/>
        <bgColor rgb="FF356854"/>
      </patternFill>
    </fill>
    <fill>
      <patternFill patternType="solid">
        <fgColor rgb="FF00FFFF"/>
        <bgColor rgb="FF00FFFF"/>
      </patternFill>
    </fill>
    <fill>
      <patternFill patternType="solid">
        <fgColor rgb="FFF3F3F3"/>
        <bgColor rgb="FFF3F3F3"/>
      </patternFill>
    </fill>
    <fill>
      <patternFill patternType="solid">
        <fgColor theme="8"/>
        <bgColor theme="8"/>
      </patternFill>
    </fill>
    <fill>
      <patternFill patternType="solid">
        <fgColor rgb="FFFF3300"/>
        <bgColor rgb="FFFF3300"/>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top style="thin">
        <color rgb="FF000000"/>
      </top>
    </border>
    <border>
      <top style="thin">
        <color rgb="FF44B3E1"/>
      </top>
      <bottom style="thin">
        <color rgb="FF44B3E1"/>
      </bottom>
    </border>
    <border>
      <top style="thin">
        <color rgb="FF44B3E1"/>
      </top>
    </border>
  </borders>
  <cellStyleXfs count="1">
    <xf borderId="0" fillId="0" fontId="0" numFmtId="0" applyAlignment="1" applyFont="1"/>
  </cellStyleXfs>
  <cellXfs count="495">
    <xf borderId="0" fillId="0" fontId="0" numFmtId="0" xfId="0" applyAlignment="1" applyFont="1">
      <alignment readingOrder="0" shrinkToFit="0" vertical="bottom" wrapText="0"/>
    </xf>
    <xf borderId="1" fillId="0" fontId="1" numFmtId="0" xfId="0" applyAlignment="1" applyBorder="1" applyFont="1">
      <alignment readingOrder="0" shrinkToFit="0" vertical="bottom" wrapText="0"/>
    </xf>
    <xf borderId="2" fillId="0" fontId="1" numFmtId="0" xfId="0" applyAlignment="1" applyBorder="1" applyFont="1">
      <alignment horizontal="center" readingOrder="0" shrinkToFit="0" vertical="bottom" wrapText="0"/>
    </xf>
    <xf borderId="3" fillId="0" fontId="2" numFmtId="0" xfId="0" applyBorder="1" applyFont="1"/>
    <xf borderId="4" fillId="0" fontId="2" numFmtId="0" xfId="0" applyBorder="1" applyFont="1"/>
    <xf borderId="0" fillId="0" fontId="3" numFmtId="0" xfId="0" applyAlignment="1" applyFont="1">
      <alignment horizontal="center" readingOrder="0"/>
    </xf>
    <xf borderId="1" fillId="2" fontId="1" numFmtId="0" xfId="0" applyAlignment="1" applyBorder="1" applyFill="1" applyFont="1">
      <alignment readingOrder="0" shrinkToFit="0" vertical="bottom" wrapText="0"/>
    </xf>
    <xf borderId="1" fillId="3" fontId="1" numFmtId="0" xfId="0" applyAlignment="1" applyBorder="1" applyFill="1" applyFont="1">
      <alignment readingOrder="0" shrinkToFit="0" vertical="bottom" wrapText="0"/>
    </xf>
    <xf borderId="1" fillId="0" fontId="4" numFmtId="0" xfId="0" applyAlignment="1" applyBorder="1" applyFont="1">
      <alignment readingOrder="0" shrinkToFit="0" vertical="bottom" wrapText="0"/>
    </xf>
    <xf borderId="0" fillId="4" fontId="5" numFmtId="0" xfId="0" applyFill="1" applyFont="1"/>
    <xf borderId="0" fillId="4" fontId="6" numFmtId="0" xfId="0" applyAlignment="1" applyFont="1">
      <alignment vertical="bottom"/>
    </xf>
    <xf borderId="0" fillId="5" fontId="7" numFmtId="0" xfId="0" applyAlignment="1" applyFill="1" applyFont="1">
      <alignment horizontal="center" readingOrder="0" textRotation="180" vertical="center"/>
    </xf>
    <xf borderId="0" fillId="6" fontId="7" numFmtId="0" xfId="0" applyAlignment="1" applyFill="1" applyFont="1">
      <alignment horizontal="center" readingOrder="0" textRotation="180" vertical="center"/>
    </xf>
    <xf borderId="0" fillId="7" fontId="5" numFmtId="0" xfId="0" applyFill="1" applyFont="1"/>
    <xf borderId="0" fillId="5" fontId="5" numFmtId="0" xfId="0" applyFont="1"/>
    <xf borderId="0" fillId="8" fontId="5" numFmtId="0" xfId="0" applyFill="1" applyFont="1"/>
    <xf borderId="5" fillId="0" fontId="5" numFmtId="0" xfId="0" applyBorder="1" applyFont="1"/>
    <xf borderId="5" fillId="0" fontId="2" numFmtId="0" xfId="0" applyBorder="1" applyFont="1"/>
    <xf borderId="5" fillId="8" fontId="5" numFmtId="0" xfId="0" applyBorder="1" applyFont="1"/>
    <xf borderId="6" fillId="0" fontId="8" numFmtId="0" xfId="0" applyAlignment="1" applyBorder="1" applyFont="1">
      <alignment readingOrder="0" shrinkToFit="0" vertical="bottom" wrapText="0"/>
    </xf>
    <xf borderId="5" fillId="0" fontId="5" numFmtId="0" xfId="0" applyAlignment="1" applyBorder="1" applyFont="1">
      <alignment readingOrder="0"/>
    </xf>
    <xf borderId="0" fillId="0" fontId="9" numFmtId="0" xfId="0" applyAlignment="1" applyFont="1">
      <alignment readingOrder="0" shrinkToFit="0" vertical="bottom" wrapText="0"/>
    </xf>
    <xf borderId="0" fillId="8" fontId="8" numFmtId="0" xfId="0" applyAlignment="1" applyFont="1">
      <alignment readingOrder="0" shrinkToFit="0" vertical="bottom" wrapText="0"/>
    </xf>
    <xf borderId="0" fillId="9" fontId="8" numFmtId="0" xfId="0" applyAlignment="1" applyFill="1" applyFont="1">
      <alignment readingOrder="0" shrinkToFit="0" vertical="bottom" wrapText="0"/>
    </xf>
    <xf borderId="0" fillId="4" fontId="8" numFmtId="0" xfId="0" applyAlignment="1" applyFont="1">
      <alignment readingOrder="0" shrinkToFit="0" vertical="bottom" wrapText="0"/>
    </xf>
    <xf borderId="0" fillId="5" fontId="8" numFmtId="0" xfId="0" applyAlignment="1" applyFont="1">
      <alignment readingOrder="0" shrinkToFit="0" vertical="bottom" wrapText="0"/>
    </xf>
    <xf borderId="0" fillId="0" fontId="5" numFmtId="0" xfId="0" applyAlignment="1" applyFont="1">
      <alignment readingOrder="0"/>
    </xf>
    <xf borderId="0" fillId="0" fontId="5" numFmtId="0" xfId="0" applyAlignment="1" applyFont="1">
      <alignment readingOrder="0" shrinkToFit="0" wrapText="1"/>
    </xf>
    <xf borderId="0" fillId="10" fontId="5" numFmtId="0" xfId="0" applyAlignment="1" applyFill="1" applyFont="1">
      <alignment readingOrder="0"/>
    </xf>
    <xf borderId="1" fillId="0" fontId="10" numFmtId="0" xfId="0" applyAlignment="1" applyBorder="1" applyFont="1">
      <alignment horizontal="center" vertical="top"/>
    </xf>
    <xf borderId="1" fillId="0" fontId="10" numFmtId="49" xfId="0" applyAlignment="1" applyBorder="1" applyFont="1" applyNumberFormat="1">
      <alignment horizontal="center" vertical="top"/>
    </xf>
    <xf borderId="7" fillId="0" fontId="10" numFmtId="0" xfId="0" applyAlignment="1" applyBorder="1" applyFont="1">
      <alignment horizontal="center" vertical="top"/>
    </xf>
    <xf borderId="8" fillId="0" fontId="10" numFmtId="0" xfId="0" applyAlignment="1" applyBorder="1" applyFont="1">
      <alignment horizontal="center" shrinkToFit="0" vertical="top" wrapText="1"/>
    </xf>
    <xf borderId="8" fillId="0" fontId="10" numFmtId="0" xfId="0" applyAlignment="1" applyBorder="1" applyFont="1">
      <alignment horizontal="center" vertical="top"/>
    </xf>
    <xf borderId="0" fillId="0" fontId="10" numFmtId="0" xfId="0" applyAlignment="1" applyFont="1">
      <alignment horizontal="center" vertical="top"/>
    </xf>
    <xf borderId="0" fillId="0" fontId="10" numFmtId="0" xfId="0" applyAlignment="1" applyFont="1">
      <alignment horizontal="center"/>
    </xf>
    <xf borderId="0" fillId="0" fontId="10" numFmtId="0" xfId="0" applyFont="1"/>
    <xf borderId="0" fillId="0" fontId="5" numFmtId="0" xfId="0" applyFont="1"/>
    <xf borderId="0" fillId="0" fontId="5" numFmtId="49" xfId="0" applyFont="1" applyNumberFormat="1"/>
    <xf borderId="0" fillId="0" fontId="8" numFmtId="0" xfId="0" applyAlignment="1" applyFont="1">
      <alignment readingOrder="0" shrinkToFit="0" vertical="bottom" wrapText="0"/>
    </xf>
    <xf quotePrefix="1" borderId="0" fillId="0" fontId="8" numFmtId="49" xfId="0" applyAlignment="1" applyFont="1" applyNumberFormat="1">
      <alignment readingOrder="0" shrinkToFit="0" vertical="bottom" wrapText="0"/>
    </xf>
    <xf borderId="0" fillId="0" fontId="8" numFmtId="0" xfId="0" applyAlignment="1" applyFont="1">
      <alignment shrinkToFit="0" vertical="bottom" wrapText="0"/>
    </xf>
    <xf borderId="0" fillId="10" fontId="8" numFmtId="0" xfId="0" applyAlignment="1" applyFont="1">
      <alignment readingOrder="0" shrinkToFit="0" vertical="bottom" wrapText="0"/>
    </xf>
    <xf borderId="0" fillId="0" fontId="11" numFmtId="0" xfId="0" applyAlignment="1" applyFont="1">
      <alignment readingOrder="0"/>
    </xf>
    <xf borderId="9" fillId="0" fontId="8" numFmtId="0" xfId="0" applyAlignment="1" applyBorder="1" applyFont="1">
      <alignment readingOrder="0" shrinkToFit="0" vertical="bottom" wrapText="0"/>
    </xf>
    <xf borderId="10" fillId="0" fontId="8" numFmtId="0" xfId="0" applyAlignment="1" applyBorder="1" applyFont="1">
      <alignment readingOrder="0" shrinkToFit="0" vertical="bottom" wrapText="0"/>
    </xf>
    <xf borderId="11" fillId="0" fontId="8" numFmtId="0" xfId="0" applyAlignment="1" applyBorder="1" applyFont="1">
      <alignment readingOrder="0" shrinkToFit="0" vertical="bottom" wrapText="0"/>
    </xf>
    <xf borderId="12" fillId="0" fontId="8" numFmtId="0" xfId="0" applyAlignment="1" applyBorder="1" applyFont="1">
      <alignment readingOrder="0" shrinkToFit="0" vertical="bottom" wrapText="0"/>
    </xf>
    <xf borderId="11" fillId="0" fontId="5" numFmtId="0" xfId="0" applyBorder="1" applyFont="1"/>
    <xf borderId="12" fillId="0" fontId="11" numFmtId="0" xfId="0" applyAlignment="1" applyBorder="1" applyFont="1">
      <alignment readingOrder="0"/>
    </xf>
    <xf borderId="13" fillId="0" fontId="5" numFmtId="0" xfId="0" applyBorder="1" applyFont="1"/>
    <xf borderId="6" fillId="0" fontId="5" numFmtId="0" xfId="0" applyAlignment="1" applyBorder="1" applyFont="1">
      <alignment readingOrder="0"/>
    </xf>
    <xf borderId="0" fillId="0" fontId="10" numFmtId="0" xfId="0" applyAlignment="1" applyFont="1">
      <alignment horizontal="center" readingOrder="0" shrinkToFit="0" vertical="top" wrapText="1"/>
    </xf>
    <xf borderId="1" fillId="0" fontId="10" numFmtId="0" xfId="0" applyAlignment="1" applyBorder="1" applyFont="1">
      <alignment horizontal="center" readingOrder="0" shrinkToFit="0" vertical="top" wrapText="1"/>
    </xf>
    <xf borderId="1" fillId="0" fontId="10" numFmtId="0" xfId="0" applyAlignment="1" applyBorder="1" applyFont="1">
      <alignment horizontal="center" shrinkToFit="0" vertical="top" wrapText="1"/>
    </xf>
    <xf borderId="1" fillId="0" fontId="9" numFmtId="0" xfId="0" applyAlignment="1" applyBorder="1" applyFont="1">
      <alignment horizontal="center" readingOrder="0" shrinkToFit="0" vertical="top" wrapText="1"/>
    </xf>
    <xf borderId="7" fillId="0" fontId="12" numFmtId="0" xfId="0" applyAlignment="1" applyBorder="1" applyFont="1">
      <alignment horizontal="center" shrinkToFit="0" vertical="top" wrapText="1"/>
    </xf>
    <xf borderId="7" fillId="0" fontId="12" numFmtId="0" xfId="0" applyAlignment="1" applyBorder="1" applyFont="1">
      <alignment horizontal="center" readingOrder="0" shrinkToFit="0" vertical="top" wrapText="1"/>
    </xf>
    <xf borderId="1" fillId="0" fontId="13" numFmtId="0" xfId="0" applyAlignment="1" applyBorder="1" applyFont="1">
      <alignment horizontal="center" readingOrder="0" shrinkToFit="0" vertical="top" wrapText="1"/>
    </xf>
    <xf borderId="1" fillId="0" fontId="13" numFmtId="0" xfId="0" applyAlignment="1" applyBorder="1" applyFont="1">
      <alignment horizontal="center" readingOrder="0" shrinkToFit="0" vertical="top" wrapText="0"/>
    </xf>
    <xf borderId="7" fillId="0" fontId="13" numFmtId="0" xfId="0" applyAlignment="1" applyBorder="1" applyFont="1">
      <alignment horizontal="center" readingOrder="0" vertical="top"/>
    </xf>
    <xf borderId="6" fillId="0" fontId="13" numFmtId="0" xfId="0" applyAlignment="1" applyBorder="1" applyFont="1">
      <alignment horizontal="left" readingOrder="0" vertical="top"/>
    </xf>
    <xf borderId="6" fillId="0" fontId="13" numFmtId="0" xfId="0" applyAlignment="1" applyBorder="1" applyFont="1">
      <alignment horizontal="center" readingOrder="0" vertical="top"/>
    </xf>
    <xf borderId="7" fillId="0" fontId="13" numFmtId="0" xfId="0" applyAlignment="1" applyBorder="1" applyFont="1">
      <alignment horizontal="center" readingOrder="0" shrinkToFit="0" vertical="top" wrapText="0"/>
    </xf>
    <xf borderId="0" fillId="0" fontId="13" numFmtId="0" xfId="0" applyAlignment="1" applyFont="1">
      <alignment horizontal="center" readingOrder="0" shrinkToFit="0" vertical="top" wrapText="1"/>
    </xf>
    <xf borderId="0" fillId="0" fontId="13" numFmtId="0" xfId="0" applyAlignment="1" applyFont="1">
      <alignment horizontal="center" readingOrder="0" shrinkToFit="0" vertical="top" wrapText="0"/>
    </xf>
    <xf borderId="0" fillId="0" fontId="14" numFmtId="0" xfId="0" applyAlignment="1" applyFont="1">
      <alignment horizontal="center" readingOrder="0" shrinkToFit="0" vertical="top" wrapText="1"/>
    </xf>
    <xf borderId="0" fillId="0" fontId="5" numFmtId="0" xfId="0" applyAlignment="1" applyFont="1">
      <alignment readingOrder="0" shrinkToFit="0" wrapText="0"/>
    </xf>
    <xf borderId="0" fillId="0" fontId="5" numFmtId="0" xfId="0" applyAlignment="1" applyFont="1">
      <alignment shrinkToFit="0" wrapText="0"/>
    </xf>
    <xf borderId="0" fillId="0" fontId="15" numFmtId="0" xfId="0" applyAlignment="1" applyFont="1">
      <alignment readingOrder="0" shrinkToFit="0" wrapText="0"/>
    </xf>
    <xf borderId="0" fillId="0" fontId="6" numFmtId="0" xfId="0" applyAlignment="1" applyFont="1">
      <alignment vertical="bottom"/>
    </xf>
    <xf borderId="0" fillId="0" fontId="8" numFmtId="0" xfId="0" applyAlignment="1" applyFont="1">
      <alignment readingOrder="0" shrinkToFit="0" vertical="bottom" wrapText="0"/>
    </xf>
    <xf borderId="0" fillId="0" fontId="6" numFmtId="0" xfId="0" applyAlignment="1" applyFont="1">
      <alignment readingOrder="0" vertical="bottom"/>
    </xf>
    <xf borderId="0" fillId="0" fontId="8" numFmtId="0" xfId="0" applyAlignment="1" applyFont="1">
      <alignment readingOrder="0" shrinkToFit="0" vertical="bottom" wrapText="0"/>
    </xf>
    <xf borderId="0" fillId="0" fontId="16" numFmtId="0" xfId="0" applyAlignment="1" applyFont="1">
      <alignment readingOrder="0" vertical="bottom"/>
    </xf>
    <xf borderId="0" fillId="0" fontId="8" numFmtId="0" xfId="0" applyAlignment="1" applyFont="1">
      <alignment horizontal="left" readingOrder="0" shrinkToFit="0" vertical="bottom" wrapText="0"/>
    </xf>
    <xf borderId="0" fillId="11" fontId="5" numFmtId="0" xfId="0" applyAlignment="1" applyFill="1" applyFont="1">
      <alignment readingOrder="0" shrinkToFit="0" wrapText="0"/>
    </xf>
    <xf borderId="0" fillId="10" fontId="5" numFmtId="0" xfId="0" applyAlignment="1" applyFont="1">
      <alignment readingOrder="0" shrinkToFit="0" wrapText="0"/>
    </xf>
    <xf borderId="0" fillId="0" fontId="17" numFmtId="0" xfId="0" applyAlignment="1" applyFont="1">
      <alignment readingOrder="0" shrinkToFit="0" wrapText="0"/>
    </xf>
    <xf borderId="0" fillId="0" fontId="16" numFmtId="0" xfId="0" applyAlignment="1" applyFont="1">
      <alignment vertical="bottom"/>
    </xf>
    <xf borderId="0" fillId="10" fontId="5" numFmtId="0" xfId="0" applyAlignment="1" applyFont="1">
      <alignment shrinkToFit="0" wrapText="0"/>
    </xf>
    <xf borderId="0" fillId="0" fontId="18" numFmtId="0" xfId="0" applyAlignment="1" applyFont="1">
      <alignment readingOrder="0" shrinkToFit="0" vertical="bottom" wrapText="0"/>
    </xf>
    <xf borderId="0" fillId="10" fontId="6" numFmtId="0" xfId="0" applyAlignment="1" applyFont="1">
      <alignment shrinkToFit="0" vertical="bottom" wrapText="0"/>
    </xf>
    <xf borderId="0" fillId="10" fontId="19" numFmtId="0" xfId="0" applyAlignment="1" applyFont="1">
      <alignment shrinkToFit="0" wrapText="0"/>
    </xf>
    <xf borderId="0" fillId="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20" numFmtId="0" xfId="0" applyAlignment="1" applyFont="1">
      <alignment readingOrder="0" shrinkToFit="0" wrapText="0"/>
    </xf>
    <xf borderId="0" fillId="10" fontId="6" numFmtId="0" xfId="0" applyAlignment="1" applyFont="1">
      <alignment readingOrder="0" vertical="bottom"/>
    </xf>
    <xf borderId="0" fillId="1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16" numFmtId="0" xfId="0" applyAlignment="1" applyFont="1">
      <alignment vertical="bottom"/>
    </xf>
    <xf borderId="0" fillId="10" fontId="16" numFmtId="0" xfId="0" applyAlignment="1" applyFont="1">
      <alignment readingOrder="0" vertical="bottom"/>
    </xf>
    <xf borderId="0" fillId="10" fontId="8" numFmtId="0" xfId="0" applyAlignment="1" applyFont="1">
      <alignment horizontal="left" readingOrder="0" shrinkToFit="0" vertical="bottom" wrapText="0"/>
    </xf>
    <xf borderId="0" fillId="11" fontId="8" numFmtId="0" xfId="0" applyAlignment="1" applyFont="1">
      <alignment readingOrder="0" shrinkToFit="0" vertical="bottom" wrapText="0"/>
    </xf>
    <xf borderId="0" fillId="11" fontId="21" numFmtId="0" xfId="0" applyAlignment="1" applyFont="1">
      <alignment readingOrder="0" shrinkToFit="0" wrapText="0"/>
    </xf>
    <xf borderId="0" fillId="11" fontId="6" numFmtId="0" xfId="0" applyAlignment="1" applyFont="1">
      <alignment readingOrder="0" vertical="bottom"/>
    </xf>
    <xf borderId="0" fillId="11" fontId="8" numFmtId="0" xfId="0" applyAlignment="1" applyFont="1">
      <alignment readingOrder="0" shrinkToFit="0" vertical="bottom" wrapText="0"/>
    </xf>
    <xf borderId="0" fillId="11" fontId="8" numFmtId="0" xfId="0" applyAlignment="1" applyFont="1">
      <alignment readingOrder="0" shrinkToFit="0" vertical="bottom" wrapText="0"/>
    </xf>
    <xf borderId="0" fillId="11" fontId="6" numFmtId="0" xfId="0" applyAlignment="1" applyFont="1">
      <alignment vertical="bottom"/>
    </xf>
    <xf borderId="0" fillId="11" fontId="8" numFmtId="0" xfId="0" applyAlignment="1" applyFont="1">
      <alignment horizontal="left" readingOrder="0" shrinkToFit="0" vertical="bottom" wrapText="0"/>
    </xf>
    <xf borderId="0" fillId="11" fontId="5" numFmtId="0" xfId="0" applyAlignment="1" applyFont="1">
      <alignment shrinkToFit="0" wrapText="0"/>
    </xf>
    <xf borderId="0" fillId="11" fontId="8" numFmtId="0" xfId="0" applyAlignment="1" applyFont="1">
      <alignment readingOrder="0" shrinkToFit="0" vertical="bottom" wrapText="0"/>
    </xf>
    <xf borderId="5" fillId="10" fontId="5" numFmtId="0" xfId="0" applyAlignment="1" applyBorder="1" applyFont="1">
      <alignment readingOrder="0" shrinkToFit="0" wrapText="0"/>
    </xf>
    <xf borderId="5" fillId="10" fontId="8" numFmtId="0" xfId="0" applyAlignment="1" applyBorder="1" applyFont="1">
      <alignment readingOrder="0" shrinkToFit="0" vertical="bottom" wrapText="0"/>
    </xf>
    <xf borderId="5" fillId="10" fontId="22" numFmtId="0" xfId="0" applyAlignment="1" applyBorder="1" applyFont="1">
      <alignment readingOrder="0" shrinkToFit="0" wrapText="0"/>
    </xf>
    <xf borderId="5" fillId="10" fontId="6" numFmtId="0" xfId="0" applyAlignment="1" applyBorder="1" applyFont="1">
      <alignment readingOrder="0" vertical="bottom"/>
    </xf>
    <xf borderId="5" fillId="10" fontId="8" numFmtId="0" xfId="0" applyAlignment="1" applyBorder="1" applyFont="1">
      <alignment readingOrder="0" shrinkToFit="0" vertical="bottom" wrapText="0"/>
    </xf>
    <xf borderId="5" fillId="10" fontId="8" numFmtId="0" xfId="0" applyAlignment="1" applyBorder="1" applyFont="1">
      <alignment readingOrder="0" shrinkToFit="0" vertical="bottom" wrapText="0"/>
    </xf>
    <xf borderId="5" fillId="10" fontId="8" numFmtId="0" xfId="0" applyAlignment="1" applyBorder="1" applyFont="1">
      <alignment horizontal="left" readingOrder="0" shrinkToFit="0" vertical="bottom" wrapText="0"/>
    </xf>
    <xf borderId="5" fillId="10" fontId="8" numFmtId="0" xfId="0" applyAlignment="1" applyBorder="1" applyFont="1">
      <alignment readingOrder="0" shrinkToFit="0" vertical="bottom" wrapText="0"/>
    </xf>
    <xf borderId="5" fillId="10" fontId="5" numFmtId="0" xfId="0" applyAlignment="1" applyBorder="1" applyFont="1">
      <alignment shrinkToFit="0" wrapText="0"/>
    </xf>
    <xf borderId="0" fillId="0" fontId="23" numFmtId="0" xfId="0" applyAlignment="1" applyFont="1">
      <alignment readingOrder="0" shrinkToFit="0" vertical="bottom" wrapText="0"/>
    </xf>
    <xf borderId="0" fillId="0" fontId="24" numFmtId="0" xfId="0" applyAlignment="1" applyFont="1">
      <alignment readingOrder="0" shrinkToFit="0" vertical="bottom" wrapText="0"/>
    </xf>
    <xf borderId="0" fillId="0" fontId="25" numFmtId="0" xfId="0" applyAlignment="1" applyFont="1">
      <alignment readingOrder="0" shrinkToFit="0" vertical="bottom" wrapText="0"/>
    </xf>
    <xf borderId="0" fillId="11" fontId="26" numFmtId="0" xfId="0" applyAlignment="1" applyFont="1">
      <alignment readingOrder="0" shrinkToFit="0" vertical="bottom" wrapText="0"/>
    </xf>
    <xf borderId="0" fillId="11" fontId="6" numFmtId="0" xfId="0" applyAlignment="1" applyFont="1">
      <alignment vertical="bottom"/>
    </xf>
    <xf borderId="0" fillId="11" fontId="27" numFmtId="0" xfId="0" applyAlignment="1" applyFont="1">
      <alignment readingOrder="0" shrinkToFit="0" vertical="bottom" wrapText="0"/>
    </xf>
    <xf borderId="0" fillId="11" fontId="5" numFmtId="0" xfId="0" applyAlignment="1" applyFont="1">
      <alignment readingOrder="0"/>
    </xf>
    <xf borderId="0" fillId="11" fontId="5" numFmtId="0" xfId="0" applyFont="1"/>
    <xf borderId="0" fillId="0" fontId="28" numFmtId="0" xfId="0" applyAlignment="1" applyFont="1">
      <alignment readingOrder="0" shrinkToFit="0" wrapText="0"/>
    </xf>
    <xf borderId="0" fillId="11" fontId="16" numFmtId="0" xfId="0" applyAlignment="1" applyFont="1">
      <alignment vertical="bottom"/>
    </xf>
    <xf borderId="0" fillId="0" fontId="6" numFmtId="0" xfId="0" applyAlignment="1" applyFont="1">
      <alignment shrinkToFit="0" vertical="bottom" wrapText="0"/>
    </xf>
    <xf borderId="0" fillId="0" fontId="29" numFmtId="0" xfId="0" applyAlignment="1" applyFont="1">
      <alignment readingOrder="0"/>
    </xf>
    <xf borderId="0" fillId="0" fontId="6" numFmtId="0" xfId="0" applyAlignment="1" applyFont="1">
      <alignment vertical="bottom"/>
    </xf>
    <xf borderId="0" fillId="0" fontId="6" numFmtId="0" xfId="0" applyAlignment="1" applyFont="1">
      <alignment readingOrder="0" shrinkToFit="0" vertical="bottom" wrapText="1"/>
    </xf>
    <xf borderId="5" fillId="0" fontId="8" numFmtId="0" xfId="0" applyAlignment="1" applyBorder="1" applyFont="1">
      <alignment readingOrder="0" shrinkToFit="0" vertical="bottom" wrapText="0"/>
    </xf>
    <xf borderId="5" fillId="0" fontId="6" numFmtId="0" xfId="0" applyAlignment="1" applyBorder="1" applyFont="1">
      <alignment shrinkToFit="0" vertical="bottom" wrapText="0"/>
    </xf>
    <xf borderId="5" fillId="0" fontId="30" numFmtId="0" xfId="0" applyAlignment="1" applyBorder="1" applyFont="1">
      <alignment readingOrder="0"/>
    </xf>
    <xf borderId="5" fillId="0" fontId="6" numFmtId="0" xfId="0" applyAlignment="1" applyBorder="1" applyFont="1">
      <alignment vertical="bottom"/>
    </xf>
    <xf borderId="5" fillId="0" fontId="6" numFmtId="0" xfId="0" applyAlignment="1" applyBorder="1" applyFont="1">
      <alignment readingOrder="0" vertical="bottom"/>
    </xf>
    <xf borderId="5" fillId="0" fontId="5" numFmtId="0" xfId="0" applyAlignment="1" applyBorder="1" applyFont="1">
      <alignment readingOrder="0" shrinkToFit="0" wrapText="0"/>
    </xf>
    <xf borderId="5" fillId="0" fontId="6" numFmtId="0" xfId="0" applyAlignment="1" applyBorder="1" applyFont="1">
      <alignment vertical="bottom"/>
    </xf>
    <xf borderId="5" fillId="0" fontId="8" numFmtId="0" xfId="0" applyAlignment="1" applyBorder="1" applyFont="1">
      <alignment horizontal="left" readingOrder="0" shrinkToFit="0" vertical="bottom" wrapText="0"/>
    </xf>
    <xf borderId="5" fillId="0" fontId="8" numFmtId="0" xfId="0" applyAlignment="1" applyBorder="1" applyFont="1">
      <alignment readingOrder="0" shrinkToFit="0" vertical="bottom" wrapText="0"/>
    </xf>
    <xf borderId="0" fillId="0" fontId="31" numFmtId="0" xfId="0" applyAlignment="1" applyFont="1">
      <alignment vertical="bottom"/>
    </xf>
    <xf borderId="0" fillId="0" fontId="32" numFmtId="0" xfId="0" applyAlignment="1" applyFont="1">
      <alignment readingOrder="0" shrinkToFit="0" wrapText="0"/>
    </xf>
    <xf borderId="0" fillId="11" fontId="33" numFmtId="0" xfId="0" applyAlignment="1" applyFont="1">
      <alignment vertical="bottom"/>
    </xf>
    <xf borderId="0" fillId="11" fontId="16" numFmtId="0" xfId="0" applyAlignment="1" applyFont="1">
      <alignment readingOrder="0" vertical="bottom"/>
    </xf>
    <xf borderId="0" fillId="0" fontId="6" numFmtId="0" xfId="0" applyAlignment="1" applyFont="1">
      <alignment readingOrder="0" shrinkToFit="0" vertical="bottom" wrapText="0"/>
    </xf>
    <xf borderId="0" fillId="0" fontId="34" numFmtId="0" xfId="0" applyAlignment="1" applyFont="1">
      <alignment readingOrder="0"/>
    </xf>
    <xf borderId="0" fillId="11" fontId="35" numFmtId="0" xfId="0" applyAlignment="1" applyFont="1">
      <alignment readingOrder="0"/>
    </xf>
    <xf borderId="5" fillId="11" fontId="6" numFmtId="0" xfId="0" applyAlignment="1" applyBorder="1" applyFont="1">
      <alignment readingOrder="0" vertical="bottom"/>
    </xf>
    <xf borderId="0" fillId="11" fontId="36" numFmtId="0" xfId="0" applyAlignment="1" applyFont="1">
      <alignment readingOrder="0" shrinkToFit="0" wrapText="0"/>
    </xf>
    <xf borderId="14" fillId="0" fontId="6" numFmtId="0" xfId="0" applyAlignment="1" applyBorder="1" applyFont="1">
      <alignment readingOrder="0" vertical="bottom"/>
    </xf>
    <xf borderId="14" fillId="10" fontId="5" numFmtId="0" xfId="0" applyBorder="1" applyFont="1"/>
    <xf borderId="14" fillId="10" fontId="37" numFmtId="0" xfId="0" applyAlignment="1" applyBorder="1" applyFont="1">
      <alignment readingOrder="0" shrinkToFit="0" vertical="bottom" wrapText="0"/>
    </xf>
    <xf borderId="14" fillId="10" fontId="8" numFmtId="0" xfId="0" applyAlignment="1" applyBorder="1" applyFont="1">
      <alignment readingOrder="0" shrinkToFit="0" vertical="bottom" wrapText="0"/>
    </xf>
    <xf borderId="14" fillId="10" fontId="8" numFmtId="0" xfId="0" applyAlignment="1" applyBorder="1" applyFont="1">
      <alignment readingOrder="0" shrinkToFit="0" vertical="bottom" wrapText="0"/>
    </xf>
    <xf borderId="14" fillId="10" fontId="16" numFmtId="0" xfId="0" applyAlignment="1" applyBorder="1" applyFont="1">
      <alignment readingOrder="0" vertical="bottom"/>
    </xf>
    <xf borderId="14" fillId="10" fontId="8" numFmtId="0" xfId="0" applyAlignment="1" applyBorder="1" applyFont="1">
      <alignment readingOrder="0" shrinkToFit="0" vertical="bottom" wrapText="0"/>
    </xf>
    <xf borderId="14" fillId="0" fontId="8" numFmtId="0" xfId="0" applyAlignment="1" applyBorder="1" applyFont="1">
      <alignment horizontal="left" readingOrder="0" shrinkToFit="0" vertical="bottom" wrapText="0"/>
    </xf>
    <xf borderId="14" fillId="0" fontId="5" numFmtId="0" xfId="0" applyAlignment="1" applyBorder="1" applyFont="1">
      <alignment readingOrder="0" shrinkToFit="0" wrapText="0"/>
    </xf>
    <xf borderId="14" fillId="0" fontId="5" numFmtId="0" xfId="0" applyAlignment="1" applyBorder="1" applyFont="1">
      <alignment readingOrder="0"/>
    </xf>
    <xf borderId="14" fillId="0" fontId="5" numFmtId="0" xfId="0" applyBorder="1" applyFont="1"/>
    <xf borderId="14" fillId="0" fontId="8" numFmtId="0" xfId="0" applyAlignment="1" applyBorder="1" applyFont="1">
      <alignment readingOrder="0" shrinkToFit="0" vertical="bottom" wrapText="0"/>
    </xf>
    <xf borderId="0" fillId="0" fontId="38" numFmtId="0" xfId="0" applyAlignment="1" applyFont="1">
      <alignment readingOrder="0" shrinkToFit="0" vertical="bottom" wrapText="0"/>
    </xf>
    <xf borderId="0" fillId="0" fontId="39" numFmtId="0" xfId="0" applyAlignment="1" applyFont="1">
      <alignment readingOrder="0" shrinkToFit="0" vertical="bottom" wrapText="0"/>
    </xf>
    <xf borderId="0" fillId="0" fontId="8" numFmtId="0" xfId="0" applyAlignment="1" applyFont="1">
      <alignment readingOrder="0" vertical="bottom"/>
    </xf>
    <xf borderId="0" fillId="11" fontId="40" numFmtId="0" xfId="0" applyAlignment="1" applyFont="1">
      <alignment readingOrder="0" shrinkToFit="0" vertical="bottom" wrapText="0"/>
    </xf>
    <xf borderId="0" fillId="11" fontId="8" numFmtId="0" xfId="0" applyAlignment="1" applyFont="1">
      <alignment readingOrder="0" vertical="bottom"/>
    </xf>
    <xf borderId="0" fillId="0" fontId="41" numFmtId="0" xfId="0" applyAlignment="1" applyFont="1">
      <alignment readingOrder="0" shrinkToFit="0" vertical="bottom" wrapText="0"/>
    </xf>
    <xf borderId="0" fillId="0" fontId="42" numFmtId="0" xfId="0" applyAlignment="1" applyFont="1">
      <alignment readingOrder="0" shrinkToFit="0" vertical="bottom" wrapText="0"/>
    </xf>
    <xf borderId="0" fillId="0" fontId="8" numFmtId="0" xfId="0" applyAlignment="1" applyFont="1">
      <alignment readingOrder="0" shrinkToFit="0" wrapText="0"/>
    </xf>
    <xf borderId="0" fillId="10" fontId="6" numFmtId="0" xfId="0" applyAlignment="1" applyFont="1">
      <alignment vertical="bottom"/>
    </xf>
    <xf borderId="0" fillId="0" fontId="43" numFmtId="0" xfId="0" applyAlignment="1" applyFont="1">
      <alignment readingOrder="0" shrinkToFit="0" vertical="bottom" wrapText="0"/>
    </xf>
    <xf borderId="0" fillId="0" fontId="8" numFmtId="0" xfId="0" applyAlignment="1" applyFont="1">
      <alignment shrinkToFit="0" vertical="bottom" wrapText="0"/>
    </xf>
    <xf borderId="0" fillId="0" fontId="44" numFmtId="0" xfId="0" applyAlignment="1" applyFont="1">
      <alignment vertical="bottom"/>
    </xf>
    <xf borderId="0" fillId="0" fontId="0" numFmtId="0" xfId="0" applyAlignment="1" applyFont="1">
      <alignment readingOrder="0" vertical="bottom"/>
    </xf>
    <xf borderId="0" fillId="11" fontId="45" numFmtId="0" xfId="0" applyAlignment="1" applyFont="1">
      <alignment readingOrder="0" vertical="bottom"/>
    </xf>
    <xf borderId="0" fillId="11" fontId="6" numFmtId="0" xfId="0" applyAlignment="1" applyFont="1">
      <alignment shrinkToFit="0" vertical="bottom" wrapText="0"/>
    </xf>
    <xf borderId="0" fillId="11" fontId="0" numFmtId="0" xfId="0" applyAlignment="1" applyFont="1">
      <alignment readingOrder="0" vertical="bottom"/>
    </xf>
    <xf borderId="5" fillId="0" fontId="46" numFmtId="0" xfId="0" applyAlignment="1" applyBorder="1" applyFont="1">
      <alignment vertical="bottom"/>
    </xf>
    <xf borderId="5" fillId="0" fontId="6" numFmtId="0" xfId="0" applyAlignment="1" applyBorder="1" applyFont="1">
      <alignment readingOrder="0" shrinkToFit="0" vertical="bottom" wrapText="0"/>
    </xf>
    <xf borderId="5" fillId="0" fontId="16" numFmtId="0" xfId="0" applyAlignment="1" applyBorder="1" applyFont="1">
      <alignment readingOrder="0" vertical="bottom"/>
    </xf>
    <xf borderId="5" fillId="0" fontId="0" numFmtId="0" xfId="0" applyAlignment="1" applyBorder="1" applyFont="1">
      <alignment readingOrder="0" vertical="bottom"/>
    </xf>
    <xf borderId="0" fillId="10" fontId="6" numFmtId="0" xfId="0" applyAlignment="1" applyFont="1">
      <alignment vertical="bottom"/>
    </xf>
    <xf borderId="0" fillId="10" fontId="47" numFmtId="0" xfId="0" applyAlignment="1" applyFont="1">
      <alignment vertical="bottom"/>
    </xf>
    <xf borderId="0" fillId="10" fontId="6" numFmtId="0" xfId="0" applyAlignment="1" applyFont="1">
      <alignment readingOrder="0" shrinkToFit="0" vertical="bottom" wrapText="0"/>
    </xf>
    <xf borderId="0" fillId="10" fontId="0" numFmtId="0" xfId="0" applyAlignment="1" applyFont="1">
      <alignment readingOrder="0" vertical="bottom"/>
    </xf>
    <xf borderId="0" fillId="0" fontId="48" numFmtId="0" xfId="0" applyAlignment="1" applyFont="1">
      <alignment readingOrder="0"/>
    </xf>
    <xf borderId="0" fillId="0" fontId="49" numFmtId="49" xfId="0" applyAlignment="1" applyFont="1" applyNumberFormat="1">
      <alignment readingOrder="0" shrinkToFit="0" vertical="bottom" wrapText="0"/>
    </xf>
    <xf borderId="0" fillId="0" fontId="50" numFmtId="49" xfId="0" applyAlignment="1" applyFont="1" applyNumberFormat="1">
      <alignment readingOrder="0" shrinkToFit="0" vertical="bottom" wrapText="0"/>
    </xf>
    <xf borderId="0" fillId="0" fontId="51" numFmtId="49" xfId="0" applyAlignment="1" applyFont="1" applyNumberFormat="1">
      <alignment readingOrder="0" vertical="bottom"/>
    </xf>
    <xf borderId="0" fillId="10" fontId="28" numFmtId="0" xfId="0" applyFont="1"/>
    <xf borderId="14" fillId="0" fontId="6" numFmtId="0" xfId="0" applyAlignment="1" applyBorder="1" applyFont="1">
      <alignment vertical="bottom"/>
    </xf>
    <xf borderId="14" fillId="0" fontId="52" numFmtId="0" xfId="0" applyAlignment="1" applyBorder="1" applyFont="1">
      <alignment horizontal="left" readingOrder="0" shrinkToFit="0" vertical="top" wrapText="0"/>
    </xf>
    <xf borderId="14" fillId="0" fontId="6" numFmtId="0" xfId="0" applyAlignment="1" applyBorder="1" applyFont="1">
      <alignment horizontal="left" readingOrder="0" shrinkToFit="0" vertical="top" wrapText="1"/>
    </xf>
    <xf borderId="14" fillId="0" fontId="6" numFmtId="0" xfId="0" applyAlignment="1" applyBorder="1" applyFont="1">
      <alignment shrinkToFit="0" vertical="bottom" wrapText="1"/>
    </xf>
    <xf borderId="14" fillId="0" fontId="16" numFmtId="0" xfId="0" applyAlignment="1" applyBorder="1" applyFont="1">
      <alignment vertical="bottom"/>
    </xf>
    <xf borderId="14" fillId="0" fontId="8" numFmtId="0" xfId="0" applyAlignment="1" applyBorder="1" applyFont="1">
      <alignment readingOrder="0" shrinkToFit="0" vertical="bottom" wrapText="0"/>
    </xf>
    <xf borderId="14" fillId="0" fontId="6" numFmtId="0" xfId="0" applyAlignment="1" applyBorder="1" applyFont="1">
      <alignment shrinkToFit="0" vertical="bottom" wrapText="0"/>
    </xf>
    <xf borderId="14" fillId="0" fontId="0" numFmtId="0" xfId="0" applyAlignment="1" applyBorder="1" applyFont="1">
      <alignment readingOrder="0" vertical="bottom"/>
    </xf>
    <xf borderId="14" fillId="0" fontId="6" numFmtId="0" xfId="0" applyAlignment="1" applyBorder="1" applyFont="1">
      <alignment readingOrder="0" shrinkToFit="0" vertical="bottom" wrapText="1"/>
    </xf>
    <xf borderId="0" fillId="0" fontId="53" numFmtId="0" xfId="0" applyAlignment="1" applyFont="1">
      <alignment horizontal="left" readingOrder="0" shrinkToFit="0" vertical="top" wrapText="0"/>
    </xf>
    <xf borderId="0" fillId="0" fontId="6" numFmtId="0" xfId="0" applyAlignment="1" applyFont="1">
      <alignment horizontal="left" readingOrder="0" shrinkToFit="0" vertical="top" wrapText="1"/>
    </xf>
    <xf borderId="0" fillId="0" fontId="6" numFmtId="0" xfId="0" applyAlignment="1" applyFont="1">
      <alignment shrinkToFit="0" vertical="bottom" wrapText="0"/>
    </xf>
    <xf borderId="0" fillId="0" fontId="0" numFmtId="0" xfId="0" applyAlignment="1" applyFont="1">
      <alignment readingOrder="0" shrinkToFit="0" vertical="bottom" wrapText="1"/>
    </xf>
    <xf borderId="0" fillId="0" fontId="54" numFmtId="0" xfId="0" applyAlignment="1" applyFont="1">
      <alignment horizontal="left" readingOrder="0" shrinkToFit="0" vertical="top" wrapText="0"/>
    </xf>
    <xf borderId="0" fillId="11" fontId="55" numFmtId="0" xfId="0" applyAlignment="1" applyFont="1">
      <alignment horizontal="left" readingOrder="0" shrinkToFit="0" vertical="top" wrapText="0"/>
    </xf>
    <xf borderId="0" fillId="11" fontId="6" numFmtId="0" xfId="0" applyAlignment="1" applyFont="1">
      <alignment horizontal="left" readingOrder="0" shrinkToFit="0" vertical="top" wrapText="1"/>
    </xf>
    <xf borderId="0" fillId="11" fontId="6" numFmtId="0" xfId="0" applyAlignment="1" applyFont="1">
      <alignment shrinkToFit="0" vertical="bottom" wrapText="0"/>
    </xf>
    <xf borderId="0" fillId="11" fontId="6" numFmtId="0" xfId="0" applyAlignment="1" applyFont="1">
      <alignment readingOrder="0" shrinkToFit="0" vertical="bottom" wrapText="1"/>
    </xf>
    <xf borderId="0" fillId="11" fontId="56" numFmtId="0" xfId="0" applyAlignment="1" applyFont="1">
      <alignment horizontal="left" readingOrder="0" shrinkToFit="0" vertical="top" wrapText="0"/>
    </xf>
    <xf borderId="0" fillId="11" fontId="57" numFmtId="0" xfId="0" applyAlignment="1" applyFont="1">
      <alignment readingOrder="0" shrinkToFit="0" wrapText="0"/>
    </xf>
    <xf borderId="0" fillId="11" fontId="0" numFmtId="0" xfId="0" applyAlignment="1" applyFont="1">
      <alignment readingOrder="0" shrinkToFit="0" vertical="bottom" wrapText="1"/>
    </xf>
    <xf borderId="15" fillId="11" fontId="6" numFmtId="0" xfId="0" applyAlignment="1" applyBorder="1" applyFont="1">
      <alignment vertical="bottom"/>
    </xf>
    <xf borderId="0" fillId="11" fontId="6" numFmtId="0" xfId="0" applyAlignment="1" applyFont="1">
      <alignment shrinkToFit="0" vertical="bottom" wrapText="1"/>
    </xf>
    <xf borderId="16" fillId="11" fontId="6" numFmtId="0" xfId="0" applyAlignment="1" applyBorder="1" applyFont="1">
      <alignment vertical="bottom"/>
    </xf>
    <xf borderId="14" fillId="0" fontId="58" numFmtId="0" xfId="0" applyAlignment="1" applyBorder="1" applyFont="1">
      <alignment readingOrder="0"/>
    </xf>
    <xf borderId="14" fillId="0" fontId="16" numFmtId="0" xfId="0" applyAlignment="1" applyBorder="1" applyFont="1">
      <alignment readingOrder="0" vertical="bottom"/>
    </xf>
    <xf borderId="14" fillId="0" fontId="59" numFmtId="0" xfId="0" applyAlignment="1" applyBorder="1" applyFont="1">
      <alignment readingOrder="0" shrinkToFit="0" wrapText="1"/>
    </xf>
    <xf borderId="0" fillId="0" fontId="59" numFmtId="0" xfId="0" applyAlignment="1" applyFont="1">
      <alignment readingOrder="0"/>
    </xf>
    <xf borderId="0" fillId="0" fontId="60" numFmtId="0" xfId="0" applyAlignment="1" applyFont="1">
      <alignment readingOrder="0" shrinkToFit="0" wrapText="0"/>
    </xf>
    <xf borderId="0" fillId="0" fontId="59" numFmtId="0" xfId="0" applyAlignment="1" applyFont="1">
      <alignment readingOrder="0" shrinkToFit="0" wrapText="1"/>
    </xf>
    <xf borderId="0" fillId="0" fontId="61" numFmtId="0" xfId="0" applyAlignment="1" applyFont="1">
      <alignment readingOrder="0"/>
    </xf>
    <xf borderId="0" fillId="10" fontId="5" numFmtId="0" xfId="0" applyFont="1"/>
    <xf borderId="0" fillId="10" fontId="62" numFmtId="0" xfId="0" applyAlignment="1" applyFont="1">
      <alignment readingOrder="0"/>
    </xf>
    <xf borderId="0" fillId="10" fontId="59" numFmtId="0" xfId="0" applyAlignment="1" applyFont="1">
      <alignment readingOrder="0"/>
    </xf>
    <xf borderId="0" fillId="10" fontId="59" numFmtId="0" xfId="0" applyAlignment="1" applyFont="1">
      <alignment readingOrder="0" shrinkToFit="0" wrapText="1"/>
    </xf>
    <xf borderId="0" fillId="0" fontId="63" numFmtId="0" xfId="0" applyAlignment="1" applyFont="1">
      <alignment readingOrder="0"/>
    </xf>
    <xf borderId="0" fillId="0" fontId="6" numFmtId="0" xfId="0" applyAlignment="1" applyFont="1">
      <alignment readingOrder="0" shrinkToFit="0" vertical="bottom" wrapText="0"/>
    </xf>
    <xf borderId="0" fillId="0" fontId="64" numFmtId="0" xfId="0" applyAlignment="1" applyFont="1">
      <alignment readingOrder="0" shrinkToFit="0" vertical="bottom" wrapText="0"/>
    </xf>
    <xf borderId="0" fillId="11" fontId="6" numFmtId="0" xfId="0" applyAlignment="1" applyFont="1">
      <alignment readingOrder="0" shrinkToFit="0" vertical="bottom" wrapText="0"/>
    </xf>
    <xf borderId="0" fillId="11" fontId="65" numFmtId="0" xfId="0" applyAlignment="1" applyFont="1">
      <alignment readingOrder="0" shrinkToFit="0" vertical="bottom" wrapText="0"/>
    </xf>
    <xf borderId="0" fillId="11" fontId="59" numFmtId="0" xfId="0" applyAlignment="1" applyFont="1">
      <alignment readingOrder="0"/>
    </xf>
    <xf borderId="0" fillId="11" fontId="59" numFmtId="0" xfId="0" applyAlignment="1" applyFont="1">
      <alignment readingOrder="0" shrinkToFit="0" wrapText="1"/>
    </xf>
    <xf borderId="0" fillId="0" fontId="8" numFmtId="0" xfId="0" applyAlignment="1" applyFont="1">
      <alignment shrinkToFit="0" vertical="bottom" wrapText="0"/>
    </xf>
    <xf borderId="0" fillId="0" fontId="66" numFmtId="0" xfId="0" applyAlignment="1" applyFont="1">
      <alignment readingOrder="0" shrinkToFit="0" vertical="bottom" wrapText="0"/>
    </xf>
    <xf borderId="0" fillId="10" fontId="67" numFmtId="0" xfId="0" applyAlignment="1" applyFont="1">
      <alignment readingOrder="0" vertical="bottom"/>
    </xf>
    <xf borderId="0" fillId="10" fontId="6" numFmtId="0" xfId="0" applyAlignment="1" applyFont="1">
      <alignment readingOrder="0" shrinkToFit="0" vertical="bottom" wrapText="1"/>
    </xf>
    <xf borderId="0" fillId="10" fontId="5" numFmtId="0" xfId="0" applyAlignment="1" applyFont="1">
      <alignment readingOrder="0" shrinkToFit="0" wrapText="1"/>
    </xf>
    <xf borderId="0" fillId="10" fontId="8" numFmtId="0" xfId="0" applyAlignment="1" applyFont="1">
      <alignment readingOrder="0" vertical="bottom"/>
    </xf>
    <xf borderId="0" fillId="10" fontId="0" numFmtId="0" xfId="0" applyAlignment="1" applyFont="1">
      <alignment readingOrder="0" shrinkToFit="0" vertical="bottom" wrapText="1"/>
    </xf>
    <xf borderId="0" fillId="10" fontId="68" numFmtId="0" xfId="0" applyAlignment="1" applyFont="1">
      <alignment readingOrder="0" vertical="bottom"/>
    </xf>
    <xf borderId="0" fillId="10" fontId="8" numFmtId="0" xfId="0" applyAlignment="1" applyFont="1">
      <alignment horizontal="left" readingOrder="0" vertical="bottom"/>
    </xf>
    <xf borderId="0" fillId="0" fontId="69" numFmtId="0" xfId="0" applyAlignment="1" applyFont="1">
      <alignment readingOrder="0" vertical="bottom"/>
    </xf>
    <xf borderId="0" fillId="0" fontId="16" numFmtId="0" xfId="0" applyAlignment="1" applyFont="1">
      <alignment readingOrder="0" shrinkToFit="0" vertical="bottom" wrapText="1"/>
    </xf>
    <xf borderId="0" fillId="0" fontId="70" numFmtId="0" xfId="0" applyAlignment="1" applyFont="1">
      <alignment readingOrder="0" vertical="bottom"/>
    </xf>
    <xf borderId="0" fillId="0" fontId="6" numFmtId="0" xfId="0" applyAlignment="1" applyFont="1">
      <alignment shrinkToFit="0" vertical="bottom" wrapText="1"/>
    </xf>
    <xf borderId="0" fillId="11" fontId="71" numFmtId="0" xfId="0" applyAlignment="1" applyFont="1">
      <alignment readingOrder="0" vertical="bottom"/>
    </xf>
    <xf borderId="0" fillId="11" fontId="5" numFmtId="0" xfId="0" applyAlignment="1" applyFont="1">
      <alignment readingOrder="0" shrinkToFit="0" wrapText="1"/>
    </xf>
    <xf borderId="0" fillId="11" fontId="6" numFmtId="0" xfId="0" applyAlignment="1" applyFont="1">
      <alignment readingOrder="0" shrinkToFit="0" vertical="bottom" wrapText="0"/>
    </xf>
    <xf borderId="0" fillId="11" fontId="16" numFmtId="0" xfId="0" applyAlignment="1" applyFont="1">
      <alignment readingOrder="0" shrinkToFit="0" vertical="bottom" wrapText="1"/>
    </xf>
    <xf borderId="0" fillId="11" fontId="6" numFmtId="0" xfId="0" applyAlignment="1" applyFont="1">
      <alignment shrinkToFit="0" vertical="bottom" wrapText="1"/>
    </xf>
    <xf borderId="0" fillId="11" fontId="72" numFmtId="0" xfId="0" applyAlignment="1" applyFont="1">
      <alignment readingOrder="0"/>
    </xf>
    <xf borderId="0" fillId="11" fontId="16" numFmtId="0" xfId="0" applyAlignment="1" applyFont="1">
      <alignment readingOrder="0" shrinkToFit="0" vertical="bottom" wrapText="0"/>
    </xf>
    <xf borderId="0" fillId="10" fontId="73" numFmtId="0" xfId="0" applyAlignment="1" applyFont="1">
      <alignment readingOrder="0"/>
    </xf>
    <xf borderId="0" fillId="10" fontId="74" numFmtId="0" xfId="0" applyFont="1"/>
    <xf borderId="0" fillId="0" fontId="8" numFmtId="0" xfId="0" applyAlignment="1" applyFont="1">
      <alignment horizontal="left" shrinkToFit="0" vertical="bottom" wrapText="0"/>
    </xf>
    <xf borderId="0" fillId="0" fontId="3" numFmtId="0" xfId="0" applyAlignment="1" applyFont="1">
      <alignment readingOrder="0"/>
    </xf>
    <xf borderId="0" fillId="0" fontId="75" numFmtId="0" xfId="0" applyAlignment="1" applyFont="1">
      <alignment vertical="bottom"/>
    </xf>
    <xf borderId="0" fillId="10" fontId="76" numFmtId="0" xfId="0" applyAlignment="1" applyFont="1">
      <alignment readingOrder="0"/>
    </xf>
    <xf borderId="0" fillId="0" fontId="5" numFmtId="0" xfId="0" applyFont="1"/>
    <xf borderId="0" fillId="10" fontId="77" numFmtId="0" xfId="0" applyAlignment="1" applyFont="1">
      <alignment readingOrder="0"/>
    </xf>
    <xf borderId="0" fillId="0" fontId="78" numFmtId="0" xfId="0" applyAlignment="1" applyFont="1">
      <alignment vertical="bottom"/>
    </xf>
    <xf borderId="0" fillId="0" fontId="78" numFmtId="0" xfId="0" applyAlignment="1" applyFont="1">
      <alignment readingOrder="0" vertical="bottom"/>
    </xf>
    <xf borderId="0" fillId="0" fontId="78" numFmtId="0" xfId="0" applyAlignment="1" applyFont="1">
      <alignment horizontal="right" vertical="bottom"/>
    </xf>
    <xf borderId="1" fillId="0" fontId="10" numFmtId="0" xfId="0" applyAlignment="1" applyBorder="1" applyFont="1">
      <alignment horizontal="center" readingOrder="0" vertical="top"/>
    </xf>
    <xf borderId="0" fillId="0" fontId="79" numFmtId="0" xfId="0" applyAlignment="1" applyFont="1">
      <alignment readingOrder="0" shrinkToFit="0" vertical="bottom" wrapText="0"/>
    </xf>
    <xf borderId="0" fillId="0" fontId="80" numFmtId="0" xfId="0" applyAlignment="1" applyFont="1">
      <alignment readingOrder="0" shrinkToFit="0" vertical="bottom" wrapText="0"/>
    </xf>
    <xf borderId="0" fillId="0" fontId="79" numFmtId="0" xfId="0" applyAlignment="1" applyFont="1">
      <alignment horizontal="right" readingOrder="0" shrinkToFit="0" vertical="bottom" wrapText="0"/>
    </xf>
    <xf borderId="0" fillId="0" fontId="81" numFmtId="0" xfId="0" applyAlignment="1" applyFont="1">
      <alignment readingOrder="0" shrinkToFit="0" vertical="bottom" wrapText="0"/>
    </xf>
    <xf borderId="0" fillId="0" fontId="82" numFmtId="0" xfId="0" applyAlignment="1" applyFont="1">
      <alignment readingOrder="0" shrinkToFit="0" vertical="bottom" wrapText="0"/>
    </xf>
    <xf borderId="0" fillId="0" fontId="79" numFmtId="0" xfId="0" applyAlignment="1" applyFont="1">
      <alignment shrinkToFit="0" vertical="bottom" wrapText="0"/>
    </xf>
    <xf borderId="0" fillId="0" fontId="83" numFmtId="0" xfId="0" applyAlignment="1" applyFont="1">
      <alignment readingOrder="0" shrinkToFit="0" vertical="bottom" wrapText="0"/>
    </xf>
    <xf borderId="0" fillId="0" fontId="6" numFmtId="0" xfId="0" applyAlignment="1" applyFont="1">
      <alignment horizontal="left" readingOrder="0"/>
    </xf>
    <xf borderId="0" fillId="0" fontId="6" numFmtId="0" xfId="0" applyAlignment="1" applyFont="1">
      <alignment horizontal="left" readingOrder="0"/>
    </xf>
    <xf borderId="0" fillId="0" fontId="6" numFmtId="0" xfId="0" applyAlignment="1" applyFont="1">
      <alignment horizontal="left" readingOrder="0" shrinkToFit="0" wrapText="1"/>
    </xf>
    <xf borderId="0" fillId="0" fontId="4" numFmtId="0" xfId="0" applyAlignment="1" applyFont="1">
      <alignment horizontal="left" readingOrder="0"/>
    </xf>
    <xf borderId="1" fillId="0" fontId="5" numFmtId="0" xfId="0" applyAlignment="1" applyBorder="1" applyFont="1">
      <alignment readingOrder="0"/>
    </xf>
    <xf borderId="1" fillId="0" fontId="5" numFmtId="0" xfId="0" applyAlignment="1" applyBorder="1" applyFont="1">
      <alignment readingOrder="0" shrinkToFit="0" wrapText="0"/>
    </xf>
    <xf borderId="1" fillId="0" fontId="5" numFmtId="0" xfId="0" applyBorder="1" applyFont="1"/>
    <xf borderId="1" fillId="10" fontId="5" numFmtId="0" xfId="0" applyAlignment="1" applyBorder="1" applyFont="1">
      <alignment readingOrder="0" shrinkToFit="0" wrapText="0"/>
    </xf>
    <xf borderId="7" fillId="0" fontId="9" numFmtId="0" xfId="0" applyAlignment="1" applyBorder="1" applyFont="1">
      <alignment horizontal="center" shrinkToFit="0" vertical="top" wrapText="1"/>
    </xf>
    <xf borderId="0" fillId="10" fontId="5" numFmtId="0" xfId="0" applyAlignment="1" applyFont="1">
      <alignment horizontal="left" readingOrder="0"/>
    </xf>
    <xf borderId="0" fillId="10" fontId="84" numFmtId="0" xfId="0" applyAlignment="1" applyFont="1">
      <alignment readingOrder="0" shrinkToFit="0" vertical="bottom" wrapText="0"/>
    </xf>
    <xf borderId="0" fillId="10" fontId="6" numFmtId="0" xfId="0" applyAlignment="1" applyFont="1">
      <alignment shrinkToFit="0" vertical="bottom" wrapText="1"/>
    </xf>
    <xf borderId="0" fillId="10" fontId="6" numFmtId="0" xfId="0" applyAlignment="1" applyFont="1">
      <alignment horizontal="right" vertical="bottom"/>
    </xf>
    <xf borderId="0" fillId="10" fontId="8" numFmtId="0" xfId="0" applyAlignment="1" applyFont="1">
      <alignment readingOrder="0" shrinkToFit="0" vertical="bottom" wrapText="0"/>
    </xf>
    <xf borderId="0" fillId="10" fontId="8" numFmtId="0" xfId="0" applyAlignment="1" applyFont="1">
      <alignment readingOrder="0" shrinkToFit="0" vertical="bottom" wrapText="0"/>
    </xf>
    <xf borderId="0" fillId="10" fontId="85" numFmtId="0" xfId="0" applyAlignment="1" applyFont="1">
      <alignment vertical="bottom"/>
    </xf>
    <xf borderId="0" fillId="10" fontId="8" numFmtId="0" xfId="0" applyAlignment="1" applyFont="1">
      <alignment vertical="bottom"/>
    </xf>
    <xf borderId="0" fillId="0" fontId="8" numFmtId="0" xfId="0" applyAlignment="1" applyFont="1">
      <alignment vertical="bottom"/>
    </xf>
    <xf borderId="0" fillId="10" fontId="8" numFmtId="0" xfId="0" applyAlignment="1" applyFont="1">
      <alignment shrinkToFit="0" vertical="bottom" wrapText="0"/>
    </xf>
    <xf borderId="0" fillId="10" fontId="86" numFmtId="0" xfId="0" applyAlignment="1" applyFont="1">
      <alignment readingOrder="0" shrinkToFit="0" vertical="bottom" wrapText="0"/>
    </xf>
    <xf borderId="0" fillId="10" fontId="87" numFmtId="0" xfId="0" applyAlignment="1" applyFont="1">
      <alignment readingOrder="0" shrinkToFit="0" vertical="bottom" wrapText="0"/>
    </xf>
    <xf borderId="0" fillId="10" fontId="87" numFmtId="0" xfId="0" applyAlignment="1" applyFont="1">
      <alignment vertical="bottom"/>
    </xf>
    <xf borderId="0" fillId="10" fontId="87" numFmtId="49" xfId="0" applyAlignment="1" applyFont="1" applyNumberFormat="1">
      <alignment readingOrder="0" shrinkToFit="0" vertical="bottom" wrapText="0"/>
    </xf>
    <xf borderId="0" fillId="10" fontId="6" numFmtId="49" xfId="0" applyAlignment="1" applyFont="1" applyNumberFormat="1">
      <alignment readingOrder="0" shrinkToFit="0" vertical="bottom" wrapText="0"/>
    </xf>
    <xf borderId="0" fillId="10" fontId="88" numFmtId="0" xfId="0" applyAlignment="1" applyFont="1">
      <alignment readingOrder="0" shrinkToFit="0" vertical="bottom" wrapText="0"/>
    </xf>
    <xf borderId="0" fillId="10" fontId="87" numFmtId="0" xfId="0" applyAlignment="1" applyFont="1">
      <alignment shrinkToFit="0" vertical="bottom" wrapText="0"/>
    </xf>
    <xf borderId="0" fillId="10" fontId="6" numFmtId="0" xfId="0" applyAlignment="1" applyFont="1">
      <alignment horizontal="left" vertical="bottom"/>
    </xf>
    <xf borderId="0" fillId="0" fontId="8" numFmtId="0" xfId="0" applyAlignment="1" applyFont="1">
      <alignment readingOrder="0" vertical="bottom"/>
    </xf>
    <xf borderId="0" fillId="10" fontId="8" numFmtId="49" xfId="0" applyAlignment="1" applyFont="1" applyNumberFormat="1">
      <alignment readingOrder="0" shrinkToFit="0" vertical="bottom" wrapText="0"/>
    </xf>
    <xf borderId="0" fillId="10" fontId="28" numFmtId="0" xfId="0" applyAlignment="1" applyFont="1">
      <alignment readingOrder="0"/>
    </xf>
    <xf borderId="0" fillId="10" fontId="5" numFmtId="0" xfId="0" applyAlignment="1" applyFont="1">
      <alignment readingOrder="0"/>
    </xf>
    <xf borderId="0" fillId="0" fontId="8" numFmtId="0" xfId="0" applyAlignment="1" applyFont="1">
      <alignment readingOrder="0" shrinkToFit="0" vertical="bottom" wrapText="0"/>
    </xf>
    <xf borderId="0" fillId="0" fontId="5" numFmtId="0" xfId="0" applyAlignment="1" applyFont="1">
      <alignment readingOrder="0"/>
    </xf>
    <xf borderId="0" fillId="0" fontId="89" numFmtId="0" xfId="0" applyAlignment="1" applyFont="1">
      <alignment readingOrder="0"/>
    </xf>
    <xf borderId="0" fillId="0" fontId="6" numFmtId="0" xfId="0" applyAlignment="1" applyFont="1">
      <alignment horizontal="left" readingOrder="0" shrinkToFit="0" vertical="top" wrapText="0"/>
    </xf>
    <xf borderId="0" fillId="10" fontId="6" numFmtId="0" xfId="0" applyAlignment="1" applyFont="1">
      <alignment shrinkToFit="0" vertical="bottom" wrapText="1"/>
    </xf>
    <xf borderId="0" fillId="0" fontId="90" numFmtId="0" xfId="0" applyAlignment="1" applyFont="1">
      <alignment horizontal="left" readingOrder="1" shrinkToFit="0" vertical="center" wrapText="1"/>
    </xf>
    <xf borderId="1" fillId="12" fontId="91" numFmtId="0" xfId="0" applyAlignment="1" applyBorder="1" applyFill="1" applyFont="1">
      <alignment horizontal="center" vertical="center"/>
    </xf>
    <xf borderId="1" fillId="13" fontId="6" numFmtId="0" xfId="0" applyAlignment="1" applyBorder="1" applyFill="1" applyFont="1">
      <alignment shrinkToFit="0" vertical="top" wrapText="1"/>
    </xf>
    <xf borderId="1" fillId="13" fontId="6" numFmtId="0" xfId="0" applyAlignment="1" applyBorder="1" applyFont="1">
      <alignment readingOrder="0" shrinkToFit="0" vertical="top" wrapText="1"/>
    </xf>
    <xf borderId="1" fillId="14" fontId="6" numFmtId="0" xfId="0" applyAlignment="1" applyBorder="1" applyFill="1" applyFont="1">
      <alignment shrinkToFit="0" vertical="top" wrapText="1"/>
    </xf>
    <xf borderId="1" fillId="15" fontId="6" numFmtId="0" xfId="0" applyAlignment="1" applyBorder="1" applyFill="1" applyFont="1">
      <alignment shrinkToFit="0" vertical="top" wrapText="1"/>
    </xf>
    <xf borderId="1" fillId="16" fontId="6" numFmtId="0" xfId="0" applyAlignment="1" applyBorder="1" applyFill="1" applyFont="1">
      <alignment shrinkToFit="0" vertical="top" wrapText="1"/>
    </xf>
    <xf borderId="1" fillId="0" fontId="12" numFmtId="0" xfId="0" applyAlignment="1" applyBorder="1" applyFont="1">
      <alignment horizontal="center" shrinkToFit="0" vertical="top" wrapText="1"/>
    </xf>
    <xf borderId="1" fillId="0" fontId="13" numFmtId="0" xfId="0" applyAlignment="1" applyBorder="1" applyFont="1">
      <alignment horizontal="center" shrinkToFit="0" vertical="top" wrapText="1"/>
    </xf>
    <xf borderId="1" fillId="0" fontId="12" numFmtId="0" xfId="0" applyAlignment="1" applyBorder="1" applyFont="1">
      <alignment horizontal="center" readingOrder="0" shrinkToFit="0" vertical="top" wrapText="1"/>
    </xf>
    <xf borderId="7" fillId="0" fontId="13" numFmtId="0" xfId="0" applyAlignment="1" applyBorder="1" applyFont="1">
      <alignment horizontal="center" readingOrder="0" shrinkToFit="0" vertical="top" wrapText="1"/>
    </xf>
    <xf borderId="7" fillId="0" fontId="13" numFmtId="0" xfId="0" applyAlignment="1" applyBorder="1" applyFont="1">
      <alignment horizontal="center" shrinkToFit="0" vertical="top" wrapText="1"/>
    </xf>
    <xf borderId="0" fillId="17" fontId="5" numFmtId="0" xfId="0" applyFill="1" applyFont="1"/>
    <xf borderId="0" fillId="17" fontId="5" numFmtId="0" xfId="0" applyAlignment="1" applyFont="1">
      <alignment readingOrder="0"/>
    </xf>
    <xf borderId="0" fillId="18" fontId="5" numFmtId="0" xfId="0" applyFill="1" applyFont="1"/>
    <xf borderId="0" fillId="18" fontId="5" numFmtId="0" xfId="0" applyAlignment="1" applyFont="1">
      <alignment readingOrder="0"/>
    </xf>
    <xf quotePrefix="1" borderId="0" fillId="4" fontId="8" numFmtId="49" xfId="0" applyAlignment="1" applyFont="1" applyNumberFormat="1">
      <alignment readingOrder="0" shrinkToFit="0" vertical="bottom" wrapText="0"/>
    </xf>
    <xf borderId="0" fillId="4" fontId="5" numFmtId="0" xfId="0" applyAlignment="1" applyFont="1">
      <alignment readingOrder="0"/>
    </xf>
    <xf borderId="2" fillId="19" fontId="5" numFmtId="0" xfId="0" applyAlignment="1" applyBorder="1" applyFill="1" applyFont="1">
      <alignment readingOrder="0"/>
    </xf>
    <xf borderId="3" fillId="19" fontId="5" numFmtId="0" xfId="0" applyBorder="1" applyFont="1"/>
    <xf borderId="4" fillId="19" fontId="5" numFmtId="0" xfId="0" applyBorder="1" applyFont="1"/>
    <xf borderId="0" fillId="20" fontId="8" numFmtId="0" xfId="0" applyAlignment="1" applyFill="1" applyFont="1">
      <alignment readingOrder="0" shrinkToFit="0" vertical="bottom" wrapText="0"/>
    </xf>
    <xf borderId="0" fillId="20" fontId="5" numFmtId="0" xfId="0" applyAlignment="1" applyFont="1">
      <alignment readingOrder="0"/>
    </xf>
    <xf borderId="0" fillId="20" fontId="5" numFmtId="0" xfId="0" applyFont="1"/>
    <xf borderId="0" fillId="6" fontId="5" numFmtId="0" xfId="0" applyFont="1"/>
    <xf borderId="0" fillId="6" fontId="5" numFmtId="0" xfId="0" applyAlignment="1" applyFont="1">
      <alignment readingOrder="0"/>
    </xf>
    <xf borderId="9" fillId="0" fontId="5" numFmtId="0" xfId="0" applyBorder="1" applyFont="1"/>
    <xf borderId="10" fillId="0" fontId="5" numFmtId="0" xfId="0" applyBorder="1" applyFont="1"/>
    <xf borderId="6" fillId="0" fontId="5" numFmtId="0" xfId="0" applyBorder="1" applyFont="1"/>
    <xf borderId="0" fillId="18" fontId="8" numFmtId="0" xfId="0" applyAlignment="1" applyFont="1">
      <alignment readingOrder="0" shrinkToFit="0" vertical="bottom" wrapText="0"/>
    </xf>
    <xf quotePrefix="1" borderId="0" fillId="18" fontId="8" numFmtId="49" xfId="0" applyAlignment="1" applyFont="1" applyNumberFormat="1">
      <alignment readingOrder="0" shrinkToFit="0" vertical="bottom" wrapText="0"/>
    </xf>
    <xf borderId="0" fillId="18" fontId="8" numFmtId="0" xfId="0" applyAlignment="1" applyFont="1">
      <alignment shrinkToFit="0" vertical="bottom" wrapText="0"/>
    </xf>
    <xf borderId="0" fillId="6" fontId="8" numFmtId="0" xfId="0" applyAlignment="1" applyFont="1">
      <alignment readingOrder="0" shrinkToFit="0" vertical="bottom" wrapText="0"/>
    </xf>
    <xf quotePrefix="1" borderId="0" fillId="6" fontId="8" numFmtId="49" xfId="0" applyAlignment="1" applyFont="1" applyNumberFormat="1">
      <alignment readingOrder="0" shrinkToFit="0" vertical="bottom" wrapText="0"/>
    </xf>
    <xf borderId="0" fillId="6" fontId="8" numFmtId="0" xfId="0" applyAlignment="1" applyFont="1">
      <alignment shrinkToFit="0" vertical="bottom" wrapText="0"/>
    </xf>
    <xf borderId="0" fillId="17" fontId="92" numFmtId="0" xfId="0" applyAlignment="1" applyFont="1">
      <alignment readingOrder="0"/>
    </xf>
    <xf borderId="0" fillId="0" fontId="93" numFmtId="0" xfId="0" applyFont="1"/>
    <xf borderId="0" fillId="6" fontId="94" numFmtId="0" xfId="0" applyAlignment="1" applyFont="1">
      <alignment readingOrder="0"/>
    </xf>
    <xf borderId="0" fillId="17" fontId="95" numFmtId="0" xfId="0" applyAlignment="1" applyFont="1">
      <alignment readingOrder="0"/>
    </xf>
    <xf borderId="0" fillId="0" fontId="96" numFmtId="0" xfId="0" applyAlignment="1" applyFont="1">
      <alignment readingOrder="0" shrinkToFit="0" vertical="bottom" wrapText="0"/>
    </xf>
    <xf borderId="0" fillId="4" fontId="97" numFmtId="0" xfId="0" applyAlignment="1" applyFont="1">
      <alignment readingOrder="0"/>
    </xf>
    <xf borderId="12" fillId="0" fontId="5" numFmtId="0" xfId="0" applyBorder="1" applyFont="1"/>
    <xf borderId="0" fillId="17" fontId="8" numFmtId="0" xfId="0" applyAlignment="1" applyFont="1">
      <alignment readingOrder="0" shrinkToFit="0" vertical="bottom" wrapText="0"/>
    </xf>
    <xf quotePrefix="1" borderId="0" fillId="17" fontId="8" numFmtId="49" xfId="0" applyAlignment="1" applyFont="1" applyNumberFormat="1">
      <alignment readingOrder="0" shrinkToFit="0" vertical="bottom" wrapText="0"/>
    </xf>
    <xf borderId="7" fillId="0" fontId="13" numFmtId="0" xfId="0" applyAlignment="1" applyBorder="1" applyFont="1">
      <alignment horizontal="center" readingOrder="0" shrinkToFit="0" vertical="top" wrapText="1"/>
    </xf>
    <xf borderId="6" fillId="0" fontId="13" numFmtId="0" xfId="0" applyAlignment="1" applyBorder="1" applyFont="1">
      <alignment horizontal="center" readingOrder="0" shrinkToFit="0" vertical="top" wrapText="1"/>
    </xf>
    <xf borderId="6" fillId="0" fontId="13" numFmtId="0" xfId="0" applyAlignment="1" applyBorder="1" applyFont="1">
      <alignment horizontal="center" readingOrder="0" shrinkToFit="0" vertical="top" wrapText="1"/>
    </xf>
    <xf borderId="0" fillId="0" fontId="13" numFmtId="0" xfId="0" applyAlignment="1" applyFont="1">
      <alignment horizontal="center" shrinkToFit="0" vertical="top" wrapText="1"/>
    </xf>
    <xf borderId="0" fillId="10" fontId="98" numFmtId="0" xfId="0" applyAlignment="1" applyFont="1">
      <alignment readingOrder="0" shrinkToFit="0" vertical="bottom" wrapText="0"/>
    </xf>
    <xf borderId="14" fillId="10" fontId="8" numFmtId="0" xfId="0" applyAlignment="1" applyBorder="1" applyFont="1">
      <alignment shrinkToFit="0" vertical="bottom" wrapText="0"/>
    </xf>
    <xf borderId="0" fillId="10" fontId="8" numFmtId="0" xfId="0" applyAlignment="1" applyFont="1">
      <alignment shrinkToFit="0" vertical="bottom" wrapText="0"/>
    </xf>
    <xf borderId="0" fillId="17" fontId="99" numFmtId="0" xfId="0" applyAlignment="1" applyFont="1">
      <alignment readingOrder="0" shrinkToFit="0" vertical="bottom" wrapText="0"/>
    </xf>
    <xf borderId="0" fillId="17" fontId="5" numFmtId="0" xfId="0" applyAlignment="1" applyFont="1">
      <alignment shrinkToFit="0" wrapText="0"/>
    </xf>
    <xf borderId="0" fillId="17" fontId="5" numFmtId="0" xfId="0" applyAlignment="1" applyFont="1">
      <alignment readingOrder="0" shrinkToFit="0" wrapText="0"/>
    </xf>
    <xf borderId="0" fillId="17" fontId="8" numFmtId="0" xfId="0" applyAlignment="1" applyFont="1">
      <alignment shrinkToFit="0" vertical="bottom" wrapText="0"/>
    </xf>
    <xf borderId="0" fillId="17" fontId="8" numFmtId="0" xfId="0" applyAlignment="1" applyFont="1">
      <alignment readingOrder="0" shrinkToFit="0" vertical="bottom" wrapText="0"/>
    </xf>
    <xf borderId="0" fillId="18" fontId="100" numFmtId="0" xfId="0" applyAlignment="1" applyFont="1">
      <alignment readingOrder="0" shrinkToFit="0" vertical="bottom" wrapText="0"/>
    </xf>
    <xf borderId="0" fillId="18" fontId="8" numFmtId="0" xfId="0" applyAlignment="1" applyFont="1">
      <alignment shrinkToFit="0" vertical="bottom" wrapText="0"/>
    </xf>
    <xf borderId="0" fillId="18" fontId="96" numFmtId="0" xfId="0" applyAlignment="1" applyFont="1">
      <alignment readingOrder="0" shrinkToFit="0" vertical="bottom" wrapText="0"/>
    </xf>
    <xf borderId="0" fillId="18" fontId="8" numFmtId="0" xfId="0" applyAlignment="1" applyFont="1">
      <alignment readingOrder="0" shrinkToFit="0" vertical="bottom" wrapText="0"/>
    </xf>
    <xf borderId="0" fillId="18" fontId="5" numFmtId="0" xfId="0" applyAlignment="1" applyFont="1">
      <alignment readingOrder="0" shrinkToFit="0" wrapText="0"/>
    </xf>
    <xf borderId="0" fillId="18" fontId="5" numFmtId="0" xfId="0" applyAlignment="1" applyFont="1">
      <alignment shrinkToFit="0" wrapText="0"/>
    </xf>
    <xf borderId="0" fillId="0" fontId="8" numFmtId="0" xfId="0" applyAlignment="1" applyFont="1">
      <alignment shrinkToFit="0" vertical="bottom" wrapText="0"/>
    </xf>
    <xf borderId="0" fillId="0" fontId="6" numFmtId="0" xfId="0" applyAlignment="1" applyFont="1">
      <alignment horizontal="right" readingOrder="0" shrinkToFit="0" vertical="bottom" wrapText="0"/>
    </xf>
    <xf borderId="0" fillId="6" fontId="101" numFmtId="0" xfId="0" applyAlignment="1" applyFont="1">
      <alignment readingOrder="0" shrinkToFit="0" vertical="bottom" wrapText="0"/>
    </xf>
    <xf borderId="0" fillId="6" fontId="8" numFmtId="0" xfId="0" applyAlignment="1" applyFont="1">
      <alignment shrinkToFit="0" vertical="bottom" wrapText="0"/>
    </xf>
    <xf borderId="0" fillId="6" fontId="5" numFmtId="0" xfId="0" applyAlignment="1" applyFont="1">
      <alignment shrinkToFit="0" wrapText="0"/>
    </xf>
    <xf borderId="0" fillId="6" fontId="8" numFmtId="0" xfId="0" applyAlignment="1" applyFont="1">
      <alignment readingOrder="0" shrinkToFit="0" vertical="bottom" wrapText="0"/>
    </xf>
    <xf borderId="0" fillId="0" fontId="8" numFmtId="0" xfId="0" applyAlignment="1" applyFont="1">
      <alignment horizontal="right" readingOrder="0" shrinkToFit="0" vertical="bottom" wrapText="0"/>
    </xf>
    <xf borderId="0" fillId="5" fontId="102" numFmtId="0" xfId="0" applyAlignment="1" applyFont="1">
      <alignment readingOrder="0" shrinkToFit="0" vertical="bottom" wrapText="0"/>
    </xf>
    <xf borderId="0" fillId="5" fontId="8" numFmtId="0" xfId="0" applyAlignment="1" applyFont="1">
      <alignment horizontal="right" readingOrder="0" shrinkToFit="0" vertical="bottom" wrapText="0"/>
    </xf>
    <xf borderId="0" fillId="5" fontId="8" numFmtId="0" xfId="0" applyAlignment="1" applyFont="1">
      <alignment shrinkToFit="0" vertical="bottom" wrapText="0"/>
    </xf>
    <xf borderId="0" fillId="5" fontId="8" numFmtId="0" xfId="0" applyAlignment="1" applyFont="1">
      <alignment shrinkToFit="0" vertical="bottom" wrapText="0"/>
    </xf>
    <xf borderId="0" fillId="5" fontId="8" numFmtId="0" xfId="0" applyAlignment="1" applyFont="1">
      <alignment readingOrder="0" shrinkToFit="0" vertical="bottom" wrapText="0"/>
    </xf>
    <xf borderId="0" fillId="5" fontId="5" numFmtId="0" xfId="0" applyAlignment="1" applyFont="1">
      <alignment readingOrder="0"/>
    </xf>
    <xf borderId="0" fillId="5" fontId="5" numFmtId="0" xfId="0" applyAlignment="1" applyFont="1">
      <alignment shrinkToFit="0" wrapText="0"/>
    </xf>
    <xf borderId="0" fillId="17" fontId="8" numFmtId="0" xfId="0" applyAlignment="1" applyFont="1">
      <alignment horizontal="right" readingOrder="0" shrinkToFit="0" vertical="bottom" wrapText="0"/>
    </xf>
    <xf borderId="0" fillId="17" fontId="8" numFmtId="0" xfId="0" applyAlignment="1" applyFont="1">
      <alignment shrinkToFit="0" vertical="bottom" wrapText="0"/>
    </xf>
    <xf borderId="2" fillId="0" fontId="5" numFmtId="0" xfId="0" applyBorder="1" applyFont="1"/>
    <xf borderId="3" fillId="0" fontId="5" numFmtId="0" xfId="0" applyBorder="1" applyFont="1"/>
    <xf borderId="3" fillId="0" fontId="103" numFmtId="0" xfId="0" applyAlignment="1" applyBorder="1" applyFont="1">
      <alignment readingOrder="0" shrinkToFit="0" vertical="bottom" wrapText="0"/>
    </xf>
    <xf borderId="3" fillId="0" fontId="8" numFmtId="0" xfId="0" applyAlignment="1" applyBorder="1" applyFont="1">
      <alignment horizontal="right" readingOrder="0" shrinkToFit="0" vertical="bottom" wrapText="0"/>
    </xf>
    <xf borderId="3" fillId="0" fontId="8" numFmtId="0" xfId="0" applyAlignment="1" applyBorder="1" applyFont="1">
      <alignment readingOrder="0" shrinkToFit="0" vertical="bottom" wrapText="0"/>
    </xf>
    <xf borderId="3" fillId="0" fontId="8" numFmtId="0" xfId="0" applyAlignment="1" applyBorder="1" applyFont="1">
      <alignment shrinkToFit="0" vertical="bottom" wrapText="0"/>
    </xf>
    <xf borderId="4" fillId="0" fontId="8" numFmtId="0" xfId="0" applyAlignment="1" applyBorder="1" applyFont="1">
      <alignment shrinkToFit="0" vertical="bottom" wrapText="0"/>
    </xf>
    <xf quotePrefix="1" borderId="0" fillId="18" fontId="8" numFmtId="0" xfId="0" applyAlignment="1" applyFont="1">
      <alignment readingOrder="0" shrinkToFit="0" vertical="bottom" wrapText="0"/>
    </xf>
    <xf borderId="0" fillId="18" fontId="8" numFmtId="0" xfId="0" applyAlignment="1" applyFont="1">
      <alignment horizontal="right" readingOrder="0" shrinkToFit="0" vertical="bottom" wrapText="0"/>
    </xf>
    <xf borderId="0" fillId="18" fontId="8" numFmtId="0" xfId="0" applyAlignment="1" applyFont="1">
      <alignment shrinkToFit="0" vertical="bottom" wrapText="0"/>
    </xf>
    <xf quotePrefix="1" borderId="0" fillId="0" fontId="8" numFmtId="0" xfId="0" applyAlignment="1" applyFont="1">
      <alignment readingOrder="0" shrinkToFit="0" vertical="bottom" wrapText="0"/>
    </xf>
    <xf quotePrefix="1" borderId="0" fillId="4" fontId="8" numFmtId="0" xfId="0" applyAlignment="1" applyFont="1">
      <alignment readingOrder="0" shrinkToFit="0" vertical="bottom" wrapText="0"/>
    </xf>
    <xf borderId="0" fillId="4" fontId="104" numFmtId="0" xfId="0" applyAlignment="1" applyFont="1">
      <alignment readingOrder="0" shrinkToFit="0" vertical="bottom" wrapText="0"/>
    </xf>
    <xf borderId="0" fillId="4" fontId="8" numFmtId="0" xfId="0" applyAlignment="1" applyFont="1">
      <alignment horizontal="right" readingOrder="0" shrinkToFit="0" vertical="bottom" wrapText="0"/>
    </xf>
    <xf borderId="0" fillId="4" fontId="8" numFmtId="0" xfId="0" applyAlignment="1" applyFont="1">
      <alignment shrinkToFit="0" vertical="bottom" wrapText="0"/>
    </xf>
    <xf borderId="0" fillId="4" fontId="8" numFmtId="0" xfId="0" applyAlignment="1" applyFont="1">
      <alignment readingOrder="0" shrinkToFit="0" vertical="bottom" wrapText="0"/>
    </xf>
    <xf borderId="0" fillId="7" fontId="8" numFmtId="0" xfId="0" applyAlignment="1" applyFont="1">
      <alignment readingOrder="0" shrinkToFit="0" vertical="bottom" wrapText="0"/>
    </xf>
    <xf quotePrefix="1" borderId="0" fillId="7" fontId="8" numFmtId="0" xfId="0" applyAlignment="1" applyFont="1">
      <alignment readingOrder="0" shrinkToFit="0" vertical="bottom" wrapText="0"/>
    </xf>
    <xf borderId="0" fillId="7" fontId="105" numFmtId="0" xfId="0" applyAlignment="1" applyFont="1">
      <alignment readingOrder="0" shrinkToFit="0" vertical="bottom" wrapText="0"/>
    </xf>
    <xf borderId="0" fillId="7" fontId="8" numFmtId="0" xfId="0" applyAlignment="1" applyFont="1">
      <alignment horizontal="right" readingOrder="0" shrinkToFit="0" vertical="bottom" wrapText="0"/>
    </xf>
    <xf borderId="0" fillId="7" fontId="8" numFmtId="0" xfId="0" applyAlignment="1" applyFont="1">
      <alignment shrinkToFit="0" vertical="bottom" wrapText="0"/>
    </xf>
    <xf borderId="0" fillId="7" fontId="8" numFmtId="0" xfId="0" applyAlignment="1" applyFont="1">
      <alignment shrinkToFit="0" vertical="bottom" wrapText="0"/>
    </xf>
    <xf borderId="0" fillId="5" fontId="5" numFmtId="49" xfId="0" applyFont="1" applyNumberFormat="1"/>
    <xf borderId="0" fillId="5" fontId="106" numFmtId="0" xfId="0" applyAlignment="1" applyFont="1">
      <alignment readingOrder="0" shrinkToFit="0" wrapText="0"/>
    </xf>
    <xf borderId="0" fillId="5" fontId="5" numFmtId="0" xfId="0" applyAlignment="1" applyFont="1">
      <alignment readingOrder="0" shrinkToFit="0" wrapText="0"/>
    </xf>
    <xf borderId="0" fillId="4" fontId="5" numFmtId="49" xfId="0" applyFont="1" applyNumberFormat="1"/>
    <xf borderId="0" fillId="4" fontId="5" numFmtId="0" xfId="0" applyAlignment="1" applyFont="1">
      <alignment shrinkToFit="0" wrapText="0"/>
    </xf>
    <xf borderId="0" fillId="4" fontId="107" numFmtId="0" xfId="0" applyAlignment="1" applyFont="1">
      <alignment readingOrder="0" shrinkToFit="0" wrapText="0"/>
    </xf>
    <xf borderId="0" fillId="5" fontId="108" numFmtId="0" xfId="0" applyAlignment="1" applyFont="1">
      <alignment readingOrder="0" shrinkToFit="0" wrapText="0"/>
    </xf>
    <xf borderId="0" fillId="18" fontId="5" numFmtId="49" xfId="0" applyFont="1" applyNumberFormat="1"/>
    <xf borderId="0" fillId="18" fontId="109" numFmtId="0" xfId="0" applyAlignment="1" applyFont="1">
      <alignment readingOrder="0" shrinkToFit="0" wrapText="0"/>
    </xf>
    <xf borderId="0" fillId="6" fontId="5" numFmtId="49" xfId="0" applyFont="1" applyNumberFormat="1"/>
    <xf borderId="0" fillId="0" fontId="110" numFmtId="0" xfId="0" applyAlignment="1" applyFont="1">
      <alignment readingOrder="0" shrinkToFit="0" vertical="bottom" wrapText="0"/>
    </xf>
    <xf borderId="0" fillId="0" fontId="111" numFmtId="0" xfId="0" applyAlignment="1" applyFont="1">
      <alignment readingOrder="0" shrinkToFit="0" vertical="bottom" wrapText="0"/>
    </xf>
    <xf borderId="0" fillId="18" fontId="112" numFmtId="0" xfId="0" applyFont="1"/>
    <xf borderId="0" fillId="18" fontId="113" numFmtId="0" xfId="0" applyAlignment="1" applyFont="1">
      <alignment readingOrder="0"/>
    </xf>
    <xf borderId="0" fillId="18" fontId="112" numFmtId="0" xfId="0" applyAlignment="1" applyFont="1">
      <alignment readingOrder="0"/>
    </xf>
    <xf borderId="0" fillId="10" fontId="114" numFmtId="0" xfId="0" applyAlignment="1" applyFont="1">
      <alignment readingOrder="0"/>
    </xf>
    <xf borderId="0" fillId="0" fontId="8" numFmtId="49" xfId="0" applyAlignment="1" applyFont="1" applyNumberFormat="1">
      <alignment readingOrder="0" shrinkToFit="0" vertical="bottom" wrapText="0"/>
    </xf>
    <xf borderId="0" fillId="21" fontId="8" numFmtId="0" xfId="0" applyAlignment="1" applyFill="1" applyFont="1">
      <alignment readingOrder="0" shrinkToFit="0" vertical="bottom" wrapText="0"/>
    </xf>
    <xf borderId="0" fillId="21" fontId="115" numFmtId="49" xfId="0" applyAlignment="1" applyFont="1" applyNumberFormat="1">
      <alignment readingOrder="0" shrinkToFit="0" vertical="bottom" wrapText="0"/>
    </xf>
    <xf quotePrefix="1" borderId="0" fillId="21" fontId="6" numFmtId="49" xfId="0" applyAlignment="1" applyFont="1" applyNumberFormat="1">
      <alignment vertical="bottom"/>
    </xf>
    <xf borderId="0" fillId="21" fontId="6" numFmtId="0" xfId="0" applyAlignment="1" applyFont="1">
      <alignment vertical="bottom"/>
    </xf>
    <xf borderId="0" fillId="21" fontId="6" numFmtId="0" xfId="0" applyAlignment="1" applyFont="1">
      <alignment vertical="bottom"/>
    </xf>
    <xf borderId="0" fillId="21" fontId="8" numFmtId="0" xfId="0" applyAlignment="1" applyFont="1">
      <alignment shrinkToFit="0" vertical="bottom" wrapText="0"/>
    </xf>
    <xf borderId="0" fillId="21" fontId="5" numFmtId="0" xfId="0" applyFont="1"/>
    <xf borderId="0" fillId="21" fontId="5" numFmtId="0" xfId="0" applyAlignment="1" applyFont="1">
      <alignment readingOrder="0"/>
    </xf>
    <xf borderId="0" fillId="18" fontId="116" numFmtId="49" xfId="0" applyAlignment="1" applyFont="1" applyNumberFormat="1">
      <alignment readingOrder="0" shrinkToFit="0" vertical="bottom" wrapText="0"/>
    </xf>
    <xf quotePrefix="1" borderId="0" fillId="18" fontId="6" numFmtId="49" xfId="0" applyAlignment="1" applyFont="1" applyNumberFormat="1">
      <alignment vertical="bottom"/>
    </xf>
    <xf borderId="0" fillId="18" fontId="6" numFmtId="0" xfId="0" applyAlignment="1" applyFont="1">
      <alignment vertical="bottom"/>
    </xf>
    <xf borderId="0" fillId="18" fontId="6" numFmtId="0" xfId="0" applyAlignment="1" applyFont="1">
      <alignment readingOrder="0" vertical="bottom"/>
    </xf>
    <xf borderId="0" fillId="22" fontId="8" numFmtId="0" xfId="0" applyAlignment="1" applyFill="1" applyFont="1">
      <alignment readingOrder="0" shrinkToFit="0" vertical="bottom" wrapText="0"/>
    </xf>
    <xf borderId="0" fillId="22" fontId="117" numFmtId="49" xfId="0" applyAlignment="1" applyFont="1" applyNumberFormat="1">
      <alignment readingOrder="0" shrinkToFit="0" vertical="bottom" wrapText="0"/>
    </xf>
    <xf quotePrefix="1" borderId="0" fillId="22" fontId="6" numFmtId="49" xfId="0" applyAlignment="1" applyFont="1" applyNumberFormat="1">
      <alignment vertical="bottom"/>
    </xf>
    <xf borderId="0" fillId="22" fontId="6" numFmtId="0" xfId="0" applyAlignment="1" applyFont="1">
      <alignment vertical="bottom"/>
    </xf>
    <xf borderId="0" fillId="22" fontId="6" numFmtId="0" xfId="0" applyAlignment="1" applyFont="1">
      <alignment vertical="bottom"/>
    </xf>
    <xf borderId="0" fillId="22" fontId="8" numFmtId="0" xfId="0" applyAlignment="1" applyFont="1">
      <alignment shrinkToFit="0" vertical="bottom" wrapText="0"/>
    </xf>
    <xf borderId="0" fillId="22" fontId="5" numFmtId="0" xfId="0" applyFont="1"/>
    <xf borderId="0" fillId="22" fontId="5" numFmtId="0" xfId="0" applyAlignment="1" applyFont="1">
      <alignment readingOrder="0"/>
    </xf>
    <xf borderId="0" fillId="0" fontId="10" numFmtId="0" xfId="0" applyAlignment="1" applyFont="1">
      <alignment horizontal="center" readingOrder="0" shrinkToFit="0" vertical="top" wrapText="1"/>
    </xf>
    <xf borderId="0" fillId="0" fontId="0" numFmtId="0" xfId="0" applyFont="1"/>
    <xf borderId="0" fillId="0" fontId="0" numFmtId="0" xfId="0" applyAlignment="1" applyFont="1">
      <alignment readingOrder="0"/>
    </xf>
    <xf borderId="0" fillId="0" fontId="0" numFmtId="0" xfId="0" applyFont="1"/>
    <xf borderId="0" fillId="18" fontId="0" numFmtId="0" xfId="0" applyFont="1"/>
    <xf borderId="0" fillId="18" fontId="0" numFmtId="0" xfId="0" applyAlignment="1" applyFont="1">
      <alignment readingOrder="0"/>
    </xf>
    <xf borderId="0" fillId="0" fontId="0" numFmtId="0" xfId="0" applyAlignment="1" applyFont="1">
      <alignment shrinkToFit="0" wrapText="0"/>
    </xf>
    <xf borderId="0" fillId="0" fontId="0" numFmtId="0" xfId="0" applyAlignment="1" applyFont="1">
      <alignment readingOrder="0" shrinkToFit="0" wrapText="0"/>
    </xf>
    <xf borderId="0" fillId="0" fontId="0" numFmtId="0" xfId="0" applyAlignment="1" applyFont="1">
      <alignment shrinkToFit="0" wrapText="0"/>
    </xf>
    <xf borderId="0" fillId="0" fontId="5" numFmtId="0" xfId="0" applyAlignment="1" applyFont="1">
      <alignment shrinkToFit="0" wrapText="0"/>
    </xf>
    <xf borderId="0" fillId="6" fontId="0" numFmtId="0" xfId="0" applyFont="1"/>
    <xf borderId="0" fillId="6" fontId="0" numFmtId="0" xfId="0" applyAlignment="1" applyFont="1">
      <alignment readingOrder="0"/>
    </xf>
    <xf borderId="0" fillId="6" fontId="0" numFmtId="0" xfId="0" applyFont="1"/>
    <xf borderId="0" fillId="17" fontId="0" numFmtId="0" xfId="0" applyFont="1"/>
    <xf borderId="0" fillId="17" fontId="0" numFmtId="0" xfId="0" applyAlignment="1" applyFont="1">
      <alignment readingOrder="0"/>
    </xf>
    <xf borderId="15" fillId="0" fontId="82" numFmtId="0" xfId="0" applyAlignment="1" applyBorder="1" applyFont="1">
      <alignment readingOrder="0" shrinkToFit="0" vertical="bottom" wrapText="0"/>
    </xf>
    <xf borderId="15" fillId="0" fontId="79" numFmtId="0" xfId="0" applyAlignment="1" applyBorder="1" applyFont="1">
      <alignment readingOrder="0" shrinkToFit="0" vertical="bottom" wrapText="0"/>
    </xf>
    <xf borderId="16" fillId="0" fontId="79" numFmtId="0" xfId="0" applyAlignment="1" applyBorder="1" applyFont="1">
      <alignment readingOrder="0" shrinkToFit="0" vertical="bottom" wrapText="0"/>
    </xf>
    <xf borderId="0" fillId="0" fontId="118" numFmtId="0" xfId="0" applyAlignment="1" applyFont="1">
      <alignment horizontal="center" readingOrder="0"/>
    </xf>
    <xf borderId="0" fillId="0" fontId="119" numFmtId="0" xfId="0" applyAlignment="1" applyFont="1">
      <alignment horizontal="left" readingOrder="0" shrinkToFit="0" vertical="top" wrapText="1"/>
    </xf>
    <xf borderId="0" fillId="0" fontId="8" numFmtId="0" xfId="0" applyAlignment="1" applyFont="1">
      <alignment readingOrder="0" shrinkToFit="0" wrapText="1"/>
    </xf>
    <xf borderId="0" fillId="0" fontId="6" numFmtId="0" xfId="0" applyAlignment="1" applyFont="1">
      <alignment horizontal="center" readingOrder="0" vertical="bottom"/>
    </xf>
    <xf borderId="0" fillId="0" fontId="5" numFmtId="0" xfId="0" applyAlignment="1" applyFont="1">
      <alignment shrinkToFit="0" wrapText="1"/>
    </xf>
    <xf borderId="0" fillId="0" fontId="8" numFmtId="0" xfId="0" applyAlignment="1" applyFont="1">
      <alignment readingOrder="0" shrinkToFit="0" vertical="bottom" wrapText="1"/>
    </xf>
    <xf borderId="0" fillId="6" fontId="5" numFmtId="0" xfId="0" applyAlignment="1" applyFont="1">
      <alignment shrinkToFit="0" wrapText="1"/>
    </xf>
    <xf borderId="0" fillId="6" fontId="120" numFmtId="0" xfId="0" applyAlignment="1" applyFont="1">
      <alignment vertical="bottom"/>
    </xf>
    <xf borderId="0" fillId="6" fontId="120" numFmtId="49" xfId="0" applyAlignment="1" applyFont="1" applyNumberFormat="1">
      <alignment vertical="bottom"/>
    </xf>
    <xf borderId="0" fillId="6" fontId="120" numFmtId="0" xfId="0" applyAlignment="1" applyFont="1">
      <alignment readingOrder="0" vertical="bottom"/>
    </xf>
    <xf borderId="0" fillId="6" fontId="28" numFmtId="0" xfId="0" applyFont="1"/>
    <xf borderId="0" fillId="0" fontId="119" numFmtId="0" xfId="0" applyAlignment="1" applyFont="1">
      <alignment horizontal="left" readingOrder="0" shrinkToFit="0" wrapText="1"/>
    </xf>
    <xf borderId="6" fillId="0" fontId="6" numFmtId="0" xfId="0" applyBorder="1" applyFont="1"/>
    <xf borderId="7" fillId="0" fontId="6" numFmtId="0" xfId="0" applyBorder="1" applyFont="1"/>
    <xf borderId="1" fillId="0" fontId="121" numFmtId="0" xfId="0" applyAlignment="1" applyBorder="1" applyFont="1">
      <alignment readingOrder="0" vertical="bottom"/>
    </xf>
    <xf borderId="1" fillId="0" fontId="121" numFmtId="0" xfId="0" applyAlignment="1" applyBorder="1" applyFont="1">
      <alignment vertical="bottom"/>
    </xf>
    <xf borderId="1" fillId="4" fontId="8" numFmtId="0" xfId="0" applyAlignment="1" applyBorder="1" applyFont="1">
      <alignment shrinkToFit="0" vertical="bottom" wrapText="0"/>
    </xf>
    <xf borderId="1" fillId="8" fontId="8" numFmtId="0" xfId="0" applyAlignment="1" applyBorder="1" applyFont="1">
      <alignment shrinkToFit="0" vertical="bottom" wrapText="0"/>
    </xf>
    <xf borderId="1" fillId="8" fontId="8" numFmtId="0" xfId="0" applyAlignment="1" applyBorder="1" applyFont="1">
      <alignment readingOrder="0" shrinkToFit="0" vertical="bottom" wrapText="0"/>
    </xf>
    <xf borderId="1" fillId="0" fontId="8" numFmtId="0" xfId="0" applyAlignment="1" applyBorder="1" applyFont="1">
      <alignment horizontal="center" shrinkToFit="0" wrapText="0"/>
    </xf>
    <xf borderId="1" fillId="0" fontId="6" numFmtId="0" xfId="0" applyAlignment="1" applyBorder="1" applyFont="1">
      <alignment vertical="bottom"/>
    </xf>
    <xf borderId="1" fillId="0" fontId="6" numFmtId="0" xfId="0" applyAlignment="1" applyBorder="1" applyFont="1">
      <alignment vertical="bottom"/>
    </xf>
    <xf borderId="8" fillId="23" fontId="6" numFmtId="0" xfId="0" applyAlignment="1" applyBorder="1" applyFill="1" applyFont="1">
      <alignment horizontal="center" readingOrder="0"/>
    </xf>
    <xf borderId="8" fillId="0" fontId="2" numFmtId="0" xfId="0" applyBorder="1" applyFont="1"/>
    <xf borderId="1" fillId="5" fontId="8" numFmtId="0" xfId="0" applyAlignment="1" applyBorder="1" applyFont="1">
      <alignment horizontal="center" shrinkToFit="0" wrapText="0"/>
    </xf>
    <xf borderId="1" fillId="0" fontId="8" numFmtId="0" xfId="0" applyAlignment="1" applyBorder="1" applyFont="1">
      <alignment shrinkToFit="0" vertical="bottom" wrapText="0"/>
    </xf>
    <xf borderId="1" fillId="8" fontId="6" numFmtId="0" xfId="0" applyAlignment="1" applyBorder="1" applyFont="1">
      <alignment vertical="bottom"/>
    </xf>
    <xf borderId="1" fillId="8" fontId="6" numFmtId="0" xfId="0" applyAlignment="1" applyBorder="1" applyFont="1">
      <alignment vertical="bottom"/>
    </xf>
    <xf borderId="7" fillId="0" fontId="2" numFmtId="0" xfId="0" applyBorder="1" applyFont="1"/>
    <xf borderId="0" fillId="0" fontId="122" numFmtId="0" xfId="0" applyAlignment="1" applyFont="1">
      <alignment vertical="bottom"/>
    </xf>
    <xf borderId="0" fillId="0" fontId="123" numFmtId="0" xfId="0" applyAlignment="1" applyFont="1">
      <alignment readingOrder="0" vertical="bottom"/>
    </xf>
    <xf borderId="0" fillId="0" fontId="122" numFmtId="0" xfId="0" applyAlignment="1" applyFont="1">
      <alignment readingOrder="0" vertical="bottom"/>
    </xf>
    <xf borderId="0" fillId="0" fontId="124" numFmtId="0" xfId="0" applyAlignment="1" applyFont="1">
      <alignment readingOrder="0" vertical="bottom"/>
    </xf>
    <xf borderId="0" fillId="0" fontId="6" numFmtId="0" xfId="0" applyAlignment="1" applyFont="1">
      <alignment horizontal="left" readingOrder="0" shrinkToFit="0" vertical="bottom" wrapText="1"/>
    </xf>
    <xf borderId="0" fillId="0" fontId="93" numFmtId="0" xfId="0" applyAlignment="1" applyFont="1">
      <alignment shrinkToFit="0" vertical="bottom" wrapText="0"/>
    </xf>
    <xf borderId="0" fillId="0" fontId="8" numFmtId="0" xfId="0" applyAlignment="1" applyFont="1">
      <alignment shrinkToFit="0" vertical="bottom" wrapText="0"/>
    </xf>
    <xf borderId="5" fillId="0" fontId="8" numFmtId="0" xfId="0" applyAlignment="1" applyBorder="1" applyFont="1">
      <alignment readingOrder="0" shrinkToFit="0" vertical="bottom" wrapText="0"/>
    </xf>
    <xf borderId="5" fillId="0" fontId="8" numFmtId="0" xfId="0" applyAlignment="1" applyBorder="1" applyFont="1">
      <alignment shrinkToFit="0" vertical="bottom" wrapText="0"/>
    </xf>
    <xf borderId="5" fillId="0" fontId="6" numFmtId="0" xfId="0" applyAlignment="1" applyBorder="1" applyFont="1">
      <alignment shrinkToFit="0" vertical="bottom" wrapText="0"/>
    </xf>
  </cellXfs>
  <cellStyles count="1">
    <cellStyle xfId="0" name="Normal" builtinId="0"/>
  </cellStyles>
  <dxfs count="11">
    <dxf>
      <font>
        <color rgb="FF999999"/>
      </font>
      <fill>
        <patternFill patternType="solid">
          <fgColor rgb="FFF3F3F3"/>
          <bgColor rgb="FFF3F3F3"/>
        </patternFill>
      </fill>
      <border/>
    </dxf>
    <dxf>
      <font>
        <color rgb="FF1155CC"/>
      </font>
      <fill>
        <patternFill patternType="none"/>
      </fill>
      <border/>
    </dxf>
    <dxf>
      <font/>
      <fill>
        <patternFill patternType="solid">
          <fgColor rgb="FFF4CCCC"/>
          <bgColor rgb="FFF4CCCC"/>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FFFF00"/>
          <bgColor rgb="FFFFFF00"/>
        </patternFill>
      </fill>
      <border/>
    </dxf>
    <dxf>
      <font/>
      <fill>
        <patternFill patternType="none"/>
      </fill>
      <border/>
    </dxf>
    <dxf>
      <font/>
      <fill>
        <patternFill patternType="solid">
          <fgColor rgb="FF63D297"/>
          <bgColor rgb="FF63D297"/>
        </patternFill>
      </fill>
      <border/>
    </dxf>
    <dxf>
      <font/>
      <fill>
        <patternFill patternType="solid">
          <fgColor rgb="FFFFFFFF"/>
          <bgColor rgb="FFFFFFFF"/>
        </patternFill>
      </fill>
      <border/>
    </dxf>
    <dxf>
      <font/>
      <fill>
        <patternFill patternType="solid">
          <fgColor rgb="FFE7F9EF"/>
          <bgColor rgb="FFE7F9EF"/>
        </patternFill>
      </fill>
      <border/>
    </dxf>
    <dxf>
      <font>
        <color rgb="FF999999"/>
      </font>
      <fill>
        <patternFill patternType="none"/>
      </fill>
      <border/>
    </dxf>
  </dxfs>
  <tableStyles count="1">
    <tableStyle count="3" pivot="0" name="People writing-style">
      <tableStyleElement dxfId="7" type="headerRow"/>
      <tableStyleElement dxfId="8" type="firstRowStripe"/>
      <tableStyleElement dxfId="9"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workbook.xml.rels><?xml version="1.0" encoding="UTF-8" standalone="yes"?><Relationships xmlns="http://schemas.openxmlformats.org/package/2006/relationships"><Relationship Id="rId31" Type="http://schemas.openxmlformats.org/officeDocument/2006/relationships/worksheet" Target="worksheets/sheet28.xml"/><Relationship Id="rId30" Type="http://schemas.openxmlformats.org/officeDocument/2006/relationships/worksheet" Target="worksheets/sheet27.xml"/><Relationship Id="rId32" Type="http://customschemas.google.com/relationships/workbookmetadata" Target="metadata"/><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29" Type="http://schemas.openxmlformats.org/officeDocument/2006/relationships/worksheet" Target="worksheets/sheet26.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30</xdr:col>
      <xdr:colOff>352425</xdr:colOff>
      <xdr:row>2</xdr:row>
      <xdr:rowOff>28575</xdr:rowOff>
    </xdr:from>
    <xdr:ext cx="19050" cy="1981200"/>
    <xdr:grpSp>
      <xdr:nvGrpSpPr>
        <xdr:cNvPr id="2" name="Shape 2" title="Drawing"/>
        <xdr:cNvGrpSpPr/>
      </xdr:nvGrpSpPr>
      <xdr:grpSpPr>
        <a:xfrm>
          <a:off x="4692425" y="3580350"/>
          <a:ext cx="0" cy="1960800"/>
          <a:chOff x="4692425" y="3580350"/>
          <a:chExt cx="0" cy="1960800"/>
        </a:xfrm>
      </xdr:grpSpPr>
      <xdr:cxnSp>
        <xdr:nvCxnSpPr>
          <xdr:cNvPr id="3" name="Shape 3"/>
          <xdr:cNvCxnSpPr/>
        </xdr:nvCxnSpPr>
        <xdr:spPr>
          <a:xfrm>
            <a:off x="4692425" y="3580350"/>
            <a:ext cx="0" cy="1960800"/>
          </a:xfrm>
          <a:prstGeom prst="straightConnector1">
            <a:avLst/>
          </a:prstGeom>
          <a:noFill/>
          <a:ln cap="flat" cmpd="sng" w="38100">
            <a:solidFill>
              <a:srgbClr val="FF0000"/>
            </a:solidFill>
            <a:prstDash val="solid"/>
            <a:round/>
            <a:headEnd len="med" w="med" type="none"/>
            <a:tailEnd len="med" w="med" type="none"/>
          </a:ln>
        </xdr:spPr>
      </xdr:cxn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1" displayName="Table_1" name="Table_1" id="1">
  <tableColumns count="2">
    <tableColumn name="Column1" id="1"/>
    <tableColumn name="Column2" id="2"/>
  </tableColumns>
  <tableStyleInfo name="People writing-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424242"/>
      </a:dk1>
      <a:lt1>
        <a:srgbClr val="FFFFFF"/>
      </a:lt1>
      <a:dk2>
        <a:srgbClr val="424242"/>
      </a:dk2>
      <a:lt2>
        <a:srgbClr val="FFFFFF"/>
      </a:lt2>
      <a:accent1>
        <a:srgbClr val="C0791B"/>
      </a:accent1>
      <a:accent2>
        <a:srgbClr val="0B6374"/>
      </a:accent2>
      <a:accent3>
        <a:srgbClr val="FD5B58"/>
      </a:accent3>
      <a:accent4>
        <a:srgbClr val="27278B"/>
      </a:accent4>
      <a:accent5>
        <a:srgbClr val="8DD8D3"/>
      </a:accent5>
      <a:accent6>
        <a:srgbClr val="D7E6A3"/>
      </a:accent6>
      <a:hlink>
        <a:srgbClr val="27278B"/>
      </a:hlink>
      <a:folHlink>
        <a:srgbClr val="27278B"/>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i.org/10.1016/j.cie.2025.111354" TargetMode="External"/><Relationship Id="rId190" Type="http://schemas.openxmlformats.org/officeDocument/2006/relationships/hyperlink" Target="https://www.sciencedirect.com/science/article/pii/S0377221797000192?via%3Dihub" TargetMode="External"/><Relationship Id="rId42" Type="http://schemas.openxmlformats.org/officeDocument/2006/relationships/hyperlink" Target="https://doi.org/10.1016/j.cie.2024.110616" TargetMode="External"/><Relationship Id="rId41" Type="http://schemas.openxmlformats.org/officeDocument/2006/relationships/hyperlink" Target="https://doi.org/10.1016/j.eswa.2025.128337" TargetMode="External"/><Relationship Id="rId44" Type="http://schemas.openxmlformats.org/officeDocument/2006/relationships/hyperlink" Target="https://link.springer.com/article/10.1007/BF02023073" TargetMode="External"/><Relationship Id="rId194" Type="http://schemas.openxmlformats.org/officeDocument/2006/relationships/hyperlink" Target="https://doi.org/10.1016/j.procs.2024.01.130" TargetMode="External"/><Relationship Id="rId43" Type="http://schemas.openxmlformats.org/officeDocument/2006/relationships/hyperlink" Target="https://doi.org/10.1016/j.jmsy.2024.09.011" TargetMode="External"/><Relationship Id="rId193" Type="http://schemas.openxmlformats.org/officeDocument/2006/relationships/hyperlink" Target="https://scheduleopt.github.io/benchmarks/fjsplib" TargetMode="External"/><Relationship Id="rId46" Type="http://schemas.openxmlformats.org/officeDocument/2006/relationships/hyperlink" Target="https://github.com/tamy0612/JSPLIB" TargetMode="External"/><Relationship Id="rId192" Type="http://schemas.openxmlformats.org/officeDocument/2006/relationships/hyperlink" Target="https://doi.org/10.1016/j.engappai.2024.109488" TargetMode="External"/><Relationship Id="rId45" Type="http://schemas.openxmlformats.org/officeDocument/2006/relationships/hyperlink" Target="https://doi.org/10.1145/3690931.3690993" TargetMode="External"/><Relationship Id="rId191" Type="http://schemas.openxmlformats.org/officeDocument/2006/relationships/hyperlink" Target="https://doi.org/10.1016/j.rcim.2024.102917" TargetMode="External"/><Relationship Id="rId48" Type="http://schemas.openxmlformats.org/officeDocument/2006/relationships/hyperlink" Target="https://doi.org/10.1016/j.swevo.2024.101660" TargetMode="External"/><Relationship Id="rId187" Type="http://schemas.openxmlformats.org/officeDocument/2006/relationships/hyperlink" Target="https://doi.org/10.1016/j.asoc.2025.113712" TargetMode="External"/><Relationship Id="rId47" Type="http://schemas.openxmlformats.org/officeDocument/2006/relationships/hyperlink" Target="https://doi.org/10.1016/j.cie.2024.110507" TargetMode="External"/><Relationship Id="rId186" Type="http://schemas.openxmlformats.org/officeDocument/2006/relationships/hyperlink" Target="https://doi.org/10.1109/ICCNEA57056.2022.00091" TargetMode="External"/><Relationship Id="rId185" Type="http://schemas.openxmlformats.org/officeDocument/2006/relationships/hyperlink" Target="https://doi.org/10.3390/technologies6040107" TargetMode="External"/><Relationship Id="rId49" Type="http://schemas.openxmlformats.org/officeDocument/2006/relationships/hyperlink" Target="https://doi.org/10.1016/j.compchemeng.2024.108748" TargetMode="External"/><Relationship Id="rId184" Type="http://schemas.openxmlformats.org/officeDocument/2006/relationships/hyperlink" Target="https://doi.org/10.1016/j.cirp.2019.04.001" TargetMode="External"/><Relationship Id="rId189" Type="http://schemas.openxmlformats.org/officeDocument/2006/relationships/hyperlink" Target="https://doi.org/10.1016/j.ins.2025.121906" TargetMode="External"/><Relationship Id="rId188" Type="http://schemas.openxmlformats.org/officeDocument/2006/relationships/hyperlink" Target="https://link.springer.com/article/10.1007/BF02023073" TargetMode="External"/><Relationship Id="rId31" Type="http://schemas.openxmlformats.org/officeDocument/2006/relationships/hyperlink" Target="https://doi.org/10.1109/TASE.2024.3386562" TargetMode="External"/><Relationship Id="rId30" Type="http://schemas.openxmlformats.org/officeDocument/2006/relationships/hyperlink" Target="https://doi.org/10.1145/3709026.3709038" TargetMode="External"/><Relationship Id="rId33" Type="http://schemas.openxmlformats.org/officeDocument/2006/relationships/hyperlink" Target="https://doi.org/10.1109/TASE.2024.3371250" TargetMode="External"/><Relationship Id="rId183" Type="http://schemas.openxmlformats.org/officeDocument/2006/relationships/hyperlink" Target="https://doi.org/10.1016/j.procir.2019.03.041" TargetMode="External"/><Relationship Id="rId32" Type="http://schemas.openxmlformats.org/officeDocument/2006/relationships/hyperlink" Target="https://doi.org/10.1109/TASE.2024.3380644" TargetMode="External"/><Relationship Id="rId182" Type="http://schemas.openxmlformats.org/officeDocument/2006/relationships/hyperlink" Target="https://github.com/tamy0612/JSPLIB" TargetMode="External"/><Relationship Id="rId35" Type="http://schemas.openxmlformats.org/officeDocument/2006/relationships/hyperlink" Target="https://doi.org/10.1007/s00170-021-08163-3" TargetMode="External"/><Relationship Id="rId181" Type="http://schemas.openxmlformats.org/officeDocument/2006/relationships/hyperlink" Target="https://doi.org/10.1007/978-3-030-30487-4_44" TargetMode="External"/><Relationship Id="rId34" Type="http://schemas.openxmlformats.org/officeDocument/2006/relationships/hyperlink" Target="https://doi.org/10.3390/PR8080912" TargetMode="External"/><Relationship Id="rId180" Type="http://schemas.openxmlformats.org/officeDocument/2006/relationships/hyperlink" Target="https://github.com/tamy0612/JSPLIB" TargetMode="External"/><Relationship Id="rId37" Type="http://schemas.openxmlformats.org/officeDocument/2006/relationships/hyperlink" Target="https://doi.org/10.1007/s10845-025-02732-z" TargetMode="External"/><Relationship Id="rId176" Type="http://schemas.openxmlformats.org/officeDocument/2006/relationships/hyperlink" Target="https://doi.org/10.1016/j.procir.2020.03.047" TargetMode="External"/><Relationship Id="rId36" Type="http://schemas.openxmlformats.org/officeDocument/2006/relationships/hyperlink" Target="https://doi.org/10.1002/qre.70027" TargetMode="External"/><Relationship Id="rId175" Type="http://schemas.openxmlformats.org/officeDocument/2006/relationships/hyperlink" Target="https://ceur-ws.org/Vol-2739/paper_6.pdf" TargetMode="External"/><Relationship Id="rId39" Type="http://schemas.openxmlformats.org/officeDocument/2006/relationships/hyperlink" Target="https://doi.org/10.1016/j.cie.2023.109035" TargetMode="External"/><Relationship Id="rId174" Type="http://schemas.openxmlformats.org/officeDocument/2006/relationships/hyperlink" Target="https://github.com/tamy0612/JSPLIB" TargetMode="External"/><Relationship Id="rId38" Type="http://schemas.openxmlformats.org/officeDocument/2006/relationships/hyperlink" Target="https://doi.org/10.1016/j.aei.2025.103780" TargetMode="External"/><Relationship Id="rId173" Type="http://schemas.openxmlformats.org/officeDocument/2006/relationships/hyperlink" Target="https://doi.org/10.1109/ACCESS.2020.3029868" TargetMode="External"/><Relationship Id="rId179" Type="http://schemas.openxmlformats.org/officeDocument/2006/relationships/hyperlink" Target="https://doi.org/10.1109/ICPHM.2019.8819397" TargetMode="External"/><Relationship Id="rId178" Type="http://schemas.openxmlformats.org/officeDocument/2006/relationships/hyperlink" Target="https://doi.org/10.1109/EDOCW.2019.00022" TargetMode="External"/><Relationship Id="rId177" Type="http://schemas.openxmlformats.org/officeDocument/2006/relationships/hyperlink" Target="https://doi.org/10.1007/978-3-030-53956-6_10" TargetMode="External"/><Relationship Id="rId20" Type="http://schemas.openxmlformats.org/officeDocument/2006/relationships/hyperlink" Target="https://doi.org/10.1016/j.jmsy.2025.10.010" TargetMode="External"/><Relationship Id="rId22" Type="http://schemas.openxmlformats.org/officeDocument/2006/relationships/hyperlink" Target="https://people.idsia.ch/%7emonaldo/fjsp.html" TargetMode="External"/><Relationship Id="rId21" Type="http://schemas.openxmlformats.org/officeDocument/2006/relationships/hyperlink" Target="https://doi.org/10.1016/j.cie.2025.111466" TargetMode="External"/><Relationship Id="rId24" Type="http://schemas.openxmlformats.org/officeDocument/2006/relationships/hyperlink" Target="https://doi.org/10.3390/su17052198" TargetMode="External"/><Relationship Id="rId23" Type="http://schemas.openxmlformats.org/officeDocument/2006/relationships/hyperlink" Target="https://doi.org/10.1016/j.swevo.2025.102167" TargetMode="External"/><Relationship Id="rId26" Type="http://schemas.openxmlformats.org/officeDocument/2006/relationships/hyperlink" Target="https://doi.org/10.3390/ai6030048" TargetMode="External"/><Relationship Id="rId25" Type="http://schemas.openxmlformats.org/officeDocument/2006/relationships/hyperlink" Target="https://doi.org/10.1016/j.asoc.2025.112787" TargetMode="External"/><Relationship Id="rId28" Type="http://schemas.openxmlformats.org/officeDocument/2006/relationships/hyperlink" Target="https://doi.org/10.1007/s10696-024-09543-z" TargetMode="External"/><Relationship Id="rId27" Type="http://schemas.openxmlformats.org/officeDocument/2006/relationships/hyperlink" Target="https://github.com/tamy0612/JSPLIB" TargetMode="External"/><Relationship Id="rId29" Type="http://schemas.openxmlformats.org/officeDocument/2006/relationships/hyperlink" Target="https://link.springer.com/article/10.1007/BF02023073" TargetMode="External"/><Relationship Id="rId11" Type="http://schemas.openxmlformats.org/officeDocument/2006/relationships/hyperlink" Target="https://doi.org/10.1016/j.rcim.2021.102202" TargetMode="External"/><Relationship Id="rId10" Type="http://schemas.openxmlformats.org/officeDocument/2006/relationships/hyperlink" Target="https://doi.org/10.1080/00207543.2021.1894369" TargetMode="External"/><Relationship Id="rId13" Type="http://schemas.openxmlformats.org/officeDocument/2006/relationships/hyperlink" Target="https://doi.org/10.1016/j.jclepro.2021.126093" TargetMode="External"/><Relationship Id="rId12" Type="http://schemas.openxmlformats.org/officeDocument/2006/relationships/hyperlink" Target="https://doi.org/10.3390/s21144836" TargetMode="External"/><Relationship Id="rId15" Type="http://schemas.openxmlformats.org/officeDocument/2006/relationships/hyperlink" Target="https://doi.org/10.1016/j.procir.2021.11.307" TargetMode="External"/><Relationship Id="rId198" Type="http://schemas.openxmlformats.org/officeDocument/2006/relationships/hyperlink" Target="https://doi.org/10.1109/TCSI.2023.3328901" TargetMode="External"/><Relationship Id="rId14" Type="http://schemas.openxmlformats.org/officeDocument/2006/relationships/hyperlink" Target="https://doi.org/10.1109/JPROC.2020.3034808" TargetMode="External"/><Relationship Id="rId197" Type="http://schemas.openxmlformats.org/officeDocument/2006/relationships/hyperlink" Target="https://doi.org/10.1016/j.ejor.2022.10.023" TargetMode="External"/><Relationship Id="rId17" Type="http://schemas.openxmlformats.org/officeDocument/2006/relationships/hyperlink" Target="https://doi.org/10.1016/j.jmsy.2020.04.015" TargetMode="External"/><Relationship Id="rId196" Type="http://schemas.openxmlformats.org/officeDocument/2006/relationships/hyperlink" Target="https://doi.org/10.1016/j.asoc.2025.113531" TargetMode="External"/><Relationship Id="rId16" Type="http://schemas.openxmlformats.org/officeDocument/2006/relationships/hyperlink" Target="https://doi.org/10.1109/ACCESS.2020.3046784" TargetMode="External"/><Relationship Id="rId195" Type="http://schemas.openxmlformats.org/officeDocument/2006/relationships/hyperlink" Target="https://doi.org/10.1109/ICARSC65809.2025.10970151" TargetMode="External"/><Relationship Id="rId19" Type="http://schemas.openxmlformats.org/officeDocument/2006/relationships/hyperlink" Target="https://doi.org/10.1016/j.compind.2020.103329" TargetMode="External"/><Relationship Id="rId18" Type="http://schemas.openxmlformats.org/officeDocument/2006/relationships/hyperlink" Target="https://doi.org/10.1109/IEEM45057.2020.9309782" TargetMode="External"/><Relationship Id="rId199" Type="http://schemas.openxmlformats.org/officeDocument/2006/relationships/hyperlink" Target="https://doi.org/10.1016/j.aei.2023.102307" TargetMode="External"/><Relationship Id="rId84" Type="http://schemas.openxmlformats.org/officeDocument/2006/relationships/hyperlink" Target="https://doi.org/10.1016/j.cie.2023.109453" TargetMode="External"/><Relationship Id="rId83" Type="http://schemas.openxmlformats.org/officeDocument/2006/relationships/hyperlink" Target="https://doi.org/10.1109/TASE.2025.3563084" TargetMode="External"/><Relationship Id="rId86" Type="http://schemas.openxmlformats.org/officeDocument/2006/relationships/hyperlink" Target="https://doi.org/10.36897/jme/137081" TargetMode="External"/><Relationship Id="rId85" Type="http://schemas.openxmlformats.org/officeDocument/2006/relationships/hyperlink" Target="https://doi.org/10.1007/s10479-020-03526-7" TargetMode="External"/><Relationship Id="rId88" Type="http://schemas.openxmlformats.org/officeDocument/2006/relationships/hyperlink" Target="https://doi.org/10.1109/WSC60868.2023.10407811" TargetMode="External"/><Relationship Id="rId150" Type="http://schemas.openxmlformats.org/officeDocument/2006/relationships/hyperlink" Target="https://doi.org/10.1007/s10845-021-01826-8" TargetMode="External"/><Relationship Id="rId87" Type="http://schemas.openxmlformats.org/officeDocument/2006/relationships/hyperlink" Target="https://doi.org/10.1109/IEEM58616.2023.10406397" TargetMode="External"/><Relationship Id="rId89" Type="http://schemas.openxmlformats.org/officeDocument/2006/relationships/hyperlink" Target="https://doi.org/10.1007/978-3-031-43524-9_10" TargetMode="External"/><Relationship Id="rId80" Type="http://schemas.openxmlformats.org/officeDocument/2006/relationships/hyperlink" Target="https://doi.org/10.1016/j.knosys.2024.111631" TargetMode="External"/><Relationship Id="rId82" Type="http://schemas.openxmlformats.org/officeDocument/2006/relationships/hyperlink" Target="https://doi.org/10.1016/j.procir.2024.10.255" TargetMode="External"/><Relationship Id="rId81" Type="http://schemas.openxmlformats.org/officeDocument/2006/relationships/hyperlink" Target="https://doi.org/10.24846/V33I2Y202401" TargetMode="External"/><Relationship Id="rId1" Type="http://schemas.openxmlformats.org/officeDocument/2006/relationships/comments" Target="../comments1.xml"/><Relationship Id="rId2" Type="http://schemas.openxmlformats.org/officeDocument/2006/relationships/hyperlink" Target="https://doi.org/10.1109/WSC57314.2022.10015436" TargetMode="External"/><Relationship Id="rId3" Type="http://schemas.openxmlformats.org/officeDocument/2006/relationships/hyperlink" Target="https://doi.org/10.1016/j.ifacol.2022.09.677" TargetMode="External"/><Relationship Id="rId149" Type="http://schemas.openxmlformats.org/officeDocument/2006/relationships/hyperlink" Target="https://doi.org/10.1109/MSN63567.2024.00058" TargetMode="External"/><Relationship Id="rId4" Type="http://schemas.openxmlformats.org/officeDocument/2006/relationships/hyperlink" Target="https://doi.org/10.1016/j.ifacol.2022.09.305" TargetMode="External"/><Relationship Id="rId148" Type="http://schemas.openxmlformats.org/officeDocument/2006/relationships/hyperlink" Target="https://doi.org/10.3390/app14010283" TargetMode="External"/><Relationship Id="rId9" Type="http://schemas.openxmlformats.org/officeDocument/2006/relationships/hyperlink" Target="https://doi.org/10.1109/ACCESS.2022.3151170" TargetMode="External"/><Relationship Id="rId143" Type="http://schemas.openxmlformats.org/officeDocument/2006/relationships/hyperlink" Target="https://doi.org/10.1016/j.jclepro.2023.136228" TargetMode="External"/><Relationship Id="rId142" Type="http://schemas.openxmlformats.org/officeDocument/2006/relationships/hyperlink" Target="https://doi.org/10.1016/j.energy.2020.118385" TargetMode="External"/><Relationship Id="rId141" Type="http://schemas.openxmlformats.org/officeDocument/2006/relationships/hyperlink" Target="https://doi.org/10.1007/s12063-020-00156-x" TargetMode="External"/><Relationship Id="rId140" Type="http://schemas.openxmlformats.org/officeDocument/2006/relationships/hyperlink" Target="https://doi.org/10.1016/j.resconrec.2020.104902" TargetMode="External"/><Relationship Id="rId5" Type="http://schemas.openxmlformats.org/officeDocument/2006/relationships/hyperlink" Target="https://doi.org/10.1109/CASE49997.2022.9926440" TargetMode="External"/><Relationship Id="rId147" Type="http://schemas.openxmlformats.org/officeDocument/2006/relationships/hyperlink" Target="https://doi.org/10.1016/j.jmsy.2024.03.015" TargetMode="External"/><Relationship Id="rId6" Type="http://schemas.openxmlformats.org/officeDocument/2006/relationships/hyperlink" Target="https://doi.org/10.32604/cmc.2022.030803" TargetMode="External"/><Relationship Id="rId146" Type="http://schemas.openxmlformats.org/officeDocument/2006/relationships/hyperlink" Target="https://doi.org/10.1016/j.jclepro.2016.03.150" TargetMode="External"/><Relationship Id="rId7" Type="http://schemas.openxmlformats.org/officeDocument/2006/relationships/hyperlink" Target="https://github.com/tamy0612/JSPLIB" TargetMode="External"/><Relationship Id="rId145" Type="http://schemas.openxmlformats.org/officeDocument/2006/relationships/hyperlink" Target="https://doi.org/10.1016/j.cie.2025.111580" TargetMode="External"/><Relationship Id="rId8" Type="http://schemas.openxmlformats.org/officeDocument/2006/relationships/hyperlink" Target="https://doi.org/10.1016/j.procir.2022.04.027" TargetMode="External"/><Relationship Id="rId144" Type="http://schemas.openxmlformats.org/officeDocument/2006/relationships/hyperlink" Target="https://doi.org/10.1080/00207543.2024.2431178" TargetMode="External"/><Relationship Id="rId73" Type="http://schemas.openxmlformats.org/officeDocument/2006/relationships/hyperlink" Target="https://doi.org/10.1007/s11227-025-07586-z" TargetMode="External"/><Relationship Id="rId72" Type="http://schemas.openxmlformats.org/officeDocument/2006/relationships/hyperlink" Target="https://doi.org/10.1016/j.tre.2025.104297" TargetMode="External"/><Relationship Id="rId75" Type="http://schemas.openxmlformats.org/officeDocument/2006/relationships/hyperlink" Target="https://github.com/Lei-Kun/FJSP-benchmarks" TargetMode="External"/><Relationship Id="rId74" Type="http://schemas.openxmlformats.org/officeDocument/2006/relationships/hyperlink" Target="https://doi.org/10.1016/j.eswa.2025.127340" TargetMode="External"/><Relationship Id="rId77" Type="http://schemas.openxmlformats.org/officeDocument/2006/relationships/hyperlink" Target="https://doi.org/10.1109/DOCS67533.2025.11200734" TargetMode="External"/><Relationship Id="rId76" Type="http://schemas.openxmlformats.org/officeDocument/2006/relationships/hyperlink" Target="https://doi.org/10.1109/ACCESS.2025.3631334" TargetMode="External"/><Relationship Id="rId79" Type="http://schemas.openxmlformats.org/officeDocument/2006/relationships/hyperlink" Target="https://link.springer.com/article/10.1007/BF02023073" TargetMode="External"/><Relationship Id="rId78" Type="http://schemas.openxmlformats.org/officeDocument/2006/relationships/hyperlink" Target="https://doi.org/10.23919/CCC64809.2025.11178931" TargetMode="External"/><Relationship Id="rId71" Type="http://schemas.openxmlformats.org/officeDocument/2006/relationships/hyperlink" Target="https://doi.org/10.1093/jcde/qwaf100" TargetMode="External"/><Relationship Id="rId70" Type="http://schemas.openxmlformats.org/officeDocument/2006/relationships/hyperlink" Target="https://doi.org/10.1016/j.rcim.2025.103015" TargetMode="External"/><Relationship Id="rId139" Type="http://schemas.openxmlformats.org/officeDocument/2006/relationships/hyperlink" Target="https://doi.org/10.1007/978-3-031-86489-6_17" TargetMode="External"/><Relationship Id="rId138" Type="http://schemas.openxmlformats.org/officeDocument/2006/relationships/hyperlink" Target="https://doi.org/10.1080/0951192X.2024.2343677" TargetMode="External"/><Relationship Id="rId137" Type="http://schemas.openxmlformats.org/officeDocument/2006/relationships/hyperlink" Target="https://doi.org/10.1080/17509653.2025.2498119" TargetMode="External"/><Relationship Id="rId132" Type="http://schemas.openxmlformats.org/officeDocument/2006/relationships/hyperlink" Target="https://doi.org/10.3390/app151810108" TargetMode="External"/><Relationship Id="rId253" Type="http://schemas.openxmlformats.org/officeDocument/2006/relationships/vmlDrawing" Target="../drawings/vmlDrawing1.vml"/><Relationship Id="rId131" Type="http://schemas.openxmlformats.org/officeDocument/2006/relationships/hyperlink" Target="https://link.springer.com/article/10.1007/s10845-007-0026-8" TargetMode="External"/><Relationship Id="rId252" Type="http://schemas.openxmlformats.org/officeDocument/2006/relationships/drawing" Target="../drawings/drawing5.xml"/><Relationship Id="rId130" Type="http://schemas.openxmlformats.org/officeDocument/2006/relationships/hyperlink" Target="https://doi.org/10.1016/j.cie.2025.111342" TargetMode="External"/><Relationship Id="rId251" Type="http://schemas.openxmlformats.org/officeDocument/2006/relationships/hyperlink" Target="https://doi.org/10.1016/j.cie.2024.110670" TargetMode="External"/><Relationship Id="rId250" Type="http://schemas.openxmlformats.org/officeDocument/2006/relationships/hyperlink" Target="https://doi.org/10.1016/j.aei.2023.101911" TargetMode="External"/><Relationship Id="rId136" Type="http://schemas.openxmlformats.org/officeDocument/2006/relationships/hyperlink" Target="https://link.springer.com/article/10.1023/A:1018930406487" TargetMode="External"/><Relationship Id="rId135" Type="http://schemas.openxmlformats.org/officeDocument/2006/relationships/hyperlink" Target="https://doi.org/10.1016/j.jfranklin.2025.107944" TargetMode="External"/><Relationship Id="rId134" Type="http://schemas.openxmlformats.org/officeDocument/2006/relationships/hyperlink" Target="https://doi.org/10.1115/1.4068980" TargetMode="External"/><Relationship Id="rId133" Type="http://schemas.openxmlformats.org/officeDocument/2006/relationships/hyperlink" Target="https://link.springer.com/article/10.1007/BF02023073" TargetMode="External"/><Relationship Id="rId62" Type="http://schemas.openxmlformats.org/officeDocument/2006/relationships/hyperlink" Target="https://www.sciencedirect.com/science/article/pii/S0377221797000192?via%3Dihub" TargetMode="External"/><Relationship Id="rId61" Type="http://schemas.openxmlformats.org/officeDocument/2006/relationships/hyperlink" Target="https://doi.org/10.3390/su16083234" TargetMode="External"/><Relationship Id="rId64" Type="http://schemas.openxmlformats.org/officeDocument/2006/relationships/hyperlink" Target="https://github.com/tamy0612/JSPLIB" TargetMode="External"/><Relationship Id="rId63" Type="http://schemas.openxmlformats.org/officeDocument/2006/relationships/hyperlink" Target="https://doi.org/10.1016/j.eswa.2023.121756" TargetMode="External"/><Relationship Id="rId66" Type="http://schemas.openxmlformats.org/officeDocument/2006/relationships/hyperlink" Target="https://doi.org/10.1109/TNNLS.2023.3306421" TargetMode="External"/><Relationship Id="rId172" Type="http://schemas.openxmlformats.org/officeDocument/2006/relationships/hyperlink" Target="https://doi.org/10.1109/ICIEA49774.2020.9101999" TargetMode="External"/><Relationship Id="rId65" Type="http://schemas.openxmlformats.org/officeDocument/2006/relationships/hyperlink" Target="https://doi.org/10.1016/j.jii.2024.100582" TargetMode="External"/><Relationship Id="rId171" Type="http://schemas.openxmlformats.org/officeDocument/2006/relationships/hyperlink" Target="https://doi.org/10.1016/j.cor.2025.107011" TargetMode="External"/><Relationship Id="rId68" Type="http://schemas.openxmlformats.org/officeDocument/2006/relationships/hyperlink" Target="https://doi.org/10.1016/j.engappai.2025.111356" TargetMode="External"/><Relationship Id="rId170" Type="http://schemas.openxmlformats.org/officeDocument/2006/relationships/hyperlink" Target="https://doi.org/10.1080/24725854.2025.2561569" TargetMode="External"/><Relationship Id="rId67" Type="http://schemas.openxmlformats.org/officeDocument/2006/relationships/hyperlink" Target="https://link.springer.com/article/10.1007/BF02023073" TargetMode="External"/><Relationship Id="rId60" Type="http://schemas.openxmlformats.org/officeDocument/2006/relationships/hyperlink" Target="https://github.com/tamy0612/JSPLIB" TargetMode="External"/><Relationship Id="rId165" Type="http://schemas.openxmlformats.org/officeDocument/2006/relationships/hyperlink" Target="https://doi.org/10.32604/cmc.2025.065153" TargetMode="External"/><Relationship Id="rId69" Type="http://schemas.openxmlformats.org/officeDocument/2006/relationships/hyperlink" Target="https://doi.org/10.1007/s11771-011-0863-7?urlappend=%3Futm_source%3Dresearchgate.net%26utm_medium%3Darticle" TargetMode="External"/><Relationship Id="rId164" Type="http://schemas.openxmlformats.org/officeDocument/2006/relationships/hyperlink" Target="https://doi.org/10.1016/j.ins.2025.122023" TargetMode="External"/><Relationship Id="rId163" Type="http://schemas.openxmlformats.org/officeDocument/2006/relationships/hyperlink" Target="https://doi.org/10.1016/j.cie.2025.111310" TargetMode="External"/><Relationship Id="rId162" Type="http://schemas.openxmlformats.org/officeDocument/2006/relationships/hyperlink" Target="https://doi.org/10.1080/00207540902814348" TargetMode="External"/><Relationship Id="rId169" Type="http://schemas.openxmlformats.org/officeDocument/2006/relationships/hyperlink" Target="https://link.springer.com/article/10.1007/s10845-007-0026-8?utm_source=getftr&amp;utm_medium=getftr&amp;utm_campaign=getftr_pilot&amp;getft_integrator=sciencedirect_contenthosting" TargetMode="External"/><Relationship Id="rId168" Type="http://schemas.openxmlformats.org/officeDocument/2006/relationships/hyperlink" Target="https://doi.org/10.1016/j.jmsy.2021.09.018" TargetMode="External"/><Relationship Id="rId167" Type="http://schemas.openxmlformats.org/officeDocument/2006/relationships/hyperlink" Target="https://doi.org/10.1109/CEC65147.2025.11043017" TargetMode="External"/><Relationship Id="rId166" Type="http://schemas.openxmlformats.org/officeDocument/2006/relationships/hyperlink" Target="https://github.com/tamy0612/JSPLIB" TargetMode="External"/><Relationship Id="rId51" Type="http://schemas.openxmlformats.org/officeDocument/2006/relationships/hyperlink" Target="https://link.springer.com/article/10.1007/BF02023073" TargetMode="External"/><Relationship Id="rId50" Type="http://schemas.openxmlformats.org/officeDocument/2006/relationships/hyperlink" Target="https://doi.org/10.1016/j.ifacol.2024.09.176" TargetMode="External"/><Relationship Id="rId53" Type="http://schemas.openxmlformats.org/officeDocument/2006/relationships/hyperlink" Target="https://link.springer.com/article/10.1007/BF02023073" TargetMode="External"/><Relationship Id="rId52" Type="http://schemas.openxmlformats.org/officeDocument/2006/relationships/hyperlink" Target="https://doi.org/10.3390/machines12080584" TargetMode="External"/><Relationship Id="rId55" Type="http://schemas.openxmlformats.org/officeDocument/2006/relationships/hyperlink" Target="https://doi.org/10.1007/s10845-023-02189-y" TargetMode="External"/><Relationship Id="rId161" Type="http://schemas.openxmlformats.org/officeDocument/2006/relationships/hyperlink" Target="https://doi.org/10.1016/j.asoc.2025.113474" TargetMode="External"/><Relationship Id="rId54" Type="http://schemas.openxmlformats.org/officeDocument/2006/relationships/hyperlink" Target="https://doi.org/10.1016/j.ijpe.2024.109312" TargetMode="External"/><Relationship Id="rId160" Type="http://schemas.openxmlformats.org/officeDocument/2006/relationships/hyperlink" Target="https://doi.org/10.1016/j.compind.2021.103433" TargetMode="External"/><Relationship Id="rId57" Type="http://schemas.openxmlformats.org/officeDocument/2006/relationships/hyperlink" Target="https://github.com/tamy0612/JSPLIB" TargetMode="External"/><Relationship Id="rId56" Type="http://schemas.openxmlformats.org/officeDocument/2006/relationships/hyperlink" Target="https://doi.org/10.1016/j.swevo.2024.101605" TargetMode="External"/><Relationship Id="rId159" Type="http://schemas.openxmlformats.org/officeDocument/2006/relationships/hyperlink" Target="https://doi.org/10.1155/2022/5892943" TargetMode="External"/><Relationship Id="rId59" Type="http://schemas.openxmlformats.org/officeDocument/2006/relationships/hyperlink" Target="https://doi.org/10.1016/j.jmsy.2024.04.028" TargetMode="External"/><Relationship Id="rId154" Type="http://schemas.openxmlformats.org/officeDocument/2006/relationships/hyperlink" Target="https://doi.org/10.1016/j.swevo.2024.101762" TargetMode="External"/><Relationship Id="rId58" Type="http://schemas.openxmlformats.org/officeDocument/2006/relationships/hyperlink" Target="https://doi.org/10.1016/j.engappai.2024.108487" TargetMode="External"/><Relationship Id="rId153" Type="http://schemas.openxmlformats.org/officeDocument/2006/relationships/hyperlink" Target="https://doi.org/10.1109/TEM.2018.2846627" TargetMode="External"/><Relationship Id="rId152" Type="http://schemas.openxmlformats.org/officeDocument/2006/relationships/hyperlink" Target="https://doi.org/10.1007/978-3-031-14844-6_3" TargetMode="External"/><Relationship Id="rId151" Type="http://schemas.openxmlformats.org/officeDocument/2006/relationships/hyperlink" Target="https://doi.org/10.1109/WSC57314.2022.10015282" TargetMode="External"/><Relationship Id="rId158" Type="http://schemas.openxmlformats.org/officeDocument/2006/relationships/hyperlink" Target="https://doi.org/10.1016/j.procir.2023.09.195" TargetMode="External"/><Relationship Id="rId157" Type="http://schemas.openxmlformats.org/officeDocument/2006/relationships/hyperlink" Target="https://doi.org/10.1109/TSMC.2023.3317390" TargetMode="External"/><Relationship Id="rId156" Type="http://schemas.openxmlformats.org/officeDocument/2006/relationships/hyperlink" Target="https://doi.org/10.1016/j.jmsy.2023.11.019" TargetMode="External"/><Relationship Id="rId155" Type="http://schemas.openxmlformats.org/officeDocument/2006/relationships/hyperlink" Target="https://assembly-line-balancing.de/" TargetMode="External"/><Relationship Id="rId107" Type="http://schemas.openxmlformats.org/officeDocument/2006/relationships/hyperlink" Target="https://doi.org/10.1016/j.aei.2025.103195" TargetMode="External"/><Relationship Id="rId228" Type="http://schemas.openxmlformats.org/officeDocument/2006/relationships/hyperlink" Target="https://www.diva-portal.org/smash/record.jsf?pid=diva2%3A1991113&amp;dswid=8075" TargetMode="External"/><Relationship Id="rId106" Type="http://schemas.openxmlformats.org/officeDocument/2006/relationships/hyperlink" Target="https://doi.org/10.1016/j.knosys.2025.114192" TargetMode="External"/><Relationship Id="rId227" Type="http://schemas.openxmlformats.org/officeDocument/2006/relationships/hyperlink" Target="https://deepwiki.com/wrqccc/FJSP-DRL/4.2-brandimarte-dataset" TargetMode="External"/><Relationship Id="rId105" Type="http://schemas.openxmlformats.org/officeDocument/2006/relationships/hyperlink" Target="https://apps.dtic.mil/sti/html/tr/AD0600965/" TargetMode="External"/><Relationship Id="rId226" Type="http://schemas.openxmlformats.org/officeDocument/2006/relationships/hyperlink" Target="https://doi.org/10.1109/FASTA65681.2025.11138246" TargetMode="External"/><Relationship Id="rId104" Type="http://schemas.openxmlformats.org/officeDocument/2006/relationships/hyperlink" Target="https://doi.org/10.1016/j.cor.2025.107149" TargetMode="External"/><Relationship Id="rId225" Type="http://schemas.openxmlformats.org/officeDocument/2006/relationships/hyperlink" Target="https://doi.org/10.1109/ICESEP66633.2025.11155526" TargetMode="External"/><Relationship Id="rId109" Type="http://schemas.openxmlformats.org/officeDocument/2006/relationships/hyperlink" Target="https://doi.org/10.3390/math13010004" TargetMode="External"/><Relationship Id="rId108" Type="http://schemas.openxmlformats.org/officeDocument/2006/relationships/hyperlink" Target="https://doi.org/10.1109/TEVC.2025.3543770" TargetMode="External"/><Relationship Id="rId229" Type="http://schemas.openxmlformats.org/officeDocument/2006/relationships/hyperlink" Target="https://doi.org/10.1080/00207543.2025.2550454" TargetMode="External"/><Relationship Id="rId220" Type="http://schemas.openxmlformats.org/officeDocument/2006/relationships/hyperlink" Target="https://doi.org/10.1016/j.cor.2023.106294" TargetMode="External"/><Relationship Id="rId103" Type="http://schemas.openxmlformats.org/officeDocument/2006/relationships/hyperlink" Target="https://doi.org/10.1016/j.cie.2025.111465" TargetMode="External"/><Relationship Id="rId224" Type="http://schemas.openxmlformats.org/officeDocument/2006/relationships/hyperlink" Target="https://doi.org/10.1016/j.ijpe.2024.109447" TargetMode="External"/><Relationship Id="rId102" Type="http://schemas.openxmlformats.org/officeDocument/2006/relationships/hyperlink" Target="https://doi.org/10.1016/j.rcim.2021.102283" TargetMode="External"/><Relationship Id="rId223" Type="http://schemas.openxmlformats.org/officeDocument/2006/relationships/hyperlink" Target="https://doi.org/10.1016/j.cie.2024.110646" TargetMode="External"/><Relationship Id="rId101" Type="http://schemas.openxmlformats.org/officeDocument/2006/relationships/hyperlink" Target="https://doi.org/10.3390/su14095177" TargetMode="External"/><Relationship Id="rId222" Type="http://schemas.openxmlformats.org/officeDocument/2006/relationships/hyperlink" Target="https://doi.org/10.1080/00207543.2024.2434948" TargetMode="External"/><Relationship Id="rId100" Type="http://schemas.openxmlformats.org/officeDocument/2006/relationships/hyperlink" Target="https://doi.org/10.1016/j.ress.2022.108429" TargetMode="External"/><Relationship Id="rId221" Type="http://schemas.openxmlformats.org/officeDocument/2006/relationships/hyperlink" Target="https://doi.org/10.3390/s23094498" TargetMode="External"/><Relationship Id="rId217" Type="http://schemas.openxmlformats.org/officeDocument/2006/relationships/hyperlink" Target="https://doi.org/10.1109/MLISE54096.2021.00049" TargetMode="External"/><Relationship Id="rId216" Type="http://schemas.openxmlformats.org/officeDocument/2006/relationships/hyperlink" Target="https://www.sciencedirect.com/science/article/pii/S0377221797000192?via%3Dihub" TargetMode="External"/><Relationship Id="rId215" Type="http://schemas.openxmlformats.org/officeDocument/2006/relationships/hyperlink" Target="https://doi.org/10.1109/ICICIS52592.2021.9694207" TargetMode="External"/><Relationship Id="rId214" Type="http://schemas.openxmlformats.org/officeDocument/2006/relationships/hyperlink" Target="https://fastmanufacturingproject.wordpress.com/2019/04/" TargetMode="External"/><Relationship Id="rId219" Type="http://schemas.openxmlformats.org/officeDocument/2006/relationships/hyperlink" Target="https://doi.org/10.1080/00207543.2023.2217285" TargetMode="External"/><Relationship Id="rId218" Type="http://schemas.openxmlformats.org/officeDocument/2006/relationships/hyperlink" Target="https://github.com/Lei-Kun/FJSP-benchmarks" TargetMode="External"/><Relationship Id="rId213" Type="http://schemas.openxmlformats.org/officeDocument/2006/relationships/hyperlink" Target="https://doi.org/10.1109/CAC63892.2024.10864691" TargetMode="External"/><Relationship Id="rId212" Type="http://schemas.openxmlformats.org/officeDocument/2006/relationships/hyperlink" Target="https://doi.org/10.1108/VJIKMS-08-2021-0146" TargetMode="External"/><Relationship Id="rId211" Type="http://schemas.openxmlformats.org/officeDocument/2006/relationships/hyperlink" Target="https://deepwiki.com/wrqccc/FJSP-DRL/4.2-brandimarte-dataset" TargetMode="External"/><Relationship Id="rId210" Type="http://schemas.openxmlformats.org/officeDocument/2006/relationships/hyperlink" Target="https://doi.org/10.1007/s11740-021-01064-0" TargetMode="External"/><Relationship Id="rId129" Type="http://schemas.openxmlformats.org/officeDocument/2006/relationships/hyperlink" Target="https://doi.org/10.1016/j.future.2024.05.058" TargetMode="External"/><Relationship Id="rId128" Type="http://schemas.openxmlformats.org/officeDocument/2006/relationships/hyperlink" Target="https://link.springer.com/article/10.1007/BF02023073" TargetMode="External"/><Relationship Id="rId249" Type="http://schemas.openxmlformats.org/officeDocument/2006/relationships/hyperlink" Target="https://doi.org/10.1080/00207543.2025.2497961" TargetMode="External"/><Relationship Id="rId127" Type="http://schemas.openxmlformats.org/officeDocument/2006/relationships/hyperlink" Target="https://doi.org/10.1109/TII.2022.3189725" TargetMode="External"/><Relationship Id="rId248" Type="http://schemas.openxmlformats.org/officeDocument/2006/relationships/hyperlink" Target="https://doi.org/10.1016/j.aei.2025.103216" TargetMode="External"/><Relationship Id="rId126" Type="http://schemas.openxmlformats.org/officeDocument/2006/relationships/hyperlink" Target="https://link.springer.com/article/10.1007/BF02023073" TargetMode="External"/><Relationship Id="rId247" Type="http://schemas.openxmlformats.org/officeDocument/2006/relationships/hyperlink" Target="https://doi.org/10.3390/systems13080631" TargetMode="External"/><Relationship Id="rId121" Type="http://schemas.openxmlformats.org/officeDocument/2006/relationships/hyperlink" Target="https://doi.org/10.1109/TII.2023.3272661" TargetMode="External"/><Relationship Id="rId242" Type="http://schemas.openxmlformats.org/officeDocument/2006/relationships/hyperlink" Target="https://doi.org/10.1080/17480272.2025.2505133" TargetMode="External"/><Relationship Id="rId120" Type="http://schemas.openxmlformats.org/officeDocument/2006/relationships/hyperlink" Target="https://doi.org/10.1007/978-981-97-2275-4_4" TargetMode="External"/><Relationship Id="rId241" Type="http://schemas.openxmlformats.org/officeDocument/2006/relationships/hyperlink" Target="https://doi.org/10.1016/j.engappai.2025.111586" TargetMode="External"/><Relationship Id="rId240" Type="http://schemas.openxmlformats.org/officeDocument/2006/relationships/hyperlink" Target="https://doi.org/10.1109/TASE.2024.3493617" TargetMode="External"/><Relationship Id="rId125" Type="http://schemas.openxmlformats.org/officeDocument/2006/relationships/hyperlink" Target="https://doi.org/10.1016/j.engappai.2023.106864" TargetMode="External"/><Relationship Id="rId246" Type="http://schemas.openxmlformats.org/officeDocument/2006/relationships/hyperlink" Target="https://doi.org/10.1016/j.jmsy.2025.08.016" TargetMode="External"/><Relationship Id="rId124" Type="http://schemas.openxmlformats.org/officeDocument/2006/relationships/hyperlink" Target="https://doi.org/10.1016/j.cie.2023.109650" TargetMode="External"/><Relationship Id="rId245" Type="http://schemas.openxmlformats.org/officeDocument/2006/relationships/hyperlink" Target="https://doi.org/10.1016/j.sca.2025.100171" TargetMode="External"/><Relationship Id="rId123" Type="http://schemas.openxmlformats.org/officeDocument/2006/relationships/hyperlink" Target="https://link.springer.com/article/10.1007/s10845-020-01537-6" TargetMode="External"/><Relationship Id="rId244" Type="http://schemas.openxmlformats.org/officeDocument/2006/relationships/hyperlink" Target="https://doi.org/10.1007/s12008-025-02296-5" TargetMode="External"/><Relationship Id="rId122" Type="http://schemas.openxmlformats.org/officeDocument/2006/relationships/hyperlink" Target="https://doi.org/10.1016/j.cie.2023.109718" TargetMode="External"/><Relationship Id="rId243" Type="http://schemas.openxmlformats.org/officeDocument/2006/relationships/hyperlink" Target="https://doi.org/10.1007/s12008-025-02316-4" TargetMode="External"/><Relationship Id="rId95" Type="http://schemas.openxmlformats.org/officeDocument/2006/relationships/hyperlink" Target="https://doi.org/10.1016/j.aei.2022.101776" TargetMode="External"/><Relationship Id="rId94" Type="http://schemas.openxmlformats.org/officeDocument/2006/relationships/hyperlink" Target="https://doi.org/10.1016/j.jmsy.2022.09.019" TargetMode="External"/><Relationship Id="rId97" Type="http://schemas.openxmlformats.org/officeDocument/2006/relationships/hyperlink" Target="https://doi.org/10.1016/j.cor.2022.105823" TargetMode="External"/><Relationship Id="rId96" Type="http://schemas.openxmlformats.org/officeDocument/2006/relationships/hyperlink" Target="https://doi.org/10.1016/j.rcim.2022.102324" TargetMode="External"/><Relationship Id="rId99" Type="http://schemas.openxmlformats.org/officeDocument/2006/relationships/hyperlink" Target="https://doi.org/10.3390/app12115618" TargetMode="External"/><Relationship Id="rId98" Type="http://schemas.openxmlformats.org/officeDocument/2006/relationships/hyperlink" Target="https://doi.org/10.1016/j.jmsy.2022.08.005" TargetMode="External"/><Relationship Id="rId91" Type="http://schemas.openxmlformats.org/officeDocument/2006/relationships/hyperlink" Target="https://doi.org/10.1080/23080477.2023.2187528" TargetMode="External"/><Relationship Id="rId90" Type="http://schemas.openxmlformats.org/officeDocument/2006/relationships/hyperlink" Target="https://github.com/tamy0612/JSPLIB" TargetMode="External"/><Relationship Id="rId93" Type="http://schemas.openxmlformats.org/officeDocument/2006/relationships/hyperlink" Target="https://doi.org/10.1016/j.rcim.2022.102412" TargetMode="External"/><Relationship Id="rId92" Type="http://schemas.openxmlformats.org/officeDocument/2006/relationships/hyperlink" Target="https://github.com/tamy0612/JSPLIB" TargetMode="External"/><Relationship Id="rId118" Type="http://schemas.openxmlformats.org/officeDocument/2006/relationships/hyperlink" Target="https://doi.org/10.1109/ACCESS.2024.3430218" TargetMode="External"/><Relationship Id="rId239" Type="http://schemas.openxmlformats.org/officeDocument/2006/relationships/hyperlink" Target="https://doi.org/10.3390/app15084116" TargetMode="External"/><Relationship Id="rId117" Type="http://schemas.openxmlformats.org/officeDocument/2006/relationships/hyperlink" Target="https://doi.org/10.1007/978-981-97-5581-3_15" TargetMode="External"/><Relationship Id="rId238" Type="http://schemas.openxmlformats.org/officeDocument/2006/relationships/hyperlink" Target="https://doi.org/10.1007/s10479-026-07065-5" TargetMode="External"/><Relationship Id="rId116" Type="http://schemas.openxmlformats.org/officeDocument/2006/relationships/hyperlink" Target="https://doi.org/10.1007/978-981-97-5675-9_8" TargetMode="External"/><Relationship Id="rId237" Type="http://schemas.openxmlformats.org/officeDocument/2006/relationships/hyperlink" Target="https://doi.org/10.1109/TII.2025.3610442" TargetMode="External"/><Relationship Id="rId115" Type="http://schemas.openxmlformats.org/officeDocument/2006/relationships/hyperlink" Target="https://doi.org/10.1080/00207543.2024.2408671" TargetMode="External"/><Relationship Id="rId236" Type="http://schemas.openxmlformats.org/officeDocument/2006/relationships/hyperlink" Target="https://doi.org/10.1038/s41598-025-31722-7" TargetMode="External"/><Relationship Id="rId119" Type="http://schemas.openxmlformats.org/officeDocument/2006/relationships/hyperlink" Target="https://doi.org/10.1007/978-981-97-0194-0_11" TargetMode="External"/><Relationship Id="rId110" Type="http://schemas.openxmlformats.org/officeDocument/2006/relationships/hyperlink" Target="https://github.com/Lei-Kun/FJSP-benchmarks" TargetMode="External"/><Relationship Id="rId231" Type="http://schemas.openxmlformats.org/officeDocument/2006/relationships/hyperlink" Target="https://doi.org/10.1109/ACCESS.2025.3577044" TargetMode="External"/><Relationship Id="rId230" Type="http://schemas.openxmlformats.org/officeDocument/2006/relationships/hyperlink" Target="https://doi.org/10.1109/JIOT.2025.3584811" TargetMode="External"/><Relationship Id="rId114" Type="http://schemas.openxmlformats.org/officeDocument/2006/relationships/hyperlink" Target="https://scheduleopt.github.io/benchmarks/fjsplib" TargetMode="External"/><Relationship Id="rId235" Type="http://schemas.openxmlformats.org/officeDocument/2006/relationships/hyperlink" Target="https://doi.org/10.1080/21681015.2025.2533436" TargetMode="External"/><Relationship Id="rId113" Type="http://schemas.openxmlformats.org/officeDocument/2006/relationships/hyperlink" Target="https://doi.org/10.1109/ICMLCA63499.2024.10754379" TargetMode="External"/><Relationship Id="rId234" Type="http://schemas.openxmlformats.org/officeDocument/2006/relationships/hyperlink" Target="https://doi.org/10.1016/j.cie.2024.110006" TargetMode="External"/><Relationship Id="rId112" Type="http://schemas.openxmlformats.org/officeDocument/2006/relationships/hyperlink" Target="https://doi.org/10.1109/SMC54092.2024.10831278" TargetMode="External"/><Relationship Id="rId233" Type="http://schemas.openxmlformats.org/officeDocument/2006/relationships/hyperlink" Target="https://doi.org/10.1080/00207543.2025.2512226" TargetMode="External"/><Relationship Id="rId111" Type="http://schemas.openxmlformats.org/officeDocument/2006/relationships/hyperlink" Target="https://doi.org/10.1016/j.aei.2025.103386" TargetMode="External"/><Relationship Id="rId232" Type="http://schemas.openxmlformats.org/officeDocument/2006/relationships/hyperlink" Target="https://deepwiki.com/wrqccc/FJSP-DRL/4.2-brandimarte-dataset" TargetMode="External"/><Relationship Id="rId206" Type="http://schemas.openxmlformats.org/officeDocument/2006/relationships/hyperlink" Target="https://doi.org/10.1016/j.rcim.2025.102965" TargetMode="External"/><Relationship Id="rId205" Type="http://schemas.openxmlformats.org/officeDocument/2006/relationships/hyperlink" Target="https://doi.org/10.1111/poms.14021" TargetMode="External"/><Relationship Id="rId204" Type="http://schemas.openxmlformats.org/officeDocument/2006/relationships/hyperlink" Target="https://doi.org/10.1007/s40436-023-00454-0" TargetMode="External"/><Relationship Id="rId203" Type="http://schemas.openxmlformats.org/officeDocument/2006/relationships/hyperlink" Target="https://doi.org/10.1016/j.procir.2018.03.098" TargetMode="External"/><Relationship Id="rId209" Type="http://schemas.openxmlformats.org/officeDocument/2006/relationships/hyperlink" Target="https://doi.org/10.1177/16878132221086120" TargetMode="External"/><Relationship Id="rId208" Type="http://schemas.openxmlformats.org/officeDocument/2006/relationships/hyperlink" Target="https://doi.org/10.1080/00207543.2025.2546030" TargetMode="External"/><Relationship Id="rId207" Type="http://schemas.openxmlformats.org/officeDocument/2006/relationships/hyperlink" Target="https://doi.org/10.1049/cim2.70024" TargetMode="External"/><Relationship Id="rId202" Type="http://schemas.openxmlformats.org/officeDocument/2006/relationships/hyperlink" Target="https://deepwiki.com/wrqccc/FJSP-DRL/4.2-brandimarte-dataset" TargetMode="External"/><Relationship Id="rId201" Type="http://schemas.openxmlformats.org/officeDocument/2006/relationships/hyperlink" Target="https://doi.org/10.1109/TEVC.2024.3400043" TargetMode="External"/><Relationship Id="rId200" Type="http://schemas.openxmlformats.org/officeDocument/2006/relationships/hyperlink" Target="https://doi.org/10.1016/j.ifacol.2025.09.354"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31" Type="http://schemas.openxmlformats.org/officeDocument/2006/relationships/hyperlink" Target="https://doi.org/10.1109/SSCI44817.2019.9002654" TargetMode="External"/><Relationship Id="rId30" Type="http://schemas.openxmlformats.org/officeDocument/2006/relationships/hyperlink" Target="https://doi.org/10.1016/j.jmsy.2019.11.010" TargetMode="External"/><Relationship Id="rId33" Type="http://schemas.openxmlformats.org/officeDocument/2006/relationships/hyperlink" Target="https://doi.org/10.1109/ASMC.2019.8791812" TargetMode="External"/><Relationship Id="rId32" Type="http://schemas.openxmlformats.org/officeDocument/2006/relationships/hyperlink" Target="https://doi.org/10.1109/IECON.2019.8926900" TargetMode="External"/><Relationship Id="rId35" Type="http://schemas.openxmlformats.org/officeDocument/2006/relationships/hyperlink" Target="https://doi.org/10.1109/ASMC.2018.8373203" TargetMode="External"/><Relationship Id="rId34" Type="http://schemas.openxmlformats.org/officeDocument/2006/relationships/hyperlink" Target="https://doi.org/10.1016/j.simpat.2019.101990" TargetMode="External"/><Relationship Id="rId37" Type="http://schemas.openxmlformats.org/officeDocument/2006/relationships/drawing" Target="../drawings/drawing8.xml"/><Relationship Id="rId36" Type="http://schemas.openxmlformats.org/officeDocument/2006/relationships/hyperlink" Target="https://doi.org/10.1109/ICNSC.2018.8361334" TargetMode="External"/><Relationship Id="rId20" Type="http://schemas.openxmlformats.org/officeDocument/2006/relationships/hyperlink" Target="https://doi.org/10.3390/a15100372" TargetMode="External"/><Relationship Id="rId22" Type="http://schemas.openxmlformats.org/officeDocument/2006/relationships/hyperlink" Target="https://doi.org/10.24425/bpasts.2022.143830" TargetMode="External"/><Relationship Id="rId21" Type="http://schemas.openxmlformats.org/officeDocument/2006/relationships/hyperlink" Target="https://doi.org/10.1007/s00170-022-09931-5" TargetMode="External"/><Relationship Id="rId24" Type="http://schemas.openxmlformats.org/officeDocument/2006/relationships/hyperlink" Target="https://doi.org/10.1007/s11740-021-01057-z" TargetMode="External"/><Relationship Id="rId23" Type="http://schemas.openxmlformats.org/officeDocument/2006/relationships/hyperlink" Target="https://doi.org/10.1016/j.ifacol.2022.09.543" TargetMode="External"/><Relationship Id="rId26" Type="http://schemas.openxmlformats.org/officeDocument/2006/relationships/hyperlink" Target="https://doi.org/10.1007/978-3-030-85902-2_54" TargetMode="External"/><Relationship Id="rId25" Type="http://schemas.openxmlformats.org/officeDocument/2006/relationships/hyperlink" Target="https://doi.org/10.1016/j.procir.2021.10.019" TargetMode="External"/><Relationship Id="rId28" Type="http://schemas.openxmlformats.org/officeDocument/2006/relationships/hyperlink" Target="https://doi.org/10.1080/00207543.2019.1602745" TargetMode="External"/><Relationship Id="rId27" Type="http://schemas.openxmlformats.org/officeDocument/2006/relationships/hyperlink" Target="https://doi.org/10.1016/j.autcon.2019.103065" TargetMode="External"/><Relationship Id="rId29" Type="http://schemas.openxmlformats.org/officeDocument/2006/relationships/hyperlink" Target="https://doi.org/10.1016/j.procir.2020.04.125" TargetMode="External"/><Relationship Id="rId11" Type="http://schemas.openxmlformats.org/officeDocument/2006/relationships/hyperlink" Target="https://doi.org/10.1016/j.cie.2023.109500" TargetMode="External"/><Relationship Id="rId10" Type="http://schemas.openxmlformats.org/officeDocument/2006/relationships/hyperlink" Target="https://doi.org/10.1016/j.compchemeng.2023.108363" TargetMode="External"/><Relationship Id="rId13" Type="http://schemas.openxmlformats.org/officeDocument/2006/relationships/hyperlink" Target="https://doi.org/10.1007/s10951-023-00783-9" TargetMode="External"/><Relationship Id="rId12" Type="http://schemas.openxmlformats.org/officeDocument/2006/relationships/hyperlink" Target="https://doi.org/10.1016/j.cie.2023.109500" TargetMode="External"/><Relationship Id="rId15" Type="http://schemas.openxmlformats.org/officeDocument/2006/relationships/hyperlink" Target="https://doi.org/10.1016/j.eswa.2022.118958" TargetMode="External"/><Relationship Id="rId14" Type="http://schemas.openxmlformats.org/officeDocument/2006/relationships/hyperlink" Target="https://doi.org/10.1016/j.knosys.2023.110309" TargetMode="External"/><Relationship Id="rId17" Type="http://schemas.openxmlformats.org/officeDocument/2006/relationships/hyperlink" Target="https://doi.org/10.1007/978-3-031-24457-5_61" TargetMode="External"/><Relationship Id="rId16" Type="http://schemas.openxmlformats.org/officeDocument/2006/relationships/hyperlink" Target="https://doi.org/10.1007/978-3-031-24457-5_55" TargetMode="External"/><Relationship Id="rId19" Type="http://schemas.openxmlformats.org/officeDocument/2006/relationships/hyperlink" Target="https://doi.org/10.1007/978-3-031-24457-5_65" TargetMode="External"/><Relationship Id="rId18" Type="http://schemas.openxmlformats.org/officeDocument/2006/relationships/hyperlink" Target="https://doi.org/10.1007/978-981-19-9024-3_57" TargetMode="External"/><Relationship Id="rId1" Type="http://schemas.openxmlformats.org/officeDocument/2006/relationships/hyperlink" Target="https://doi.org/10.1007/s12351-025-00977-3" TargetMode="External"/><Relationship Id="rId2" Type="http://schemas.openxmlformats.org/officeDocument/2006/relationships/hyperlink" Target="https://doi.org/10.1016/j.engappai.2025.111783" TargetMode="External"/><Relationship Id="rId3" Type="http://schemas.openxmlformats.org/officeDocument/2006/relationships/hyperlink" Target="https://doi.org/10.1609/aaai.v39i25.34907" TargetMode="External"/><Relationship Id="rId4" Type="http://schemas.openxmlformats.org/officeDocument/2006/relationships/hyperlink" Target="https://doi.org/10.1007/978-3-031-77012-8_7" TargetMode="External"/><Relationship Id="rId9" Type="http://schemas.openxmlformats.org/officeDocument/2006/relationships/hyperlink" Target="https://doi.org/10.23919/CCC63176.2024.10661681" TargetMode="External"/><Relationship Id="rId5" Type="http://schemas.openxmlformats.org/officeDocument/2006/relationships/hyperlink" Target="https://doi.org/10.1007/978-981-96-9901-8_31" TargetMode="External"/><Relationship Id="rId6" Type="http://schemas.openxmlformats.org/officeDocument/2006/relationships/hyperlink" Target="https://doi.org/10.1109/ACCESS.2025.3569568" TargetMode="External"/><Relationship Id="rId7" Type="http://schemas.openxmlformats.org/officeDocument/2006/relationships/hyperlink" Target="https://doi.org/10.1016/j.procs.2025.01.244" TargetMode="External"/><Relationship Id="rId8" Type="http://schemas.openxmlformats.org/officeDocument/2006/relationships/hyperlink" Target="https://doi.org/10.1016/j.ifacol.2024.09.103"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ata.europa.eu/doi/10.2777/308407"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10" Type="http://schemas.openxmlformats.org/officeDocument/2006/relationships/drawing" Target="../drawings/drawing11.xml"/><Relationship Id="rId1" Type="http://schemas.openxmlformats.org/officeDocument/2006/relationships/hyperlink" Target="https://doi.org/10.3390/app13031687" TargetMode="External"/><Relationship Id="rId2" Type="http://schemas.openxmlformats.org/officeDocument/2006/relationships/hyperlink" Target="https://doi.org/10.1007/978-3-031-18326-3_24" TargetMode="External"/><Relationship Id="rId3" Type="http://schemas.openxmlformats.org/officeDocument/2006/relationships/hyperlink" Target="https://doi.org/10.1016/j.cor.2024.106929" TargetMode="External"/><Relationship Id="rId4" Type="http://schemas.openxmlformats.org/officeDocument/2006/relationships/hyperlink" Target="https://doi.org/10.1007/s10845-025-02585-6" TargetMode="External"/><Relationship Id="rId9" Type="http://schemas.openxmlformats.org/officeDocument/2006/relationships/hyperlink" Target="https://doi.org/10.1016/j.procir.2021.11.245" TargetMode="External"/><Relationship Id="rId5" Type="http://schemas.openxmlformats.org/officeDocument/2006/relationships/hyperlink" Target="https://doi.org/10.1016/j.knosys.2025.113633" TargetMode="External"/><Relationship Id="rId6" Type="http://schemas.openxmlformats.org/officeDocument/2006/relationships/hyperlink" Target="https://doi.org/10.1016/j.cor.2024.106914" TargetMode="External"/><Relationship Id="rId7" Type="http://schemas.openxmlformats.org/officeDocument/2006/relationships/hyperlink" Target="https://doi.org/10.1108/JM2-02-2016-0015" TargetMode="External"/><Relationship Id="rId8" Type="http://schemas.openxmlformats.org/officeDocument/2006/relationships/hyperlink" Target="https://doi.org/10.3390/pr908139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criteria.no/"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i.org/10.1049/cim2.12042" TargetMode="External"/><Relationship Id="rId22" Type="http://schemas.openxmlformats.org/officeDocument/2006/relationships/drawing" Target="../drawings/drawing18.xml"/><Relationship Id="rId21" Type="http://schemas.openxmlformats.org/officeDocument/2006/relationships/hyperlink" Target="https://doi.org/10.1007/s11740-021-01064-0" TargetMode="External"/><Relationship Id="rId11" Type="http://schemas.openxmlformats.org/officeDocument/2006/relationships/hyperlink" Target="https://doi.org/10.1016/j.rcim.2022.102324" TargetMode="External"/><Relationship Id="rId10" Type="http://schemas.openxmlformats.org/officeDocument/2006/relationships/hyperlink" Target="https://doi.org/10.1016/j.aei.2022.101776" TargetMode="External"/><Relationship Id="rId13" Type="http://schemas.openxmlformats.org/officeDocument/2006/relationships/hyperlink" Target="https://doi.org/10.1016/j.jmsy.2022.08.005" TargetMode="External"/><Relationship Id="rId12" Type="http://schemas.openxmlformats.org/officeDocument/2006/relationships/hyperlink" Target="https://doi.org/10.1016/j.cor.2022.105823" TargetMode="External"/><Relationship Id="rId15" Type="http://schemas.openxmlformats.org/officeDocument/2006/relationships/hyperlink" Target="https://doi.org/10.1016/j.ress.2022.108429" TargetMode="External"/><Relationship Id="rId14" Type="http://schemas.openxmlformats.org/officeDocument/2006/relationships/hyperlink" Target="https://doi.org/10.3390/app12115618" TargetMode="External"/><Relationship Id="rId17" Type="http://schemas.openxmlformats.org/officeDocument/2006/relationships/hyperlink" Target="https://doi.org/10.3233/ATDE220190" TargetMode="External"/><Relationship Id="rId16" Type="http://schemas.openxmlformats.org/officeDocument/2006/relationships/hyperlink" Target="https://doi.org/10.3390/su14095177" TargetMode="External"/><Relationship Id="rId19" Type="http://schemas.openxmlformats.org/officeDocument/2006/relationships/hyperlink" Target="https://doi.org/10.1177/16878132221086120" TargetMode="External"/><Relationship Id="rId18" Type="http://schemas.openxmlformats.org/officeDocument/2006/relationships/hyperlink" Target="https://doi.org/10.1016/j.rcim.2021.102283" TargetMode="External"/><Relationship Id="rId1" Type="http://schemas.openxmlformats.org/officeDocument/2006/relationships/hyperlink" Target="https://doi.org/10.1109/IEEECONF58110.2023.10520644" TargetMode="External"/><Relationship Id="rId2" Type="http://schemas.openxmlformats.org/officeDocument/2006/relationships/hyperlink" Target="https://doi.org/10.1109/IEEM58616.2023.10406397" TargetMode="External"/><Relationship Id="rId3" Type="http://schemas.openxmlformats.org/officeDocument/2006/relationships/hyperlink" Target="https://doi.org/10.1109/WSC60868.2023.10407811" TargetMode="External"/><Relationship Id="rId4" Type="http://schemas.openxmlformats.org/officeDocument/2006/relationships/hyperlink" Target="https://doi.org/10.1007/978-3-031-43524-9_10" TargetMode="External"/><Relationship Id="rId9" Type="http://schemas.openxmlformats.org/officeDocument/2006/relationships/hyperlink" Target="https://doi.org/10.3390/app122010451" TargetMode="External"/><Relationship Id="rId5" Type="http://schemas.openxmlformats.org/officeDocument/2006/relationships/hyperlink" Target="https://doi.org/10.1080/23080477.2023.2187528" TargetMode="External"/><Relationship Id="rId6" Type="http://schemas.openxmlformats.org/officeDocument/2006/relationships/hyperlink" Target="https://doi.org/10.1080/00207543.2022.2142314" TargetMode="External"/><Relationship Id="rId7" Type="http://schemas.openxmlformats.org/officeDocument/2006/relationships/hyperlink" Target="https://doi.org/10.1016/j.rcim.2022.102412" TargetMode="External"/><Relationship Id="rId8" Type="http://schemas.openxmlformats.org/officeDocument/2006/relationships/hyperlink" Target="https://doi.org/10.1016/j.jmsy.2022.09.019"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i.org/10.3390/forecast4040055" TargetMode="External"/><Relationship Id="rId42" Type="http://schemas.openxmlformats.org/officeDocument/2006/relationships/hyperlink" Target="https://doi.org/10.1016/j.asoc.2020.106544" TargetMode="External"/><Relationship Id="rId41" Type="http://schemas.openxmlformats.org/officeDocument/2006/relationships/hyperlink" Target="https://doi.org/10.1299/jamdsm.2022jamdsm0037" TargetMode="External"/><Relationship Id="rId44" Type="http://schemas.openxmlformats.org/officeDocument/2006/relationships/hyperlink" Target="https://proceedings.neurips.cc/paper/2020/hash/11958dfee29b6709f48a9ba0387a2431-Abstract.html" TargetMode="External"/><Relationship Id="rId43" Type="http://schemas.openxmlformats.org/officeDocument/2006/relationships/hyperlink" Target="https://doi.org/10.1016/j.cie.2020.106778" TargetMode="External"/><Relationship Id="rId46" Type="http://schemas.openxmlformats.org/officeDocument/2006/relationships/drawing" Target="../drawings/drawing19.xml"/><Relationship Id="rId45" Type="http://schemas.openxmlformats.org/officeDocument/2006/relationships/hyperlink" Target="https://proceedings.neurips.cc/paper_files/paper/2020/file/11958dfee29b6709f48a9ba0387a2431-Paper.pdf" TargetMode="External"/><Relationship Id="rId31" Type="http://schemas.openxmlformats.org/officeDocument/2006/relationships/hyperlink" Target="https://doi.org/10.1080/17509653.2025.2475774" TargetMode="External"/><Relationship Id="rId30" Type="http://schemas.openxmlformats.org/officeDocument/2006/relationships/hyperlink" Target="https://doi.org/10.1007/978-3-031-86489-6_17" TargetMode="External"/><Relationship Id="rId33" Type="http://schemas.openxmlformats.org/officeDocument/2006/relationships/hyperlink" Target="https://doi.org/10.1007/s10845-025-02585-6" TargetMode="External"/><Relationship Id="rId32" Type="http://schemas.openxmlformats.org/officeDocument/2006/relationships/hyperlink" Target="https://doi.org/10.1016/j.procir.2025.01.005" TargetMode="External"/><Relationship Id="rId35" Type="http://schemas.openxmlformats.org/officeDocument/2006/relationships/hyperlink" Target="https://doi.org/10.1177/1063293X231217543" TargetMode="External"/><Relationship Id="rId34" Type="http://schemas.openxmlformats.org/officeDocument/2006/relationships/hyperlink" Target="https://doi.org/10.1016/j.procir.2025.01.005" TargetMode="External"/><Relationship Id="rId37" Type="http://schemas.openxmlformats.org/officeDocument/2006/relationships/hyperlink" Target="https://easychair.org/publications/preprint/tBPM" TargetMode="External"/><Relationship Id="rId36" Type="http://schemas.openxmlformats.org/officeDocument/2006/relationships/hyperlink" Target="https://doi.org/10.1016/j.aei.2023.101911" TargetMode="External"/><Relationship Id="rId39" Type="http://schemas.openxmlformats.org/officeDocument/2006/relationships/hyperlink" Target="https://doi.org/10.1016/j.cie.2024.110670" TargetMode="External"/><Relationship Id="rId38" Type="http://schemas.openxmlformats.org/officeDocument/2006/relationships/hyperlink" Target="https://doi.org/10.1504/IJMR.2024.136569" TargetMode="External"/><Relationship Id="rId20" Type="http://schemas.openxmlformats.org/officeDocument/2006/relationships/hyperlink" Target="https://doi.org/10.1109/TII.2022.3189725" TargetMode="External"/><Relationship Id="rId22" Type="http://schemas.openxmlformats.org/officeDocument/2006/relationships/hyperlink" Target="https://doi.org/10.3390/app14156835" TargetMode="External"/><Relationship Id="rId21" Type="http://schemas.openxmlformats.org/officeDocument/2006/relationships/hyperlink" Target="https://doi.org/10.1016/j.future.2024.05.058" TargetMode="External"/><Relationship Id="rId24" Type="http://schemas.openxmlformats.org/officeDocument/2006/relationships/hyperlink" Target="https://doi.org/10.1016/j.cie.2025.111342" TargetMode="External"/><Relationship Id="rId23" Type="http://schemas.openxmlformats.org/officeDocument/2006/relationships/hyperlink" Target="https://doi.org/10.1108/IR-10-2021-0246" TargetMode="External"/><Relationship Id="rId26" Type="http://schemas.openxmlformats.org/officeDocument/2006/relationships/hyperlink" Target="https://doi.org/10.1115/1.4068980" TargetMode="External"/><Relationship Id="rId25" Type="http://schemas.openxmlformats.org/officeDocument/2006/relationships/hyperlink" Target="https://doi.org/10.3390/app151810108" TargetMode="External"/><Relationship Id="rId28" Type="http://schemas.openxmlformats.org/officeDocument/2006/relationships/hyperlink" Target="https://doi.org/10.1080/17509653.2025.2498119" TargetMode="External"/><Relationship Id="rId27" Type="http://schemas.openxmlformats.org/officeDocument/2006/relationships/hyperlink" Target="https://doi.org/10.1016/j.jfranklin.2025.107944" TargetMode="External"/><Relationship Id="rId29" Type="http://schemas.openxmlformats.org/officeDocument/2006/relationships/hyperlink" Target="https://doi.org/10.1080/0951192X.2024.2343677" TargetMode="External"/><Relationship Id="rId11" Type="http://schemas.openxmlformats.org/officeDocument/2006/relationships/hyperlink" Target="https://doi.org/10.1007/978-981-97-0194-0_11" TargetMode="External"/><Relationship Id="rId10" Type="http://schemas.openxmlformats.org/officeDocument/2006/relationships/hyperlink" Target="https://doi.org/10.1109/SIEDS61124.2024.10534636" TargetMode="External"/><Relationship Id="rId13" Type="http://schemas.openxmlformats.org/officeDocument/2006/relationships/hyperlink" Target="https://doi.org/10.1080/21681015.2024.2330401" TargetMode="External"/><Relationship Id="rId12" Type="http://schemas.openxmlformats.org/officeDocument/2006/relationships/hyperlink" Target="https://doi.org/10.1007/978-981-97-2275-4_4" TargetMode="External"/><Relationship Id="rId15" Type="http://schemas.openxmlformats.org/officeDocument/2006/relationships/hyperlink" Target="https://doi.org/10.1080/00207543.2023.2217285" TargetMode="External"/><Relationship Id="rId14" Type="http://schemas.openxmlformats.org/officeDocument/2006/relationships/hyperlink" Target="https://doi.org/10.1007/978-981-99-6062-0_20" TargetMode="External"/><Relationship Id="rId17" Type="http://schemas.openxmlformats.org/officeDocument/2006/relationships/hyperlink" Target="https://doi.org/10.1016/j.cie.2023.109718" TargetMode="External"/><Relationship Id="rId16" Type="http://schemas.openxmlformats.org/officeDocument/2006/relationships/hyperlink" Target="https://doi.org/10.1109/TII.2023.3272661" TargetMode="External"/><Relationship Id="rId19" Type="http://schemas.openxmlformats.org/officeDocument/2006/relationships/hyperlink" Target="https://doi.org/10.1016/j.engappai.2023.106864" TargetMode="External"/><Relationship Id="rId18" Type="http://schemas.openxmlformats.org/officeDocument/2006/relationships/hyperlink" Target="https://doi.org/10.1016/j.cie.2023.109650" TargetMode="External"/><Relationship Id="rId1" Type="http://schemas.openxmlformats.org/officeDocument/2006/relationships/hyperlink" Target="https://doi.org/10.1109/SMC54092.2024.10831278" TargetMode="External"/><Relationship Id="rId2" Type="http://schemas.openxmlformats.org/officeDocument/2006/relationships/hyperlink" Target="https://doi.org/10.1109/RCAE62637.2024.10834207" TargetMode="External"/><Relationship Id="rId3" Type="http://schemas.openxmlformats.org/officeDocument/2006/relationships/hyperlink" Target="https://doi.org/10.1016/j.procir.2024.10.261" TargetMode="External"/><Relationship Id="rId4" Type="http://schemas.openxmlformats.org/officeDocument/2006/relationships/hyperlink" Target="https://doi.org/10.1109/ICMLCA63499.2024.10754379" TargetMode="External"/><Relationship Id="rId9" Type="http://schemas.openxmlformats.org/officeDocument/2006/relationships/hyperlink" Target="https://doi.org/10.1109/ACCESS.2024.3430218" TargetMode="External"/><Relationship Id="rId5" Type="http://schemas.openxmlformats.org/officeDocument/2006/relationships/hyperlink" Target="https://doi.org/10.23055/ijietap.2024.31.5.9997" TargetMode="External"/><Relationship Id="rId6" Type="http://schemas.openxmlformats.org/officeDocument/2006/relationships/hyperlink" Target="https://doi.org/10.1080/00207543.2024.2408671" TargetMode="External"/><Relationship Id="rId7" Type="http://schemas.openxmlformats.org/officeDocument/2006/relationships/hyperlink" Target="https://doi.org/10.1007/978-981-97-5675-9_8" TargetMode="External"/><Relationship Id="rId8" Type="http://schemas.openxmlformats.org/officeDocument/2006/relationships/hyperlink" Target="https://doi.org/10.1007/978-981-97-5581-3_15"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i.org/10.1016/j.ifacol.2018.03.046" TargetMode="External"/><Relationship Id="rId30" Type="http://schemas.openxmlformats.org/officeDocument/2006/relationships/hyperlink" Target="https://doi.org/10.1177/1687814018766776" TargetMode="External"/><Relationship Id="rId33" Type="http://schemas.openxmlformats.org/officeDocument/2006/relationships/drawing" Target="../drawings/drawing20.xml"/><Relationship Id="rId32" Type="http://schemas.openxmlformats.org/officeDocument/2006/relationships/hyperlink" Target="https://doi.org/10.1016/j.jmsy.2021.09.018" TargetMode="External"/><Relationship Id="rId20" Type="http://schemas.openxmlformats.org/officeDocument/2006/relationships/hyperlink" Target="https://doi.org/10.1016/j.asoc.2025.113474" TargetMode="External"/><Relationship Id="rId22" Type="http://schemas.openxmlformats.org/officeDocument/2006/relationships/hyperlink" Target="https://doi.org/10.1016/j.ins.2025.122023" TargetMode="External"/><Relationship Id="rId21" Type="http://schemas.openxmlformats.org/officeDocument/2006/relationships/hyperlink" Target="https://doi.org/10.1016/j.cie.2025.111310" TargetMode="External"/><Relationship Id="rId24" Type="http://schemas.openxmlformats.org/officeDocument/2006/relationships/hyperlink" Target="https://doi.org/10.1016/j.asoc.2025.113230" TargetMode="External"/><Relationship Id="rId23" Type="http://schemas.openxmlformats.org/officeDocument/2006/relationships/hyperlink" Target="https://doi.org/10.1007/s43069-025-00466-5" TargetMode="External"/><Relationship Id="rId26" Type="http://schemas.openxmlformats.org/officeDocument/2006/relationships/hyperlink" Target="https://doi.org/10.1109/TASE.2025.3591984" TargetMode="External"/><Relationship Id="rId25" Type="http://schemas.openxmlformats.org/officeDocument/2006/relationships/hyperlink" Target="https://doi.org/10.1007/978-981-96-9901-8_32" TargetMode="External"/><Relationship Id="rId28" Type="http://schemas.openxmlformats.org/officeDocument/2006/relationships/hyperlink" Target="https://doi.org/10.1109/CEC65147.2025.11043017" TargetMode="External"/><Relationship Id="rId27" Type="http://schemas.openxmlformats.org/officeDocument/2006/relationships/hyperlink" Target="https://doi.org/10.32604/cmc.2025.065153" TargetMode="External"/><Relationship Id="rId29" Type="http://schemas.openxmlformats.org/officeDocument/2006/relationships/hyperlink" Target="https://doi.org/10.1108/RPJ-11-2017-0238" TargetMode="External"/><Relationship Id="rId11" Type="http://schemas.openxmlformats.org/officeDocument/2006/relationships/hyperlink" Target="https://doi.org/10.1016/j.jmsy.2023.11.019" TargetMode="External"/><Relationship Id="rId10" Type="http://schemas.openxmlformats.org/officeDocument/2006/relationships/hyperlink" Target="https://doi.org/10.1016/j.swevo.2024.101762" TargetMode="External"/><Relationship Id="rId13" Type="http://schemas.openxmlformats.org/officeDocument/2006/relationships/hyperlink" Target="https://doi.org/10.1007/978-3-031-38165-2_135" TargetMode="External"/><Relationship Id="rId12" Type="http://schemas.openxmlformats.org/officeDocument/2006/relationships/hyperlink" Target="https://doi.org/10.1109/TSMC.2023.3317390" TargetMode="External"/><Relationship Id="rId15" Type="http://schemas.openxmlformats.org/officeDocument/2006/relationships/hyperlink" Target="https://doi.org/10.1117/12.2679540" TargetMode="External"/><Relationship Id="rId14" Type="http://schemas.openxmlformats.org/officeDocument/2006/relationships/hyperlink" Target="https://doi.org/10.1016/j.procir.2023.09.195" TargetMode="External"/><Relationship Id="rId17" Type="http://schemas.openxmlformats.org/officeDocument/2006/relationships/hyperlink" Target="https://doi.org/10.1016/j.compind.2021.103433" TargetMode="External"/><Relationship Id="rId16" Type="http://schemas.openxmlformats.org/officeDocument/2006/relationships/hyperlink" Target="https://doi.org/10.1155/2022/5892943" TargetMode="External"/><Relationship Id="rId19" Type="http://schemas.openxmlformats.org/officeDocument/2006/relationships/hyperlink" Target="https://doi.org/10.1007/s11740-017-0784-x" TargetMode="External"/><Relationship Id="rId18" Type="http://schemas.openxmlformats.org/officeDocument/2006/relationships/hyperlink" Target="https://doi.org/10.1109/CASE48305.2020.9216907" TargetMode="External"/><Relationship Id="rId1" Type="http://schemas.openxmlformats.org/officeDocument/2006/relationships/hyperlink" Target="https://doi.org/10.1016/j.jmsy.2024.03.015" TargetMode="External"/><Relationship Id="rId2" Type="http://schemas.openxmlformats.org/officeDocument/2006/relationships/hyperlink" Target="https://doi.org/10.3390/app14010283" TargetMode="External"/><Relationship Id="rId3" Type="http://schemas.openxmlformats.org/officeDocument/2006/relationships/hyperlink" Target="https://doi.org/10.1109/MSN63567.2024.00058" TargetMode="External"/><Relationship Id="rId4" Type="http://schemas.openxmlformats.org/officeDocument/2006/relationships/hyperlink" Target="https://doi.org/10.1007/s10845-021-01826-8" TargetMode="External"/><Relationship Id="rId9" Type="http://schemas.openxmlformats.org/officeDocument/2006/relationships/hyperlink" Target="https://doi.org/10.1109/TEM.2018.2846627" TargetMode="External"/><Relationship Id="rId5" Type="http://schemas.openxmlformats.org/officeDocument/2006/relationships/hyperlink" Target="https://doi.org/10.1145/3564695.3564778" TargetMode="External"/><Relationship Id="rId6" Type="http://schemas.openxmlformats.org/officeDocument/2006/relationships/hyperlink" Target="https://doi.org/10.1109/WSC57314.2022.10015282" TargetMode="External"/><Relationship Id="rId7" Type="http://schemas.openxmlformats.org/officeDocument/2006/relationships/hyperlink" Target="https://doi.org/10.1007/978-3-031-14844-6_3" TargetMode="External"/><Relationship Id="rId8" Type="http://schemas.openxmlformats.org/officeDocument/2006/relationships/hyperlink" Target="https://doi.org/10.1007/978-3-030-75680-2_62" TargetMode="External"/></Relationships>
</file>

<file path=xl/worksheets/_rels/sheet2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1.xml"/><Relationship Id="rId3"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i.org/10.1177/16878132221086120" TargetMode="External"/><Relationship Id="rId3" Type="http://schemas.openxmlformats.org/officeDocument/2006/relationships/hyperlink" Target="https://doi.org/10.1049/cim2.12042" TargetMode="External"/><Relationship Id="rId4" Type="http://schemas.openxmlformats.org/officeDocument/2006/relationships/hyperlink" Target="https://doi.org/10.1007/s11740-021-01064-0" TargetMode="External"/><Relationship Id="rId5" Type="http://schemas.openxmlformats.org/officeDocument/2006/relationships/hyperlink" Target="https://doi.org/10.1080/00207543.2023.2217285" TargetMode="External"/><Relationship Id="rId6" Type="http://schemas.openxmlformats.org/officeDocument/2006/relationships/drawing" Target="../drawings/drawing22.xml"/><Relationship Id="rId7"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doi.org/10.1007/978-3-030-01614-2_58" TargetMode="External"/><Relationship Id="rId22" Type="http://schemas.openxmlformats.org/officeDocument/2006/relationships/hyperlink" Target="https://doi.org/10.1016/j.rcim.2022.102518" TargetMode="External"/><Relationship Id="rId21" Type="http://schemas.openxmlformats.org/officeDocument/2006/relationships/hyperlink" Target="https://doi.org/10.1109/CASE49997.2022.9926471" TargetMode="External"/><Relationship Id="rId24" Type="http://schemas.openxmlformats.org/officeDocument/2006/relationships/hyperlink" Target="https://doi.org/10.1016/j.procir.2016.02.080" TargetMode="External"/><Relationship Id="rId23" Type="http://schemas.openxmlformats.org/officeDocument/2006/relationships/hyperlink" Target="https://doi.org/10.3390/app9020348" TargetMode="External"/><Relationship Id="rId26" Type="http://schemas.openxmlformats.org/officeDocument/2006/relationships/hyperlink" Target="https://doi.org/10.1109/ICRA46639.2022.9811952" TargetMode="External"/><Relationship Id="rId25" Type="http://schemas.openxmlformats.org/officeDocument/2006/relationships/hyperlink" Target="https://doi.org/10.1007/s00170-020-05356-0" TargetMode="External"/><Relationship Id="rId27" Type="http://schemas.openxmlformats.org/officeDocument/2006/relationships/drawing" Target="../drawings/drawing27.xml"/><Relationship Id="rId11" Type="http://schemas.openxmlformats.org/officeDocument/2006/relationships/hyperlink" Target="https://doi.org/10.1080/00207543.2024.2431178" TargetMode="External"/><Relationship Id="rId10" Type="http://schemas.openxmlformats.org/officeDocument/2006/relationships/hyperlink" Target="https://doi.org/10.1109/ACCESS.2024.3389091" TargetMode="External"/><Relationship Id="rId13" Type="http://schemas.openxmlformats.org/officeDocument/2006/relationships/hyperlink" Target="https://doi.org/10.1016/j.jclepro.2016.03.150" TargetMode="External"/><Relationship Id="rId12" Type="http://schemas.openxmlformats.org/officeDocument/2006/relationships/hyperlink" Target="https://doi.org/10.1016/j.cie.2025.111580" TargetMode="External"/><Relationship Id="rId15" Type="http://schemas.openxmlformats.org/officeDocument/2006/relationships/hyperlink" Target="https://doi.org/10.1016/j.rcim.2022.102321" TargetMode="External"/><Relationship Id="rId14" Type="http://schemas.openxmlformats.org/officeDocument/2006/relationships/hyperlink" Target="https://doi.org/10.1016/j.rcim.2021.102258" TargetMode="External"/><Relationship Id="rId17" Type="http://schemas.openxmlformats.org/officeDocument/2006/relationships/hyperlink" Target="https://doi.org/10.1080/21693277.2019.1618746" TargetMode="External"/><Relationship Id="rId16" Type="http://schemas.openxmlformats.org/officeDocument/2006/relationships/hyperlink" Target="https://doi.org/10.1007/978-3-030-27878-6_9" TargetMode="External"/><Relationship Id="rId19" Type="http://schemas.openxmlformats.org/officeDocument/2006/relationships/hyperlink" Target="https://doi.org/10.1016/j.ijinfomgt.2019.05.020" TargetMode="External"/><Relationship Id="rId18" Type="http://schemas.openxmlformats.org/officeDocument/2006/relationships/hyperlink" Target="https://doi.org/10.1016/j.rcim.2014.07.004" TargetMode="External"/><Relationship Id="rId1" Type="http://schemas.openxmlformats.org/officeDocument/2006/relationships/hyperlink" Target="https://doi.org/10.1016/j.resconrec.2020.104902" TargetMode="External"/><Relationship Id="rId2" Type="http://schemas.openxmlformats.org/officeDocument/2006/relationships/hyperlink" Target="https://doi.org/10.1007/s12063-020-00156-x" TargetMode="External"/><Relationship Id="rId3" Type="http://schemas.openxmlformats.org/officeDocument/2006/relationships/hyperlink" Target="https://doi.org/10.1016/j.energy.2020.118385" TargetMode="External"/><Relationship Id="rId4" Type="http://schemas.openxmlformats.org/officeDocument/2006/relationships/hyperlink" Target="https://doi.org/10.3390/sym14030561" TargetMode="External"/><Relationship Id="rId9" Type="http://schemas.openxmlformats.org/officeDocument/2006/relationships/hyperlink" Target="https://doi.org/10.1109/CoDIT62066.2024.10708345" TargetMode="External"/><Relationship Id="rId5" Type="http://schemas.openxmlformats.org/officeDocument/2006/relationships/hyperlink" Target="https://doi.org/10.1016/j.jclepro.2023.136228" TargetMode="External"/><Relationship Id="rId6" Type="http://schemas.openxmlformats.org/officeDocument/2006/relationships/hyperlink" Target="https://doi.org/10.3390/machines11010053" TargetMode="External"/><Relationship Id="rId7" Type="http://schemas.openxmlformats.org/officeDocument/2006/relationships/hyperlink" Target="https://doi.org/10.1007/978-3-031-71743-7_13" TargetMode="External"/><Relationship Id="rId8" Type="http://schemas.openxmlformats.org/officeDocument/2006/relationships/hyperlink" Target="https://doi.org/10.1109/JIOT.2024.3354251"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35.56"/>
    <col customWidth="1" min="2" max="39" width="4.56"/>
  </cols>
  <sheetData>
    <row r="1">
      <c r="A1" s="1"/>
      <c r="B1" s="2" t="s">
        <v>0</v>
      </c>
      <c r="C1" s="3"/>
      <c r="D1" s="4"/>
      <c r="E1" s="2" t="s">
        <v>1</v>
      </c>
      <c r="F1" s="3"/>
      <c r="G1" s="3"/>
      <c r="H1" s="3"/>
      <c r="I1" s="3"/>
      <c r="J1" s="3"/>
      <c r="K1" s="3"/>
      <c r="L1" s="3"/>
      <c r="M1" s="3"/>
      <c r="N1" s="3"/>
      <c r="O1" s="3"/>
      <c r="P1" s="3"/>
      <c r="Q1" s="3"/>
      <c r="R1" s="3"/>
      <c r="S1" s="3"/>
      <c r="T1" s="3"/>
      <c r="U1" s="3"/>
      <c r="V1" s="3"/>
      <c r="W1" s="3"/>
      <c r="X1" s="3"/>
      <c r="Y1" s="3"/>
      <c r="Z1" s="3"/>
      <c r="AA1" s="3"/>
      <c r="AB1" s="3"/>
      <c r="AC1" s="3"/>
      <c r="AD1" s="3"/>
      <c r="AE1" s="3"/>
      <c r="AF1" s="4"/>
      <c r="AG1" s="5" t="s">
        <v>2</v>
      </c>
    </row>
    <row r="2">
      <c r="A2" s="1" t="s">
        <v>3</v>
      </c>
      <c r="B2" s="1">
        <v>29.0</v>
      </c>
      <c r="C2" s="1">
        <v>30.0</v>
      </c>
      <c r="D2" s="1">
        <v>31.0</v>
      </c>
      <c r="E2" s="1">
        <v>1.0</v>
      </c>
      <c r="F2" s="6">
        <v>2.0</v>
      </c>
      <c r="G2" s="6">
        <v>3.0</v>
      </c>
      <c r="H2" s="6">
        <v>4.0</v>
      </c>
      <c r="I2" s="6">
        <v>5.0</v>
      </c>
      <c r="J2" s="6">
        <v>6.0</v>
      </c>
      <c r="K2" s="6">
        <v>7.0</v>
      </c>
      <c r="L2" s="6">
        <v>8.0</v>
      </c>
      <c r="M2" s="1">
        <v>9.0</v>
      </c>
      <c r="N2" s="1">
        <v>10.0</v>
      </c>
      <c r="O2" s="1">
        <v>11.0</v>
      </c>
      <c r="P2" s="1">
        <v>12.0</v>
      </c>
      <c r="Q2" s="1">
        <v>13.0</v>
      </c>
      <c r="R2" s="1">
        <v>14.0</v>
      </c>
      <c r="S2" s="1">
        <v>15.0</v>
      </c>
      <c r="T2" s="6">
        <v>16.0</v>
      </c>
      <c r="U2" s="6">
        <v>17.0</v>
      </c>
      <c r="V2" s="6">
        <v>18.0</v>
      </c>
      <c r="W2" s="6">
        <v>19.0</v>
      </c>
      <c r="X2" s="6">
        <v>20.0</v>
      </c>
      <c r="Y2" s="6">
        <v>21.0</v>
      </c>
      <c r="Z2" s="6">
        <v>22.0</v>
      </c>
      <c r="AA2" s="1">
        <v>23.0</v>
      </c>
      <c r="AB2" s="1">
        <v>24.0</v>
      </c>
      <c r="AC2" s="1">
        <v>25.0</v>
      </c>
      <c r="AD2" s="1">
        <v>26.0</v>
      </c>
      <c r="AE2" s="1">
        <v>27.0</v>
      </c>
      <c r="AF2" s="1">
        <v>28.0</v>
      </c>
      <c r="AG2" s="1">
        <v>1.0</v>
      </c>
      <c r="AH2" s="7">
        <v>2.0</v>
      </c>
      <c r="AI2" s="7">
        <v>3.0</v>
      </c>
      <c r="AJ2" s="7">
        <v>4.0</v>
      </c>
      <c r="AK2" s="7">
        <v>5.0</v>
      </c>
      <c r="AL2" s="7">
        <v>6.0</v>
      </c>
      <c r="AM2" s="1"/>
    </row>
    <row r="3">
      <c r="A3" s="8" t="s">
        <v>4</v>
      </c>
      <c r="B3" s="9"/>
      <c r="C3" s="9"/>
      <c r="D3" s="9"/>
      <c r="E3" s="10"/>
      <c r="F3" s="9"/>
      <c r="AF3" s="11" t="s">
        <v>5</v>
      </c>
      <c r="AL3" s="12" t="s">
        <v>6</v>
      </c>
    </row>
    <row r="4">
      <c r="A4" s="8" t="s">
        <v>7</v>
      </c>
      <c r="B4" s="9"/>
      <c r="C4" s="9"/>
      <c r="D4" s="9"/>
      <c r="E4" s="10"/>
      <c r="F4" s="9"/>
      <c r="G4" s="9"/>
      <c r="H4" s="10"/>
      <c r="Q4" s="13"/>
      <c r="R4" s="13"/>
    </row>
    <row r="5">
      <c r="A5" s="8" t="s">
        <v>8</v>
      </c>
      <c r="B5" s="9"/>
      <c r="C5" s="9"/>
      <c r="D5" s="9"/>
      <c r="E5" s="10"/>
      <c r="F5" s="9"/>
      <c r="G5" s="9"/>
      <c r="H5" s="10"/>
      <c r="I5" s="9"/>
    </row>
    <row r="6">
      <c r="A6" s="8" t="s">
        <v>9</v>
      </c>
      <c r="B6" s="9"/>
      <c r="C6" s="9"/>
      <c r="D6" s="9"/>
      <c r="E6" s="10"/>
      <c r="Q6" s="13"/>
      <c r="R6" s="13"/>
    </row>
    <row r="7">
      <c r="A7" s="8" t="s">
        <v>10</v>
      </c>
      <c r="E7" s="10"/>
      <c r="F7" s="9"/>
      <c r="G7" s="9"/>
      <c r="H7" s="9"/>
      <c r="I7" s="9"/>
      <c r="J7" s="9"/>
      <c r="K7" s="9"/>
      <c r="L7" s="9"/>
      <c r="M7" s="9"/>
      <c r="N7" s="9"/>
      <c r="O7" s="9"/>
      <c r="P7" s="9"/>
      <c r="Q7" s="14"/>
      <c r="R7" s="14"/>
      <c r="S7" s="14"/>
      <c r="T7" s="14"/>
    </row>
    <row r="8">
      <c r="A8" s="8" t="s">
        <v>11</v>
      </c>
      <c r="J8" s="13"/>
      <c r="K8" s="13"/>
      <c r="L8" s="13"/>
      <c r="M8" s="13"/>
      <c r="N8" s="13"/>
      <c r="O8" s="13"/>
      <c r="P8" s="13"/>
      <c r="Q8" s="13"/>
      <c r="R8" s="13"/>
      <c r="S8" s="15"/>
      <c r="T8" s="15"/>
    </row>
    <row r="9">
      <c r="A9" s="8" t="s">
        <v>12</v>
      </c>
      <c r="R9" s="13"/>
      <c r="S9" s="15"/>
      <c r="T9" s="15"/>
      <c r="U9" s="15"/>
      <c r="V9" s="15"/>
      <c r="W9" s="15"/>
    </row>
    <row r="10">
      <c r="A10" s="8" t="s">
        <v>13</v>
      </c>
      <c r="W10" s="15"/>
      <c r="X10" s="15"/>
      <c r="Y10" s="15"/>
      <c r="Z10" s="15"/>
    </row>
    <row r="11">
      <c r="A11" s="8" t="s">
        <v>14</v>
      </c>
      <c r="Y11" s="15"/>
      <c r="Z11" s="15"/>
      <c r="AA11" s="15"/>
      <c r="AB11" s="15"/>
      <c r="AC11" s="15"/>
    </row>
    <row r="12">
      <c r="A12" s="8" t="s">
        <v>15</v>
      </c>
      <c r="AC12" s="15"/>
      <c r="AD12" s="15"/>
      <c r="AE12" s="15"/>
      <c r="AG12" s="15"/>
      <c r="AI12" s="15"/>
      <c r="AK12" s="15"/>
    </row>
    <row r="13">
      <c r="A13" s="8" t="s">
        <v>16</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7"/>
      <c r="AG13" s="18"/>
      <c r="AH13" s="18"/>
      <c r="AI13" s="18"/>
      <c r="AJ13" s="18"/>
      <c r="AK13" s="18"/>
      <c r="AL13" s="17"/>
    </row>
    <row r="14">
      <c r="A14" s="19" t="s">
        <v>17</v>
      </c>
      <c r="B14" s="16"/>
      <c r="C14" s="16"/>
      <c r="D14" s="16"/>
      <c r="E14" s="16"/>
      <c r="F14" s="20" t="s">
        <v>18</v>
      </c>
      <c r="G14" s="20"/>
      <c r="H14" s="16"/>
      <c r="I14" s="16"/>
      <c r="J14" s="20" t="s">
        <v>18</v>
      </c>
      <c r="K14" s="16"/>
      <c r="L14" s="16"/>
      <c r="M14" s="16"/>
      <c r="N14" s="20" t="s">
        <v>18</v>
      </c>
      <c r="O14" s="16"/>
      <c r="P14" s="16"/>
      <c r="Q14" s="20" t="s">
        <v>18</v>
      </c>
      <c r="R14" s="16"/>
      <c r="S14" s="16"/>
      <c r="T14" s="16"/>
      <c r="U14" s="20" t="s">
        <v>18</v>
      </c>
      <c r="V14" s="16"/>
      <c r="W14" s="16"/>
      <c r="X14" s="20" t="s">
        <v>18</v>
      </c>
      <c r="Y14" s="16"/>
      <c r="Z14" s="16"/>
      <c r="AA14" s="16"/>
      <c r="AB14" s="20" t="s">
        <v>18</v>
      </c>
      <c r="AC14" s="16"/>
      <c r="AD14" s="20" t="s">
        <v>18</v>
      </c>
      <c r="AE14" s="20" t="s">
        <v>18</v>
      </c>
      <c r="AF14" s="16"/>
      <c r="AG14" s="16"/>
      <c r="AH14" s="20" t="s">
        <v>18</v>
      </c>
      <c r="AI14" s="16"/>
      <c r="AJ14" s="20" t="s">
        <v>18</v>
      </c>
      <c r="AK14" s="20" t="s">
        <v>18</v>
      </c>
      <c r="AL14" s="16"/>
    </row>
    <row r="15">
      <c r="A15" s="21" t="s">
        <v>19</v>
      </c>
    </row>
    <row r="16">
      <c r="A16" s="22" t="s">
        <v>20</v>
      </c>
    </row>
    <row r="17">
      <c r="A17" s="23" t="s">
        <v>21</v>
      </c>
    </row>
    <row r="18">
      <c r="A18" s="24" t="s">
        <v>22</v>
      </c>
    </row>
    <row r="19">
      <c r="A19" s="25" t="s">
        <v>23</v>
      </c>
    </row>
  </sheetData>
  <mergeCells count="5">
    <mergeCell ref="B1:D1"/>
    <mergeCell ref="E1:AF1"/>
    <mergeCell ref="AG1:AL1"/>
    <mergeCell ref="AF3:AF13"/>
    <mergeCell ref="AL3:AL13"/>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26" t="s">
        <v>24</v>
      </c>
    </row>
    <row r="2">
      <c r="A2" s="26" t="s">
        <v>25</v>
      </c>
    </row>
    <row r="3">
      <c r="A3" s="26" t="s">
        <v>26</v>
      </c>
    </row>
    <row r="4">
      <c r="A4" s="26" t="s">
        <v>27</v>
      </c>
    </row>
    <row r="6">
      <c r="A6" s="26" t="s">
        <v>28</v>
      </c>
    </row>
    <row r="7">
      <c r="A7" s="26" t="s">
        <v>29</v>
      </c>
    </row>
    <row r="8">
      <c r="A8" s="26" t="s">
        <v>30</v>
      </c>
    </row>
    <row r="9">
      <c r="A9" s="26" t="s">
        <v>31</v>
      </c>
    </row>
    <row r="10">
      <c r="A10" s="26" t="s">
        <v>32</v>
      </c>
    </row>
    <row r="12">
      <c r="A12" s="26" t="s">
        <v>33</v>
      </c>
    </row>
    <row r="13">
      <c r="A13" s="26" t="s">
        <v>34</v>
      </c>
    </row>
    <row r="14">
      <c r="A14" s="26" t="s">
        <v>35</v>
      </c>
    </row>
    <row r="15">
      <c r="A15" s="26" t="s">
        <v>36</v>
      </c>
    </row>
    <row r="16">
      <c r="A16" s="26" t="s">
        <v>37</v>
      </c>
    </row>
    <row r="17">
      <c r="A17" s="26" t="s">
        <v>38</v>
      </c>
    </row>
    <row r="18">
      <c r="A18" s="26" t="s">
        <v>39</v>
      </c>
    </row>
    <row r="19">
      <c r="A19" s="26" t="s">
        <v>40</v>
      </c>
    </row>
    <row r="21">
      <c r="A21" s="26" t="s">
        <v>41</v>
      </c>
    </row>
    <row r="22">
      <c r="A22" s="26" t="s">
        <v>42</v>
      </c>
    </row>
    <row r="23">
      <c r="A23" s="26" t="s">
        <v>43</v>
      </c>
    </row>
    <row r="24">
      <c r="A24" s="26" t="s">
        <v>44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4.78"/>
    <col customWidth="1" min="2" max="2" width="97.22"/>
  </cols>
  <sheetData>
    <row r="1" ht="19.5" customHeight="1">
      <c r="A1" s="26" t="s">
        <v>45</v>
      </c>
      <c r="B1" s="26" t="s">
        <v>46</v>
      </c>
    </row>
    <row r="2">
      <c r="A2" s="26" t="s">
        <v>47</v>
      </c>
      <c r="B2" s="26" t="s">
        <v>48</v>
      </c>
    </row>
    <row r="3">
      <c r="A3" s="26" t="s">
        <v>49</v>
      </c>
      <c r="B3" s="26" t="s">
        <v>50</v>
      </c>
    </row>
    <row r="4">
      <c r="A4" s="26" t="s">
        <v>51</v>
      </c>
      <c r="B4" s="26" t="s">
        <v>52</v>
      </c>
    </row>
    <row r="6">
      <c r="A6" s="27" t="s">
        <v>53</v>
      </c>
      <c r="B6" s="27" t="s">
        <v>54</v>
      </c>
    </row>
    <row r="7">
      <c r="B7" s="28" t="s">
        <v>55</v>
      </c>
    </row>
    <row r="8">
      <c r="B8" s="26" t="s">
        <v>56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5.11"/>
    <col customWidth="1" min="3" max="3" width="10.0"/>
    <col customWidth="1" min="4" max="4" width="8.44"/>
    <col customWidth="1" min="5" max="5" width="9.56"/>
    <col customWidth="1" min="6" max="6" width="11.0"/>
    <col customWidth="1" min="7" max="7" width="12.44"/>
    <col customWidth="1" min="8" max="8" width="10.78"/>
    <col customWidth="1" min="9" max="9" width="14.33"/>
    <col customWidth="1" min="10" max="13" width="10.78"/>
    <col customWidth="1" min="14" max="15" width="6.78"/>
    <col customWidth="1" min="16" max="19" width="8.22"/>
    <col customWidth="1" min="20" max="20" width="10.89"/>
    <col customWidth="1" min="21" max="21" width="12.0"/>
    <col customWidth="1" min="22" max="22" width="14.56"/>
    <col customWidth="1" min="23" max="23" width="16.0"/>
    <col customWidth="1" min="24" max="26" width="14.56"/>
    <col customWidth="1" min="27" max="27" width="16.89"/>
    <col customWidth="1" min="28" max="28" width="23.89"/>
    <col customWidth="1" min="29" max="35" width="12.56"/>
  </cols>
  <sheetData>
    <row r="1" ht="14.25" customHeight="1">
      <c r="A1" s="29" t="s">
        <v>57</v>
      </c>
      <c r="B1" s="29" t="s">
        <v>58</v>
      </c>
      <c r="C1" s="30" t="s">
        <v>59</v>
      </c>
      <c r="D1" s="29" t="s">
        <v>60</v>
      </c>
      <c r="E1" s="29" t="s">
        <v>61</v>
      </c>
      <c r="F1" s="29" t="s">
        <v>62</v>
      </c>
      <c r="G1" s="29" t="s">
        <v>63</v>
      </c>
      <c r="H1" s="29" t="s">
        <v>64</v>
      </c>
      <c r="I1" s="29" t="s">
        <v>65</v>
      </c>
      <c r="J1" s="31" t="s">
        <v>66</v>
      </c>
      <c r="K1" s="31" t="s">
        <v>67</v>
      </c>
      <c r="L1" s="32" t="s">
        <v>68</v>
      </c>
      <c r="M1" s="33" t="s">
        <v>69</v>
      </c>
      <c r="N1" s="33" t="s">
        <v>70</v>
      </c>
      <c r="O1" s="33" t="s">
        <v>71</v>
      </c>
      <c r="P1" s="33" t="s">
        <v>72</v>
      </c>
      <c r="Q1" s="33" t="s">
        <v>73</v>
      </c>
      <c r="R1" s="33" t="s">
        <v>74</v>
      </c>
      <c r="S1" s="33" t="s">
        <v>75</v>
      </c>
      <c r="T1" s="33" t="s">
        <v>76</v>
      </c>
      <c r="U1" s="33" t="s">
        <v>77</v>
      </c>
      <c r="V1" s="33" t="s">
        <v>78</v>
      </c>
      <c r="W1" s="33" t="s">
        <v>79</v>
      </c>
      <c r="X1" s="34" t="s">
        <v>80</v>
      </c>
      <c r="Y1" s="34" t="s">
        <v>81</v>
      </c>
      <c r="Z1" s="34" t="s">
        <v>82</v>
      </c>
      <c r="AA1" s="35" t="s">
        <v>83</v>
      </c>
      <c r="AB1" s="35" t="s">
        <v>84</v>
      </c>
      <c r="AC1" s="36" t="s">
        <v>85</v>
      </c>
      <c r="AD1" s="36"/>
      <c r="AE1" s="36"/>
      <c r="AF1" s="36"/>
      <c r="AG1" s="36"/>
      <c r="AH1" s="36"/>
      <c r="AI1" s="36"/>
    </row>
    <row r="2" ht="14.25" customHeight="1">
      <c r="A2" s="37" t="s">
        <v>86</v>
      </c>
      <c r="B2" s="37" t="s">
        <v>87</v>
      </c>
      <c r="C2" s="38" t="s">
        <v>88</v>
      </c>
      <c r="D2" s="37" t="s">
        <v>89</v>
      </c>
      <c r="E2" s="37" t="s">
        <v>90</v>
      </c>
      <c r="F2" s="37" t="s">
        <v>91</v>
      </c>
      <c r="G2" s="37" t="s">
        <v>92</v>
      </c>
      <c r="I2" s="37" t="s">
        <v>45</v>
      </c>
      <c r="J2" s="37" t="s">
        <v>93</v>
      </c>
      <c r="N2" s="37">
        <f>COUNTIF($I$1:$I$248,"L0")</f>
        <v>9</v>
      </c>
      <c r="O2" s="37">
        <f>COUNTIF($I$1:$I$248,"L1")</f>
        <v>11</v>
      </c>
      <c r="P2" s="37">
        <f>COUNTIF($I$1:$I$248,"L2")</f>
        <v>102</v>
      </c>
      <c r="Q2" s="37">
        <f>COUNTIF($I$1:$I$248,"L3")</f>
        <v>6</v>
      </c>
      <c r="R2" s="37">
        <f>COUNTIF($I$1:$I$248,"L4")</f>
        <v>10</v>
      </c>
      <c r="S2" s="37">
        <f>COUNTIF($I$1:$I$248,"L3/L4")</f>
        <v>0</v>
      </c>
      <c r="T2" s="37">
        <f>COUNTIF($I$1:$I$248,"L0/L1/L2/L3/L4")</f>
        <v>2</v>
      </c>
      <c r="U2" s="37">
        <f>N2+O2+P2+S2+T2</f>
        <v>124</v>
      </c>
      <c r="V2" s="37">
        <f>N2</f>
        <v>9</v>
      </c>
      <c r="W2" s="37">
        <f>O2-1</f>
        <v>10</v>
      </c>
      <c r="X2" s="37">
        <f>P2-4</f>
        <v>98</v>
      </c>
      <c r="Y2" s="37">
        <f>Q2-0</f>
        <v>6</v>
      </c>
      <c r="Z2" s="37">
        <f>R2-2</f>
        <v>8</v>
      </c>
      <c r="AA2" s="37">
        <f t="shared" ref="AA2:AB2" si="1">S2</f>
        <v>0</v>
      </c>
      <c r="AB2" s="37">
        <f t="shared" si="1"/>
        <v>2</v>
      </c>
      <c r="AC2" s="37">
        <f>V2+W2+X2+AA2+AB2</f>
        <v>119</v>
      </c>
    </row>
    <row r="3" ht="14.25" customHeight="1">
      <c r="A3" s="37" t="s">
        <v>94</v>
      </c>
      <c r="B3" s="37" t="s">
        <v>95</v>
      </c>
      <c r="C3" s="38" t="s">
        <v>88</v>
      </c>
      <c r="D3" s="37" t="s">
        <v>96</v>
      </c>
      <c r="F3" s="37" t="s">
        <v>97</v>
      </c>
      <c r="G3" s="37" t="s">
        <v>92</v>
      </c>
      <c r="I3" s="37" t="s">
        <v>45</v>
      </c>
      <c r="J3" s="37" t="s">
        <v>93</v>
      </c>
    </row>
    <row r="4" ht="14.25" customHeight="1">
      <c r="A4" s="37" t="s">
        <v>98</v>
      </c>
      <c r="B4" s="37" t="s">
        <v>99</v>
      </c>
      <c r="C4" s="38" t="s">
        <v>88</v>
      </c>
      <c r="D4" s="37" t="s">
        <v>100</v>
      </c>
      <c r="E4" s="37" t="s">
        <v>101</v>
      </c>
      <c r="F4" s="37" t="s">
        <v>102</v>
      </c>
      <c r="G4" s="37" t="s">
        <v>92</v>
      </c>
      <c r="I4" s="37" t="s">
        <v>45</v>
      </c>
      <c r="J4" s="37" t="s">
        <v>93</v>
      </c>
    </row>
    <row r="5" ht="14.25" customHeight="1">
      <c r="A5" s="37" t="s">
        <v>103</v>
      </c>
      <c r="B5" s="37" t="s">
        <v>104</v>
      </c>
      <c r="C5" s="38" t="s">
        <v>88</v>
      </c>
      <c r="D5" s="37" t="s">
        <v>105</v>
      </c>
      <c r="F5" s="37" t="s">
        <v>106</v>
      </c>
      <c r="G5" s="37" t="s">
        <v>92</v>
      </c>
      <c r="I5" s="37" t="s">
        <v>45</v>
      </c>
      <c r="J5" s="37" t="s">
        <v>93</v>
      </c>
    </row>
    <row r="6" ht="14.25" customHeight="1">
      <c r="A6" s="37" t="s">
        <v>107</v>
      </c>
      <c r="B6" s="37" t="s">
        <v>108</v>
      </c>
      <c r="C6" s="38" t="s">
        <v>88</v>
      </c>
      <c r="D6" s="37" t="s">
        <v>109</v>
      </c>
      <c r="F6" s="37" t="s">
        <v>110</v>
      </c>
      <c r="G6" s="37" t="s">
        <v>92</v>
      </c>
      <c r="I6" s="37" t="s">
        <v>45</v>
      </c>
      <c r="J6" s="37" t="s">
        <v>93</v>
      </c>
    </row>
    <row r="7" ht="14.25" customHeight="1">
      <c r="A7" s="37" t="s">
        <v>111</v>
      </c>
      <c r="B7" s="37" t="s">
        <v>112</v>
      </c>
      <c r="C7" s="38" t="s">
        <v>88</v>
      </c>
      <c r="D7" s="37" t="s">
        <v>113</v>
      </c>
      <c r="E7" s="37" t="s">
        <v>90</v>
      </c>
      <c r="F7" s="37" t="s">
        <v>114</v>
      </c>
      <c r="G7" s="37" t="s">
        <v>115</v>
      </c>
      <c r="I7" s="37" t="s">
        <v>45</v>
      </c>
      <c r="J7" s="37" t="s">
        <v>93</v>
      </c>
    </row>
    <row r="8" ht="14.25" customHeight="1">
      <c r="A8" s="37" t="s">
        <v>116</v>
      </c>
      <c r="B8" s="37" t="s">
        <v>117</v>
      </c>
      <c r="C8" s="38" t="s">
        <v>88</v>
      </c>
      <c r="D8" s="37" t="s">
        <v>118</v>
      </c>
      <c r="F8" s="37" t="s">
        <v>119</v>
      </c>
      <c r="G8" s="37" t="s">
        <v>92</v>
      </c>
      <c r="I8" s="37" t="s">
        <v>45</v>
      </c>
      <c r="J8" s="37" t="s">
        <v>93</v>
      </c>
    </row>
    <row r="9" ht="14.25" customHeight="1">
      <c r="A9" s="37" t="s">
        <v>120</v>
      </c>
      <c r="B9" s="37" t="s">
        <v>121</v>
      </c>
      <c r="C9" s="38" t="s">
        <v>88</v>
      </c>
      <c r="D9" s="37" t="s">
        <v>122</v>
      </c>
      <c r="F9" s="37" t="s">
        <v>102</v>
      </c>
      <c r="G9" s="37" t="s">
        <v>92</v>
      </c>
      <c r="I9" s="37" t="s">
        <v>45</v>
      </c>
      <c r="J9" s="37" t="s">
        <v>93</v>
      </c>
    </row>
    <row r="10" ht="14.25" customHeight="1">
      <c r="A10" s="37" t="s">
        <v>123</v>
      </c>
      <c r="B10" s="37" t="s">
        <v>124</v>
      </c>
      <c r="C10" s="38" t="s">
        <v>88</v>
      </c>
      <c r="D10" s="37" t="s">
        <v>125</v>
      </c>
      <c r="E10" s="37" t="s">
        <v>126</v>
      </c>
      <c r="F10" s="37" t="s">
        <v>127</v>
      </c>
      <c r="G10" s="37" t="s">
        <v>115</v>
      </c>
      <c r="H10" s="37" t="s">
        <v>128</v>
      </c>
      <c r="I10" s="37" t="s">
        <v>45</v>
      </c>
      <c r="J10" s="37" t="s">
        <v>93</v>
      </c>
    </row>
    <row r="11" ht="14.25" customHeight="1">
      <c r="A11" s="37" t="s">
        <v>129</v>
      </c>
      <c r="B11" s="37" t="s">
        <v>130</v>
      </c>
      <c r="C11" s="38" t="s">
        <v>88</v>
      </c>
      <c r="D11" s="37" t="s">
        <v>131</v>
      </c>
      <c r="E11" s="37" t="s">
        <v>132</v>
      </c>
      <c r="F11" s="37" t="s">
        <v>133</v>
      </c>
      <c r="G11" s="37" t="s">
        <v>115</v>
      </c>
      <c r="I11" s="37" t="s">
        <v>47</v>
      </c>
      <c r="J11" s="37" t="s">
        <v>93</v>
      </c>
    </row>
    <row r="12" ht="14.25" customHeight="1">
      <c r="A12" s="37" t="s">
        <v>134</v>
      </c>
      <c r="B12" s="37" t="s">
        <v>135</v>
      </c>
      <c r="C12" s="38" t="s">
        <v>88</v>
      </c>
      <c r="D12" s="37" t="s">
        <v>136</v>
      </c>
      <c r="E12" s="37" t="s">
        <v>137</v>
      </c>
      <c r="F12" s="37" t="s">
        <v>138</v>
      </c>
      <c r="G12" s="37" t="s">
        <v>92</v>
      </c>
      <c r="I12" s="37" t="s">
        <v>47</v>
      </c>
      <c r="J12" s="37" t="s">
        <v>93</v>
      </c>
    </row>
    <row r="13" ht="14.25" customHeight="1">
      <c r="A13" s="37" t="s">
        <v>139</v>
      </c>
      <c r="B13" s="37" t="s">
        <v>140</v>
      </c>
      <c r="C13" s="38" t="s">
        <v>88</v>
      </c>
      <c r="D13" s="37" t="s">
        <v>141</v>
      </c>
      <c r="E13" s="37" t="s">
        <v>142</v>
      </c>
      <c r="F13" s="37" t="s">
        <v>143</v>
      </c>
      <c r="G13" s="37" t="s">
        <v>115</v>
      </c>
      <c r="I13" s="37" t="s">
        <v>47</v>
      </c>
      <c r="J13" s="37" t="s">
        <v>93</v>
      </c>
    </row>
    <row r="14" ht="14.25" customHeight="1">
      <c r="A14" s="37" t="s">
        <v>144</v>
      </c>
      <c r="B14" s="37" t="s">
        <v>145</v>
      </c>
      <c r="C14" s="38" t="s">
        <v>88</v>
      </c>
      <c r="D14" s="37" t="s">
        <v>141</v>
      </c>
      <c r="E14" s="37" t="s">
        <v>146</v>
      </c>
      <c r="F14" s="37" t="s">
        <v>147</v>
      </c>
      <c r="G14" s="37" t="s">
        <v>92</v>
      </c>
      <c r="I14" s="37" t="s">
        <v>47</v>
      </c>
      <c r="J14" s="37" t="s">
        <v>93</v>
      </c>
    </row>
    <row r="15" ht="14.25" customHeight="1">
      <c r="A15" s="37" t="s">
        <v>148</v>
      </c>
      <c r="B15" s="37" t="s">
        <v>149</v>
      </c>
      <c r="C15" s="38" t="s">
        <v>88</v>
      </c>
      <c r="D15" s="37" t="s">
        <v>150</v>
      </c>
      <c r="F15" s="37" t="s">
        <v>151</v>
      </c>
      <c r="G15" s="37" t="s">
        <v>92</v>
      </c>
      <c r="I15" s="37" t="s">
        <v>47</v>
      </c>
      <c r="J15" s="37" t="s">
        <v>93</v>
      </c>
    </row>
    <row r="16" ht="14.25" customHeight="1">
      <c r="A16" s="37" t="s">
        <v>152</v>
      </c>
      <c r="B16" s="37" t="s">
        <v>153</v>
      </c>
      <c r="C16" s="38" t="s">
        <v>88</v>
      </c>
      <c r="D16" s="37" t="s">
        <v>154</v>
      </c>
      <c r="F16" s="37" t="s">
        <v>155</v>
      </c>
      <c r="G16" s="37" t="s">
        <v>92</v>
      </c>
      <c r="I16" s="37" t="s">
        <v>47</v>
      </c>
      <c r="J16" s="37" t="s">
        <v>93</v>
      </c>
    </row>
    <row r="17" ht="14.25" customHeight="1">
      <c r="A17" s="37" t="s">
        <v>156</v>
      </c>
      <c r="B17" s="37" t="s">
        <v>157</v>
      </c>
      <c r="C17" s="38" t="s">
        <v>88</v>
      </c>
      <c r="D17" s="37" t="s">
        <v>158</v>
      </c>
      <c r="E17" s="37" t="s">
        <v>101</v>
      </c>
      <c r="F17" s="37" t="s">
        <v>159</v>
      </c>
      <c r="G17" s="37" t="s">
        <v>115</v>
      </c>
      <c r="I17" s="37" t="s">
        <v>47</v>
      </c>
      <c r="J17" s="37" t="s">
        <v>93</v>
      </c>
    </row>
    <row r="18" ht="14.25" customHeight="1">
      <c r="A18" s="37" t="s">
        <v>160</v>
      </c>
      <c r="B18" s="37" t="s">
        <v>161</v>
      </c>
      <c r="C18" s="38" t="s">
        <v>88</v>
      </c>
      <c r="D18" s="37" t="s">
        <v>150</v>
      </c>
      <c r="E18" s="37" t="s">
        <v>162</v>
      </c>
      <c r="F18" s="37" t="s">
        <v>163</v>
      </c>
      <c r="G18" s="37" t="s">
        <v>92</v>
      </c>
      <c r="I18" s="37" t="s">
        <v>47</v>
      </c>
      <c r="J18" s="37" t="s">
        <v>93</v>
      </c>
    </row>
    <row r="19" ht="14.25" customHeight="1">
      <c r="A19" s="37" t="s">
        <v>164</v>
      </c>
      <c r="B19" s="37" t="s">
        <v>165</v>
      </c>
      <c r="C19" s="38" t="s">
        <v>88</v>
      </c>
      <c r="D19" s="37" t="s">
        <v>166</v>
      </c>
      <c r="F19" s="37" t="s">
        <v>167</v>
      </c>
      <c r="G19" s="37" t="s">
        <v>92</v>
      </c>
      <c r="I19" s="37" t="s">
        <v>47</v>
      </c>
      <c r="J19" s="37" t="s">
        <v>93</v>
      </c>
    </row>
    <row r="20" ht="14.25" customHeight="1">
      <c r="A20" s="37" t="s">
        <v>168</v>
      </c>
      <c r="B20" s="37" t="s">
        <v>169</v>
      </c>
      <c r="C20" s="38" t="s">
        <v>88</v>
      </c>
      <c r="D20" s="37" t="s">
        <v>170</v>
      </c>
      <c r="E20" s="37" t="s">
        <v>162</v>
      </c>
      <c r="F20" s="37" t="s">
        <v>171</v>
      </c>
      <c r="G20" s="37" t="s">
        <v>115</v>
      </c>
      <c r="I20" s="37" t="s">
        <v>47</v>
      </c>
      <c r="J20" s="37" t="s">
        <v>93</v>
      </c>
    </row>
    <row r="21" ht="14.25" customHeight="1">
      <c r="A21" s="37" t="s">
        <v>172</v>
      </c>
      <c r="B21" s="37" t="s">
        <v>173</v>
      </c>
      <c r="C21" s="38" t="s">
        <v>88</v>
      </c>
      <c r="D21" s="37" t="s">
        <v>174</v>
      </c>
      <c r="E21" s="37" t="s">
        <v>175</v>
      </c>
      <c r="F21" s="37" t="s">
        <v>176</v>
      </c>
      <c r="G21" s="37" t="s">
        <v>115</v>
      </c>
      <c r="H21" s="37" t="s">
        <v>128</v>
      </c>
      <c r="I21" s="37" t="s">
        <v>47</v>
      </c>
      <c r="J21" s="37" t="s">
        <v>93</v>
      </c>
    </row>
    <row r="22" ht="14.25" customHeight="1">
      <c r="A22" s="37" t="s">
        <v>177</v>
      </c>
      <c r="B22" s="37" t="s">
        <v>178</v>
      </c>
      <c r="C22" s="38" t="s">
        <v>88</v>
      </c>
      <c r="D22" s="37" t="s">
        <v>179</v>
      </c>
      <c r="E22" s="37" t="s">
        <v>162</v>
      </c>
      <c r="F22" s="37" t="s">
        <v>180</v>
      </c>
      <c r="G22" s="37" t="s">
        <v>115</v>
      </c>
      <c r="I22" s="37" t="s">
        <v>49</v>
      </c>
      <c r="J22" s="37" t="s">
        <v>181</v>
      </c>
    </row>
    <row r="23" ht="14.25" customHeight="1">
      <c r="A23" s="37" t="s">
        <v>182</v>
      </c>
      <c r="B23" s="37" t="s">
        <v>183</v>
      </c>
      <c r="C23" s="38" t="s">
        <v>88</v>
      </c>
      <c r="D23" s="37" t="s">
        <v>179</v>
      </c>
      <c r="E23" s="37" t="s">
        <v>142</v>
      </c>
      <c r="F23" s="37" t="s">
        <v>184</v>
      </c>
      <c r="G23" s="37" t="s">
        <v>115</v>
      </c>
      <c r="I23" s="37" t="s">
        <v>49</v>
      </c>
      <c r="J23" s="37" t="s">
        <v>181</v>
      </c>
    </row>
    <row r="24" ht="14.25" customHeight="1">
      <c r="A24" s="37" t="s">
        <v>185</v>
      </c>
      <c r="B24" s="37" t="s">
        <v>186</v>
      </c>
      <c r="C24" s="38" t="s">
        <v>88</v>
      </c>
      <c r="D24" s="37" t="s">
        <v>187</v>
      </c>
      <c r="E24" s="37" t="s">
        <v>188</v>
      </c>
      <c r="F24" s="37" t="s">
        <v>189</v>
      </c>
      <c r="G24" s="37" t="s">
        <v>115</v>
      </c>
      <c r="I24" s="37" t="s">
        <v>49</v>
      </c>
      <c r="J24" s="37" t="s">
        <v>181</v>
      </c>
    </row>
    <row r="25" ht="14.25" customHeight="1">
      <c r="A25" s="37" t="s">
        <v>190</v>
      </c>
      <c r="B25" s="37" t="s">
        <v>191</v>
      </c>
      <c r="C25" s="38" t="s">
        <v>88</v>
      </c>
      <c r="D25" s="37" t="s">
        <v>192</v>
      </c>
      <c r="E25" s="37" t="s">
        <v>193</v>
      </c>
      <c r="F25" s="37" t="s">
        <v>194</v>
      </c>
      <c r="G25" s="37" t="s">
        <v>115</v>
      </c>
      <c r="I25" s="37" t="s">
        <v>49</v>
      </c>
      <c r="J25" s="37" t="s">
        <v>181</v>
      </c>
    </row>
    <row r="26" ht="14.25" customHeight="1">
      <c r="A26" s="37" t="s">
        <v>195</v>
      </c>
      <c r="B26" s="37" t="s">
        <v>196</v>
      </c>
      <c r="C26" s="38" t="s">
        <v>88</v>
      </c>
      <c r="D26" s="37" t="s">
        <v>197</v>
      </c>
      <c r="E26" s="37" t="s">
        <v>198</v>
      </c>
      <c r="F26" s="37" t="s">
        <v>189</v>
      </c>
      <c r="G26" s="37" t="s">
        <v>115</v>
      </c>
      <c r="I26" s="37" t="s">
        <v>49</v>
      </c>
      <c r="J26" s="37" t="s">
        <v>181</v>
      </c>
    </row>
    <row r="27" ht="14.25" customHeight="1">
      <c r="A27" s="37" t="s">
        <v>199</v>
      </c>
      <c r="B27" s="37" t="s">
        <v>200</v>
      </c>
      <c r="C27" s="38" t="s">
        <v>88</v>
      </c>
      <c r="D27" s="37" t="s">
        <v>201</v>
      </c>
      <c r="E27" s="37" t="s">
        <v>90</v>
      </c>
      <c r="F27" s="37" t="s">
        <v>142</v>
      </c>
      <c r="G27" s="37" t="s">
        <v>115</v>
      </c>
      <c r="I27" s="37" t="s">
        <v>49</v>
      </c>
      <c r="J27" s="37" t="s">
        <v>181</v>
      </c>
    </row>
    <row r="28" ht="14.25" customHeight="1">
      <c r="A28" s="37" t="s">
        <v>202</v>
      </c>
      <c r="B28" s="37" t="s">
        <v>203</v>
      </c>
      <c r="C28" s="38" t="s">
        <v>88</v>
      </c>
      <c r="D28" s="37" t="s">
        <v>150</v>
      </c>
      <c r="E28" s="37" t="s">
        <v>204</v>
      </c>
      <c r="F28" s="37" t="s">
        <v>189</v>
      </c>
      <c r="G28" s="37" t="s">
        <v>115</v>
      </c>
      <c r="I28" s="37" t="s">
        <v>49</v>
      </c>
      <c r="J28" s="37" t="s">
        <v>181</v>
      </c>
    </row>
    <row r="29" ht="14.25" customHeight="1">
      <c r="A29" s="37" t="s">
        <v>205</v>
      </c>
      <c r="B29" s="37" t="s">
        <v>206</v>
      </c>
      <c r="C29" s="38" t="s">
        <v>88</v>
      </c>
      <c r="D29" s="37" t="s">
        <v>207</v>
      </c>
      <c r="E29" s="37" t="s">
        <v>208</v>
      </c>
      <c r="F29" s="37" t="s">
        <v>209</v>
      </c>
      <c r="G29" s="37" t="s">
        <v>115</v>
      </c>
      <c r="I29" s="37" t="s">
        <v>49</v>
      </c>
      <c r="J29" s="37" t="s">
        <v>181</v>
      </c>
    </row>
    <row r="30" ht="14.25" customHeight="1">
      <c r="A30" s="37" t="s">
        <v>210</v>
      </c>
      <c r="B30" s="37" t="s">
        <v>211</v>
      </c>
      <c r="C30" s="38" t="s">
        <v>88</v>
      </c>
      <c r="D30" s="37" t="s">
        <v>113</v>
      </c>
      <c r="E30" s="37" t="s">
        <v>212</v>
      </c>
      <c r="F30" s="37" t="s">
        <v>142</v>
      </c>
      <c r="G30" s="37" t="s">
        <v>115</v>
      </c>
      <c r="H30" s="37" t="s">
        <v>128</v>
      </c>
      <c r="I30" s="37" t="s">
        <v>49</v>
      </c>
      <c r="J30" s="37" t="s">
        <v>181</v>
      </c>
    </row>
    <row r="31" ht="14.25" customHeight="1">
      <c r="A31" s="37" t="s">
        <v>213</v>
      </c>
      <c r="B31" s="37" t="s">
        <v>214</v>
      </c>
      <c r="C31" s="38" t="s">
        <v>88</v>
      </c>
      <c r="D31" s="37" t="s">
        <v>215</v>
      </c>
      <c r="E31" s="37" t="s">
        <v>216</v>
      </c>
      <c r="F31" s="37" t="s">
        <v>217</v>
      </c>
      <c r="G31" s="37" t="s">
        <v>92</v>
      </c>
      <c r="I31" s="37" t="s">
        <v>49</v>
      </c>
      <c r="J31" s="37" t="s">
        <v>181</v>
      </c>
    </row>
    <row r="32" ht="14.25" customHeight="1">
      <c r="A32" s="37" t="s">
        <v>218</v>
      </c>
      <c r="B32" s="37" t="s">
        <v>219</v>
      </c>
      <c r="C32" s="38" t="s">
        <v>88</v>
      </c>
      <c r="D32" s="37" t="s">
        <v>170</v>
      </c>
      <c r="E32" s="37" t="s">
        <v>220</v>
      </c>
      <c r="F32" s="37" t="s">
        <v>221</v>
      </c>
      <c r="G32" s="37" t="s">
        <v>115</v>
      </c>
      <c r="I32" s="37" t="s">
        <v>49</v>
      </c>
      <c r="J32" s="37" t="s">
        <v>181</v>
      </c>
    </row>
    <row r="33" ht="14.25" customHeight="1">
      <c r="A33" s="37" t="s">
        <v>222</v>
      </c>
      <c r="B33" s="37" t="s">
        <v>223</v>
      </c>
      <c r="C33" s="38" t="s">
        <v>88</v>
      </c>
      <c r="D33" s="37" t="s">
        <v>224</v>
      </c>
      <c r="E33" s="37" t="s">
        <v>90</v>
      </c>
      <c r="F33" s="37" t="s">
        <v>142</v>
      </c>
      <c r="G33" s="37" t="s">
        <v>115</v>
      </c>
      <c r="I33" s="37" t="s">
        <v>49</v>
      </c>
      <c r="J33" s="37" t="s">
        <v>181</v>
      </c>
    </row>
    <row r="34" ht="14.25" customHeight="1">
      <c r="A34" s="37" t="s">
        <v>225</v>
      </c>
      <c r="B34" s="37" t="s">
        <v>226</v>
      </c>
      <c r="C34" s="38" t="s">
        <v>88</v>
      </c>
      <c r="D34" s="37" t="s">
        <v>227</v>
      </c>
      <c r="E34" s="37" t="s">
        <v>228</v>
      </c>
      <c r="F34" s="37" t="s">
        <v>189</v>
      </c>
      <c r="G34" s="37" t="s">
        <v>115</v>
      </c>
      <c r="I34" s="37" t="s">
        <v>49</v>
      </c>
      <c r="J34" s="37" t="s">
        <v>181</v>
      </c>
    </row>
    <row r="35" ht="14.25" customHeight="1">
      <c r="A35" s="37" t="s">
        <v>229</v>
      </c>
      <c r="B35" s="37" t="s">
        <v>230</v>
      </c>
      <c r="C35" s="38" t="s">
        <v>88</v>
      </c>
      <c r="D35" s="37" t="s">
        <v>231</v>
      </c>
      <c r="E35" s="37" t="s">
        <v>232</v>
      </c>
      <c r="F35" s="37" t="s">
        <v>233</v>
      </c>
      <c r="G35" s="37" t="s">
        <v>115</v>
      </c>
      <c r="I35" s="37" t="s">
        <v>49</v>
      </c>
      <c r="J35" s="37" t="s">
        <v>181</v>
      </c>
    </row>
    <row r="36" ht="14.25" customHeight="1">
      <c r="A36" s="37" t="s">
        <v>234</v>
      </c>
      <c r="B36" s="37" t="s">
        <v>235</v>
      </c>
      <c r="C36" s="38" t="s">
        <v>88</v>
      </c>
      <c r="D36" s="37" t="s">
        <v>236</v>
      </c>
      <c r="E36" s="37" t="s">
        <v>237</v>
      </c>
      <c r="F36" s="37" t="s">
        <v>189</v>
      </c>
      <c r="G36" s="37" t="s">
        <v>115</v>
      </c>
      <c r="I36" s="37" t="s">
        <v>49</v>
      </c>
      <c r="J36" s="37" t="s">
        <v>181</v>
      </c>
    </row>
    <row r="37" ht="14.25" customHeight="1">
      <c r="A37" s="37" t="s">
        <v>238</v>
      </c>
      <c r="B37" s="37" t="s">
        <v>239</v>
      </c>
      <c r="C37" s="38" t="s">
        <v>88</v>
      </c>
      <c r="D37" s="37" t="s">
        <v>179</v>
      </c>
      <c r="E37" s="37" t="s">
        <v>228</v>
      </c>
      <c r="F37" s="37" t="s">
        <v>189</v>
      </c>
      <c r="G37" s="37" t="s">
        <v>115</v>
      </c>
      <c r="I37" s="37" t="s">
        <v>49</v>
      </c>
      <c r="J37" s="37" t="s">
        <v>181</v>
      </c>
    </row>
    <row r="38" ht="14.25" customHeight="1">
      <c r="A38" s="37" t="s">
        <v>240</v>
      </c>
      <c r="B38" s="37" t="s">
        <v>241</v>
      </c>
      <c r="C38" s="38" t="s">
        <v>88</v>
      </c>
      <c r="D38" s="37" t="s">
        <v>242</v>
      </c>
      <c r="E38" s="37" t="s">
        <v>243</v>
      </c>
      <c r="F38" s="37" t="s">
        <v>244</v>
      </c>
      <c r="G38" s="37" t="s">
        <v>115</v>
      </c>
      <c r="I38" s="37" t="s">
        <v>49</v>
      </c>
      <c r="J38" s="37" t="s">
        <v>181</v>
      </c>
    </row>
    <row r="39" ht="14.25" customHeight="1">
      <c r="A39" s="37" t="s">
        <v>245</v>
      </c>
      <c r="B39" s="37" t="s">
        <v>246</v>
      </c>
      <c r="C39" s="38" t="s">
        <v>88</v>
      </c>
      <c r="D39" s="37" t="s">
        <v>247</v>
      </c>
      <c r="E39" s="37" t="s">
        <v>248</v>
      </c>
      <c r="F39" s="37" t="s">
        <v>233</v>
      </c>
      <c r="G39" s="37" t="s">
        <v>115</v>
      </c>
      <c r="I39" s="37" t="s">
        <v>49</v>
      </c>
      <c r="J39" s="37" t="s">
        <v>181</v>
      </c>
    </row>
    <row r="40" ht="14.25" customHeight="1">
      <c r="A40" s="37" t="s">
        <v>249</v>
      </c>
      <c r="B40" s="37" t="s">
        <v>250</v>
      </c>
      <c r="C40" s="38" t="s">
        <v>88</v>
      </c>
      <c r="D40" s="37" t="s">
        <v>251</v>
      </c>
      <c r="E40" s="37" t="s">
        <v>252</v>
      </c>
      <c r="F40" s="37" t="s">
        <v>253</v>
      </c>
      <c r="G40" s="37" t="s">
        <v>115</v>
      </c>
      <c r="I40" s="37" t="s">
        <v>49</v>
      </c>
      <c r="J40" s="37" t="s">
        <v>181</v>
      </c>
    </row>
    <row r="41" ht="14.25" customHeight="1">
      <c r="A41" s="37" t="s">
        <v>254</v>
      </c>
      <c r="B41" s="37" t="s">
        <v>255</v>
      </c>
      <c r="C41" s="38" t="s">
        <v>88</v>
      </c>
      <c r="D41" s="37" t="s">
        <v>256</v>
      </c>
      <c r="E41" s="37" t="s">
        <v>257</v>
      </c>
      <c r="F41" s="37" t="s">
        <v>189</v>
      </c>
      <c r="G41" s="37" t="s">
        <v>115</v>
      </c>
      <c r="I41" s="37" t="s">
        <v>49</v>
      </c>
      <c r="J41" s="37" t="s">
        <v>181</v>
      </c>
    </row>
    <row r="42" ht="14.25" customHeight="1">
      <c r="A42" s="37" t="s">
        <v>258</v>
      </c>
      <c r="B42" s="37" t="s">
        <v>259</v>
      </c>
      <c r="C42" s="38" t="s">
        <v>88</v>
      </c>
      <c r="D42" s="37" t="s">
        <v>122</v>
      </c>
      <c r="E42" s="37" t="s">
        <v>216</v>
      </c>
      <c r="F42" s="37" t="s">
        <v>260</v>
      </c>
      <c r="G42" s="37" t="s">
        <v>115</v>
      </c>
      <c r="I42" s="37" t="s">
        <v>49</v>
      </c>
      <c r="J42" s="26" t="s">
        <v>261</v>
      </c>
    </row>
    <row r="43" ht="14.25" customHeight="1">
      <c r="A43" s="37" t="s">
        <v>262</v>
      </c>
      <c r="B43" s="37" t="s">
        <v>263</v>
      </c>
      <c r="C43" s="38" t="s">
        <v>88</v>
      </c>
      <c r="D43" s="37" t="s">
        <v>264</v>
      </c>
      <c r="E43" s="37" t="s">
        <v>265</v>
      </c>
      <c r="F43" s="37" t="s">
        <v>266</v>
      </c>
      <c r="G43" s="37" t="s">
        <v>115</v>
      </c>
      <c r="I43" s="37" t="s">
        <v>49</v>
      </c>
      <c r="J43" s="26" t="s">
        <v>261</v>
      </c>
    </row>
    <row r="44" ht="14.25" customHeight="1">
      <c r="A44" s="37" t="s">
        <v>267</v>
      </c>
      <c r="B44" s="37" t="s">
        <v>268</v>
      </c>
      <c r="C44" s="38" t="s">
        <v>88</v>
      </c>
      <c r="D44" s="37" t="s">
        <v>201</v>
      </c>
      <c r="E44" s="37" t="s">
        <v>142</v>
      </c>
      <c r="F44" s="37" t="s">
        <v>142</v>
      </c>
      <c r="G44" s="37" t="s">
        <v>115</v>
      </c>
      <c r="I44" s="37" t="s">
        <v>49</v>
      </c>
      <c r="J44" s="37" t="s">
        <v>269</v>
      </c>
    </row>
    <row r="45" ht="14.25" customHeight="1">
      <c r="A45" s="37" t="s">
        <v>270</v>
      </c>
      <c r="B45" s="37" t="s">
        <v>271</v>
      </c>
      <c r="C45" s="38" t="s">
        <v>88</v>
      </c>
      <c r="D45" s="37" t="s">
        <v>272</v>
      </c>
      <c r="F45" s="37" t="s">
        <v>273</v>
      </c>
      <c r="G45" s="37" t="s">
        <v>115</v>
      </c>
      <c r="I45" s="37" t="s">
        <v>49</v>
      </c>
      <c r="J45" s="37" t="s">
        <v>269</v>
      </c>
    </row>
    <row r="46" ht="14.25" customHeight="1">
      <c r="A46" s="37" t="s">
        <v>274</v>
      </c>
      <c r="B46" s="37" t="s">
        <v>275</v>
      </c>
      <c r="C46" s="38" t="s">
        <v>88</v>
      </c>
      <c r="D46" s="37" t="s">
        <v>276</v>
      </c>
      <c r="F46" s="37" t="s">
        <v>110</v>
      </c>
      <c r="G46" s="37" t="s">
        <v>92</v>
      </c>
      <c r="I46" s="37" t="s">
        <v>49</v>
      </c>
      <c r="J46" s="37" t="s">
        <v>269</v>
      </c>
    </row>
    <row r="47" ht="14.25" customHeight="1">
      <c r="A47" s="37" t="s">
        <v>277</v>
      </c>
      <c r="B47" s="37" t="s">
        <v>278</v>
      </c>
      <c r="C47" s="38" t="s">
        <v>88</v>
      </c>
      <c r="D47" s="37" t="s">
        <v>247</v>
      </c>
      <c r="E47" s="37" t="s">
        <v>279</v>
      </c>
      <c r="F47" s="37" t="s">
        <v>280</v>
      </c>
      <c r="G47" s="37" t="s">
        <v>115</v>
      </c>
      <c r="I47" s="37" t="s">
        <v>49</v>
      </c>
      <c r="J47" s="37" t="s">
        <v>269</v>
      </c>
    </row>
    <row r="48" ht="14.25" customHeight="1">
      <c r="A48" s="37" t="s">
        <v>281</v>
      </c>
      <c r="B48" s="37" t="s">
        <v>282</v>
      </c>
      <c r="C48" s="38" t="s">
        <v>88</v>
      </c>
      <c r="D48" s="37" t="s">
        <v>283</v>
      </c>
      <c r="E48" s="37" t="s">
        <v>284</v>
      </c>
      <c r="F48" s="37" t="s">
        <v>142</v>
      </c>
      <c r="G48" s="37" t="s">
        <v>115</v>
      </c>
      <c r="I48" s="37" t="s">
        <v>49</v>
      </c>
      <c r="J48" s="37" t="s">
        <v>269</v>
      </c>
    </row>
    <row r="49" ht="14.25" customHeight="1">
      <c r="A49" s="37" t="s">
        <v>285</v>
      </c>
      <c r="B49" s="37" t="s">
        <v>286</v>
      </c>
      <c r="C49" s="38" t="s">
        <v>88</v>
      </c>
      <c r="D49" s="37" t="s">
        <v>287</v>
      </c>
      <c r="F49" s="37" t="s">
        <v>102</v>
      </c>
      <c r="G49" s="37" t="s">
        <v>92</v>
      </c>
      <c r="I49" s="37" t="s">
        <v>49</v>
      </c>
      <c r="J49" s="37" t="s">
        <v>269</v>
      </c>
    </row>
    <row r="50" ht="14.25" customHeight="1">
      <c r="A50" s="37" t="s">
        <v>288</v>
      </c>
      <c r="B50" s="37" t="s">
        <v>289</v>
      </c>
      <c r="C50" s="38" t="s">
        <v>88</v>
      </c>
      <c r="D50" s="37" t="s">
        <v>290</v>
      </c>
      <c r="E50" s="37" t="s">
        <v>291</v>
      </c>
      <c r="F50" s="37" t="s">
        <v>233</v>
      </c>
      <c r="G50" s="37" t="s">
        <v>115</v>
      </c>
      <c r="I50" s="37" t="s">
        <v>49</v>
      </c>
      <c r="J50" s="37" t="s">
        <v>269</v>
      </c>
      <c r="M50" s="37" t="s">
        <v>292</v>
      </c>
    </row>
    <row r="51" ht="14.25" customHeight="1">
      <c r="A51" s="37" t="s">
        <v>293</v>
      </c>
      <c r="B51" s="37" t="s">
        <v>294</v>
      </c>
      <c r="C51" s="38" t="s">
        <v>88</v>
      </c>
      <c r="D51" s="37" t="s">
        <v>295</v>
      </c>
      <c r="E51" s="37" t="s">
        <v>296</v>
      </c>
      <c r="F51" s="37" t="s">
        <v>221</v>
      </c>
      <c r="G51" s="37" t="s">
        <v>115</v>
      </c>
      <c r="I51" s="37" t="s">
        <v>49</v>
      </c>
      <c r="J51" s="37" t="s">
        <v>269</v>
      </c>
      <c r="M51" s="37" t="s">
        <v>292</v>
      </c>
    </row>
    <row r="52" ht="14.25" customHeight="1">
      <c r="A52" s="37" t="s">
        <v>297</v>
      </c>
      <c r="B52" s="37" t="s">
        <v>298</v>
      </c>
      <c r="C52" s="38" t="s">
        <v>88</v>
      </c>
      <c r="D52" s="37" t="s">
        <v>299</v>
      </c>
      <c r="E52" s="37" t="s">
        <v>300</v>
      </c>
      <c r="F52" s="37" t="s">
        <v>301</v>
      </c>
      <c r="G52" s="37" t="s">
        <v>115</v>
      </c>
      <c r="I52" s="37" t="s">
        <v>49</v>
      </c>
      <c r="J52" s="37" t="s">
        <v>269</v>
      </c>
    </row>
    <row r="53" ht="14.25" customHeight="1">
      <c r="A53" s="37" t="s">
        <v>302</v>
      </c>
      <c r="B53" s="37" t="s">
        <v>303</v>
      </c>
      <c r="C53" s="38" t="s">
        <v>88</v>
      </c>
      <c r="D53" s="37" t="s">
        <v>109</v>
      </c>
      <c r="F53" s="37" t="s">
        <v>217</v>
      </c>
      <c r="G53" s="37" t="s">
        <v>92</v>
      </c>
      <c r="I53" s="37" t="s">
        <v>49</v>
      </c>
      <c r="J53" s="37" t="s">
        <v>269</v>
      </c>
    </row>
    <row r="54" ht="14.25" customHeight="1">
      <c r="A54" s="37" t="s">
        <v>304</v>
      </c>
      <c r="B54" s="37" t="s">
        <v>305</v>
      </c>
      <c r="C54" s="38" t="s">
        <v>88</v>
      </c>
      <c r="D54" s="37" t="s">
        <v>242</v>
      </c>
      <c r="E54" s="37" t="s">
        <v>306</v>
      </c>
      <c r="F54" s="37" t="s">
        <v>307</v>
      </c>
      <c r="G54" s="37" t="s">
        <v>115</v>
      </c>
      <c r="I54" s="37" t="s">
        <v>49</v>
      </c>
      <c r="J54" s="37" t="s">
        <v>269</v>
      </c>
      <c r="M54" s="37" t="s">
        <v>292</v>
      </c>
    </row>
    <row r="55" ht="14.25" customHeight="1">
      <c r="A55" s="37" t="s">
        <v>308</v>
      </c>
      <c r="B55" s="37" t="s">
        <v>309</v>
      </c>
      <c r="C55" s="38" t="s">
        <v>88</v>
      </c>
      <c r="D55" s="37" t="s">
        <v>310</v>
      </c>
      <c r="E55" s="37" t="s">
        <v>311</v>
      </c>
      <c r="F55" s="37" t="s">
        <v>233</v>
      </c>
      <c r="G55" s="37" t="s">
        <v>115</v>
      </c>
      <c r="I55" s="37" t="s">
        <v>49</v>
      </c>
      <c r="J55" s="37" t="s">
        <v>269</v>
      </c>
      <c r="M55" s="37" t="s">
        <v>292</v>
      </c>
    </row>
    <row r="56" ht="14.25" customHeight="1">
      <c r="A56" s="37" t="s">
        <v>312</v>
      </c>
      <c r="B56" s="37" t="s">
        <v>313</v>
      </c>
      <c r="C56" s="38" t="s">
        <v>88</v>
      </c>
      <c r="D56" s="37" t="s">
        <v>113</v>
      </c>
      <c r="E56" s="37" t="s">
        <v>300</v>
      </c>
      <c r="F56" s="37" t="s">
        <v>314</v>
      </c>
      <c r="G56" s="37" t="s">
        <v>92</v>
      </c>
      <c r="I56" s="37" t="s">
        <v>49</v>
      </c>
      <c r="J56" s="37" t="s">
        <v>269</v>
      </c>
    </row>
    <row r="57" ht="14.25" customHeight="1">
      <c r="A57" s="37" t="s">
        <v>315</v>
      </c>
      <c r="B57" s="37" t="s">
        <v>316</v>
      </c>
      <c r="C57" s="38" t="s">
        <v>88</v>
      </c>
      <c r="D57" s="37" t="s">
        <v>264</v>
      </c>
      <c r="E57" s="37" t="s">
        <v>162</v>
      </c>
      <c r="F57" s="37" t="s">
        <v>317</v>
      </c>
      <c r="G57" s="37" t="s">
        <v>115</v>
      </c>
      <c r="H57" s="37" t="s">
        <v>128</v>
      </c>
      <c r="I57" s="37" t="s">
        <v>49</v>
      </c>
      <c r="J57" s="37" t="s">
        <v>269</v>
      </c>
      <c r="M57" s="37" t="s">
        <v>292</v>
      </c>
    </row>
    <row r="58" ht="14.25" customHeight="1">
      <c r="A58" s="37" t="s">
        <v>318</v>
      </c>
      <c r="B58" s="37" t="s">
        <v>319</v>
      </c>
      <c r="C58" s="38" t="s">
        <v>88</v>
      </c>
      <c r="D58" s="37" t="s">
        <v>272</v>
      </c>
      <c r="E58" s="37" t="s">
        <v>162</v>
      </c>
      <c r="F58" s="37" t="s">
        <v>320</v>
      </c>
      <c r="G58" s="37" t="s">
        <v>92</v>
      </c>
      <c r="I58" s="37" t="s">
        <v>49</v>
      </c>
      <c r="J58" s="37" t="s">
        <v>269</v>
      </c>
    </row>
    <row r="59" ht="14.25" customHeight="1">
      <c r="A59" s="37" t="s">
        <v>321</v>
      </c>
      <c r="B59" s="37" t="s">
        <v>322</v>
      </c>
      <c r="C59" s="38" t="s">
        <v>88</v>
      </c>
      <c r="D59" s="37" t="s">
        <v>247</v>
      </c>
      <c r="E59" s="37" t="s">
        <v>323</v>
      </c>
      <c r="F59" s="37" t="s">
        <v>233</v>
      </c>
      <c r="G59" s="37" t="s">
        <v>115</v>
      </c>
      <c r="I59" s="37" t="s">
        <v>49</v>
      </c>
      <c r="J59" s="37" t="s">
        <v>269</v>
      </c>
    </row>
    <row r="60" ht="14.25" customHeight="1">
      <c r="A60" s="37" t="s">
        <v>324</v>
      </c>
      <c r="B60" s="37" t="s">
        <v>325</v>
      </c>
      <c r="C60" s="38" t="s">
        <v>88</v>
      </c>
      <c r="D60" s="37" t="s">
        <v>326</v>
      </c>
      <c r="E60" s="37" t="s">
        <v>311</v>
      </c>
      <c r="F60" s="37" t="s">
        <v>327</v>
      </c>
      <c r="G60" s="37" t="s">
        <v>115</v>
      </c>
      <c r="I60" s="37" t="s">
        <v>49</v>
      </c>
      <c r="J60" s="37" t="s">
        <v>269</v>
      </c>
    </row>
    <row r="61" ht="14.25" customHeight="1">
      <c r="A61" s="37" t="s">
        <v>328</v>
      </c>
      <c r="B61" s="37" t="s">
        <v>329</v>
      </c>
      <c r="C61" s="38" t="s">
        <v>88</v>
      </c>
      <c r="D61" s="37" t="s">
        <v>187</v>
      </c>
      <c r="E61" s="37" t="s">
        <v>330</v>
      </c>
      <c r="F61" s="37" t="s">
        <v>189</v>
      </c>
      <c r="G61" s="37" t="s">
        <v>115</v>
      </c>
      <c r="I61" s="37" t="s">
        <v>49</v>
      </c>
      <c r="J61" s="37" t="s">
        <v>269</v>
      </c>
    </row>
    <row r="62" ht="14.25" customHeight="1">
      <c r="A62" s="37" t="s">
        <v>331</v>
      </c>
      <c r="B62" s="37" t="s">
        <v>332</v>
      </c>
      <c r="C62" s="38" t="s">
        <v>88</v>
      </c>
      <c r="D62" s="37" t="s">
        <v>224</v>
      </c>
      <c r="F62" s="37" t="s">
        <v>333</v>
      </c>
      <c r="G62" s="37" t="s">
        <v>115</v>
      </c>
      <c r="I62" s="37" t="s">
        <v>49</v>
      </c>
      <c r="J62" s="37" t="s">
        <v>269</v>
      </c>
    </row>
    <row r="63" ht="14.25" customHeight="1">
      <c r="A63" s="37" t="s">
        <v>334</v>
      </c>
      <c r="B63" s="37" t="s">
        <v>335</v>
      </c>
      <c r="C63" s="38" t="s">
        <v>88</v>
      </c>
      <c r="D63" s="37" t="s">
        <v>336</v>
      </c>
      <c r="E63" s="37" t="s">
        <v>337</v>
      </c>
      <c r="F63" s="37" t="s">
        <v>338</v>
      </c>
      <c r="G63" s="37" t="s">
        <v>115</v>
      </c>
      <c r="I63" s="37" t="s">
        <v>49</v>
      </c>
      <c r="J63" s="37" t="s">
        <v>269</v>
      </c>
    </row>
    <row r="64" ht="14.25" customHeight="1">
      <c r="A64" s="37" t="s">
        <v>339</v>
      </c>
      <c r="B64" s="37" t="s">
        <v>340</v>
      </c>
      <c r="C64" s="38" t="s">
        <v>88</v>
      </c>
      <c r="D64" s="37" t="s">
        <v>109</v>
      </c>
      <c r="E64" s="37" t="s">
        <v>101</v>
      </c>
      <c r="F64" s="37" t="s">
        <v>155</v>
      </c>
      <c r="G64" s="37" t="s">
        <v>92</v>
      </c>
      <c r="I64" s="37" t="s">
        <v>49</v>
      </c>
      <c r="J64" s="37" t="s">
        <v>269</v>
      </c>
    </row>
    <row r="65" ht="14.25" customHeight="1">
      <c r="A65" s="37" t="s">
        <v>341</v>
      </c>
      <c r="B65" s="37" t="s">
        <v>342</v>
      </c>
      <c r="C65" s="38" t="s">
        <v>88</v>
      </c>
      <c r="D65" s="37" t="s">
        <v>343</v>
      </c>
      <c r="E65" s="37" t="s">
        <v>311</v>
      </c>
      <c r="F65" s="37" t="s">
        <v>233</v>
      </c>
      <c r="G65" s="37" t="s">
        <v>115</v>
      </c>
      <c r="I65" s="37" t="s">
        <v>49</v>
      </c>
      <c r="J65" s="37" t="s">
        <v>269</v>
      </c>
    </row>
    <row r="66" ht="14.25" customHeight="1">
      <c r="A66" s="37" t="s">
        <v>344</v>
      </c>
      <c r="B66" s="37" t="s">
        <v>345</v>
      </c>
      <c r="C66" s="38" t="s">
        <v>88</v>
      </c>
      <c r="D66" s="37" t="s">
        <v>201</v>
      </c>
      <c r="E66" s="37" t="s">
        <v>346</v>
      </c>
      <c r="F66" s="37" t="s">
        <v>209</v>
      </c>
      <c r="G66" s="37" t="s">
        <v>92</v>
      </c>
      <c r="I66" s="37" t="s">
        <v>49</v>
      </c>
      <c r="J66" s="37" t="s">
        <v>347</v>
      </c>
    </row>
    <row r="67" ht="14.25" customHeight="1">
      <c r="A67" s="37" t="s">
        <v>348</v>
      </c>
      <c r="B67" s="37" t="s">
        <v>349</v>
      </c>
      <c r="C67" s="38" t="s">
        <v>88</v>
      </c>
      <c r="D67" s="37" t="s">
        <v>179</v>
      </c>
      <c r="E67" s="37" t="s">
        <v>350</v>
      </c>
      <c r="F67" s="37" t="s">
        <v>189</v>
      </c>
      <c r="G67" s="37" t="s">
        <v>115</v>
      </c>
      <c r="I67" s="37" t="s">
        <v>49</v>
      </c>
      <c r="J67" s="37" t="s">
        <v>347</v>
      </c>
    </row>
    <row r="68" ht="14.25" customHeight="1">
      <c r="A68" s="37" t="s">
        <v>351</v>
      </c>
      <c r="B68" s="37" t="s">
        <v>352</v>
      </c>
      <c r="C68" s="38" t="s">
        <v>88</v>
      </c>
      <c r="D68" s="37" t="s">
        <v>353</v>
      </c>
      <c r="E68" s="37" t="s">
        <v>162</v>
      </c>
      <c r="F68" s="37" t="s">
        <v>354</v>
      </c>
      <c r="G68" s="37" t="s">
        <v>115</v>
      </c>
      <c r="I68" s="37" t="s">
        <v>49</v>
      </c>
      <c r="J68" s="37" t="s">
        <v>347</v>
      </c>
    </row>
    <row r="69" ht="14.25" customHeight="1">
      <c r="A69" s="37" t="s">
        <v>355</v>
      </c>
      <c r="B69" s="37" t="s">
        <v>356</v>
      </c>
      <c r="C69" s="38" t="s">
        <v>88</v>
      </c>
      <c r="D69" s="37" t="s">
        <v>357</v>
      </c>
      <c r="E69" s="37" t="s">
        <v>358</v>
      </c>
      <c r="F69" s="37" t="s">
        <v>189</v>
      </c>
      <c r="G69" s="37" t="s">
        <v>115</v>
      </c>
      <c r="I69" s="37" t="s">
        <v>49</v>
      </c>
      <c r="J69" s="37" t="s">
        <v>347</v>
      </c>
    </row>
    <row r="70" ht="14.25" customHeight="1">
      <c r="A70" s="37" t="s">
        <v>359</v>
      </c>
      <c r="B70" s="37" t="s">
        <v>360</v>
      </c>
      <c r="C70" s="38" t="s">
        <v>88</v>
      </c>
      <c r="D70" s="37" t="s">
        <v>122</v>
      </c>
      <c r="E70" s="37" t="s">
        <v>358</v>
      </c>
      <c r="F70" s="37" t="s">
        <v>221</v>
      </c>
      <c r="G70" s="37" t="s">
        <v>115</v>
      </c>
      <c r="I70" s="37" t="s">
        <v>49</v>
      </c>
      <c r="J70" s="37" t="s">
        <v>347</v>
      </c>
    </row>
    <row r="71" ht="14.25" customHeight="1">
      <c r="A71" s="37" t="s">
        <v>361</v>
      </c>
      <c r="B71" s="37" t="s">
        <v>362</v>
      </c>
      <c r="C71" s="38" t="s">
        <v>88</v>
      </c>
      <c r="D71" s="37" t="s">
        <v>363</v>
      </c>
      <c r="E71" s="37" t="s">
        <v>142</v>
      </c>
      <c r="F71" s="37" t="s">
        <v>364</v>
      </c>
      <c r="G71" s="37" t="s">
        <v>92</v>
      </c>
      <c r="I71" s="37" t="s">
        <v>49</v>
      </c>
      <c r="J71" s="37" t="s">
        <v>347</v>
      </c>
    </row>
    <row r="72" ht="14.25" customHeight="1">
      <c r="A72" s="37" t="s">
        <v>365</v>
      </c>
      <c r="B72" s="37" t="s">
        <v>366</v>
      </c>
      <c r="C72" s="38" t="s">
        <v>88</v>
      </c>
      <c r="D72" s="37" t="s">
        <v>367</v>
      </c>
      <c r="E72" s="37" t="s">
        <v>368</v>
      </c>
      <c r="F72" s="37" t="s">
        <v>369</v>
      </c>
      <c r="G72" s="37" t="s">
        <v>115</v>
      </c>
      <c r="H72" s="37" t="s">
        <v>128</v>
      </c>
      <c r="I72" s="37" t="s">
        <v>49</v>
      </c>
      <c r="J72" s="37" t="s">
        <v>347</v>
      </c>
    </row>
    <row r="73" ht="14.25" customHeight="1">
      <c r="A73" s="37" t="s">
        <v>370</v>
      </c>
      <c r="B73" s="37" t="s">
        <v>371</v>
      </c>
      <c r="C73" s="38" t="s">
        <v>88</v>
      </c>
      <c r="D73" s="37" t="s">
        <v>372</v>
      </c>
      <c r="E73" s="37" t="s">
        <v>101</v>
      </c>
      <c r="F73" s="37" t="s">
        <v>373</v>
      </c>
      <c r="G73" s="37" t="s">
        <v>92</v>
      </c>
      <c r="I73" s="37" t="s">
        <v>49</v>
      </c>
      <c r="J73" s="37" t="s">
        <v>347</v>
      </c>
    </row>
    <row r="74" ht="14.25" customHeight="1">
      <c r="A74" s="37" t="s">
        <v>374</v>
      </c>
      <c r="B74" s="37" t="s">
        <v>375</v>
      </c>
      <c r="C74" s="38" t="s">
        <v>88</v>
      </c>
      <c r="D74" s="37" t="s">
        <v>174</v>
      </c>
      <c r="E74" s="37" t="s">
        <v>101</v>
      </c>
      <c r="F74" s="37" t="s">
        <v>376</v>
      </c>
      <c r="G74" s="37" t="s">
        <v>115</v>
      </c>
      <c r="I74" s="37" t="s">
        <v>49</v>
      </c>
      <c r="J74" s="37" t="s">
        <v>347</v>
      </c>
    </row>
    <row r="75" ht="14.25" customHeight="1">
      <c r="A75" s="37" t="s">
        <v>377</v>
      </c>
      <c r="B75" s="37" t="s">
        <v>378</v>
      </c>
      <c r="C75" s="38" t="s">
        <v>88</v>
      </c>
      <c r="D75" s="37" t="s">
        <v>379</v>
      </c>
      <c r="E75" s="37" t="s">
        <v>380</v>
      </c>
      <c r="F75" s="37" t="s">
        <v>189</v>
      </c>
      <c r="G75" s="37" t="s">
        <v>115</v>
      </c>
      <c r="I75" s="37" t="s">
        <v>49</v>
      </c>
      <c r="J75" s="37" t="s">
        <v>347</v>
      </c>
    </row>
    <row r="76" ht="14.25" customHeight="1">
      <c r="A76" s="37" t="s">
        <v>381</v>
      </c>
      <c r="B76" s="37" t="s">
        <v>382</v>
      </c>
      <c r="C76" s="38" t="s">
        <v>88</v>
      </c>
      <c r="D76" s="37" t="s">
        <v>383</v>
      </c>
      <c r="E76" s="37" t="s">
        <v>384</v>
      </c>
      <c r="F76" s="37" t="s">
        <v>385</v>
      </c>
      <c r="G76" s="37" t="s">
        <v>115</v>
      </c>
      <c r="I76" s="37" t="s">
        <v>49</v>
      </c>
      <c r="J76" s="37" t="s">
        <v>347</v>
      </c>
    </row>
    <row r="77" ht="14.25" customHeight="1">
      <c r="A77" s="37" t="s">
        <v>386</v>
      </c>
      <c r="B77" s="37" t="s">
        <v>387</v>
      </c>
      <c r="C77" s="38" t="s">
        <v>88</v>
      </c>
      <c r="D77" s="37" t="s">
        <v>379</v>
      </c>
      <c r="E77" s="37" t="s">
        <v>388</v>
      </c>
      <c r="F77" s="37" t="s">
        <v>389</v>
      </c>
      <c r="G77" s="37" t="s">
        <v>115</v>
      </c>
      <c r="I77" s="37" t="s">
        <v>49</v>
      </c>
      <c r="J77" s="37" t="s">
        <v>347</v>
      </c>
    </row>
    <row r="78" ht="14.25" customHeight="1">
      <c r="A78" s="37" t="s">
        <v>390</v>
      </c>
      <c r="B78" s="37" t="s">
        <v>391</v>
      </c>
      <c r="C78" s="38" t="s">
        <v>88</v>
      </c>
      <c r="D78" s="37" t="s">
        <v>392</v>
      </c>
      <c r="F78" s="37" t="s">
        <v>393</v>
      </c>
      <c r="G78" s="37" t="s">
        <v>115</v>
      </c>
      <c r="H78" s="37" t="s">
        <v>128</v>
      </c>
      <c r="I78" s="37" t="s">
        <v>49</v>
      </c>
      <c r="J78" s="37" t="s">
        <v>347</v>
      </c>
    </row>
    <row r="79" ht="14.25" customHeight="1">
      <c r="A79" s="37" t="s">
        <v>394</v>
      </c>
      <c r="B79" s="37" t="s">
        <v>395</v>
      </c>
      <c r="C79" s="38" t="s">
        <v>88</v>
      </c>
      <c r="D79" s="37" t="s">
        <v>396</v>
      </c>
      <c r="E79" s="37" t="s">
        <v>397</v>
      </c>
      <c r="F79" s="37" t="s">
        <v>398</v>
      </c>
      <c r="G79" s="37" t="s">
        <v>92</v>
      </c>
      <c r="H79" s="37" t="s">
        <v>128</v>
      </c>
      <c r="I79" s="37" t="s">
        <v>49</v>
      </c>
      <c r="J79" s="37" t="s">
        <v>347</v>
      </c>
    </row>
    <row r="80" ht="14.25" customHeight="1">
      <c r="A80" s="37" t="s">
        <v>399</v>
      </c>
      <c r="B80" s="37" t="s">
        <v>400</v>
      </c>
      <c r="C80" s="38" t="s">
        <v>88</v>
      </c>
      <c r="D80" s="37" t="s">
        <v>401</v>
      </c>
      <c r="E80" s="37" t="s">
        <v>402</v>
      </c>
      <c r="F80" s="37" t="s">
        <v>403</v>
      </c>
      <c r="G80" s="37" t="s">
        <v>115</v>
      </c>
      <c r="I80" s="37" t="s">
        <v>49</v>
      </c>
      <c r="J80" s="37" t="s">
        <v>347</v>
      </c>
    </row>
    <row r="81" ht="14.25" customHeight="1">
      <c r="A81" s="37" t="s">
        <v>404</v>
      </c>
      <c r="B81" s="37" t="s">
        <v>405</v>
      </c>
      <c r="C81" s="38" t="s">
        <v>88</v>
      </c>
      <c r="D81" s="37" t="s">
        <v>406</v>
      </c>
      <c r="E81" s="37" t="s">
        <v>265</v>
      </c>
      <c r="F81" s="37" t="s">
        <v>221</v>
      </c>
      <c r="G81" s="37" t="s">
        <v>115</v>
      </c>
      <c r="H81" s="37" t="s">
        <v>128</v>
      </c>
      <c r="I81" s="37" t="s">
        <v>49</v>
      </c>
      <c r="J81" s="37" t="s">
        <v>347</v>
      </c>
    </row>
    <row r="82" ht="14.25" customHeight="1">
      <c r="A82" s="37" t="s">
        <v>407</v>
      </c>
      <c r="B82" s="37" t="s">
        <v>408</v>
      </c>
      <c r="C82" s="38" t="s">
        <v>88</v>
      </c>
      <c r="D82" s="37" t="s">
        <v>409</v>
      </c>
      <c r="F82" s="37" t="s">
        <v>410</v>
      </c>
      <c r="G82" s="37" t="s">
        <v>92</v>
      </c>
      <c r="H82" s="37" t="s">
        <v>128</v>
      </c>
      <c r="I82" s="37" t="s">
        <v>49</v>
      </c>
      <c r="J82" s="37" t="s">
        <v>347</v>
      </c>
    </row>
    <row r="83" ht="14.25" customHeight="1">
      <c r="A83" s="37" t="s">
        <v>411</v>
      </c>
      <c r="B83" s="37" t="s">
        <v>412</v>
      </c>
      <c r="C83" s="38" t="s">
        <v>88</v>
      </c>
      <c r="D83" s="37" t="s">
        <v>413</v>
      </c>
      <c r="E83" s="37" t="s">
        <v>414</v>
      </c>
      <c r="F83" s="37" t="s">
        <v>338</v>
      </c>
      <c r="G83" s="37" t="s">
        <v>115</v>
      </c>
      <c r="I83" s="37" t="s">
        <v>49</v>
      </c>
      <c r="J83" s="37" t="s">
        <v>347</v>
      </c>
    </row>
    <row r="84" ht="14.25" customHeight="1">
      <c r="A84" s="37" t="s">
        <v>415</v>
      </c>
      <c r="B84" s="37" t="s">
        <v>416</v>
      </c>
      <c r="C84" s="38" t="s">
        <v>88</v>
      </c>
      <c r="D84" s="37" t="s">
        <v>417</v>
      </c>
      <c r="E84" s="37" t="s">
        <v>418</v>
      </c>
      <c r="F84" s="37" t="s">
        <v>419</v>
      </c>
      <c r="G84" s="37" t="s">
        <v>115</v>
      </c>
      <c r="I84" s="37" t="s">
        <v>49</v>
      </c>
      <c r="J84" s="26" t="s">
        <v>261</v>
      </c>
    </row>
    <row r="85" ht="14.25" customHeight="1">
      <c r="A85" s="37" t="s">
        <v>420</v>
      </c>
      <c r="B85" s="37" t="s">
        <v>421</v>
      </c>
      <c r="C85" s="38" t="s">
        <v>88</v>
      </c>
      <c r="D85" s="37" t="s">
        <v>422</v>
      </c>
      <c r="E85" s="37" t="s">
        <v>423</v>
      </c>
      <c r="F85" s="37" t="s">
        <v>419</v>
      </c>
      <c r="G85" s="37" t="s">
        <v>115</v>
      </c>
      <c r="I85" s="37" t="s">
        <v>49</v>
      </c>
      <c r="J85" s="26" t="s">
        <v>261</v>
      </c>
    </row>
    <row r="86" ht="14.25" customHeight="1">
      <c r="A86" s="37" t="s">
        <v>424</v>
      </c>
      <c r="B86" s="37" t="s">
        <v>425</v>
      </c>
      <c r="C86" s="38" t="s">
        <v>88</v>
      </c>
      <c r="D86" s="37" t="s">
        <v>426</v>
      </c>
      <c r="E86" s="37" t="s">
        <v>300</v>
      </c>
      <c r="F86" s="37" t="s">
        <v>393</v>
      </c>
      <c r="G86" s="37" t="s">
        <v>115</v>
      </c>
      <c r="H86" s="37" t="s">
        <v>128</v>
      </c>
      <c r="I86" s="37" t="s">
        <v>49</v>
      </c>
      <c r="J86" s="26" t="s">
        <v>261</v>
      </c>
    </row>
    <row r="87" ht="14.25" customHeight="1">
      <c r="A87" s="37" t="s">
        <v>427</v>
      </c>
      <c r="B87" s="37" t="s">
        <v>428</v>
      </c>
      <c r="C87" s="38" t="s">
        <v>88</v>
      </c>
      <c r="D87" s="37" t="s">
        <v>429</v>
      </c>
      <c r="E87" s="37" t="s">
        <v>101</v>
      </c>
      <c r="F87" s="37" t="s">
        <v>430</v>
      </c>
      <c r="G87" s="37" t="s">
        <v>92</v>
      </c>
      <c r="I87" s="37" t="s">
        <v>49</v>
      </c>
      <c r="J87" s="37" t="s">
        <v>431</v>
      </c>
    </row>
    <row r="88" ht="14.25" customHeight="1">
      <c r="A88" s="37" t="s">
        <v>432</v>
      </c>
      <c r="B88" s="37" t="s">
        <v>433</v>
      </c>
      <c r="C88" s="38" t="s">
        <v>88</v>
      </c>
      <c r="D88" s="37" t="s">
        <v>125</v>
      </c>
      <c r="E88" s="37" t="s">
        <v>434</v>
      </c>
      <c r="F88" s="37" t="s">
        <v>209</v>
      </c>
      <c r="G88" s="37" t="s">
        <v>115</v>
      </c>
      <c r="I88" s="37" t="s">
        <v>49</v>
      </c>
      <c r="J88" s="37" t="s">
        <v>431</v>
      </c>
    </row>
    <row r="89" ht="14.25" customHeight="1">
      <c r="A89" s="37" t="s">
        <v>435</v>
      </c>
      <c r="B89" s="37" t="s">
        <v>436</v>
      </c>
      <c r="C89" s="38" t="s">
        <v>88</v>
      </c>
      <c r="D89" s="37" t="s">
        <v>256</v>
      </c>
      <c r="E89" s="37" t="s">
        <v>101</v>
      </c>
      <c r="F89" s="37" t="s">
        <v>102</v>
      </c>
      <c r="G89" s="37" t="s">
        <v>92</v>
      </c>
      <c r="H89" s="37" t="s">
        <v>128</v>
      </c>
      <c r="I89" s="37" t="s">
        <v>49</v>
      </c>
      <c r="J89" s="37" t="s">
        <v>431</v>
      </c>
    </row>
    <row r="90" ht="14.25" customHeight="1">
      <c r="A90" s="37" t="s">
        <v>437</v>
      </c>
      <c r="B90" s="37" t="s">
        <v>438</v>
      </c>
      <c r="C90" s="38" t="s">
        <v>88</v>
      </c>
      <c r="D90" s="37" t="s">
        <v>264</v>
      </c>
      <c r="E90" s="37" t="s">
        <v>439</v>
      </c>
      <c r="F90" s="37" t="s">
        <v>440</v>
      </c>
      <c r="G90" s="37" t="s">
        <v>115</v>
      </c>
      <c r="I90" s="37" t="s">
        <v>49</v>
      </c>
      <c r="J90" s="37" t="s">
        <v>431</v>
      </c>
    </row>
    <row r="91" ht="14.25" customHeight="1">
      <c r="A91" s="37" t="s">
        <v>441</v>
      </c>
      <c r="B91" s="37" t="s">
        <v>442</v>
      </c>
      <c r="C91" s="38" t="s">
        <v>88</v>
      </c>
      <c r="D91" s="37" t="s">
        <v>443</v>
      </c>
      <c r="E91" s="37" t="s">
        <v>444</v>
      </c>
      <c r="F91" s="37" t="s">
        <v>445</v>
      </c>
      <c r="G91" s="37" t="s">
        <v>115</v>
      </c>
      <c r="I91" s="37" t="s">
        <v>49</v>
      </c>
      <c r="J91" s="37" t="s">
        <v>431</v>
      </c>
    </row>
    <row r="92" ht="14.25" customHeight="1">
      <c r="A92" s="37" t="s">
        <v>446</v>
      </c>
      <c r="B92" s="37" t="s">
        <v>447</v>
      </c>
      <c r="C92" s="38" t="s">
        <v>88</v>
      </c>
      <c r="D92" s="37" t="s">
        <v>187</v>
      </c>
      <c r="E92" s="37" t="s">
        <v>448</v>
      </c>
      <c r="F92" s="37" t="s">
        <v>189</v>
      </c>
      <c r="G92" s="37" t="s">
        <v>115</v>
      </c>
      <c r="I92" s="37" t="s">
        <v>49</v>
      </c>
      <c r="J92" s="37" t="s">
        <v>431</v>
      </c>
    </row>
    <row r="93" ht="14.25" customHeight="1">
      <c r="A93" s="37" t="s">
        <v>449</v>
      </c>
      <c r="B93" s="37" t="s">
        <v>450</v>
      </c>
      <c r="C93" s="38" t="s">
        <v>88</v>
      </c>
      <c r="D93" s="37" t="s">
        <v>179</v>
      </c>
      <c r="E93" s="37" t="s">
        <v>451</v>
      </c>
      <c r="F93" s="37" t="s">
        <v>280</v>
      </c>
      <c r="G93" s="37" t="s">
        <v>92</v>
      </c>
      <c r="I93" s="37" t="s">
        <v>49</v>
      </c>
      <c r="J93" s="37" t="s">
        <v>431</v>
      </c>
    </row>
    <row r="94" ht="14.25" customHeight="1">
      <c r="A94" s="37" t="s">
        <v>452</v>
      </c>
      <c r="B94" s="37" t="s">
        <v>453</v>
      </c>
      <c r="C94" s="38" t="s">
        <v>88</v>
      </c>
      <c r="D94" s="37" t="s">
        <v>454</v>
      </c>
      <c r="E94" s="37" t="s">
        <v>455</v>
      </c>
      <c r="F94" s="37" t="s">
        <v>456</v>
      </c>
      <c r="G94" s="37" t="s">
        <v>92</v>
      </c>
      <c r="I94" s="37" t="s">
        <v>49</v>
      </c>
      <c r="J94" s="37" t="s">
        <v>431</v>
      </c>
    </row>
    <row r="95" ht="14.25" customHeight="1">
      <c r="A95" s="37" t="s">
        <v>457</v>
      </c>
      <c r="B95" s="37" t="s">
        <v>458</v>
      </c>
      <c r="C95" s="38" t="s">
        <v>88</v>
      </c>
      <c r="D95" s="37" t="s">
        <v>422</v>
      </c>
      <c r="E95" s="37" t="s">
        <v>162</v>
      </c>
      <c r="F95" s="37" t="s">
        <v>176</v>
      </c>
      <c r="G95" s="37" t="s">
        <v>92</v>
      </c>
      <c r="I95" s="37" t="s">
        <v>49</v>
      </c>
      <c r="J95" s="37" t="s">
        <v>431</v>
      </c>
    </row>
    <row r="96" ht="14.25" customHeight="1">
      <c r="A96" s="37" t="s">
        <v>459</v>
      </c>
      <c r="B96" s="37" t="s">
        <v>460</v>
      </c>
      <c r="C96" s="38" t="s">
        <v>88</v>
      </c>
      <c r="D96" s="37" t="s">
        <v>461</v>
      </c>
      <c r="E96" s="37" t="s">
        <v>462</v>
      </c>
      <c r="F96" s="37" t="s">
        <v>463</v>
      </c>
      <c r="G96" s="37" t="s">
        <v>92</v>
      </c>
      <c r="I96" s="37" t="s">
        <v>49</v>
      </c>
      <c r="J96" s="37" t="s">
        <v>431</v>
      </c>
    </row>
    <row r="97" ht="14.25" customHeight="1">
      <c r="A97" s="37" t="s">
        <v>464</v>
      </c>
      <c r="B97" s="37" t="s">
        <v>465</v>
      </c>
      <c r="C97" s="38" t="s">
        <v>88</v>
      </c>
      <c r="D97" s="37" t="s">
        <v>413</v>
      </c>
      <c r="E97" s="37" t="s">
        <v>466</v>
      </c>
      <c r="F97" s="37" t="s">
        <v>398</v>
      </c>
      <c r="G97" s="37" t="s">
        <v>115</v>
      </c>
      <c r="I97" s="37" t="s">
        <v>49</v>
      </c>
      <c r="J97" s="37" t="s">
        <v>431</v>
      </c>
    </row>
    <row r="98" ht="14.25" customHeight="1">
      <c r="A98" s="37" t="s">
        <v>467</v>
      </c>
      <c r="B98" s="37" t="s">
        <v>468</v>
      </c>
      <c r="C98" s="38" t="s">
        <v>88</v>
      </c>
      <c r="D98" s="37" t="s">
        <v>469</v>
      </c>
      <c r="E98" s="37" t="s">
        <v>470</v>
      </c>
      <c r="F98" s="37" t="s">
        <v>471</v>
      </c>
      <c r="G98" s="37" t="s">
        <v>115</v>
      </c>
      <c r="I98" s="37" t="s">
        <v>49</v>
      </c>
      <c r="J98" s="37" t="s">
        <v>431</v>
      </c>
    </row>
    <row r="99" ht="14.25" customHeight="1">
      <c r="A99" s="37" t="s">
        <v>472</v>
      </c>
      <c r="B99" s="37" t="s">
        <v>473</v>
      </c>
      <c r="C99" s="38" t="s">
        <v>88</v>
      </c>
      <c r="D99" s="37" t="s">
        <v>353</v>
      </c>
      <c r="F99" s="37" t="s">
        <v>474</v>
      </c>
      <c r="G99" s="37" t="s">
        <v>115</v>
      </c>
      <c r="I99" s="37" t="s">
        <v>49</v>
      </c>
      <c r="J99" s="37" t="s">
        <v>431</v>
      </c>
    </row>
    <row r="100" ht="14.25" customHeight="1">
      <c r="A100" s="37" t="s">
        <v>475</v>
      </c>
      <c r="B100" s="37" t="s">
        <v>476</v>
      </c>
      <c r="C100" s="38" t="s">
        <v>88</v>
      </c>
      <c r="D100" s="37" t="s">
        <v>477</v>
      </c>
      <c r="E100" s="37" t="s">
        <v>101</v>
      </c>
      <c r="F100" s="37" t="s">
        <v>478</v>
      </c>
      <c r="G100" s="37" t="s">
        <v>92</v>
      </c>
      <c r="I100" s="37" t="s">
        <v>49</v>
      </c>
      <c r="J100" s="37" t="s">
        <v>431</v>
      </c>
    </row>
    <row r="101" ht="14.25" customHeight="1">
      <c r="A101" s="37" t="s">
        <v>479</v>
      </c>
      <c r="B101" s="37" t="s">
        <v>480</v>
      </c>
      <c r="C101" s="38" t="s">
        <v>88</v>
      </c>
      <c r="D101" s="37" t="s">
        <v>363</v>
      </c>
      <c r="E101" s="37" t="s">
        <v>481</v>
      </c>
      <c r="F101" s="37" t="s">
        <v>189</v>
      </c>
      <c r="G101" s="37" t="s">
        <v>115</v>
      </c>
      <c r="I101" s="37" t="s">
        <v>49</v>
      </c>
      <c r="J101" s="37" t="s">
        <v>431</v>
      </c>
    </row>
    <row r="102" ht="14.25" customHeight="1">
      <c r="A102" s="37" t="s">
        <v>482</v>
      </c>
      <c r="B102" s="37" t="s">
        <v>483</v>
      </c>
      <c r="C102" s="38" t="s">
        <v>88</v>
      </c>
      <c r="D102" s="37" t="s">
        <v>426</v>
      </c>
      <c r="E102" s="37" t="s">
        <v>484</v>
      </c>
      <c r="F102" s="37" t="s">
        <v>485</v>
      </c>
      <c r="G102" s="37" t="s">
        <v>115</v>
      </c>
      <c r="I102" s="37" t="s">
        <v>49</v>
      </c>
      <c r="J102" s="37" t="s">
        <v>431</v>
      </c>
    </row>
    <row r="103" ht="14.25" customHeight="1">
      <c r="A103" s="37" t="s">
        <v>486</v>
      </c>
      <c r="B103" s="37" t="s">
        <v>487</v>
      </c>
      <c r="C103" s="38" t="s">
        <v>88</v>
      </c>
      <c r="D103" s="37" t="s">
        <v>488</v>
      </c>
      <c r="E103" s="37" t="s">
        <v>137</v>
      </c>
      <c r="F103" s="37" t="s">
        <v>489</v>
      </c>
      <c r="G103" s="37" t="s">
        <v>115</v>
      </c>
      <c r="I103" s="37" t="s">
        <v>49</v>
      </c>
      <c r="J103" s="37" t="s">
        <v>431</v>
      </c>
    </row>
    <row r="104" ht="14.25" customHeight="1">
      <c r="A104" s="37" t="s">
        <v>490</v>
      </c>
      <c r="B104" s="37" t="s">
        <v>491</v>
      </c>
      <c r="C104" s="38" t="s">
        <v>88</v>
      </c>
      <c r="D104" s="37" t="s">
        <v>492</v>
      </c>
      <c r="E104" s="37" t="s">
        <v>90</v>
      </c>
      <c r="F104" s="37" t="s">
        <v>493</v>
      </c>
      <c r="G104" s="37" t="s">
        <v>92</v>
      </c>
      <c r="I104" s="37" t="s">
        <v>49</v>
      </c>
      <c r="J104" s="37" t="s">
        <v>431</v>
      </c>
    </row>
    <row r="105" ht="14.25" customHeight="1">
      <c r="A105" s="37" t="s">
        <v>494</v>
      </c>
      <c r="B105" s="37" t="s">
        <v>495</v>
      </c>
      <c r="C105" s="38" t="s">
        <v>88</v>
      </c>
      <c r="D105" s="37" t="s">
        <v>290</v>
      </c>
      <c r="E105" s="37" t="s">
        <v>162</v>
      </c>
      <c r="F105" s="37" t="s">
        <v>496</v>
      </c>
      <c r="G105" s="37" t="s">
        <v>92</v>
      </c>
      <c r="I105" s="37" t="s">
        <v>49</v>
      </c>
      <c r="J105" s="37" t="s">
        <v>431</v>
      </c>
    </row>
    <row r="106" ht="14.25" customHeight="1">
      <c r="A106" s="37" t="s">
        <v>497</v>
      </c>
      <c r="B106" s="37" t="s">
        <v>498</v>
      </c>
      <c r="C106" s="38" t="s">
        <v>88</v>
      </c>
      <c r="D106" s="37" t="s">
        <v>122</v>
      </c>
      <c r="E106" s="37" t="s">
        <v>137</v>
      </c>
      <c r="F106" s="37" t="s">
        <v>102</v>
      </c>
      <c r="G106" s="37" t="s">
        <v>115</v>
      </c>
      <c r="I106" s="37" t="s">
        <v>49</v>
      </c>
      <c r="J106" s="37" t="s">
        <v>431</v>
      </c>
    </row>
    <row r="107" ht="14.25" customHeight="1">
      <c r="A107" s="37" t="s">
        <v>499</v>
      </c>
      <c r="B107" s="37" t="s">
        <v>500</v>
      </c>
      <c r="C107" s="38" t="s">
        <v>88</v>
      </c>
      <c r="D107" s="37" t="s">
        <v>501</v>
      </c>
      <c r="F107" s="37" t="s">
        <v>502</v>
      </c>
      <c r="G107" s="37" t="s">
        <v>92</v>
      </c>
      <c r="H107" s="37" t="s">
        <v>128</v>
      </c>
      <c r="I107" s="37" t="s">
        <v>49</v>
      </c>
      <c r="J107" s="37" t="s">
        <v>431</v>
      </c>
    </row>
    <row r="108" ht="14.25" customHeight="1">
      <c r="A108" s="37" t="s">
        <v>503</v>
      </c>
      <c r="B108" s="37" t="s">
        <v>504</v>
      </c>
      <c r="C108" s="38" t="s">
        <v>88</v>
      </c>
      <c r="D108" s="37" t="s">
        <v>505</v>
      </c>
      <c r="F108" s="37" t="s">
        <v>506</v>
      </c>
      <c r="G108" s="37" t="s">
        <v>115</v>
      </c>
      <c r="H108" s="37" t="s">
        <v>128</v>
      </c>
      <c r="I108" s="37" t="s">
        <v>49</v>
      </c>
      <c r="J108" s="37" t="s">
        <v>507</v>
      </c>
    </row>
    <row r="109" ht="14.25" customHeight="1">
      <c r="A109" s="37" t="s">
        <v>508</v>
      </c>
      <c r="B109" s="37" t="s">
        <v>509</v>
      </c>
      <c r="C109" s="38" t="s">
        <v>88</v>
      </c>
      <c r="D109" s="37" t="s">
        <v>510</v>
      </c>
      <c r="E109" s="37" t="s">
        <v>511</v>
      </c>
      <c r="F109" s="37" t="s">
        <v>233</v>
      </c>
      <c r="G109" s="37" t="s">
        <v>115</v>
      </c>
      <c r="I109" s="37" t="s">
        <v>49</v>
      </c>
      <c r="J109" s="37" t="s">
        <v>507</v>
      </c>
    </row>
    <row r="110" ht="14.25" customHeight="1">
      <c r="A110" s="37" t="s">
        <v>512</v>
      </c>
      <c r="B110" s="37" t="s">
        <v>513</v>
      </c>
      <c r="C110" s="38" t="s">
        <v>88</v>
      </c>
      <c r="D110" s="37" t="s">
        <v>207</v>
      </c>
      <c r="E110" s="37" t="s">
        <v>514</v>
      </c>
      <c r="F110" s="37" t="s">
        <v>515</v>
      </c>
      <c r="G110" s="37" t="s">
        <v>92</v>
      </c>
      <c r="I110" s="37" t="s">
        <v>49</v>
      </c>
      <c r="J110" s="37" t="s">
        <v>507</v>
      </c>
    </row>
    <row r="111" ht="14.25" customHeight="1">
      <c r="A111" s="37" t="s">
        <v>516</v>
      </c>
      <c r="B111" s="37" t="s">
        <v>517</v>
      </c>
      <c r="C111" s="38" t="s">
        <v>88</v>
      </c>
      <c r="D111" s="37" t="s">
        <v>518</v>
      </c>
      <c r="E111" s="37" t="s">
        <v>418</v>
      </c>
      <c r="F111" s="37" t="s">
        <v>419</v>
      </c>
      <c r="G111" s="37" t="s">
        <v>115</v>
      </c>
      <c r="H111" s="37" t="s">
        <v>128</v>
      </c>
      <c r="I111" s="37" t="s">
        <v>49</v>
      </c>
      <c r="J111" s="37" t="s">
        <v>507</v>
      </c>
    </row>
    <row r="112" ht="14.25" customHeight="1">
      <c r="A112" s="37" t="s">
        <v>519</v>
      </c>
      <c r="B112" s="37" t="s">
        <v>520</v>
      </c>
      <c r="C112" s="38" t="s">
        <v>88</v>
      </c>
      <c r="D112" s="37" t="s">
        <v>521</v>
      </c>
      <c r="E112" s="37" t="s">
        <v>522</v>
      </c>
      <c r="F112" s="37" t="s">
        <v>523</v>
      </c>
      <c r="G112" s="37" t="s">
        <v>115</v>
      </c>
      <c r="I112" s="37" t="s">
        <v>49</v>
      </c>
      <c r="J112" s="37" t="s">
        <v>507</v>
      </c>
    </row>
    <row r="113" ht="14.25" customHeight="1">
      <c r="A113" s="37" t="s">
        <v>524</v>
      </c>
      <c r="B113" s="37" t="s">
        <v>525</v>
      </c>
      <c r="C113" s="38" t="s">
        <v>88</v>
      </c>
      <c r="D113" s="37" t="s">
        <v>287</v>
      </c>
      <c r="E113" s="37" t="s">
        <v>346</v>
      </c>
      <c r="F113" s="37" t="s">
        <v>526</v>
      </c>
      <c r="G113" s="37" t="s">
        <v>115</v>
      </c>
      <c r="I113" s="37" t="s">
        <v>49</v>
      </c>
      <c r="J113" s="37" t="s">
        <v>507</v>
      </c>
    </row>
    <row r="114" ht="14.25" customHeight="1">
      <c r="A114" s="37" t="s">
        <v>527</v>
      </c>
      <c r="B114" s="37" t="s">
        <v>528</v>
      </c>
      <c r="C114" s="38" t="s">
        <v>88</v>
      </c>
      <c r="D114" s="37" t="s">
        <v>529</v>
      </c>
      <c r="E114" s="37" t="s">
        <v>137</v>
      </c>
      <c r="F114" s="37" t="s">
        <v>530</v>
      </c>
      <c r="G114" s="37" t="s">
        <v>115</v>
      </c>
      <c r="I114" s="37" t="s">
        <v>49</v>
      </c>
      <c r="J114" s="37" t="s">
        <v>507</v>
      </c>
    </row>
    <row r="115" ht="14.25" customHeight="1">
      <c r="A115" s="37" t="s">
        <v>531</v>
      </c>
      <c r="B115" s="37" t="s">
        <v>532</v>
      </c>
      <c r="C115" s="38" t="s">
        <v>88</v>
      </c>
      <c r="D115" s="37" t="s">
        <v>363</v>
      </c>
      <c r="E115" s="37" t="s">
        <v>126</v>
      </c>
      <c r="F115" s="37" t="s">
        <v>393</v>
      </c>
      <c r="G115" s="37" t="s">
        <v>115</v>
      </c>
      <c r="I115" s="37" t="s">
        <v>49</v>
      </c>
      <c r="J115" s="37" t="s">
        <v>507</v>
      </c>
    </row>
    <row r="116" ht="14.25" customHeight="1">
      <c r="A116" s="37" t="s">
        <v>533</v>
      </c>
      <c r="B116" s="37" t="s">
        <v>534</v>
      </c>
      <c r="C116" s="38" t="s">
        <v>88</v>
      </c>
      <c r="D116" s="37" t="s">
        <v>227</v>
      </c>
      <c r="E116" s="37" t="s">
        <v>535</v>
      </c>
      <c r="F116" s="37" t="s">
        <v>536</v>
      </c>
      <c r="G116" s="37" t="s">
        <v>115</v>
      </c>
      <c r="I116" s="37" t="s">
        <v>49</v>
      </c>
      <c r="J116" s="37" t="s">
        <v>507</v>
      </c>
    </row>
    <row r="117" ht="14.25" customHeight="1">
      <c r="A117" s="37" t="s">
        <v>537</v>
      </c>
      <c r="B117" s="37" t="s">
        <v>538</v>
      </c>
      <c r="C117" s="38" t="s">
        <v>88</v>
      </c>
      <c r="D117" s="37" t="s">
        <v>406</v>
      </c>
      <c r="E117" s="37" t="s">
        <v>142</v>
      </c>
      <c r="F117" s="37" t="s">
        <v>142</v>
      </c>
      <c r="G117" s="37" t="s">
        <v>115</v>
      </c>
      <c r="I117" s="37" t="s">
        <v>49</v>
      </c>
      <c r="J117" s="37" t="s">
        <v>507</v>
      </c>
    </row>
    <row r="118" ht="14.25" customHeight="1">
      <c r="A118" s="37" t="s">
        <v>539</v>
      </c>
      <c r="B118" s="37" t="s">
        <v>540</v>
      </c>
      <c r="C118" s="38" t="s">
        <v>88</v>
      </c>
      <c r="D118" s="37" t="s">
        <v>224</v>
      </c>
      <c r="E118" s="37" t="s">
        <v>162</v>
      </c>
      <c r="F118" s="37" t="s">
        <v>541</v>
      </c>
      <c r="G118" s="37" t="s">
        <v>92</v>
      </c>
      <c r="I118" s="37" t="s">
        <v>49</v>
      </c>
      <c r="J118" s="37" t="s">
        <v>507</v>
      </c>
    </row>
    <row r="119" ht="14.25" customHeight="1">
      <c r="A119" s="37" t="s">
        <v>542</v>
      </c>
      <c r="B119" s="37" t="s">
        <v>543</v>
      </c>
      <c r="C119" s="38" t="s">
        <v>88</v>
      </c>
      <c r="D119" s="37" t="s">
        <v>197</v>
      </c>
      <c r="F119" s="37" t="s">
        <v>301</v>
      </c>
      <c r="G119" s="37" t="s">
        <v>115</v>
      </c>
      <c r="I119" s="37" t="s">
        <v>49</v>
      </c>
      <c r="J119" s="37" t="s">
        <v>507</v>
      </c>
    </row>
    <row r="120" ht="14.25" customHeight="1">
      <c r="A120" s="37" t="s">
        <v>544</v>
      </c>
      <c r="B120" s="37" t="s">
        <v>545</v>
      </c>
      <c r="C120" s="38" t="s">
        <v>88</v>
      </c>
      <c r="D120" s="37" t="s">
        <v>429</v>
      </c>
      <c r="E120" s="37" t="s">
        <v>162</v>
      </c>
      <c r="F120" s="37" t="s">
        <v>171</v>
      </c>
      <c r="G120" s="37" t="s">
        <v>115</v>
      </c>
      <c r="I120" s="37" t="s">
        <v>49</v>
      </c>
      <c r="J120" s="37" t="s">
        <v>507</v>
      </c>
    </row>
    <row r="121" ht="14.25" customHeight="1">
      <c r="A121" s="37" t="s">
        <v>546</v>
      </c>
      <c r="B121" s="37" t="s">
        <v>547</v>
      </c>
      <c r="C121" s="38" t="s">
        <v>88</v>
      </c>
      <c r="D121" s="37" t="s">
        <v>125</v>
      </c>
      <c r="E121" s="37" t="s">
        <v>548</v>
      </c>
      <c r="F121" s="37" t="s">
        <v>209</v>
      </c>
      <c r="G121" s="37" t="s">
        <v>115</v>
      </c>
      <c r="I121" s="37" t="s">
        <v>49</v>
      </c>
      <c r="J121" s="37" t="s">
        <v>507</v>
      </c>
    </row>
    <row r="122" ht="14.25" customHeight="1">
      <c r="A122" s="37" t="s">
        <v>549</v>
      </c>
      <c r="B122" s="37" t="s">
        <v>550</v>
      </c>
      <c r="C122" s="38" t="s">
        <v>88</v>
      </c>
      <c r="D122" s="37" t="s">
        <v>551</v>
      </c>
      <c r="F122" s="37" t="s">
        <v>552</v>
      </c>
      <c r="G122" s="37" t="s">
        <v>92</v>
      </c>
      <c r="H122" s="37" t="s">
        <v>128</v>
      </c>
      <c r="I122" s="37" t="s">
        <v>49</v>
      </c>
      <c r="J122" s="37" t="s">
        <v>507</v>
      </c>
    </row>
    <row r="123" ht="14.25" customHeight="1">
      <c r="A123" s="37" t="s">
        <v>553</v>
      </c>
      <c r="B123" s="37" t="s">
        <v>554</v>
      </c>
      <c r="C123" s="38" t="s">
        <v>88</v>
      </c>
      <c r="D123" s="37" t="s">
        <v>555</v>
      </c>
      <c r="E123" s="37" t="s">
        <v>142</v>
      </c>
      <c r="F123" s="37" t="s">
        <v>556</v>
      </c>
      <c r="G123" s="37" t="s">
        <v>115</v>
      </c>
      <c r="I123" s="37" t="s">
        <v>49</v>
      </c>
      <c r="J123" s="37" t="s">
        <v>507</v>
      </c>
    </row>
    <row r="124" ht="14.25" customHeight="1">
      <c r="A124" s="37" t="s">
        <v>557</v>
      </c>
      <c r="B124" s="37" t="s">
        <v>558</v>
      </c>
      <c r="C124" s="38" t="s">
        <v>88</v>
      </c>
      <c r="D124" s="37" t="s">
        <v>283</v>
      </c>
      <c r="E124" s="37" t="s">
        <v>204</v>
      </c>
      <c r="F124" s="37" t="s">
        <v>189</v>
      </c>
      <c r="G124" s="37" t="s">
        <v>115</v>
      </c>
      <c r="I124" s="37" t="s">
        <v>559</v>
      </c>
      <c r="J124" s="37" t="s">
        <v>507</v>
      </c>
    </row>
    <row r="125" ht="14.25" customHeight="1">
      <c r="A125" s="37" t="s">
        <v>560</v>
      </c>
      <c r="B125" s="37" t="s">
        <v>561</v>
      </c>
      <c r="C125" s="38" t="s">
        <v>88</v>
      </c>
      <c r="D125" s="37" t="s">
        <v>276</v>
      </c>
      <c r="E125" s="37" t="s">
        <v>101</v>
      </c>
      <c r="F125" s="37" t="s">
        <v>562</v>
      </c>
      <c r="G125" s="37" t="s">
        <v>115</v>
      </c>
      <c r="I125" s="37" t="s">
        <v>559</v>
      </c>
      <c r="J125" s="37" t="s">
        <v>507</v>
      </c>
    </row>
    <row r="126" ht="14.25" customHeight="1">
      <c r="A126" s="37" t="s">
        <v>563</v>
      </c>
      <c r="B126" s="37" t="s">
        <v>564</v>
      </c>
      <c r="C126" s="38" t="s">
        <v>88</v>
      </c>
      <c r="D126" s="37" t="s">
        <v>363</v>
      </c>
      <c r="E126" s="37" t="s">
        <v>565</v>
      </c>
      <c r="F126" s="37" t="s">
        <v>189</v>
      </c>
      <c r="G126" s="37" t="s">
        <v>115</v>
      </c>
      <c r="I126" s="37" t="s">
        <v>559</v>
      </c>
      <c r="J126" s="37" t="s">
        <v>507</v>
      </c>
    </row>
    <row r="127" ht="14.25" customHeight="1">
      <c r="A127" s="37" t="s">
        <v>566</v>
      </c>
      <c r="B127" s="37" t="s">
        <v>567</v>
      </c>
      <c r="C127" s="38" t="s">
        <v>88</v>
      </c>
      <c r="D127" s="37" t="s">
        <v>568</v>
      </c>
      <c r="F127" s="37" t="s">
        <v>398</v>
      </c>
      <c r="G127" s="37" t="s">
        <v>115</v>
      </c>
      <c r="H127" s="37" t="s">
        <v>128</v>
      </c>
      <c r="I127" s="37" t="s">
        <v>559</v>
      </c>
      <c r="J127" s="37" t="s">
        <v>507</v>
      </c>
    </row>
    <row r="128" ht="14.25" customHeight="1">
      <c r="A128" s="37" t="s">
        <v>569</v>
      </c>
      <c r="B128" s="37" t="s">
        <v>570</v>
      </c>
      <c r="C128" s="38" t="s">
        <v>88</v>
      </c>
      <c r="D128" s="37" t="s">
        <v>571</v>
      </c>
      <c r="F128" s="37" t="s">
        <v>217</v>
      </c>
      <c r="G128" s="37" t="s">
        <v>115</v>
      </c>
      <c r="I128" s="37" t="s">
        <v>559</v>
      </c>
      <c r="J128" s="37" t="s">
        <v>507</v>
      </c>
    </row>
    <row r="129" ht="14.25" customHeight="1">
      <c r="A129" s="37" t="s">
        <v>572</v>
      </c>
      <c r="B129" s="37" t="s">
        <v>573</v>
      </c>
      <c r="C129" s="38" t="s">
        <v>88</v>
      </c>
      <c r="D129" s="37" t="s">
        <v>227</v>
      </c>
      <c r="F129" s="37" t="s">
        <v>574</v>
      </c>
      <c r="G129" s="37" t="s">
        <v>92</v>
      </c>
      <c r="H129" s="37" t="s">
        <v>128</v>
      </c>
      <c r="I129" s="37" t="s">
        <v>559</v>
      </c>
      <c r="J129" s="37" t="s">
        <v>507</v>
      </c>
    </row>
    <row r="130" ht="14.25" customHeight="1">
      <c r="A130" s="37" t="s">
        <v>575</v>
      </c>
      <c r="B130" s="37" t="s">
        <v>576</v>
      </c>
      <c r="C130" s="38" t="s">
        <v>88</v>
      </c>
      <c r="D130" s="37" t="s">
        <v>207</v>
      </c>
      <c r="E130" s="37" t="s">
        <v>577</v>
      </c>
      <c r="F130" s="37" t="s">
        <v>217</v>
      </c>
      <c r="G130" s="37" t="s">
        <v>92</v>
      </c>
      <c r="I130" s="37" t="s">
        <v>578</v>
      </c>
      <c r="J130" s="26" t="s">
        <v>269</v>
      </c>
    </row>
    <row r="131" ht="14.25" customHeight="1">
      <c r="A131" s="37" t="s">
        <v>579</v>
      </c>
      <c r="B131" s="37" t="s">
        <v>580</v>
      </c>
      <c r="C131" s="38" t="s">
        <v>88</v>
      </c>
      <c r="D131" s="37" t="s">
        <v>113</v>
      </c>
      <c r="E131" s="37" t="s">
        <v>581</v>
      </c>
      <c r="F131" s="37" t="s">
        <v>582</v>
      </c>
      <c r="G131" s="37" t="s">
        <v>92</v>
      </c>
      <c r="H131" s="37" t="s">
        <v>128</v>
      </c>
      <c r="I131" s="37" t="s">
        <v>578</v>
      </c>
      <c r="J131" s="26" t="s">
        <v>269</v>
      </c>
    </row>
    <row r="132" ht="13.5" customHeight="1">
      <c r="A132" s="37" t="s">
        <v>583</v>
      </c>
      <c r="B132" s="37" t="s">
        <v>584</v>
      </c>
      <c r="C132" s="38" t="s">
        <v>88</v>
      </c>
      <c r="D132" s="37" t="s">
        <v>283</v>
      </c>
      <c r="F132" s="37" t="s">
        <v>209</v>
      </c>
      <c r="G132" s="37" t="s">
        <v>92</v>
      </c>
      <c r="I132" s="37" t="s">
        <v>578</v>
      </c>
      <c r="J132" s="26" t="s">
        <v>269</v>
      </c>
    </row>
    <row r="133" ht="14.25" customHeight="1">
      <c r="A133" s="37" t="s">
        <v>585</v>
      </c>
      <c r="B133" s="37" t="s">
        <v>586</v>
      </c>
      <c r="C133" s="38" t="s">
        <v>88</v>
      </c>
      <c r="D133" s="37" t="s">
        <v>587</v>
      </c>
      <c r="E133" s="37" t="s">
        <v>137</v>
      </c>
      <c r="F133" s="37" t="s">
        <v>588</v>
      </c>
      <c r="G133" s="37" t="s">
        <v>92</v>
      </c>
      <c r="H133" s="37" t="s">
        <v>128</v>
      </c>
      <c r="I133" s="37" t="s">
        <v>578</v>
      </c>
      <c r="J133" s="26" t="s">
        <v>269</v>
      </c>
    </row>
    <row r="134" ht="14.25" customHeight="1">
      <c r="A134" s="37" t="s">
        <v>589</v>
      </c>
      <c r="B134" s="37" t="s">
        <v>590</v>
      </c>
      <c r="C134" s="38" t="s">
        <v>88</v>
      </c>
      <c r="D134" s="37" t="s">
        <v>283</v>
      </c>
      <c r="E134" s="37" t="s">
        <v>591</v>
      </c>
      <c r="F134" s="37" t="s">
        <v>217</v>
      </c>
      <c r="G134" s="37" t="s">
        <v>92</v>
      </c>
      <c r="H134" s="37" t="s">
        <v>128</v>
      </c>
      <c r="I134" s="37" t="s">
        <v>578</v>
      </c>
      <c r="J134" s="26" t="s">
        <v>269</v>
      </c>
    </row>
    <row r="135" ht="14.25" customHeight="1">
      <c r="A135" s="37" t="s">
        <v>592</v>
      </c>
      <c r="B135" s="37" t="s">
        <v>593</v>
      </c>
      <c r="C135" s="38" t="s">
        <v>88</v>
      </c>
      <c r="D135" s="37" t="s">
        <v>594</v>
      </c>
      <c r="F135" s="37" t="s">
        <v>209</v>
      </c>
      <c r="G135" s="37" t="s">
        <v>92</v>
      </c>
      <c r="H135" s="37" t="s">
        <v>128</v>
      </c>
      <c r="I135" s="37" t="s">
        <v>578</v>
      </c>
      <c r="J135" s="26" t="s">
        <v>269</v>
      </c>
    </row>
    <row r="136" ht="14.25" customHeight="1">
      <c r="A136" s="37" t="s">
        <v>595</v>
      </c>
      <c r="B136" s="37" t="s">
        <v>596</v>
      </c>
      <c r="C136" s="38" t="s">
        <v>88</v>
      </c>
      <c r="D136" s="37" t="s">
        <v>409</v>
      </c>
      <c r="E136" s="37" t="s">
        <v>101</v>
      </c>
      <c r="F136" s="37" t="s">
        <v>102</v>
      </c>
      <c r="G136" s="37" t="s">
        <v>92</v>
      </c>
      <c r="H136" s="37" t="s">
        <v>128</v>
      </c>
      <c r="I136" s="37" t="s">
        <v>578</v>
      </c>
      <c r="J136" s="26" t="s">
        <v>269</v>
      </c>
    </row>
    <row r="137" ht="14.25" customHeight="1">
      <c r="A137" s="37" t="s">
        <v>597</v>
      </c>
      <c r="B137" s="37" t="s">
        <v>598</v>
      </c>
      <c r="C137" s="38" t="s">
        <v>88</v>
      </c>
      <c r="D137" s="37" t="s">
        <v>599</v>
      </c>
      <c r="F137" s="37" t="s">
        <v>600</v>
      </c>
      <c r="G137" s="37" t="s">
        <v>92</v>
      </c>
      <c r="I137" s="37" t="s">
        <v>578</v>
      </c>
      <c r="J137" s="26" t="s">
        <v>269</v>
      </c>
    </row>
    <row r="138" ht="14.25" customHeight="1">
      <c r="A138" s="37" t="s">
        <v>601</v>
      </c>
      <c r="B138" s="37" t="s">
        <v>602</v>
      </c>
      <c r="C138" s="38" t="s">
        <v>88</v>
      </c>
      <c r="D138" s="37" t="s">
        <v>197</v>
      </c>
      <c r="F138" s="37" t="s">
        <v>603</v>
      </c>
      <c r="G138" s="37" t="s">
        <v>92</v>
      </c>
      <c r="I138" s="37" t="s">
        <v>578</v>
      </c>
      <c r="J138" s="26" t="s">
        <v>269</v>
      </c>
    </row>
    <row r="139" ht="14.25" customHeight="1">
      <c r="A139" s="37" t="s">
        <v>604</v>
      </c>
      <c r="B139" s="37" t="s">
        <v>605</v>
      </c>
      <c r="C139" s="38" t="s">
        <v>88</v>
      </c>
      <c r="D139" s="37" t="s">
        <v>501</v>
      </c>
      <c r="E139" s="37" t="s">
        <v>346</v>
      </c>
      <c r="F139" s="37" t="s">
        <v>138</v>
      </c>
      <c r="G139" s="37" t="s">
        <v>92</v>
      </c>
      <c r="I139" s="37" t="s">
        <v>578</v>
      </c>
      <c r="J139" s="26" t="s">
        <v>269</v>
      </c>
    </row>
    <row r="140" ht="14.25" customHeight="1">
      <c r="A140" s="37" t="s">
        <v>606</v>
      </c>
      <c r="B140" s="37" t="s">
        <v>607</v>
      </c>
      <c r="C140" s="38" t="s">
        <v>88</v>
      </c>
      <c r="D140" s="37" t="s">
        <v>283</v>
      </c>
      <c r="F140" s="37" t="s">
        <v>608</v>
      </c>
      <c r="G140" s="37" t="s">
        <v>92</v>
      </c>
      <c r="I140" s="37" t="s">
        <v>76</v>
      </c>
      <c r="J140" s="26" t="s">
        <v>261</v>
      </c>
    </row>
    <row r="141" ht="14.25" customHeight="1">
      <c r="A141" s="37" t="s">
        <v>609</v>
      </c>
      <c r="B141" s="37" t="s">
        <v>610</v>
      </c>
      <c r="C141" s="38" t="s">
        <v>88</v>
      </c>
      <c r="D141" s="37" t="s">
        <v>295</v>
      </c>
      <c r="F141" s="37" t="s">
        <v>515</v>
      </c>
      <c r="G141" s="37" t="s">
        <v>92</v>
      </c>
      <c r="I141" s="37" t="s">
        <v>76</v>
      </c>
      <c r="J141" s="26" t="s">
        <v>261</v>
      </c>
    </row>
    <row r="142" ht="14.25" customHeight="1">
      <c r="A142" s="37" t="s">
        <v>546</v>
      </c>
      <c r="B142" s="37" t="s">
        <v>547</v>
      </c>
      <c r="C142" s="38" t="s">
        <v>88</v>
      </c>
      <c r="D142" s="37" t="s">
        <v>125</v>
      </c>
      <c r="E142" s="37" t="s">
        <v>548</v>
      </c>
      <c r="F142" s="37" t="s">
        <v>209</v>
      </c>
      <c r="G142" s="37" t="s">
        <v>115</v>
      </c>
      <c r="H142" s="37" t="s">
        <v>611</v>
      </c>
      <c r="I142" s="37" t="s">
        <v>612</v>
      </c>
      <c r="J142" s="26" t="s">
        <v>613</v>
      </c>
    </row>
    <row r="143" ht="14.25" customHeight="1">
      <c r="A143" s="37" t="s">
        <v>274</v>
      </c>
      <c r="B143" s="37" t="s">
        <v>275</v>
      </c>
      <c r="C143" s="38" t="s">
        <v>88</v>
      </c>
      <c r="D143" s="37" t="s">
        <v>276</v>
      </c>
      <c r="F143" s="37" t="s">
        <v>110</v>
      </c>
      <c r="G143" s="37" t="s">
        <v>92</v>
      </c>
      <c r="H143" s="37" t="s">
        <v>611</v>
      </c>
      <c r="I143" s="26" t="s">
        <v>612</v>
      </c>
      <c r="J143" s="26" t="s">
        <v>613</v>
      </c>
    </row>
    <row r="144" ht="14.25" customHeight="1">
      <c r="A144" s="39" t="s">
        <v>614</v>
      </c>
      <c r="B144" s="39" t="s">
        <v>615</v>
      </c>
      <c r="C144" s="40" t="s">
        <v>616</v>
      </c>
      <c r="D144" s="39" t="s">
        <v>617</v>
      </c>
      <c r="E144" s="39" t="s">
        <v>618</v>
      </c>
      <c r="F144" s="39" t="s">
        <v>619</v>
      </c>
      <c r="G144" s="39" t="s">
        <v>92</v>
      </c>
      <c r="H144" s="39" t="s">
        <v>620</v>
      </c>
      <c r="I144" s="41"/>
      <c r="J144" s="39" t="s">
        <v>431</v>
      </c>
    </row>
    <row r="145" ht="14.25" customHeight="1">
      <c r="A145" s="39" t="s">
        <v>621</v>
      </c>
      <c r="B145" s="39" t="s">
        <v>622</v>
      </c>
      <c r="C145" s="40" t="s">
        <v>616</v>
      </c>
      <c r="D145" s="39" t="s">
        <v>623</v>
      </c>
      <c r="E145" s="39" t="s">
        <v>624</v>
      </c>
      <c r="F145" s="39" t="s">
        <v>189</v>
      </c>
      <c r="G145" s="39" t="s">
        <v>115</v>
      </c>
      <c r="H145" s="39" t="s">
        <v>620</v>
      </c>
      <c r="I145" s="41"/>
      <c r="J145" s="39" t="s">
        <v>431</v>
      </c>
    </row>
    <row r="146" ht="14.25" customHeight="1">
      <c r="A146" s="39" t="s">
        <v>625</v>
      </c>
      <c r="B146" s="39" t="s">
        <v>626</v>
      </c>
      <c r="C146" s="40" t="s">
        <v>616</v>
      </c>
      <c r="D146" s="39" t="s">
        <v>409</v>
      </c>
      <c r="E146" s="39" t="s">
        <v>101</v>
      </c>
      <c r="F146" s="39" t="s">
        <v>627</v>
      </c>
      <c r="G146" s="39" t="s">
        <v>115</v>
      </c>
      <c r="H146" s="39" t="s">
        <v>620</v>
      </c>
      <c r="I146" s="41"/>
      <c r="J146" s="39" t="s">
        <v>431</v>
      </c>
    </row>
    <row r="147" ht="14.25" customHeight="1">
      <c r="A147" s="39" t="s">
        <v>628</v>
      </c>
      <c r="B147" s="39" t="s">
        <v>629</v>
      </c>
      <c r="C147" s="40" t="s">
        <v>616</v>
      </c>
      <c r="D147" s="39" t="s">
        <v>630</v>
      </c>
      <c r="E147" s="39" t="s">
        <v>631</v>
      </c>
      <c r="F147" s="39" t="s">
        <v>221</v>
      </c>
      <c r="G147" s="39" t="s">
        <v>115</v>
      </c>
      <c r="H147" s="39" t="s">
        <v>620</v>
      </c>
      <c r="I147" s="41"/>
      <c r="J147" s="39" t="s">
        <v>507</v>
      </c>
    </row>
    <row r="148" ht="14.25" customHeight="1">
      <c r="A148" s="39" t="s">
        <v>632</v>
      </c>
      <c r="B148" s="39" t="s">
        <v>633</v>
      </c>
      <c r="C148" s="40" t="s">
        <v>616</v>
      </c>
      <c r="D148" s="39" t="s">
        <v>179</v>
      </c>
      <c r="E148" s="39" t="s">
        <v>198</v>
      </c>
      <c r="F148" s="39" t="s">
        <v>634</v>
      </c>
      <c r="G148" s="39" t="s">
        <v>115</v>
      </c>
      <c r="H148" s="39" t="s">
        <v>620</v>
      </c>
      <c r="I148" s="41"/>
      <c r="J148" s="39" t="s">
        <v>507</v>
      </c>
    </row>
    <row r="149" ht="14.25" customHeight="1">
      <c r="A149" s="39" t="s">
        <v>635</v>
      </c>
      <c r="B149" s="39" t="s">
        <v>636</v>
      </c>
      <c r="C149" s="40" t="s">
        <v>616</v>
      </c>
      <c r="D149" s="39" t="s">
        <v>637</v>
      </c>
      <c r="E149" s="39" t="s">
        <v>638</v>
      </c>
      <c r="F149" s="39" t="s">
        <v>639</v>
      </c>
      <c r="G149" s="39" t="s">
        <v>115</v>
      </c>
      <c r="H149" s="39" t="s">
        <v>620</v>
      </c>
      <c r="I149" s="41"/>
      <c r="J149" s="39" t="s">
        <v>347</v>
      </c>
    </row>
    <row r="150" ht="14.25" customHeight="1">
      <c r="A150" s="39" t="s">
        <v>640</v>
      </c>
      <c r="B150" s="39" t="s">
        <v>641</v>
      </c>
      <c r="C150" s="40" t="s">
        <v>616</v>
      </c>
      <c r="D150" s="39" t="s">
        <v>617</v>
      </c>
      <c r="E150" s="39" t="s">
        <v>642</v>
      </c>
      <c r="F150" s="39" t="s">
        <v>307</v>
      </c>
      <c r="G150" s="39" t="s">
        <v>115</v>
      </c>
      <c r="H150" s="39" t="s">
        <v>620</v>
      </c>
      <c r="I150" s="41"/>
      <c r="J150" s="39" t="s">
        <v>347</v>
      </c>
    </row>
    <row r="151" ht="14.25" customHeight="1">
      <c r="A151" s="39" t="s">
        <v>643</v>
      </c>
      <c r="B151" s="39" t="s">
        <v>644</v>
      </c>
      <c r="C151" s="40" t="s">
        <v>616</v>
      </c>
      <c r="D151" s="39" t="s">
        <v>645</v>
      </c>
      <c r="E151" s="39" t="s">
        <v>646</v>
      </c>
      <c r="F151" s="39" t="s">
        <v>233</v>
      </c>
      <c r="G151" s="39" t="s">
        <v>115</v>
      </c>
      <c r="H151" s="39" t="s">
        <v>620</v>
      </c>
      <c r="I151" s="41"/>
      <c r="J151" s="39" t="s">
        <v>347</v>
      </c>
    </row>
    <row r="152" ht="14.25" customHeight="1">
      <c r="A152" s="39" t="s">
        <v>647</v>
      </c>
      <c r="B152" s="39" t="s">
        <v>648</v>
      </c>
      <c r="C152" s="40" t="s">
        <v>616</v>
      </c>
      <c r="D152" s="39" t="s">
        <v>224</v>
      </c>
      <c r="E152" s="39" t="s">
        <v>418</v>
      </c>
      <c r="F152" s="39" t="s">
        <v>189</v>
      </c>
      <c r="G152" s="39" t="s">
        <v>115</v>
      </c>
      <c r="H152" s="39" t="s">
        <v>620</v>
      </c>
      <c r="I152" s="41"/>
      <c r="J152" s="39" t="s">
        <v>347</v>
      </c>
    </row>
    <row r="153" ht="14.25" customHeight="1">
      <c r="A153" s="39" t="s">
        <v>649</v>
      </c>
      <c r="B153" s="39" t="s">
        <v>650</v>
      </c>
      <c r="C153" s="40" t="s">
        <v>616</v>
      </c>
      <c r="D153" s="39" t="s">
        <v>166</v>
      </c>
      <c r="E153" s="39" t="s">
        <v>651</v>
      </c>
      <c r="F153" s="39" t="s">
        <v>189</v>
      </c>
      <c r="G153" s="39" t="s">
        <v>115</v>
      </c>
      <c r="H153" s="39" t="s">
        <v>620</v>
      </c>
      <c r="I153" s="41"/>
      <c r="J153" s="39" t="s">
        <v>347</v>
      </c>
    </row>
    <row r="154" ht="14.25" customHeight="1">
      <c r="A154" s="39" t="s">
        <v>652</v>
      </c>
      <c r="B154" s="39" t="s">
        <v>653</v>
      </c>
      <c r="C154" s="40" t="s">
        <v>616</v>
      </c>
      <c r="D154" s="39" t="s">
        <v>654</v>
      </c>
      <c r="E154" s="39" t="s">
        <v>655</v>
      </c>
      <c r="F154" s="39" t="s">
        <v>656</v>
      </c>
      <c r="G154" s="39" t="s">
        <v>115</v>
      </c>
      <c r="H154" s="39" t="s">
        <v>620</v>
      </c>
      <c r="I154" s="41"/>
      <c r="J154" s="39" t="s">
        <v>181</v>
      </c>
    </row>
    <row r="155" ht="14.25" customHeight="1">
      <c r="A155" s="39" t="s">
        <v>657</v>
      </c>
      <c r="B155" s="39" t="s">
        <v>658</v>
      </c>
      <c r="C155" s="40" t="s">
        <v>616</v>
      </c>
      <c r="D155" s="39" t="s">
        <v>617</v>
      </c>
      <c r="E155" s="39" t="s">
        <v>659</v>
      </c>
      <c r="F155" s="39" t="s">
        <v>385</v>
      </c>
      <c r="G155" s="39" t="s">
        <v>92</v>
      </c>
      <c r="H155" s="39" t="s">
        <v>620</v>
      </c>
      <c r="I155" s="41"/>
      <c r="J155" s="39" t="s">
        <v>181</v>
      </c>
    </row>
    <row r="156" ht="14.25" customHeight="1">
      <c r="A156" s="39" t="s">
        <v>660</v>
      </c>
      <c r="B156" s="39" t="s">
        <v>661</v>
      </c>
      <c r="C156" s="40" t="s">
        <v>616</v>
      </c>
      <c r="D156" s="39" t="s">
        <v>594</v>
      </c>
      <c r="F156" s="39" t="s">
        <v>662</v>
      </c>
      <c r="G156" s="39" t="s">
        <v>92</v>
      </c>
      <c r="H156" s="39" t="s">
        <v>620</v>
      </c>
      <c r="I156" s="41"/>
      <c r="J156" s="39" t="s">
        <v>181</v>
      </c>
    </row>
    <row r="157" ht="14.25" customHeight="1">
      <c r="A157" s="39" t="s">
        <v>663</v>
      </c>
      <c r="B157" s="39" t="s">
        <v>664</v>
      </c>
      <c r="C157" s="40" t="s">
        <v>616</v>
      </c>
      <c r="D157" s="39" t="s">
        <v>367</v>
      </c>
      <c r="E157" s="39" t="s">
        <v>665</v>
      </c>
      <c r="F157" s="39" t="s">
        <v>280</v>
      </c>
      <c r="G157" s="39" t="s">
        <v>115</v>
      </c>
      <c r="H157" s="39" t="s">
        <v>620</v>
      </c>
      <c r="I157" s="41"/>
      <c r="J157" s="39" t="s">
        <v>181</v>
      </c>
    </row>
    <row r="158" ht="14.25" customHeight="1">
      <c r="A158" s="39" t="s">
        <v>666</v>
      </c>
      <c r="B158" s="39" t="s">
        <v>667</v>
      </c>
      <c r="C158" s="40" t="s">
        <v>616</v>
      </c>
      <c r="D158" s="39" t="s">
        <v>170</v>
      </c>
      <c r="F158" s="39" t="s">
        <v>209</v>
      </c>
      <c r="G158" s="39" t="s">
        <v>92</v>
      </c>
      <c r="H158" s="39" t="s">
        <v>620</v>
      </c>
      <c r="I158" s="41"/>
      <c r="J158" s="39" t="s">
        <v>181</v>
      </c>
    </row>
    <row r="159" ht="14.25" customHeight="1">
      <c r="A159" s="39" t="s">
        <v>668</v>
      </c>
      <c r="B159" s="39" t="s">
        <v>669</v>
      </c>
      <c r="C159" s="40" t="s">
        <v>616</v>
      </c>
      <c r="D159" s="39" t="s">
        <v>287</v>
      </c>
      <c r="F159" s="39" t="s">
        <v>627</v>
      </c>
      <c r="G159" s="39" t="s">
        <v>115</v>
      </c>
      <c r="H159" s="39" t="s">
        <v>128</v>
      </c>
      <c r="J159" s="39" t="s">
        <v>507</v>
      </c>
    </row>
    <row r="160" ht="14.25" customHeight="1">
      <c r="A160" s="39" t="s">
        <v>670</v>
      </c>
      <c r="B160" s="39" t="s">
        <v>671</v>
      </c>
      <c r="C160" s="40" t="s">
        <v>616</v>
      </c>
      <c r="D160" s="39" t="s">
        <v>555</v>
      </c>
      <c r="E160" s="39" t="s">
        <v>198</v>
      </c>
      <c r="F160" s="39" t="s">
        <v>672</v>
      </c>
      <c r="G160" s="39" t="s">
        <v>115</v>
      </c>
      <c r="H160" s="39" t="s">
        <v>620</v>
      </c>
      <c r="I160" s="41"/>
      <c r="J160" s="39" t="s">
        <v>269</v>
      </c>
    </row>
    <row r="161" ht="14.25" customHeight="1">
      <c r="A161" s="39" t="s">
        <v>673</v>
      </c>
      <c r="B161" s="39" t="s">
        <v>674</v>
      </c>
      <c r="C161" s="40" t="s">
        <v>616</v>
      </c>
      <c r="D161" s="39" t="s">
        <v>141</v>
      </c>
      <c r="E161" s="39" t="s">
        <v>675</v>
      </c>
      <c r="F161" s="39" t="s">
        <v>189</v>
      </c>
      <c r="G161" s="39" t="s">
        <v>115</v>
      </c>
      <c r="H161" s="39" t="s">
        <v>620</v>
      </c>
      <c r="I161" s="41"/>
      <c r="J161" s="39" t="s">
        <v>269</v>
      </c>
    </row>
    <row r="162" ht="14.25" customHeight="1">
      <c r="A162" s="39" t="s">
        <v>676</v>
      </c>
      <c r="B162" s="39" t="s">
        <v>677</v>
      </c>
      <c r="C162" s="40" t="s">
        <v>616</v>
      </c>
      <c r="D162" s="39" t="s">
        <v>678</v>
      </c>
      <c r="E162" s="39" t="s">
        <v>137</v>
      </c>
      <c r="F162" s="39" t="s">
        <v>588</v>
      </c>
      <c r="G162" s="39" t="s">
        <v>115</v>
      </c>
      <c r="H162" s="39" t="s">
        <v>620</v>
      </c>
      <c r="I162" s="41"/>
      <c r="J162" s="39" t="s">
        <v>269</v>
      </c>
    </row>
    <row r="163" ht="14.25" customHeight="1">
      <c r="A163" s="39" t="s">
        <v>679</v>
      </c>
      <c r="B163" s="39" t="s">
        <v>680</v>
      </c>
      <c r="C163" s="40" t="s">
        <v>616</v>
      </c>
      <c r="D163" s="39" t="s">
        <v>367</v>
      </c>
      <c r="E163" s="39" t="s">
        <v>681</v>
      </c>
      <c r="F163" s="39" t="s">
        <v>189</v>
      </c>
      <c r="G163" s="39" t="s">
        <v>115</v>
      </c>
      <c r="H163" s="39" t="s">
        <v>620</v>
      </c>
      <c r="I163" s="41"/>
      <c r="J163" s="39" t="s">
        <v>269</v>
      </c>
    </row>
    <row r="164" ht="14.25" customHeight="1">
      <c r="A164" s="39" t="s">
        <v>682</v>
      </c>
      <c r="B164" s="39" t="s">
        <v>683</v>
      </c>
      <c r="C164" s="40" t="s">
        <v>616</v>
      </c>
      <c r="D164" s="39" t="s">
        <v>587</v>
      </c>
      <c r="E164" s="39" t="s">
        <v>684</v>
      </c>
      <c r="F164" s="39" t="s">
        <v>685</v>
      </c>
      <c r="G164" s="39" t="s">
        <v>115</v>
      </c>
      <c r="H164" s="39" t="s">
        <v>620</v>
      </c>
      <c r="I164" s="41"/>
      <c r="J164" s="39" t="s">
        <v>93</v>
      </c>
    </row>
    <row r="165" ht="14.25" customHeight="1">
      <c r="A165" s="39" t="s">
        <v>686</v>
      </c>
      <c r="B165" s="39" t="s">
        <v>687</v>
      </c>
      <c r="C165" s="40" t="s">
        <v>616</v>
      </c>
      <c r="D165" s="39" t="s">
        <v>417</v>
      </c>
      <c r="E165" s="39" t="s">
        <v>688</v>
      </c>
      <c r="F165" s="39" t="s">
        <v>142</v>
      </c>
      <c r="G165" s="39" t="s">
        <v>115</v>
      </c>
      <c r="H165" s="39" t="s">
        <v>620</v>
      </c>
      <c r="I165" s="41"/>
      <c r="J165" s="39" t="s">
        <v>93</v>
      </c>
    </row>
    <row r="166" ht="14.25" customHeight="1">
      <c r="A166" s="39" t="s">
        <v>689</v>
      </c>
      <c r="B166" s="39" t="s">
        <v>690</v>
      </c>
      <c r="C166" s="40" t="s">
        <v>616</v>
      </c>
      <c r="D166" s="39" t="s">
        <v>256</v>
      </c>
      <c r="E166" s="39" t="s">
        <v>691</v>
      </c>
      <c r="F166" s="39" t="s">
        <v>244</v>
      </c>
      <c r="G166" s="39" t="s">
        <v>115</v>
      </c>
      <c r="H166" s="39" t="s">
        <v>620</v>
      </c>
      <c r="I166" s="41"/>
      <c r="J166" s="39" t="s">
        <v>93</v>
      </c>
    </row>
    <row r="167" ht="14.25" customHeight="1">
      <c r="A167" s="39" t="s">
        <v>692</v>
      </c>
      <c r="B167" s="39" t="s">
        <v>693</v>
      </c>
      <c r="C167" s="40" t="s">
        <v>616</v>
      </c>
      <c r="D167" s="39" t="s">
        <v>215</v>
      </c>
      <c r="E167" s="39" t="s">
        <v>694</v>
      </c>
      <c r="F167" s="39" t="s">
        <v>695</v>
      </c>
      <c r="G167" s="39" t="s">
        <v>115</v>
      </c>
      <c r="H167" s="39" t="s">
        <v>620</v>
      </c>
      <c r="I167" s="41"/>
      <c r="J167" s="39" t="s">
        <v>347</v>
      </c>
    </row>
    <row r="168" ht="14.25" customHeight="1">
      <c r="A168" s="39" t="s">
        <v>696</v>
      </c>
      <c r="B168" s="39" t="s">
        <v>697</v>
      </c>
      <c r="C168" s="40" t="s">
        <v>616</v>
      </c>
      <c r="D168" s="39" t="s">
        <v>100</v>
      </c>
      <c r="E168" s="39" t="s">
        <v>698</v>
      </c>
      <c r="F168" s="39" t="s">
        <v>260</v>
      </c>
      <c r="G168" s="39" t="s">
        <v>115</v>
      </c>
      <c r="H168" s="39" t="s">
        <v>620</v>
      </c>
      <c r="I168" s="41"/>
      <c r="J168" s="39" t="s">
        <v>507</v>
      </c>
    </row>
    <row r="169" ht="14.25" customHeight="1">
      <c r="A169" s="39" t="s">
        <v>699</v>
      </c>
      <c r="B169" s="39" t="s">
        <v>700</v>
      </c>
      <c r="C169" s="40" t="s">
        <v>616</v>
      </c>
      <c r="D169" s="39" t="s">
        <v>256</v>
      </c>
      <c r="E169" s="39" t="s">
        <v>701</v>
      </c>
      <c r="F169" s="39" t="s">
        <v>702</v>
      </c>
      <c r="G169" s="39" t="s">
        <v>92</v>
      </c>
      <c r="H169" s="39" t="s">
        <v>128</v>
      </c>
      <c r="J169" s="39" t="s">
        <v>507</v>
      </c>
    </row>
    <row r="170" ht="14.25" customHeight="1">
      <c r="A170" s="39" t="s">
        <v>703</v>
      </c>
      <c r="B170" s="39" t="s">
        <v>704</v>
      </c>
      <c r="C170" s="40" t="s">
        <v>616</v>
      </c>
      <c r="D170" s="39" t="s">
        <v>264</v>
      </c>
      <c r="E170" s="39" t="s">
        <v>705</v>
      </c>
      <c r="F170" s="39" t="s">
        <v>142</v>
      </c>
      <c r="G170" s="39" t="s">
        <v>115</v>
      </c>
      <c r="H170" s="39" t="s">
        <v>620</v>
      </c>
      <c r="I170" s="41"/>
      <c r="J170" s="39" t="s">
        <v>181</v>
      </c>
    </row>
    <row r="171" ht="14.25" customHeight="1">
      <c r="A171" s="39" t="s">
        <v>706</v>
      </c>
      <c r="B171" s="39" t="s">
        <v>707</v>
      </c>
      <c r="C171" s="40" t="s">
        <v>616</v>
      </c>
      <c r="D171" s="39" t="s">
        <v>708</v>
      </c>
      <c r="E171" s="39" t="s">
        <v>198</v>
      </c>
      <c r="F171" s="39" t="s">
        <v>189</v>
      </c>
      <c r="G171" s="39" t="s">
        <v>115</v>
      </c>
      <c r="H171" s="39" t="s">
        <v>620</v>
      </c>
      <c r="I171" s="41"/>
      <c r="J171" s="39" t="s">
        <v>181</v>
      </c>
    </row>
    <row r="172" ht="14.25" customHeight="1">
      <c r="A172" s="39" t="s">
        <v>709</v>
      </c>
      <c r="B172" s="39" t="s">
        <v>710</v>
      </c>
      <c r="C172" s="40" t="s">
        <v>616</v>
      </c>
      <c r="D172" s="39" t="s">
        <v>587</v>
      </c>
      <c r="E172" s="39" t="s">
        <v>711</v>
      </c>
      <c r="F172" s="39" t="s">
        <v>221</v>
      </c>
      <c r="G172" s="39" t="s">
        <v>115</v>
      </c>
      <c r="H172" s="39" t="s">
        <v>620</v>
      </c>
      <c r="I172" s="41"/>
      <c r="J172" s="39" t="s">
        <v>181</v>
      </c>
    </row>
    <row r="173" ht="14.25" customHeight="1">
      <c r="A173" s="39" t="s">
        <v>712</v>
      </c>
      <c r="B173" s="39" t="s">
        <v>713</v>
      </c>
      <c r="C173" s="40" t="s">
        <v>616</v>
      </c>
      <c r="D173" s="39" t="s">
        <v>256</v>
      </c>
      <c r="E173" s="39" t="s">
        <v>265</v>
      </c>
      <c r="F173" s="39" t="s">
        <v>142</v>
      </c>
      <c r="G173" s="39" t="s">
        <v>115</v>
      </c>
      <c r="H173" s="39" t="s">
        <v>620</v>
      </c>
      <c r="I173" s="41"/>
      <c r="J173" s="39" t="s">
        <v>507</v>
      </c>
    </row>
    <row r="174" ht="14.25" customHeight="1">
      <c r="A174" s="39" t="s">
        <v>714</v>
      </c>
      <c r="B174" s="39" t="s">
        <v>715</v>
      </c>
      <c r="C174" s="40" t="s">
        <v>616</v>
      </c>
      <c r="D174" s="39" t="s">
        <v>125</v>
      </c>
      <c r="E174" s="39" t="s">
        <v>142</v>
      </c>
      <c r="F174" s="39" t="s">
        <v>142</v>
      </c>
      <c r="G174" s="39" t="s">
        <v>115</v>
      </c>
      <c r="H174" s="39" t="s">
        <v>620</v>
      </c>
      <c r="I174" s="41"/>
      <c r="J174" s="39" t="s">
        <v>507</v>
      </c>
    </row>
    <row r="175" ht="14.25" customHeight="1">
      <c r="A175" s="39" t="s">
        <v>716</v>
      </c>
      <c r="B175" s="39" t="s">
        <v>717</v>
      </c>
      <c r="C175" s="40" t="s">
        <v>616</v>
      </c>
      <c r="D175" s="39" t="s">
        <v>401</v>
      </c>
      <c r="E175" s="39" t="s">
        <v>718</v>
      </c>
      <c r="F175" s="39" t="s">
        <v>273</v>
      </c>
      <c r="G175" s="39" t="s">
        <v>92</v>
      </c>
      <c r="H175" s="39" t="s">
        <v>128</v>
      </c>
      <c r="J175" s="39" t="s">
        <v>93</v>
      </c>
    </row>
    <row r="176" ht="14.25" customHeight="1">
      <c r="A176" s="39" t="s">
        <v>719</v>
      </c>
      <c r="B176" s="39" t="s">
        <v>720</v>
      </c>
      <c r="C176" s="40" t="s">
        <v>616</v>
      </c>
      <c r="D176" s="39" t="s">
        <v>215</v>
      </c>
      <c r="E176" s="39" t="s">
        <v>721</v>
      </c>
      <c r="F176" s="39" t="s">
        <v>142</v>
      </c>
      <c r="G176" s="39" t="s">
        <v>115</v>
      </c>
      <c r="H176" s="39" t="s">
        <v>620</v>
      </c>
      <c r="I176" s="41"/>
      <c r="J176" s="39" t="s">
        <v>93</v>
      </c>
    </row>
    <row r="177" ht="14.25" customHeight="1">
      <c r="A177" s="39" t="s">
        <v>722</v>
      </c>
      <c r="B177" s="39" t="s">
        <v>723</v>
      </c>
      <c r="C177" s="40" t="s">
        <v>616</v>
      </c>
      <c r="D177" s="39" t="s">
        <v>100</v>
      </c>
      <c r="E177" s="39" t="s">
        <v>418</v>
      </c>
      <c r="F177" s="39" t="s">
        <v>142</v>
      </c>
      <c r="G177" s="39" t="s">
        <v>115</v>
      </c>
      <c r="H177" s="39" t="s">
        <v>620</v>
      </c>
      <c r="I177" s="41"/>
      <c r="J177" s="39" t="s">
        <v>347</v>
      </c>
    </row>
    <row r="178" ht="14.25" customHeight="1">
      <c r="A178" s="39" t="s">
        <v>724</v>
      </c>
      <c r="B178" s="39" t="s">
        <v>725</v>
      </c>
      <c r="C178" s="40" t="s">
        <v>616</v>
      </c>
      <c r="D178" s="39" t="s">
        <v>179</v>
      </c>
      <c r="E178" s="39" t="s">
        <v>726</v>
      </c>
      <c r="F178" s="39" t="s">
        <v>221</v>
      </c>
      <c r="G178" s="39" t="s">
        <v>115</v>
      </c>
      <c r="H178" s="39" t="s">
        <v>620</v>
      </c>
      <c r="I178" s="41"/>
      <c r="J178" s="39" t="s">
        <v>347</v>
      </c>
    </row>
    <row r="179" ht="14.25" customHeight="1">
      <c r="A179" s="39" t="s">
        <v>727</v>
      </c>
      <c r="B179" s="39" t="s">
        <v>728</v>
      </c>
      <c r="C179" s="40" t="s">
        <v>616</v>
      </c>
      <c r="D179" s="39" t="s">
        <v>729</v>
      </c>
      <c r="E179" s="39" t="s">
        <v>730</v>
      </c>
      <c r="F179" s="39" t="s">
        <v>209</v>
      </c>
      <c r="G179" s="39" t="s">
        <v>92</v>
      </c>
      <c r="H179" s="39" t="s">
        <v>620</v>
      </c>
      <c r="I179" s="41"/>
      <c r="J179" s="39" t="s">
        <v>431</v>
      </c>
    </row>
    <row r="180" ht="14.25" customHeight="1">
      <c r="A180" s="39" t="s">
        <v>731</v>
      </c>
      <c r="B180" s="39" t="s">
        <v>732</v>
      </c>
      <c r="C180" s="40" t="s">
        <v>616</v>
      </c>
      <c r="D180" s="39" t="s">
        <v>426</v>
      </c>
      <c r="E180" s="39" t="s">
        <v>733</v>
      </c>
      <c r="F180" s="39" t="s">
        <v>142</v>
      </c>
      <c r="G180" s="39" t="s">
        <v>115</v>
      </c>
      <c r="H180" s="39" t="s">
        <v>620</v>
      </c>
      <c r="I180" s="41"/>
      <c r="J180" s="39" t="s">
        <v>431</v>
      </c>
    </row>
    <row r="181" ht="14.25" customHeight="1">
      <c r="A181" s="39" t="s">
        <v>734</v>
      </c>
      <c r="B181" s="39" t="s">
        <v>735</v>
      </c>
      <c r="C181" s="40" t="s">
        <v>616</v>
      </c>
      <c r="D181" s="39" t="s">
        <v>409</v>
      </c>
      <c r="E181" s="39" t="s">
        <v>736</v>
      </c>
      <c r="F181" s="39" t="s">
        <v>244</v>
      </c>
      <c r="G181" s="39" t="s">
        <v>115</v>
      </c>
      <c r="H181" s="39" t="s">
        <v>620</v>
      </c>
      <c r="I181" s="41"/>
      <c r="J181" s="39" t="s">
        <v>431</v>
      </c>
    </row>
    <row r="182" ht="14.25" customHeight="1">
      <c r="A182" s="39" t="s">
        <v>737</v>
      </c>
      <c r="B182" s="39" t="s">
        <v>738</v>
      </c>
      <c r="C182" s="40" t="s">
        <v>616</v>
      </c>
      <c r="D182" s="39" t="s">
        <v>654</v>
      </c>
      <c r="E182" s="39" t="s">
        <v>739</v>
      </c>
      <c r="F182" s="39" t="s">
        <v>639</v>
      </c>
      <c r="G182" s="39" t="s">
        <v>115</v>
      </c>
      <c r="H182" s="39" t="s">
        <v>128</v>
      </c>
      <c r="J182" s="39" t="s">
        <v>431</v>
      </c>
    </row>
    <row r="183" ht="14.25" customHeight="1">
      <c r="A183" s="39" t="s">
        <v>740</v>
      </c>
      <c r="B183" s="39" t="s">
        <v>741</v>
      </c>
      <c r="C183" s="40" t="s">
        <v>616</v>
      </c>
      <c r="D183" s="39" t="s">
        <v>187</v>
      </c>
      <c r="E183" s="39" t="s">
        <v>742</v>
      </c>
      <c r="F183" s="39" t="s">
        <v>189</v>
      </c>
      <c r="G183" s="39" t="s">
        <v>115</v>
      </c>
      <c r="H183" s="39" t="s">
        <v>620</v>
      </c>
      <c r="I183" s="41"/>
      <c r="J183" s="39" t="s">
        <v>431</v>
      </c>
    </row>
    <row r="184" ht="14.25" customHeight="1">
      <c r="A184" s="39" t="s">
        <v>743</v>
      </c>
      <c r="B184" s="39" t="s">
        <v>744</v>
      </c>
      <c r="C184" s="40" t="s">
        <v>616</v>
      </c>
      <c r="D184" s="39" t="s">
        <v>745</v>
      </c>
      <c r="E184" s="39" t="s">
        <v>746</v>
      </c>
      <c r="F184" s="39" t="s">
        <v>747</v>
      </c>
      <c r="G184" s="39" t="s">
        <v>115</v>
      </c>
      <c r="H184" s="39" t="s">
        <v>620</v>
      </c>
      <c r="I184" s="41"/>
      <c r="J184" s="39" t="s">
        <v>347</v>
      </c>
    </row>
    <row r="185" ht="14.25" customHeight="1">
      <c r="A185" s="39" t="s">
        <v>748</v>
      </c>
      <c r="B185" s="39" t="s">
        <v>749</v>
      </c>
      <c r="C185" s="40" t="s">
        <v>616</v>
      </c>
      <c r="D185" s="39" t="s">
        <v>379</v>
      </c>
      <c r="E185" s="39" t="s">
        <v>750</v>
      </c>
      <c r="F185" s="39" t="s">
        <v>536</v>
      </c>
      <c r="G185" s="39" t="s">
        <v>115</v>
      </c>
      <c r="H185" s="39" t="s">
        <v>620</v>
      </c>
      <c r="I185" s="41"/>
      <c r="J185" s="39" t="s">
        <v>347</v>
      </c>
    </row>
    <row r="186" ht="14.25" customHeight="1">
      <c r="A186" s="39" t="s">
        <v>751</v>
      </c>
      <c r="B186" s="39" t="s">
        <v>752</v>
      </c>
      <c r="C186" s="40" t="s">
        <v>616</v>
      </c>
      <c r="D186" s="39" t="s">
        <v>753</v>
      </c>
      <c r="E186" s="39" t="s">
        <v>137</v>
      </c>
      <c r="F186" s="39" t="s">
        <v>102</v>
      </c>
      <c r="G186" s="39" t="s">
        <v>115</v>
      </c>
      <c r="H186" s="39" t="s">
        <v>620</v>
      </c>
      <c r="I186" s="41"/>
      <c r="J186" s="39" t="s">
        <v>347</v>
      </c>
    </row>
    <row r="187" ht="14.25" customHeight="1">
      <c r="A187" s="39" t="s">
        <v>754</v>
      </c>
      <c r="B187" s="39" t="s">
        <v>755</v>
      </c>
      <c r="C187" s="40" t="s">
        <v>616</v>
      </c>
      <c r="D187" s="39" t="s">
        <v>100</v>
      </c>
      <c r="E187" s="39" t="s">
        <v>756</v>
      </c>
      <c r="F187" s="39" t="s">
        <v>530</v>
      </c>
      <c r="G187" s="39" t="s">
        <v>92</v>
      </c>
      <c r="H187" s="39" t="s">
        <v>128</v>
      </c>
      <c r="J187" s="39" t="s">
        <v>347</v>
      </c>
    </row>
    <row r="188" ht="14.25" customHeight="1">
      <c r="A188" s="39" t="s">
        <v>757</v>
      </c>
      <c r="B188" s="39" t="s">
        <v>758</v>
      </c>
      <c r="C188" s="40" t="s">
        <v>616</v>
      </c>
      <c r="D188" s="39" t="s">
        <v>122</v>
      </c>
      <c r="E188" s="39" t="s">
        <v>198</v>
      </c>
      <c r="F188" s="39" t="s">
        <v>142</v>
      </c>
      <c r="G188" s="39" t="s">
        <v>115</v>
      </c>
      <c r="H188" s="39" t="s">
        <v>620</v>
      </c>
      <c r="I188" s="41"/>
      <c r="J188" s="39" t="s">
        <v>347</v>
      </c>
    </row>
    <row r="189" ht="14.25" customHeight="1">
      <c r="A189" s="39" t="s">
        <v>759</v>
      </c>
      <c r="B189" s="39" t="s">
        <v>760</v>
      </c>
      <c r="C189" s="40" t="s">
        <v>616</v>
      </c>
      <c r="D189" s="39" t="s">
        <v>568</v>
      </c>
      <c r="E189" s="39" t="s">
        <v>761</v>
      </c>
      <c r="F189" s="39" t="s">
        <v>273</v>
      </c>
      <c r="G189" s="39" t="s">
        <v>115</v>
      </c>
      <c r="H189" s="39" t="s">
        <v>128</v>
      </c>
      <c r="J189" s="39" t="s">
        <v>261</v>
      </c>
    </row>
    <row r="190" ht="14.25" customHeight="1">
      <c r="A190" s="39" t="s">
        <v>762</v>
      </c>
      <c r="B190" s="39" t="s">
        <v>763</v>
      </c>
      <c r="C190" s="40" t="s">
        <v>616</v>
      </c>
      <c r="D190" s="39" t="s">
        <v>708</v>
      </c>
      <c r="E190" s="39" t="s">
        <v>764</v>
      </c>
      <c r="F190" s="39" t="s">
        <v>389</v>
      </c>
      <c r="G190" s="39" t="s">
        <v>115</v>
      </c>
      <c r="H190" s="39" t="s">
        <v>620</v>
      </c>
      <c r="I190" s="41"/>
      <c r="J190" s="39" t="s">
        <v>261</v>
      </c>
    </row>
    <row r="191" ht="14.25" customHeight="1">
      <c r="A191" s="39" t="s">
        <v>765</v>
      </c>
      <c r="B191" s="39" t="s">
        <v>766</v>
      </c>
      <c r="C191" s="40" t="s">
        <v>616</v>
      </c>
      <c r="D191" s="39" t="s">
        <v>767</v>
      </c>
      <c r="E191" s="39" t="s">
        <v>514</v>
      </c>
      <c r="F191" s="39" t="s">
        <v>768</v>
      </c>
      <c r="G191" s="39" t="s">
        <v>92</v>
      </c>
      <c r="H191" s="39" t="s">
        <v>620</v>
      </c>
      <c r="I191" s="41"/>
      <c r="J191" s="39" t="s">
        <v>261</v>
      </c>
    </row>
    <row r="192" ht="14.25" customHeight="1">
      <c r="A192" s="39" t="s">
        <v>769</v>
      </c>
      <c r="B192" s="39" t="s">
        <v>770</v>
      </c>
      <c r="C192" s="40" t="s">
        <v>616</v>
      </c>
      <c r="D192" s="39" t="s">
        <v>599</v>
      </c>
      <c r="E192" s="39" t="s">
        <v>771</v>
      </c>
      <c r="F192" s="39" t="s">
        <v>221</v>
      </c>
      <c r="G192" s="39" t="s">
        <v>115</v>
      </c>
      <c r="H192" s="39" t="s">
        <v>620</v>
      </c>
      <c r="I192" s="41"/>
      <c r="J192" s="39" t="s">
        <v>507</v>
      </c>
    </row>
    <row r="193" ht="14.25" customHeight="1">
      <c r="A193" s="39" t="s">
        <v>772</v>
      </c>
      <c r="B193" s="39" t="s">
        <v>773</v>
      </c>
      <c r="C193" s="40" t="s">
        <v>616</v>
      </c>
      <c r="D193" s="39" t="s">
        <v>109</v>
      </c>
      <c r="E193" s="39" t="s">
        <v>774</v>
      </c>
      <c r="F193" s="39" t="s">
        <v>142</v>
      </c>
      <c r="G193" s="39" t="s">
        <v>115</v>
      </c>
      <c r="H193" s="39" t="s">
        <v>620</v>
      </c>
      <c r="I193" s="41"/>
      <c r="J193" s="39" t="s">
        <v>507</v>
      </c>
    </row>
    <row r="194" ht="14.25" customHeight="1">
      <c r="A194" s="39" t="s">
        <v>775</v>
      </c>
      <c r="B194" s="39" t="s">
        <v>776</v>
      </c>
      <c r="C194" s="40" t="s">
        <v>616</v>
      </c>
      <c r="D194" s="39" t="s">
        <v>401</v>
      </c>
      <c r="F194" s="39" t="s">
        <v>176</v>
      </c>
      <c r="G194" s="39" t="s">
        <v>115</v>
      </c>
      <c r="H194" s="39" t="s">
        <v>620</v>
      </c>
      <c r="I194" s="41"/>
      <c r="J194" s="39" t="s">
        <v>431</v>
      </c>
    </row>
    <row r="195" ht="14.25" customHeight="1">
      <c r="A195" s="39" t="s">
        <v>777</v>
      </c>
      <c r="B195" s="39" t="s">
        <v>778</v>
      </c>
      <c r="C195" s="40" t="s">
        <v>616</v>
      </c>
      <c r="D195" s="39" t="s">
        <v>779</v>
      </c>
      <c r="E195" s="39" t="s">
        <v>780</v>
      </c>
      <c r="F195" s="39" t="s">
        <v>781</v>
      </c>
      <c r="G195" s="39" t="s">
        <v>115</v>
      </c>
      <c r="H195" s="39" t="s">
        <v>620</v>
      </c>
      <c r="I195" s="41"/>
      <c r="J195" s="39" t="s">
        <v>431</v>
      </c>
    </row>
    <row r="196" ht="14.25" customHeight="1">
      <c r="A196" s="39" t="s">
        <v>782</v>
      </c>
      <c r="B196" s="39" t="s">
        <v>783</v>
      </c>
      <c r="C196" s="40" t="s">
        <v>616</v>
      </c>
      <c r="D196" s="39" t="s">
        <v>784</v>
      </c>
      <c r="E196" s="39" t="s">
        <v>785</v>
      </c>
      <c r="F196" s="39" t="s">
        <v>786</v>
      </c>
      <c r="G196" s="39" t="s">
        <v>115</v>
      </c>
      <c r="H196" s="39" t="s">
        <v>620</v>
      </c>
      <c r="I196" s="41"/>
      <c r="J196" s="39" t="s">
        <v>431</v>
      </c>
    </row>
    <row r="197" ht="14.25" customHeight="1">
      <c r="A197" s="39" t="s">
        <v>787</v>
      </c>
      <c r="B197" s="39" t="s">
        <v>788</v>
      </c>
      <c r="C197" s="40" t="s">
        <v>616</v>
      </c>
      <c r="D197" s="39" t="s">
        <v>789</v>
      </c>
      <c r="E197" s="39" t="s">
        <v>790</v>
      </c>
      <c r="F197" s="39" t="s">
        <v>791</v>
      </c>
      <c r="G197" s="39" t="s">
        <v>92</v>
      </c>
      <c r="H197" s="39" t="s">
        <v>128</v>
      </c>
      <c r="J197" s="39" t="s">
        <v>431</v>
      </c>
    </row>
    <row r="198" ht="14.25" customHeight="1">
      <c r="A198" s="39" t="s">
        <v>792</v>
      </c>
      <c r="B198" s="39" t="s">
        <v>793</v>
      </c>
      <c r="C198" s="40" t="s">
        <v>616</v>
      </c>
      <c r="D198" s="39" t="s">
        <v>794</v>
      </c>
      <c r="F198" s="39" t="s">
        <v>795</v>
      </c>
      <c r="G198" s="39" t="s">
        <v>92</v>
      </c>
      <c r="H198" s="39" t="s">
        <v>128</v>
      </c>
      <c r="J198" s="39" t="s">
        <v>431</v>
      </c>
    </row>
    <row r="199" ht="14.25" customHeight="1">
      <c r="A199" s="39" t="s">
        <v>796</v>
      </c>
      <c r="B199" s="39" t="s">
        <v>797</v>
      </c>
      <c r="C199" s="40" t="s">
        <v>616</v>
      </c>
      <c r="D199" s="39" t="s">
        <v>343</v>
      </c>
      <c r="E199" s="39" t="s">
        <v>798</v>
      </c>
      <c r="F199" s="39" t="s">
        <v>221</v>
      </c>
      <c r="G199" s="39" t="s">
        <v>115</v>
      </c>
      <c r="H199" s="39" t="s">
        <v>620</v>
      </c>
      <c r="I199" s="41"/>
      <c r="J199" s="39" t="s">
        <v>181</v>
      </c>
    </row>
    <row r="200" ht="14.25" customHeight="1">
      <c r="A200" s="39" t="s">
        <v>799</v>
      </c>
      <c r="B200" s="39" t="s">
        <v>800</v>
      </c>
      <c r="C200" s="40" t="s">
        <v>616</v>
      </c>
      <c r="D200" s="39" t="s">
        <v>150</v>
      </c>
      <c r="E200" s="39" t="s">
        <v>726</v>
      </c>
      <c r="F200" s="39" t="s">
        <v>221</v>
      </c>
      <c r="G200" s="39" t="s">
        <v>115</v>
      </c>
      <c r="H200" s="39" t="s">
        <v>620</v>
      </c>
      <c r="I200" s="41"/>
      <c r="J200" s="39" t="s">
        <v>181</v>
      </c>
    </row>
    <row r="201" ht="14.25" customHeight="1">
      <c r="A201" s="39" t="s">
        <v>801</v>
      </c>
      <c r="B201" s="39" t="s">
        <v>802</v>
      </c>
      <c r="C201" s="40" t="s">
        <v>616</v>
      </c>
      <c r="D201" s="39" t="s">
        <v>406</v>
      </c>
      <c r="F201" s="39" t="s">
        <v>803</v>
      </c>
      <c r="G201" s="39" t="s">
        <v>115</v>
      </c>
      <c r="H201" s="39" t="s">
        <v>620</v>
      </c>
      <c r="I201" s="41"/>
      <c r="J201" s="39" t="s">
        <v>181</v>
      </c>
    </row>
    <row r="202" ht="14.25" customHeight="1">
      <c r="A202" s="39" t="s">
        <v>804</v>
      </c>
      <c r="B202" s="39" t="s">
        <v>805</v>
      </c>
      <c r="C202" s="40" t="s">
        <v>616</v>
      </c>
      <c r="D202" s="39" t="s">
        <v>443</v>
      </c>
      <c r="E202" s="39" t="s">
        <v>806</v>
      </c>
      <c r="F202" s="39" t="s">
        <v>536</v>
      </c>
      <c r="G202" s="39" t="s">
        <v>115</v>
      </c>
      <c r="H202" s="39" t="s">
        <v>620</v>
      </c>
      <c r="I202" s="41"/>
      <c r="J202" s="39" t="s">
        <v>181</v>
      </c>
    </row>
    <row r="203" ht="14.25" customHeight="1">
      <c r="A203" s="39" t="s">
        <v>807</v>
      </c>
      <c r="B203" s="39" t="s">
        <v>808</v>
      </c>
      <c r="C203" s="40" t="s">
        <v>616</v>
      </c>
      <c r="D203" s="39" t="s">
        <v>426</v>
      </c>
      <c r="E203" s="39" t="s">
        <v>809</v>
      </c>
      <c r="F203" s="39" t="s">
        <v>189</v>
      </c>
      <c r="G203" s="39" t="s">
        <v>115</v>
      </c>
      <c r="H203" s="39" t="s">
        <v>620</v>
      </c>
      <c r="I203" s="41"/>
      <c r="J203" s="39" t="s">
        <v>181</v>
      </c>
    </row>
    <row r="204" ht="14.25" customHeight="1">
      <c r="A204" s="39" t="s">
        <v>810</v>
      </c>
      <c r="B204" s="39" t="s">
        <v>811</v>
      </c>
      <c r="C204" s="40" t="s">
        <v>616</v>
      </c>
      <c r="D204" s="39" t="s">
        <v>215</v>
      </c>
      <c r="E204" s="39" t="s">
        <v>137</v>
      </c>
      <c r="F204" s="39" t="s">
        <v>260</v>
      </c>
      <c r="G204" s="39" t="s">
        <v>115</v>
      </c>
      <c r="H204" s="39" t="s">
        <v>620</v>
      </c>
      <c r="I204" s="41"/>
      <c r="J204" s="39" t="s">
        <v>261</v>
      </c>
    </row>
    <row r="205" ht="14.25" customHeight="1">
      <c r="A205" s="39" t="s">
        <v>812</v>
      </c>
      <c r="B205" s="39" t="s">
        <v>813</v>
      </c>
      <c r="C205" s="40" t="s">
        <v>616</v>
      </c>
      <c r="D205" s="39" t="s">
        <v>409</v>
      </c>
      <c r="E205" s="39" t="s">
        <v>101</v>
      </c>
      <c r="F205" s="39" t="s">
        <v>627</v>
      </c>
      <c r="G205" s="39" t="s">
        <v>115</v>
      </c>
      <c r="H205" s="39" t="s">
        <v>620</v>
      </c>
      <c r="I205" s="41"/>
      <c r="J205" s="39" t="s">
        <v>261</v>
      </c>
    </row>
    <row r="206" ht="14.25" customHeight="1">
      <c r="A206" s="39" t="s">
        <v>814</v>
      </c>
      <c r="B206" s="39" t="s">
        <v>815</v>
      </c>
      <c r="C206" s="40" t="s">
        <v>616</v>
      </c>
      <c r="D206" s="39" t="s">
        <v>201</v>
      </c>
      <c r="E206" s="39" t="s">
        <v>681</v>
      </c>
      <c r="F206" s="39" t="s">
        <v>816</v>
      </c>
      <c r="G206" s="39" t="s">
        <v>115</v>
      </c>
      <c r="H206" s="39" t="s">
        <v>620</v>
      </c>
      <c r="I206" s="41"/>
      <c r="J206" s="39" t="s">
        <v>261</v>
      </c>
    </row>
    <row r="207" ht="14.25" customHeight="1">
      <c r="A207" s="39" t="s">
        <v>817</v>
      </c>
      <c r="B207" s="39" t="s">
        <v>818</v>
      </c>
      <c r="C207" s="40" t="s">
        <v>616</v>
      </c>
      <c r="D207" s="39" t="s">
        <v>125</v>
      </c>
      <c r="E207" s="39" t="s">
        <v>819</v>
      </c>
      <c r="F207" s="39" t="s">
        <v>820</v>
      </c>
      <c r="G207" s="39" t="s">
        <v>92</v>
      </c>
      <c r="H207" s="39" t="s">
        <v>620</v>
      </c>
      <c r="I207" s="41"/>
      <c r="J207" s="39" t="s">
        <v>261</v>
      </c>
    </row>
    <row r="208" ht="14.25" customHeight="1">
      <c r="A208" s="39" t="s">
        <v>821</v>
      </c>
      <c r="B208" s="39" t="s">
        <v>822</v>
      </c>
      <c r="C208" s="40" t="s">
        <v>616</v>
      </c>
      <c r="D208" s="39" t="s">
        <v>779</v>
      </c>
      <c r="E208" s="39" t="s">
        <v>484</v>
      </c>
      <c r="F208" s="39" t="s">
        <v>189</v>
      </c>
      <c r="G208" s="39" t="s">
        <v>115</v>
      </c>
      <c r="H208" s="39" t="s">
        <v>620</v>
      </c>
      <c r="I208" s="41"/>
      <c r="J208" s="39" t="s">
        <v>261</v>
      </c>
    </row>
    <row r="209" ht="14.25" customHeight="1">
      <c r="A209" s="39" t="s">
        <v>823</v>
      </c>
      <c r="B209" s="39" t="s">
        <v>824</v>
      </c>
      <c r="C209" s="40" t="s">
        <v>616</v>
      </c>
      <c r="D209" s="39" t="s">
        <v>392</v>
      </c>
      <c r="E209" s="39" t="s">
        <v>825</v>
      </c>
      <c r="F209" s="39" t="s">
        <v>685</v>
      </c>
      <c r="G209" s="39" t="s">
        <v>115</v>
      </c>
      <c r="H209" s="39" t="s">
        <v>620</v>
      </c>
      <c r="I209" s="41"/>
      <c r="J209" s="39" t="s">
        <v>93</v>
      </c>
    </row>
    <row r="210" ht="14.25" customHeight="1">
      <c r="A210" s="39" t="s">
        <v>826</v>
      </c>
      <c r="B210" s="39" t="s">
        <v>827</v>
      </c>
      <c r="C210" s="40" t="s">
        <v>616</v>
      </c>
      <c r="D210" s="39" t="s">
        <v>409</v>
      </c>
      <c r="E210" s="39" t="s">
        <v>828</v>
      </c>
      <c r="F210" s="39" t="s">
        <v>142</v>
      </c>
      <c r="G210" s="39" t="s">
        <v>115</v>
      </c>
      <c r="H210" s="39" t="s">
        <v>620</v>
      </c>
      <c r="I210" s="41"/>
      <c r="J210" s="39" t="s">
        <v>93</v>
      </c>
    </row>
    <row r="211" ht="14.25" customHeight="1">
      <c r="A211" s="39" t="s">
        <v>829</v>
      </c>
      <c r="B211" s="39" t="s">
        <v>830</v>
      </c>
      <c r="C211" s="40" t="s">
        <v>616</v>
      </c>
      <c r="D211" s="39" t="s">
        <v>242</v>
      </c>
      <c r="E211" s="39" t="s">
        <v>296</v>
      </c>
      <c r="F211" s="39" t="s">
        <v>233</v>
      </c>
      <c r="G211" s="39" t="s">
        <v>115</v>
      </c>
      <c r="H211" s="39" t="s">
        <v>620</v>
      </c>
      <c r="I211" s="41"/>
      <c r="J211" s="39" t="s">
        <v>93</v>
      </c>
    </row>
    <row r="212" ht="14.25" customHeight="1">
      <c r="A212" s="39" t="s">
        <v>831</v>
      </c>
      <c r="B212" s="39" t="s">
        <v>832</v>
      </c>
      <c r="C212" s="40" t="s">
        <v>616</v>
      </c>
      <c r="D212" s="39" t="s">
        <v>833</v>
      </c>
      <c r="E212" s="39" t="s">
        <v>142</v>
      </c>
      <c r="F212" s="39" t="s">
        <v>385</v>
      </c>
      <c r="G212" s="39" t="s">
        <v>115</v>
      </c>
      <c r="H212" s="39" t="s">
        <v>620</v>
      </c>
      <c r="I212" s="41"/>
      <c r="J212" s="39" t="s">
        <v>93</v>
      </c>
    </row>
    <row r="213" ht="14.25" customHeight="1">
      <c r="A213" s="39" t="s">
        <v>834</v>
      </c>
      <c r="B213" s="39" t="s">
        <v>835</v>
      </c>
      <c r="C213" s="40" t="s">
        <v>616</v>
      </c>
      <c r="D213" s="39" t="s">
        <v>708</v>
      </c>
      <c r="E213" s="39" t="s">
        <v>836</v>
      </c>
      <c r="F213" s="39" t="s">
        <v>221</v>
      </c>
      <c r="G213" s="39" t="s">
        <v>115</v>
      </c>
      <c r="H213" s="39" t="s">
        <v>620</v>
      </c>
      <c r="I213" s="41"/>
      <c r="J213" s="39" t="s">
        <v>93</v>
      </c>
    </row>
    <row r="214" ht="14.25" customHeight="1">
      <c r="A214" s="39" t="s">
        <v>837</v>
      </c>
      <c r="B214" s="39" t="s">
        <v>838</v>
      </c>
      <c r="C214" s="40" t="s">
        <v>616</v>
      </c>
      <c r="D214" s="39" t="s">
        <v>729</v>
      </c>
      <c r="E214" s="39" t="s">
        <v>839</v>
      </c>
      <c r="F214" s="39" t="s">
        <v>280</v>
      </c>
      <c r="G214" s="39" t="s">
        <v>115</v>
      </c>
      <c r="H214" s="39" t="s">
        <v>620</v>
      </c>
      <c r="I214" s="41"/>
      <c r="J214" s="39" t="s">
        <v>261</v>
      </c>
    </row>
    <row r="215" ht="14.25" customHeight="1">
      <c r="A215" s="39" t="s">
        <v>840</v>
      </c>
      <c r="B215" s="39" t="s">
        <v>841</v>
      </c>
      <c r="C215" s="40" t="s">
        <v>616</v>
      </c>
      <c r="D215" s="39" t="s">
        <v>833</v>
      </c>
      <c r="E215" s="39" t="s">
        <v>842</v>
      </c>
      <c r="F215" s="39" t="s">
        <v>843</v>
      </c>
      <c r="G215" s="39" t="s">
        <v>115</v>
      </c>
      <c r="H215" s="39" t="s">
        <v>620</v>
      </c>
      <c r="I215" s="41"/>
      <c r="J215" s="39" t="s">
        <v>261</v>
      </c>
    </row>
    <row r="216" ht="14.25" customHeight="1">
      <c r="A216" s="39" t="s">
        <v>844</v>
      </c>
      <c r="B216" s="39" t="s">
        <v>845</v>
      </c>
      <c r="C216" s="40" t="s">
        <v>616</v>
      </c>
      <c r="D216" s="39" t="s">
        <v>846</v>
      </c>
      <c r="E216" s="39" t="s">
        <v>101</v>
      </c>
      <c r="F216" s="39" t="s">
        <v>847</v>
      </c>
      <c r="G216" s="39" t="s">
        <v>115</v>
      </c>
      <c r="H216" s="39" t="s">
        <v>620</v>
      </c>
      <c r="I216" s="41"/>
      <c r="J216" s="39" t="s">
        <v>261</v>
      </c>
    </row>
    <row r="217" ht="14.25" customHeight="1">
      <c r="A217" s="39" t="s">
        <v>848</v>
      </c>
      <c r="B217" s="39" t="s">
        <v>849</v>
      </c>
      <c r="C217" s="40" t="s">
        <v>616</v>
      </c>
      <c r="D217" s="39" t="s">
        <v>109</v>
      </c>
      <c r="E217" s="39" t="s">
        <v>850</v>
      </c>
      <c r="F217" s="39" t="s">
        <v>221</v>
      </c>
      <c r="G217" s="39" t="s">
        <v>115</v>
      </c>
      <c r="H217" s="39" t="s">
        <v>620</v>
      </c>
      <c r="I217" s="41"/>
      <c r="J217" s="39" t="s">
        <v>261</v>
      </c>
    </row>
    <row r="218" ht="14.25" customHeight="1">
      <c r="A218" s="39" t="s">
        <v>851</v>
      </c>
      <c r="B218" s="39" t="s">
        <v>852</v>
      </c>
      <c r="C218" s="40" t="s">
        <v>616</v>
      </c>
      <c r="D218" s="39" t="s">
        <v>401</v>
      </c>
      <c r="E218" s="39" t="s">
        <v>853</v>
      </c>
      <c r="F218" s="39" t="s">
        <v>142</v>
      </c>
      <c r="G218" s="39" t="s">
        <v>115</v>
      </c>
      <c r="H218" s="39" t="s">
        <v>620</v>
      </c>
      <c r="I218" s="41"/>
      <c r="J218" s="39" t="s">
        <v>261</v>
      </c>
    </row>
    <row r="219" ht="14.25" customHeight="1">
      <c r="A219" s="39" t="s">
        <v>854</v>
      </c>
      <c r="B219" s="39" t="s">
        <v>855</v>
      </c>
      <c r="C219" s="40" t="s">
        <v>616</v>
      </c>
      <c r="D219" s="39" t="s">
        <v>264</v>
      </c>
      <c r="E219" s="39" t="s">
        <v>856</v>
      </c>
      <c r="F219" s="39" t="s">
        <v>857</v>
      </c>
      <c r="G219" s="39" t="s">
        <v>115</v>
      </c>
      <c r="H219" s="39" t="s">
        <v>620</v>
      </c>
      <c r="I219" s="41"/>
      <c r="J219" s="39" t="s">
        <v>507</v>
      </c>
    </row>
    <row r="220" ht="14.25" customHeight="1">
      <c r="A220" s="39" t="s">
        <v>858</v>
      </c>
      <c r="B220" s="39" t="s">
        <v>859</v>
      </c>
      <c r="C220" s="40" t="s">
        <v>616</v>
      </c>
      <c r="D220" s="39" t="s">
        <v>501</v>
      </c>
      <c r="E220" s="39" t="s">
        <v>860</v>
      </c>
      <c r="F220" s="39" t="s">
        <v>209</v>
      </c>
      <c r="G220" s="39" t="s">
        <v>92</v>
      </c>
      <c r="H220" s="39" t="s">
        <v>128</v>
      </c>
      <c r="J220" s="39" t="s">
        <v>269</v>
      </c>
    </row>
    <row r="221" ht="14.25" customHeight="1">
      <c r="A221" s="39" t="s">
        <v>861</v>
      </c>
      <c r="B221" s="39" t="s">
        <v>862</v>
      </c>
      <c r="C221" s="40" t="s">
        <v>616</v>
      </c>
      <c r="D221" s="39" t="s">
        <v>215</v>
      </c>
      <c r="E221" s="39" t="s">
        <v>863</v>
      </c>
      <c r="F221" s="39" t="s">
        <v>142</v>
      </c>
      <c r="G221" s="39" t="s">
        <v>115</v>
      </c>
      <c r="H221" s="39" t="s">
        <v>128</v>
      </c>
      <c r="J221" s="39" t="s">
        <v>269</v>
      </c>
    </row>
    <row r="222" ht="14.25" customHeight="1">
      <c r="A222" s="39" t="s">
        <v>864</v>
      </c>
      <c r="B222" s="39" t="s">
        <v>865</v>
      </c>
      <c r="C222" s="40" t="s">
        <v>616</v>
      </c>
      <c r="D222" s="39" t="s">
        <v>866</v>
      </c>
      <c r="F222" s="39" t="s">
        <v>867</v>
      </c>
      <c r="G222" s="39" t="s">
        <v>92</v>
      </c>
      <c r="H222" s="39" t="s">
        <v>620</v>
      </c>
      <c r="I222" s="41"/>
      <c r="J222" s="39" t="s">
        <v>269</v>
      </c>
    </row>
    <row r="223" ht="14.25" customHeight="1">
      <c r="A223" s="39" t="s">
        <v>868</v>
      </c>
      <c r="B223" s="39" t="s">
        <v>869</v>
      </c>
      <c r="C223" s="40" t="s">
        <v>616</v>
      </c>
      <c r="D223" s="39" t="s">
        <v>283</v>
      </c>
      <c r="E223" s="39" t="s">
        <v>870</v>
      </c>
      <c r="F223" s="39" t="s">
        <v>393</v>
      </c>
      <c r="G223" s="39" t="s">
        <v>92</v>
      </c>
      <c r="H223" s="39" t="s">
        <v>128</v>
      </c>
      <c r="J223" s="39" t="s">
        <v>269</v>
      </c>
    </row>
    <row r="224" ht="14.25" customHeight="1">
      <c r="A224" s="42" t="s">
        <v>871</v>
      </c>
      <c r="B224" s="39" t="s">
        <v>872</v>
      </c>
      <c r="C224" s="40" t="s">
        <v>616</v>
      </c>
      <c r="D224" s="39" t="s">
        <v>873</v>
      </c>
      <c r="E224" s="39" t="s">
        <v>142</v>
      </c>
      <c r="F224" s="39" t="s">
        <v>142</v>
      </c>
      <c r="G224" s="39" t="s">
        <v>115</v>
      </c>
      <c r="H224" s="39" t="s">
        <v>620</v>
      </c>
      <c r="I224" s="41"/>
      <c r="J224" s="39" t="s">
        <v>269</v>
      </c>
    </row>
    <row r="225" ht="14.25" customHeight="1">
      <c r="A225" s="39" t="s">
        <v>874</v>
      </c>
      <c r="B225" s="39" t="s">
        <v>875</v>
      </c>
      <c r="C225" s="40" t="s">
        <v>616</v>
      </c>
      <c r="D225" s="39" t="s">
        <v>529</v>
      </c>
      <c r="E225" s="39" t="s">
        <v>418</v>
      </c>
      <c r="F225" s="39" t="s">
        <v>114</v>
      </c>
      <c r="G225" s="39" t="s">
        <v>115</v>
      </c>
      <c r="H225" s="39" t="s">
        <v>620</v>
      </c>
      <c r="I225" s="41"/>
      <c r="J225" s="39" t="s">
        <v>269</v>
      </c>
    </row>
    <row r="226" ht="14.25" customHeight="1">
      <c r="A226" s="42" t="s">
        <v>871</v>
      </c>
      <c r="B226" s="39" t="s">
        <v>872</v>
      </c>
      <c r="C226" s="40" t="s">
        <v>616</v>
      </c>
      <c r="D226" s="39" t="s">
        <v>873</v>
      </c>
      <c r="E226" s="39" t="s">
        <v>142</v>
      </c>
      <c r="F226" s="39" t="s">
        <v>142</v>
      </c>
      <c r="G226" s="39" t="s">
        <v>115</v>
      </c>
      <c r="H226" s="39" t="s">
        <v>620</v>
      </c>
      <c r="I226" s="41"/>
      <c r="J226" s="39" t="s">
        <v>269</v>
      </c>
    </row>
    <row r="227" ht="14.25" customHeight="1">
      <c r="A227" s="39" t="s">
        <v>876</v>
      </c>
      <c r="B227" s="39" t="s">
        <v>877</v>
      </c>
      <c r="C227" s="40" t="s">
        <v>616</v>
      </c>
      <c r="D227" s="39" t="s">
        <v>878</v>
      </c>
      <c r="E227" s="39" t="s">
        <v>101</v>
      </c>
      <c r="F227" s="39" t="s">
        <v>879</v>
      </c>
      <c r="G227" s="39" t="s">
        <v>92</v>
      </c>
      <c r="H227" s="39" t="s">
        <v>128</v>
      </c>
      <c r="J227" s="39" t="s">
        <v>880</v>
      </c>
      <c r="K227" s="39"/>
      <c r="L227" s="39"/>
      <c r="M227" s="41"/>
      <c r="N227" s="41"/>
      <c r="O227" s="39"/>
      <c r="P227" s="39"/>
      <c r="Q227" s="41"/>
      <c r="R227" s="41"/>
      <c r="S227" s="41"/>
      <c r="T227" s="41"/>
      <c r="U227" s="41"/>
      <c r="V227" s="41"/>
      <c r="W227" s="41"/>
      <c r="X227" s="41"/>
    </row>
    <row r="228" ht="14.25" customHeight="1">
      <c r="A228" s="39" t="s">
        <v>881</v>
      </c>
      <c r="B228" s="39" t="s">
        <v>882</v>
      </c>
      <c r="C228" s="40" t="s">
        <v>616</v>
      </c>
      <c r="D228" s="39" t="s">
        <v>422</v>
      </c>
      <c r="E228" s="39" t="s">
        <v>101</v>
      </c>
      <c r="F228" s="39" t="s">
        <v>110</v>
      </c>
      <c r="G228" s="39" t="s">
        <v>92</v>
      </c>
      <c r="H228" s="39" t="s">
        <v>128</v>
      </c>
      <c r="J228" s="39" t="s">
        <v>269</v>
      </c>
      <c r="K228" s="39"/>
      <c r="L228" s="39"/>
      <c r="M228" s="41"/>
      <c r="N228" s="41"/>
      <c r="O228" s="39"/>
      <c r="P228" s="39"/>
      <c r="Q228" s="41"/>
      <c r="R228" s="41"/>
      <c r="S228" s="41"/>
      <c r="T228" s="41"/>
      <c r="U228" s="41"/>
      <c r="V228" s="41"/>
      <c r="W228" s="41"/>
      <c r="X228" s="41"/>
    </row>
    <row r="229" ht="14.25" customHeight="1">
      <c r="A229" s="39" t="s">
        <v>883</v>
      </c>
      <c r="B229" s="39" t="s">
        <v>884</v>
      </c>
      <c r="C229" s="40" t="s">
        <v>616</v>
      </c>
      <c r="D229" s="39" t="s">
        <v>885</v>
      </c>
      <c r="F229" s="39" t="s">
        <v>523</v>
      </c>
      <c r="G229" s="39" t="s">
        <v>92</v>
      </c>
      <c r="H229" s="39" t="s">
        <v>128</v>
      </c>
      <c r="J229" s="39" t="s">
        <v>507</v>
      </c>
      <c r="K229" s="39"/>
      <c r="L229" s="39"/>
      <c r="M229" s="41"/>
      <c r="N229" s="41"/>
      <c r="O229" s="39"/>
      <c r="P229" s="39"/>
      <c r="Q229" s="41"/>
      <c r="R229" s="41"/>
      <c r="S229" s="41"/>
      <c r="T229" s="41"/>
      <c r="U229" s="41"/>
      <c r="V229" s="41"/>
      <c r="W229" s="41"/>
      <c r="X229" s="41"/>
    </row>
    <row r="230" ht="14.25" customHeight="1">
      <c r="A230" s="39" t="s">
        <v>886</v>
      </c>
      <c r="B230" s="39" t="s">
        <v>887</v>
      </c>
      <c r="C230" s="40" t="s">
        <v>616</v>
      </c>
      <c r="D230" s="39" t="s">
        <v>413</v>
      </c>
      <c r="E230" s="39" t="s">
        <v>888</v>
      </c>
      <c r="F230" s="39" t="s">
        <v>217</v>
      </c>
      <c r="G230" s="39" t="s">
        <v>92</v>
      </c>
      <c r="H230" s="39" t="s">
        <v>128</v>
      </c>
      <c r="J230" s="39" t="s">
        <v>507</v>
      </c>
      <c r="K230" s="39"/>
      <c r="L230" s="39"/>
      <c r="M230" s="41"/>
      <c r="N230" s="41"/>
      <c r="O230" s="39"/>
      <c r="P230" s="39"/>
      <c r="Q230" s="41"/>
      <c r="R230" s="41"/>
      <c r="S230" s="41"/>
      <c r="T230" s="41"/>
      <c r="U230" s="41"/>
      <c r="V230" s="41"/>
      <c r="W230" s="41"/>
      <c r="X230" s="41"/>
    </row>
    <row r="231" ht="14.25" customHeight="1">
      <c r="A231" s="39" t="s">
        <v>889</v>
      </c>
      <c r="B231" s="39" t="s">
        <v>890</v>
      </c>
      <c r="C231" s="40" t="s">
        <v>891</v>
      </c>
      <c r="D231" s="39" t="s">
        <v>892</v>
      </c>
      <c r="E231" s="39" t="s">
        <v>514</v>
      </c>
      <c r="F231" s="39" t="s">
        <v>102</v>
      </c>
      <c r="G231" s="39" t="s">
        <v>115</v>
      </c>
      <c r="H231" s="39" t="s">
        <v>620</v>
      </c>
      <c r="I231" s="41"/>
      <c r="J231" s="39" t="s">
        <v>181</v>
      </c>
      <c r="K231" s="39"/>
      <c r="L231" s="39"/>
      <c r="M231" s="41"/>
      <c r="N231" s="41"/>
    </row>
    <row r="232" ht="14.25" customHeight="1">
      <c r="A232" s="39" t="s">
        <v>893</v>
      </c>
      <c r="B232" s="39" t="s">
        <v>894</v>
      </c>
      <c r="C232" s="40" t="s">
        <v>891</v>
      </c>
      <c r="D232" s="39" t="s">
        <v>895</v>
      </c>
      <c r="E232" s="39" t="s">
        <v>300</v>
      </c>
      <c r="F232" s="39" t="s">
        <v>260</v>
      </c>
      <c r="G232" s="39" t="s">
        <v>115</v>
      </c>
      <c r="H232" s="39" t="s">
        <v>620</v>
      </c>
      <c r="I232" s="41"/>
      <c r="J232" s="39" t="s">
        <v>269</v>
      </c>
      <c r="K232" s="39"/>
      <c r="L232" s="39"/>
      <c r="M232" s="41"/>
      <c r="N232" s="41"/>
    </row>
    <row r="233" ht="14.25" customHeight="1">
      <c r="A233" s="39" t="s">
        <v>896</v>
      </c>
      <c r="B233" s="39" t="s">
        <v>897</v>
      </c>
      <c r="C233" s="40" t="s">
        <v>891</v>
      </c>
      <c r="D233" s="39" t="s">
        <v>898</v>
      </c>
      <c r="F233" s="39" t="s">
        <v>209</v>
      </c>
      <c r="G233" s="39" t="s">
        <v>92</v>
      </c>
      <c r="H233" s="39" t="s">
        <v>620</v>
      </c>
      <c r="I233" s="41"/>
      <c r="J233" s="39" t="s">
        <v>261</v>
      </c>
      <c r="K233" s="39"/>
      <c r="L233" s="39"/>
      <c r="M233" s="41"/>
      <c r="N233" s="41"/>
    </row>
    <row r="234" ht="14.25" customHeight="1">
      <c r="A234" s="39" t="s">
        <v>899</v>
      </c>
      <c r="B234" s="39" t="s">
        <v>900</v>
      </c>
      <c r="C234" s="40" t="s">
        <v>891</v>
      </c>
      <c r="D234" s="39" t="s">
        <v>901</v>
      </c>
      <c r="E234" s="39" t="s">
        <v>162</v>
      </c>
      <c r="F234" s="39" t="s">
        <v>260</v>
      </c>
      <c r="G234" s="39" t="s">
        <v>92</v>
      </c>
      <c r="H234" s="39" t="s">
        <v>620</v>
      </c>
      <c r="I234" s="41"/>
      <c r="J234" s="39" t="s">
        <v>507</v>
      </c>
      <c r="K234" s="39"/>
      <c r="L234" s="39"/>
      <c r="M234" s="41"/>
      <c r="N234" s="41"/>
    </row>
    <row r="235" ht="14.25" customHeight="1">
      <c r="A235" s="39" t="s">
        <v>902</v>
      </c>
      <c r="B235" s="39" t="s">
        <v>903</v>
      </c>
      <c r="C235" s="40" t="s">
        <v>891</v>
      </c>
      <c r="D235" s="39" t="s">
        <v>904</v>
      </c>
      <c r="F235" s="39" t="s">
        <v>562</v>
      </c>
      <c r="G235" s="39" t="s">
        <v>92</v>
      </c>
      <c r="H235" s="39" t="s">
        <v>128</v>
      </c>
      <c r="J235" s="39" t="s">
        <v>269</v>
      </c>
      <c r="K235" s="39"/>
      <c r="L235" s="39"/>
      <c r="M235" s="41"/>
      <c r="N235" s="41"/>
    </row>
    <row r="236" ht="14.25" customHeight="1">
      <c r="A236" s="39" t="s">
        <v>905</v>
      </c>
      <c r="B236" s="39" t="s">
        <v>906</v>
      </c>
      <c r="C236" s="40" t="s">
        <v>891</v>
      </c>
      <c r="D236" s="39" t="s">
        <v>907</v>
      </c>
      <c r="E236" s="39" t="s">
        <v>101</v>
      </c>
      <c r="F236" s="39" t="s">
        <v>908</v>
      </c>
      <c r="G236" s="39" t="s">
        <v>115</v>
      </c>
      <c r="H236" s="39" t="s">
        <v>620</v>
      </c>
      <c r="I236" s="41"/>
      <c r="J236" s="39" t="s">
        <v>431</v>
      </c>
      <c r="K236" s="39"/>
      <c r="L236" s="39"/>
      <c r="M236" s="41"/>
      <c r="N236" s="41"/>
    </row>
    <row r="237" ht="14.25" customHeight="1">
      <c r="A237" s="39" t="s">
        <v>909</v>
      </c>
      <c r="B237" s="39" t="s">
        <v>910</v>
      </c>
      <c r="C237" s="40" t="s">
        <v>891</v>
      </c>
      <c r="D237" s="39" t="s">
        <v>907</v>
      </c>
      <c r="F237" s="39" t="s">
        <v>102</v>
      </c>
      <c r="G237" s="39" t="s">
        <v>115</v>
      </c>
      <c r="H237" s="39" t="s">
        <v>128</v>
      </c>
      <c r="J237" s="39" t="s">
        <v>181</v>
      </c>
      <c r="K237" s="39"/>
      <c r="L237" s="39"/>
      <c r="M237" s="41"/>
      <c r="N237" s="41"/>
      <c r="V237" s="26">
        <v>245.0</v>
      </c>
      <c r="W237" s="26">
        <v>242.0</v>
      </c>
    </row>
    <row r="238" ht="14.25" customHeight="1">
      <c r="A238" s="39" t="s">
        <v>911</v>
      </c>
      <c r="B238" s="39" t="s">
        <v>912</v>
      </c>
      <c r="C238" s="40" t="s">
        <v>891</v>
      </c>
      <c r="D238" s="39" t="s">
        <v>895</v>
      </c>
      <c r="E238" s="39" t="s">
        <v>126</v>
      </c>
      <c r="F238" s="39" t="s">
        <v>260</v>
      </c>
      <c r="G238" s="39" t="s">
        <v>92</v>
      </c>
      <c r="H238" s="39" t="s">
        <v>128</v>
      </c>
      <c r="J238" s="39" t="s">
        <v>347</v>
      </c>
      <c r="K238" s="39"/>
      <c r="L238" s="39"/>
      <c r="M238" s="41"/>
      <c r="N238" s="41"/>
    </row>
    <row r="239" ht="14.25" customHeight="1">
      <c r="A239" s="39" t="s">
        <v>913</v>
      </c>
      <c r="B239" s="39" t="s">
        <v>914</v>
      </c>
      <c r="C239" s="40" t="s">
        <v>891</v>
      </c>
      <c r="D239" s="39" t="s">
        <v>907</v>
      </c>
      <c r="E239" s="39" t="s">
        <v>126</v>
      </c>
      <c r="F239" s="39" t="s">
        <v>523</v>
      </c>
      <c r="G239" s="39" t="s">
        <v>115</v>
      </c>
      <c r="H239" s="39" t="s">
        <v>620</v>
      </c>
      <c r="I239" s="41"/>
      <c r="J239" s="39" t="s">
        <v>93</v>
      </c>
      <c r="K239" s="39"/>
      <c r="L239" s="39"/>
      <c r="M239" s="41"/>
      <c r="N239" s="41"/>
    </row>
    <row r="240" ht="14.25" customHeight="1">
      <c r="A240" s="39" t="s">
        <v>915</v>
      </c>
      <c r="B240" s="39" t="s">
        <v>916</v>
      </c>
      <c r="C240" s="40" t="s">
        <v>891</v>
      </c>
      <c r="D240" s="39" t="s">
        <v>917</v>
      </c>
      <c r="F240" s="39" t="s">
        <v>260</v>
      </c>
      <c r="G240" s="39" t="s">
        <v>92</v>
      </c>
      <c r="H240" s="39" t="s">
        <v>128</v>
      </c>
      <c r="J240" s="39" t="s">
        <v>507</v>
      </c>
      <c r="K240" s="39"/>
      <c r="L240" s="39"/>
      <c r="M240" s="41"/>
      <c r="N240" s="41"/>
    </row>
    <row r="241" ht="14.25" customHeight="1">
      <c r="A241" s="39" t="s">
        <v>918</v>
      </c>
      <c r="B241" s="39" t="s">
        <v>919</v>
      </c>
      <c r="C241" s="40" t="s">
        <v>891</v>
      </c>
      <c r="D241" s="39" t="s">
        <v>907</v>
      </c>
      <c r="F241" s="39" t="s">
        <v>920</v>
      </c>
      <c r="G241" s="39" t="s">
        <v>92</v>
      </c>
      <c r="H241" s="39" t="s">
        <v>128</v>
      </c>
      <c r="J241" s="39" t="s">
        <v>261</v>
      </c>
      <c r="K241" s="39"/>
      <c r="L241" s="39"/>
      <c r="M241" s="41"/>
      <c r="N241" s="41"/>
    </row>
    <row r="242" ht="14.25" customHeight="1">
      <c r="A242" s="39" t="s">
        <v>921</v>
      </c>
      <c r="B242" s="39" t="s">
        <v>922</v>
      </c>
      <c r="C242" s="40" t="s">
        <v>891</v>
      </c>
      <c r="D242" s="39" t="s">
        <v>898</v>
      </c>
      <c r="F242" s="39" t="s">
        <v>923</v>
      </c>
      <c r="G242" s="39" t="s">
        <v>92</v>
      </c>
      <c r="H242" s="39" t="s">
        <v>620</v>
      </c>
      <c r="I242" s="41"/>
      <c r="J242" s="39" t="s">
        <v>93</v>
      </c>
      <c r="K242" s="39"/>
      <c r="L242" s="39"/>
      <c r="M242" s="41"/>
      <c r="N242" s="41"/>
    </row>
    <row r="243" ht="14.25" customHeight="1">
      <c r="A243" s="39" t="s">
        <v>924</v>
      </c>
      <c r="B243" s="39" t="s">
        <v>925</v>
      </c>
      <c r="C243" s="40" t="s">
        <v>891</v>
      </c>
      <c r="D243" s="39" t="s">
        <v>907</v>
      </c>
      <c r="F243" s="39" t="s">
        <v>127</v>
      </c>
      <c r="G243" s="39" t="s">
        <v>92</v>
      </c>
      <c r="H243" s="39" t="s">
        <v>128</v>
      </c>
      <c r="J243" s="39" t="s">
        <v>93</v>
      </c>
      <c r="K243" s="39"/>
      <c r="L243" s="39"/>
      <c r="M243" s="41"/>
      <c r="N243" s="41"/>
    </row>
    <row r="244" ht="14.25" customHeight="1">
      <c r="A244" s="39" t="s">
        <v>926</v>
      </c>
      <c r="B244" s="39" t="s">
        <v>927</v>
      </c>
      <c r="C244" s="40" t="s">
        <v>891</v>
      </c>
      <c r="D244" s="39" t="s">
        <v>917</v>
      </c>
      <c r="E244" s="39" t="s">
        <v>162</v>
      </c>
      <c r="F244" s="39" t="s">
        <v>127</v>
      </c>
      <c r="G244" s="39" t="s">
        <v>92</v>
      </c>
      <c r="H244" s="39" t="s">
        <v>620</v>
      </c>
      <c r="I244" s="41"/>
      <c r="J244" s="39" t="s">
        <v>93</v>
      </c>
      <c r="K244" s="39"/>
      <c r="L244" s="39"/>
      <c r="M244" s="41"/>
      <c r="N244" s="41"/>
    </row>
    <row r="245" ht="14.25" customHeight="1">
      <c r="C245" s="38"/>
    </row>
    <row r="246" ht="14.25" customHeight="1">
      <c r="C246" s="38"/>
    </row>
    <row r="247" ht="14.25" customHeight="1">
      <c r="C247" s="38"/>
      <c r="F247" s="38"/>
    </row>
    <row r="248" ht="14.25" customHeight="1">
      <c r="C248" s="38"/>
      <c r="F248" s="38"/>
    </row>
    <row r="249" ht="14.25" customHeight="1">
      <c r="C249" s="38"/>
      <c r="F249" s="38"/>
    </row>
    <row r="250" ht="14.25" customHeight="1">
      <c r="C250" s="38"/>
      <c r="F250" s="38"/>
    </row>
    <row r="251" ht="14.25" customHeight="1">
      <c r="C251" s="38"/>
      <c r="F251" s="38"/>
    </row>
    <row r="252" ht="14.25" customHeight="1">
      <c r="C252" s="38"/>
      <c r="F252" s="38"/>
    </row>
    <row r="253" ht="14.25" customHeight="1">
      <c r="A253" s="39"/>
      <c r="B253" s="39"/>
      <c r="C253" s="38"/>
      <c r="D253" s="39"/>
      <c r="E253" s="39"/>
      <c r="F253" s="38"/>
    </row>
    <row r="254" ht="14.25" customHeight="1">
      <c r="A254" s="39"/>
      <c r="B254" s="39"/>
      <c r="C254" s="38"/>
      <c r="D254" s="39"/>
      <c r="E254" s="39"/>
      <c r="F254" s="38"/>
    </row>
    <row r="255" ht="14.25" customHeight="1">
      <c r="A255" s="39"/>
      <c r="B255" s="39"/>
      <c r="C255" s="38"/>
      <c r="D255" s="39"/>
      <c r="E255" s="39"/>
      <c r="F255" s="38"/>
    </row>
    <row r="256" ht="14.25" customHeight="1">
      <c r="A256" s="39"/>
      <c r="B256" s="39"/>
      <c r="C256" s="38"/>
      <c r="D256" s="39"/>
      <c r="E256" s="39"/>
      <c r="F256" s="38"/>
    </row>
    <row r="257" ht="14.25" customHeight="1">
      <c r="A257" s="39"/>
      <c r="B257" s="39"/>
      <c r="C257" s="38"/>
      <c r="D257" s="39"/>
      <c r="E257" s="39"/>
      <c r="F257" s="38"/>
    </row>
    <row r="258" ht="14.25" customHeight="1">
      <c r="B258" s="43"/>
      <c r="C258" s="38"/>
      <c r="E258" s="43"/>
      <c r="F258" s="38"/>
    </row>
    <row r="259" ht="14.25" customHeight="1">
      <c r="B259" s="26"/>
      <c r="C259" s="38"/>
      <c r="E259" s="26"/>
      <c r="F259" s="38"/>
    </row>
    <row r="260" ht="14.25" customHeight="1">
      <c r="C260" s="38"/>
    </row>
    <row r="261" ht="14.25" customHeight="1">
      <c r="C261" s="38"/>
    </row>
    <row r="262" ht="14.25" customHeight="1">
      <c r="C262" s="38"/>
    </row>
    <row r="263" ht="14.25" customHeight="1">
      <c r="C263" s="38"/>
    </row>
    <row r="264" ht="14.25" customHeight="1">
      <c r="C264" s="38"/>
      <c r="D264" s="39" t="s">
        <v>821</v>
      </c>
      <c r="E264" s="39" t="s">
        <v>822</v>
      </c>
      <c r="F264" s="40" t="s">
        <v>616</v>
      </c>
      <c r="G264" s="39" t="s">
        <v>779</v>
      </c>
      <c r="H264" s="39" t="s">
        <v>484</v>
      </c>
      <c r="I264" s="39" t="s">
        <v>189</v>
      </c>
      <c r="J264" s="39" t="s">
        <v>115</v>
      </c>
      <c r="K264" s="39" t="s">
        <v>620</v>
      </c>
      <c r="L264" s="41"/>
      <c r="M264" s="39" t="s">
        <v>261</v>
      </c>
      <c r="N264" s="26" t="s">
        <v>928</v>
      </c>
    </row>
    <row r="265" ht="14.25" customHeight="1">
      <c r="C265" s="38"/>
      <c r="D265" s="39" t="s">
        <v>831</v>
      </c>
      <c r="E265" s="39" t="s">
        <v>832</v>
      </c>
      <c r="F265" s="40" t="s">
        <v>616</v>
      </c>
      <c r="G265" s="39" t="s">
        <v>833</v>
      </c>
      <c r="H265" s="39" t="s">
        <v>142</v>
      </c>
      <c r="I265" s="39" t="s">
        <v>385</v>
      </c>
      <c r="J265" s="39" t="s">
        <v>115</v>
      </c>
      <c r="K265" s="39" t="s">
        <v>620</v>
      </c>
      <c r="L265" s="41"/>
      <c r="M265" s="39" t="s">
        <v>93</v>
      </c>
      <c r="N265" s="26" t="s">
        <v>928</v>
      </c>
    </row>
    <row r="266" ht="14.25" customHeight="1">
      <c r="C266" s="38"/>
    </row>
    <row r="267" ht="14.25" customHeight="1">
      <c r="C267" s="38"/>
      <c r="D267" s="37" t="s">
        <v>274</v>
      </c>
      <c r="E267" s="37" t="s">
        <v>275</v>
      </c>
      <c r="F267" s="38" t="s">
        <v>88</v>
      </c>
      <c r="G267" s="37" t="s">
        <v>276</v>
      </c>
      <c r="I267" s="37" t="s">
        <v>110</v>
      </c>
      <c r="J267" s="37" t="s">
        <v>92</v>
      </c>
      <c r="K267" s="37" t="s">
        <v>611</v>
      </c>
    </row>
    <row r="268" ht="14.25" customHeight="1">
      <c r="C268" s="38"/>
      <c r="D268" s="37" t="s">
        <v>274</v>
      </c>
      <c r="E268" s="37" t="s">
        <v>275</v>
      </c>
      <c r="F268" s="38" t="s">
        <v>88</v>
      </c>
      <c r="G268" s="37" t="s">
        <v>276</v>
      </c>
      <c r="I268" s="37" t="s">
        <v>110</v>
      </c>
      <c r="J268" s="37" t="s">
        <v>92</v>
      </c>
      <c r="K268" s="37" t="s">
        <v>611</v>
      </c>
    </row>
    <row r="269" ht="14.25" customHeight="1">
      <c r="C269" s="38"/>
      <c r="D269" s="37" t="s">
        <v>546</v>
      </c>
      <c r="E269" s="37" t="s">
        <v>547</v>
      </c>
      <c r="F269" s="38" t="s">
        <v>88</v>
      </c>
      <c r="G269" s="37" t="s">
        <v>109</v>
      </c>
      <c r="H269" s="37" t="s">
        <v>548</v>
      </c>
      <c r="I269" s="37" t="s">
        <v>209</v>
      </c>
      <c r="J269" s="37" t="s">
        <v>115</v>
      </c>
      <c r="K269" s="37" t="s">
        <v>611</v>
      </c>
      <c r="L269" s="37" t="s">
        <v>612</v>
      </c>
    </row>
    <row r="270" ht="14.25" customHeight="1">
      <c r="C270" s="38"/>
      <c r="D270" s="37" t="s">
        <v>546</v>
      </c>
      <c r="E270" s="37" t="s">
        <v>547</v>
      </c>
      <c r="F270" s="38" t="s">
        <v>88</v>
      </c>
      <c r="G270" s="37" t="s">
        <v>109</v>
      </c>
      <c r="H270" s="37" t="s">
        <v>548</v>
      </c>
      <c r="I270" s="37" t="s">
        <v>209</v>
      </c>
      <c r="J270" s="37" t="s">
        <v>115</v>
      </c>
      <c r="K270" s="37" t="s">
        <v>611</v>
      </c>
      <c r="L270" s="37" t="s">
        <v>612</v>
      </c>
    </row>
    <row r="271" ht="14.25" customHeight="1">
      <c r="C271" s="38"/>
      <c r="F271" s="38"/>
    </row>
    <row r="272" ht="14.25" customHeight="1">
      <c r="C272" s="38"/>
      <c r="F272" s="38"/>
    </row>
    <row r="273" ht="14.25" customHeight="1">
      <c r="C273" s="38"/>
      <c r="D273" s="44" t="s">
        <v>929</v>
      </c>
      <c r="E273" s="45" t="s">
        <v>930</v>
      </c>
      <c r="F273" s="38"/>
      <c r="N273" s="26" t="s">
        <v>931</v>
      </c>
    </row>
    <row r="274" ht="14.25" customHeight="1">
      <c r="C274" s="38"/>
      <c r="D274" s="46" t="s">
        <v>932</v>
      </c>
      <c r="E274" s="47" t="s">
        <v>933</v>
      </c>
      <c r="F274" s="38"/>
      <c r="N274" s="26" t="s">
        <v>931</v>
      </c>
    </row>
    <row r="275" ht="14.25" customHeight="1">
      <c r="C275" s="38"/>
      <c r="D275" s="46" t="s">
        <v>934</v>
      </c>
      <c r="E275" s="47" t="s">
        <v>935</v>
      </c>
      <c r="F275" s="38"/>
      <c r="N275" s="26" t="s">
        <v>931</v>
      </c>
    </row>
    <row r="276" ht="14.25" customHeight="1">
      <c r="C276" s="38"/>
      <c r="D276" s="46" t="s">
        <v>936</v>
      </c>
      <c r="E276" s="47" t="s">
        <v>937</v>
      </c>
      <c r="F276" s="38"/>
      <c r="N276" s="26" t="s">
        <v>931</v>
      </c>
    </row>
    <row r="277" ht="14.25" customHeight="1">
      <c r="C277" s="38"/>
      <c r="D277" s="46" t="s">
        <v>938</v>
      </c>
      <c r="E277" s="47" t="s">
        <v>939</v>
      </c>
      <c r="F277" s="38"/>
      <c r="N277" s="26" t="s">
        <v>931</v>
      </c>
    </row>
    <row r="278" ht="14.25" customHeight="1">
      <c r="C278" s="38"/>
      <c r="D278" s="48"/>
      <c r="E278" s="49" t="s">
        <v>940</v>
      </c>
      <c r="F278" s="38"/>
      <c r="N278" s="26" t="s">
        <v>931</v>
      </c>
    </row>
    <row r="279" ht="14.25" customHeight="1">
      <c r="C279" s="38"/>
      <c r="D279" s="50"/>
      <c r="E279" s="51" t="s">
        <v>941</v>
      </c>
      <c r="F279" s="38"/>
      <c r="N279" s="26" t="s">
        <v>931</v>
      </c>
    </row>
    <row r="280" ht="14.25" customHeight="1">
      <c r="C280" s="38"/>
    </row>
    <row r="281" ht="14.25" customHeight="1">
      <c r="C281" s="38"/>
    </row>
    <row r="282" ht="14.25" customHeight="1">
      <c r="C282" s="38"/>
    </row>
    <row r="283" ht="14.25" customHeight="1">
      <c r="C283" s="38"/>
    </row>
    <row r="284" ht="14.25" customHeight="1">
      <c r="C284" s="38"/>
    </row>
    <row r="285" ht="14.25" customHeight="1">
      <c r="C285" s="38"/>
    </row>
    <row r="286" ht="14.25" customHeight="1">
      <c r="C286" s="38"/>
    </row>
    <row r="287" ht="14.25" customHeight="1">
      <c r="C287" s="38"/>
    </row>
    <row r="288" ht="14.25" customHeight="1">
      <c r="C288" s="38"/>
    </row>
    <row r="289" ht="14.25" customHeight="1">
      <c r="C289" s="38"/>
    </row>
    <row r="290" ht="14.25" customHeight="1">
      <c r="C290" s="38"/>
    </row>
    <row r="291" ht="14.25" customHeight="1">
      <c r="C291" s="38"/>
    </row>
    <row r="292" ht="14.25" customHeight="1">
      <c r="C292" s="38"/>
    </row>
    <row r="293" ht="14.25" customHeight="1">
      <c r="C293" s="38"/>
    </row>
    <row r="294" ht="14.25" customHeight="1">
      <c r="C294" s="38"/>
    </row>
    <row r="295" ht="14.25" customHeight="1">
      <c r="C295" s="38"/>
    </row>
    <row r="296" ht="14.25" customHeight="1">
      <c r="C296" s="38"/>
    </row>
    <row r="297" ht="14.25" customHeight="1">
      <c r="C297" s="38"/>
    </row>
    <row r="298" ht="14.25" customHeight="1">
      <c r="C298" s="38"/>
    </row>
    <row r="299" ht="14.25" customHeight="1">
      <c r="C299" s="38"/>
    </row>
    <row r="300" ht="14.25" customHeight="1">
      <c r="C300" s="38"/>
    </row>
    <row r="301" ht="14.25" customHeight="1">
      <c r="C301" s="38"/>
    </row>
    <row r="302" ht="14.25" customHeight="1">
      <c r="C302" s="38"/>
    </row>
    <row r="303" ht="14.25" customHeight="1">
      <c r="C303" s="38"/>
    </row>
    <row r="304" ht="14.25" customHeight="1">
      <c r="C304" s="38"/>
    </row>
    <row r="305" ht="14.25" customHeight="1">
      <c r="C305" s="38"/>
    </row>
    <row r="306" ht="14.25" customHeight="1">
      <c r="C306" s="38"/>
    </row>
    <row r="307" ht="14.25" customHeight="1">
      <c r="C307" s="38"/>
    </row>
    <row r="308" ht="14.25" customHeight="1">
      <c r="C308" s="38"/>
    </row>
    <row r="309" ht="14.25" customHeight="1">
      <c r="C309" s="38"/>
    </row>
    <row r="310" ht="14.25" customHeight="1">
      <c r="C310" s="38"/>
    </row>
    <row r="311" ht="14.25" customHeight="1">
      <c r="C311" s="38"/>
    </row>
    <row r="312" ht="14.25" customHeight="1">
      <c r="C312" s="38"/>
    </row>
    <row r="313" ht="14.25" customHeight="1">
      <c r="C313" s="38"/>
    </row>
    <row r="314" ht="14.25" customHeight="1">
      <c r="C314" s="38"/>
    </row>
    <row r="315" ht="14.25" customHeight="1">
      <c r="C315" s="38"/>
    </row>
    <row r="316" ht="14.25" customHeight="1">
      <c r="C316" s="38"/>
    </row>
    <row r="317" ht="14.25" customHeight="1">
      <c r="C317" s="38"/>
    </row>
    <row r="318" ht="14.25" customHeight="1">
      <c r="C318" s="38"/>
    </row>
    <row r="319" ht="14.25" customHeight="1">
      <c r="C319" s="38"/>
    </row>
    <row r="320" ht="14.25" customHeight="1">
      <c r="C320" s="38"/>
    </row>
    <row r="321" ht="14.25" customHeight="1">
      <c r="C321" s="38"/>
    </row>
    <row r="322" ht="14.25" customHeight="1">
      <c r="C322" s="38"/>
    </row>
    <row r="323" ht="14.25" customHeight="1">
      <c r="C323" s="38"/>
    </row>
    <row r="324" ht="14.25" customHeight="1">
      <c r="C324" s="38"/>
    </row>
    <row r="325" ht="14.25" customHeight="1">
      <c r="C325" s="38"/>
    </row>
    <row r="326" ht="14.25" customHeight="1">
      <c r="C326" s="38"/>
    </row>
    <row r="327" ht="14.25" customHeight="1">
      <c r="C327" s="38"/>
    </row>
    <row r="328" ht="14.25" customHeight="1">
      <c r="C328" s="38"/>
    </row>
    <row r="329" ht="14.25" customHeight="1">
      <c r="C329" s="38"/>
    </row>
    <row r="330" ht="14.25" customHeight="1">
      <c r="C330" s="38"/>
    </row>
    <row r="331" ht="14.25" customHeight="1">
      <c r="C331" s="38"/>
    </row>
    <row r="332" ht="14.25" customHeight="1">
      <c r="C332" s="38"/>
    </row>
    <row r="333" ht="14.25" customHeight="1">
      <c r="C333" s="38"/>
    </row>
    <row r="334" ht="14.25" customHeight="1">
      <c r="C334" s="38"/>
    </row>
    <row r="335" ht="14.25" customHeight="1">
      <c r="C335" s="38"/>
    </row>
    <row r="336" ht="14.25" customHeight="1">
      <c r="C336" s="38"/>
    </row>
    <row r="337" ht="14.25" customHeight="1">
      <c r="C337" s="38"/>
    </row>
    <row r="338" ht="14.25" customHeight="1">
      <c r="C338" s="38"/>
    </row>
    <row r="339" ht="14.25" customHeight="1">
      <c r="C339" s="38"/>
    </row>
    <row r="340" ht="14.25" customHeight="1">
      <c r="C340" s="38"/>
    </row>
    <row r="341" ht="14.25" customHeight="1">
      <c r="C341" s="38"/>
    </row>
    <row r="342" ht="14.25" customHeight="1">
      <c r="C342" s="38"/>
    </row>
    <row r="343" ht="14.25" customHeight="1">
      <c r="C343" s="38"/>
    </row>
    <row r="344" ht="14.25" customHeight="1">
      <c r="C344" s="38"/>
    </row>
    <row r="345" ht="14.25" customHeight="1">
      <c r="C345" s="38"/>
    </row>
    <row r="346" ht="14.25" customHeight="1">
      <c r="C346" s="38"/>
    </row>
    <row r="347" ht="14.25" customHeight="1">
      <c r="C347" s="38"/>
    </row>
    <row r="348" ht="14.25" customHeight="1">
      <c r="C348" s="38"/>
    </row>
    <row r="349" ht="14.25" customHeight="1">
      <c r="C349" s="38"/>
    </row>
    <row r="350" ht="14.25" customHeight="1">
      <c r="C350" s="38"/>
    </row>
    <row r="351" ht="14.25" customHeight="1">
      <c r="C351" s="38"/>
    </row>
    <row r="352" ht="14.25" customHeight="1">
      <c r="C352" s="38"/>
    </row>
    <row r="353" ht="14.25" customHeight="1">
      <c r="C353" s="38"/>
    </row>
    <row r="354" ht="14.25" customHeight="1">
      <c r="C354" s="38"/>
    </row>
    <row r="355" ht="14.25" customHeight="1">
      <c r="C355" s="38"/>
    </row>
    <row r="356" ht="14.25" customHeight="1">
      <c r="C356" s="38"/>
    </row>
    <row r="357" ht="14.25" customHeight="1">
      <c r="C357" s="38"/>
    </row>
    <row r="358" ht="14.25" customHeight="1">
      <c r="C358" s="38"/>
    </row>
    <row r="359" ht="14.25" customHeight="1">
      <c r="C359" s="38"/>
    </row>
    <row r="360" ht="14.25" customHeight="1">
      <c r="C360" s="38"/>
    </row>
    <row r="361" ht="14.25" customHeight="1">
      <c r="C361" s="38"/>
    </row>
    <row r="362" ht="14.25" customHeight="1">
      <c r="C362" s="38"/>
    </row>
    <row r="363" ht="14.25" customHeight="1">
      <c r="C363" s="38"/>
    </row>
    <row r="364" ht="14.25" customHeight="1">
      <c r="C364" s="38"/>
    </row>
    <row r="365" ht="14.25" customHeight="1">
      <c r="C365" s="38"/>
    </row>
    <row r="366" ht="14.25" customHeight="1">
      <c r="C366" s="38"/>
    </row>
    <row r="367" ht="14.25" customHeight="1">
      <c r="C367" s="38"/>
    </row>
    <row r="368" ht="14.25" customHeight="1">
      <c r="C368" s="38"/>
    </row>
    <row r="369" ht="14.25" customHeight="1">
      <c r="C369" s="38"/>
    </row>
    <row r="370" ht="14.25" customHeight="1">
      <c r="C370" s="38"/>
    </row>
    <row r="371" ht="14.25" customHeight="1">
      <c r="C371" s="38"/>
    </row>
    <row r="372" ht="14.25" customHeight="1">
      <c r="C372" s="38"/>
    </row>
    <row r="373" ht="14.25" customHeight="1">
      <c r="C373" s="38"/>
    </row>
    <row r="374" ht="14.25" customHeight="1">
      <c r="C374" s="38"/>
    </row>
    <row r="375" ht="14.25" customHeight="1">
      <c r="C375" s="38"/>
    </row>
    <row r="376" ht="14.25" customHeight="1">
      <c r="C376" s="38"/>
    </row>
    <row r="377" ht="14.25" customHeight="1">
      <c r="C377" s="38"/>
    </row>
    <row r="378" ht="14.25" customHeight="1">
      <c r="C378" s="38"/>
    </row>
    <row r="379" ht="14.25" customHeight="1">
      <c r="C379" s="38"/>
    </row>
    <row r="380" ht="14.25" customHeight="1">
      <c r="C380" s="38"/>
    </row>
    <row r="381" ht="14.25" customHeight="1">
      <c r="C381" s="38"/>
    </row>
    <row r="382" ht="14.25" customHeight="1">
      <c r="C382" s="38"/>
    </row>
    <row r="383" ht="14.25" customHeight="1">
      <c r="C383" s="38"/>
    </row>
    <row r="384" ht="14.25" customHeight="1">
      <c r="C384" s="38"/>
    </row>
    <row r="385" ht="14.25" customHeight="1">
      <c r="C385" s="38"/>
    </row>
    <row r="386" ht="14.25" customHeight="1">
      <c r="C386" s="38"/>
    </row>
    <row r="387" ht="14.25" customHeight="1">
      <c r="C387" s="38"/>
    </row>
    <row r="388" ht="14.25" customHeight="1">
      <c r="C388" s="38"/>
    </row>
    <row r="389" ht="14.25" customHeight="1">
      <c r="C389" s="38"/>
    </row>
    <row r="390" ht="14.25" customHeight="1">
      <c r="C390" s="38"/>
    </row>
    <row r="391" ht="14.25" customHeight="1">
      <c r="C391" s="38"/>
    </row>
    <row r="392" ht="14.25" customHeight="1">
      <c r="C392" s="38"/>
    </row>
    <row r="393" ht="14.25" customHeight="1">
      <c r="C393" s="38"/>
    </row>
    <row r="394" ht="14.25" customHeight="1">
      <c r="C394" s="38"/>
    </row>
    <row r="395" ht="14.25" customHeight="1">
      <c r="C395" s="38"/>
    </row>
    <row r="396" ht="14.25" customHeight="1">
      <c r="C396" s="38"/>
    </row>
    <row r="397" ht="14.25" customHeight="1">
      <c r="C397" s="38"/>
    </row>
    <row r="398" ht="14.25" customHeight="1">
      <c r="C398" s="38"/>
    </row>
    <row r="399" ht="14.25" customHeight="1">
      <c r="C399" s="38"/>
    </row>
    <row r="400" ht="14.25" customHeight="1">
      <c r="C400" s="38"/>
    </row>
    <row r="401" ht="14.25" customHeight="1">
      <c r="C401" s="38"/>
    </row>
    <row r="402" ht="14.25" customHeight="1">
      <c r="C402" s="38"/>
    </row>
    <row r="403" ht="14.25" customHeight="1">
      <c r="C403" s="38"/>
    </row>
    <row r="404" ht="14.25" customHeight="1">
      <c r="C404" s="38"/>
    </row>
    <row r="405" ht="14.25" customHeight="1">
      <c r="C405" s="38"/>
    </row>
    <row r="406" ht="14.25" customHeight="1">
      <c r="C406" s="38"/>
    </row>
    <row r="407" ht="14.25" customHeight="1">
      <c r="C407" s="38"/>
    </row>
    <row r="408" ht="14.25" customHeight="1">
      <c r="C408" s="38"/>
    </row>
    <row r="409" ht="14.25" customHeight="1">
      <c r="C409" s="38"/>
    </row>
    <row r="410" ht="14.25" customHeight="1">
      <c r="C410" s="38"/>
    </row>
    <row r="411" ht="14.25" customHeight="1">
      <c r="C411" s="38"/>
    </row>
    <row r="412" ht="14.25" customHeight="1">
      <c r="C412" s="38"/>
    </row>
    <row r="413" ht="14.25" customHeight="1">
      <c r="C413" s="38"/>
    </row>
    <row r="414" ht="14.25" customHeight="1">
      <c r="C414" s="38"/>
    </row>
    <row r="415" ht="14.25" customHeight="1">
      <c r="C415" s="38"/>
    </row>
    <row r="416" ht="14.25" customHeight="1">
      <c r="C416" s="38"/>
    </row>
    <row r="417" ht="14.25" customHeight="1">
      <c r="C417" s="38"/>
    </row>
    <row r="418" ht="14.25" customHeight="1">
      <c r="C418" s="38"/>
    </row>
    <row r="419" ht="14.25" customHeight="1">
      <c r="C419" s="38"/>
    </row>
    <row r="420" ht="14.25" customHeight="1">
      <c r="C420" s="38"/>
    </row>
    <row r="421" ht="14.25" customHeight="1">
      <c r="C421" s="38"/>
    </row>
    <row r="422" ht="14.25" customHeight="1">
      <c r="C422" s="38"/>
    </row>
    <row r="423" ht="14.25" customHeight="1">
      <c r="C423" s="38"/>
    </row>
    <row r="424" ht="14.25" customHeight="1">
      <c r="C424" s="38"/>
    </row>
    <row r="425" ht="14.25" customHeight="1">
      <c r="C425" s="38"/>
    </row>
    <row r="426" ht="14.25" customHeight="1">
      <c r="C426" s="38"/>
    </row>
    <row r="427" ht="14.25" customHeight="1">
      <c r="C427" s="38"/>
    </row>
    <row r="428" ht="14.25" customHeight="1">
      <c r="C428" s="38"/>
    </row>
    <row r="429" ht="14.25" customHeight="1">
      <c r="C429" s="38"/>
    </row>
    <row r="430" ht="14.25" customHeight="1">
      <c r="C430" s="38"/>
    </row>
    <row r="431" ht="14.25" customHeight="1">
      <c r="C431" s="38"/>
    </row>
    <row r="432" ht="14.25" customHeight="1">
      <c r="C432" s="38"/>
    </row>
    <row r="433" ht="14.25" customHeight="1">
      <c r="C433" s="38"/>
    </row>
    <row r="434" ht="14.25" customHeight="1">
      <c r="C434" s="38"/>
    </row>
    <row r="435" ht="14.25" customHeight="1">
      <c r="C435" s="38"/>
    </row>
    <row r="436" ht="14.25" customHeight="1">
      <c r="C436" s="38"/>
    </row>
    <row r="437" ht="14.25" customHeight="1">
      <c r="C437" s="38"/>
    </row>
    <row r="438" ht="14.25" customHeight="1">
      <c r="C438" s="38"/>
    </row>
    <row r="439" ht="14.25" customHeight="1">
      <c r="C439" s="38"/>
    </row>
    <row r="440" ht="14.25" customHeight="1">
      <c r="C440" s="38"/>
    </row>
    <row r="441" ht="14.25" customHeight="1">
      <c r="C441" s="38"/>
    </row>
    <row r="442" ht="14.25" customHeight="1">
      <c r="C442" s="38"/>
    </row>
    <row r="443" ht="14.25" customHeight="1">
      <c r="C443" s="38"/>
    </row>
    <row r="444" ht="14.25" customHeight="1">
      <c r="C444" s="38"/>
    </row>
    <row r="445" ht="14.25" customHeight="1">
      <c r="C445" s="38"/>
    </row>
    <row r="446" ht="14.25" customHeight="1">
      <c r="C446" s="38"/>
    </row>
    <row r="447" ht="14.25" customHeight="1">
      <c r="C447" s="38"/>
    </row>
    <row r="448" ht="14.25" customHeight="1">
      <c r="C448" s="38"/>
    </row>
    <row r="449" ht="14.25" customHeight="1">
      <c r="C449" s="38"/>
    </row>
    <row r="450" ht="14.25" customHeight="1">
      <c r="C450" s="38"/>
    </row>
    <row r="451" ht="14.25" customHeight="1">
      <c r="C451" s="38"/>
    </row>
    <row r="452" ht="14.25" customHeight="1">
      <c r="C452" s="38"/>
    </row>
    <row r="453" ht="14.25" customHeight="1">
      <c r="C453" s="38"/>
    </row>
    <row r="454" ht="14.25" customHeight="1">
      <c r="C454" s="38"/>
    </row>
    <row r="455" ht="14.25" customHeight="1">
      <c r="C455" s="38"/>
    </row>
    <row r="456" ht="14.25" customHeight="1">
      <c r="C456" s="38"/>
    </row>
    <row r="457" ht="14.25" customHeight="1">
      <c r="C457" s="38"/>
    </row>
    <row r="458" ht="14.25" customHeight="1">
      <c r="C458" s="38"/>
    </row>
    <row r="459" ht="14.25" customHeight="1">
      <c r="C459" s="38"/>
    </row>
    <row r="460" ht="14.25" customHeight="1">
      <c r="C460" s="38"/>
    </row>
    <row r="461" ht="14.25" customHeight="1">
      <c r="C461" s="38"/>
    </row>
    <row r="462" ht="14.25" customHeight="1">
      <c r="C462" s="38"/>
    </row>
    <row r="463" ht="14.25" customHeight="1">
      <c r="C463" s="38"/>
    </row>
    <row r="464" ht="14.25" customHeight="1">
      <c r="C464" s="38"/>
    </row>
    <row r="465" ht="14.25" customHeight="1">
      <c r="C465" s="38"/>
    </row>
    <row r="466" ht="14.25" customHeight="1">
      <c r="C466" s="38"/>
    </row>
    <row r="467" ht="14.25" customHeight="1">
      <c r="C467" s="38"/>
    </row>
    <row r="468" ht="14.25" customHeight="1">
      <c r="C468" s="38"/>
    </row>
    <row r="469" ht="14.25" customHeight="1">
      <c r="C469" s="38"/>
    </row>
    <row r="470" ht="14.25" customHeight="1">
      <c r="C470" s="38"/>
    </row>
    <row r="471" ht="14.25" customHeight="1">
      <c r="C471" s="38"/>
    </row>
    <row r="472" ht="14.25" customHeight="1">
      <c r="C472" s="38"/>
    </row>
    <row r="473" ht="14.25" customHeight="1">
      <c r="C473" s="38"/>
    </row>
    <row r="474" ht="14.25" customHeight="1">
      <c r="C474" s="38"/>
    </row>
    <row r="475" ht="14.25" customHeight="1">
      <c r="C475" s="38"/>
    </row>
    <row r="476" ht="14.25" customHeight="1">
      <c r="C476" s="38"/>
    </row>
    <row r="477" ht="14.25" customHeight="1">
      <c r="C477" s="38"/>
    </row>
    <row r="478" ht="14.25" customHeight="1">
      <c r="C478" s="38"/>
    </row>
    <row r="479" ht="14.25" customHeight="1">
      <c r="C479" s="38"/>
    </row>
    <row r="480" ht="14.25" customHeight="1">
      <c r="C480" s="38"/>
    </row>
    <row r="481" ht="14.25" customHeight="1">
      <c r="C481" s="38"/>
    </row>
    <row r="482" ht="14.25" customHeight="1">
      <c r="C482" s="38"/>
    </row>
    <row r="483" ht="14.25" customHeight="1">
      <c r="C483" s="38"/>
    </row>
    <row r="484" ht="14.25" customHeight="1">
      <c r="C484" s="38"/>
    </row>
    <row r="485" ht="14.25" customHeight="1">
      <c r="C485" s="38"/>
    </row>
    <row r="486" ht="14.25" customHeight="1">
      <c r="C486" s="38"/>
    </row>
    <row r="487" ht="14.25" customHeight="1">
      <c r="C487" s="38"/>
    </row>
    <row r="488" ht="14.25" customHeight="1">
      <c r="C488" s="38"/>
    </row>
    <row r="489" ht="14.25" customHeight="1">
      <c r="C489" s="38"/>
    </row>
    <row r="490" ht="14.25" customHeight="1">
      <c r="C490" s="38"/>
    </row>
    <row r="491" ht="14.25" customHeight="1">
      <c r="C491" s="38"/>
    </row>
    <row r="492" ht="14.25" customHeight="1">
      <c r="C492" s="38"/>
    </row>
    <row r="493" ht="14.25" customHeight="1">
      <c r="C493" s="38"/>
    </row>
    <row r="494" ht="14.25" customHeight="1">
      <c r="C494" s="38"/>
    </row>
    <row r="495" ht="14.25" customHeight="1">
      <c r="C495" s="38"/>
    </row>
    <row r="496" ht="14.25" customHeight="1">
      <c r="C496" s="38"/>
    </row>
    <row r="497" ht="14.25" customHeight="1">
      <c r="C497" s="38"/>
    </row>
    <row r="498" ht="14.25" customHeight="1">
      <c r="C498" s="38"/>
    </row>
    <row r="499" ht="14.25" customHeight="1">
      <c r="C499" s="38"/>
    </row>
    <row r="500" ht="14.25" customHeight="1">
      <c r="C500" s="38"/>
    </row>
    <row r="501" ht="14.25" customHeight="1">
      <c r="C501" s="38"/>
    </row>
    <row r="502" ht="14.25" customHeight="1">
      <c r="C502" s="38"/>
    </row>
    <row r="503" ht="14.25" customHeight="1">
      <c r="C503" s="38"/>
    </row>
    <row r="504" ht="14.25" customHeight="1">
      <c r="C504" s="38"/>
    </row>
    <row r="505" ht="14.25" customHeight="1">
      <c r="C505" s="38"/>
    </row>
    <row r="506" ht="14.25" customHeight="1">
      <c r="C506" s="38"/>
    </row>
    <row r="507" ht="14.25" customHeight="1">
      <c r="C507" s="38"/>
    </row>
    <row r="508" ht="14.25" customHeight="1">
      <c r="C508" s="38"/>
    </row>
    <row r="509" ht="14.25" customHeight="1">
      <c r="C509" s="38"/>
    </row>
    <row r="510" ht="14.25" customHeight="1">
      <c r="C510" s="38"/>
    </row>
    <row r="511" ht="14.25" customHeight="1">
      <c r="C511" s="38"/>
    </row>
    <row r="512" ht="14.25" customHeight="1">
      <c r="C512" s="38"/>
    </row>
    <row r="513" ht="14.25" customHeight="1">
      <c r="C513" s="38"/>
    </row>
    <row r="514" ht="14.25" customHeight="1">
      <c r="C514" s="38"/>
    </row>
    <row r="515" ht="14.25" customHeight="1">
      <c r="C515" s="38"/>
    </row>
    <row r="516" ht="14.25" customHeight="1">
      <c r="C516" s="38"/>
    </row>
    <row r="517" ht="14.25" customHeight="1">
      <c r="C517" s="38"/>
    </row>
    <row r="518" ht="14.25" customHeight="1">
      <c r="C518" s="38"/>
    </row>
    <row r="519" ht="14.25" customHeight="1">
      <c r="C519" s="38"/>
    </row>
    <row r="520" ht="14.25" customHeight="1">
      <c r="C520" s="38"/>
    </row>
    <row r="521" ht="14.25" customHeight="1">
      <c r="C521" s="38"/>
    </row>
    <row r="522" ht="14.25" customHeight="1">
      <c r="C522" s="38"/>
    </row>
    <row r="523" ht="14.25" customHeight="1">
      <c r="C523" s="38"/>
    </row>
    <row r="524" ht="14.25" customHeight="1">
      <c r="C524" s="38"/>
    </row>
    <row r="525" ht="14.25" customHeight="1">
      <c r="C525" s="38"/>
    </row>
    <row r="526" ht="14.25" customHeight="1">
      <c r="C526" s="38"/>
    </row>
    <row r="527" ht="14.25" customHeight="1">
      <c r="C527" s="38"/>
    </row>
    <row r="528" ht="14.25" customHeight="1">
      <c r="C528" s="38"/>
    </row>
    <row r="529" ht="14.25" customHeight="1">
      <c r="C529" s="38"/>
    </row>
    <row r="530" ht="14.25" customHeight="1">
      <c r="C530" s="38"/>
    </row>
    <row r="531" ht="14.25" customHeight="1">
      <c r="C531" s="38"/>
    </row>
    <row r="532" ht="14.25" customHeight="1">
      <c r="C532" s="38"/>
    </row>
    <row r="533" ht="14.25" customHeight="1">
      <c r="C533" s="38"/>
    </row>
    <row r="534" ht="14.25" customHeight="1">
      <c r="C534" s="38"/>
    </row>
    <row r="535" ht="14.25" customHeight="1">
      <c r="C535" s="38"/>
    </row>
    <row r="536" ht="14.25" customHeight="1">
      <c r="C536" s="38"/>
    </row>
    <row r="537" ht="14.25" customHeight="1">
      <c r="C537" s="38"/>
    </row>
    <row r="538" ht="14.25" customHeight="1">
      <c r="C538" s="38"/>
    </row>
    <row r="539" ht="14.25" customHeight="1">
      <c r="C539" s="38"/>
    </row>
    <row r="540" ht="14.25" customHeight="1">
      <c r="C540" s="38"/>
    </row>
    <row r="541" ht="14.25" customHeight="1">
      <c r="C541" s="38"/>
    </row>
    <row r="542" ht="14.25" customHeight="1">
      <c r="C542" s="38"/>
    </row>
    <row r="543" ht="14.25" customHeight="1">
      <c r="C543" s="38"/>
    </row>
    <row r="544" ht="14.25" customHeight="1">
      <c r="C544" s="38"/>
    </row>
    <row r="545" ht="14.25" customHeight="1">
      <c r="C545" s="38"/>
    </row>
    <row r="546" ht="14.25" customHeight="1">
      <c r="C546" s="38"/>
    </row>
    <row r="547" ht="14.25" customHeight="1">
      <c r="C547" s="38"/>
    </row>
    <row r="548" ht="14.25" customHeight="1">
      <c r="C548" s="38"/>
    </row>
    <row r="549" ht="14.25" customHeight="1">
      <c r="C549" s="38"/>
    </row>
    <row r="550" ht="14.25" customHeight="1">
      <c r="C550" s="38"/>
    </row>
    <row r="551" ht="14.25" customHeight="1">
      <c r="C551" s="38"/>
    </row>
    <row r="552" ht="14.25" customHeight="1">
      <c r="C552" s="38"/>
    </row>
    <row r="553" ht="14.25" customHeight="1">
      <c r="C553" s="38"/>
    </row>
    <row r="554" ht="14.25" customHeight="1">
      <c r="C554" s="38"/>
    </row>
    <row r="555" ht="14.25" customHeight="1">
      <c r="C555" s="38"/>
    </row>
    <row r="556" ht="14.25" customHeight="1">
      <c r="C556" s="38"/>
    </row>
    <row r="557" ht="14.25" customHeight="1">
      <c r="C557" s="38"/>
    </row>
    <row r="558" ht="14.25" customHeight="1">
      <c r="C558" s="38"/>
    </row>
    <row r="559" ht="14.25" customHeight="1">
      <c r="C559" s="38"/>
    </row>
    <row r="560" ht="14.25" customHeight="1">
      <c r="C560" s="38"/>
    </row>
    <row r="561" ht="14.25" customHeight="1">
      <c r="C561" s="38"/>
    </row>
    <row r="562" ht="14.25" customHeight="1">
      <c r="C562" s="38"/>
    </row>
    <row r="563" ht="14.25" customHeight="1">
      <c r="C563" s="38"/>
    </row>
    <row r="564" ht="14.25" customHeight="1">
      <c r="C564" s="38"/>
    </row>
    <row r="565" ht="14.25" customHeight="1">
      <c r="C565" s="38"/>
    </row>
    <row r="566" ht="14.25" customHeight="1">
      <c r="C566" s="38"/>
    </row>
    <row r="567" ht="14.25" customHeight="1">
      <c r="C567" s="38"/>
    </row>
    <row r="568" ht="14.25" customHeight="1">
      <c r="C568" s="38"/>
    </row>
    <row r="569" ht="14.25" customHeight="1">
      <c r="C569" s="38"/>
    </row>
    <row r="570" ht="14.25" customHeight="1">
      <c r="C570" s="38"/>
    </row>
    <row r="571" ht="14.25" customHeight="1">
      <c r="C571" s="38"/>
    </row>
    <row r="572" ht="14.25" customHeight="1">
      <c r="C572" s="38"/>
    </row>
    <row r="573" ht="14.25" customHeight="1">
      <c r="C573" s="38"/>
    </row>
    <row r="574" ht="14.25" customHeight="1">
      <c r="C574" s="38"/>
    </row>
    <row r="575" ht="14.25" customHeight="1">
      <c r="C575" s="38"/>
    </row>
    <row r="576" ht="14.25" customHeight="1">
      <c r="C576" s="38"/>
    </row>
    <row r="577" ht="14.25" customHeight="1">
      <c r="C577" s="38"/>
    </row>
    <row r="578" ht="14.25" customHeight="1">
      <c r="C578" s="38"/>
    </row>
    <row r="579" ht="14.25" customHeight="1">
      <c r="C579" s="38"/>
    </row>
    <row r="580" ht="14.25" customHeight="1">
      <c r="C580" s="38"/>
    </row>
    <row r="581" ht="14.25" customHeight="1">
      <c r="C581" s="38"/>
    </row>
    <row r="582" ht="14.25" customHeight="1">
      <c r="C582" s="38"/>
    </row>
    <row r="583" ht="14.25" customHeight="1">
      <c r="C583" s="38"/>
    </row>
    <row r="584" ht="14.25" customHeight="1">
      <c r="C584" s="38"/>
    </row>
    <row r="585" ht="14.25" customHeight="1">
      <c r="C585" s="38"/>
    </row>
    <row r="586" ht="14.25" customHeight="1">
      <c r="C586" s="38"/>
    </row>
    <row r="587" ht="14.25" customHeight="1">
      <c r="C587" s="38"/>
    </row>
    <row r="588" ht="14.25" customHeight="1">
      <c r="C588" s="38"/>
    </row>
    <row r="589" ht="14.25" customHeight="1">
      <c r="C589" s="38"/>
    </row>
    <row r="590" ht="14.25" customHeight="1">
      <c r="C590" s="38"/>
    </row>
    <row r="591" ht="14.25" customHeight="1">
      <c r="C591" s="38"/>
    </row>
    <row r="592" ht="14.25" customHeight="1">
      <c r="C592" s="38"/>
    </row>
    <row r="593" ht="14.25" customHeight="1">
      <c r="C593" s="38"/>
    </row>
    <row r="594" ht="14.25" customHeight="1">
      <c r="C594" s="38"/>
    </row>
    <row r="595" ht="14.25" customHeight="1">
      <c r="C595" s="38"/>
    </row>
    <row r="596" ht="14.25" customHeight="1">
      <c r="C596" s="38"/>
    </row>
    <row r="597" ht="14.25" customHeight="1">
      <c r="C597" s="38"/>
    </row>
    <row r="598" ht="14.25" customHeight="1">
      <c r="C598" s="38"/>
    </row>
    <row r="599" ht="14.25" customHeight="1">
      <c r="C599" s="38"/>
    </row>
    <row r="600" ht="14.25" customHeight="1">
      <c r="C600" s="38"/>
    </row>
    <row r="601" ht="14.25" customHeight="1">
      <c r="C601" s="38"/>
    </row>
    <row r="602" ht="14.25" customHeight="1">
      <c r="C602" s="38"/>
    </row>
    <row r="603" ht="14.25" customHeight="1">
      <c r="C603" s="38"/>
    </row>
    <row r="604" ht="14.25" customHeight="1">
      <c r="C604" s="38"/>
    </row>
    <row r="605" ht="14.25" customHeight="1">
      <c r="C605" s="38"/>
    </row>
    <row r="606" ht="14.25" customHeight="1">
      <c r="C606" s="38"/>
    </row>
    <row r="607" ht="14.25" customHeight="1">
      <c r="C607" s="38"/>
    </row>
    <row r="608" ht="14.25" customHeight="1">
      <c r="C608" s="38"/>
    </row>
    <row r="609" ht="14.25" customHeight="1">
      <c r="C609" s="38"/>
    </row>
    <row r="610" ht="14.25" customHeight="1">
      <c r="C610" s="38"/>
    </row>
    <row r="611" ht="14.25" customHeight="1">
      <c r="C611" s="38"/>
    </row>
    <row r="612" ht="14.25" customHeight="1">
      <c r="C612" s="38"/>
    </row>
    <row r="613" ht="14.25" customHeight="1">
      <c r="C613" s="38"/>
    </row>
    <row r="614" ht="14.25" customHeight="1">
      <c r="C614" s="38"/>
    </row>
    <row r="615" ht="14.25" customHeight="1">
      <c r="C615" s="38"/>
    </row>
    <row r="616" ht="14.25" customHeight="1">
      <c r="C616" s="38"/>
    </row>
    <row r="617" ht="14.25" customHeight="1">
      <c r="C617" s="38"/>
    </row>
    <row r="618" ht="14.25" customHeight="1">
      <c r="C618" s="38"/>
    </row>
    <row r="619" ht="14.25" customHeight="1">
      <c r="C619" s="38"/>
    </row>
    <row r="620" ht="14.25" customHeight="1">
      <c r="C620" s="38"/>
    </row>
    <row r="621" ht="14.25" customHeight="1">
      <c r="C621" s="38"/>
    </row>
    <row r="622" ht="14.25" customHeight="1">
      <c r="C622" s="38"/>
    </row>
    <row r="623" ht="14.25" customHeight="1">
      <c r="C623" s="38"/>
    </row>
    <row r="624" ht="14.25" customHeight="1">
      <c r="C624" s="38"/>
    </row>
    <row r="625" ht="14.25" customHeight="1">
      <c r="C625" s="38"/>
    </row>
    <row r="626" ht="14.25" customHeight="1">
      <c r="C626" s="38"/>
    </row>
    <row r="627" ht="14.25" customHeight="1">
      <c r="C627" s="38"/>
    </row>
    <row r="628" ht="14.25" customHeight="1">
      <c r="C628" s="38"/>
    </row>
    <row r="629" ht="14.25" customHeight="1">
      <c r="C629" s="38"/>
    </row>
    <row r="630" ht="14.25" customHeight="1">
      <c r="C630" s="38"/>
    </row>
    <row r="631" ht="14.25" customHeight="1">
      <c r="C631" s="38"/>
    </row>
    <row r="632" ht="14.25" customHeight="1">
      <c r="C632" s="38"/>
    </row>
    <row r="633" ht="14.25" customHeight="1">
      <c r="C633" s="38"/>
    </row>
    <row r="634" ht="14.25" customHeight="1">
      <c r="C634" s="38"/>
    </row>
    <row r="635" ht="14.25" customHeight="1">
      <c r="C635" s="38"/>
    </row>
    <row r="636" ht="14.25" customHeight="1">
      <c r="C636" s="38"/>
    </row>
    <row r="637" ht="14.25" customHeight="1">
      <c r="C637" s="38"/>
    </row>
    <row r="638" ht="14.25" customHeight="1">
      <c r="C638" s="38"/>
    </row>
    <row r="639" ht="14.25" customHeight="1">
      <c r="C639" s="38"/>
    </row>
    <row r="640" ht="14.25" customHeight="1">
      <c r="C640" s="38"/>
    </row>
    <row r="641" ht="14.25" customHeight="1">
      <c r="C641" s="38"/>
    </row>
    <row r="642" ht="14.25" customHeight="1">
      <c r="C642" s="38"/>
    </row>
    <row r="643" ht="14.25" customHeight="1">
      <c r="C643" s="38"/>
    </row>
    <row r="644" ht="14.25" customHeight="1">
      <c r="C644" s="38"/>
    </row>
    <row r="645" ht="14.25" customHeight="1">
      <c r="C645" s="38"/>
    </row>
    <row r="646" ht="14.25" customHeight="1">
      <c r="C646" s="38"/>
    </row>
    <row r="647" ht="14.25" customHeight="1">
      <c r="C647" s="38"/>
    </row>
    <row r="648" ht="14.25" customHeight="1">
      <c r="C648" s="38"/>
    </row>
    <row r="649" ht="14.25" customHeight="1">
      <c r="C649" s="38"/>
    </row>
    <row r="650" ht="14.25" customHeight="1">
      <c r="C650" s="38"/>
    </row>
    <row r="651" ht="14.25" customHeight="1">
      <c r="C651" s="38"/>
    </row>
    <row r="652" ht="14.25" customHeight="1">
      <c r="C652" s="38"/>
    </row>
    <row r="653" ht="14.25" customHeight="1">
      <c r="C653" s="38"/>
    </row>
    <row r="654" ht="14.25" customHeight="1">
      <c r="C654" s="38"/>
    </row>
    <row r="655" ht="14.25" customHeight="1">
      <c r="C655" s="38"/>
    </row>
    <row r="656" ht="14.25" customHeight="1">
      <c r="C656" s="38"/>
    </row>
    <row r="657" ht="14.25" customHeight="1">
      <c r="C657" s="38"/>
    </row>
    <row r="658" ht="14.25" customHeight="1">
      <c r="C658" s="38"/>
    </row>
    <row r="659" ht="14.25" customHeight="1">
      <c r="C659" s="38"/>
    </row>
    <row r="660" ht="14.25" customHeight="1">
      <c r="C660" s="38"/>
    </row>
    <row r="661" ht="14.25" customHeight="1">
      <c r="C661" s="38"/>
    </row>
    <row r="662" ht="14.25" customHeight="1">
      <c r="C662" s="38"/>
    </row>
    <row r="663" ht="14.25" customHeight="1">
      <c r="C663" s="38"/>
    </row>
    <row r="664" ht="14.25" customHeight="1">
      <c r="C664" s="38"/>
    </row>
    <row r="665" ht="14.25" customHeight="1">
      <c r="C665" s="38"/>
    </row>
    <row r="666" ht="14.25" customHeight="1">
      <c r="C666" s="38"/>
    </row>
    <row r="667" ht="14.25" customHeight="1">
      <c r="C667" s="38"/>
    </row>
    <row r="668" ht="14.25" customHeight="1">
      <c r="C668" s="38"/>
    </row>
    <row r="669" ht="14.25" customHeight="1">
      <c r="C669" s="38"/>
    </row>
    <row r="670" ht="14.25" customHeight="1">
      <c r="C670" s="38"/>
    </row>
    <row r="671" ht="14.25" customHeight="1">
      <c r="C671" s="38"/>
    </row>
    <row r="672" ht="14.25" customHeight="1">
      <c r="C672" s="38"/>
    </row>
    <row r="673" ht="14.25" customHeight="1">
      <c r="C673" s="38"/>
    </row>
    <row r="674" ht="14.25" customHeight="1">
      <c r="C674" s="38"/>
    </row>
    <row r="675" ht="14.25" customHeight="1">
      <c r="C675" s="38"/>
    </row>
    <row r="676" ht="14.25" customHeight="1">
      <c r="C676" s="38"/>
    </row>
    <row r="677" ht="14.25" customHeight="1">
      <c r="C677" s="38"/>
    </row>
    <row r="678" ht="14.25" customHeight="1">
      <c r="C678" s="38"/>
    </row>
    <row r="679" ht="14.25" customHeight="1">
      <c r="C679" s="38"/>
    </row>
    <row r="680" ht="14.25" customHeight="1">
      <c r="C680" s="38"/>
    </row>
    <row r="681" ht="14.25" customHeight="1">
      <c r="C681" s="38"/>
    </row>
    <row r="682" ht="14.25" customHeight="1">
      <c r="C682" s="38"/>
    </row>
    <row r="683" ht="14.25" customHeight="1">
      <c r="C683" s="38"/>
    </row>
    <row r="684" ht="14.25" customHeight="1">
      <c r="C684" s="38"/>
    </row>
    <row r="685" ht="14.25" customHeight="1">
      <c r="C685" s="38"/>
    </row>
    <row r="686" ht="14.25" customHeight="1">
      <c r="C686" s="38"/>
    </row>
    <row r="687" ht="14.25" customHeight="1">
      <c r="C687" s="38"/>
    </row>
    <row r="688" ht="14.25" customHeight="1">
      <c r="C688" s="38"/>
    </row>
    <row r="689" ht="14.25" customHeight="1">
      <c r="C689" s="38"/>
    </row>
    <row r="690" ht="14.25" customHeight="1">
      <c r="C690" s="38"/>
    </row>
    <row r="691" ht="14.25" customHeight="1">
      <c r="C691" s="38"/>
    </row>
    <row r="692" ht="14.25" customHeight="1">
      <c r="C692" s="38"/>
    </row>
    <row r="693" ht="14.25" customHeight="1">
      <c r="C693" s="38"/>
    </row>
    <row r="694" ht="14.25" customHeight="1">
      <c r="C694" s="38"/>
    </row>
    <row r="695" ht="14.25" customHeight="1">
      <c r="C695" s="38"/>
    </row>
    <row r="696" ht="14.25" customHeight="1">
      <c r="C696" s="38"/>
    </row>
    <row r="697" ht="14.25" customHeight="1">
      <c r="C697" s="38"/>
    </row>
    <row r="698" ht="14.25" customHeight="1">
      <c r="C698" s="38"/>
    </row>
    <row r="699" ht="14.25" customHeight="1">
      <c r="C699" s="38"/>
    </row>
    <row r="700" ht="14.25" customHeight="1">
      <c r="C700" s="38"/>
    </row>
    <row r="701" ht="14.25" customHeight="1">
      <c r="C701" s="38"/>
    </row>
    <row r="702" ht="14.25" customHeight="1">
      <c r="C702" s="38"/>
    </row>
    <row r="703" ht="14.25" customHeight="1">
      <c r="C703" s="38"/>
    </row>
    <row r="704" ht="14.25" customHeight="1">
      <c r="C704" s="38"/>
    </row>
    <row r="705" ht="14.25" customHeight="1">
      <c r="C705" s="38"/>
    </row>
    <row r="706" ht="14.25" customHeight="1">
      <c r="C706" s="38"/>
    </row>
    <row r="707" ht="14.25" customHeight="1">
      <c r="C707" s="38"/>
    </row>
    <row r="708" ht="14.25" customHeight="1">
      <c r="C708" s="38"/>
    </row>
    <row r="709" ht="14.25" customHeight="1">
      <c r="C709" s="38"/>
    </row>
    <row r="710" ht="14.25" customHeight="1">
      <c r="C710" s="38"/>
    </row>
    <row r="711" ht="14.25" customHeight="1">
      <c r="C711" s="38"/>
    </row>
    <row r="712" ht="14.25" customHeight="1">
      <c r="C712" s="38"/>
    </row>
    <row r="713" ht="14.25" customHeight="1">
      <c r="C713" s="38"/>
    </row>
    <row r="714" ht="14.25" customHeight="1">
      <c r="C714" s="38"/>
    </row>
    <row r="715" ht="14.25" customHeight="1">
      <c r="C715" s="38"/>
    </row>
    <row r="716" ht="14.25" customHeight="1">
      <c r="C716" s="38"/>
    </row>
    <row r="717" ht="14.25" customHeight="1">
      <c r="C717" s="38"/>
    </row>
    <row r="718" ht="14.25" customHeight="1">
      <c r="C718" s="38"/>
    </row>
    <row r="719" ht="14.25" customHeight="1">
      <c r="C719" s="38"/>
    </row>
    <row r="720" ht="14.25" customHeight="1">
      <c r="C720" s="38"/>
    </row>
    <row r="721" ht="14.25" customHeight="1">
      <c r="C721" s="38"/>
    </row>
    <row r="722" ht="14.25" customHeight="1">
      <c r="C722" s="38"/>
    </row>
    <row r="723" ht="14.25" customHeight="1">
      <c r="C723" s="38"/>
    </row>
    <row r="724" ht="14.25" customHeight="1">
      <c r="C724" s="38"/>
    </row>
    <row r="725" ht="14.25" customHeight="1">
      <c r="C725" s="38"/>
    </row>
    <row r="726" ht="14.25" customHeight="1">
      <c r="C726" s="38"/>
    </row>
    <row r="727" ht="14.25" customHeight="1">
      <c r="C727" s="38"/>
    </row>
    <row r="728" ht="14.25" customHeight="1">
      <c r="C728" s="38"/>
    </row>
    <row r="729" ht="14.25" customHeight="1">
      <c r="C729" s="38"/>
    </row>
    <row r="730" ht="14.25" customHeight="1">
      <c r="C730" s="38"/>
    </row>
    <row r="731" ht="14.25" customHeight="1">
      <c r="C731" s="38"/>
    </row>
    <row r="732" ht="14.25" customHeight="1">
      <c r="C732" s="38"/>
    </row>
    <row r="733" ht="14.25" customHeight="1">
      <c r="C733" s="38"/>
    </row>
    <row r="734" ht="14.25" customHeight="1">
      <c r="C734" s="38"/>
    </row>
    <row r="735" ht="14.25" customHeight="1">
      <c r="C735" s="38"/>
    </row>
    <row r="736" ht="14.25" customHeight="1">
      <c r="C736" s="38"/>
    </row>
    <row r="737" ht="14.25" customHeight="1">
      <c r="C737" s="38"/>
    </row>
    <row r="738" ht="14.25" customHeight="1">
      <c r="C738" s="38"/>
    </row>
    <row r="739" ht="14.25" customHeight="1">
      <c r="C739" s="38"/>
    </row>
    <row r="740" ht="14.25" customHeight="1">
      <c r="C740" s="38"/>
    </row>
    <row r="741" ht="14.25" customHeight="1">
      <c r="C741" s="38"/>
    </row>
    <row r="742" ht="14.25" customHeight="1">
      <c r="C742" s="38"/>
    </row>
    <row r="743" ht="14.25" customHeight="1">
      <c r="C743" s="38"/>
    </row>
    <row r="744" ht="14.25" customHeight="1">
      <c r="C744" s="38"/>
    </row>
    <row r="745" ht="14.25" customHeight="1">
      <c r="C745" s="38"/>
    </row>
    <row r="746" ht="14.25" customHeight="1">
      <c r="C746" s="38"/>
    </row>
    <row r="747" ht="14.25" customHeight="1">
      <c r="C747" s="38"/>
    </row>
    <row r="748" ht="14.25" customHeight="1">
      <c r="C748" s="38"/>
    </row>
    <row r="749" ht="14.25" customHeight="1">
      <c r="C749" s="38"/>
    </row>
    <row r="750" ht="14.25" customHeight="1">
      <c r="C750" s="38"/>
    </row>
    <row r="751" ht="14.25" customHeight="1">
      <c r="C751" s="38"/>
    </row>
    <row r="752" ht="14.25" customHeight="1">
      <c r="C752" s="38"/>
    </row>
    <row r="753" ht="14.25" customHeight="1">
      <c r="C753" s="38"/>
    </row>
    <row r="754" ht="14.25" customHeight="1">
      <c r="C754" s="38"/>
    </row>
    <row r="755" ht="14.25" customHeight="1">
      <c r="C755" s="38"/>
    </row>
    <row r="756" ht="14.25" customHeight="1">
      <c r="C756" s="38"/>
    </row>
    <row r="757" ht="14.25" customHeight="1">
      <c r="C757" s="38"/>
    </row>
    <row r="758" ht="14.25" customHeight="1">
      <c r="C758" s="38"/>
    </row>
    <row r="759" ht="14.25" customHeight="1">
      <c r="C759" s="38"/>
    </row>
    <row r="760" ht="14.25" customHeight="1">
      <c r="C760" s="38"/>
    </row>
    <row r="761" ht="14.25" customHeight="1">
      <c r="C761" s="38"/>
    </row>
    <row r="762" ht="14.25" customHeight="1">
      <c r="C762" s="38"/>
    </row>
    <row r="763" ht="14.25" customHeight="1">
      <c r="C763" s="38"/>
    </row>
    <row r="764" ht="14.25" customHeight="1">
      <c r="C764" s="38"/>
    </row>
    <row r="765" ht="14.25" customHeight="1">
      <c r="C765" s="38"/>
    </row>
    <row r="766" ht="14.25" customHeight="1">
      <c r="C766" s="38"/>
    </row>
    <row r="767" ht="14.25" customHeight="1">
      <c r="C767" s="38"/>
    </row>
    <row r="768" ht="14.25" customHeight="1">
      <c r="C768" s="38"/>
    </row>
    <row r="769" ht="14.25" customHeight="1">
      <c r="C769" s="38"/>
    </row>
    <row r="770" ht="14.25" customHeight="1">
      <c r="C770" s="38"/>
    </row>
    <row r="771" ht="14.25" customHeight="1">
      <c r="C771" s="38"/>
    </row>
    <row r="772" ht="14.25" customHeight="1">
      <c r="C772" s="38"/>
    </row>
    <row r="773" ht="14.25" customHeight="1">
      <c r="C773" s="38"/>
    </row>
    <row r="774" ht="14.25" customHeight="1">
      <c r="C774" s="38"/>
    </row>
    <row r="775" ht="14.25" customHeight="1">
      <c r="C775" s="38"/>
    </row>
    <row r="776" ht="14.25" customHeight="1">
      <c r="C776" s="38"/>
    </row>
    <row r="777" ht="14.25" customHeight="1">
      <c r="C777" s="38"/>
    </row>
    <row r="778" ht="14.25" customHeight="1">
      <c r="C778" s="38"/>
    </row>
    <row r="779" ht="14.25" customHeight="1">
      <c r="C779" s="38"/>
    </row>
    <row r="780" ht="14.25" customHeight="1">
      <c r="C780" s="38"/>
    </row>
    <row r="781" ht="14.25" customHeight="1">
      <c r="C781" s="38"/>
    </row>
    <row r="782" ht="14.25" customHeight="1">
      <c r="C782" s="38"/>
    </row>
    <row r="783" ht="14.25" customHeight="1">
      <c r="C783" s="38"/>
    </row>
    <row r="784" ht="14.25" customHeight="1">
      <c r="C784" s="38"/>
    </row>
    <row r="785" ht="14.25" customHeight="1">
      <c r="C785" s="38"/>
    </row>
    <row r="786" ht="14.25" customHeight="1">
      <c r="C786" s="38"/>
    </row>
    <row r="787" ht="14.25" customHeight="1">
      <c r="C787" s="38"/>
    </row>
    <row r="788" ht="14.25" customHeight="1">
      <c r="C788" s="38"/>
    </row>
    <row r="789" ht="14.25" customHeight="1">
      <c r="C789" s="38"/>
    </row>
    <row r="790" ht="14.25" customHeight="1">
      <c r="C790" s="38"/>
    </row>
    <row r="791" ht="14.25" customHeight="1">
      <c r="C791" s="38"/>
    </row>
    <row r="792" ht="14.25" customHeight="1">
      <c r="C792" s="38"/>
    </row>
    <row r="793" ht="14.25" customHeight="1">
      <c r="C793" s="38"/>
    </row>
    <row r="794" ht="14.25" customHeight="1">
      <c r="C794" s="38"/>
    </row>
    <row r="795" ht="14.25" customHeight="1">
      <c r="C795" s="38"/>
    </row>
    <row r="796" ht="14.25" customHeight="1">
      <c r="C796" s="38"/>
    </row>
    <row r="797" ht="14.25" customHeight="1">
      <c r="C797" s="38"/>
    </row>
    <row r="798" ht="14.25" customHeight="1">
      <c r="C798" s="38"/>
    </row>
    <row r="799" ht="14.25" customHeight="1">
      <c r="C799" s="38"/>
    </row>
    <row r="800" ht="14.25" customHeight="1">
      <c r="C800" s="38"/>
    </row>
    <row r="801" ht="14.25" customHeight="1">
      <c r="C801" s="38"/>
    </row>
    <row r="802" ht="14.25" customHeight="1">
      <c r="C802" s="38"/>
    </row>
    <row r="803" ht="14.25" customHeight="1">
      <c r="C803" s="38"/>
    </row>
    <row r="804" ht="14.25" customHeight="1">
      <c r="C804" s="38"/>
    </row>
    <row r="805" ht="14.25" customHeight="1">
      <c r="C805" s="38"/>
    </row>
    <row r="806" ht="14.25" customHeight="1">
      <c r="C806" s="38"/>
    </row>
    <row r="807" ht="14.25" customHeight="1">
      <c r="C807" s="38"/>
    </row>
    <row r="808" ht="14.25" customHeight="1">
      <c r="C808" s="38"/>
    </row>
    <row r="809" ht="14.25" customHeight="1">
      <c r="C809" s="38"/>
    </row>
    <row r="810" ht="14.25" customHeight="1">
      <c r="C810" s="38"/>
    </row>
    <row r="811" ht="14.25" customHeight="1">
      <c r="C811" s="38"/>
    </row>
    <row r="812" ht="14.25" customHeight="1">
      <c r="C812" s="38"/>
    </row>
    <row r="813" ht="14.25" customHeight="1">
      <c r="C813" s="38"/>
    </row>
    <row r="814" ht="14.25" customHeight="1">
      <c r="C814" s="38"/>
    </row>
    <row r="815" ht="14.25" customHeight="1">
      <c r="C815" s="38"/>
    </row>
    <row r="816" ht="14.25" customHeight="1">
      <c r="C816" s="38"/>
    </row>
    <row r="817" ht="14.25" customHeight="1">
      <c r="C817" s="38"/>
    </row>
    <row r="818" ht="14.25" customHeight="1">
      <c r="C818" s="38"/>
    </row>
    <row r="819" ht="14.25" customHeight="1">
      <c r="C819" s="38"/>
    </row>
    <row r="820" ht="14.25" customHeight="1">
      <c r="C820" s="38"/>
    </row>
    <row r="821" ht="14.25" customHeight="1">
      <c r="C821" s="38"/>
    </row>
    <row r="822" ht="14.25" customHeight="1">
      <c r="C822" s="38"/>
    </row>
    <row r="823" ht="14.25" customHeight="1">
      <c r="C823" s="38"/>
    </row>
    <row r="824" ht="14.25" customHeight="1">
      <c r="C824" s="38"/>
    </row>
    <row r="825" ht="14.25" customHeight="1">
      <c r="C825" s="38"/>
    </row>
    <row r="826" ht="14.25" customHeight="1">
      <c r="C826" s="38"/>
    </row>
    <row r="827" ht="14.25" customHeight="1">
      <c r="C827" s="38"/>
    </row>
    <row r="828" ht="14.25" customHeight="1">
      <c r="C828" s="38"/>
    </row>
    <row r="829" ht="14.25" customHeight="1">
      <c r="C829" s="38"/>
    </row>
    <row r="830" ht="14.25" customHeight="1">
      <c r="C830" s="38"/>
    </row>
    <row r="831" ht="14.25" customHeight="1">
      <c r="C831" s="38"/>
    </row>
    <row r="832" ht="14.25" customHeight="1">
      <c r="C832" s="38"/>
    </row>
    <row r="833" ht="14.25" customHeight="1">
      <c r="C833" s="38"/>
    </row>
    <row r="834" ht="14.25" customHeight="1">
      <c r="C834" s="38"/>
    </row>
    <row r="835" ht="14.25" customHeight="1">
      <c r="C835" s="38"/>
    </row>
    <row r="836" ht="14.25" customHeight="1">
      <c r="C836" s="38"/>
    </row>
    <row r="837" ht="14.25" customHeight="1">
      <c r="C837" s="38"/>
    </row>
    <row r="838" ht="14.25" customHeight="1">
      <c r="C838" s="38"/>
    </row>
    <row r="839" ht="14.25" customHeight="1">
      <c r="C839" s="38"/>
    </row>
    <row r="840" ht="14.25" customHeight="1">
      <c r="C840" s="38"/>
    </row>
    <row r="841" ht="14.25" customHeight="1">
      <c r="C841" s="38"/>
    </row>
    <row r="842" ht="14.25" customHeight="1">
      <c r="C842" s="38"/>
    </row>
    <row r="843" ht="14.25" customHeight="1">
      <c r="C843" s="38"/>
    </row>
    <row r="844" ht="14.25" customHeight="1">
      <c r="C844" s="38"/>
    </row>
    <row r="845" ht="14.25" customHeight="1">
      <c r="C845" s="38"/>
    </row>
    <row r="846" ht="14.25" customHeight="1">
      <c r="C846" s="38"/>
    </row>
    <row r="847" ht="14.25" customHeight="1">
      <c r="C847" s="38"/>
    </row>
    <row r="848" ht="14.25" customHeight="1">
      <c r="C848" s="38"/>
    </row>
    <row r="849" ht="14.25" customHeight="1">
      <c r="C849" s="38"/>
    </row>
    <row r="850" ht="14.25" customHeight="1">
      <c r="C850" s="38"/>
    </row>
    <row r="851" ht="14.25" customHeight="1">
      <c r="C851" s="38"/>
    </row>
    <row r="852" ht="14.25" customHeight="1">
      <c r="C852" s="38"/>
    </row>
    <row r="853" ht="14.25" customHeight="1">
      <c r="C853" s="38"/>
    </row>
    <row r="854" ht="14.25" customHeight="1">
      <c r="C854" s="38"/>
    </row>
    <row r="855" ht="14.25" customHeight="1">
      <c r="C855" s="38"/>
    </row>
    <row r="856" ht="14.25" customHeight="1">
      <c r="C856" s="38"/>
    </row>
    <row r="857" ht="14.25" customHeight="1">
      <c r="C857" s="38"/>
    </row>
    <row r="858" ht="14.25" customHeight="1">
      <c r="C858" s="38"/>
    </row>
    <row r="859" ht="14.25" customHeight="1">
      <c r="C859" s="38"/>
    </row>
    <row r="860" ht="14.25" customHeight="1">
      <c r="C860" s="38"/>
    </row>
    <row r="861" ht="14.25" customHeight="1">
      <c r="C861" s="38"/>
    </row>
    <row r="862" ht="14.25" customHeight="1">
      <c r="C862" s="38"/>
    </row>
    <row r="863" ht="14.25" customHeight="1">
      <c r="C863" s="38"/>
    </row>
    <row r="864" ht="14.25" customHeight="1">
      <c r="C864" s="38"/>
    </row>
    <row r="865" ht="14.25" customHeight="1">
      <c r="C865" s="38"/>
    </row>
    <row r="866" ht="14.25" customHeight="1">
      <c r="C866" s="38"/>
    </row>
    <row r="867" ht="14.25" customHeight="1">
      <c r="C867" s="38"/>
    </row>
    <row r="868" ht="14.25" customHeight="1">
      <c r="C868" s="38"/>
    </row>
    <row r="869" ht="14.25" customHeight="1">
      <c r="C869" s="38"/>
    </row>
    <row r="870" ht="14.25" customHeight="1">
      <c r="C870" s="38"/>
    </row>
    <row r="871" ht="14.25" customHeight="1">
      <c r="C871" s="38"/>
    </row>
    <row r="872" ht="14.25" customHeight="1">
      <c r="C872" s="38"/>
    </row>
    <row r="873" ht="14.25" customHeight="1">
      <c r="C873" s="38"/>
    </row>
    <row r="874" ht="14.25" customHeight="1">
      <c r="C874" s="38"/>
    </row>
    <row r="875" ht="14.25" customHeight="1">
      <c r="C875" s="38"/>
    </row>
    <row r="876" ht="14.25" customHeight="1">
      <c r="C876" s="38"/>
    </row>
    <row r="877" ht="14.25" customHeight="1">
      <c r="C877" s="38"/>
    </row>
    <row r="878" ht="14.25" customHeight="1">
      <c r="C878" s="38"/>
    </row>
    <row r="879" ht="14.25" customHeight="1">
      <c r="C879" s="38"/>
    </row>
    <row r="880" ht="14.25" customHeight="1">
      <c r="C880" s="38"/>
    </row>
    <row r="881" ht="14.25" customHeight="1">
      <c r="C881" s="38"/>
    </row>
    <row r="882" ht="14.25" customHeight="1">
      <c r="C882" s="38"/>
    </row>
    <row r="883" ht="14.25" customHeight="1">
      <c r="C883" s="38"/>
    </row>
    <row r="884" ht="14.25" customHeight="1">
      <c r="C884" s="38"/>
    </row>
    <row r="885" ht="14.25" customHeight="1">
      <c r="C885" s="38"/>
    </row>
    <row r="886" ht="14.25" customHeight="1">
      <c r="C886" s="38"/>
    </row>
    <row r="887" ht="14.25" customHeight="1">
      <c r="C887" s="38"/>
    </row>
    <row r="888" ht="14.25" customHeight="1">
      <c r="C888" s="38"/>
    </row>
    <row r="889" ht="14.25" customHeight="1">
      <c r="C889" s="38"/>
    </row>
    <row r="890" ht="14.25" customHeight="1">
      <c r="C890" s="38"/>
    </row>
    <row r="891" ht="14.25" customHeight="1">
      <c r="C891" s="38"/>
    </row>
    <row r="892" ht="14.25" customHeight="1">
      <c r="C892" s="38"/>
    </row>
    <row r="893" ht="14.25" customHeight="1">
      <c r="C893" s="38"/>
    </row>
    <row r="894" ht="14.25" customHeight="1">
      <c r="C894" s="38"/>
    </row>
    <row r="895" ht="14.25" customHeight="1">
      <c r="C895" s="38"/>
    </row>
    <row r="896" ht="14.25" customHeight="1">
      <c r="C896" s="38"/>
    </row>
    <row r="897" ht="14.25" customHeight="1">
      <c r="C897" s="38"/>
    </row>
    <row r="898" ht="14.25" customHeight="1">
      <c r="C898" s="38"/>
    </row>
    <row r="899" ht="14.25" customHeight="1">
      <c r="C899" s="38"/>
    </row>
    <row r="900" ht="14.25" customHeight="1">
      <c r="C900" s="38"/>
    </row>
    <row r="901" ht="14.25" customHeight="1">
      <c r="C901" s="38"/>
    </row>
    <row r="902" ht="14.25" customHeight="1">
      <c r="C902" s="38"/>
    </row>
    <row r="903" ht="14.25" customHeight="1">
      <c r="C903" s="38"/>
    </row>
    <row r="904" ht="14.25" customHeight="1">
      <c r="C904" s="38"/>
    </row>
    <row r="905" ht="14.25" customHeight="1">
      <c r="C905" s="38"/>
    </row>
    <row r="906" ht="14.25" customHeight="1">
      <c r="C906" s="38"/>
    </row>
    <row r="907" ht="14.25" customHeight="1">
      <c r="C907" s="38"/>
    </row>
    <row r="908" ht="14.25" customHeight="1">
      <c r="C908" s="38"/>
    </row>
    <row r="909" ht="14.25" customHeight="1">
      <c r="C909" s="38"/>
    </row>
    <row r="910" ht="14.25" customHeight="1">
      <c r="C910" s="38"/>
    </row>
    <row r="911" ht="14.25" customHeight="1">
      <c r="C911" s="38"/>
    </row>
    <row r="912" ht="14.25" customHeight="1">
      <c r="C912" s="38"/>
    </row>
    <row r="913" ht="14.25" customHeight="1">
      <c r="C913" s="38"/>
    </row>
    <row r="914" ht="14.25" customHeight="1">
      <c r="C914" s="38"/>
    </row>
    <row r="915" ht="14.25" customHeight="1">
      <c r="C915" s="38"/>
    </row>
    <row r="916" ht="14.25" customHeight="1">
      <c r="C916" s="38"/>
    </row>
    <row r="917" ht="14.25" customHeight="1">
      <c r="C917" s="38"/>
    </row>
    <row r="918" ht="14.25" customHeight="1">
      <c r="C918" s="38"/>
    </row>
    <row r="919" ht="14.25" customHeight="1">
      <c r="C919" s="38"/>
    </row>
    <row r="920" ht="14.25" customHeight="1">
      <c r="C920" s="38"/>
    </row>
    <row r="921" ht="14.25" customHeight="1">
      <c r="C921" s="38"/>
    </row>
    <row r="922" ht="14.25" customHeight="1">
      <c r="C922" s="38"/>
    </row>
    <row r="923" ht="14.25" customHeight="1">
      <c r="C923" s="38"/>
    </row>
    <row r="924" ht="14.25" customHeight="1">
      <c r="C924" s="38"/>
    </row>
    <row r="925" ht="14.25" customHeight="1">
      <c r="C925" s="38"/>
    </row>
    <row r="926" ht="14.25" customHeight="1">
      <c r="C926" s="38"/>
    </row>
    <row r="927" ht="14.25" customHeight="1">
      <c r="C927" s="38"/>
    </row>
    <row r="928" ht="14.25" customHeight="1">
      <c r="C928" s="38"/>
    </row>
    <row r="929" ht="14.25" customHeight="1">
      <c r="C929" s="38"/>
    </row>
    <row r="930" ht="14.25" customHeight="1">
      <c r="C930" s="38"/>
    </row>
    <row r="931" ht="14.25" customHeight="1">
      <c r="C931" s="38"/>
    </row>
    <row r="932" ht="14.25" customHeight="1">
      <c r="C932" s="38"/>
    </row>
    <row r="933" ht="14.25" customHeight="1">
      <c r="C933" s="38"/>
    </row>
    <row r="934" ht="14.25" customHeight="1">
      <c r="C934" s="38"/>
    </row>
    <row r="935" ht="14.25" customHeight="1">
      <c r="C935" s="38"/>
    </row>
    <row r="936" ht="14.25" customHeight="1">
      <c r="C936" s="38"/>
    </row>
    <row r="937" ht="14.25" customHeight="1">
      <c r="C937" s="38"/>
    </row>
    <row r="938" ht="14.25" customHeight="1">
      <c r="C938" s="38"/>
    </row>
    <row r="939" ht="14.25" customHeight="1">
      <c r="C939" s="38"/>
    </row>
    <row r="940" ht="14.25" customHeight="1">
      <c r="C940" s="38"/>
    </row>
    <row r="941" ht="14.25" customHeight="1">
      <c r="C941" s="38"/>
    </row>
    <row r="942" ht="14.25" customHeight="1">
      <c r="C942" s="38"/>
    </row>
    <row r="943" ht="14.25" customHeight="1">
      <c r="C943" s="38"/>
    </row>
    <row r="944" ht="14.25" customHeight="1">
      <c r="C944" s="38"/>
    </row>
    <row r="945" ht="14.25" customHeight="1">
      <c r="C945" s="38"/>
    </row>
    <row r="946" ht="14.25" customHeight="1">
      <c r="C946" s="38"/>
    </row>
    <row r="947" ht="14.25" customHeight="1">
      <c r="C947" s="38"/>
    </row>
    <row r="948" ht="14.25" customHeight="1">
      <c r="C948" s="38"/>
    </row>
    <row r="949" ht="14.25" customHeight="1">
      <c r="C949" s="38"/>
    </row>
    <row r="950" ht="14.25" customHeight="1">
      <c r="C950" s="38"/>
    </row>
    <row r="951" ht="14.25" customHeight="1">
      <c r="C951" s="38"/>
    </row>
    <row r="952" ht="14.25" customHeight="1">
      <c r="C952" s="38"/>
    </row>
    <row r="953" ht="14.25" customHeight="1">
      <c r="C953" s="38"/>
    </row>
    <row r="954" ht="14.25" customHeight="1">
      <c r="C954" s="38"/>
    </row>
    <row r="955" ht="14.25" customHeight="1">
      <c r="C955" s="38"/>
    </row>
    <row r="956" ht="14.25" customHeight="1">
      <c r="C956" s="38"/>
    </row>
    <row r="957" ht="14.25" customHeight="1">
      <c r="C957" s="38"/>
    </row>
    <row r="958" ht="14.25" customHeight="1">
      <c r="C958" s="38"/>
    </row>
    <row r="959" ht="14.25" customHeight="1">
      <c r="C959" s="38"/>
    </row>
    <row r="960" ht="14.25" customHeight="1">
      <c r="C960" s="38"/>
    </row>
    <row r="961" ht="14.25" customHeight="1">
      <c r="C961" s="38"/>
    </row>
    <row r="962" ht="14.25" customHeight="1">
      <c r="C962" s="38"/>
    </row>
    <row r="963" ht="14.25" customHeight="1">
      <c r="C963" s="38"/>
    </row>
    <row r="964" ht="14.25" customHeight="1">
      <c r="C964" s="38"/>
    </row>
    <row r="965" ht="14.25" customHeight="1">
      <c r="C965" s="38"/>
    </row>
    <row r="966" ht="14.25" customHeight="1">
      <c r="C966" s="38"/>
    </row>
    <row r="967" ht="14.25" customHeight="1">
      <c r="C967" s="38"/>
    </row>
    <row r="968" ht="14.25" customHeight="1">
      <c r="C968" s="38"/>
    </row>
    <row r="969" ht="14.25" customHeight="1">
      <c r="C969" s="38"/>
    </row>
    <row r="970" ht="14.25" customHeight="1">
      <c r="C970" s="38"/>
    </row>
    <row r="971" ht="14.25" customHeight="1">
      <c r="C971" s="38"/>
    </row>
    <row r="972" ht="14.25" customHeight="1">
      <c r="C972" s="38"/>
    </row>
    <row r="973" ht="14.25" customHeight="1">
      <c r="C973" s="38"/>
    </row>
    <row r="974" ht="14.25" customHeight="1">
      <c r="C974" s="38"/>
    </row>
    <row r="975" ht="14.25" customHeight="1">
      <c r="C975" s="38"/>
    </row>
    <row r="976" ht="14.25" customHeight="1">
      <c r="C976" s="38"/>
    </row>
    <row r="977" ht="14.25" customHeight="1">
      <c r="C977" s="38"/>
    </row>
    <row r="978" ht="14.25" customHeight="1">
      <c r="C978" s="38"/>
    </row>
    <row r="979" ht="14.25" customHeight="1">
      <c r="C979" s="38"/>
    </row>
    <row r="980" ht="14.25" customHeight="1">
      <c r="C980" s="38"/>
    </row>
    <row r="981" ht="14.25" customHeight="1">
      <c r="C981" s="38"/>
    </row>
    <row r="982" ht="14.25" customHeight="1">
      <c r="C982" s="38"/>
    </row>
    <row r="983" ht="14.25" customHeight="1">
      <c r="C983" s="38"/>
    </row>
    <row r="984" ht="14.25" customHeight="1">
      <c r="C984" s="38"/>
    </row>
    <row r="985" ht="14.25" customHeight="1">
      <c r="C985" s="38"/>
    </row>
    <row r="986" ht="14.25" customHeight="1">
      <c r="C986" s="38"/>
    </row>
    <row r="987" ht="14.25" customHeight="1">
      <c r="C987" s="38"/>
    </row>
    <row r="988" ht="14.25" customHeight="1">
      <c r="C988" s="38"/>
    </row>
    <row r="989" ht="14.25" customHeight="1">
      <c r="C989" s="38"/>
    </row>
    <row r="990" ht="14.25" customHeight="1">
      <c r="C990" s="38"/>
    </row>
    <row r="991" ht="14.25" customHeight="1">
      <c r="C991" s="38"/>
    </row>
    <row r="992" ht="14.25" customHeight="1">
      <c r="C992" s="38"/>
    </row>
    <row r="993" ht="14.25" customHeight="1">
      <c r="C993" s="38"/>
    </row>
    <row r="994" ht="14.25" customHeight="1">
      <c r="C994" s="38"/>
    </row>
    <row r="995" ht="14.25" customHeight="1">
      <c r="C995" s="38"/>
    </row>
    <row r="996" ht="14.25" customHeight="1">
      <c r="C996" s="38"/>
    </row>
    <row r="997" ht="14.25" customHeight="1">
      <c r="C997" s="38"/>
    </row>
    <row r="998" ht="14.25" customHeight="1">
      <c r="C998" s="38"/>
    </row>
  </sheetData>
  <mergeCells count="36">
    <mergeCell ref="D156:E156"/>
    <mergeCell ref="D158:E158"/>
    <mergeCell ref="D159:E159"/>
    <mergeCell ref="H159:I159"/>
    <mergeCell ref="H169:I169"/>
    <mergeCell ref="H175:I175"/>
    <mergeCell ref="H182:I182"/>
    <mergeCell ref="H187:I187"/>
    <mergeCell ref="H189:I189"/>
    <mergeCell ref="D194:E194"/>
    <mergeCell ref="H197:I197"/>
    <mergeCell ref="D198:E198"/>
    <mergeCell ref="H198:I198"/>
    <mergeCell ref="D201:E201"/>
    <mergeCell ref="H229:I229"/>
    <mergeCell ref="H230:I230"/>
    <mergeCell ref="H235:I235"/>
    <mergeCell ref="H237:I237"/>
    <mergeCell ref="H238:I238"/>
    <mergeCell ref="H240:I240"/>
    <mergeCell ref="H241:I241"/>
    <mergeCell ref="H243:I243"/>
    <mergeCell ref="D233:E233"/>
    <mergeCell ref="D235:E235"/>
    <mergeCell ref="D237:E237"/>
    <mergeCell ref="D240:E240"/>
    <mergeCell ref="D241:E241"/>
    <mergeCell ref="D242:E242"/>
    <mergeCell ref="D243:E243"/>
    <mergeCell ref="H220:I220"/>
    <mergeCell ref="H221:I221"/>
    <mergeCell ref="D222:E222"/>
    <mergeCell ref="H223:I223"/>
    <mergeCell ref="H227:I227"/>
    <mergeCell ref="H228:I228"/>
    <mergeCell ref="D229:E229"/>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4.33"/>
    <col customWidth="1" min="3" max="3" width="26.67"/>
    <col customWidth="1" min="5" max="5" width="6.33"/>
    <col customWidth="1" min="6" max="6" width="10.11"/>
    <col customWidth="1" min="8" max="8" width="11.22"/>
    <col customWidth="1" min="9" max="9" width="11.89"/>
    <col customWidth="1" min="10" max="10" width="13.78"/>
    <col customWidth="1" min="11" max="11" width="46.22"/>
    <col customWidth="1" min="12" max="12" width="37.44"/>
    <col customWidth="1" min="19" max="19" width="20.44"/>
    <col customWidth="1" min="22" max="22" width="16.11"/>
    <col customWidth="1" min="23" max="23" width="6.78"/>
    <col customWidth="1" min="24" max="24" width="7.44"/>
  </cols>
  <sheetData>
    <row r="1">
      <c r="A1" s="52" t="s">
        <v>942</v>
      </c>
      <c r="B1" s="53" t="s">
        <v>57</v>
      </c>
      <c r="C1" s="54" t="s">
        <v>58</v>
      </c>
      <c r="D1" s="55" t="s">
        <v>943</v>
      </c>
      <c r="E1" s="56" t="s">
        <v>944</v>
      </c>
      <c r="F1" s="57" t="s">
        <v>945</v>
      </c>
      <c r="G1" s="58" t="s">
        <v>946</v>
      </c>
      <c r="H1" s="58" t="s">
        <v>947</v>
      </c>
      <c r="I1" s="58" t="s">
        <v>948</v>
      </c>
      <c r="J1" s="59" t="s">
        <v>949</v>
      </c>
      <c r="K1" s="58" t="s">
        <v>62</v>
      </c>
      <c r="L1" s="58" t="s">
        <v>61</v>
      </c>
      <c r="M1" s="60" t="s">
        <v>950</v>
      </c>
      <c r="N1" s="61" t="s">
        <v>951</v>
      </c>
      <c r="O1" s="62" t="s">
        <v>952</v>
      </c>
      <c r="P1" s="62" t="s">
        <v>953</v>
      </c>
      <c r="Q1" s="62" t="s">
        <v>954</v>
      </c>
      <c r="R1" s="63" t="s">
        <v>955</v>
      </c>
      <c r="S1" s="58" t="s">
        <v>956</v>
      </c>
      <c r="T1" s="58" t="s">
        <v>957</v>
      </c>
      <c r="U1" s="64" t="s">
        <v>958</v>
      </c>
      <c r="V1" s="65" t="s">
        <v>959</v>
      </c>
      <c r="W1" s="66" t="s">
        <v>960</v>
      </c>
      <c r="X1" s="64" t="s">
        <v>961</v>
      </c>
      <c r="Y1" s="64"/>
      <c r="Z1" s="64"/>
      <c r="AA1" s="64"/>
      <c r="AB1" s="64"/>
      <c r="AC1" s="64"/>
    </row>
    <row r="2">
      <c r="A2" s="67" t="s">
        <v>431</v>
      </c>
      <c r="B2" s="68" t="s">
        <v>432</v>
      </c>
      <c r="C2" s="68" t="s">
        <v>433</v>
      </c>
      <c r="D2" s="69" t="s">
        <v>962</v>
      </c>
      <c r="E2" s="67" t="s">
        <v>963</v>
      </c>
      <c r="F2" s="70" t="s">
        <v>49</v>
      </c>
      <c r="G2" s="71" t="s">
        <v>964</v>
      </c>
      <c r="H2" s="71" t="s">
        <v>965</v>
      </c>
      <c r="I2" s="72" t="s">
        <v>966</v>
      </c>
      <c r="J2" s="73" t="s">
        <v>967</v>
      </c>
      <c r="K2" s="74" t="s">
        <v>968</v>
      </c>
      <c r="L2" s="74" t="s">
        <v>969</v>
      </c>
      <c r="M2" s="71" t="s">
        <v>970</v>
      </c>
      <c r="N2" s="75">
        <v>2022.0</v>
      </c>
      <c r="O2" s="71" t="s">
        <v>971</v>
      </c>
      <c r="P2" s="71" t="s">
        <v>972</v>
      </c>
      <c r="Q2" s="71" t="s">
        <v>972</v>
      </c>
      <c r="R2" s="67" t="s">
        <v>963</v>
      </c>
      <c r="S2" s="67" t="s">
        <v>973</v>
      </c>
      <c r="T2" s="67" t="s">
        <v>974</v>
      </c>
      <c r="U2" s="68"/>
      <c r="V2" s="42" t="s">
        <v>975</v>
      </c>
      <c r="W2" s="76" t="s">
        <v>931</v>
      </c>
      <c r="X2" s="77"/>
      <c r="Y2" s="67"/>
      <c r="Z2" s="67"/>
      <c r="AA2" s="67"/>
      <c r="AB2" s="67"/>
      <c r="AC2" s="67"/>
    </row>
    <row r="3">
      <c r="A3" s="67" t="s">
        <v>431</v>
      </c>
      <c r="B3" s="68" t="s">
        <v>435</v>
      </c>
      <c r="C3" s="68" t="s">
        <v>436</v>
      </c>
      <c r="D3" s="78" t="s">
        <v>976</v>
      </c>
      <c r="E3" s="67" t="s">
        <v>963</v>
      </c>
      <c r="F3" s="70" t="s">
        <v>49</v>
      </c>
      <c r="G3" s="71" t="s">
        <v>977</v>
      </c>
      <c r="H3" s="71" t="s">
        <v>977</v>
      </c>
      <c r="I3" s="26" t="s">
        <v>978</v>
      </c>
      <c r="J3" s="73" t="s">
        <v>967</v>
      </c>
      <c r="K3" s="79" t="s">
        <v>979</v>
      </c>
      <c r="L3" s="79"/>
      <c r="M3" s="71" t="s">
        <v>970</v>
      </c>
      <c r="N3" s="75">
        <v>2022.0</v>
      </c>
      <c r="O3" s="71" t="s">
        <v>980</v>
      </c>
      <c r="P3" s="71" t="s">
        <v>981</v>
      </c>
      <c r="Q3" s="71" t="s">
        <v>982</v>
      </c>
      <c r="R3" s="67" t="s">
        <v>963</v>
      </c>
      <c r="S3" s="67" t="s">
        <v>983</v>
      </c>
      <c r="T3" s="67" t="s">
        <v>984</v>
      </c>
      <c r="U3" s="68"/>
      <c r="V3" s="42" t="s">
        <v>985</v>
      </c>
      <c r="W3" s="76" t="s">
        <v>931</v>
      </c>
      <c r="X3" s="80"/>
      <c r="Y3" s="68"/>
      <c r="Z3" s="68"/>
      <c r="AA3" s="68"/>
      <c r="AB3" s="68"/>
      <c r="AC3" s="68"/>
    </row>
    <row r="4">
      <c r="A4" s="67" t="s">
        <v>431</v>
      </c>
      <c r="B4" s="68" t="s">
        <v>437</v>
      </c>
      <c r="C4" s="68" t="s">
        <v>438</v>
      </c>
      <c r="D4" s="78" t="s">
        <v>986</v>
      </c>
      <c r="E4" s="67" t="s">
        <v>963</v>
      </c>
      <c r="F4" s="70" t="s">
        <v>49</v>
      </c>
      <c r="G4" s="71" t="s">
        <v>987</v>
      </c>
      <c r="H4" s="71"/>
      <c r="I4" s="72" t="s">
        <v>966</v>
      </c>
      <c r="J4" s="73" t="s">
        <v>988</v>
      </c>
      <c r="K4" s="74" t="s">
        <v>989</v>
      </c>
      <c r="L4" s="74" t="s">
        <v>990</v>
      </c>
      <c r="M4" s="71" t="s">
        <v>991</v>
      </c>
      <c r="N4" s="75">
        <v>2022.0</v>
      </c>
      <c r="O4" s="71" t="s">
        <v>992</v>
      </c>
      <c r="P4" s="71" t="s">
        <v>972</v>
      </c>
      <c r="Q4" s="71" t="s">
        <v>972</v>
      </c>
      <c r="R4" s="67" t="s">
        <v>993</v>
      </c>
      <c r="S4" s="67" t="s">
        <v>994</v>
      </c>
      <c r="T4" s="67" t="s">
        <v>995</v>
      </c>
      <c r="U4" s="68"/>
      <c r="V4" s="42" t="s">
        <v>996</v>
      </c>
      <c r="W4" s="76" t="s">
        <v>931</v>
      </c>
      <c r="X4" s="80"/>
      <c r="Y4" s="68"/>
      <c r="Z4" s="68"/>
      <c r="AA4" s="68"/>
      <c r="AB4" s="68"/>
      <c r="AC4" s="68"/>
    </row>
    <row r="5">
      <c r="A5" s="67" t="s">
        <v>431</v>
      </c>
      <c r="B5" s="68" t="s">
        <v>441</v>
      </c>
      <c r="C5" s="68" t="s">
        <v>442</v>
      </c>
      <c r="D5" s="78" t="s">
        <v>997</v>
      </c>
      <c r="E5" s="67" t="s">
        <v>963</v>
      </c>
      <c r="F5" s="70" t="s">
        <v>49</v>
      </c>
      <c r="G5" s="71" t="s">
        <v>998</v>
      </c>
      <c r="H5" s="71"/>
      <c r="I5" s="70" t="s">
        <v>162</v>
      </c>
      <c r="J5" s="73" t="s">
        <v>999</v>
      </c>
      <c r="K5" s="74" t="s">
        <v>1000</v>
      </c>
      <c r="L5" s="74" t="s">
        <v>1001</v>
      </c>
      <c r="M5" s="71" t="s">
        <v>1002</v>
      </c>
      <c r="N5" s="75">
        <v>2022.0</v>
      </c>
      <c r="O5" s="71" t="s">
        <v>1003</v>
      </c>
      <c r="P5" s="71" t="s">
        <v>972</v>
      </c>
      <c r="Q5" s="71" t="s">
        <v>972</v>
      </c>
      <c r="R5" s="67" t="s">
        <v>993</v>
      </c>
      <c r="S5" s="67" t="s">
        <v>994</v>
      </c>
      <c r="T5" s="67" t="s">
        <v>1004</v>
      </c>
      <c r="U5" s="68"/>
      <c r="V5" s="42" t="s">
        <v>1005</v>
      </c>
      <c r="W5" s="76" t="s">
        <v>931</v>
      </c>
      <c r="X5" s="80"/>
      <c r="Y5" s="68"/>
      <c r="Z5" s="68"/>
      <c r="AA5" s="68"/>
      <c r="AB5" s="68"/>
      <c r="AC5" s="68"/>
    </row>
    <row r="6">
      <c r="A6" s="67" t="s">
        <v>431</v>
      </c>
      <c r="B6" s="68" t="s">
        <v>446</v>
      </c>
      <c r="C6" s="68" t="s">
        <v>447</v>
      </c>
      <c r="D6" s="78" t="s">
        <v>1006</v>
      </c>
      <c r="E6" s="67" t="s">
        <v>963</v>
      </c>
      <c r="F6" s="70" t="s">
        <v>49</v>
      </c>
      <c r="G6" s="71" t="s">
        <v>1007</v>
      </c>
      <c r="H6" s="72" t="s">
        <v>966</v>
      </c>
      <c r="I6" s="70" t="s">
        <v>162</v>
      </c>
      <c r="J6" s="81" t="s">
        <v>1008</v>
      </c>
      <c r="K6" s="74" t="s">
        <v>1009</v>
      </c>
      <c r="L6" s="74" t="s">
        <v>1010</v>
      </c>
      <c r="M6" s="71" t="s">
        <v>1011</v>
      </c>
      <c r="N6" s="75">
        <v>2022.0</v>
      </c>
      <c r="O6" s="71" t="s">
        <v>992</v>
      </c>
      <c r="P6" s="71" t="s">
        <v>972</v>
      </c>
      <c r="Q6" s="71" t="s">
        <v>972</v>
      </c>
      <c r="R6" s="67" t="s">
        <v>1012</v>
      </c>
      <c r="S6" s="67" t="s">
        <v>994</v>
      </c>
      <c r="T6" s="67" t="s">
        <v>1013</v>
      </c>
      <c r="U6" s="68"/>
      <c r="V6" s="42" t="s">
        <v>1014</v>
      </c>
      <c r="W6" s="76" t="s">
        <v>931</v>
      </c>
      <c r="X6" s="80"/>
      <c r="Y6" s="68"/>
      <c r="Z6" s="68"/>
      <c r="AA6" s="68"/>
      <c r="AB6" s="68"/>
      <c r="AC6" s="68"/>
    </row>
    <row r="7">
      <c r="A7" s="67" t="s">
        <v>431</v>
      </c>
      <c r="B7" s="68" t="s">
        <v>449</v>
      </c>
      <c r="C7" s="68" t="s">
        <v>450</v>
      </c>
      <c r="D7" s="78" t="s">
        <v>1015</v>
      </c>
      <c r="E7" s="67" t="s">
        <v>963</v>
      </c>
      <c r="F7" s="70" t="s">
        <v>49</v>
      </c>
      <c r="G7" s="71" t="s">
        <v>1016</v>
      </c>
      <c r="H7" s="72" t="s">
        <v>966</v>
      </c>
      <c r="I7" s="70" t="s">
        <v>162</v>
      </c>
      <c r="J7" s="73" t="s">
        <v>1017</v>
      </c>
      <c r="K7" s="74" t="s">
        <v>1009</v>
      </c>
      <c r="L7" s="74" t="s">
        <v>1018</v>
      </c>
      <c r="M7" s="71" t="s">
        <v>1019</v>
      </c>
      <c r="N7" s="75">
        <v>2022.0</v>
      </c>
      <c r="O7" s="71" t="s">
        <v>992</v>
      </c>
      <c r="P7" s="71" t="s">
        <v>1020</v>
      </c>
      <c r="Q7" s="71" t="s">
        <v>1021</v>
      </c>
      <c r="R7" s="67" t="s">
        <v>963</v>
      </c>
      <c r="S7" s="67" t="s">
        <v>1022</v>
      </c>
      <c r="T7" s="67" t="s">
        <v>1023</v>
      </c>
      <c r="U7" s="68"/>
      <c r="V7" s="42" t="s">
        <v>1024</v>
      </c>
      <c r="W7" s="76" t="s">
        <v>931</v>
      </c>
      <c r="X7" s="82"/>
      <c r="Y7" s="68"/>
      <c r="Z7" s="68"/>
      <c r="AA7" s="68"/>
      <c r="AB7" s="68"/>
      <c r="AC7" s="68"/>
    </row>
    <row r="8">
      <c r="A8" s="67" t="s">
        <v>431</v>
      </c>
      <c r="B8" s="68" t="s">
        <v>452</v>
      </c>
      <c r="C8" s="68" t="s">
        <v>453</v>
      </c>
      <c r="D8" s="69" t="s">
        <v>1025</v>
      </c>
      <c r="E8" s="67" t="s">
        <v>963</v>
      </c>
      <c r="F8" s="70" t="s">
        <v>49</v>
      </c>
      <c r="G8" s="71" t="s">
        <v>998</v>
      </c>
      <c r="H8" s="71"/>
      <c r="I8" s="70" t="s">
        <v>162</v>
      </c>
      <c r="J8" s="73" t="s">
        <v>988</v>
      </c>
      <c r="K8" s="74" t="s">
        <v>1009</v>
      </c>
      <c r="L8" s="74" t="s">
        <v>1026</v>
      </c>
      <c r="M8" s="71" t="s">
        <v>1027</v>
      </c>
      <c r="N8" s="75">
        <v>2022.0</v>
      </c>
      <c r="O8" s="71" t="s">
        <v>992</v>
      </c>
      <c r="P8" s="71" t="s">
        <v>1028</v>
      </c>
      <c r="Q8" s="71" t="s">
        <v>982</v>
      </c>
      <c r="R8" s="67" t="s">
        <v>963</v>
      </c>
      <c r="S8" s="67" t="s">
        <v>983</v>
      </c>
      <c r="T8" s="67" t="s">
        <v>1029</v>
      </c>
      <c r="U8" s="68"/>
      <c r="V8" s="42" t="s">
        <v>1030</v>
      </c>
      <c r="W8" s="76" t="s">
        <v>1031</v>
      </c>
      <c r="X8" s="83"/>
      <c r="Y8" s="68"/>
      <c r="Z8" s="68"/>
      <c r="AA8" s="68"/>
      <c r="AB8" s="68"/>
      <c r="AC8" s="68"/>
    </row>
    <row r="9">
      <c r="A9" s="67" t="s">
        <v>431</v>
      </c>
      <c r="B9" s="68" t="s">
        <v>457</v>
      </c>
      <c r="C9" s="68" t="s">
        <v>458</v>
      </c>
      <c r="D9" s="78" t="s">
        <v>1032</v>
      </c>
      <c r="E9" s="67" t="s">
        <v>963</v>
      </c>
      <c r="F9" s="70" t="s">
        <v>49</v>
      </c>
      <c r="G9" s="71" t="s">
        <v>998</v>
      </c>
      <c r="H9" s="71"/>
      <c r="I9" s="70" t="s">
        <v>162</v>
      </c>
      <c r="J9" s="73" t="s">
        <v>988</v>
      </c>
      <c r="K9" s="74" t="s">
        <v>1033</v>
      </c>
      <c r="L9" s="74" t="s">
        <v>1034</v>
      </c>
      <c r="M9" s="71" t="s">
        <v>1027</v>
      </c>
      <c r="N9" s="75">
        <v>2022.0</v>
      </c>
      <c r="O9" s="71" t="s">
        <v>971</v>
      </c>
      <c r="P9" s="71" t="s">
        <v>972</v>
      </c>
      <c r="Q9" s="71" t="s">
        <v>972</v>
      </c>
      <c r="R9" s="67" t="s">
        <v>963</v>
      </c>
      <c r="S9" s="67" t="s">
        <v>1022</v>
      </c>
      <c r="T9" s="67" t="s">
        <v>1035</v>
      </c>
      <c r="U9" s="68"/>
      <c r="V9" s="39" t="s">
        <v>1036</v>
      </c>
      <c r="W9" s="76" t="s">
        <v>931</v>
      </c>
      <c r="X9" s="68"/>
      <c r="Y9" s="68"/>
      <c r="Z9" s="68"/>
      <c r="AA9" s="68"/>
      <c r="AB9" s="68"/>
      <c r="AC9" s="68"/>
    </row>
    <row r="10">
      <c r="A10" s="67" t="s">
        <v>431</v>
      </c>
      <c r="B10" s="68" t="s">
        <v>459</v>
      </c>
      <c r="C10" s="68" t="s">
        <v>460</v>
      </c>
      <c r="D10" s="69" t="s">
        <v>1037</v>
      </c>
      <c r="E10" s="67" t="s">
        <v>963</v>
      </c>
      <c r="F10" s="70" t="s">
        <v>49</v>
      </c>
      <c r="G10" s="71" t="s">
        <v>1038</v>
      </c>
      <c r="H10" s="71"/>
      <c r="I10" s="70" t="s">
        <v>1038</v>
      </c>
      <c r="J10" s="73" t="s">
        <v>1039</v>
      </c>
      <c r="K10" s="74" t="s">
        <v>1040</v>
      </c>
      <c r="L10" s="74" t="s">
        <v>1041</v>
      </c>
      <c r="M10" s="71" t="s">
        <v>1027</v>
      </c>
      <c r="N10" s="75">
        <v>2021.0</v>
      </c>
      <c r="O10" s="71" t="s">
        <v>992</v>
      </c>
      <c r="P10" s="71" t="s">
        <v>972</v>
      </c>
      <c r="Q10" s="71" t="s">
        <v>972</v>
      </c>
      <c r="R10" s="67" t="s">
        <v>963</v>
      </c>
      <c r="S10" s="67" t="s">
        <v>994</v>
      </c>
      <c r="T10" s="67" t="s">
        <v>1042</v>
      </c>
      <c r="U10" s="68"/>
      <c r="V10" s="39" t="s">
        <v>1043</v>
      </c>
      <c r="W10" s="76" t="s">
        <v>931</v>
      </c>
      <c r="X10" s="68"/>
      <c r="Y10" s="68"/>
      <c r="Z10" s="68"/>
      <c r="AA10" s="68"/>
      <c r="AB10" s="68"/>
      <c r="AC10" s="68"/>
    </row>
    <row r="11">
      <c r="A11" s="67" t="s">
        <v>431</v>
      </c>
      <c r="B11" s="68" t="s">
        <v>464</v>
      </c>
      <c r="C11" s="68" t="s">
        <v>465</v>
      </c>
      <c r="D11" s="69" t="s">
        <v>1044</v>
      </c>
      <c r="E11" s="67" t="s">
        <v>963</v>
      </c>
      <c r="F11" s="70" t="s">
        <v>49</v>
      </c>
      <c r="G11" s="71" t="s">
        <v>1045</v>
      </c>
      <c r="H11" s="71"/>
      <c r="I11" s="70" t="s">
        <v>162</v>
      </c>
      <c r="J11" s="73" t="s">
        <v>988</v>
      </c>
      <c r="K11" s="74" t="s">
        <v>466</v>
      </c>
      <c r="L11" s="74" t="s">
        <v>1046</v>
      </c>
      <c r="M11" s="71" t="s">
        <v>1027</v>
      </c>
      <c r="N11" s="75">
        <v>2021.0</v>
      </c>
      <c r="O11" s="71" t="s">
        <v>992</v>
      </c>
      <c r="P11" s="71" t="s">
        <v>972</v>
      </c>
      <c r="Q11" s="71" t="s">
        <v>972</v>
      </c>
      <c r="R11" s="67" t="s">
        <v>1012</v>
      </c>
      <c r="S11" s="67" t="s">
        <v>1047</v>
      </c>
      <c r="T11" s="67" t="s">
        <v>1048</v>
      </c>
      <c r="U11" s="68"/>
      <c r="V11" s="39" t="s">
        <v>1049</v>
      </c>
      <c r="W11" s="76" t="s">
        <v>931</v>
      </c>
      <c r="X11" s="68"/>
      <c r="Y11" s="68"/>
      <c r="Z11" s="68"/>
      <c r="AA11" s="68"/>
      <c r="AB11" s="68"/>
      <c r="AC11" s="68"/>
    </row>
    <row r="12">
      <c r="A12" s="67" t="s">
        <v>431</v>
      </c>
      <c r="B12" s="68" t="s">
        <v>472</v>
      </c>
      <c r="C12" s="68" t="s">
        <v>473</v>
      </c>
      <c r="D12" s="69" t="s">
        <v>1050</v>
      </c>
      <c r="E12" s="67" t="s">
        <v>963</v>
      </c>
      <c r="F12" s="70" t="s">
        <v>49</v>
      </c>
      <c r="G12" s="71" t="s">
        <v>1051</v>
      </c>
      <c r="H12" s="71" t="s">
        <v>162</v>
      </c>
      <c r="I12" s="70" t="s">
        <v>162</v>
      </c>
      <c r="J12" s="73" t="s">
        <v>999</v>
      </c>
      <c r="K12" s="79" t="s">
        <v>1052</v>
      </c>
      <c r="L12" s="74" t="s">
        <v>1053</v>
      </c>
      <c r="M12" s="71" t="s">
        <v>1027</v>
      </c>
      <c r="N12" s="75">
        <v>2021.0</v>
      </c>
      <c r="O12" s="71" t="s">
        <v>1003</v>
      </c>
      <c r="P12" s="71" t="s">
        <v>972</v>
      </c>
      <c r="Q12" s="71" t="s">
        <v>972</v>
      </c>
      <c r="R12" s="67" t="s">
        <v>993</v>
      </c>
      <c r="S12" s="67" t="s">
        <v>1054</v>
      </c>
      <c r="T12" s="67" t="s">
        <v>1055</v>
      </c>
      <c r="U12" s="68"/>
      <c r="V12" s="39" t="s">
        <v>1056</v>
      </c>
      <c r="W12" s="76" t="s">
        <v>931</v>
      </c>
      <c r="X12" s="68"/>
      <c r="Y12" s="68"/>
      <c r="Z12" s="68"/>
      <c r="AA12" s="68"/>
      <c r="AB12" s="68"/>
      <c r="AC12" s="68"/>
    </row>
    <row r="13">
      <c r="A13" s="67" t="s">
        <v>431</v>
      </c>
      <c r="B13" s="68" t="s">
        <v>475</v>
      </c>
      <c r="C13" s="68" t="s">
        <v>476</v>
      </c>
      <c r="D13" s="69" t="s">
        <v>1057</v>
      </c>
      <c r="E13" s="67" t="s">
        <v>963</v>
      </c>
      <c r="F13" s="70" t="s">
        <v>49</v>
      </c>
      <c r="G13" s="71" t="s">
        <v>1058</v>
      </c>
      <c r="H13" s="71"/>
      <c r="I13" s="70" t="s">
        <v>1038</v>
      </c>
      <c r="J13" s="73" t="s">
        <v>1039</v>
      </c>
      <c r="K13" s="74" t="s">
        <v>1059</v>
      </c>
      <c r="L13" s="74" t="s">
        <v>1060</v>
      </c>
      <c r="M13" s="71" t="s">
        <v>1027</v>
      </c>
      <c r="N13" s="75">
        <v>2021.0</v>
      </c>
      <c r="O13" s="71" t="s">
        <v>1061</v>
      </c>
      <c r="P13" s="71" t="s">
        <v>972</v>
      </c>
      <c r="Q13" s="71" t="s">
        <v>972</v>
      </c>
      <c r="R13" s="67" t="s">
        <v>963</v>
      </c>
      <c r="S13" s="67" t="s">
        <v>1062</v>
      </c>
      <c r="T13" s="67" t="s">
        <v>1063</v>
      </c>
      <c r="U13" s="68"/>
      <c r="V13" s="39" t="s">
        <v>1064</v>
      </c>
      <c r="W13" s="76" t="s">
        <v>931</v>
      </c>
      <c r="X13" s="68"/>
      <c r="Y13" s="68"/>
      <c r="Z13" s="68"/>
      <c r="AA13" s="68"/>
      <c r="AB13" s="68"/>
      <c r="AC13" s="68"/>
    </row>
    <row r="14">
      <c r="A14" s="67" t="s">
        <v>431</v>
      </c>
      <c r="B14" s="68" t="s">
        <v>486</v>
      </c>
      <c r="C14" s="68" t="s">
        <v>487</v>
      </c>
      <c r="D14" s="69" t="s">
        <v>1065</v>
      </c>
      <c r="E14" s="67" t="s">
        <v>963</v>
      </c>
      <c r="F14" s="70" t="s">
        <v>49</v>
      </c>
      <c r="G14" s="71" t="s">
        <v>1066</v>
      </c>
      <c r="H14" s="71" t="s">
        <v>162</v>
      </c>
      <c r="I14" s="70" t="s">
        <v>162</v>
      </c>
      <c r="J14" s="73" t="s">
        <v>1067</v>
      </c>
      <c r="K14" s="74" t="s">
        <v>1068</v>
      </c>
      <c r="L14" s="74" t="s">
        <v>1033</v>
      </c>
      <c r="M14" s="71" t="s">
        <v>1069</v>
      </c>
      <c r="N14" s="75">
        <v>2021.0</v>
      </c>
      <c r="O14" s="71" t="s">
        <v>980</v>
      </c>
      <c r="P14" s="71" t="s">
        <v>972</v>
      </c>
      <c r="Q14" s="71" t="s">
        <v>972</v>
      </c>
      <c r="R14" s="67" t="s">
        <v>963</v>
      </c>
      <c r="S14" s="67" t="s">
        <v>1062</v>
      </c>
      <c r="T14" s="67" t="s">
        <v>1070</v>
      </c>
      <c r="U14" s="68"/>
      <c r="V14" s="39" t="s">
        <v>1071</v>
      </c>
      <c r="W14" s="76" t="s">
        <v>931</v>
      </c>
      <c r="X14" s="68"/>
      <c r="Y14" s="68"/>
      <c r="Z14" s="68"/>
      <c r="AA14" s="68"/>
      <c r="AB14" s="68"/>
      <c r="AC14" s="68"/>
    </row>
    <row r="15">
      <c r="A15" s="67" t="s">
        <v>431</v>
      </c>
      <c r="B15" s="68" t="s">
        <v>490</v>
      </c>
      <c r="C15" s="68" t="s">
        <v>491</v>
      </c>
      <c r="D15" s="78" t="s">
        <v>1072</v>
      </c>
      <c r="E15" s="67" t="s">
        <v>963</v>
      </c>
      <c r="F15" s="70" t="s">
        <v>49</v>
      </c>
      <c r="G15" s="71" t="s">
        <v>1073</v>
      </c>
      <c r="H15" s="71" t="s">
        <v>1038</v>
      </c>
      <c r="I15" s="70" t="s">
        <v>162</v>
      </c>
      <c r="J15" s="73" t="s">
        <v>1039</v>
      </c>
      <c r="K15" s="74" t="s">
        <v>1009</v>
      </c>
      <c r="L15" s="74" t="s">
        <v>1074</v>
      </c>
      <c r="M15" s="71" t="s">
        <v>1027</v>
      </c>
      <c r="N15" s="75">
        <v>2021.0</v>
      </c>
      <c r="O15" s="71" t="s">
        <v>992</v>
      </c>
      <c r="P15" s="71" t="s">
        <v>972</v>
      </c>
      <c r="Q15" s="71" t="s">
        <v>972</v>
      </c>
      <c r="R15" s="67" t="s">
        <v>963</v>
      </c>
      <c r="S15" s="67" t="s">
        <v>994</v>
      </c>
      <c r="T15" s="67" t="s">
        <v>1048</v>
      </c>
      <c r="U15" s="68"/>
      <c r="V15" s="39" t="s">
        <v>1075</v>
      </c>
      <c r="W15" s="76" t="s">
        <v>931</v>
      </c>
      <c r="X15" s="68"/>
      <c r="Y15" s="68"/>
      <c r="Z15" s="68"/>
      <c r="AA15" s="68"/>
      <c r="AB15" s="68"/>
      <c r="AC15" s="68"/>
    </row>
    <row r="16">
      <c r="A16" s="67" t="s">
        <v>431</v>
      </c>
      <c r="B16" s="68" t="s">
        <v>494</v>
      </c>
      <c r="C16" s="68" t="s">
        <v>495</v>
      </c>
      <c r="D16" s="78" t="s">
        <v>1076</v>
      </c>
      <c r="E16" s="67" t="s">
        <v>963</v>
      </c>
      <c r="F16" s="70" t="s">
        <v>49</v>
      </c>
      <c r="G16" s="71" t="s">
        <v>1077</v>
      </c>
      <c r="H16" s="71"/>
      <c r="I16" s="70" t="s">
        <v>1038</v>
      </c>
      <c r="J16" s="73" t="s">
        <v>1039</v>
      </c>
      <c r="K16" s="74" t="s">
        <v>1078</v>
      </c>
      <c r="L16" s="74" t="s">
        <v>1079</v>
      </c>
      <c r="M16" s="71" t="s">
        <v>1019</v>
      </c>
      <c r="N16" s="75">
        <v>2021.0</v>
      </c>
      <c r="O16" s="71" t="s">
        <v>992</v>
      </c>
      <c r="P16" s="71" t="s">
        <v>1080</v>
      </c>
      <c r="Q16" s="71" t="s">
        <v>1081</v>
      </c>
      <c r="R16" s="67" t="s">
        <v>963</v>
      </c>
      <c r="S16" s="67" t="s">
        <v>1082</v>
      </c>
      <c r="T16" s="67" t="s">
        <v>1083</v>
      </c>
      <c r="U16" s="68"/>
      <c r="V16" s="39" t="s">
        <v>1084</v>
      </c>
      <c r="W16" s="76" t="s">
        <v>931</v>
      </c>
      <c r="X16" s="68"/>
      <c r="Y16" s="68"/>
      <c r="Z16" s="68"/>
      <c r="AA16" s="68"/>
      <c r="AB16" s="68"/>
      <c r="AC16" s="68"/>
    </row>
    <row r="17">
      <c r="A17" s="67" t="s">
        <v>431</v>
      </c>
      <c r="B17" s="68" t="s">
        <v>497</v>
      </c>
      <c r="C17" s="68" t="s">
        <v>498</v>
      </c>
      <c r="D17" s="69" t="s">
        <v>1085</v>
      </c>
      <c r="E17" s="67" t="s">
        <v>963</v>
      </c>
      <c r="F17" s="70" t="s">
        <v>49</v>
      </c>
      <c r="G17" s="71" t="s">
        <v>1086</v>
      </c>
      <c r="H17" s="71" t="s">
        <v>1087</v>
      </c>
      <c r="I17" s="70" t="s">
        <v>162</v>
      </c>
      <c r="J17" s="73" t="s">
        <v>988</v>
      </c>
      <c r="K17" s="74" t="s">
        <v>1088</v>
      </c>
      <c r="L17" s="74" t="s">
        <v>1089</v>
      </c>
      <c r="M17" s="71" t="s">
        <v>1027</v>
      </c>
      <c r="N17" s="75">
        <v>2020.0</v>
      </c>
      <c r="O17" s="71" t="s">
        <v>992</v>
      </c>
      <c r="P17" s="71" t="s">
        <v>1090</v>
      </c>
      <c r="Q17" s="71" t="s">
        <v>1021</v>
      </c>
      <c r="R17" s="67" t="s">
        <v>963</v>
      </c>
      <c r="S17" s="67" t="s">
        <v>1091</v>
      </c>
      <c r="T17" s="67" t="s">
        <v>1092</v>
      </c>
      <c r="U17" s="68"/>
      <c r="V17" s="39" t="s">
        <v>1093</v>
      </c>
      <c r="W17" s="76" t="s">
        <v>931</v>
      </c>
      <c r="X17" s="68"/>
      <c r="Y17" s="68"/>
      <c r="Z17" s="68"/>
      <c r="AA17" s="68"/>
      <c r="AB17" s="68"/>
      <c r="AC17" s="68"/>
    </row>
    <row r="18">
      <c r="A18" s="67" t="s">
        <v>431</v>
      </c>
      <c r="B18" s="68" t="s">
        <v>499</v>
      </c>
      <c r="C18" s="68" t="s">
        <v>500</v>
      </c>
      <c r="D18" s="69" t="s">
        <v>1094</v>
      </c>
      <c r="E18" s="67" t="s">
        <v>963</v>
      </c>
      <c r="F18" s="70" t="s">
        <v>49</v>
      </c>
      <c r="G18" s="71" t="s">
        <v>1038</v>
      </c>
      <c r="H18" s="71"/>
      <c r="I18" s="70" t="s">
        <v>1038</v>
      </c>
      <c r="J18" s="73" t="s">
        <v>1095</v>
      </c>
      <c r="K18" s="74" t="s">
        <v>1096</v>
      </c>
      <c r="L18" s="74" t="s">
        <v>1097</v>
      </c>
      <c r="M18" s="71" t="s">
        <v>1098</v>
      </c>
      <c r="N18" s="75">
        <v>2020.0</v>
      </c>
      <c r="O18" s="71" t="s">
        <v>1099</v>
      </c>
      <c r="P18" s="71" t="s">
        <v>1100</v>
      </c>
      <c r="Q18" s="71" t="s">
        <v>1081</v>
      </c>
      <c r="R18" s="67" t="s">
        <v>963</v>
      </c>
      <c r="S18" s="67" t="s">
        <v>1101</v>
      </c>
      <c r="T18" s="67" t="s">
        <v>1102</v>
      </c>
      <c r="U18" s="68"/>
      <c r="V18" s="39" t="s">
        <v>1103</v>
      </c>
      <c r="W18" s="76" t="s">
        <v>931</v>
      </c>
      <c r="X18" s="68"/>
      <c r="Y18" s="68"/>
      <c r="Z18" s="68"/>
      <c r="AA18" s="68"/>
      <c r="AB18" s="68"/>
      <c r="AC18" s="68"/>
    </row>
    <row r="19">
      <c r="A19" s="67" t="s">
        <v>431</v>
      </c>
      <c r="B19" s="84" t="s">
        <v>614</v>
      </c>
      <c r="C19" s="84" t="s">
        <v>615</v>
      </c>
      <c r="D19" s="78" t="s">
        <v>1104</v>
      </c>
      <c r="E19" s="67" t="s">
        <v>963</v>
      </c>
      <c r="F19" s="70" t="s">
        <v>49</v>
      </c>
      <c r="G19" s="71" t="s">
        <v>1105</v>
      </c>
      <c r="H19" s="71"/>
      <c r="I19" s="72" t="s">
        <v>966</v>
      </c>
      <c r="J19" s="73" t="s">
        <v>967</v>
      </c>
      <c r="K19" s="74" t="s">
        <v>1009</v>
      </c>
      <c r="L19" s="74" t="s">
        <v>1106</v>
      </c>
      <c r="M19" s="71" t="s">
        <v>1019</v>
      </c>
      <c r="N19" s="75">
        <v>2025.0</v>
      </c>
      <c r="O19" s="71" t="s">
        <v>980</v>
      </c>
      <c r="P19" s="71" t="s">
        <v>1107</v>
      </c>
      <c r="Q19" s="71" t="s">
        <v>982</v>
      </c>
      <c r="R19" s="67" t="s">
        <v>963</v>
      </c>
      <c r="S19" s="67" t="s">
        <v>1108</v>
      </c>
      <c r="T19" s="67" t="s">
        <v>1109</v>
      </c>
      <c r="U19" s="68"/>
      <c r="V19" s="39" t="s">
        <v>1110</v>
      </c>
      <c r="W19" s="76" t="s">
        <v>1031</v>
      </c>
      <c r="X19" s="68"/>
      <c r="Y19" s="68"/>
      <c r="Z19" s="68"/>
      <c r="AA19" s="68"/>
      <c r="AB19" s="68"/>
      <c r="AC19" s="68"/>
    </row>
    <row r="20">
      <c r="A20" s="67" t="s">
        <v>431</v>
      </c>
      <c r="B20" s="84" t="s">
        <v>621</v>
      </c>
      <c r="C20" s="84" t="s">
        <v>622</v>
      </c>
      <c r="D20" s="78" t="s">
        <v>1111</v>
      </c>
      <c r="E20" s="67" t="s">
        <v>963</v>
      </c>
      <c r="F20" s="70" t="s">
        <v>49</v>
      </c>
      <c r="G20" s="71" t="s">
        <v>1112</v>
      </c>
      <c r="H20" s="72" t="s">
        <v>966</v>
      </c>
      <c r="I20" s="70" t="s">
        <v>162</v>
      </c>
      <c r="J20" s="81" t="s">
        <v>1113</v>
      </c>
      <c r="K20" s="74" t="s">
        <v>1009</v>
      </c>
      <c r="L20" s="74" t="s">
        <v>1114</v>
      </c>
      <c r="M20" s="71" t="s">
        <v>1027</v>
      </c>
      <c r="N20" s="75">
        <v>2025.0</v>
      </c>
      <c r="O20" s="71" t="s">
        <v>992</v>
      </c>
      <c r="P20" s="71" t="s">
        <v>972</v>
      </c>
      <c r="Q20" s="71" t="s">
        <v>972</v>
      </c>
      <c r="R20" s="67" t="s">
        <v>993</v>
      </c>
      <c r="S20" s="67" t="s">
        <v>994</v>
      </c>
      <c r="T20" s="67" t="s">
        <v>1115</v>
      </c>
      <c r="U20" s="68"/>
      <c r="V20" s="39" t="s">
        <v>1116</v>
      </c>
      <c r="W20" s="76" t="s">
        <v>931</v>
      </c>
      <c r="X20" s="68"/>
      <c r="Y20" s="68"/>
      <c r="Z20" s="68"/>
      <c r="AA20" s="68"/>
      <c r="AB20" s="68"/>
      <c r="AC20" s="68"/>
    </row>
    <row r="21">
      <c r="A21" s="67" t="s">
        <v>431</v>
      </c>
      <c r="B21" s="84" t="s">
        <v>625</v>
      </c>
      <c r="C21" s="84" t="s">
        <v>626</v>
      </c>
      <c r="D21" s="78" t="s">
        <v>1117</v>
      </c>
      <c r="E21" s="67" t="s">
        <v>963</v>
      </c>
      <c r="F21" s="70" t="s">
        <v>49</v>
      </c>
      <c r="G21" s="71" t="s">
        <v>1118</v>
      </c>
      <c r="H21" s="71" t="s">
        <v>1119</v>
      </c>
      <c r="I21" s="70" t="s">
        <v>162</v>
      </c>
      <c r="J21" s="73" t="s">
        <v>988</v>
      </c>
      <c r="K21" s="74" t="s">
        <v>1120</v>
      </c>
      <c r="L21" s="74"/>
      <c r="M21" s="71" t="s">
        <v>1027</v>
      </c>
      <c r="N21" s="75">
        <v>2025.0</v>
      </c>
      <c r="O21" s="71" t="s">
        <v>1121</v>
      </c>
      <c r="P21" s="71" t="s">
        <v>972</v>
      </c>
      <c r="Q21" s="71" t="s">
        <v>972</v>
      </c>
      <c r="R21" s="67" t="s">
        <v>1122</v>
      </c>
      <c r="S21" s="67" t="s">
        <v>1123</v>
      </c>
      <c r="T21" s="67" t="s">
        <v>1124</v>
      </c>
      <c r="U21" s="68"/>
      <c r="V21" s="39" t="s">
        <v>1125</v>
      </c>
      <c r="W21" s="76" t="s">
        <v>931</v>
      </c>
      <c r="X21" s="68"/>
      <c r="Y21" s="68"/>
      <c r="Z21" s="68"/>
      <c r="AA21" s="68"/>
      <c r="AB21" s="68"/>
      <c r="AC21" s="68"/>
    </row>
    <row r="22">
      <c r="A22" s="67" t="s">
        <v>431</v>
      </c>
      <c r="B22" s="84" t="s">
        <v>727</v>
      </c>
      <c r="C22" s="84" t="s">
        <v>728</v>
      </c>
      <c r="D22" s="78" t="s">
        <v>1126</v>
      </c>
      <c r="E22" s="67" t="s">
        <v>963</v>
      </c>
      <c r="F22" s="70" t="s">
        <v>49</v>
      </c>
      <c r="G22" s="71" t="s">
        <v>978</v>
      </c>
      <c r="H22" s="71" t="s">
        <v>1127</v>
      </c>
      <c r="I22" s="70" t="s">
        <v>162</v>
      </c>
      <c r="J22" s="73" t="s">
        <v>1067</v>
      </c>
      <c r="K22" s="74" t="s">
        <v>1009</v>
      </c>
      <c r="L22" s="74" t="s">
        <v>1128</v>
      </c>
      <c r="M22" s="71" t="s">
        <v>1027</v>
      </c>
      <c r="N22" s="75">
        <v>2025.0</v>
      </c>
      <c r="O22" s="71" t="s">
        <v>992</v>
      </c>
      <c r="P22" s="71" t="s">
        <v>972</v>
      </c>
      <c r="Q22" s="71" t="s">
        <v>972</v>
      </c>
      <c r="R22" s="67" t="s">
        <v>1129</v>
      </c>
      <c r="S22" s="67" t="s">
        <v>1130</v>
      </c>
      <c r="T22" s="67" t="s">
        <v>1131</v>
      </c>
      <c r="U22" s="68"/>
      <c r="V22" s="39" t="s">
        <v>1132</v>
      </c>
      <c r="W22" s="76" t="s">
        <v>931</v>
      </c>
      <c r="X22" s="68"/>
      <c r="Y22" s="68"/>
      <c r="Z22" s="68"/>
      <c r="AA22" s="68"/>
      <c r="AB22" s="68"/>
      <c r="AC22" s="68"/>
    </row>
    <row r="23">
      <c r="A23" s="67" t="s">
        <v>431</v>
      </c>
      <c r="B23" s="84" t="s">
        <v>731</v>
      </c>
      <c r="C23" s="84" t="s">
        <v>732</v>
      </c>
      <c r="D23" s="78" t="s">
        <v>1133</v>
      </c>
      <c r="E23" s="67" t="s">
        <v>963</v>
      </c>
      <c r="F23" s="70" t="s">
        <v>49</v>
      </c>
      <c r="G23" s="71" t="s">
        <v>987</v>
      </c>
      <c r="H23" s="72" t="s">
        <v>966</v>
      </c>
      <c r="I23" s="70" t="s">
        <v>162</v>
      </c>
      <c r="J23" s="73" t="s">
        <v>1134</v>
      </c>
      <c r="K23" s="74" t="s">
        <v>1009</v>
      </c>
      <c r="L23" s="74" t="s">
        <v>1135</v>
      </c>
      <c r="M23" s="71" t="s">
        <v>1027</v>
      </c>
      <c r="N23" s="75">
        <v>2025.0</v>
      </c>
      <c r="O23" s="71" t="s">
        <v>992</v>
      </c>
      <c r="P23" s="71" t="s">
        <v>972</v>
      </c>
      <c r="Q23" s="71" t="s">
        <v>972</v>
      </c>
      <c r="R23" s="67" t="s">
        <v>1136</v>
      </c>
      <c r="S23" s="67" t="s">
        <v>1054</v>
      </c>
      <c r="T23" s="67" t="s">
        <v>1137</v>
      </c>
      <c r="U23" s="68"/>
      <c r="V23" s="39" t="s">
        <v>1138</v>
      </c>
      <c r="W23" s="76" t="s">
        <v>931</v>
      </c>
      <c r="X23" s="68"/>
      <c r="Y23" s="68"/>
      <c r="Z23" s="68"/>
      <c r="AA23" s="68"/>
      <c r="AB23" s="68"/>
      <c r="AC23" s="68"/>
    </row>
    <row r="24">
      <c r="A24" s="67" t="s">
        <v>431</v>
      </c>
      <c r="B24" s="84" t="s">
        <v>734</v>
      </c>
      <c r="C24" s="84" t="s">
        <v>735</v>
      </c>
      <c r="D24" s="78" t="s">
        <v>1139</v>
      </c>
      <c r="E24" s="67" t="s">
        <v>963</v>
      </c>
      <c r="F24" s="70" t="s">
        <v>49</v>
      </c>
      <c r="G24" s="71" t="s">
        <v>1112</v>
      </c>
      <c r="H24" s="71"/>
      <c r="I24" s="72" t="s">
        <v>966</v>
      </c>
      <c r="J24" s="81" t="s">
        <v>1140</v>
      </c>
      <c r="K24" s="74" t="s">
        <v>1009</v>
      </c>
      <c r="L24" s="74" t="s">
        <v>1141</v>
      </c>
      <c r="M24" s="71" t="s">
        <v>1019</v>
      </c>
      <c r="N24" s="75">
        <v>2025.0</v>
      </c>
      <c r="O24" s="71" t="s">
        <v>992</v>
      </c>
      <c r="P24" s="71" t="s">
        <v>972</v>
      </c>
      <c r="Q24" s="71" t="s">
        <v>972</v>
      </c>
      <c r="R24" s="67" t="s">
        <v>1012</v>
      </c>
      <c r="S24" s="67" t="s">
        <v>1054</v>
      </c>
      <c r="T24" s="67" t="s">
        <v>1115</v>
      </c>
      <c r="U24" s="68"/>
      <c r="V24" s="39" t="s">
        <v>1142</v>
      </c>
      <c r="W24" s="76" t="s">
        <v>931</v>
      </c>
      <c r="X24" s="68"/>
      <c r="Y24" s="68"/>
      <c r="Z24" s="68"/>
      <c r="AA24" s="68"/>
      <c r="AB24" s="68"/>
      <c r="AC24" s="68"/>
    </row>
    <row r="25">
      <c r="A25" s="67" t="s">
        <v>431</v>
      </c>
      <c r="B25" s="84" t="s">
        <v>737</v>
      </c>
      <c r="C25" s="84" t="s">
        <v>738</v>
      </c>
      <c r="D25" s="78" t="s">
        <v>1143</v>
      </c>
      <c r="E25" s="67" t="s">
        <v>963</v>
      </c>
      <c r="F25" s="70" t="s">
        <v>49</v>
      </c>
      <c r="G25" s="71" t="s">
        <v>1112</v>
      </c>
      <c r="H25" s="72" t="s">
        <v>966</v>
      </c>
      <c r="I25" s="70" t="s">
        <v>162</v>
      </c>
      <c r="J25" s="81" t="s">
        <v>1144</v>
      </c>
      <c r="K25" s="74" t="s">
        <v>1145</v>
      </c>
      <c r="L25" s="74" t="s">
        <v>1146</v>
      </c>
      <c r="M25" s="71" t="s">
        <v>1027</v>
      </c>
      <c r="N25" s="75">
        <v>2025.0</v>
      </c>
      <c r="O25" s="71" t="s">
        <v>992</v>
      </c>
      <c r="P25" s="71" t="s">
        <v>972</v>
      </c>
      <c r="Q25" s="71" t="s">
        <v>972</v>
      </c>
      <c r="R25" s="67" t="s">
        <v>993</v>
      </c>
      <c r="S25" s="67" t="s">
        <v>1054</v>
      </c>
      <c r="T25" s="67" t="s">
        <v>1048</v>
      </c>
      <c r="U25" s="68"/>
      <c r="V25" s="39" t="s">
        <v>1147</v>
      </c>
      <c r="W25" s="76" t="s">
        <v>931</v>
      </c>
      <c r="X25" s="68"/>
      <c r="Y25" s="68"/>
      <c r="Z25" s="68"/>
      <c r="AA25" s="68"/>
      <c r="AB25" s="68"/>
      <c r="AC25" s="68"/>
    </row>
    <row r="26">
      <c r="A26" s="67" t="s">
        <v>431</v>
      </c>
      <c r="B26" s="84" t="s">
        <v>740</v>
      </c>
      <c r="C26" s="39" t="s">
        <v>741</v>
      </c>
      <c r="D26" s="69" t="s">
        <v>1148</v>
      </c>
      <c r="E26" s="67" t="s">
        <v>963</v>
      </c>
      <c r="F26" s="70" t="s">
        <v>49</v>
      </c>
      <c r="G26" s="71" t="s">
        <v>987</v>
      </c>
      <c r="H26" s="72" t="s">
        <v>966</v>
      </c>
      <c r="I26" s="70" t="s">
        <v>162</v>
      </c>
      <c r="J26" s="73" t="s">
        <v>1017</v>
      </c>
      <c r="K26" s="74" t="s">
        <v>1009</v>
      </c>
      <c r="L26" s="74" t="s">
        <v>1149</v>
      </c>
      <c r="M26" s="71" t="s">
        <v>1027</v>
      </c>
      <c r="N26" s="75">
        <v>2025.0</v>
      </c>
      <c r="O26" s="71" t="s">
        <v>992</v>
      </c>
      <c r="P26" s="71" t="s">
        <v>972</v>
      </c>
      <c r="Q26" s="71" t="s">
        <v>972</v>
      </c>
      <c r="R26" s="67" t="s">
        <v>993</v>
      </c>
      <c r="S26" s="67" t="s">
        <v>983</v>
      </c>
      <c r="T26" s="67" t="s">
        <v>1150</v>
      </c>
      <c r="U26" s="68"/>
      <c r="V26" s="39" t="s">
        <v>1151</v>
      </c>
      <c r="W26" s="76" t="s">
        <v>931</v>
      </c>
      <c r="X26" s="68"/>
      <c r="Y26" s="68"/>
      <c r="Z26" s="68"/>
      <c r="AA26" s="68"/>
      <c r="AB26" s="68"/>
      <c r="AC26" s="68"/>
    </row>
    <row r="27">
      <c r="A27" s="77" t="s">
        <v>431</v>
      </c>
      <c r="B27" s="85" t="s">
        <v>775</v>
      </c>
      <c r="C27" s="85" t="s">
        <v>776</v>
      </c>
      <c r="D27" s="86" t="s">
        <v>1152</v>
      </c>
      <c r="E27" s="77" t="s">
        <v>963</v>
      </c>
      <c r="F27" s="87" t="s">
        <v>47</v>
      </c>
      <c r="G27" s="88" t="s">
        <v>1153</v>
      </c>
      <c r="H27" s="88"/>
      <c r="I27" s="72" t="s">
        <v>966</v>
      </c>
      <c r="J27" s="89" t="s">
        <v>1017</v>
      </c>
      <c r="K27" s="90"/>
      <c r="L27" s="91" t="s">
        <v>1154</v>
      </c>
      <c r="M27" s="88" t="s">
        <v>1002</v>
      </c>
      <c r="N27" s="92">
        <v>2025.0</v>
      </c>
      <c r="O27" s="88" t="s">
        <v>971</v>
      </c>
      <c r="P27" s="88" t="s">
        <v>972</v>
      </c>
      <c r="Q27" s="88" t="s">
        <v>972</v>
      </c>
      <c r="R27" s="77" t="s">
        <v>963</v>
      </c>
      <c r="S27" s="77" t="s">
        <v>1054</v>
      </c>
      <c r="T27" s="77" t="s">
        <v>1042</v>
      </c>
      <c r="U27" s="77"/>
      <c r="V27" s="42" t="s">
        <v>1155</v>
      </c>
      <c r="W27" s="76" t="s">
        <v>931</v>
      </c>
      <c r="X27" s="80"/>
      <c r="Y27" s="80"/>
      <c r="Z27" s="80"/>
      <c r="AA27" s="80"/>
      <c r="AB27" s="80"/>
      <c r="AC27" s="80"/>
    </row>
    <row r="28">
      <c r="A28" s="67" t="s">
        <v>431</v>
      </c>
      <c r="B28" s="84" t="s">
        <v>777</v>
      </c>
      <c r="C28" s="84" t="s">
        <v>778</v>
      </c>
      <c r="D28" s="78" t="s">
        <v>1156</v>
      </c>
      <c r="E28" s="67" t="s">
        <v>963</v>
      </c>
      <c r="F28" s="70" t="s">
        <v>49</v>
      </c>
      <c r="G28" s="71" t="s">
        <v>1157</v>
      </c>
      <c r="H28" s="71" t="s">
        <v>987</v>
      </c>
      <c r="I28" s="72" t="s">
        <v>162</v>
      </c>
      <c r="J28" s="73" t="s">
        <v>999</v>
      </c>
      <c r="K28" s="74" t="s">
        <v>1009</v>
      </c>
      <c r="L28" s="74" t="s">
        <v>1158</v>
      </c>
      <c r="M28" s="71" t="s">
        <v>1027</v>
      </c>
      <c r="N28" s="75">
        <v>2025.0</v>
      </c>
      <c r="O28" s="71" t="s">
        <v>1003</v>
      </c>
      <c r="P28" s="71" t="s">
        <v>972</v>
      </c>
      <c r="Q28" s="71" t="s">
        <v>972</v>
      </c>
      <c r="R28" s="67" t="s">
        <v>1159</v>
      </c>
      <c r="S28" s="67" t="s">
        <v>1160</v>
      </c>
      <c r="T28" s="67" t="s">
        <v>1161</v>
      </c>
      <c r="U28" s="68"/>
      <c r="V28" s="39" t="s">
        <v>1162</v>
      </c>
      <c r="W28" s="76" t="s">
        <v>931</v>
      </c>
      <c r="X28" s="68"/>
      <c r="Y28" s="68"/>
      <c r="Z28" s="68"/>
      <c r="AA28" s="68"/>
      <c r="AB28" s="68"/>
      <c r="AC28" s="68"/>
    </row>
    <row r="29">
      <c r="A29" s="67" t="s">
        <v>431</v>
      </c>
      <c r="B29" s="84" t="s">
        <v>782</v>
      </c>
      <c r="C29" s="84" t="s">
        <v>783</v>
      </c>
      <c r="D29" s="78" t="s">
        <v>1163</v>
      </c>
      <c r="E29" s="67" t="s">
        <v>963</v>
      </c>
      <c r="F29" s="70" t="s">
        <v>49</v>
      </c>
      <c r="G29" s="71" t="s">
        <v>1105</v>
      </c>
      <c r="H29" s="71" t="s">
        <v>162</v>
      </c>
      <c r="I29" s="70" t="s">
        <v>162</v>
      </c>
      <c r="J29" s="73" t="s">
        <v>1164</v>
      </c>
      <c r="K29" s="74" t="s">
        <v>1009</v>
      </c>
      <c r="L29" s="74" t="s">
        <v>1165</v>
      </c>
      <c r="M29" s="71" t="s">
        <v>1027</v>
      </c>
      <c r="N29" s="75">
        <v>2025.0</v>
      </c>
      <c r="O29" s="71" t="s">
        <v>992</v>
      </c>
      <c r="P29" s="71" t="s">
        <v>972</v>
      </c>
      <c r="Q29" s="71" t="s">
        <v>972</v>
      </c>
      <c r="R29" s="67" t="s">
        <v>963</v>
      </c>
      <c r="S29" s="67" t="s">
        <v>1054</v>
      </c>
      <c r="T29" s="67" t="s">
        <v>1166</v>
      </c>
      <c r="U29" s="68"/>
      <c r="V29" s="39" t="s">
        <v>1167</v>
      </c>
      <c r="W29" s="76" t="s">
        <v>931</v>
      </c>
      <c r="X29" s="68"/>
      <c r="Y29" s="68"/>
      <c r="Z29" s="68"/>
      <c r="AA29" s="68"/>
      <c r="AB29" s="68"/>
      <c r="AC29" s="68"/>
    </row>
    <row r="30">
      <c r="A30" s="67" t="s">
        <v>431</v>
      </c>
      <c r="B30" s="84" t="s">
        <v>787</v>
      </c>
      <c r="C30" s="84" t="s">
        <v>788</v>
      </c>
      <c r="D30" s="69" t="s">
        <v>1168</v>
      </c>
      <c r="E30" s="67" t="s">
        <v>963</v>
      </c>
      <c r="F30" s="70" t="s">
        <v>49</v>
      </c>
      <c r="G30" s="71" t="s">
        <v>1169</v>
      </c>
      <c r="H30" s="71"/>
      <c r="I30" s="70" t="s">
        <v>162</v>
      </c>
      <c r="J30" s="73" t="s">
        <v>1170</v>
      </c>
      <c r="K30" s="74" t="s">
        <v>466</v>
      </c>
      <c r="L30" s="74" t="s">
        <v>1171</v>
      </c>
      <c r="M30" s="71" t="s">
        <v>1172</v>
      </c>
      <c r="N30" s="75">
        <v>2025.0</v>
      </c>
      <c r="O30" s="71" t="s">
        <v>992</v>
      </c>
      <c r="P30" s="71" t="s">
        <v>972</v>
      </c>
      <c r="Q30" s="71" t="s">
        <v>972</v>
      </c>
      <c r="R30" s="67" t="s">
        <v>963</v>
      </c>
      <c r="S30" s="67" t="s">
        <v>1054</v>
      </c>
      <c r="T30" s="67" t="s">
        <v>1173</v>
      </c>
      <c r="U30" s="68"/>
      <c r="V30" s="39" t="s">
        <v>1174</v>
      </c>
      <c r="W30" s="76" t="s">
        <v>931</v>
      </c>
      <c r="X30" s="68"/>
      <c r="Y30" s="68"/>
      <c r="Z30" s="68"/>
      <c r="AA30" s="68"/>
      <c r="AB30" s="68"/>
      <c r="AC30" s="68"/>
    </row>
    <row r="31">
      <c r="A31" s="67" t="s">
        <v>431</v>
      </c>
      <c r="B31" s="84" t="s">
        <v>905</v>
      </c>
      <c r="C31" s="84" t="s">
        <v>906</v>
      </c>
      <c r="D31" s="78" t="s">
        <v>1175</v>
      </c>
      <c r="E31" s="67" t="s">
        <v>963</v>
      </c>
      <c r="F31" s="70" t="s">
        <v>49</v>
      </c>
      <c r="G31" s="71" t="s">
        <v>1176</v>
      </c>
      <c r="H31" s="71"/>
      <c r="I31" s="70" t="s">
        <v>162</v>
      </c>
      <c r="J31" s="73" t="s">
        <v>988</v>
      </c>
      <c r="K31" s="79"/>
      <c r="L31" s="74" t="s">
        <v>1177</v>
      </c>
      <c r="M31" s="71" t="s">
        <v>1178</v>
      </c>
      <c r="N31" s="75">
        <v>2022.0</v>
      </c>
      <c r="O31" s="71" t="s">
        <v>992</v>
      </c>
      <c r="P31" s="71" t="s">
        <v>972</v>
      </c>
      <c r="Q31" s="71" t="s">
        <v>972</v>
      </c>
      <c r="R31" s="67" t="s">
        <v>1012</v>
      </c>
      <c r="S31" s="67" t="s">
        <v>1179</v>
      </c>
      <c r="T31" s="67" t="s">
        <v>1180</v>
      </c>
      <c r="U31" s="68"/>
      <c r="V31" s="39" t="s">
        <v>1181</v>
      </c>
      <c r="W31" s="76" t="s">
        <v>931</v>
      </c>
      <c r="X31" s="68"/>
      <c r="Y31" s="68"/>
      <c r="Z31" s="68"/>
      <c r="AA31" s="68"/>
      <c r="AB31" s="68"/>
      <c r="AC31" s="68"/>
    </row>
    <row r="32">
      <c r="A32" s="67" t="s">
        <v>431</v>
      </c>
      <c r="B32" s="84" t="s">
        <v>1182</v>
      </c>
      <c r="C32" s="84" t="s">
        <v>1183</v>
      </c>
      <c r="D32" s="78" t="s">
        <v>1184</v>
      </c>
      <c r="E32" s="67" t="s">
        <v>931</v>
      </c>
      <c r="F32" s="70" t="s">
        <v>49</v>
      </c>
      <c r="G32" s="71" t="s">
        <v>1185</v>
      </c>
      <c r="H32" s="71"/>
      <c r="I32" s="70" t="s">
        <v>162</v>
      </c>
      <c r="J32" s="73" t="s">
        <v>988</v>
      </c>
      <c r="K32" s="72" t="s">
        <v>1009</v>
      </c>
      <c r="L32" s="72" t="s">
        <v>1186</v>
      </c>
      <c r="M32" s="71" t="s">
        <v>1027</v>
      </c>
      <c r="N32" s="75">
        <v>2025.0</v>
      </c>
      <c r="O32" s="71" t="s">
        <v>992</v>
      </c>
      <c r="P32" s="71" t="s">
        <v>1028</v>
      </c>
      <c r="Q32" s="71" t="s">
        <v>982</v>
      </c>
      <c r="R32" s="67" t="s">
        <v>963</v>
      </c>
      <c r="S32" s="67" t="s">
        <v>1187</v>
      </c>
      <c r="T32" s="67" t="s">
        <v>1188</v>
      </c>
      <c r="U32" s="68"/>
      <c r="V32" s="39" t="s">
        <v>1189</v>
      </c>
      <c r="W32" s="76" t="s">
        <v>931</v>
      </c>
      <c r="X32" s="68"/>
      <c r="Y32" s="68"/>
      <c r="Z32" s="68"/>
      <c r="AA32" s="68"/>
      <c r="AB32" s="68"/>
      <c r="AC32" s="68"/>
    </row>
    <row r="33">
      <c r="A33" s="67" t="s">
        <v>431</v>
      </c>
      <c r="B33" s="84" t="s">
        <v>1190</v>
      </c>
      <c r="C33" s="84" t="s">
        <v>1191</v>
      </c>
      <c r="D33" s="78" t="s">
        <v>1192</v>
      </c>
      <c r="E33" s="67" t="s">
        <v>931</v>
      </c>
      <c r="F33" s="72" t="s">
        <v>49</v>
      </c>
      <c r="G33" s="71" t="s">
        <v>1193</v>
      </c>
      <c r="H33" s="71" t="s">
        <v>1194</v>
      </c>
      <c r="I33" s="72" t="s">
        <v>162</v>
      </c>
      <c r="J33" s="73" t="s">
        <v>988</v>
      </c>
      <c r="K33" s="72" t="s">
        <v>1195</v>
      </c>
      <c r="L33" s="72" t="s">
        <v>1196</v>
      </c>
      <c r="M33" s="71" t="s">
        <v>1069</v>
      </c>
      <c r="N33" s="75">
        <v>2025.0</v>
      </c>
      <c r="O33" s="71" t="s">
        <v>992</v>
      </c>
      <c r="P33" s="71" t="s">
        <v>1080</v>
      </c>
      <c r="Q33" s="71" t="s">
        <v>1081</v>
      </c>
      <c r="R33" s="67" t="s">
        <v>963</v>
      </c>
      <c r="S33" s="67" t="s">
        <v>1022</v>
      </c>
      <c r="T33" s="67" t="s">
        <v>1197</v>
      </c>
      <c r="U33" s="68"/>
      <c r="V33" s="39" t="s">
        <v>1198</v>
      </c>
      <c r="W33" s="76" t="s">
        <v>1031</v>
      </c>
      <c r="X33" s="68"/>
      <c r="Y33" s="68"/>
      <c r="Z33" s="68"/>
      <c r="AA33" s="68"/>
      <c r="AB33" s="68"/>
      <c r="AC33" s="68"/>
    </row>
    <row r="34">
      <c r="A34" s="76" t="s">
        <v>431</v>
      </c>
      <c r="B34" s="93" t="s">
        <v>1199</v>
      </c>
      <c r="C34" s="93" t="s">
        <v>1200</v>
      </c>
      <c r="D34" s="94" t="s">
        <v>1201</v>
      </c>
      <c r="E34" s="76" t="s">
        <v>931</v>
      </c>
      <c r="F34" s="95" t="s">
        <v>559</v>
      </c>
      <c r="G34" s="96" t="s">
        <v>1202</v>
      </c>
      <c r="H34" s="96" t="s">
        <v>987</v>
      </c>
      <c r="I34" s="95" t="s">
        <v>966</v>
      </c>
      <c r="J34" s="97" t="s">
        <v>1203</v>
      </c>
      <c r="K34" s="98"/>
      <c r="L34" s="95" t="s">
        <v>1204</v>
      </c>
      <c r="M34" s="96" t="s">
        <v>1027</v>
      </c>
      <c r="N34" s="99">
        <v>2025.0</v>
      </c>
      <c r="O34" s="96" t="s">
        <v>992</v>
      </c>
      <c r="P34" s="96" t="s">
        <v>1205</v>
      </c>
      <c r="Q34" s="96" t="s">
        <v>1206</v>
      </c>
      <c r="R34" s="76" t="s">
        <v>963</v>
      </c>
      <c r="S34" s="76" t="s">
        <v>1207</v>
      </c>
      <c r="T34" s="76" t="s">
        <v>1208</v>
      </c>
      <c r="U34" s="100"/>
      <c r="V34" s="101" t="s">
        <v>1209</v>
      </c>
      <c r="W34" s="76" t="s">
        <v>1210</v>
      </c>
      <c r="X34" s="76"/>
      <c r="Y34" s="100"/>
      <c r="Z34" s="100"/>
      <c r="AA34" s="100"/>
      <c r="AB34" s="100"/>
      <c r="AC34" s="100"/>
    </row>
    <row r="35" ht="15.0" customHeight="1">
      <c r="A35" s="67" t="s">
        <v>431</v>
      </c>
      <c r="B35" s="84" t="s">
        <v>1211</v>
      </c>
      <c r="C35" s="84" t="s">
        <v>1212</v>
      </c>
      <c r="D35" s="78" t="s">
        <v>1213</v>
      </c>
      <c r="E35" s="67" t="s">
        <v>931</v>
      </c>
      <c r="F35" s="70" t="s">
        <v>49</v>
      </c>
      <c r="G35" s="71" t="s">
        <v>1214</v>
      </c>
      <c r="H35" s="71" t="s">
        <v>162</v>
      </c>
      <c r="I35" s="72" t="s">
        <v>966</v>
      </c>
      <c r="J35" s="73" t="s">
        <v>988</v>
      </c>
      <c r="K35" s="74" t="s">
        <v>466</v>
      </c>
      <c r="L35" s="72" t="s">
        <v>1215</v>
      </c>
      <c r="M35" s="71" t="s">
        <v>1216</v>
      </c>
      <c r="N35" s="75">
        <v>2023.0</v>
      </c>
      <c r="O35" s="71" t="s">
        <v>992</v>
      </c>
      <c r="P35" s="71" t="s">
        <v>1217</v>
      </c>
      <c r="Q35" s="71" t="s">
        <v>1021</v>
      </c>
      <c r="R35" s="67" t="s">
        <v>963</v>
      </c>
      <c r="S35" s="67" t="s">
        <v>1054</v>
      </c>
      <c r="T35" s="67" t="s">
        <v>1218</v>
      </c>
      <c r="U35" s="68"/>
      <c r="V35" s="39" t="s">
        <v>1219</v>
      </c>
      <c r="W35" s="76" t="s">
        <v>1031</v>
      </c>
      <c r="X35" s="68"/>
      <c r="Y35" s="68"/>
      <c r="Z35" s="68"/>
      <c r="AA35" s="68"/>
      <c r="AB35" s="68"/>
      <c r="AC35" s="68"/>
    </row>
    <row r="36">
      <c r="A36" s="76" t="s">
        <v>431</v>
      </c>
      <c r="B36" s="93" t="s">
        <v>1220</v>
      </c>
      <c r="C36" s="93" t="s">
        <v>1221</v>
      </c>
      <c r="D36" s="94" t="s">
        <v>1222</v>
      </c>
      <c r="E36" s="76" t="s">
        <v>931</v>
      </c>
      <c r="F36" s="95" t="s">
        <v>559</v>
      </c>
      <c r="G36" s="96" t="s">
        <v>987</v>
      </c>
      <c r="H36" s="96"/>
      <c r="I36" s="95" t="s">
        <v>966</v>
      </c>
      <c r="J36" s="97" t="s">
        <v>988</v>
      </c>
      <c r="K36" s="95" t="s">
        <v>1223</v>
      </c>
      <c r="L36" s="95" t="s">
        <v>1224</v>
      </c>
      <c r="M36" s="96" t="s">
        <v>1027</v>
      </c>
      <c r="N36" s="99">
        <v>2025.0</v>
      </c>
      <c r="O36" s="96" t="s">
        <v>1225</v>
      </c>
      <c r="P36" s="96" t="s">
        <v>972</v>
      </c>
      <c r="Q36" s="96" t="s">
        <v>972</v>
      </c>
      <c r="R36" s="76" t="s">
        <v>1226</v>
      </c>
      <c r="S36" s="76" t="s">
        <v>1227</v>
      </c>
      <c r="T36" s="76" t="s">
        <v>1228</v>
      </c>
      <c r="U36" s="100"/>
      <c r="V36" s="101" t="s">
        <v>1229</v>
      </c>
      <c r="W36" s="76" t="s">
        <v>1210</v>
      </c>
      <c r="X36" s="100"/>
      <c r="Y36" s="100"/>
      <c r="Z36" s="100"/>
      <c r="AA36" s="100"/>
      <c r="AB36" s="100"/>
      <c r="AC36" s="100"/>
    </row>
    <row r="37">
      <c r="A37" s="102" t="s">
        <v>431</v>
      </c>
      <c r="B37" s="103" t="s">
        <v>1230</v>
      </c>
      <c r="C37" s="103" t="s">
        <v>1231</v>
      </c>
      <c r="D37" s="104" t="s">
        <v>1232</v>
      </c>
      <c r="E37" s="102" t="s">
        <v>931</v>
      </c>
      <c r="F37" s="105" t="s">
        <v>47</v>
      </c>
      <c r="G37" s="106" t="s">
        <v>1176</v>
      </c>
      <c r="H37" s="106"/>
      <c r="I37" s="105" t="s">
        <v>162</v>
      </c>
      <c r="J37" s="107" t="s">
        <v>988</v>
      </c>
      <c r="K37" s="105" t="s">
        <v>466</v>
      </c>
      <c r="L37" s="105" t="s">
        <v>1233</v>
      </c>
      <c r="M37" s="106" t="s">
        <v>1027</v>
      </c>
      <c r="N37" s="108">
        <v>2025.0</v>
      </c>
      <c r="O37" s="106" t="s">
        <v>992</v>
      </c>
      <c r="P37" s="106" t="s">
        <v>972</v>
      </c>
      <c r="Q37" s="106" t="s">
        <v>972</v>
      </c>
      <c r="R37" s="102" t="s">
        <v>963</v>
      </c>
      <c r="S37" s="102" t="s">
        <v>1234</v>
      </c>
      <c r="T37" s="102" t="s">
        <v>1235</v>
      </c>
      <c r="U37" s="102" t="s">
        <v>1236</v>
      </c>
      <c r="V37" s="109" t="s">
        <v>1237</v>
      </c>
      <c r="W37" s="76" t="s">
        <v>931</v>
      </c>
      <c r="X37" s="110"/>
      <c r="Y37" s="80"/>
      <c r="Z37" s="80"/>
      <c r="AA37" s="80"/>
      <c r="AB37" s="80"/>
      <c r="AC37" s="80"/>
    </row>
    <row r="38">
      <c r="A38" s="71" t="s">
        <v>181</v>
      </c>
      <c r="B38" s="71" t="s">
        <v>177</v>
      </c>
      <c r="C38" s="71" t="s">
        <v>178</v>
      </c>
      <c r="D38" s="111" t="s">
        <v>1238</v>
      </c>
      <c r="E38" s="67" t="s">
        <v>963</v>
      </c>
      <c r="F38" s="70" t="s">
        <v>49</v>
      </c>
      <c r="G38" s="71" t="s">
        <v>1239</v>
      </c>
      <c r="H38" s="71"/>
      <c r="I38" s="70" t="s">
        <v>162</v>
      </c>
      <c r="J38" s="73" t="s">
        <v>1240</v>
      </c>
      <c r="K38" s="72" t="s">
        <v>1241</v>
      </c>
      <c r="L38" s="72" t="s">
        <v>1242</v>
      </c>
      <c r="M38" s="71" t="s">
        <v>1098</v>
      </c>
      <c r="N38" s="75">
        <v>2024.0</v>
      </c>
      <c r="O38" s="71" t="s">
        <v>992</v>
      </c>
      <c r="P38" s="71" t="s">
        <v>972</v>
      </c>
      <c r="Q38" s="71" t="s">
        <v>972</v>
      </c>
      <c r="R38" s="67" t="s">
        <v>963</v>
      </c>
      <c r="S38" s="26" t="s">
        <v>1054</v>
      </c>
      <c r="T38" s="26" t="s">
        <v>1243</v>
      </c>
      <c r="V38" s="39" t="s">
        <v>1244</v>
      </c>
      <c r="W38" s="76" t="s">
        <v>931</v>
      </c>
    </row>
    <row r="39">
      <c r="A39" s="71" t="s">
        <v>181</v>
      </c>
      <c r="B39" s="37" t="s">
        <v>182</v>
      </c>
      <c r="C39" s="71" t="s">
        <v>183</v>
      </c>
      <c r="D39" s="111" t="s">
        <v>1245</v>
      </c>
      <c r="E39" s="67" t="s">
        <v>963</v>
      </c>
      <c r="F39" s="70" t="s">
        <v>49</v>
      </c>
      <c r="G39" s="71" t="s">
        <v>1112</v>
      </c>
      <c r="H39" s="72" t="s">
        <v>966</v>
      </c>
      <c r="I39" s="70" t="s">
        <v>162</v>
      </c>
      <c r="J39" s="81" t="s">
        <v>1246</v>
      </c>
      <c r="K39" s="72" t="s">
        <v>1247</v>
      </c>
      <c r="L39" s="72" t="s">
        <v>1248</v>
      </c>
      <c r="M39" s="71" t="s">
        <v>1002</v>
      </c>
      <c r="N39" s="75">
        <v>2024.0</v>
      </c>
      <c r="O39" s="71" t="s">
        <v>992</v>
      </c>
      <c r="P39" s="71" t="s">
        <v>972</v>
      </c>
      <c r="Q39" s="71" t="s">
        <v>972</v>
      </c>
      <c r="R39" s="67" t="s">
        <v>993</v>
      </c>
      <c r="S39" s="26" t="s">
        <v>1054</v>
      </c>
      <c r="T39" s="26" t="s">
        <v>1249</v>
      </c>
      <c r="V39" s="39" t="s">
        <v>1250</v>
      </c>
      <c r="W39" s="76" t="s">
        <v>931</v>
      </c>
    </row>
    <row r="40">
      <c r="A40" s="71" t="s">
        <v>181</v>
      </c>
      <c r="B40" s="71" t="s">
        <v>185</v>
      </c>
      <c r="C40" s="71" t="s">
        <v>186</v>
      </c>
      <c r="D40" s="112" t="s">
        <v>1251</v>
      </c>
      <c r="E40" s="67" t="s">
        <v>963</v>
      </c>
      <c r="F40" s="70" t="s">
        <v>49</v>
      </c>
      <c r="G40" s="71" t="s">
        <v>1112</v>
      </c>
      <c r="H40" s="72" t="s">
        <v>966</v>
      </c>
      <c r="I40" s="70" t="s">
        <v>162</v>
      </c>
      <c r="J40" s="81" t="s">
        <v>1252</v>
      </c>
      <c r="K40" s="72" t="s">
        <v>1009</v>
      </c>
      <c r="L40" s="72" t="s">
        <v>1253</v>
      </c>
      <c r="M40" s="71" t="s">
        <v>1027</v>
      </c>
      <c r="N40" s="75">
        <v>2024.0</v>
      </c>
      <c r="O40" s="71" t="s">
        <v>992</v>
      </c>
      <c r="P40" s="71" t="s">
        <v>972</v>
      </c>
      <c r="Q40" s="71" t="s">
        <v>972</v>
      </c>
      <c r="R40" s="67" t="s">
        <v>1129</v>
      </c>
      <c r="S40" s="26" t="s">
        <v>1054</v>
      </c>
      <c r="T40" s="26" t="s">
        <v>1254</v>
      </c>
      <c r="V40" s="39" t="s">
        <v>1255</v>
      </c>
      <c r="W40" s="76" t="s">
        <v>931</v>
      </c>
    </row>
    <row r="41">
      <c r="A41" s="71" t="s">
        <v>181</v>
      </c>
      <c r="B41" s="71" t="s">
        <v>190</v>
      </c>
      <c r="C41" s="71" t="s">
        <v>191</v>
      </c>
      <c r="D41" s="111" t="s">
        <v>1256</v>
      </c>
      <c r="E41" s="67" t="s">
        <v>963</v>
      </c>
      <c r="F41" s="70" t="s">
        <v>49</v>
      </c>
      <c r="G41" s="71" t="s">
        <v>1257</v>
      </c>
      <c r="H41" s="71"/>
      <c r="I41" s="70" t="s">
        <v>162</v>
      </c>
      <c r="J41" s="73" t="s">
        <v>988</v>
      </c>
      <c r="K41" s="72" t="s">
        <v>1258</v>
      </c>
      <c r="L41" s="72" t="s">
        <v>1259</v>
      </c>
      <c r="M41" s="71" t="s">
        <v>1260</v>
      </c>
      <c r="N41" s="75">
        <v>2024.0</v>
      </c>
      <c r="O41" s="71" t="s">
        <v>971</v>
      </c>
      <c r="P41" s="71" t="s">
        <v>972</v>
      </c>
      <c r="Q41" s="71" t="s">
        <v>972</v>
      </c>
      <c r="R41" s="67" t="s">
        <v>1136</v>
      </c>
      <c r="S41" s="26" t="s">
        <v>1054</v>
      </c>
      <c r="T41" s="26" t="s">
        <v>1048</v>
      </c>
      <c r="V41" s="39" t="s">
        <v>1261</v>
      </c>
      <c r="W41" s="76" t="s">
        <v>931</v>
      </c>
    </row>
    <row r="42">
      <c r="A42" s="71" t="s">
        <v>181</v>
      </c>
      <c r="B42" s="71" t="s">
        <v>195</v>
      </c>
      <c r="C42" s="71" t="s">
        <v>196</v>
      </c>
      <c r="D42" s="112" t="s">
        <v>1262</v>
      </c>
      <c r="E42" s="67" t="s">
        <v>963</v>
      </c>
      <c r="F42" s="70" t="s">
        <v>49</v>
      </c>
      <c r="G42" s="71" t="s">
        <v>1263</v>
      </c>
      <c r="H42" s="71" t="s">
        <v>1264</v>
      </c>
      <c r="I42" s="72" t="s">
        <v>162</v>
      </c>
      <c r="J42" s="73" t="s">
        <v>988</v>
      </c>
      <c r="K42" s="72" t="s">
        <v>1009</v>
      </c>
      <c r="L42" s="72" t="s">
        <v>1265</v>
      </c>
      <c r="M42" s="71" t="s">
        <v>1027</v>
      </c>
      <c r="N42" s="75">
        <v>2024.0</v>
      </c>
      <c r="O42" s="71" t="s">
        <v>992</v>
      </c>
      <c r="P42" s="71" t="s">
        <v>972</v>
      </c>
      <c r="Q42" s="71" t="s">
        <v>972</v>
      </c>
      <c r="R42" s="67" t="s">
        <v>1136</v>
      </c>
      <c r="S42" s="26" t="s">
        <v>1266</v>
      </c>
      <c r="T42" s="26" t="s">
        <v>1042</v>
      </c>
      <c r="V42" s="39" t="s">
        <v>1267</v>
      </c>
      <c r="W42" s="76" t="s">
        <v>931</v>
      </c>
    </row>
    <row r="43">
      <c r="A43" s="71" t="s">
        <v>181</v>
      </c>
      <c r="B43" s="71" t="s">
        <v>202</v>
      </c>
      <c r="C43" s="71" t="s">
        <v>203</v>
      </c>
      <c r="D43" s="112" t="s">
        <v>1268</v>
      </c>
      <c r="E43" s="67" t="s">
        <v>963</v>
      </c>
      <c r="F43" s="70" t="s">
        <v>49</v>
      </c>
      <c r="G43" s="71" t="s">
        <v>162</v>
      </c>
      <c r="H43" s="71"/>
      <c r="I43" s="72" t="s">
        <v>162</v>
      </c>
      <c r="J43" s="73" t="s">
        <v>988</v>
      </c>
      <c r="K43" s="72" t="s">
        <v>1009</v>
      </c>
      <c r="L43" s="72" t="s">
        <v>1265</v>
      </c>
      <c r="M43" s="71" t="s">
        <v>1260</v>
      </c>
      <c r="N43" s="75">
        <v>2024.0</v>
      </c>
      <c r="O43" s="71" t="s">
        <v>1269</v>
      </c>
      <c r="P43" s="71" t="s">
        <v>972</v>
      </c>
      <c r="Q43" s="71" t="s">
        <v>972</v>
      </c>
      <c r="R43" s="67" t="s">
        <v>1012</v>
      </c>
      <c r="S43" s="26" t="s">
        <v>1054</v>
      </c>
      <c r="T43" s="26" t="s">
        <v>1042</v>
      </c>
      <c r="V43" s="39" t="s">
        <v>1270</v>
      </c>
      <c r="W43" s="76" t="s">
        <v>931</v>
      </c>
    </row>
    <row r="44">
      <c r="A44" s="71" t="s">
        <v>181</v>
      </c>
      <c r="B44" s="71" t="s">
        <v>210</v>
      </c>
      <c r="C44" s="71" t="s">
        <v>211</v>
      </c>
      <c r="D44" s="113" t="s">
        <v>1271</v>
      </c>
      <c r="E44" s="67" t="s">
        <v>963</v>
      </c>
      <c r="F44" s="70" t="s">
        <v>49</v>
      </c>
      <c r="G44" s="71" t="s">
        <v>1272</v>
      </c>
      <c r="H44" s="72" t="s">
        <v>966</v>
      </c>
      <c r="I44" s="72" t="s">
        <v>162</v>
      </c>
      <c r="J44" s="81" t="s">
        <v>1273</v>
      </c>
      <c r="K44" s="72" t="s">
        <v>1009</v>
      </c>
      <c r="L44" s="72" t="s">
        <v>1274</v>
      </c>
      <c r="M44" s="71" t="s">
        <v>1098</v>
      </c>
      <c r="N44" s="75">
        <v>2024.0</v>
      </c>
      <c r="O44" s="71" t="s">
        <v>992</v>
      </c>
      <c r="P44" s="71" t="s">
        <v>972</v>
      </c>
      <c r="Q44" s="71" t="s">
        <v>972</v>
      </c>
      <c r="R44" s="67" t="s">
        <v>993</v>
      </c>
      <c r="S44" s="26" t="s">
        <v>1054</v>
      </c>
      <c r="T44" s="26" t="s">
        <v>1275</v>
      </c>
      <c r="V44" s="39" t="s">
        <v>1276</v>
      </c>
      <c r="W44" s="76" t="s">
        <v>931</v>
      </c>
    </row>
    <row r="45">
      <c r="A45" s="71" t="s">
        <v>181</v>
      </c>
      <c r="B45" s="71" t="s">
        <v>218</v>
      </c>
      <c r="C45" s="71" t="s">
        <v>219</v>
      </c>
      <c r="D45" s="113" t="s">
        <v>1277</v>
      </c>
      <c r="E45" s="67" t="s">
        <v>963</v>
      </c>
      <c r="F45" s="70" t="s">
        <v>49</v>
      </c>
      <c r="G45" s="71" t="s">
        <v>1272</v>
      </c>
      <c r="H45" s="72" t="s">
        <v>966</v>
      </c>
      <c r="I45" s="72" t="s">
        <v>162</v>
      </c>
      <c r="J45" s="81" t="s">
        <v>1278</v>
      </c>
      <c r="K45" s="72" t="s">
        <v>1009</v>
      </c>
      <c r="L45" s="72" t="s">
        <v>1279</v>
      </c>
      <c r="M45" s="71" t="s">
        <v>1027</v>
      </c>
      <c r="N45" s="75">
        <v>2024.0</v>
      </c>
      <c r="O45" s="71" t="s">
        <v>992</v>
      </c>
      <c r="P45" s="71" t="s">
        <v>972</v>
      </c>
      <c r="Q45" s="71" t="s">
        <v>972</v>
      </c>
      <c r="R45" s="67" t="s">
        <v>1280</v>
      </c>
      <c r="S45" s="26" t="s">
        <v>1054</v>
      </c>
      <c r="T45" s="26" t="s">
        <v>1042</v>
      </c>
      <c r="V45" s="39" t="s">
        <v>1281</v>
      </c>
      <c r="W45" s="76" t="s">
        <v>931</v>
      </c>
    </row>
    <row r="46">
      <c r="A46" s="71" t="s">
        <v>181</v>
      </c>
      <c r="B46" s="71" t="s">
        <v>222</v>
      </c>
      <c r="C46" s="71" t="s">
        <v>223</v>
      </c>
      <c r="D46" s="113" t="s">
        <v>1282</v>
      </c>
      <c r="E46" s="67" t="s">
        <v>963</v>
      </c>
      <c r="F46" s="70" t="s">
        <v>49</v>
      </c>
      <c r="G46" s="71" t="s">
        <v>162</v>
      </c>
      <c r="H46" s="71"/>
      <c r="I46" s="70" t="s">
        <v>162</v>
      </c>
      <c r="J46" s="73" t="s">
        <v>988</v>
      </c>
      <c r="K46" s="72" t="s">
        <v>1009</v>
      </c>
      <c r="L46" s="72" t="s">
        <v>1283</v>
      </c>
      <c r="M46" s="71" t="s">
        <v>1027</v>
      </c>
      <c r="N46" s="75">
        <v>2024.0</v>
      </c>
      <c r="O46" s="71" t="s">
        <v>992</v>
      </c>
      <c r="P46" s="71" t="s">
        <v>1284</v>
      </c>
      <c r="Q46" s="71" t="s">
        <v>1081</v>
      </c>
      <c r="R46" s="67" t="s">
        <v>963</v>
      </c>
      <c r="S46" s="26" t="s">
        <v>983</v>
      </c>
      <c r="T46" s="26" t="s">
        <v>1285</v>
      </c>
      <c r="V46" s="39" t="s">
        <v>1286</v>
      </c>
      <c r="W46" s="76" t="s">
        <v>1031</v>
      </c>
    </row>
    <row r="47">
      <c r="A47" s="71" t="s">
        <v>181</v>
      </c>
      <c r="B47" s="71" t="s">
        <v>225</v>
      </c>
      <c r="C47" s="71" t="s">
        <v>226</v>
      </c>
      <c r="D47" s="112" t="s">
        <v>1287</v>
      </c>
      <c r="E47" s="67" t="s">
        <v>963</v>
      </c>
      <c r="F47" s="70" t="s">
        <v>49</v>
      </c>
      <c r="G47" s="71" t="s">
        <v>987</v>
      </c>
      <c r="H47" s="71"/>
      <c r="I47" s="72" t="s">
        <v>162</v>
      </c>
      <c r="J47" s="73" t="s">
        <v>1017</v>
      </c>
      <c r="K47" s="72" t="s">
        <v>1009</v>
      </c>
      <c r="L47" s="72" t="s">
        <v>1288</v>
      </c>
      <c r="M47" s="71" t="s">
        <v>1027</v>
      </c>
      <c r="N47" s="75">
        <v>2024.0</v>
      </c>
      <c r="O47" s="71" t="s">
        <v>992</v>
      </c>
      <c r="P47" s="71" t="s">
        <v>972</v>
      </c>
      <c r="Q47" s="71" t="s">
        <v>972</v>
      </c>
      <c r="R47" s="67" t="s">
        <v>1129</v>
      </c>
      <c r="S47" s="26" t="s">
        <v>1289</v>
      </c>
      <c r="T47" s="26" t="s">
        <v>1290</v>
      </c>
      <c r="V47" s="39" t="s">
        <v>1291</v>
      </c>
      <c r="W47" s="76" t="s">
        <v>931</v>
      </c>
    </row>
    <row r="48">
      <c r="A48" s="71" t="s">
        <v>181</v>
      </c>
      <c r="B48" s="71" t="s">
        <v>229</v>
      </c>
      <c r="C48" s="71" t="s">
        <v>230</v>
      </c>
      <c r="D48" s="113" t="s">
        <v>1292</v>
      </c>
      <c r="E48" s="67" t="s">
        <v>963</v>
      </c>
      <c r="F48" s="70" t="s">
        <v>49</v>
      </c>
      <c r="G48" s="71" t="s">
        <v>1293</v>
      </c>
      <c r="H48" s="72" t="s">
        <v>966</v>
      </c>
      <c r="I48" s="72" t="s">
        <v>162</v>
      </c>
      <c r="J48" s="81" t="s">
        <v>1294</v>
      </c>
      <c r="K48" s="72" t="s">
        <v>1009</v>
      </c>
      <c r="L48" s="72" t="s">
        <v>1295</v>
      </c>
      <c r="M48" s="71" t="s">
        <v>1027</v>
      </c>
      <c r="N48" s="75">
        <v>2024.0</v>
      </c>
      <c r="O48" s="71" t="s">
        <v>992</v>
      </c>
      <c r="P48" s="71" t="s">
        <v>972</v>
      </c>
      <c r="Q48" s="71" t="s">
        <v>972</v>
      </c>
      <c r="R48" s="67" t="s">
        <v>1280</v>
      </c>
      <c r="S48" s="26" t="s">
        <v>1054</v>
      </c>
      <c r="T48" s="26" t="s">
        <v>1296</v>
      </c>
      <c r="V48" s="39" t="s">
        <v>1297</v>
      </c>
      <c r="W48" s="76" t="s">
        <v>931</v>
      </c>
    </row>
    <row r="49">
      <c r="A49" s="71" t="s">
        <v>181</v>
      </c>
      <c r="B49" s="71" t="s">
        <v>234</v>
      </c>
      <c r="C49" s="71" t="s">
        <v>235</v>
      </c>
      <c r="D49" s="113" t="s">
        <v>1298</v>
      </c>
      <c r="E49" s="67" t="s">
        <v>963</v>
      </c>
      <c r="F49" s="70" t="s">
        <v>49</v>
      </c>
      <c r="G49" s="71" t="s">
        <v>162</v>
      </c>
      <c r="H49" s="71"/>
      <c r="I49" s="70" t="s">
        <v>162</v>
      </c>
      <c r="J49" s="73" t="s">
        <v>988</v>
      </c>
      <c r="K49" s="72" t="s">
        <v>1009</v>
      </c>
      <c r="L49" s="72" t="s">
        <v>1299</v>
      </c>
      <c r="M49" s="71" t="s">
        <v>1027</v>
      </c>
      <c r="N49" s="75">
        <v>2024.0</v>
      </c>
      <c r="O49" s="71" t="s">
        <v>971</v>
      </c>
      <c r="P49" s="71" t="s">
        <v>972</v>
      </c>
      <c r="Q49" s="71" t="s">
        <v>972</v>
      </c>
      <c r="R49" s="67" t="s">
        <v>1280</v>
      </c>
      <c r="S49" s="26" t="s">
        <v>1300</v>
      </c>
      <c r="T49" s="26" t="s">
        <v>1301</v>
      </c>
      <c r="V49" s="39" t="s">
        <v>1302</v>
      </c>
      <c r="W49" s="76" t="s">
        <v>931</v>
      </c>
    </row>
    <row r="50">
      <c r="A50" s="71" t="s">
        <v>181</v>
      </c>
      <c r="B50" s="71" t="s">
        <v>238</v>
      </c>
      <c r="C50" s="71" t="s">
        <v>239</v>
      </c>
      <c r="D50" s="112" t="s">
        <v>1303</v>
      </c>
      <c r="E50" s="67" t="s">
        <v>963</v>
      </c>
      <c r="F50" s="70" t="s">
        <v>49</v>
      </c>
      <c r="G50" s="71" t="s">
        <v>1293</v>
      </c>
      <c r="H50" s="72" t="s">
        <v>966</v>
      </c>
      <c r="I50" s="70" t="s">
        <v>162</v>
      </c>
      <c r="J50" s="81" t="s">
        <v>1304</v>
      </c>
      <c r="K50" s="72" t="s">
        <v>1009</v>
      </c>
      <c r="L50" s="72" t="s">
        <v>1305</v>
      </c>
      <c r="M50" s="71" t="s">
        <v>1019</v>
      </c>
      <c r="N50" s="75">
        <v>2024.0</v>
      </c>
      <c r="O50" s="71" t="s">
        <v>992</v>
      </c>
      <c r="P50" s="71" t="s">
        <v>972</v>
      </c>
      <c r="Q50" s="71" t="s">
        <v>972</v>
      </c>
      <c r="R50" s="67" t="s">
        <v>1306</v>
      </c>
      <c r="S50" s="26" t="s">
        <v>1054</v>
      </c>
      <c r="T50" s="26" t="s">
        <v>1275</v>
      </c>
      <c r="V50" s="39" t="s">
        <v>1307</v>
      </c>
      <c r="W50" s="76" t="s">
        <v>931</v>
      </c>
    </row>
    <row r="51">
      <c r="A51" s="71" t="s">
        <v>181</v>
      </c>
      <c r="B51" s="71" t="s">
        <v>240</v>
      </c>
      <c r="C51" s="71" t="s">
        <v>241</v>
      </c>
      <c r="D51" s="113" t="s">
        <v>1308</v>
      </c>
      <c r="E51" s="67" t="s">
        <v>963</v>
      </c>
      <c r="F51" s="70" t="s">
        <v>49</v>
      </c>
      <c r="G51" s="71" t="s">
        <v>1309</v>
      </c>
      <c r="H51" s="71"/>
      <c r="I51" s="70" t="s">
        <v>1038</v>
      </c>
      <c r="J51" s="81" t="s">
        <v>1310</v>
      </c>
      <c r="K51" s="72" t="s">
        <v>1009</v>
      </c>
      <c r="L51" s="72" t="s">
        <v>1311</v>
      </c>
      <c r="M51" s="71" t="s">
        <v>1027</v>
      </c>
      <c r="N51" s="75">
        <v>2024.0</v>
      </c>
      <c r="O51" s="71" t="s">
        <v>1312</v>
      </c>
      <c r="P51" s="71" t="s">
        <v>972</v>
      </c>
      <c r="Q51" s="71" t="s">
        <v>972</v>
      </c>
      <c r="R51" s="67" t="s">
        <v>1306</v>
      </c>
      <c r="S51" s="26" t="s">
        <v>1054</v>
      </c>
      <c r="T51" s="26" t="s">
        <v>1313</v>
      </c>
      <c r="V51" s="39" t="s">
        <v>1314</v>
      </c>
      <c r="W51" s="76" t="s">
        <v>931</v>
      </c>
    </row>
    <row r="52">
      <c r="A52" s="96" t="s">
        <v>181</v>
      </c>
      <c r="B52" s="96" t="s">
        <v>245</v>
      </c>
      <c r="C52" s="96" t="s">
        <v>246</v>
      </c>
      <c r="D52" s="114" t="s">
        <v>1315</v>
      </c>
      <c r="E52" s="76" t="s">
        <v>963</v>
      </c>
      <c r="F52" s="95" t="s">
        <v>559</v>
      </c>
      <c r="G52" s="96" t="s">
        <v>1272</v>
      </c>
      <c r="H52" s="95" t="s">
        <v>966</v>
      </c>
      <c r="I52" s="115" t="s">
        <v>162</v>
      </c>
      <c r="J52" s="116" t="s">
        <v>1316</v>
      </c>
      <c r="K52" s="95" t="s">
        <v>1009</v>
      </c>
      <c r="L52" s="95" t="s">
        <v>1317</v>
      </c>
      <c r="M52" s="96" t="s">
        <v>1027</v>
      </c>
      <c r="N52" s="99">
        <v>2023.0</v>
      </c>
      <c r="O52" s="96" t="s">
        <v>992</v>
      </c>
      <c r="P52" s="96" t="s">
        <v>972</v>
      </c>
      <c r="Q52" s="96" t="s">
        <v>972</v>
      </c>
      <c r="R52" s="76" t="s">
        <v>1318</v>
      </c>
      <c r="S52" s="117" t="s">
        <v>1054</v>
      </c>
      <c r="T52" s="117" t="s">
        <v>1319</v>
      </c>
      <c r="U52" s="118"/>
      <c r="V52" s="101" t="s">
        <v>1320</v>
      </c>
      <c r="W52" s="76" t="s">
        <v>931</v>
      </c>
      <c r="X52" s="118"/>
      <c r="Y52" s="118"/>
      <c r="Z52" s="118"/>
      <c r="AA52" s="118"/>
      <c r="AB52" s="118"/>
      <c r="AC52" s="118"/>
    </row>
    <row r="53">
      <c r="A53" s="71" t="s">
        <v>181</v>
      </c>
      <c r="B53" s="71" t="s">
        <v>249</v>
      </c>
      <c r="C53" s="71" t="s">
        <v>250</v>
      </c>
      <c r="D53" s="113" t="s">
        <v>1321</v>
      </c>
      <c r="E53" s="67" t="s">
        <v>963</v>
      </c>
      <c r="F53" s="70" t="s">
        <v>49</v>
      </c>
      <c r="G53" s="71" t="s">
        <v>1185</v>
      </c>
      <c r="H53" s="71"/>
      <c r="I53" s="70" t="s">
        <v>162</v>
      </c>
      <c r="J53" s="73" t="s">
        <v>988</v>
      </c>
      <c r="K53" s="74" t="s">
        <v>1145</v>
      </c>
      <c r="L53" s="72" t="s">
        <v>1322</v>
      </c>
      <c r="M53" s="71" t="s">
        <v>1323</v>
      </c>
      <c r="N53" s="75">
        <v>2024.0</v>
      </c>
      <c r="O53" s="71" t="s">
        <v>992</v>
      </c>
      <c r="P53" s="71" t="s">
        <v>972</v>
      </c>
      <c r="Q53" s="71" t="s">
        <v>972</v>
      </c>
      <c r="R53" s="67" t="s">
        <v>1306</v>
      </c>
      <c r="S53" s="26" t="s">
        <v>1054</v>
      </c>
      <c r="T53" s="26" t="s">
        <v>1324</v>
      </c>
      <c r="V53" s="39" t="s">
        <v>1325</v>
      </c>
      <c r="W53" s="76" t="s">
        <v>931</v>
      </c>
    </row>
    <row r="54">
      <c r="A54" s="71" t="s">
        <v>181</v>
      </c>
      <c r="B54" s="71" t="s">
        <v>254</v>
      </c>
      <c r="C54" s="71" t="s">
        <v>255</v>
      </c>
      <c r="D54" s="113" t="s">
        <v>1326</v>
      </c>
      <c r="E54" s="119" t="s">
        <v>963</v>
      </c>
      <c r="F54" s="70" t="s">
        <v>49</v>
      </c>
      <c r="G54" s="71" t="s">
        <v>1112</v>
      </c>
      <c r="H54" s="72" t="s">
        <v>966</v>
      </c>
      <c r="I54" s="70" t="s">
        <v>162</v>
      </c>
      <c r="J54" s="81" t="s">
        <v>1327</v>
      </c>
      <c r="K54" s="72" t="s">
        <v>1009</v>
      </c>
      <c r="L54" s="72" t="s">
        <v>1328</v>
      </c>
      <c r="M54" s="71" t="s">
        <v>1027</v>
      </c>
      <c r="N54" s="75">
        <v>2023.0</v>
      </c>
      <c r="O54" s="71" t="s">
        <v>992</v>
      </c>
      <c r="P54" s="71" t="s">
        <v>972</v>
      </c>
      <c r="Q54" s="71" t="s">
        <v>972</v>
      </c>
      <c r="R54" s="67" t="s">
        <v>1280</v>
      </c>
      <c r="S54" s="26" t="s">
        <v>1054</v>
      </c>
      <c r="T54" s="26" t="s">
        <v>1329</v>
      </c>
      <c r="V54" s="39" t="s">
        <v>1330</v>
      </c>
      <c r="W54" s="76" t="s">
        <v>931</v>
      </c>
    </row>
    <row r="55">
      <c r="A55" s="71" t="s">
        <v>181</v>
      </c>
      <c r="B55" s="71" t="s">
        <v>652</v>
      </c>
      <c r="C55" s="71" t="s">
        <v>653</v>
      </c>
      <c r="D55" s="113" t="s">
        <v>1331</v>
      </c>
      <c r="E55" s="67" t="s">
        <v>963</v>
      </c>
      <c r="F55" s="70" t="s">
        <v>49</v>
      </c>
      <c r="G55" s="71" t="s">
        <v>1112</v>
      </c>
      <c r="H55" s="72" t="s">
        <v>966</v>
      </c>
      <c r="I55" s="70" t="s">
        <v>162</v>
      </c>
      <c r="J55" s="81" t="s">
        <v>1332</v>
      </c>
      <c r="K55" s="74" t="s">
        <v>1333</v>
      </c>
      <c r="L55" s="72" t="s">
        <v>1334</v>
      </c>
      <c r="M55" s="71" t="s">
        <v>1027</v>
      </c>
      <c r="N55" s="75">
        <v>2025.0</v>
      </c>
      <c r="O55" s="71" t="s">
        <v>992</v>
      </c>
      <c r="P55" s="71" t="s">
        <v>972</v>
      </c>
      <c r="Q55" s="71" t="s">
        <v>972</v>
      </c>
      <c r="R55" s="67" t="s">
        <v>1280</v>
      </c>
      <c r="S55" s="26" t="s">
        <v>1054</v>
      </c>
      <c r="T55" s="26" t="s">
        <v>1335</v>
      </c>
      <c r="V55" s="39" t="s">
        <v>1336</v>
      </c>
      <c r="W55" s="76" t="s">
        <v>931</v>
      </c>
    </row>
    <row r="56">
      <c r="A56" s="71" t="s">
        <v>181</v>
      </c>
      <c r="B56" s="71" t="s">
        <v>657</v>
      </c>
      <c r="C56" s="71" t="s">
        <v>658</v>
      </c>
      <c r="D56" s="113" t="s">
        <v>1337</v>
      </c>
      <c r="E56" s="67" t="s">
        <v>963</v>
      </c>
      <c r="F56" s="70" t="s">
        <v>49</v>
      </c>
      <c r="G56" s="71" t="s">
        <v>1038</v>
      </c>
      <c r="H56" s="71"/>
      <c r="I56" s="70" t="s">
        <v>162</v>
      </c>
      <c r="J56" s="73" t="s">
        <v>1039</v>
      </c>
      <c r="K56" s="72" t="s">
        <v>1338</v>
      </c>
      <c r="L56" s="72" t="s">
        <v>1339</v>
      </c>
      <c r="M56" s="71" t="s">
        <v>1340</v>
      </c>
      <c r="N56" s="75">
        <v>2025.0</v>
      </c>
      <c r="O56" s="71" t="s">
        <v>992</v>
      </c>
      <c r="P56" s="71" t="s">
        <v>972</v>
      </c>
      <c r="Q56" s="71" t="s">
        <v>972</v>
      </c>
      <c r="R56" s="67" t="s">
        <v>963</v>
      </c>
      <c r="S56" s="26" t="s">
        <v>1341</v>
      </c>
      <c r="T56" s="26" t="s">
        <v>1342</v>
      </c>
      <c r="V56" s="39" t="s">
        <v>1343</v>
      </c>
      <c r="W56" s="76" t="s">
        <v>931</v>
      </c>
    </row>
    <row r="57">
      <c r="A57" s="71" t="s">
        <v>181</v>
      </c>
      <c r="B57" s="71" t="s">
        <v>663</v>
      </c>
      <c r="C57" s="71" t="s">
        <v>664</v>
      </c>
      <c r="D57" s="113" t="s">
        <v>1344</v>
      </c>
      <c r="E57" s="67" t="s">
        <v>963</v>
      </c>
      <c r="F57" s="70" t="s">
        <v>49</v>
      </c>
      <c r="G57" s="71" t="s">
        <v>162</v>
      </c>
      <c r="H57" s="71"/>
      <c r="I57" s="70" t="s">
        <v>162</v>
      </c>
      <c r="J57" s="73" t="s">
        <v>988</v>
      </c>
      <c r="K57" s="72" t="s">
        <v>1009</v>
      </c>
      <c r="L57" s="72" t="s">
        <v>1345</v>
      </c>
      <c r="M57" s="71" t="s">
        <v>1002</v>
      </c>
      <c r="N57" s="75">
        <v>2025.0</v>
      </c>
      <c r="O57" s="71" t="s">
        <v>971</v>
      </c>
      <c r="P57" s="71" t="s">
        <v>972</v>
      </c>
      <c r="Q57" s="71" t="s">
        <v>972</v>
      </c>
      <c r="R57" s="67" t="s">
        <v>1136</v>
      </c>
      <c r="S57" s="26" t="s">
        <v>983</v>
      </c>
      <c r="T57" s="26" t="s">
        <v>1329</v>
      </c>
      <c r="V57" s="39" t="s">
        <v>1346</v>
      </c>
      <c r="W57" s="76" t="s">
        <v>931</v>
      </c>
    </row>
    <row r="58">
      <c r="A58" s="96" t="s">
        <v>181</v>
      </c>
      <c r="B58" s="96" t="s">
        <v>666</v>
      </c>
      <c r="C58" s="96" t="s">
        <v>667</v>
      </c>
      <c r="D58" s="114" t="s">
        <v>1347</v>
      </c>
      <c r="E58" s="76" t="s">
        <v>963</v>
      </c>
      <c r="F58" s="95" t="s">
        <v>559</v>
      </c>
      <c r="G58" s="96" t="s">
        <v>1263</v>
      </c>
      <c r="H58" s="96"/>
      <c r="I58" s="95" t="s">
        <v>966</v>
      </c>
      <c r="J58" s="97" t="s">
        <v>1203</v>
      </c>
      <c r="K58" s="95" t="s">
        <v>1348</v>
      </c>
      <c r="L58" s="120"/>
      <c r="M58" s="96" t="s">
        <v>1027</v>
      </c>
      <c r="N58" s="99">
        <v>2025.0</v>
      </c>
      <c r="O58" s="96" t="s">
        <v>1003</v>
      </c>
      <c r="P58" s="96" t="s">
        <v>1205</v>
      </c>
      <c r="Q58" s="96" t="s">
        <v>1206</v>
      </c>
      <c r="R58" s="76" t="s">
        <v>963</v>
      </c>
      <c r="S58" s="117" t="s">
        <v>1349</v>
      </c>
      <c r="T58" s="117" t="s">
        <v>1350</v>
      </c>
      <c r="U58" s="118"/>
      <c r="V58" s="101" t="s">
        <v>1351</v>
      </c>
      <c r="W58" s="76" t="s">
        <v>1210</v>
      </c>
      <c r="X58" s="118"/>
      <c r="Y58" s="118"/>
      <c r="Z58" s="118"/>
      <c r="AA58" s="118"/>
      <c r="AB58" s="118"/>
      <c r="AC58" s="118"/>
    </row>
    <row r="59">
      <c r="A59" s="71" t="s">
        <v>181</v>
      </c>
      <c r="B59" s="71" t="s">
        <v>703</v>
      </c>
      <c r="C59" s="71" t="s">
        <v>704</v>
      </c>
      <c r="D59" s="113" t="s">
        <v>1352</v>
      </c>
      <c r="E59" s="67" t="s">
        <v>963</v>
      </c>
      <c r="F59" s="70" t="s">
        <v>49</v>
      </c>
      <c r="G59" s="71" t="s">
        <v>987</v>
      </c>
      <c r="H59" s="72" t="s">
        <v>966</v>
      </c>
      <c r="I59" s="70" t="s">
        <v>162</v>
      </c>
      <c r="J59" s="73" t="s">
        <v>988</v>
      </c>
      <c r="K59" s="72" t="s">
        <v>1009</v>
      </c>
      <c r="L59" s="72" t="s">
        <v>1353</v>
      </c>
      <c r="M59" s="71" t="s">
        <v>1027</v>
      </c>
      <c r="N59" s="75">
        <v>2025.0</v>
      </c>
      <c r="O59" s="71" t="s">
        <v>1354</v>
      </c>
      <c r="P59" s="71" t="s">
        <v>972</v>
      </c>
      <c r="Q59" s="71" t="s">
        <v>972</v>
      </c>
      <c r="R59" s="67" t="s">
        <v>1280</v>
      </c>
      <c r="S59" s="26" t="s">
        <v>1300</v>
      </c>
      <c r="T59" s="26" t="s">
        <v>1355</v>
      </c>
      <c r="V59" s="39" t="s">
        <v>1356</v>
      </c>
      <c r="W59" s="76" t="s">
        <v>931</v>
      </c>
    </row>
    <row r="60">
      <c r="A60" s="71" t="s">
        <v>181</v>
      </c>
      <c r="B60" s="71" t="s">
        <v>709</v>
      </c>
      <c r="C60" s="71" t="s">
        <v>710</v>
      </c>
      <c r="D60" s="113" t="s">
        <v>1357</v>
      </c>
      <c r="E60" s="67" t="s">
        <v>963</v>
      </c>
      <c r="F60" s="70" t="s">
        <v>49</v>
      </c>
      <c r="G60" s="71" t="s">
        <v>1358</v>
      </c>
      <c r="H60" s="72" t="s">
        <v>966</v>
      </c>
      <c r="I60" s="70" t="s">
        <v>162</v>
      </c>
      <c r="J60" s="81" t="s">
        <v>1359</v>
      </c>
      <c r="K60" s="72" t="s">
        <v>1009</v>
      </c>
      <c r="L60" s="72" t="s">
        <v>1360</v>
      </c>
      <c r="M60" s="71" t="s">
        <v>1027</v>
      </c>
      <c r="N60" s="75">
        <v>2025.0</v>
      </c>
      <c r="O60" s="71" t="s">
        <v>980</v>
      </c>
      <c r="P60" s="71" t="s">
        <v>972</v>
      </c>
      <c r="Q60" s="71" t="s">
        <v>972</v>
      </c>
      <c r="R60" s="67" t="s">
        <v>1280</v>
      </c>
      <c r="S60" s="26" t="s">
        <v>1361</v>
      </c>
      <c r="T60" s="26" t="s">
        <v>1048</v>
      </c>
      <c r="V60" s="39" t="s">
        <v>1362</v>
      </c>
      <c r="W60" s="76" t="s">
        <v>931</v>
      </c>
    </row>
    <row r="61">
      <c r="A61" s="71" t="s">
        <v>181</v>
      </c>
      <c r="B61" s="71" t="s">
        <v>801</v>
      </c>
      <c r="C61" s="71" t="s">
        <v>802</v>
      </c>
      <c r="D61" s="113" t="s">
        <v>1363</v>
      </c>
      <c r="E61" s="67" t="s">
        <v>963</v>
      </c>
      <c r="F61" s="70" t="s">
        <v>49</v>
      </c>
      <c r="G61" s="71" t="s">
        <v>1038</v>
      </c>
      <c r="H61" s="71"/>
      <c r="I61" s="70" t="s">
        <v>1038</v>
      </c>
      <c r="J61" s="73" t="s">
        <v>1039</v>
      </c>
      <c r="K61" s="72" t="s">
        <v>1364</v>
      </c>
      <c r="L61" s="72" t="s">
        <v>1365</v>
      </c>
      <c r="M61" s="71" t="s">
        <v>1366</v>
      </c>
      <c r="N61" s="75">
        <v>2025.0</v>
      </c>
      <c r="O61" s="71" t="s">
        <v>1367</v>
      </c>
      <c r="P61" s="71" t="s">
        <v>1090</v>
      </c>
      <c r="Q61" s="71" t="s">
        <v>1021</v>
      </c>
      <c r="R61" s="67" t="s">
        <v>963</v>
      </c>
      <c r="S61" s="26" t="s">
        <v>1368</v>
      </c>
      <c r="T61" s="26" t="s">
        <v>1369</v>
      </c>
      <c r="V61" s="39" t="s">
        <v>1370</v>
      </c>
      <c r="W61" s="76" t="s">
        <v>1031</v>
      </c>
    </row>
    <row r="62">
      <c r="A62" s="71" t="s">
        <v>181</v>
      </c>
      <c r="B62" s="71" t="s">
        <v>804</v>
      </c>
      <c r="C62" s="71" t="s">
        <v>805</v>
      </c>
      <c r="D62" s="113" t="s">
        <v>1371</v>
      </c>
      <c r="E62" s="67" t="s">
        <v>963</v>
      </c>
      <c r="F62" s="70" t="s">
        <v>49</v>
      </c>
      <c r="G62" s="71" t="s">
        <v>987</v>
      </c>
      <c r="H62" s="72" t="s">
        <v>966</v>
      </c>
      <c r="I62" s="70" t="s">
        <v>162</v>
      </c>
      <c r="J62" s="73" t="s">
        <v>988</v>
      </c>
      <c r="K62" s="72" t="s">
        <v>1009</v>
      </c>
      <c r="L62" s="72" t="s">
        <v>1253</v>
      </c>
      <c r="M62" s="71" t="s">
        <v>1027</v>
      </c>
      <c r="N62" s="75">
        <v>2025.0</v>
      </c>
      <c r="O62" s="71" t="s">
        <v>992</v>
      </c>
      <c r="P62" s="71" t="s">
        <v>972</v>
      </c>
      <c r="Q62" s="71" t="s">
        <v>972</v>
      </c>
      <c r="R62" s="67" t="s">
        <v>1372</v>
      </c>
      <c r="S62" s="26" t="s">
        <v>1022</v>
      </c>
      <c r="T62" s="26" t="s">
        <v>1313</v>
      </c>
      <c r="V62" s="39" t="s">
        <v>1373</v>
      </c>
      <c r="W62" s="76" t="s">
        <v>931</v>
      </c>
      <c r="X62" s="26" t="s">
        <v>1374</v>
      </c>
    </row>
    <row r="63">
      <c r="A63" s="71" t="s">
        <v>181</v>
      </c>
      <c r="B63" s="71" t="s">
        <v>807</v>
      </c>
      <c r="C63" s="71" t="s">
        <v>808</v>
      </c>
      <c r="D63" s="113" t="s">
        <v>1375</v>
      </c>
      <c r="E63" s="67" t="s">
        <v>963</v>
      </c>
      <c r="F63" s="70" t="s">
        <v>49</v>
      </c>
      <c r="G63" s="71" t="s">
        <v>1376</v>
      </c>
      <c r="H63" s="72" t="s">
        <v>966</v>
      </c>
      <c r="I63" s="70" t="s">
        <v>162</v>
      </c>
      <c r="J63" s="81" t="s">
        <v>1377</v>
      </c>
      <c r="K63" s="72" t="s">
        <v>1009</v>
      </c>
      <c r="L63" s="72" t="s">
        <v>1378</v>
      </c>
      <c r="M63" s="71" t="s">
        <v>1027</v>
      </c>
      <c r="N63" s="75">
        <v>2025.0</v>
      </c>
      <c r="O63" s="71" t="s">
        <v>1354</v>
      </c>
      <c r="P63" s="71" t="s">
        <v>972</v>
      </c>
      <c r="Q63" s="71" t="s">
        <v>972</v>
      </c>
      <c r="R63" s="67" t="s">
        <v>963</v>
      </c>
      <c r="S63" s="26" t="s">
        <v>1054</v>
      </c>
      <c r="T63" s="26" t="s">
        <v>1355</v>
      </c>
      <c r="V63" s="39" t="s">
        <v>1379</v>
      </c>
      <c r="W63" s="76" t="s">
        <v>931</v>
      </c>
    </row>
    <row r="64">
      <c r="A64" s="71" t="s">
        <v>181</v>
      </c>
      <c r="B64" s="121" t="s">
        <v>1380</v>
      </c>
      <c r="C64" s="121" t="s">
        <v>1381</v>
      </c>
      <c r="D64" s="122" t="s">
        <v>1382</v>
      </c>
      <c r="E64" s="26" t="s">
        <v>1210</v>
      </c>
      <c r="F64" s="70" t="s">
        <v>47</v>
      </c>
      <c r="G64" s="72" t="s">
        <v>1383</v>
      </c>
      <c r="H64" s="72"/>
      <c r="I64" s="72" t="s">
        <v>966</v>
      </c>
      <c r="J64" s="67" t="s">
        <v>1203</v>
      </c>
      <c r="K64" s="123" t="s">
        <v>1009</v>
      </c>
      <c r="L64" s="72" t="s">
        <v>1384</v>
      </c>
      <c r="M64" s="71" t="s">
        <v>1385</v>
      </c>
      <c r="N64" s="75">
        <v>2024.0</v>
      </c>
      <c r="O64" s="71" t="s">
        <v>980</v>
      </c>
      <c r="P64" s="71" t="s">
        <v>1386</v>
      </c>
      <c r="Q64" s="71" t="s">
        <v>982</v>
      </c>
      <c r="R64" s="67" t="s">
        <v>963</v>
      </c>
      <c r="S64" s="26" t="s">
        <v>1387</v>
      </c>
      <c r="T64" s="26" t="s">
        <v>1388</v>
      </c>
      <c r="V64" s="39" t="s">
        <v>1389</v>
      </c>
      <c r="W64" s="76" t="s">
        <v>931</v>
      </c>
    </row>
    <row r="65">
      <c r="A65" s="71" t="s">
        <v>181</v>
      </c>
      <c r="B65" s="121" t="s">
        <v>1390</v>
      </c>
      <c r="C65" s="121" t="s">
        <v>1391</v>
      </c>
      <c r="D65" s="122" t="s">
        <v>1392</v>
      </c>
      <c r="E65" s="26" t="s">
        <v>1210</v>
      </c>
      <c r="F65" s="70" t="s">
        <v>49</v>
      </c>
      <c r="G65" s="72" t="s">
        <v>1077</v>
      </c>
      <c r="H65" s="72" t="s">
        <v>1264</v>
      </c>
      <c r="I65" s="72" t="s">
        <v>162</v>
      </c>
      <c r="J65" s="67" t="s">
        <v>1039</v>
      </c>
      <c r="K65" s="72" t="s">
        <v>1393</v>
      </c>
      <c r="L65" s="72" t="s">
        <v>1394</v>
      </c>
      <c r="M65" s="71" t="s">
        <v>1395</v>
      </c>
      <c r="N65" s="75">
        <v>2024.0</v>
      </c>
      <c r="O65" s="71" t="s">
        <v>992</v>
      </c>
      <c r="P65" s="71" t="s">
        <v>1090</v>
      </c>
      <c r="Q65" s="71" t="s">
        <v>1021</v>
      </c>
      <c r="R65" s="67" t="s">
        <v>963</v>
      </c>
      <c r="S65" s="26" t="s">
        <v>1396</v>
      </c>
      <c r="T65" s="26" t="s">
        <v>1355</v>
      </c>
      <c r="V65" s="39" t="s">
        <v>1397</v>
      </c>
      <c r="W65" s="76" t="s">
        <v>1031</v>
      </c>
      <c r="X65" s="26" t="s">
        <v>1398</v>
      </c>
    </row>
    <row r="66">
      <c r="A66" s="71" t="s">
        <v>181</v>
      </c>
      <c r="B66" s="121" t="s">
        <v>1399</v>
      </c>
      <c r="C66" s="121" t="s">
        <v>1400</v>
      </c>
      <c r="D66" s="122" t="s">
        <v>1401</v>
      </c>
      <c r="E66" s="26" t="s">
        <v>1210</v>
      </c>
      <c r="F66" s="70" t="s">
        <v>49</v>
      </c>
      <c r="G66" s="72" t="s">
        <v>964</v>
      </c>
      <c r="H66" s="72"/>
      <c r="I66" s="72" t="s">
        <v>966</v>
      </c>
      <c r="J66" s="67" t="s">
        <v>1203</v>
      </c>
      <c r="K66" s="74" t="s">
        <v>466</v>
      </c>
      <c r="L66" s="72" t="s">
        <v>1402</v>
      </c>
      <c r="M66" s="71" t="s">
        <v>1019</v>
      </c>
      <c r="N66" s="75">
        <v>2024.0</v>
      </c>
      <c r="O66" s="71" t="s">
        <v>1003</v>
      </c>
      <c r="P66" s="71" t="s">
        <v>972</v>
      </c>
      <c r="Q66" s="71" t="s">
        <v>972</v>
      </c>
      <c r="R66" s="67" t="s">
        <v>963</v>
      </c>
      <c r="S66" s="26" t="s">
        <v>1403</v>
      </c>
      <c r="T66" s="26" t="s">
        <v>1404</v>
      </c>
      <c r="V66" s="39" t="s">
        <v>1405</v>
      </c>
      <c r="W66" s="76" t="s">
        <v>931</v>
      </c>
    </row>
    <row r="67">
      <c r="A67" s="71" t="s">
        <v>181</v>
      </c>
      <c r="B67" s="121" t="s">
        <v>1406</v>
      </c>
      <c r="C67" s="121" t="s">
        <v>1407</v>
      </c>
      <c r="D67" s="122" t="s">
        <v>1408</v>
      </c>
      <c r="E67" s="26" t="s">
        <v>1210</v>
      </c>
      <c r="F67" s="70" t="s">
        <v>49</v>
      </c>
      <c r="G67" s="72" t="s">
        <v>1409</v>
      </c>
      <c r="H67" s="72"/>
      <c r="I67" s="70" t="s">
        <v>162</v>
      </c>
      <c r="J67" s="67" t="s">
        <v>988</v>
      </c>
      <c r="K67" s="123"/>
      <c r="L67" s="123"/>
      <c r="M67" s="71" t="s">
        <v>1027</v>
      </c>
      <c r="N67" s="75">
        <v>2024.0</v>
      </c>
      <c r="O67" s="71" t="s">
        <v>992</v>
      </c>
      <c r="P67" s="71" t="s">
        <v>1020</v>
      </c>
      <c r="Q67" s="71" t="s">
        <v>1021</v>
      </c>
      <c r="R67" s="67" t="s">
        <v>963</v>
      </c>
      <c r="S67" s="26" t="s">
        <v>1410</v>
      </c>
      <c r="T67" s="26" t="s">
        <v>1411</v>
      </c>
      <c r="V67" s="39" t="s">
        <v>1412</v>
      </c>
      <c r="W67" s="76" t="s">
        <v>1031</v>
      </c>
      <c r="X67" s="26" t="s">
        <v>1413</v>
      </c>
    </row>
    <row r="68" ht="15.75" customHeight="1">
      <c r="A68" s="71" t="s">
        <v>181</v>
      </c>
      <c r="B68" s="121" t="s">
        <v>1414</v>
      </c>
      <c r="C68" s="121" t="s">
        <v>1415</v>
      </c>
      <c r="D68" s="122" t="s">
        <v>1416</v>
      </c>
      <c r="E68" s="26" t="s">
        <v>1210</v>
      </c>
      <c r="F68" s="70" t="s">
        <v>49</v>
      </c>
      <c r="G68" s="72" t="s">
        <v>987</v>
      </c>
      <c r="H68" s="72"/>
      <c r="I68" s="72" t="s">
        <v>966</v>
      </c>
      <c r="J68" s="67" t="s">
        <v>988</v>
      </c>
      <c r="K68" s="124" t="s">
        <v>1120</v>
      </c>
      <c r="L68" s="74" t="s">
        <v>1417</v>
      </c>
      <c r="M68" s="71" t="s">
        <v>1027</v>
      </c>
      <c r="N68" s="75">
        <v>2023.0</v>
      </c>
      <c r="O68" s="71" t="s">
        <v>1121</v>
      </c>
      <c r="P68" s="71" t="s">
        <v>972</v>
      </c>
      <c r="Q68" s="71" t="s">
        <v>972</v>
      </c>
      <c r="R68" s="67" t="s">
        <v>963</v>
      </c>
      <c r="S68" s="26" t="s">
        <v>1418</v>
      </c>
      <c r="T68" s="26" t="s">
        <v>1419</v>
      </c>
      <c r="V68" s="39" t="s">
        <v>1420</v>
      </c>
      <c r="W68" s="76" t="s">
        <v>931</v>
      </c>
    </row>
    <row r="69" ht="15.0" customHeight="1">
      <c r="A69" s="71" t="s">
        <v>181</v>
      </c>
      <c r="B69" s="121" t="s">
        <v>1421</v>
      </c>
      <c r="C69" s="121" t="s">
        <v>1422</v>
      </c>
      <c r="D69" s="122" t="s">
        <v>1423</v>
      </c>
      <c r="E69" s="26" t="s">
        <v>1210</v>
      </c>
      <c r="F69" s="70" t="s">
        <v>49</v>
      </c>
      <c r="G69" s="72" t="s">
        <v>987</v>
      </c>
      <c r="H69" s="72"/>
      <c r="I69" s="72" t="s">
        <v>966</v>
      </c>
      <c r="J69" s="67" t="s">
        <v>988</v>
      </c>
      <c r="K69" s="124" t="s">
        <v>1424</v>
      </c>
      <c r="L69" s="79"/>
      <c r="M69" s="71" t="s">
        <v>1425</v>
      </c>
      <c r="N69" s="75">
        <v>2022.0</v>
      </c>
      <c r="O69" s="71" t="s">
        <v>992</v>
      </c>
      <c r="P69" s="71" t="s">
        <v>1020</v>
      </c>
      <c r="Q69" s="71" t="s">
        <v>1021</v>
      </c>
      <c r="R69" s="67" t="s">
        <v>963</v>
      </c>
      <c r="S69" s="26" t="s">
        <v>1426</v>
      </c>
      <c r="T69" s="26" t="s">
        <v>1427</v>
      </c>
      <c r="V69" s="39" t="s">
        <v>1428</v>
      </c>
      <c r="W69" s="76" t="s">
        <v>1031</v>
      </c>
    </row>
    <row r="70">
      <c r="A70" s="125" t="s">
        <v>181</v>
      </c>
      <c r="B70" s="126" t="s">
        <v>1429</v>
      </c>
      <c r="C70" s="126" t="s">
        <v>1430</v>
      </c>
      <c r="D70" s="127" t="s">
        <v>1431</v>
      </c>
      <c r="E70" s="20" t="s">
        <v>1210</v>
      </c>
      <c r="F70" s="128" t="s">
        <v>49</v>
      </c>
      <c r="G70" s="129" t="s">
        <v>1432</v>
      </c>
      <c r="H70" s="129"/>
      <c r="I70" s="129" t="s">
        <v>978</v>
      </c>
      <c r="J70" s="130" t="s">
        <v>1433</v>
      </c>
      <c r="K70" s="131" t="s">
        <v>1434</v>
      </c>
      <c r="L70" s="131" t="s">
        <v>1242</v>
      </c>
      <c r="M70" s="125" t="s">
        <v>1435</v>
      </c>
      <c r="N70" s="132">
        <v>2021.0</v>
      </c>
      <c r="O70" s="125" t="s">
        <v>1436</v>
      </c>
      <c r="P70" s="125" t="s">
        <v>1020</v>
      </c>
      <c r="Q70" s="125" t="s">
        <v>1021</v>
      </c>
      <c r="R70" s="130" t="s">
        <v>963</v>
      </c>
      <c r="S70" s="20" t="s">
        <v>1437</v>
      </c>
      <c r="T70" s="20" t="s">
        <v>1438</v>
      </c>
      <c r="U70" s="16"/>
      <c r="V70" s="133" t="s">
        <v>1439</v>
      </c>
      <c r="W70" s="76" t="s">
        <v>931</v>
      </c>
      <c r="X70" s="16"/>
    </row>
    <row r="71">
      <c r="A71" s="72" t="s">
        <v>347</v>
      </c>
      <c r="B71" s="123" t="s">
        <v>348</v>
      </c>
      <c r="C71" s="123" t="s">
        <v>349</v>
      </c>
      <c r="D71" s="134" t="s">
        <v>1440</v>
      </c>
      <c r="E71" s="70" t="s">
        <v>963</v>
      </c>
      <c r="F71" s="70" t="s">
        <v>49</v>
      </c>
      <c r="G71" s="26" t="s">
        <v>1441</v>
      </c>
      <c r="H71" s="26"/>
      <c r="I71" s="70" t="s">
        <v>162</v>
      </c>
      <c r="J71" s="67" t="s">
        <v>988</v>
      </c>
      <c r="K71" s="74" t="s">
        <v>1009</v>
      </c>
      <c r="L71" s="72" t="s">
        <v>1305</v>
      </c>
      <c r="M71" s="71" t="s">
        <v>1027</v>
      </c>
      <c r="N71" s="75">
        <v>2023.0</v>
      </c>
      <c r="O71" s="71" t="s">
        <v>992</v>
      </c>
      <c r="P71" s="71" t="s">
        <v>972</v>
      </c>
      <c r="Q71" s="71" t="s">
        <v>972</v>
      </c>
      <c r="R71" s="67" t="s">
        <v>1306</v>
      </c>
      <c r="S71" s="26" t="s">
        <v>1437</v>
      </c>
      <c r="T71" s="26" t="s">
        <v>1442</v>
      </c>
      <c r="V71" s="39" t="s">
        <v>1443</v>
      </c>
      <c r="W71" s="76" t="s">
        <v>931</v>
      </c>
    </row>
    <row r="72">
      <c r="A72" s="72" t="s">
        <v>347</v>
      </c>
      <c r="B72" s="123" t="s">
        <v>351</v>
      </c>
      <c r="C72" s="123" t="s">
        <v>352</v>
      </c>
      <c r="D72" s="134" t="s">
        <v>1444</v>
      </c>
      <c r="E72" s="123" t="s">
        <v>963</v>
      </c>
      <c r="F72" s="123" t="s">
        <v>49</v>
      </c>
      <c r="G72" s="26" t="s">
        <v>987</v>
      </c>
      <c r="H72" s="26"/>
      <c r="I72" s="72" t="s">
        <v>966</v>
      </c>
      <c r="J72" s="67" t="s">
        <v>988</v>
      </c>
      <c r="K72" s="74" t="s">
        <v>1145</v>
      </c>
      <c r="L72" s="72" t="s">
        <v>1445</v>
      </c>
      <c r="M72" s="71" t="s">
        <v>970</v>
      </c>
      <c r="N72" s="75">
        <v>2023.0</v>
      </c>
      <c r="O72" s="71" t="s">
        <v>971</v>
      </c>
      <c r="P72" s="71" t="s">
        <v>972</v>
      </c>
      <c r="Q72" s="71" t="s">
        <v>972</v>
      </c>
      <c r="R72" s="67" t="s">
        <v>1280</v>
      </c>
      <c r="S72" s="26" t="s">
        <v>1054</v>
      </c>
      <c r="T72" s="26" t="s">
        <v>1446</v>
      </c>
      <c r="V72" s="39" t="s">
        <v>1447</v>
      </c>
      <c r="W72" s="76" t="s">
        <v>931</v>
      </c>
    </row>
    <row r="73">
      <c r="A73" s="72" t="s">
        <v>347</v>
      </c>
      <c r="B73" s="123" t="s">
        <v>355</v>
      </c>
      <c r="C73" s="123" t="s">
        <v>356</v>
      </c>
      <c r="D73" s="134" t="s">
        <v>1448</v>
      </c>
      <c r="E73" s="123" t="s">
        <v>963</v>
      </c>
      <c r="F73" s="123" t="s">
        <v>49</v>
      </c>
      <c r="G73" s="26" t="s">
        <v>1272</v>
      </c>
      <c r="H73" s="72" t="s">
        <v>966</v>
      </c>
      <c r="I73" s="70" t="s">
        <v>162</v>
      </c>
      <c r="J73" s="69" t="s">
        <v>1449</v>
      </c>
      <c r="K73" s="74" t="s">
        <v>1009</v>
      </c>
      <c r="L73" s="72" t="s">
        <v>1450</v>
      </c>
      <c r="M73" s="71" t="s">
        <v>1451</v>
      </c>
      <c r="N73" s="75">
        <v>2023.0</v>
      </c>
      <c r="O73" s="71" t="s">
        <v>992</v>
      </c>
      <c r="P73" s="71" t="s">
        <v>972</v>
      </c>
      <c r="Q73" s="71" t="s">
        <v>972</v>
      </c>
      <c r="R73" s="67" t="s">
        <v>1129</v>
      </c>
      <c r="S73" s="26" t="s">
        <v>1054</v>
      </c>
      <c r="T73" s="26" t="s">
        <v>1452</v>
      </c>
      <c r="V73" s="39" t="s">
        <v>1453</v>
      </c>
      <c r="W73" s="76" t="s">
        <v>931</v>
      </c>
    </row>
    <row r="74">
      <c r="A74" s="72" t="s">
        <v>347</v>
      </c>
      <c r="B74" s="123" t="s">
        <v>359</v>
      </c>
      <c r="C74" s="123" t="s">
        <v>360</v>
      </c>
      <c r="D74" s="134" t="s">
        <v>1454</v>
      </c>
      <c r="E74" s="123" t="s">
        <v>963</v>
      </c>
      <c r="F74" s="123" t="s">
        <v>49</v>
      </c>
      <c r="G74" s="26" t="s">
        <v>1272</v>
      </c>
      <c r="H74" s="72" t="s">
        <v>966</v>
      </c>
      <c r="I74" s="70" t="s">
        <v>162</v>
      </c>
      <c r="J74" s="69" t="s">
        <v>1455</v>
      </c>
      <c r="K74" s="74" t="s">
        <v>1009</v>
      </c>
      <c r="L74" s="72" t="s">
        <v>1450</v>
      </c>
      <c r="M74" s="71" t="s">
        <v>1456</v>
      </c>
      <c r="N74" s="75">
        <v>2023.0</v>
      </c>
      <c r="O74" s="71" t="s">
        <v>992</v>
      </c>
      <c r="P74" s="71" t="s">
        <v>972</v>
      </c>
      <c r="Q74" s="71" t="s">
        <v>972</v>
      </c>
      <c r="R74" s="67" t="s">
        <v>1457</v>
      </c>
      <c r="S74" s="26" t="s">
        <v>1054</v>
      </c>
      <c r="T74" s="26" t="s">
        <v>1458</v>
      </c>
      <c r="V74" s="39" t="s">
        <v>1459</v>
      </c>
      <c r="W74" s="76" t="s">
        <v>931</v>
      </c>
    </row>
    <row r="75">
      <c r="A75" s="72" t="s">
        <v>347</v>
      </c>
      <c r="B75" s="123" t="s">
        <v>365</v>
      </c>
      <c r="C75" s="123" t="s">
        <v>366</v>
      </c>
      <c r="D75" s="134" t="s">
        <v>1460</v>
      </c>
      <c r="E75" s="123" t="s">
        <v>963</v>
      </c>
      <c r="F75" s="123" t="s">
        <v>49</v>
      </c>
      <c r="G75" s="26" t="s">
        <v>1239</v>
      </c>
      <c r="H75" s="26"/>
      <c r="I75" s="70" t="s">
        <v>1038</v>
      </c>
      <c r="J75" s="67" t="s">
        <v>1039</v>
      </c>
      <c r="K75" s="74" t="s">
        <v>1461</v>
      </c>
      <c r="L75" s="72" t="s">
        <v>1462</v>
      </c>
      <c r="M75" s="71" t="s">
        <v>1027</v>
      </c>
      <c r="N75" s="75">
        <v>2022.0</v>
      </c>
      <c r="O75" s="71" t="s">
        <v>980</v>
      </c>
      <c r="P75" s="71" t="s">
        <v>972</v>
      </c>
      <c r="Q75" s="71" t="s">
        <v>972</v>
      </c>
      <c r="R75" s="67" t="s">
        <v>1129</v>
      </c>
      <c r="S75" s="26" t="s">
        <v>1463</v>
      </c>
      <c r="T75" s="26" t="s">
        <v>1464</v>
      </c>
      <c r="V75" s="39" t="s">
        <v>1465</v>
      </c>
      <c r="W75" s="76" t="s">
        <v>931</v>
      </c>
    </row>
    <row r="76">
      <c r="A76" s="72" t="s">
        <v>347</v>
      </c>
      <c r="B76" s="123" t="s">
        <v>370</v>
      </c>
      <c r="C76" s="72" t="s">
        <v>1466</v>
      </c>
      <c r="D76" s="134" t="s">
        <v>1467</v>
      </c>
      <c r="E76" s="123" t="s">
        <v>963</v>
      </c>
      <c r="F76" s="123" t="s">
        <v>49</v>
      </c>
      <c r="G76" s="26" t="s">
        <v>1468</v>
      </c>
      <c r="H76" s="26"/>
      <c r="I76" s="70" t="s">
        <v>1038</v>
      </c>
      <c r="J76" s="67" t="s">
        <v>1039</v>
      </c>
      <c r="K76" s="74" t="s">
        <v>1145</v>
      </c>
      <c r="L76" s="72" t="s">
        <v>1469</v>
      </c>
      <c r="M76" s="71" t="s">
        <v>1027</v>
      </c>
      <c r="N76" s="75">
        <v>2022.0</v>
      </c>
      <c r="O76" s="71" t="s">
        <v>992</v>
      </c>
      <c r="P76" s="71" t="s">
        <v>1100</v>
      </c>
      <c r="Q76" s="71" t="s">
        <v>1081</v>
      </c>
      <c r="R76" s="67" t="s">
        <v>963</v>
      </c>
      <c r="S76" s="26" t="s">
        <v>1062</v>
      </c>
      <c r="T76" s="26" t="s">
        <v>1470</v>
      </c>
      <c r="V76" s="39" t="s">
        <v>1471</v>
      </c>
      <c r="W76" s="76" t="s">
        <v>1031</v>
      </c>
    </row>
    <row r="77">
      <c r="A77" s="72" t="s">
        <v>347</v>
      </c>
      <c r="B77" s="123" t="s">
        <v>377</v>
      </c>
      <c r="C77" s="123" t="s">
        <v>378</v>
      </c>
      <c r="D77" s="134" t="s">
        <v>1472</v>
      </c>
      <c r="E77" s="123" t="s">
        <v>963</v>
      </c>
      <c r="F77" s="123" t="s">
        <v>49</v>
      </c>
      <c r="G77" s="26" t="s">
        <v>987</v>
      </c>
      <c r="H77" s="72" t="s">
        <v>966</v>
      </c>
      <c r="I77" s="70" t="s">
        <v>162</v>
      </c>
      <c r="J77" s="67" t="s">
        <v>988</v>
      </c>
      <c r="K77" s="74" t="s">
        <v>1009</v>
      </c>
      <c r="L77" s="74" t="s">
        <v>1473</v>
      </c>
      <c r="M77" s="71" t="s">
        <v>1027</v>
      </c>
      <c r="N77" s="75">
        <v>2022.0</v>
      </c>
      <c r="O77" s="71" t="s">
        <v>992</v>
      </c>
      <c r="P77" s="71" t="s">
        <v>972</v>
      </c>
      <c r="Q77" s="71" t="s">
        <v>972</v>
      </c>
      <c r="R77" s="67" t="s">
        <v>1474</v>
      </c>
      <c r="S77" s="26" t="s">
        <v>1475</v>
      </c>
      <c r="T77" s="26" t="s">
        <v>1476</v>
      </c>
      <c r="V77" s="39" t="s">
        <v>1477</v>
      </c>
      <c r="W77" s="76" t="s">
        <v>931</v>
      </c>
      <c r="X77" s="26" t="s">
        <v>1478</v>
      </c>
    </row>
    <row r="78">
      <c r="A78" s="72" t="s">
        <v>347</v>
      </c>
      <c r="B78" s="123" t="s">
        <v>381</v>
      </c>
      <c r="C78" s="123" t="s">
        <v>382</v>
      </c>
      <c r="D78" s="134" t="s">
        <v>1479</v>
      </c>
      <c r="E78" s="123" t="s">
        <v>963</v>
      </c>
      <c r="F78" s="123" t="s">
        <v>49</v>
      </c>
      <c r="G78" s="26" t="s">
        <v>1077</v>
      </c>
      <c r="H78" s="26"/>
      <c r="I78" s="70" t="s">
        <v>162</v>
      </c>
      <c r="J78" s="67" t="s">
        <v>988</v>
      </c>
      <c r="K78" s="74" t="s">
        <v>1009</v>
      </c>
      <c r="L78" s="72" t="s">
        <v>1480</v>
      </c>
      <c r="M78" s="71" t="s">
        <v>1027</v>
      </c>
      <c r="N78" s="75">
        <v>2022.0</v>
      </c>
      <c r="O78" s="71" t="s">
        <v>1003</v>
      </c>
      <c r="P78" s="71" t="s">
        <v>972</v>
      </c>
      <c r="Q78" s="71" t="s">
        <v>972</v>
      </c>
      <c r="R78" s="67" t="s">
        <v>1481</v>
      </c>
      <c r="S78" s="26" t="s">
        <v>1054</v>
      </c>
      <c r="T78" s="26" t="s">
        <v>1482</v>
      </c>
      <c r="V78" s="39" t="s">
        <v>1483</v>
      </c>
      <c r="W78" s="76" t="s">
        <v>931</v>
      </c>
    </row>
    <row r="79">
      <c r="A79" s="72" t="s">
        <v>347</v>
      </c>
      <c r="B79" s="123" t="s">
        <v>386</v>
      </c>
      <c r="C79" s="123" t="s">
        <v>387</v>
      </c>
      <c r="D79" s="134" t="s">
        <v>1484</v>
      </c>
      <c r="E79" s="123" t="s">
        <v>963</v>
      </c>
      <c r="F79" s="123" t="s">
        <v>49</v>
      </c>
      <c r="G79" s="26" t="s">
        <v>1485</v>
      </c>
      <c r="H79" s="26"/>
      <c r="I79" s="70" t="s">
        <v>162</v>
      </c>
      <c r="J79" s="135" t="s">
        <v>1486</v>
      </c>
      <c r="K79" s="74" t="s">
        <v>1487</v>
      </c>
      <c r="L79" s="72" t="s">
        <v>1488</v>
      </c>
      <c r="M79" s="71" t="s">
        <v>1027</v>
      </c>
      <c r="N79" s="75">
        <v>2022.0</v>
      </c>
      <c r="O79" s="71" t="s">
        <v>992</v>
      </c>
      <c r="P79" s="71" t="s">
        <v>972</v>
      </c>
      <c r="Q79" s="71" t="s">
        <v>972</v>
      </c>
      <c r="R79" s="67" t="s">
        <v>1280</v>
      </c>
      <c r="S79" s="26" t="s">
        <v>1054</v>
      </c>
      <c r="T79" s="26" t="s">
        <v>1489</v>
      </c>
      <c r="V79" s="39" t="s">
        <v>1490</v>
      </c>
      <c r="W79" s="76" t="s">
        <v>931</v>
      </c>
      <c r="X79" s="26" t="s">
        <v>1491</v>
      </c>
    </row>
    <row r="80">
      <c r="A80" s="72" t="s">
        <v>347</v>
      </c>
      <c r="B80" s="123" t="s">
        <v>390</v>
      </c>
      <c r="C80" s="123" t="s">
        <v>391</v>
      </c>
      <c r="D80" s="134" t="s">
        <v>1492</v>
      </c>
      <c r="E80" s="123" t="s">
        <v>963</v>
      </c>
      <c r="F80" s="123" t="s">
        <v>49</v>
      </c>
      <c r="G80" s="26" t="s">
        <v>1409</v>
      </c>
      <c r="H80" s="26"/>
      <c r="I80" s="70" t="s">
        <v>162</v>
      </c>
      <c r="J80" s="67" t="s">
        <v>988</v>
      </c>
      <c r="K80" s="74" t="s">
        <v>1033</v>
      </c>
      <c r="L80" s="72" t="s">
        <v>1493</v>
      </c>
      <c r="M80" s="71" t="s">
        <v>991</v>
      </c>
      <c r="N80" s="75">
        <v>2022.0</v>
      </c>
      <c r="O80" s="71" t="s">
        <v>992</v>
      </c>
      <c r="P80" s="71" t="s">
        <v>972</v>
      </c>
      <c r="Q80" s="71" t="s">
        <v>972</v>
      </c>
      <c r="R80" s="67" t="s">
        <v>1481</v>
      </c>
      <c r="S80" s="26" t="s">
        <v>1494</v>
      </c>
      <c r="T80" s="26" t="s">
        <v>1495</v>
      </c>
      <c r="V80" s="39" t="s">
        <v>1496</v>
      </c>
      <c r="W80" s="76" t="s">
        <v>931</v>
      </c>
      <c r="X80" s="26" t="s">
        <v>1497</v>
      </c>
    </row>
    <row r="81">
      <c r="A81" s="95" t="s">
        <v>347</v>
      </c>
      <c r="B81" s="98" t="s">
        <v>394</v>
      </c>
      <c r="C81" s="98" t="s">
        <v>395</v>
      </c>
      <c r="D81" s="136" t="s">
        <v>1498</v>
      </c>
      <c r="E81" s="98" t="s">
        <v>963</v>
      </c>
      <c r="F81" s="95" t="s">
        <v>559</v>
      </c>
      <c r="G81" s="117" t="s">
        <v>1499</v>
      </c>
      <c r="H81" s="117"/>
      <c r="I81" s="115" t="s">
        <v>162</v>
      </c>
      <c r="J81" s="76" t="s">
        <v>1067</v>
      </c>
      <c r="K81" s="137" t="s">
        <v>1500</v>
      </c>
      <c r="L81" s="95" t="s">
        <v>1501</v>
      </c>
      <c r="M81" s="96" t="s">
        <v>1172</v>
      </c>
      <c r="N81" s="99">
        <v>2022.0</v>
      </c>
      <c r="O81" s="96" t="s">
        <v>1502</v>
      </c>
      <c r="P81" s="96" t="s">
        <v>1503</v>
      </c>
      <c r="Q81" s="96" t="s">
        <v>982</v>
      </c>
      <c r="R81" s="76" t="s">
        <v>963</v>
      </c>
      <c r="S81" s="117" t="s">
        <v>1062</v>
      </c>
      <c r="T81" s="117" t="s">
        <v>1504</v>
      </c>
      <c r="U81" s="118"/>
      <c r="V81" s="101" t="s">
        <v>1505</v>
      </c>
      <c r="W81" s="76" t="s">
        <v>1210</v>
      </c>
      <c r="X81" s="118"/>
      <c r="Y81" s="118"/>
      <c r="Z81" s="118"/>
      <c r="AA81" s="118"/>
      <c r="AB81" s="118"/>
      <c r="AC81" s="118"/>
    </row>
    <row r="82">
      <c r="A82" s="72" t="s">
        <v>347</v>
      </c>
      <c r="B82" s="123" t="s">
        <v>399</v>
      </c>
      <c r="C82" s="123" t="s">
        <v>400</v>
      </c>
      <c r="D82" s="134" t="s">
        <v>1506</v>
      </c>
      <c r="E82" s="123" t="s">
        <v>963</v>
      </c>
      <c r="F82" s="123" t="s">
        <v>49</v>
      </c>
      <c r="G82" s="26" t="s">
        <v>1038</v>
      </c>
      <c r="H82" s="26"/>
      <c r="I82" s="72" t="s">
        <v>966</v>
      </c>
      <c r="J82" s="138" t="s">
        <v>1507</v>
      </c>
      <c r="K82" s="74" t="s">
        <v>1508</v>
      </c>
      <c r="L82" s="72" t="s">
        <v>1509</v>
      </c>
      <c r="M82" s="71" t="s">
        <v>1027</v>
      </c>
      <c r="N82" s="75">
        <v>2022.0</v>
      </c>
      <c r="O82" s="71" t="s">
        <v>992</v>
      </c>
      <c r="P82" s="71" t="s">
        <v>1028</v>
      </c>
      <c r="Q82" s="71" t="s">
        <v>982</v>
      </c>
      <c r="R82" s="67" t="s">
        <v>963</v>
      </c>
      <c r="S82" s="26" t="s">
        <v>1510</v>
      </c>
      <c r="T82" s="26" t="s">
        <v>1511</v>
      </c>
      <c r="V82" s="39" t="s">
        <v>1512</v>
      </c>
      <c r="W82" s="76" t="s">
        <v>931</v>
      </c>
    </row>
    <row r="83">
      <c r="A83" s="72" t="s">
        <v>347</v>
      </c>
      <c r="B83" s="123" t="s">
        <v>404</v>
      </c>
      <c r="C83" s="123" t="s">
        <v>405</v>
      </c>
      <c r="D83" s="134" t="s">
        <v>1513</v>
      </c>
      <c r="E83" s="123" t="s">
        <v>963</v>
      </c>
      <c r="F83" s="123" t="s">
        <v>49</v>
      </c>
      <c r="G83" s="26" t="s">
        <v>998</v>
      </c>
      <c r="H83" s="26"/>
      <c r="I83" s="70" t="s">
        <v>162</v>
      </c>
      <c r="J83" s="121" t="s">
        <v>1514</v>
      </c>
      <c r="K83" s="74" t="s">
        <v>1009</v>
      </c>
      <c r="L83" s="72" t="s">
        <v>1515</v>
      </c>
      <c r="M83" s="71" t="s">
        <v>1516</v>
      </c>
      <c r="N83" s="75">
        <v>2022.0</v>
      </c>
      <c r="O83" s="71" t="s">
        <v>971</v>
      </c>
      <c r="P83" s="71" t="s">
        <v>972</v>
      </c>
      <c r="Q83" s="71" t="s">
        <v>972</v>
      </c>
      <c r="R83" s="67" t="s">
        <v>1129</v>
      </c>
      <c r="S83" s="26" t="s">
        <v>1062</v>
      </c>
      <c r="T83" s="26" t="s">
        <v>1517</v>
      </c>
      <c r="V83" s="39" t="s">
        <v>1518</v>
      </c>
      <c r="W83" s="76" t="s">
        <v>931</v>
      </c>
    </row>
    <row r="84">
      <c r="A84" s="72" t="s">
        <v>347</v>
      </c>
      <c r="B84" s="123" t="s">
        <v>411</v>
      </c>
      <c r="C84" s="123" t="s">
        <v>412</v>
      </c>
      <c r="D84" s="139" t="s">
        <v>1519</v>
      </c>
      <c r="E84" s="123" t="s">
        <v>963</v>
      </c>
      <c r="F84" s="123" t="s">
        <v>49</v>
      </c>
      <c r="G84" s="26" t="s">
        <v>1016</v>
      </c>
      <c r="H84" s="26"/>
      <c r="I84" s="72" t="s">
        <v>966</v>
      </c>
      <c r="J84" s="121" t="s">
        <v>1514</v>
      </c>
      <c r="K84" s="74" t="s">
        <v>1333</v>
      </c>
      <c r="L84" s="72" t="s">
        <v>1299</v>
      </c>
      <c r="M84" s="71" t="s">
        <v>1027</v>
      </c>
      <c r="N84" s="75">
        <v>2022.0</v>
      </c>
      <c r="O84" s="71" t="s">
        <v>992</v>
      </c>
      <c r="P84" s="71" t="s">
        <v>972</v>
      </c>
      <c r="Q84" s="71" t="s">
        <v>972</v>
      </c>
      <c r="R84" s="67" t="s">
        <v>1136</v>
      </c>
      <c r="S84" s="26" t="s">
        <v>1520</v>
      </c>
      <c r="T84" s="26" t="s">
        <v>1521</v>
      </c>
      <c r="V84" s="39" t="s">
        <v>1522</v>
      </c>
      <c r="W84" s="76" t="s">
        <v>931</v>
      </c>
    </row>
    <row r="85">
      <c r="A85" s="72" t="s">
        <v>347</v>
      </c>
      <c r="B85" s="123" t="s">
        <v>640</v>
      </c>
      <c r="C85" s="123" t="s">
        <v>641</v>
      </c>
      <c r="D85" s="139" t="s">
        <v>1523</v>
      </c>
      <c r="E85" s="123" t="s">
        <v>963</v>
      </c>
      <c r="F85" s="123" t="s">
        <v>49</v>
      </c>
      <c r="G85" s="26" t="s">
        <v>1524</v>
      </c>
      <c r="H85" s="26"/>
      <c r="I85" s="72" t="s">
        <v>162</v>
      </c>
      <c r="J85" s="135" t="s">
        <v>1525</v>
      </c>
      <c r="K85" s="74" t="s">
        <v>1526</v>
      </c>
      <c r="L85" s="72" t="s">
        <v>1527</v>
      </c>
      <c r="M85" s="71" t="s">
        <v>1027</v>
      </c>
      <c r="N85" s="75">
        <v>2025.0</v>
      </c>
      <c r="O85" s="71" t="s">
        <v>992</v>
      </c>
      <c r="P85" s="71" t="s">
        <v>972</v>
      </c>
      <c r="Q85" s="71" t="s">
        <v>972</v>
      </c>
      <c r="R85" s="67" t="s">
        <v>1280</v>
      </c>
      <c r="S85" s="26" t="s">
        <v>1054</v>
      </c>
      <c r="T85" s="26" t="s">
        <v>1528</v>
      </c>
      <c r="V85" s="39" t="s">
        <v>1529</v>
      </c>
      <c r="W85" s="76" t="s">
        <v>931</v>
      </c>
    </row>
    <row r="86">
      <c r="A86" s="72" t="s">
        <v>347</v>
      </c>
      <c r="B86" s="123" t="s">
        <v>647</v>
      </c>
      <c r="C86" s="123" t="s">
        <v>648</v>
      </c>
      <c r="D86" s="139" t="s">
        <v>1530</v>
      </c>
      <c r="E86" s="123" t="s">
        <v>963</v>
      </c>
      <c r="F86" s="123" t="s">
        <v>49</v>
      </c>
      <c r="G86" s="26" t="s">
        <v>1524</v>
      </c>
      <c r="H86" s="26"/>
      <c r="I86" s="72" t="s">
        <v>162</v>
      </c>
      <c r="J86" s="69" t="s">
        <v>1531</v>
      </c>
      <c r="K86" s="74" t="s">
        <v>1009</v>
      </c>
      <c r="L86" s="72" t="s">
        <v>1532</v>
      </c>
      <c r="M86" s="71" t="s">
        <v>1027</v>
      </c>
      <c r="N86" s="75">
        <v>2025.0</v>
      </c>
      <c r="O86" s="71" t="s">
        <v>992</v>
      </c>
      <c r="P86" s="71" t="s">
        <v>972</v>
      </c>
      <c r="Q86" s="71" t="s">
        <v>972</v>
      </c>
      <c r="R86" s="67" t="s">
        <v>1533</v>
      </c>
      <c r="S86" s="26" t="s">
        <v>1534</v>
      </c>
      <c r="T86" s="26" t="s">
        <v>1535</v>
      </c>
      <c r="V86" s="39" t="s">
        <v>1536</v>
      </c>
      <c r="W86" s="76" t="s">
        <v>931</v>
      </c>
    </row>
    <row r="87">
      <c r="A87" s="72" t="s">
        <v>347</v>
      </c>
      <c r="B87" s="123" t="s">
        <v>649</v>
      </c>
      <c r="C87" s="123" t="s">
        <v>650</v>
      </c>
      <c r="D87" s="139" t="s">
        <v>1537</v>
      </c>
      <c r="E87" s="123" t="s">
        <v>963</v>
      </c>
      <c r="F87" s="123" t="s">
        <v>49</v>
      </c>
      <c r="G87" s="26" t="s">
        <v>162</v>
      </c>
      <c r="H87" s="26"/>
      <c r="I87" s="70" t="s">
        <v>162</v>
      </c>
      <c r="J87" s="67" t="s">
        <v>988</v>
      </c>
      <c r="K87" s="74" t="s">
        <v>1009</v>
      </c>
      <c r="L87" s="72" t="s">
        <v>1538</v>
      </c>
      <c r="M87" s="71" t="s">
        <v>1027</v>
      </c>
      <c r="N87" s="75">
        <v>2025.0</v>
      </c>
      <c r="O87" s="71" t="s">
        <v>1354</v>
      </c>
      <c r="P87" s="71" t="s">
        <v>972</v>
      </c>
      <c r="Q87" s="71" t="s">
        <v>972</v>
      </c>
      <c r="R87" s="67" t="s">
        <v>1136</v>
      </c>
      <c r="S87" s="26" t="s">
        <v>1539</v>
      </c>
      <c r="T87" s="26" t="s">
        <v>1540</v>
      </c>
      <c r="V87" s="39" t="s">
        <v>1541</v>
      </c>
      <c r="W87" s="76" t="s">
        <v>931</v>
      </c>
    </row>
    <row r="88">
      <c r="A88" s="72" t="s">
        <v>347</v>
      </c>
      <c r="B88" s="123" t="s">
        <v>722</v>
      </c>
      <c r="C88" s="123" t="s">
        <v>723</v>
      </c>
      <c r="D88" s="139" t="s">
        <v>1542</v>
      </c>
      <c r="E88" s="123" t="s">
        <v>963</v>
      </c>
      <c r="F88" s="123" t="s">
        <v>49</v>
      </c>
      <c r="G88" s="26" t="s">
        <v>162</v>
      </c>
      <c r="H88" s="26"/>
      <c r="I88" s="70" t="s">
        <v>162</v>
      </c>
      <c r="J88" s="67" t="s">
        <v>988</v>
      </c>
      <c r="K88" s="74" t="s">
        <v>1333</v>
      </c>
      <c r="L88" s="72" t="s">
        <v>1543</v>
      </c>
      <c r="M88" s="71" t="s">
        <v>1027</v>
      </c>
      <c r="N88" s="75">
        <v>2025.0</v>
      </c>
      <c r="O88" s="71" t="s">
        <v>992</v>
      </c>
      <c r="P88" s="71" t="s">
        <v>972</v>
      </c>
      <c r="Q88" s="71" t="s">
        <v>972</v>
      </c>
      <c r="R88" s="67" t="s">
        <v>1136</v>
      </c>
      <c r="S88" s="26" t="s">
        <v>1544</v>
      </c>
      <c r="T88" s="26" t="s">
        <v>1545</v>
      </c>
      <c r="V88" s="39" t="s">
        <v>1546</v>
      </c>
      <c r="W88" s="76" t="s">
        <v>931</v>
      </c>
    </row>
    <row r="89">
      <c r="A89" s="72" t="s">
        <v>347</v>
      </c>
      <c r="B89" s="123" t="s">
        <v>743</v>
      </c>
      <c r="C89" s="123" t="s">
        <v>744</v>
      </c>
      <c r="D89" s="139" t="s">
        <v>1547</v>
      </c>
      <c r="E89" s="123" t="s">
        <v>963</v>
      </c>
      <c r="F89" s="123" t="s">
        <v>49</v>
      </c>
      <c r="G89" s="26" t="s">
        <v>1016</v>
      </c>
      <c r="H89" s="26"/>
      <c r="I89" s="72" t="s">
        <v>966</v>
      </c>
      <c r="J89" s="67" t="s">
        <v>988</v>
      </c>
      <c r="K89" s="74" t="s">
        <v>1548</v>
      </c>
      <c r="L89" s="72" t="s">
        <v>1417</v>
      </c>
      <c r="M89" s="71" t="s">
        <v>1027</v>
      </c>
      <c r="N89" s="75">
        <v>2025.0</v>
      </c>
      <c r="O89" s="71" t="s">
        <v>992</v>
      </c>
      <c r="P89" s="71" t="s">
        <v>972</v>
      </c>
      <c r="Q89" s="71" t="s">
        <v>972</v>
      </c>
      <c r="R89" s="67" t="s">
        <v>1136</v>
      </c>
      <c r="S89" s="26" t="s">
        <v>1549</v>
      </c>
      <c r="T89" s="26" t="s">
        <v>1550</v>
      </c>
      <c r="V89" s="39" t="s">
        <v>1551</v>
      </c>
      <c r="W89" s="76" t="s">
        <v>931</v>
      </c>
    </row>
    <row r="90">
      <c r="A90" s="72" t="s">
        <v>347</v>
      </c>
      <c r="B90" s="123" t="s">
        <v>757</v>
      </c>
      <c r="C90" s="123" t="s">
        <v>758</v>
      </c>
      <c r="D90" s="139" t="s">
        <v>1552</v>
      </c>
      <c r="E90" s="123" t="s">
        <v>963</v>
      </c>
      <c r="F90" s="123" t="s">
        <v>49</v>
      </c>
      <c r="G90" s="26" t="s">
        <v>1272</v>
      </c>
      <c r="H90" s="26"/>
      <c r="I90" s="72" t="s">
        <v>162</v>
      </c>
      <c r="J90" s="69" t="s">
        <v>1553</v>
      </c>
      <c r="K90" s="74" t="s">
        <v>1554</v>
      </c>
      <c r="L90" s="72" t="s">
        <v>1555</v>
      </c>
      <c r="M90" s="71" t="s">
        <v>1027</v>
      </c>
      <c r="N90" s="75">
        <v>2025.0</v>
      </c>
      <c r="O90" s="71" t="s">
        <v>992</v>
      </c>
      <c r="P90" s="71" t="s">
        <v>972</v>
      </c>
      <c r="Q90" s="71" t="s">
        <v>972</v>
      </c>
      <c r="R90" s="67" t="s">
        <v>1136</v>
      </c>
      <c r="S90" s="26" t="s">
        <v>1054</v>
      </c>
      <c r="T90" s="26" t="s">
        <v>1556</v>
      </c>
      <c r="V90" s="39" t="s">
        <v>1557</v>
      </c>
      <c r="W90" s="76" t="s">
        <v>931</v>
      </c>
    </row>
    <row r="91" ht="14.25" customHeight="1">
      <c r="A91" s="95" t="s">
        <v>347</v>
      </c>
      <c r="B91" s="98" t="s">
        <v>1558</v>
      </c>
      <c r="C91" s="98" t="s">
        <v>1559</v>
      </c>
      <c r="D91" s="140" t="s">
        <v>1560</v>
      </c>
      <c r="E91" s="98" t="s">
        <v>931</v>
      </c>
      <c r="F91" s="95" t="s">
        <v>559</v>
      </c>
      <c r="G91" s="117" t="s">
        <v>964</v>
      </c>
      <c r="H91" s="117" t="s">
        <v>1561</v>
      </c>
      <c r="I91" s="141" t="s">
        <v>966</v>
      </c>
      <c r="J91" s="142" t="s">
        <v>1562</v>
      </c>
      <c r="K91" s="137" t="s">
        <v>1563</v>
      </c>
      <c r="L91" s="95" t="s">
        <v>1564</v>
      </c>
      <c r="M91" s="96" t="s">
        <v>1027</v>
      </c>
      <c r="N91" s="99">
        <v>2025.0</v>
      </c>
      <c r="O91" s="96" t="s">
        <v>1269</v>
      </c>
      <c r="P91" s="96" t="s">
        <v>1205</v>
      </c>
      <c r="Q91" s="96" t="s">
        <v>1206</v>
      </c>
      <c r="R91" s="76" t="s">
        <v>963</v>
      </c>
      <c r="S91" s="117" t="s">
        <v>1565</v>
      </c>
      <c r="T91" s="117" t="s">
        <v>1566</v>
      </c>
      <c r="U91" s="118"/>
      <c r="V91" s="101" t="s">
        <v>1567</v>
      </c>
      <c r="W91" s="76" t="s">
        <v>1210</v>
      </c>
      <c r="X91" s="118"/>
      <c r="Y91" s="118"/>
      <c r="Z91" s="118"/>
      <c r="AA91" s="118"/>
      <c r="AB91" s="118"/>
      <c r="AC91" s="118"/>
    </row>
    <row r="92">
      <c r="A92" s="143" t="s">
        <v>269</v>
      </c>
      <c r="B92" s="144" t="s">
        <v>267</v>
      </c>
      <c r="C92" s="144" t="s">
        <v>268</v>
      </c>
      <c r="D92" s="145" t="s">
        <v>1568</v>
      </c>
      <c r="E92" s="146" t="s">
        <v>963</v>
      </c>
      <c r="F92" s="144" t="s">
        <v>49</v>
      </c>
      <c r="G92" s="147" t="s">
        <v>987</v>
      </c>
      <c r="H92" s="147" t="s">
        <v>162</v>
      </c>
      <c r="I92" s="70" t="s">
        <v>162</v>
      </c>
      <c r="J92" s="147" t="s">
        <v>1017</v>
      </c>
      <c r="K92" s="148" t="s">
        <v>1009</v>
      </c>
      <c r="L92" s="148" t="s">
        <v>1569</v>
      </c>
      <c r="M92" s="149" t="s">
        <v>1027</v>
      </c>
      <c r="N92" s="150">
        <v>2024.0</v>
      </c>
      <c r="O92" s="149" t="s">
        <v>1354</v>
      </c>
      <c r="P92" s="149" t="s">
        <v>972</v>
      </c>
      <c r="Q92" s="149" t="s">
        <v>972</v>
      </c>
      <c r="R92" s="151" t="s">
        <v>1136</v>
      </c>
      <c r="S92" s="152" t="s">
        <v>1570</v>
      </c>
      <c r="T92" s="152" t="s">
        <v>1055</v>
      </c>
      <c r="U92" s="153"/>
      <c r="V92" s="154" t="s">
        <v>1571</v>
      </c>
      <c r="W92" s="76" t="s">
        <v>931</v>
      </c>
      <c r="X92" s="153"/>
    </row>
    <row r="93">
      <c r="A93" s="72" t="s">
        <v>269</v>
      </c>
      <c r="B93" s="37" t="s">
        <v>277</v>
      </c>
      <c r="C93" s="37" t="s">
        <v>278</v>
      </c>
      <c r="D93" s="155" t="s">
        <v>1572</v>
      </c>
      <c r="E93" s="39" t="s">
        <v>963</v>
      </c>
      <c r="F93" s="39" t="s">
        <v>49</v>
      </c>
      <c r="G93" s="84" t="s">
        <v>1573</v>
      </c>
      <c r="H93" s="84"/>
      <c r="I93" s="72" t="s">
        <v>966</v>
      </c>
      <c r="J93" s="156" t="s">
        <v>1574</v>
      </c>
      <c r="K93" s="157" t="s">
        <v>1223</v>
      </c>
      <c r="L93" s="157" t="s">
        <v>1575</v>
      </c>
      <c r="M93" s="71" t="s">
        <v>1576</v>
      </c>
      <c r="N93" s="75">
        <v>2024.0</v>
      </c>
      <c r="O93" s="71" t="s">
        <v>992</v>
      </c>
      <c r="P93" s="71" t="s">
        <v>972</v>
      </c>
      <c r="Q93" s="71" t="s">
        <v>972</v>
      </c>
      <c r="R93" s="67" t="s">
        <v>1280</v>
      </c>
      <c r="S93" s="26" t="s">
        <v>1022</v>
      </c>
      <c r="T93" s="26" t="s">
        <v>1275</v>
      </c>
      <c r="V93" s="39" t="s">
        <v>1577</v>
      </c>
      <c r="W93" s="76" t="s">
        <v>931</v>
      </c>
    </row>
    <row r="94">
      <c r="A94" s="95" t="s">
        <v>269</v>
      </c>
      <c r="B94" s="118" t="s">
        <v>285</v>
      </c>
      <c r="C94" s="118" t="s">
        <v>286</v>
      </c>
      <c r="D94" s="158" t="s">
        <v>1578</v>
      </c>
      <c r="E94" s="101" t="s">
        <v>963</v>
      </c>
      <c r="F94" s="101" t="s">
        <v>559</v>
      </c>
      <c r="G94" s="93" t="s">
        <v>1579</v>
      </c>
      <c r="H94" s="93"/>
      <c r="I94" s="115" t="s">
        <v>162</v>
      </c>
      <c r="J94" s="93" t="s">
        <v>1017</v>
      </c>
      <c r="K94" s="159" t="s">
        <v>1580</v>
      </c>
      <c r="L94" s="159" t="s">
        <v>1581</v>
      </c>
      <c r="M94" s="96" t="s">
        <v>1027</v>
      </c>
      <c r="N94" s="99">
        <v>2024.0</v>
      </c>
      <c r="O94" s="96" t="s">
        <v>1582</v>
      </c>
      <c r="P94" s="96" t="s">
        <v>972</v>
      </c>
      <c r="Q94" s="96" t="s">
        <v>972</v>
      </c>
      <c r="R94" s="76" t="s">
        <v>963</v>
      </c>
      <c r="S94" s="117" t="s">
        <v>1583</v>
      </c>
      <c r="T94" s="117" t="s">
        <v>1584</v>
      </c>
      <c r="U94" s="118"/>
      <c r="V94" s="101" t="s">
        <v>1585</v>
      </c>
      <c r="W94" s="76" t="s">
        <v>1210</v>
      </c>
      <c r="X94" s="118"/>
      <c r="Y94" s="118"/>
      <c r="Z94" s="118"/>
      <c r="AA94" s="118"/>
      <c r="AB94" s="118"/>
      <c r="AC94" s="118"/>
    </row>
    <row r="95">
      <c r="A95" s="72" t="s">
        <v>269</v>
      </c>
      <c r="B95" s="37" t="s">
        <v>288</v>
      </c>
      <c r="C95" s="37" t="s">
        <v>289</v>
      </c>
      <c r="D95" s="155" t="s">
        <v>1586</v>
      </c>
      <c r="E95" s="39" t="s">
        <v>963</v>
      </c>
      <c r="F95" s="39" t="s">
        <v>49</v>
      </c>
      <c r="G95" s="84" t="s">
        <v>987</v>
      </c>
      <c r="H95" s="84"/>
      <c r="I95" s="72" t="s">
        <v>162</v>
      </c>
      <c r="J95" s="84" t="s">
        <v>1017</v>
      </c>
      <c r="K95" s="157" t="s">
        <v>1009</v>
      </c>
      <c r="L95" s="157" t="s">
        <v>1587</v>
      </c>
      <c r="M95" s="71" t="s">
        <v>1027</v>
      </c>
      <c r="N95" s="75">
        <v>2024.0</v>
      </c>
      <c r="O95" s="71" t="s">
        <v>992</v>
      </c>
      <c r="P95" s="71" t="s">
        <v>972</v>
      </c>
      <c r="Q95" s="71" t="s">
        <v>972</v>
      </c>
      <c r="R95" s="67" t="s">
        <v>1280</v>
      </c>
      <c r="S95" s="26" t="s">
        <v>994</v>
      </c>
      <c r="T95" s="26" t="s">
        <v>1275</v>
      </c>
      <c r="V95" s="39" t="s">
        <v>1588</v>
      </c>
      <c r="W95" s="76" t="s">
        <v>931</v>
      </c>
    </row>
    <row r="96">
      <c r="A96" s="72" t="s">
        <v>269</v>
      </c>
      <c r="B96" s="37" t="s">
        <v>293</v>
      </c>
      <c r="C96" s="37" t="s">
        <v>294</v>
      </c>
      <c r="D96" s="160" t="s">
        <v>1589</v>
      </c>
      <c r="E96" s="39" t="s">
        <v>963</v>
      </c>
      <c r="F96" s="39" t="s">
        <v>49</v>
      </c>
      <c r="G96" s="67" t="s">
        <v>987</v>
      </c>
      <c r="H96" s="67"/>
      <c r="I96" s="72" t="s">
        <v>162</v>
      </c>
      <c r="J96" s="67" t="s">
        <v>1017</v>
      </c>
      <c r="K96" s="74" t="s">
        <v>1009</v>
      </c>
      <c r="L96" s="74" t="s">
        <v>1587</v>
      </c>
      <c r="M96" s="71" t="s">
        <v>1027</v>
      </c>
      <c r="N96" s="75">
        <v>2024.0</v>
      </c>
      <c r="O96" s="71" t="s">
        <v>992</v>
      </c>
      <c r="P96" s="71" t="s">
        <v>972</v>
      </c>
      <c r="Q96" s="71" t="s">
        <v>972</v>
      </c>
      <c r="R96" s="67" t="s">
        <v>1280</v>
      </c>
      <c r="S96" s="26" t="s">
        <v>1590</v>
      </c>
      <c r="T96" s="26" t="s">
        <v>1275</v>
      </c>
      <c r="V96" s="39" t="s">
        <v>1591</v>
      </c>
      <c r="W96" s="76" t="s">
        <v>931</v>
      </c>
    </row>
    <row r="97">
      <c r="A97" s="72" t="s">
        <v>269</v>
      </c>
      <c r="B97" s="37" t="s">
        <v>297</v>
      </c>
      <c r="C97" s="37" t="s">
        <v>298</v>
      </c>
      <c r="D97" s="160" t="s">
        <v>1592</v>
      </c>
      <c r="E97" s="39" t="s">
        <v>963</v>
      </c>
      <c r="F97" s="37" t="s">
        <v>49</v>
      </c>
      <c r="G97" s="84" t="s">
        <v>998</v>
      </c>
      <c r="H97" s="84"/>
      <c r="I97" s="70" t="s">
        <v>162</v>
      </c>
      <c r="J97" s="84" t="s">
        <v>1017</v>
      </c>
      <c r="K97" s="74" t="s">
        <v>1593</v>
      </c>
      <c r="L97" s="74" t="s">
        <v>1594</v>
      </c>
      <c r="M97" s="71" t="s">
        <v>1366</v>
      </c>
      <c r="N97" s="75">
        <v>2024.0</v>
      </c>
      <c r="O97" s="71" t="s">
        <v>992</v>
      </c>
      <c r="P97" s="71" t="s">
        <v>972</v>
      </c>
      <c r="Q97" s="71" t="s">
        <v>972</v>
      </c>
      <c r="R97" s="67" t="s">
        <v>1306</v>
      </c>
      <c r="S97" s="26" t="s">
        <v>1590</v>
      </c>
      <c r="T97" s="26" t="s">
        <v>1275</v>
      </c>
      <c r="V97" s="39" t="s">
        <v>1595</v>
      </c>
      <c r="W97" s="76" t="s">
        <v>931</v>
      </c>
    </row>
    <row r="98">
      <c r="A98" s="72" t="s">
        <v>269</v>
      </c>
      <c r="B98" s="37" t="s">
        <v>304</v>
      </c>
      <c r="C98" s="37" t="s">
        <v>305</v>
      </c>
      <c r="D98" s="155" t="s">
        <v>1596</v>
      </c>
      <c r="E98" s="39" t="s">
        <v>963</v>
      </c>
      <c r="F98" s="37" t="s">
        <v>49</v>
      </c>
      <c r="G98" s="84" t="s">
        <v>1016</v>
      </c>
      <c r="H98" s="84"/>
      <c r="I98" s="72" t="s">
        <v>162</v>
      </c>
      <c r="J98" s="84" t="s">
        <v>1017</v>
      </c>
      <c r="K98" s="74" t="s">
        <v>1247</v>
      </c>
      <c r="L98" s="74" t="s">
        <v>1597</v>
      </c>
      <c r="M98" s="71" t="s">
        <v>1027</v>
      </c>
      <c r="N98" s="75">
        <v>2024.0</v>
      </c>
      <c r="O98" s="71" t="s">
        <v>992</v>
      </c>
      <c r="P98" s="71" t="s">
        <v>972</v>
      </c>
      <c r="Q98" s="71" t="s">
        <v>972</v>
      </c>
      <c r="R98" s="67" t="s">
        <v>1136</v>
      </c>
      <c r="S98" s="26" t="s">
        <v>1437</v>
      </c>
      <c r="T98" s="26" t="s">
        <v>1275</v>
      </c>
      <c r="V98" s="39" t="s">
        <v>1598</v>
      </c>
      <c r="W98" s="76" t="s">
        <v>931</v>
      </c>
    </row>
    <row r="99">
      <c r="A99" s="72" t="s">
        <v>269</v>
      </c>
      <c r="B99" s="37" t="s">
        <v>308</v>
      </c>
      <c r="C99" s="37" t="s">
        <v>309</v>
      </c>
      <c r="D99" s="155" t="s">
        <v>1599</v>
      </c>
      <c r="E99" s="39" t="s">
        <v>963</v>
      </c>
      <c r="F99" s="37" t="s">
        <v>49</v>
      </c>
      <c r="G99" s="84" t="s">
        <v>987</v>
      </c>
      <c r="H99" s="84" t="s">
        <v>162</v>
      </c>
      <c r="I99" s="72" t="s">
        <v>162</v>
      </c>
      <c r="J99" s="84" t="s">
        <v>1017</v>
      </c>
      <c r="K99" s="74" t="s">
        <v>1009</v>
      </c>
      <c r="L99" s="74" t="s">
        <v>1600</v>
      </c>
      <c r="M99" s="71" t="s">
        <v>1027</v>
      </c>
      <c r="N99" s="75">
        <v>2024.0</v>
      </c>
      <c r="O99" s="71" t="s">
        <v>992</v>
      </c>
      <c r="P99" s="71" t="s">
        <v>972</v>
      </c>
      <c r="Q99" s="71" t="s">
        <v>972</v>
      </c>
      <c r="R99" s="67" t="s">
        <v>1280</v>
      </c>
      <c r="S99" s="26" t="s">
        <v>994</v>
      </c>
      <c r="T99" s="26" t="s">
        <v>1275</v>
      </c>
      <c r="V99" s="39" t="s">
        <v>1601</v>
      </c>
      <c r="W99" s="76" t="s">
        <v>931</v>
      </c>
    </row>
    <row r="100">
      <c r="A100" s="72" t="s">
        <v>269</v>
      </c>
      <c r="B100" s="37" t="s">
        <v>321</v>
      </c>
      <c r="C100" s="37" t="s">
        <v>322</v>
      </c>
      <c r="D100" s="160" t="s">
        <v>1602</v>
      </c>
      <c r="E100" s="39" t="s">
        <v>963</v>
      </c>
      <c r="F100" s="37" t="s">
        <v>49</v>
      </c>
      <c r="G100" s="84" t="s">
        <v>987</v>
      </c>
      <c r="H100" s="84" t="s">
        <v>162</v>
      </c>
      <c r="I100" s="72" t="s">
        <v>162</v>
      </c>
      <c r="J100" s="84" t="s">
        <v>1017</v>
      </c>
      <c r="K100" s="74" t="s">
        <v>1009</v>
      </c>
      <c r="L100" s="74" t="s">
        <v>1603</v>
      </c>
      <c r="M100" s="71" t="s">
        <v>1027</v>
      </c>
      <c r="N100" s="75">
        <v>2024.0</v>
      </c>
      <c r="O100" s="71" t="s">
        <v>992</v>
      </c>
      <c r="P100" s="71" t="s">
        <v>972</v>
      </c>
      <c r="Q100" s="71" t="s">
        <v>972</v>
      </c>
      <c r="R100" s="67" t="s">
        <v>1280</v>
      </c>
      <c r="S100" s="26" t="s">
        <v>994</v>
      </c>
      <c r="T100" s="26" t="s">
        <v>1604</v>
      </c>
      <c r="V100" s="39" t="s">
        <v>1605</v>
      </c>
      <c r="W100" s="76" t="s">
        <v>931</v>
      </c>
    </row>
    <row r="101">
      <c r="A101" s="72" t="s">
        <v>269</v>
      </c>
      <c r="B101" s="37" t="s">
        <v>324</v>
      </c>
      <c r="C101" s="37" t="s">
        <v>325</v>
      </c>
      <c r="D101" s="155" t="s">
        <v>1606</v>
      </c>
      <c r="E101" s="39" t="s">
        <v>963</v>
      </c>
      <c r="F101" s="39" t="s">
        <v>49</v>
      </c>
      <c r="G101" s="84" t="s">
        <v>1607</v>
      </c>
      <c r="H101" s="84"/>
      <c r="I101" s="72" t="s">
        <v>162</v>
      </c>
      <c r="J101" s="161" t="s">
        <v>1608</v>
      </c>
      <c r="K101" s="157" t="s">
        <v>1247</v>
      </c>
      <c r="L101" s="157" t="s">
        <v>1609</v>
      </c>
      <c r="M101" s="71" t="s">
        <v>1027</v>
      </c>
      <c r="N101" s="75">
        <v>2023.0</v>
      </c>
      <c r="O101" s="71" t="s">
        <v>1610</v>
      </c>
      <c r="P101" s="71" t="s">
        <v>972</v>
      </c>
      <c r="Q101" s="71" t="s">
        <v>972</v>
      </c>
      <c r="R101" s="67" t="s">
        <v>1136</v>
      </c>
      <c r="S101" s="26" t="s">
        <v>994</v>
      </c>
      <c r="T101" s="26" t="s">
        <v>1275</v>
      </c>
      <c r="V101" s="39" t="s">
        <v>1611</v>
      </c>
      <c r="W101" s="76" t="s">
        <v>931</v>
      </c>
    </row>
    <row r="102">
      <c r="A102" s="95" t="s">
        <v>269</v>
      </c>
      <c r="B102" s="118" t="s">
        <v>328</v>
      </c>
      <c r="C102" s="118" t="s">
        <v>329</v>
      </c>
      <c r="D102" s="158" t="s">
        <v>1612</v>
      </c>
      <c r="E102" s="101" t="s">
        <v>963</v>
      </c>
      <c r="F102" s="101" t="s">
        <v>559</v>
      </c>
      <c r="G102" s="93" t="s">
        <v>1613</v>
      </c>
      <c r="H102" s="93"/>
      <c r="I102" s="95" t="s">
        <v>162</v>
      </c>
      <c r="J102" s="93" t="s">
        <v>1614</v>
      </c>
      <c r="K102" s="159" t="s">
        <v>1009</v>
      </c>
      <c r="L102" s="159" t="s">
        <v>1615</v>
      </c>
      <c r="M102" s="96" t="s">
        <v>1027</v>
      </c>
      <c r="N102" s="99">
        <v>2023.0</v>
      </c>
      <c r="O102" s="96" t="s">
        <v>1003</v>
      </c>
      <c r="P102" s="96" t="s">
        <v>972</v>
      </c>
      <c r="Q102" s="96" t="s">
        <v>972</v>
      </c>
      <c r="R102" s="76" t="s">
        <v>1318</v>
      </c>
      <c r="S102" s="117" t="s">
        <v>994</v>
      </c>
      <c r="T102" s="117" t="s">
        <v>1275</v>
      </c>
      <c r="U102" s="118"/>
      <c r="V102" s="101" t="s">
        <v>1616</v>
      </c>
      <c r="W102" s="76" t="s">
        <v>931</v>
      </c>
      <c r="X102" s="118"/>
      <c r="Y102" s="118"/>
      <c r="Z102" s="118"/>
      <c r="AA102" s="118"/>
      <c r="AB102" s="118"/>
      <c r="AC102" s="118"/>
    </row>
    <row r="103">
      <c r="A103" s="72" t="s">
        <v>269</v>
      </c>
      <c r="B103" s="37" t="s">
        <v>331</v>
      </c>
      <c r="C103" s="37" t="s">
        <v>332</v>
      </c>
      <c r="D103" s="155" t="s">
        <v>1617</v>
      </c>
      <c r="E103" s="39" t="s">
        <v>963</v>
      </c>
      <c r="F103" s="39" t="s">
        <v>49</v>
      </c>
      <c r="G103" s="84" t="s">
        <v>1272</v>
      </c>
      <c r="H103" s="84"/>
      <c r="I103" s="72" t="s">
        <v>966</v>
      </c>
      <c r="J103" s="156" t="s">
        <v>1618</v>
      </c>
      <c r="K103" s="157" t="s">
        <v>1120</v>
      </c>
      <c r="L103" s="74" t="s">
        <v>1619</v>
      </c>
      <c r="M103" s="71" t="s">
        <v>1027</v>
      </c>
      <c r="N103" s="75">
        <v>2023.0</v>
      </c>
      <c r="O103" s="71" t="s">
        <v>992</v>
      </c>
      <c r="P103" s="71" t="s">
        <v>972</v>
      </c>
      <c r="Q103" s="71" t="s">
        <v>972</v>
      </c>
      <c r="R103" s="67" t="s">
        <v>1280</v>
      </c>
      <c r="S103" s="26" t="s">
        <v>1590</v>
      </c>
      <c r="T103" s="26" t="s">
        <v>1275</v>
      </c>
      <c r="V103" s="39" t="s">
        <v>1620</v>
      </c>
      <c r="W103" s="76" t="s">
        <v>931</v>
      </c>
    </row>
    <row r="104">
      <c r="A104" s="72" t="s">
        <v>269</v>
      </c>
      <c r="B104" s="37" t="s">
        <v>341</v>
      </c>
      <c r="C104" s="37" t="s">
        <v>342</v>
      </c>
      <c r="D104" s="155" t="s">
        <v>1621</v>
      </c>
      <c r="E104" s="39" t="s">
        <v>963</v>
      </c>
      <c r="F104" s="39" t="s">
        <v>49</v>
      </c>
      <c r="G104" s="84" t="s">
        <v>1112</v>
      </c>
      <c r="H104" s="84"/>
      <c r="I104" s="70" t="s">
        <v>162</v>
      </c>
      <c r="J104" s="161" t="s">
        <v>1622</v>
      </c>
      <c r="K104" s="157" t="s">
        <v>1009</v>
      </c>
      <c r="L104" s="157" t="s">
        <v>1623</v>
      </c>
      <c r="M104" s="71" t="s">
        <v>1027</v>
      </c>
      <c r="N104" s="75">
        <v>2023.0</v>
      </c>
      <c r="O104" s="71" t="s">
        <v>992</v>
      </c>
      <c r="P104" s="71" t="s">
        <v>972</v>
      </c>
      <c r="Q104" s="71" t="s">
        <v>972</v>
      </c>
      <c r="R104" s="67" t="s">
        <v>1280</v>
      </c>
      <c r="S104" s="26" t="s">
        <v>994</v>
      </c>
      <c r="T104" s="26" t="s">
        <v>1275</v>
      </c>
      <c r="V104" s="39" t="s">
        <v>1624</v>
      </c>
      <c r="W104" s="76" t="s">
        <v>931</v>
      </c>
    </row>
    <row r="105">
      <c r="A105" s="72" t="s">
        <v>269</v>
      </c>
      <c r="B105" s="39" t="s">
        <v>893</v>
      </c>
      <c r="C105" s="39" t="s">
        <v>894</v>
      </c>
      <c r="D105" s="155" t="s">
        <v>1625</v>
      </c>
      <c r="E105" s="39" t="s">
        <v>963</v>
      </c>
      <c r="F105" s="39" t="s">
        <v>49</v>
      </c>
      <c r="G105" s="84" t="s">
        <v>1432</v>
      </c>
      <c r="H105" s="84"/>
      <c r="I105" s="72" t="s">
        <v>966</v>
      </c>
      <c r="J105" s="162" t="s">
        <v>1203</v>
      </c>
      <c r="K105" s="74" t="s">
        <v>466</v>
      </c>
      <c r="L105" s="157" t="s">
        <v>1626</v>
      </c>
      <c r="M105" s="71" t="s">
        <v>1002</v>
      </c>
      <c r="N105" s="75">
        <v>2024.0</v>
      </c>
      <c r="O105" s="71" t="s">
        <v>980</v>
      </c>
      <c r="P105" s="71" t="s">
        <v>972</v>
      </c>
      <c r="Q105" s="71" t="s">
        <v>972</v>
      </c>
      <c r="R105" s="67" t="s">
        <v>1280</v>
      </c>
      <c r="S105" s="26" t="s">
        <v>1627</v>
      </c>
      <c r="T105" s="26" t="s">
        <v>1628</v>
      </c>
      <c r="V105" s="39" t="s">
        <v>1629</v>
      </c>
      <c r="W105" s="76" t="s">
        <v>931</v>
      </c>
    </row>
    <row r="106">
      <c r="A106" s="72" t="s">
        <v>269</v>
      </c>
      <c r="B106" s="39" t="s">
        <v>670</v>
      </c>
      <c r="C106" s="39" t="s">
        <v>671</v>
      </c>
      <c r="D106" s="155" t="s">
        <v>1630</v>
      </c>
      <c r="E106" s="39" t="s">
        <v>963</v>
      </c>
      <c r="F106" s="39" t="s">
        <v>49</v>
      </c>
      <c r="G106" s="84" t="s">
        <v>1631</v>
      </c>
      <c r="H106" s="84"/>
      <c r="I106" s="70" t="s">
        <v>162</v>
      </c>
      <c r="J106" s="161" t="s">
        <v>1632</v>
      </c>
      <c r="K106" s="157" t="s">
        <v>1633</v>
      </c>
      <c r="L106" s="157" t="s">
        <v>1634</v>
      </c>
      <c r="M106" s="71" t="s">
        <v>1027</v>
      </c>
      <c r="N106" s="75">
        <v>2025.0</v>
      </c>
      <c r="O106" s="71" t="s">
        <v>992</v>
      </c>
      <c r="P106" s="71" t="s">
        <v>972</v>
      </c>
      <c r="Q106" s="71" t="s">
        <v>972</v>
      </c>
      <c r="R106" s="67" t="s">
        <v>1280</v>
      </c>
      <c r="S106" s="26" t="s">
        <v>994</v>
      </c>
      <c r="T106" s="26" t="s">
        <v>1628</v>
      </c>
      <c r="V106" s="39" t="s">
        <v>1635</v>
      </c>
      <c r="W106" s="76" t="s">
        <v>931</v>
      </c>
    </row>
    <row r="107">
      <c r="A107" s="72" t="s">
        <v>269</v>
      </c>
      <c r="B107" s="39" t="s">
        <v>673</v>
      </c>
      <c r="C107" s="39" t="s">
        <v>674</v>
      </c>
      <c r="D107" s="155" t="s">
        <v>1636</v>
      </c>
      <c r="E107" s="39" t="s">
        <v>963</v>
      </c>
      <c r="F107" s="39" t="s">
        <v>49</v>
      </c>
      <c r="G107" s="84" t="s">
        <v>1293</v>
      </c>
      <c r="H107" s="72" t="s">
        <v>966</v>
      </c>
      <c r="I107" s="70" t="s">
        <v>162</v>
      </c>
      <c r="J107" s="161" t="s">
        <v>1637</v>
      </c>
      <c r="K107" s="157" t="s">
        <v>1009</v>
      </c>
      <c r="L107" s="157" t="s">
        <v>1638</v>
      </c>
      <c r="M107" s="71" t="s">
        <v>1027</v>
      </c>
      <c r="N107" s="75">
        <v>2025.0</v>
      </c>
      <c r="O107" s="71" t="s">
        <v>992</v>
      </c>
      <c r="P107" s="71" t="s">
        <v>972</v>
      </c>
      <c r="Q107" s="71" t="s">
        <v>972</v>
      </c>
      <c r="R107" s="67" t="s">
        <v>1280</v>
      </c>
      <c r="S107" s="26" t="s">
        <v>1639</v>
      </c>
      <c r="T107" s="26" t="s">
        <v>1628</v>
      </c>
      <c r="V107" s="39" t="s">
        <v>1640</v>
      </c>
      <c r="W107" s="76" t="s">
        <v>931</v>
      </c>
    </row>
    <row r="108">
      <c r="A108" s="72" t="s">
        <v>269</v>
      </c>
      <c r="B108" s="39" t="s">
        <v>676</v>
      </c>
      <c r="C108" s="39" t="s">
        <v>677</v>
      </c>
      <c r="D108" s="155" t="s">
        <v>1641</v>
      </c>
      <c r="E108" s="39" t="s">
        <v>963</v>
      </c>
      <c r="F108" s="39" t="s">
        <v>49</v>
      </c>
      <c r="G108" s="84" t="s">
        <v>1038</v>
      </c>
      <c r="H108" s="84"/>
      <c r="I108" s="70" t="s">
        <v>1038</v>
      </c>
      <c r="J108" s="84" t="s">
        <v>1039</v>
      </c>
      <c r="K108" s="157" t="s">
        <v>1642</v>
      </c>
      <c r="L108" s="157"/>
      <c r="M108" s="71" t="s">
        <v>1340</v>
      </c>
      <c r="N108" s="75">
        <v>2025.0</v>
      </c>
      <c r="O108" s="71" t="s">
        <v>992</v>
      </c>
      <c r="P108" s="71" t="s">
        <v>972</v>
      </c>
      <c r="Q108" s="71" t="s">
        <v>972</v>
      </c>
      <c r="R108" s="67" t="s">
        <v>963</v>
      </c>
      <c r="S108" s="26" t="s">
        <v>994</v>
      </c>
      <c r="T108" s="26" t="s">
        <v>1628</v>
      </c>
      <c r="V108" s="39" t="s">
        <v>1643</v>
      </c>
      <c r="W108" s="76" t="s">
        <v>931</v>
      </c>
    </row>
    <row r="109">
      <c r="A109" s="72" t="s">
        <v>269</v>
      </c>
      <c r="B109" s="39" t="s">
        <v>679</v>
      </c>
      <c r="C109" s="39" t="s">
        <v>680</v>
      </c>
      <c r="D109" s="155" t="s">
        <v>1644</v>
      </c>
      <c r="E109" s="39" t="s">
        <v>963</v>
      </c>
      <c r="F109" s="39" t="s">
        <v>49</v>
      </c>
      <c r="G109" s="84" t="s">
        <v>1293</v>
      </c>
      <c r="H109" s="84"/>
      <c r="I109" s="72" t="s">
        <v>162</v>
      </c>
      <c r="J109" s="161" t="s">
        <v>1645</v>
      </c>
      <c r="K109" s="157" t="s">
        <v>1009</v>
      </c>
      <c r="L109" s="157" t="s">
        <v>1646</v>
      </c>
      <c r="M109" s="71" t="s">
        <v>1027</v>
      </c>
      <c r="N109" s="75">
        <v>2025.0</v>
      </c>
      <c r="O109" s="71" t="s">
        <v>992</v>
      </c>
      <c r="P109" s="71" t="s">
        <v>972</v>
      </c>
      <c r="Q109" s="71" t="s">
        <v>972</v>
      </c>
      <c r="R109" s="67" t="s">
        <v>1280</v>
      </c>
      <c r="S109" s="26" t="s">
        <v>994</v>
      </c>
      <c r="T109" s="26" t="s">
        <v>1628</v>
      </c>
      <c r="V109" s="39" t="s">
        <v>1647</v>
      </c>
      <c r="W109" s="76" t="s">
        <v>931</v>
      </c>
    </row>
    <row r="110">
      <c r="A110" s="95" t="s">
        <v>269</v>
      </c>
      <c r="B110" s="101" t="s">
        <v>858</v>
      </c>
      <c r="C110" s="101" t="s">
        <v>859</v>
      </c>
      <c r="D110" s="158" t="s">
        <v>1648</v>
      </c>
      <c r="E110" s="101" t="s">
        <v>963</v>
      </c>
      <c r="F110" s="101" t="s">
        <v>559</v>
      </c>
      <c r="G110" s="93" t="s">
        <v>978</v>
      </c>
      <c r="H110" s="93"/>
      <c r="I110" s="95" t="s">
        <v>966</v>
      </c>
      <c r="J110" s="93" t="s">
        <v>1203</v>
      </c>
      <c r="K110" s="159" t="s">
        <v>1649</v>
      </c>
      <c r="L110" s="159" t="s">
        <v>1650</v>
      </c>
      <c r="M110" s="96" t="s">
        <v>1340</v>
      </c>
      <c r="N110" s="99">
        <v>2025.0</v>
      </c>
      <c r="O110" s="96" t="s">
        <v>1651</v>
      </c>
      <c r="P110" s="96" t="s">
        <v>1652</v>
      </c>
      <c r="Q110" s="96" t="s">
        <v>1206</v>
      </c>
      <c r="R110" s="93" t="s">
        <v>963</v>
      </c>
      <c r="S110" s="117" t="s">
        <v>1653</v>
      </c>
      <c r="T110" s="117" t="s">
        <v>1654</v>
      </c>
      <c r="U110" s="118"/>
      <c r="V110" s="101" t="s">
        <v>1655</v>
      </c>
      <c r="W110" s="76" t="s">
        <v>931</v>
      </c>
      <c r="X110" s="118"/>
      <c r="Y110" s="118"/>
      <c r="Z110" s="118"/>
      <c r="AA110" s="118"/>
      <c r="AB110" s="118"/>
      <c r="AC110" s="118"/>
    </row>
    <row r="111">
      <c r="A111" s="72" t="s">
        <v>269</v>
      </c>
      <c r="B111" s="39" t="s">
        <v>861</v>
      </c>
      <c r="C111" s="39" t="s">
        <v>862</v>
      </c>
      <c r="D111" s="155" t="s">
        <v>1656</v>
      </c>
      <c r="E111" s="39" t="s">
        <v>963</v>
      </c>
      <c r="F111" s="39" t="s">
        <v>49</v>
      </c>
      <c r="G111" s="84" t="s">
        <v>1657</v>
      </c>
      <c r="H111" s="84"/>
      <c r="I111" s="163" t="s">
        <v>162</v>
      </c>
      <c r="J111" s="84" t="s">
        <v>1203</v>
      </c>
      <c r="K111" s="157" t="s">
        <v>1658</v>
      </c>
      <c r="L111" s="157" t="s">
        <v>1659</v>
      </c>
      <c r="M111" s="71" t="s">
        <v>1027</v>
      </c>
      <c r="N111" s="75">
        <v>2025.0</v>
      </c>
      <c r="O111" s="71" t="s">
        <v>980</v>
      </c>
      <c r="P111" s="71" t="s">
        <v>972</v>
      </c>
      <c r="Q111" s="71" t="s">
        <v>972</v>
      </c>
      <c r="R111" s="84" t="s">
        <v>1280</v>
      </c>
      <c r="S111" s="26" t="s">
        <v>1660</v>
      </c>
      <c r="T111" s="26" t="s">
        <v>1661</v>
      </c>
      <c r="V111" s="39" t="s">
        <v>1662</v>
      </c>
      <c r="W111" s="76" t="s">
        <v>931</v>
      </c>
    </row>
    <row r="112">
      <c r="A112" s="72" t="s">
        <v>269</v>
      </c>
      <c r="B112" s="39" t="s">
        <v>864</v>
      </c>
      <c r="C112" s="39" t="s">
        <v>865</v>
      </c>
      <c r="D112" s="155" t="s">
        <v>1663</v>
      </c>
      <c r="E112" s="39" t="s">
        <v>963</v>
      </c>
      <c r="F112" s="39" t="s">
        <v>49</v>
      </c>
      <c r="G112" s="84" t="s">
        <v>1664</v>
      </c>
      <c r="H112" s="84"/>
      <c r="I112" s="72" t="s">
        <v>1665</v>
      </c>
      <c r="J112" s="121" t="s">
        <v>1039</v>
      </c>
      <c r="K112" s="157" t="s">
        <v>1666</v>
      </c>
      <c r="L112" s="74" t="s">
        <v>1667</v>
      </c>
      <c r="M112" s="71" t="s">
        <v>1019</v>
      </c>
      <c r="N112" s="75">
        <v>2025.0</v>
      </c>
      <c r="O112" s="71" t="s">
        <v>992</v>
      </c>
      <c r="P112" s="71" t="s">
        <v>1668</v>
      </c>
      <c r="Q112" s="71" t="s">
        <v>982</v>
      </c>
      <c r="R112" s="84" t="s">
        <v>1457</v>
      </c>
      <c r="S112" s="164" t="s">
        <v>1668</v>
      </c>
      <c r="T112" s="39" t="s">
        <v>1669</v>
      </c>
      <c r="U112" s="165"/>
      <c r="V112" s="39" t="s">
        <v>1670</v>
      </c>
      <c r="W112" s="76" t="s">
        <v>931</v>
      </c>
    </row>
    <row r="113" ht="15.75" customHeight="1">
      <c r="A113" s="70" t="s">
        <v>269</v>
      </c>
      <c r="B113" s="70" t="s">
        <v>1671</v>
      </c>
      <c r="C113" s="70" t="s">
        <v>1672</v>
      </c>
      <c r="D113" s="166" t="s">
        <v>1673</v>
      </c>
      <c r="E113" s="70" t="s">
        <v>931</v>
      </c>
      <c r="F113" s="70" t="s">
        <v>45</v>
      </c>
      <c r="G113" s="70" t="s">
        <v>987</v>
      </c>
      <c r="H113" s="70"/>
      <c r="I113" s="72" t="s">
        <v>966</v>
      </c>
      <c r="J113" s="121" t="s">
        <v>988</v>
      </c>
      <c r="K113" s="74" t="s">
        <v>1674</v>
      </c>
      <c r="L113" s="124" t="s">
        <v>1675</v>
      </c>
      <c r="M113" s="71" t="s">
        <v>1676</v>
      </c>
      <c r="N113" s="75">
        <v>2020.0</v>
      </c>
      <c r="O113" s="71" t="s">
        <v>992</v>
      </c>
      <c r="P113" s="71" t="s">
        <v>972</v>
      </c>
      <c r="Q113" s="71" t="s">
        <v>972</v>
      </c>
      <c r="R113" s="72" t="s">
        <v>963</v>
      </c>
      <c r="S113" s="167" t="s">
        <v>1677</v>
      </c>
      <c r="T113" s="72" t="s">
        <v>1678</v>
      </c>
      <c r="U113" s="72"/>
      <c r="V113" s="39" t="s">
        <v>1679</v>
      </c>
      <c r="W113" s="76" t="s">
        <v>931</v>
      </c>
      <c r="X113" s="123"/>
      <c r="Y113" s="123"/>
      <c r="Z113" s="123"/>
      <c r="AA113" s="123"/>
      <c r="AB113" s="123"/>
      <c r="AC113" s="123"/>
    </row>
    <row r="114" ht="14.25" customHeight="1">
      <c r="A114" s="70" t="s">
        <v>269</v>
      </c>
      <c r="B114" s="123" t="s">
        <v>1680</v>
      </c>
      <c r="C114" s="123" t="s">
        <v>1681</v>
      </c>
      <c r="D114" s="166" t="s">
        <v>1682</v>
      </c>
      <c r="E114" s="70" t="s">
        <v>931</v>
      </c>
      <c r="F114" s="123" t="s">
        <v>45</v>
      </c>
      <c r="G114" s="70" t="s">
        <v>987</v>
      </c>
      <c r="H114" s="70"/>
      <c r="I114" s="72" t="s">
        <v>966</v>
      </c>
      <c r="J114" s="121" t="s">
        <v>988</v>
      </c>
      <c r="K114" s="74" t="s">
        <v>1089</v>
      </c>
      <c r="L114" s="124" t="s">
        <v>1683</v>
      </c>
      <c r="M114" s="71" t="s">
        <v>1002</v>
      </c>
      <c r="N114" s="75">
        <v>2020.0</v>
      </c>
      <c r="O114" s="71" t="s">
        <v>992</v>
      </c>
      <c r="P114" s="71" t="s">
        <v>972</v>
      </c>
      <c r="Q114" s="71" t="s">
        <v>972</v>
      </c>
      <c r="R114" s="72" t="s">
        <v>963</v>
      </c>
      <c r="S114" s="167" t="s">
        <v>1684</v>
      </c>
      <c r="T114" s="72" t="s">
        <v>1685</v>
      </c>
      <c r="U114" s="72"/>
      <c r="V114" s="39" t="s">
        <v>1686</v>
      </c>
      <c r="W114" s="76" t="s">
        <v>931</v>
      </c>
      <c r="X114" s="123"/>
      <c r="Y114" s="123"/>
      <c r="Z114" s="123"/>
      <c r="AA114" s="123"/>
      <c r="AB114" s="123"/>
      <c r="AC114" s="123"/>
    </row>
    <row r="115">
      <c r="A115" s="115" t="s">
        <v>269</v>
      </c>
      <c r="B115" s="98" t="s">
        <v>1687</v>
      </c>
      <c r="C115" s="98" t="s">
        <v>1688</v>
      </c>
      <c r="D115" s="168" t="s">
        <v>1689</v>
      </c>
      <c r="E115" s="115" t="s">
        <v>931</v>
      </c>
      <c r="F115" s="98" t="s">
        <v>559</v>
      </c>
      <c r="G115" s="115" t="s">
        <v>987</v>
      </c>
      <c r="H115" s="115"/>
      <c r="I115" s="95" t="s">
        <v>966</v>
      </c>
      <c r="J115" s="169" t="s">
        <v>988</v>
      </c>
      <c r="K115" s="98"/>
      <c r="L115" s="95" t="s">
        <v>1690</v>
      </c>
      <c r="M115" s="96" t="s">
        <v>1691</v>
      </c>
      <c r="N115" s="99">
        <v>2020.0</v>
      </c>
      <c r="O115" s="96" t="s">
        <v>992</v>
      </c>
      <c r="P115" s="96" t="s">
        <v>972</v>
      </c>
      <c r="Q115" s="96" t="s">
        <v>972</v>
      </c>
      <c r="R115" s="95" t="s">
        <v>1012</v>
      </c>
      <c r="S115" s="170" t="s">
        <v>1692</v>
      </c>
      <c r="T115" s="95" t="s">
        <v>1693</v>
      </c>
      <c r="U115" s="98"/>
      <c r="V115" s="101" t="s">
        <v>1694</v>
      </c>
      <c r="W115" s="76" t="s">
        <v>1210</v>
      </c>
      <c r="X115" s="98"/>
      <c r="Y115" s="98"/>
      <c r="Z115" s="98"/>
      <c r="AA115" s="98"/>
      <c r="AB115" s="98"/>
      <c r="AC115" s="98"/>
    </row>
    <row r="116" ht="13.5" customHeight="1">
      <c r="A116" s="70" t="s">
        <v>269</v>
      </c>
      <c r="B116" s="123" t="s">
        <v>1695</v>
      </c>
      <c r="C116" s="123" t="s">
        <v>1696</v>
      </c>
      <c r="D116" s="166" t="s">
        <v>1697</v>
      </c>
      <c r="E116" s="70" t="s">
        <v>931</v>
      </c>
      <c r="F116" s="123" t="s">
        <v>45</v>
      </c>
      <c r="G116" s="70" t="s">
        <v>987</v>
      </c>
      <c r="H116" s="70"/>
      <c r="I116" s="72" t="s">
        <v>966</v>
      </c>
      <c r="J116" s="138" t="s">
        <v>999</v>
      </c>
      <c r="K116" s="74" t="s">
        <v>1089</v>
      </c>
      <c r="L116" s="124" t="s">
        <v>1698</v>
      </c>
      <c r="M116" s="71" t="s">
        <v>1027</v>
      </c>
      <c r="N116" s="75">
        <v>2023.0</v>
      </c>
      <c r="O116" s="71" t="s">
        <v>992</v>
      </c>
      <c r="P116" s="71" t="s">
        <v>972</v>
      </c>
      <c r="Q116" s="71" t="s">
        <v>972</v>
      </c>
      <c r="R116" s="72" t="s">
        <v>963</v>
      </c>
      <c r="S116" s="167" t="s">
        <v>1699</v>
      </c>
      <c r="T116" s="72" t="s">
        <v>1700</v>
      </c>
      <c r="U116" s="72"/>
      <c r="V116" s="39" t="s">
        <v>1701</v>
      </c>
      <c r="W116" s="76" t="s">
        <v>931</v>
      </c>
      <c r="X116" s="123"/>
      <c r="Y116" s="123"/>
      <c r="Z116" s="123"/>
      <c r="AA116" s="123"/>
      <c r="AB116" s="123"/>
      <c r="AC116" s="123"/>
    </row>
    <row r="117" ht="16.5" customHeight="1">
      <c r="A117" s="70" t="s">
        <v>269</v>
      </c>
      <c r="B117" s="123" t="s">
        <v>1702</v>
      </c>
      <c r="C117" s="123" t="s">
        <v>1703</v>
      </c>
      <c r="D117" s="166" t="s">
        <v>1704</v>
      </c>
      <c r="E117" s="70" t="s">
        <v>931</v>
      </c>
      <c r="F117" s="123" t="s">
        <v>45</v>
      </c>
      <c r="G117" s="70" t="s">
        <v>987</v>
      </c>
      <c r="H117" s="70"/>
      <c r="I117" s="72" t="s">
        <v>966</v>
      </c>
      <c r="J117" s="138" t="s">
        <v>999</v>
      </c>
      <c r="K117" s="74" t="s">
        <v>1674</v>
      </c>
      <c r="L117" s="124" t="s">
        <v>1705</v>
      </c>
      <c r="M117" s="71" t="s">
        <v>1027</v>
      </c>
      <c r="N117" s="75">
        <v>2025.0</v>
      </c>
      <c r="O117" s="71" t="s">
        <v>1706</v>
      </c>
      <c r="P117" s="71" t="s">
        <v>972</v>
      </c>
      <c r="Q117" s="71" t="s">
        <v>972</v>
      </c>
      <c r="R117" s="72" t="s">
        <v>963</v>
      </c>
      <c r="S117" s="167" t="s">
        <v>1707</v>
      </c>
      <c r="T117" s="72" t="s">
        <v>1708</v>
      </c>
      <c r="U117" s="72"/>
      <c r="V117" s="39" t="s">
        <v>1709</v>
      </c>
      <c r="W117" s="76" t="s">
        <v>931</v>
      </c>
      <c r="X117" s="72" t="s">
        <v>1710</v>
      </c>
      <c r="Y117" s="123"/>
      <c r="Z117" s="123"/>
      <c r="AA117" s="123"/>
      <c r="AB117" s="123"/>
      <c r="AC117" s="123"/>
    </row>
    <row r="118" ht="14.25" customHeight="1">
      <c r="A118" s="70" t="s">
        <v>269</v>
      </c>
      <c r="B118" s="123" t="s">
        <v>1711</v>
      </c>
      <c r="C118" s="123" t="s">
        <v>1712</v>
      </c>
      <c r="D118" s="166" t="s">
        <v>1713</v>
      </c>
      <c r="E118" s="70" t="s">
        <v>931</v>
      </c>
      <c r="F118" s="123" t="s">
        <v>45</v>
      </c>
      <c r="G118" s="70" t="s">
        <v>1714</v>
      </c>
      <c r="H118" s="70"/>
      <c r="I118" s="72" t="s">
        <v>966</v>
      </c>
      <c r="J118" s="138" t="s">
        <v>999</v>
      </c>
      <c r="K118" s="74" t="s">
        <v>1674</v>
      </c>
      <c r="L118" s="124" t="s">
        <v>1715</v>
      </c>
      <c r="M118" s="71" t="s">
        <v>1366</v>
      </c>
      <c r="N118" s="75">
        <v>2025.0</v>
      </c>
      <c r="O118" s="71" t="s">
        <v>992</v>
      </c>
      <c r="P118" s="71" t="s">
        <v>972</v>
      </c>
      <c r="Q118" s="71" t="s">
        <v>972</v>
      </c>
      <c r="R118" s="72" t="s">
        <v>963</v>
      </c>
      <c r="S118" s="167" t="s">
        <v>1716</v>
      </c>
      <c r="T118" s="72" t="s">
        <v>1717</v>
      </c>
      <c r="U118" s="72"/>
      <c r="V118" s="39" t="s">
        <v>1718</v>
      </c>
      <c r="W118" s="76" t="s">
        <v>931</v>
      </c>
      <c r="X118" s="123"/>
      <c r="Y118" s="123"/>
      <c r="Z118" s="123"/>
      <c r="AA118" s="123"/>
      <c r="AB118" s="123"/>
      <c r="AC118" s="123"/>
    </row>
    <row r="119" ht="14.25" customHeight="1">
      <c r="A119" s="128" t="s">
        <v>269</v>
      </c>
      <c r="B119" s="131" t="s">
        <v>1719</v>
      </c>
      <c r="C119" s="131" t="s">
        <v>1720</v>
      </c>
      <c r="D119" s="171" t="s">
        <v>1721</v>
      </c>
      <c r="E119" s="128" t="s">
        <v>931</v>
      </c>
      <c r="F119" s="131" t="s">
        <v>45</v>
      </c>
      <c r="G119" s="128" t="s">
        <v>1105</v>
      </c>
      <c r="H119" s="129"/>
      <c r="I119" s="129" t="s">
        <v>966</v>
      </c>
      <c r="J119" s="172" t="s">
        <v>999</v>
      </c>
      <c r="K119" s="173" t="s">
        <v>1033</v>
      </c>
      <c r="L119" s="129" t="s">
        <v>1722</v>
      </c>
      <c r="M119" s="125" t="s">
        <v>1027</v>
      </c>
      <c r="N119" s="132">
        <v>2016.0</v>
      </c>
      <c r="O119" s="125" t="s">
        <v>980</v>
      </c>
      <c r="P119" s="125" t="s">
        <v>972</v>
      </c>
      <c r="Q119" s="125" t="s">
        <v>972</v>
      </c>
      <c r="R119" s="129" t="s">
        <v>963</v>
      </c>
      <c r="S119" s="174" t="s">
        <v>1699</v>
      </c>
      <c r="T119" s="129" t="s">
        <v>1717</v>
      </c>
      <c r="U119" s="129"/>
      <c r="V119" s="133" t="s">
        <v>1723</v>
      </c>
      <c r="W119" s="76" t="s">
        <v>931</v>
      </c>
      <c r="X119" s="131"/>
      <c r="Y119" s="131"/>
      <c r="Z119" s="131"/>
      <c r="AA119" s="131"/>
      <c r="AB119" s="131"/>
      <c r="AC119" s="131"/>
    </row>
    <row r="120">
      <c r="A120" s="26" t="s">
        <v>93</v>
      </c>
      <c r="B120" s="123" t="s">
        <v>86</v>
      </c>
      <c r="C120" s="123" t="s">
        <v>87</v>
      </c>
      <c r="D120" s="166" t="s">
        <v>1724</v>
      </c>
      <c r="E120" s="26" t="s">
        <v>963</v>
      </c>
      <c r="F120" s="70" t="s">
        <v>45</v>
      </c>
      <c r="G120" s="70" t="s">
        <v>998</v>
      </c>
      <c r="H120" s="70"/>
      <c r="I120" s="72" t="s">
        <v>1038</v>
      </c>
      <c r="J120" s="138" t="s">
        <v>1725</v>
      </c>
      <c r="K120" s="72" t="s">
        <v>1726</v>
      </c>
      <c r="L120" s="72" t="s">
        <v>1727</v>
      </c>
      <c r="M120" s="72" t="s">
        <v>1027</v>
      </c>
      <c r="N120" s="72">
        <v>2024.0</v>
      </c>
      <c r="O120" s="72" t="s">
        <v>992</v>
      </c>
      <c r="P120" s="71" t="s">
        <v>1728</v>
      </c>
      <c r="Q120" s="71" t="s">
        <v>1728</v>
      </c>
      <c r="R120" s="72" t="s">
        <v>963</v>
      </c>
      <c r="S120" s="167" t="s">
        <v>1062</v>
      </c>
      <c r="T120" s="72" t="s">
        <v>1729</v>
      </c>
      <c r="U120" s="123"/>
      <c r="V120" s="39" t="s">
        <v>1730</v>
      </c>
      <c r="W120" s="76" t="s">
        <v>931</v>
      </c>
      <c r="X120" s="72" t="s">
        <v>1731</v>
      </c>
      <c r="Y120" s="123"/>
      <c r="Z120" s="123"/>
      <c r="AA120" s="123"/>
    </row>
    <row r="121">
      <c r="A121" s="26" t="s">
        <v>93</v>
      </c>
      <c r="B121" s="123" t="s">
        <v>94</v>
      </c>
      <c r="C121" s="123" t="s">
        <v>95</v>
      </c>
      <c r="D121" s="166" t="s">
        <v>1732</v>
      </c>
      <c r="E121" s="26" t="s">
        <v>963</v>
      </c>
      <c r="F121" s="70" t="s">
        <v>45</v>
      </c>
      <c r="G121" s="70" t="s">
        <v>1733</v>
      </c>
      <c r="H121" s="70"/>
      <c r="I121" s="72" t="s">
        <v>1665</v>
      </c>
      <c r="J121" s="138" t="s">
        <v>1203</v>
      </c>
      <c r="K121" s="72" t="s">
        <v>1734</v>
      </c>
      <c r="L121" s="79"/>
      <c r="M121" s="72" t="s">
        <v>1735</v>
      </c>
      <c r="N121" s="72">
        <v>2024.0</v>
      </c>
      <c r="O121" s="72" t="s">
        <v>1610</v>
      </c>
      <c r="P121" s="72" t="s">
        <v>1728</v>
      </c>
      <c r="Q121" s="72" t="s">
        <v>1728</v>
      </c>
      <c r="R121" s="72" t="s">
        <v>963</v>
      </c>
      <c r="S121" s="167" t="s">
        <v>1062</v>
      </c>
      <c r="T121" s="72" t="s">
        <v>1736</v>
      </c>
      <c r="U121" s="123"/>
      <c r="V121" s="39" t="s">
        <v>1737</v>
      </c>
      <c r="W121" s="76" t="s">
        <v>931</v>
      </c>
      <c r="X121" s="123"/>
      <c r="Y121" s="123"/>
      <c r="Z121" s="123"/>
      <c r="AA121" s="123"/>
    </row>
    <row r="122">
      <c r="A122" s="26" t="s">
        <v>93</v>
      </c>
      <c r="B122" s="123" t="s">
        <v>98</v>
      </c>
      <c r="C122" s="123" t="s">
        <v>99</v>
      </c>
      <c r="D122" s="166" t="s">
        <v>1738</v>
      </c>
      <c r="E122" s="26" t="s">
        <v>963</v>
      </c>
      <c r="F122" s="70" t="s">
        <v>45</v>
      </c>
      <c r="G122" s="70" t="s">
        <v>998</v>
      </c>
      <c r="H122" s="70"/>
      <c r="I122" s="72" t="s">
        <v>162</v>
      </c>
      <c r="J122" s="138" t="s">
        <v>1067</v>
      </c>
      <c r="K122" s="123" t="s">
        <v>979</v>
      </c>
      <c r="L122" s="123"/>
      <c r="M122" s="72" t="s">
        <v>1027</v>
      </c>
      <c r="N122" s="72">
        <v>2024.0</v>
      </c>
      <c r="O122" s="72" t="s">
        <v>1610</v>
      </c>
      <c r="P122" s="72" t="s">
        <v>1739</v>
      </c>
      <c r="Q122" s="72" t="s">
        <v>982</v>
      </c>
      <c r="R122" s="72" t="s">
        <v>963</v>
      </c>
      <c r="S122" s="167" t="s">
        <v>1740</v>
      </c>
      <c r="T122" s="72" t="s">
        <v>1741</v>
      </c>
      <c r="U122" s="123"/>
      <c r="V122" s="39" t="s">
        <v>1742</v>
      </c>
      <c r="W122" s="76" t="s">
        <v>931</v>
      </c>
      <c r="X122" s="123"/>
      <c r="Y122" s="123"/>
      <c r="Z122" s="123"/>
      <c r="AA122" s="123"/>
    </row>
    <row r="123">
      <c r="A123" s="26" t="s">
        <v>93</v>
      </c>
      <c r="B123" s="123" t="s">
        <v>103</v>
      </c>
      <c r="C123" s="123" t="s">
        <v>104</v>
      </c>
      <c r="D123" s="166" t="s">
        <v>1743</v>
      </c>
      <c r="E123" s="26" t="s">
        <v>963</v>
      </c>
      <c r="F123" s="70" t="s">
        <v>45</v>
      </c>
      <c r="G123" s="70" t="s">
        <v>1744</v>
      </c>
      <c r="H123" s="70"/>
      <c r="I123" s="72" t="s">
        <v>1038</v>
      </c>
      <c r="J123" s="138" t="s">
        <v>1039</v>
      </c>
      <c r="K123" s="72" t="s">
        <v>1745</v>
      </c>
      <c r="L123" s="74" t="s">
        <v>1746</v>
      </c>
      <c r="M123" s="72" t="s">
        <v>1747</v>
      </c>
      <c r="N123" s="72">
        <v>2023.0</v>
      </c>
      <c r="O123" s="72" t="s">
        <v>1610</v>
      </c>
      <c r="P123" s="72" t="s">
        <v>1748</v>
      </c>
      <c r="Q123" s="72" t="s">
        <v>1021</v>
      </c>
      <c r="R123" s="72" t="s">
        <v>963</v>
      </c>
      <c r="S123" s="167" t="s">
        <v>1749</v>
      </c>
      <c r="T123" s="72" t="s">
        <v>1750</v>
      </c>
      <c r="U123" s="123"/>
      <c r="V123" s="39" t="s">
        <v>1751</v>
      </c>
      <c r="W123" s="76" t="s">
        <v>931</v>
      </c>
      <c r="X123" s="123"/>
      <c r="Y123" s="123"/>
      <c r="Z123" s="123"/>
      <c r="AA123" s="123"/>
    </row>
    <row r="124" ht="13.5" customHeight="1">
      <c r="A124" s="26" t="s">
        <v>93</v>
      </c>
      <c r="B124" s="175" t="s">
        <v>111</v>
      </c>
      <c r="C124" s="175" t="s">
        <v>112</v>
      </c>
      <c r="D124" s="176" t="s">
        <v>1752</v>
      </c>
      <c r="E124" s="26" t="s">
        <v>963</v>
      </c>
      <c r="F124" s="163" t="s">
        <v>45</v>
      </c>
      <c r="G124" s="163" t="s">
        <v>998</v>
      </c>
      <c r="H124" s="163"/>
      <c r="I124" s="87" t="s">
        <v>162</v>
      </c>
      <c r="J124" s="177" t="s">
        <v>988</v>
      </c>
      <c r="K124" s="124" t="s">
        <v>1753</v>
      </c>
      <c r="L124" s="87" t="s">
        <v>1754</v>
      </c>
      <c r="M124" s="87" t="s">
        <v>1340</v>
      </c>
      <c r="N124" s="87">
        <v>2022.0</v>
      </c>
      <c r="O124" s="87" t="s">
        <v>992</v>
      </c>
      <c r="P124" s="87" t="s">
        <v>972</v>
      </c>
      <c r="Q124" s="87" t="s">
        <v>972</v>
      </c>
      <c r="R124" s="87" t="s">
        <v>1012</v>
      </c>
      <c r="S124" s="178" t="s">
        <v>1062</v>
      </c>
      <c r="T124" s="87" t="s">
        <v>1755</v>
      </c>
      <c r="U124" s="175"/>
      <c r="V124" s="42" t="s">
        <v>1756</v>
      </c>
      <c r="W124" s="76" t="s">
        <v>931</v>
      </c>
      <c r="X124" s="175"/>
      <c r="Y124" s="175"/>
      <c r="Z124" s="175"/>
      <c r="AA124" s="175"/>
    </row>
    <row r="125">
      <c r="A125" s="26" t="s">
        <v>93</v>
      </c>
      <c r="B125" s="123" t="s">
        <v>116</v>
      </c>
      <c r="C125" s="123" t="s">
        <v>117</v>
      </c>
      <c r="D125" s="166" t="s">
        <v>1757</v>
      </c>
      <c r="E125" s="26" t="s">
        <v>963</v>
      </c>
      <c r="F125" s="70" t="s">
        <v>45</v>
      </c>
      <c r="G125" s="70" t="s">
        <v>1758</v>
      </c>
      <c r="H125" s="70"/>
      <c r="I125" s="72" t="s">
        <v>1038</v>
      </c>
      <c r="J125" s="138" t="s">
        <v>1203</v>
      </c>
      <c r="K125" s="72" t="s">
        <v>1759</v>
      </c>
      <c r="L125" s="79"/>
      <c r="M125" s="72" t="s">
        <v>991</v>
      </c>
      <c r="N125" s="72">
        <v>2022.0</v>
      </c>
      <c r="O125" s="72" t="s">
        <v>980</v>
      </c>
      <c r="P125" s="72" t="s">
        <v>1760</v>
      </c>
      <c r="Q125" s="72" t="s">
        <v>982</v>
      </c>
      <c r="R125" s="72" t="s">
        <v>963</v>
      </c>
      <c r="S125" s="167" t="s">
        <v>1062</v>
      </c>
      <c r="T125" s="72" t="s">
        <v>1761</v>
      </c>
      <c r="U125" s="123"/>
      <c r="V125" s="39" t="s">
        <v>1762</v>
      </c>
      <c r="W125" s="76" t="s">
        <v>931</v>
      </c>
      <c r="X125" s="123"/>
      <c r="Y125" s="123"/>
      <c r="Z125" s="123"/>
      <c r="AA125" s="123"/>
    </row>
    <row r="126">
      <c r="A126" s="26" t="s">
        <v>93</v>
      </c>
      <c r="B126" s="37" t="s">
        <v>123</v>
      </c>
      <c r="C126" s="37" t="s">
        <v>124</v>
      </c>
      <c r="D126" s="122" t="s">
        <v>1763</v>
      </c>
      <c r="E126" s="26" t="s">
        <v>963</v>
      </c>
      <c r="F126" s="37" t="s">
        <v>45</v>
      </c>
      <c r="G126" s="26" t="s">
        <v>1764</v>
      </c>
      <c r="H126" s="26"/>
      <c r="I126" s="72" t="s">
        <v>966</v>
      </c>
      <c r="J126" s="67" t="s">
        <v>1203</v>
      </c>
      <c r="K126" s="74" t="s">
        <v>1674</v>
      </c>
      <c r="L126" s="74" t="s">
        <v>1765</v>
      </c>
      <c r="M126" s="71" t="s">
        <v>1451</v>
      </c>
      <c r="N126" s="75">
        <v>2018.0</v>
      </c>
      <c r="O126" s="71" t="s">
        <v>992</v>
      </c>
      <c r="P126" s="71" t="s">
        <v>972</v>
      </c>
      <c r="Q126" s="71" t="s">
        <v>972</v>
      </c>
      <c r="R126" s="67" t="s">
        <v>963</v>
      </c>
      <c r="S126" s="26" t="s">
        <v>1766</v>
      </c>
      <c r="T126" s="26" t="s">
        <v>1767</v>
      </c>
      <c r="V126" s="39" t="s">
        <v>1768</v>
      </c>
      <c r="W126" s="76" t="s">
        <v>931</v>
      </c>
    </row>
    <row r="127">
      <c r="A127" s="26" t="s">
        <v>93</v>
      </c>
      <c r="B127" s="37" t="s">
        <v>129</v>
      </c>
      <c r="C127" s="37" t="s">
        <v>130</v>
      </c>
      <c r="D127" s="122" t="s">
        <v>1769</v>
      </c>
      <c r="E127" s="26" t="s">
        <v>963</v>
      </c>
      <c r="F127" s="37" t="s">
        <v>47</v>
      </c>
      <c r="G127" s="26" t="s">
        <v>1573</v>
      </c>
      <c r="H127" s="26"/>
      <c r="I127" s="72" t="s">
        <v>966</v>
      </c>
      <c r="J127" s="69" t="s">
        <v>1770</v>
      </c>
      <c r="K127" s="74" t="s">
        <v>1771</v>
      </c>
      <c r="L127" s="74" t="s">
        <v>1772</v>
      </c>
      <c r="M127" s="71" t="s">
        <v>1516</v>
      </c>
      <c r="N127" s="75">
        <v>2024.0</v>
      </c>
      <c r="O127" s="71" t="s">
        <v>992</v>
      </c>
      <c r="P127" s="71" t="s">
        <v>1728</v>
      </c>
      <c r="Q127" s="71" t="s">
        <v>1728</v>
      </c>
      <c r="R127" s="67" t="s">
        <v>963</v>
      </c>
      <c r="S127" s="26" t="s">
        <v>1773</v>
      </c>
      <c r="T127" s="26" t="s">
        <v>1774</v>
      </c>
      <c r="V127" s="39" t="s">
        <v>1775</v>
      </c>
      <c r="W127" s="76" t="s">
        <v>931</v>
      </c>
    </row>
    <row r="128">
      <c r="A128" s="26" t="s">
        <v>93</v>
      </c>
      <c r="B128" s="37" t="s">
        <v>134</v>
      </c>
      <c r="C128" s="37" t="s">
        <v>135</v>
      </c>
      <c r="D128" s="122" t="s">
        <v>1776</v>
      </c>
      <c r="E128" s="26" t="s">
        <v>963</v>
      </c>
      <c r="F128" s="37" t="s">
        <v>47</v>
      </c>
      <c r="G128" s="26" t="s">
        <v>964</v>
      </c>
      <c r="H128" s="26"/>
      <c r="I128" s="72" t="s">
        <v>162</v>
      </c>
      <c r="J128" s="67" t="s">
        <v>967</v>
      </c>
      <c r="K128" s="74" t="s">
        <v>1777</v>
      </c>
      <c r="L128" s="74" t="s">
        <v>1778</v>
      </c>
      <c r="M128" s="71" t="s">
        <v>1779</v>
      </c>
      <c r="N128" s="75">
        <v>2024.0</v>
      </c>
      <c r="O128" s="71" t="s">
        <v>1780</v>
      </c>
      <c r="P128" s="71" t="s">
        <v>1781</v>
      </c>
      <c r="Q128" s="71" t="s">
        <v>982</v>
      </c>
      <c r="R128" s="67" t="s">
        <v>963</v>
      </c>
      <c r="S128" s="26" t="s">
        <v>1782</v>
      </c>
      <c r="T128" s="26" t="s">
        <v>1783</v>
      </c>
      <c r="V128" s="39" t="s">
        <v>1784</v>
      </c>
      <c r="W128" s="76" t="s">
        <v>931</v>
      </c>
    </row>
    <row r="129">
      <c r="A129" s="26" t="s">
        <v>93</v>
      </c>
      <c r="B129" s="37" t="s">
        <v>139</v>
      </c>
      <c r="C129" s="37" t="s">
        <v>140</v>
      </c>
      <c r="D129" s="122" t="s">
        <v>1785</v>
      </c>
      <c r="E129" s="26" t="s">
        <v>963</v>
      </c>
      <c r="F129" s="37" t="s">
        <v>47</v>
      </c>
      <c r="G129" s="26" t="s">
        <v>987</v>
      </c>
      <c r="H129" s="26"/>
      <c r="I129" s="72" t="s">
        <v>162</v>
      </c>
      <c r="J129" s="67" t="s">
        <v>988</v>
      </c>
      <c r="K129" s="74" t="s">
        <v>1786</v>
      </c>
      <c r="L129" s="74" t="s">
        <v>1787</v>
      </c>
      <c r="M129" s="71" t="s">
        <v>1002</v>
      </c>
      <c r="N129" s="75">
        <v>2024.0</v>
      </c>
      <c r="O129" s="71" t="s">
        <v>992</v>
      </c>
      <c r="P129" s="71" t="s">
        <v>972</v>
      </c>
      <c r="Q129" s="71" t="s">
        <v>972</v>
      </c>
      <c r="R129" s="67" t="s">
        <v>963</v>
      </c>
      <c r="S129" s="26" t="s">
        <v>1054</v>
      </c>
      <c r="T129" s="26" t="s">
        <v>1788</v>
      </c>
      <c r="V129" s="39" t="s">
        <v>1789</v>
      </c>
      <c r="W129" s="76" t="s">
        <v>931</v>
      </c>
    </row>
    <row r="130">
      <c r="A130" s="26" t="s">
        <v>93</v>
      </c>
      <c r="B130" s="37" t="s">
        <v>148</v>
      </c>
      <c r="C130" s="37" t="s">
        <v>149</v>
      </c>
      <c r="D130" s="122" t="s">
        <v>1790</v>
      </c>
      <c r="E130" s="26" t="s">
        <v>963</v>
      </c>
      <c r="F130" s="26" t="s">
        <v>45</v>
      </c>
      <c r="G130" s="26" t="s">
        <v>1657</v>
      </c>
      <c r="H130" s="26"/>
      <c r="I130" s="26" t="s">
        <v>978</v>
      </c>
      <c r="J130" s="67" t="s">
        <v>967</v>
      </c>
      <c r="K130" s="74" t="s">
        <v>1791</v>
      </c>
      <c r="L130" s="79"/>
      <c r="M130" s="71" t="s">
        <v>970</v>
      </c>
      <c r="N130" s="75">
        <v>2023.0</v>
      </c>
      <c r="O130" s="71" t="s">
        <v>1792</v>
      </c>
      <c r="P130" s="71" t="s">
        <v>1793</v>
      </c>
      <c r="Q130" s="71" t="s">
        <v>1081</v>
      </c>
      <c r="R130" s="67" t="s">
        <v>963</v>
      </c>
      <c r="S130" s="26" t="s">
        <v>1062</v>
      </c>
      <c r="T130" s="26" t="s">
        <v>1794</v>
      </c>
      <c r="V130" s="39" t="s">
        <v>1795</v>
      </c>
      <c r="W130" s="76" t="s">
        <v>931</v>
      </c>
    </row>
    <row r="131">
      <c r="A131" s="26" t="s">
        <v>93</v>
      </c>
      <c r="B131" s="37" t="s">
        <v>156</v>
      </c>
      <c r="C131" s="37" t="s">
        <v>157</v>
      </c>
      <c r="D131" s="122" t="s">
        <v>1796</v>
      </c>
      <c r="E131" s="26" t="s">
        <v>963</v>
      </c>
      <c r="F131" s="37" t="s">
        <v>47</v>
      </c>
      <c r="G131" s="26" t="s">
        <v>987</v>
      </c>
      <c r="H131" s="26"/>
      <c r="I131" s="72" t="s">
        <v>966</v>
      </c>
      <c r="J131" s="67" t="s">
        <v>988</v>
      </c>
      <c r="K131" s="74" t="s">
        <v>1797</v>
      </c>
      <c r="L131" s="74" t="s">
        <v>1798</v>
      </c>
      <c r="M131" s="71" t="s">
        <v>1027</v>
      </c>
      <c r="N131" s="75">
        <v>2022.0</v>
      </c>
      <c r="O131" s="71" t="s">
        <v>1610</v>
      </c>
      <c r="P131" s="71" t="s">
        <v>972</v>
      </c>
      <c r="Q131" s="71" t="s">
        <v>972</v>
      </c>
      <c r="R131" s="67" t="s">
        <v>963</v>
      </c>
      <c r="S131" s="26" t="s">
        <v>1799</v>
      </c>
      <c r="T131" s="26" t="s">
        <v>1800</v>
      </c>
      <c r="V131" s="39" t="s">
        <v>1801</v>
      </c>
      <c r="W131" s="76" t="s">
        <v>931</v>
      </c>
    </row>
    <row r="132">
      <c r="A132" s="26" t="s">
        <v>93</v>
      </c>
      <c r="B132" s="37" t="s">
        <v>160</v>
      </c>
      <c r="C132" s="37" t="s">
        <v>161</v>
      </c>
      <c r="D132" s="179" t="s">
        <v>1802</v>
      </c>
      <c r="E132" s="26" t="s">
        <v>963</v>
      </c>
      <c r="F132" s="37" t="s">
        <v>47</v>
      </c>
      <c r="G132" s="26" t="s">
        <v>1803</v>
      </c>
      <c r="H132" s="26"/>
      <c r="I132" s="26" t="s">
        <v>1038</v>
      </c>
      <c r="J132" s="67" t="s">
        <v>1725</v>
      </c>
      <c r="K132" s="74" t="s">
        <v>1804</v>
      </c>
      <c r="L132" s="74" t="s">
        <v>1805</v>
      </c>
      <c r="M132" s="71" t="s">
        <v>1779</v>
      </c>
      <c r="N132" s="75">
        <v>2021.0</v>
      </c>
      <c r="O132" s="71" t="s">
        <v>1003</v>
      </c>
      <c r="P132" s="71" t="s">
        <v>1728</v>
      </c>
      <c r="Q132" s="71" t="s">
        <v>1728</v>
      </c>
      <c r="R132" s="67" t="s">
        <v>963</v>
      </c>
      <c r="S132" s="26" t="s">
        <v>1806</v>
      </c>
      <c r="T132" s="26" t="s">
        <v>1807</v>
      </c>
      <c r="V132" s="39" t="s">
        <v>1808</v>
      </c>
      <c r="W132" s="76" t="s">
        <v>931</v>
      </c>
    </row>
    <row r="133">
      <c r="A133" s="26" t="s">
        <v>93</v>
      </c>
      <c r="B133" s="39" t="s">
        <v>682</v>
      </c>
      <c r="C133" s="39" t="s">
        <v>683</v>
      </c>
      <c r="D133" s="180" t="s">
        <v>1809</v>
      </c>
      <c r="E133" s="26" t="s">
        <v>963</v>
      </c>
      <c r="F133" s="39" t="s">
        <v>49</v>
      </c>
      <c r="G133" s="26" t="s">
        <v>1272</v>
      </c>
      <c r="H133" s="26"/>
      <c r="I133" s="72" t="s">
        <v>966</v>
      </c>
      <c r="J133" s="69" t="s">
        <v>1810</v>
      </c>
      <c r="K133" s="157" t="s">
        <v>1009</v>
      </c>
      <c r="L133" s="157" t="s">
        <v>1615</v>
      </c>
      <c r="M133" s="71" t="s">
        <v>1027</v>
      </c>
      <c r="N133" s="75">
        <v>2025.0</v>
      </c>
      <c r="O133" s="71" t="s">
        <v>992</v>
      </c>
      <c r="P133" s="71" t="s">
        <v>972</v>
      </c>
      <c r="Q133" s="71" t="s">
        <v>972</v>
      </c>
      <c r="R133" s="67" t="s">
        <v>1811</v>
      </c>
      <c r="S133" s="26" t="s">
        <v>1812</v>
      </c>
      <c r="T133" s="26" t="s">
        <v>1813</v>
      </c>
      <c r="V133" s="39" t="s">
        <v>1814</v>
      </c>
      <c r="W133" s="76" t="s">
        <v>931</v>
      </c>
    </row>
    <row r="134">
      <c r="A134" s="26" t="s">
        <v>93</v>
      </c>
      <c r="B134" s="39" t="s">
        <v>686</v>
      </c>
      <c r="C134" s="39" t="s">
        <v>687</v>
      </c>
      <c r="D134" s="180" t="s">
        <v>1815</v>
      </c>
      <c r="E134" s="26" t="s">
        <v>963</v>
      </c>
      <c r="F134" s="39" t="s">
        <v>49</v>
      </c>
      <c r="G134" s="26" t="s">
        <v>987</v>
      </c>
      <c r="H134" s="26"/>
      <c r="I134" s="26" t="s">
        <v>162</v>
      </c>
      <c r="J134" s="67" t="s">
        <v>988</v>
      </c>
      <c r="K134" s="157" t="s">
        <v>1009</v>
      </c>
      <c r="L134" s="157" t="s">
        <v>1816</v>
      </c>
      <c r="M134" s="71" t="s">
        <v>1027</v>
      </c>
      <c r="N134" s="75">
        <v>2025.0</v>
      </c>
      <c r="O134" s="71" t="s">
        <v>992</v>
      </c>
      <c r="P134" s="71" t="s">
        <v>972</v>
      </c>
      <c r="Q134" s="71" t="s">
        <v>972</v>
      </c>
      <c r="R134" s="67" t="s">
        <v>1136</v>
      </c>
      <c r="S134" s="26" t="s">
        <v>1054</v>
      </c>
      <c r="T134" s="26" t="s">
        <v>1817</v>
      </c>
      <c r="V134" s="39" t="s">
        <v>1818</v>
      </c>
      <c r="W134" s="76" t="s">
        <v>931</v>
      </c>
    </row>
    <row r="135">
      <c r="A135" s="26" t="s">
        <v>93</v>
      </c>
      <c r="B135" s="39" t="s">
        <v>689</v>
      </c>
      <c r="C135" s="39" t="s">
        <v>690</v>
      </c>
      <c r="D135" s="180" t="s">
        <v>1819</v>
      </c>
      <c r="E135" s="26" t="s">
        <v>963</v>
      </c>
      <c r="F135" s="39" t="s">
        <v>49</v>
      </c>
      <c r="G135" s="26" t="s">
        <v>987</v>
      </c>
      <c r="H135" s="26"/>
      <c r="I135" s="26" t="s">
        <v>162</v>
      </c>
      <c r="J135" s="67" t="s">
        <v>988</v>
      </c>
      <c r="K135" s="157" t="s">
        <v>1009</v>
      </c>
      <c r="L135" s="157" t="s">
        <v>1820</v>
      </c>
      <c r="M135" s="71" t="s">
        <v>1027</v>
      </c>
      <c r="N135" s="75">
        <v>2025.0</v>
      </c>
      <c r="O135" s="71" t="s">
        <v>1610</v>
      </c>
      <c r="P135" s="71" t="s">
        <v>972</v>
      </c>
      <c r="Q135" s="71" t="s">
        <v>972</v>
      </c>
      <c r="R135" s="67" t="s">
        <v>1821</v>
      </c>
      <c r="S135" s="26" t="s">
        <v>1062</v>
      </c>
      <c r="T135" s="26" t="s">
        <v>1822</v>
      </c>
      <c r="V135" s="39" t="s">
        <v>1823</v>
      </c>
      <c r="W135" s="76" t="s">
        <v>931</v>
      </c>
    </row>
    <row r="136">
      <c r="A136" s="26" t="s">
        <v>93</v>
      </c>
      <c r="B136" s="39" t="s">
        <v>831</v>
      </c>
      <c r="C136" s="39" t="s">
        <v>832</v>
      </c>
      <c r="D136" s="181" t="s">
        <v>1824</v>
      </c>
      <c r="E136" s="26" t="s">
        <v>1457</v>
      </c>
      <c r="F136" s="39" t="s">
        <v>49</v>
      </c>
      <c r="G136" s="26" t="s">
        <v>1272</v>
      </c>
      <c r="I136" s="26" t="s">
        <v>162</v>
      </c>
      <c r="J136" s="69" t="s">
        <v>1825</v>
      </c>
      <c r="K136" s="157" t="s">
        <v>1786</v>
      </c>
      <c r="L136" s="157" t="s">
        <v>1299</v>
      </c>
      <c r="M136" s="71" t="s">
        <v>1027</v>
      </c>
      <c r="N136" s="75">
        <v>2025.0</v>
      </c>
      <c r="O136" s="71" t="s">
        <v>992</v>
      </c>
      <c r="P136" s="71" t="s">
        <v>972</v>
      </c>
      <c r="Q136" s="71" t="s">
        <v>972</v>
      </c>
      <c r="R136" s="67" t="s">
        <v>963</v>
      </c>
      <c r="S136" s="26" t="s">
        <v>1826</v>
      </c>
      <c r="T136" s="26" t="s">
        <v>1827</v>
      </c>
      <c r="V136" s="39" t="s">
        <v>1828</v>
      </c>
      <c r="W136" s="76" t="s">
        <v>931</v>
      </c>
    </row>
    <row r="137">
      <c r="A137" s="26" t="s">
        <v>93</v>
      </c>
      <c r="B137" s="39" t="s">
        <v>834</v>
      </c>
      <c r="C137" s="39" t="s">
        <v>835</v>
      </c>
      <c r="D137" s="180" t="s">
        <v>1829</v>
      </c>
      <c r="E137" s="26" t="s">
        <v>963</v>
      </c>
      <c r="F137" s="39" t="s">
        <v>49</v>
      </c>
      <c r="G137" s="26" t="s">
        <v>987</v>
      </c>
      <c r="H137" s="72" t="s">
        <v>966</v>
      </c>
      <c r="I137" s="26" t="s">
        <v>162</v>
      </c>
      <c r="J137" s="67" t="s">
        <v>988</v>
      </c>
      <c r="K137" s="157" t="s">
        <v>1009</v>
      </c>
      <c r="L137" s="157" t="s">
        <v>1830</v>
      </c>
      <c r="M137" s="71" t="s">
        <v>1027</v>
      </c>
      <c r="N137" s="75">
        <v>2025.0</v>
      </c>
      <c r="O137" s="71" t="s">
        <v>992</v>
      </c>
      <c r="P137" s="71" t="s">
        <v>972</v>
      </c>
      <c r="Q137" s="71" t="s">
        <v>972</v>
      </c>
      <c r="R137" s="67" t="s">
        <v>1280</v>
      </c>
      <c r="S137" s="26" t="s">
        <v>1054</v>
      </c>
      <c r="T137" s="26" t="s">
        <v>1831</v>
      </c>
      <c r="V137" s="39" t="s">
        <v>1832</v>
      </c>
      <c r="W137" s="76" t="s">
        <v>931</v>
      </c>
    </row>
    <row r="138">
      <c r="A138" s="26" t="s">
        <v>93</v>
      </c>
      <c r="B138" s="39" t="s">
        <v>913</v>
      </c>
      <c r="C138" s="39" t="s">
        <v>914</v>
      </c>
      <c r="D138" s="180" t="s">
        <v>1833</v>
      </c>
      <c r="E138" s="26" t="s">
        <v>963</v>
      </c>
      <c r="F138" s="39" t="s">
        <v>49</v>
      </c>
      <c r="G138" s="39" t="s">
        <v>1834</v>
      </c>
      <c r="H138" s="39"/>
      <c r="I138" s="72" t="s">
        <v>966</v>
      </c>
      <c r="J138" s="69" t="s">
        <v>1835</v>
      </c>
      <c r="K138" s="74" t="s">
        <v>1674</v>
      </c>
      <c r="L138" s="157" t="s">
        <v>1836</v>
      </c>
      <c r="M138" s="71" t="s">
        <v>1260</v>
      </c>
      <c r="N138" s="75">
        <v>2021.0</v>
      </c>
      <c r="O138" s="71" t="s">
        <v>992</v>
      </c>
      <c r="P138" s="71" t="s">
        <v>972</v>
      </c>
      <c r="Q138" s="71" t="s">
        <v>972</v>
      </c>
      <c r="R138" s="67" t="s">
        <v>1280</v>
      </c>
      <c r="S138" s="26" t="s">
        <v>1837</v>
      </c>
      <c r="T138" s="26" t="s">
        <v>1838</v>
      </c>
      <c r="V138" s="39" t="s">
        <v>1839</v>
      </c>
      <c r="W138" s="76" t="s">
        <v>931</v>
      </c>
    </row>
    <row r="139">
      <c r="A139" s="28" t="s">
        <v>93</v>
      </c>
      <c r="B139" s="121" t="s">
        <v>1840</v>
      </c>
      <c r="C139" s="121" t="s">
        <v>1841</v>
      </c>
      <c r="D139" s="182" t="s">
        <v>1842</v>
      </c>
      <c r="E139" s="72" t="s">
        <v>931</v>
      </c>
      <c r="F139" s="72" t="s">
        <v>49</v>
      </c>
      <c r="G139" s="72" t="s">
        <v>1185</v>
      </c>
      <c r="H139" s="72"/>
      <c r="I139" s="72" t="s">
        <v>966</v>
      </c>
      <c r="J139" s="138" t="s">
        <v>988</v>
      </c>
      <c r="K139" s="72" t="s">
        <v>1843</v>
      </c>
      <c r="L139" s="72" t="s">
        <v>1844</v>
      </c>
      <c r="M139" s="71" t="s">
        <v>1027</v>
      </c>
      <c r="N139" s="75">
        <v>2025.0</v>
      </c>
      <c r="O139" s="71" t="s">
        <v>992</v>
      </c>
      <c r="P139" s="71" t="s">
        <v>972</v>
      </c>
      <c r="Q139" s="71" t="s">
        <v>972</v>
      </c>
      <c r="R139" s="138" t="s">
        <v>1012</v>
      </c>
      <c r="S139" s="167" t="s">
        <v>1845</v>
      </c>
      <c r="T139" s="72" t="s">
        <v>1846</v>
      </c>
      <c r="U139" s="123"/>
      <c r="V139" s="39" t="s">
        <v>1847</v>
      </c>
      <c r="W139" s="76" t="s">
        <v>931</v>
      </c>
      <c r="X139" s="123"/>
      <c r="Y139" s="183"/>
      <c r="Z139" s="183"/>
      <c r="AA139" s="183"/>
      <c r="AB139" s="183"/>
      <c r="AC139" s="183"/>
    </row>
    <row r="140">
      <c r="A140" s="28" t="s">
        <v>93</v>
      </c>
      <c r="B140" s="121" t="s">
        <v>1848</v>
      </c>
      <c r="C140" s="121" t="s">
        <v>1849</v>
      </c>
      <c r="D140" s="182" t="s">
        <v>1850</v>
      </c>
      <c r="E140" s="72" t="s">
        <v>931</v>
      </c>
      <c r="F140" s="72" t="s">
        <v>47</v>
      </c>
      <c r="G140" s="72" t="s">
        <v>1185</v>
      </c>
      <c r="H140" s="72"/>
      <c r="I140" s="72" t="s">
        <v>162</v>
      </c>
      <c r="J140" s="138" t="s">
        <v>999</v>
      </c>
      <c r="K140" s="72" t="s">
        <v>1526</v>
      </c>
      <c r="L140" s="72" t="s">
        <v>1851</v>
      </c>
      <c r="M140" s="71" t="s">
        <v>1779</v>
      </c>
      <c r="N140" s="75">
        <v>2025.0</v>
      </c>
      <c r="O140" s="71" t="s">
        <v>1780</v>
      </c>
      <c r="P140" s="71" t="s">
        <v>1020</v>
      </c>
      <c r="Q140" s="71" t="s">
        <v>1021</v>
      </c>
      <c r="R140" s="121" t="s">
        <v>931</v>
      </c>
      <c r="S140" s="167" t="s">
        <v>1852</v>
      </c>
      <c r="T140" s="72" t="s">
        <v>1853</v>
      </c>
      <c r="U140" s="123"/>
      <c r="V140" s="39" t="s">
        <v>1854</v>
      </c>
      <c r="W140" s="76" t="s">
        <v>931</v>
      </c>
      <c r="X140" s="72" t="s">
        <v>1855</v>
      </c>
      <c r="Y140" s="183"/>
      <c r="Z140" s="183"/>
      <c r="AA140" s="183"/>
      <c r="AB140" s="183"/>
      <c r="AC140" s="183"/>
    </row>
    <row r="141" ht="16.5" customHeight="1">
      <c r="A141" s="152" t="s">
        <v>507</v>
      </c>
      <c r="B141" s="184" t="s">
        <v>503</v>
      </c>
      <c r="C141" s="184" t="s">
        <v>504</v>
      </c>
      <c r="D141" s="185" t="s">
        <v>1856</v>
      </c>
      <c r="E141" s="186" t="s">
        <v>1457</v>
      </c>
      <c r="F141" s="184" t="s">
        <v>49</v>
      </c>
      <c r="G141" s="143" t="s">
        <v>1038</v>
      </c>
      <c r="H141" s="143"/>
      <c r="I141" s="143" t="s">
        <v>1038</v>
      </c>
      <c r="J141" s="151" t="s">
        <v>1039</v>
      </c>
      <c r="K141" s="187"/>
      <c r="L141" s="188"/>
      <c r="M141" s="189" t="s">
        <v>1027</v>
      </c>
      <c r="N141" s="150">
        <v>2020.0</v>
      </c>
      <c r="O141" s="189" t="s">
        <v>1354</v>
      </c>
      <c r="P141" s="189" t="s">
        <v>1100</v>
      </c>
      <c r="Q141" s="189" t="s">
        <v>1081</v>
      </c>
      <c r="R141" s="190" t="s">
        <v>963</v>
      </c>
      <c r="S141" s="191" t="s">
        <v>1062</v>
      </c>
      <c r="T141" s="192" t="s">
        <v>1857</v>
      </c>
      <c r="U141" s="184"/>
      <c r="V141" s="154" t="s">
        <v>1858</v>
      </c>
      <c r="W141" s="76" t="s">
        <v>1031</v>
      </c>
      <c r="X141" s="184"/>
      <c r="Y141" s="184"/>
      <c r="Z141" s="184"/>
      <c r="AA141" s="184"/>
      <c r="AB141" s="123"/>
      <c r="AC141" s="123"/>
    </row>
    <row r="142" ht="15.0" customHeight="1">
      <c r="A142" s="26" t="s">
        <v>507</v>
      </c>
      <c r="B142" s="123" t="s">
        <v>508</v>
      </c>
      <c r="C142" s="123" t="s">
        <v>509</v>
      </c>
      <c r="D142" s="193" t="s">
        <v>1859</v>
      </c>
      <c r="E142" s="194" t="s">
        <v>1457</v>
      </c>
      <c r="F142" s="123" t="s">
        <v>49</v>
      </c>
      <c r="G142" s="72" t="s">
        <v>1112</v>
      </c>
      <c r="H142" s="72"/>
      <c r="I142" s="72" t="s">
        <v>162</v>
      </c>
      <c r="J142" s="69" t="s">
        <v>1860</v>
      </c>
      <c r="K142" s="72" t="s">
        <v>1009</v>
      </c>
      <c r="L142" s="72" t="s">
        <v>1861</v>
      </c>
      <c r="M142" s="71" t="s">
        <v>1027</v>
      </c>
      <c r="N142" s="75">
        <v>2020.0</v>
      </c>
      <c r="O142" s="71" t="s">
        <v>992</v>
      </c>
      <c r="P142" s="71" t="s">
        <v>972</v>
      </c>
      <c r="Q142" s="71" t="s">
        <v>972</v>
      </c>
      <c r="R142" s="195" t="s">
        <v>1862</v>
      </c>
      <c r="S142" s="167" t="s">
        <v>1054</v>
      </c>
      <c r="T142" s="124" t="s">
        <v>1863</v>
      </c>
      <c r="U142" s="123"/>
      <c r="V142" s="39" t="s">
        <v>1864</v>
      </c>
      <c r="W142" s="76" t="s">
        <v>931</v>
      </c>
      <c r="X142" s="123"/>
      <c r="Y142" s="123"/>
      <c r="Z142" s="123"/>
      <c r="AA142" s="123"/>
      <c r="AB142" s="123"/>
      <c r="AC142" s="123"/>
    </row>
    <row r="143" ht="15.75" customHeight="1">
      <c r="A143" s="26" t="s">
        <v>507</v>
      </c>
      <c r="B143" s="123" t="s">
        <v>512</v>
      </c>
      <c r="C143" s="123" t="s">
        <v>513</v>
      </c>
      <c r="D143" s="139" t="s">
        <v>1865</v>
      </c>
      <c r="E143" s="194" t="s">
        <v>1457</v>
      </c>
      <c r="F143" s="123" t="s">
        <v>49</v>
      </c>
      <c r="G143" s="72" t="s">
        <v>1409</v>
      </c>
      <c r="H143" s="72"/>
      <c r="I143" s="72" t="s">
        <v>162</v>
      </c>
      <c r="J143" s="67" t="s">
        <v>988</v>
      </c>
      <c r="K143" s="72" t="s">
        <v>1866</v>
      </c>
      <c r="L143" s="72" t="s">
        <v>1417</v>
      </c>
      <c r="M143" s="71" t="s">
        <v>1098</v>
      </c>
      <c r="N143" s="75">
        <v>2020.0</v>
      </c>
      <c r="O143" s="71" t="s">
        <v>992</v>
      </c>
      <c r="P143" s="71" t="s">
        <v>1867</v>
      </c>
      <c r="Q143" s="71" t="s">
        <v>1021</v>
      </c>
      <c r="R143" s="195" t="s">
        <v>963</v>
      </c>
      <c r="S143" s="167" t="s">
        <v>1868</v>
      </c>
      <c r="T143" s="124" t="s">
        <v>1869</v>
      </c>
      <c r="U143" s="123"/>
      <c r="V143" s="39" t="s">
        <v>1870</v>
      </c>
      <c r="W143" s="76" t="s">
        <v>1031</v>
      </c>
      <c r="X143" s="123"/>
      <c r="Y143" s="123"/>
      <c r="Z143" s="123"/>
      <c r="AA143" s="123"/>
      <c r="AB143" s="123"/>
      <c r="AC143" s="123"/>
    </row>
    <row r="144" ht="12.75" customHeight="1">
      <c r="A144" s="26" t="s">
        <v>507</v>
      </c>
      <c r="B144" s="123" t="s">
        <v>516</v>
      </c>
      <c r="C144" s="123" t="s">
        <v>517</v>
      </c>
      <c r="D144" s="193" t="s">
        <v>1871</v>
      </c>
      <c r="E144" s="194" t="s">
        <v>1457</v>
      </c>
      <c r="F144" s="123" t="s">
        <v>49</v>
      </c>
      <c r="G144" s="72" t="s">
        <v>1016</v>
      </c>
      <c r="H144" s="72"/>
      <c r="I144" s="72" t="s">
        <v>162</v>
      </c>
      <c r="J144" s="67" t="s">
        <v>988</v>
      </c>
      <c r="K144" s="72" t="s">
        <v>1009</v>
      </c>
      <c r="L144" s="72" t="s">
        <v>1253</v>
      </c>
      <c r="M144" s="71" t="s">
        <v>1019</v>
      </c>
      <c r="N144" s="75">
        <v>2020.0</v>
      </c>
      <c r="O144" s="71" t="s">
        <v>992</v>
      </c>
      <c r="P144" s="71" t="s">
        <v>972</v>
      </c>
      <c r="Q144" s="71" t="s">
        <v>972</v>
      </c>
      <c r="R144" s="195" t="s">
        <v>963</v>
      </c>
      <c r="S144" s="167" t="s">
        <v>1062</v>
      </c>
      <c r="T144" s="124" t="s">
        <v>1872</v>
      </c>
      <c r="U144" s="123"/>
      <c r="V144" s="39" t="s">
        <v>1873</v>
      </c>
      <c r="W144" s="76" t="s">
        <v>1031</v>
      </c>
      <c r="X144" s="72" t="s">
        <v>1874</v>
      </c>
      <c r="Y144" s="123"/>
      <c r="Z144" s="123"/>
      <c r="AA144" s="123"/>
      <c r="AB144" s="123"/>
      <c r="AC144" s="123"/>
    </row>
    <row r="145" ht="11.25" customHeight="1">
      <c r="A145" s="26" t="s">
        <v>507</v>
      </c>
      <c r="B145" s="123" t="s">
        <v>519</v>
      </c>
      <c r="C145" s="123" t="s">
        <v>520</v>
      </c>
      <c r="D145" s="193" t="s">
        <v>1875</v>
      </c>
      <c r="E145" s="194" t="s">
        <v>1457</v>
      </c>
      <c r="F145" s="123" t="s">
        <v>49</v>
      </c>
      <c r="G145" s="72" t="s">
        <v>1409</v>
      </c>
      <c r="H145" s="72"/>
      <c r="I145" s="72" t="s">
        <v>162</v>
      </c>
      <c r="J145" s="67" t="s">
        <v>1067</v>
      </c>
      <c r="K145" s="74" t="s">
        <v>466</v>
      </c>
      <c r="L145" s="72" t="s">
        <v>1876</v>
      </c>
      <c r="M145" s="71" t="s">
        <v>1027</v>
      </c>
      <c r="N145" s="75">
        <v>2020.0</v>
      </c>
      <c r="O145" s="71" t="s">
        <v>992</v>
      </c>
      <c r="P145" s="71" t="s">
        <v>972</v>
      </c>
      <c r="Q145" s="71" t="s">
        <v>972</v>
      </c>
      <c r="R145" s="195" t="s">
        <v>1877</v>
      </c>
      <c r="S145" s="167" t="s">
        <v>1054</v>
      </c>
      <c r="T145" s="124" t="s">
        <v>1878</v>
      </c>
      <c r="U145" s="123"/>
      <c r="V145" s="39" t="s">
        <v>1879</v>
      </c>
      <c r="W145" s="76" t="s">
        <v>1031</v>
      </c>
      <c r="X145" s="123"/>
      <c r="Y145" s="123"/>
      <c r="Z145" s="123"/>
      <c r="AA145" s="123"/>
      <c r="AB145" s="123"/>
      <c r="AC145" s="123"/>
    </row>
    <row r="146" ht="12.75" customHeight="1">
      <c r="A146" s="26" t="s">
        <v>507</v>
      </c>
      <c r="B146" s="123" t="s">
        <v>524</v>
      </c>
      <c r="C146" s="123" t="s">
        <v>525</v>
      </c>
      <c r="D146" s="193" t="s">
        <v>1880</v>
      </c>
      <c r="E146" s="194" t="s">
        <v>1457</v>
      </c>
      <c r="F146" s="123" t="s">
        <v>49</v>
      </c>
      <c r="G146" s="123" t="s">
        <v>998</v>
      </c>
      <c r="H146" s="123"/>
      <c r="I146" s="72" t="s">
        <v>162</v>
      </c>
      <c r="J146" s="67" t="s">
        <v>999</v>
      </c>
      <c r="K146" s="72" t="s">
        <v>1434</v>
      </c>
      <c r="L146" s="72" t="s">
        <v>1881</v>
      </c>
      <c r="M146" s="71" t="s">
        <v>970</v>
      </c>
      <c r="N146" s="75">
        <v>2019.0</v>
      </c>
      <c r="O146" s="71" t="s">
        <v>992</v>
      </c>
      <c r="P146" s="71" t="s">
        <v>1205</v>
      </c>
      <c r="Q146" s="71" t="s">
        <v>1206</v>
      </c>
      <c r="R146" s="195" t="s">
        <v>963</v>
      </c>
      <c r="S146" s="167" t="s">
        <v>1437</v>
      </c>
      <c r="T146" s="124" t="s">
        <v>1882</v>
      </c>
      <c r="U146" s="123"/>
      <c r="V146" s="39" t="s">
        <v>1883</v>
      </c>
      <c r="W146" s="76" t="s">
        <v>931</v>
      </c>
      <c r="X146" s="123"/>
      <c r="Y146" s="123"/>
      <c r="Z146" s="123"/>
      <c r="AA146" s="123"/>
      <c r="AB146" s="123"/>
      <c r="AC146" s="123"/>
    </row>
    <row r="147" ht="14.25" customHeight="1">
      <c r="A147" s="26" t="s">
        <v>507</v>
      </c>
      <c r="B147" s="123" t="s">
        <v>531</v>
      </c>
      <c r="C147" s="123" t="s">
        <v>532</v>
      </c>
      <c r="D147" s="193" t="s">
        <v>1884</v>
      </c>
      <c r="E147" s="194" t="s">
        <v>1457</v>
      </c>
      <c r="F147" s="123" t="s">
        <v>49</v>
      </c>
      <c r="G147" s="72" t="s">
        <v>1885</v>
      </c>
      <c r="H147" s="72"/>
      <c r="I147" s="72" t="s">
        <v>966</v>
      </c>
      <c r="J147" s="69" t="s">
        <v>1886</v>
      </c>
      <c r="K147" s="74" t="s">
        <v>1674</v>
      </c>
      <c r="L147" s="72" t="s">
        <v>1887</v>
      </c>
      <c r="M147" s="71" t="s">
        <v>1019</v>
      </c>
      <c r="N147" s="75">
        <v>2019.0</v>
      </c>
      <c r="O147" s="71" t="s">
        <v>992</v>
      </c>
      <c r="P147" s="71" t="s">
        <v>972</v>
      </c>
      <c r="Q147" s="71" t="s">
        <v>972</v>
      </c>
      <c r="R147" s="195" t="s">
        <v>1888</v>
      </c>
      <c r="S147" s="167" t="s">
        <v>1054</v>
      </c>
      <c r="T147" s="124" t="s">
        <v>1889</v>
      </c>
      <c r="U147" s="123"/>
      <c r="V147" s="39" t="s">
        <v>1890</v>
      </c>
      <c r="W147" s="76" t="s">
        <v>931</v>
      </c>
      <c r="X147" s="123"/>
      <c r="Y147" s="123"/>
      <c r="Z147" s="123"/>
      <c r="AA147" s="123"/>
      <c r="AB147" s="123"/>
      <c r="AC147" s="123"/>
    </row>
    <row r="148" ht="12.0" customHeight="1">
      <c r="A148" s="26" t="s">
        <v>507</v>
      </c>
      <c r="B148" s="123" t="s">
        <v>533</v>
      </c>
      <c r="C148" s="123" t="s">
        <v>534</v>
      </c>
      <c r="D148" s="193" t="s">
        <v>1891</v>
      </c>
      <c r="E148" s="194" t="s">
        <v>1457</v>
      </c>
      <c r="F148" s="123" t="s">
        <v>49</v>
      </c>
      <c r="G148" s="72" t="s">
        <v>1272</v>
      </c>
      <c r="H148" s="72"/>
      <c r="I148" s="72" t="s">
        <v>966</v>
      </c>
      <c r="J148" s="69" t="s">
        <v>1892</v>
      </c>
      <c r="K148" s="72" t="s">
        <v>1009</v>
      </c>
      <c r="L148" s="72" t="s">
        <v>1893</v>
      </c>
      <c r="M148" s="71" t="s">
        <v>1027</v>
      </c>
      <c r="N148" s="75">
        <v>2019.0</v>
      </c>
      <c r="O148" s="71" t="s">
        <v>992</v>
      </c>
      <c r="P148" s="71" t="s">
        <v>972</v>
      </c>
      <c r="Q148" s="71" t="s">
        <v>972</v>
      </c>
      <c r="R148" s="195" t="s">
        <v>1894</v>
      </c>
      <c r="S148" s="196" t="s">
        <v>1895</v>
      </c>
      <c r="T148" s="124" t="s">
        <v>1896</v>
      </c>
      <c r="U148" s="123"/>
      <c r="V148" s="39" t="s">
        <v>1897</v>
      </c>
      <c r="W148" s="76" t="s">
        <v>931</v>
      </c>
      <c r="X148" s="123"/>
      <c r="Y148" s="123"/>
      <c r="Z148" s="123"/>
      <c r="AA148" s="123"/>
      <c r="AB148" s="123"/>
      <c r="AC148" s="123"/>
    </row>
    <row r="149" ht="12.75" customHeight="1">
      <c r="A149" s="26" t="s">
        <v>507</v>
      </c>
      <c r="B149" s="123" t="s">
        <v>537</v>
      </c>
      <c r="C149" s="123" t="s">
        <v>538</v>
      </c>
      <c r="D149" s="193" t="s">
        <v>1898</v>
      </c>
      <c r="E149" s="194" t="s">
        <v>1457</v>
      </c>
      <c r="F149" s="123" t="s">
        <v>49</v>
      </c>
      <c r="G149" s="123" t="s">
        <v>998</v>
      </c>
      <c r="H149" s="123"/>
      <c r="I149" s="72" t="s">
        <v>162</v>
      </c>
      <c r="J149" s="67" t="s">
        <v>999</v>
      </c>
      <c r="K149" s="72" t="s">
        <v>1009</v>
      </c>
      <c r="L149" s="72" t="s">
        <v>1899</v>
      </c>
      <c r="M149" s="71" t="s">
        <v>1019</v>
      </c>
      <c r="N149" s="75">
        <v>2019.0</v>
      </c>
      <c r="O149" s="71" t="s">
        <v>992</v>
      </c>
      <c r="P149" s="71" t="s">
        <v>972</v>
      </c>
      <c r="Q149" s="71" t="s">
        <v>972</v>
      </c>
      <c r="R149" s="138"/>
      <c r="S149" s="167" t="s">
        <v>1062</v>
      </c>
      <c r="T149" s="124" t="s">
        <v>1900</v>
      </c>
      <c r="U149" s="123"/>
      <c r="V149" s="39" t="s">
        <v>1901</v>
      </c>
      <c r="W149" s="76" t="s">
        <v>931</v>
      </c>
      <c r="X149" s="72" t="s">
        <v>1902</v>
      </c>
      <c r="Y149" s="123"/>
      <c r="Z149" s="123"/>
      <c r="AA149" s="123"/>
      <c r="AB149" s="123"/>
      <c r="AC149" s="123"/>
    </row>
    <row r="150" ht="12.75" customHeight="1">
      <c r="A150" s="26" t="s">
        <v>507</v>
      </c>
      <c r="B150" s="123" t="s">
        <v>539</v>
      </c>
      <c r="C150" s="123" t="s">
        <v>540</v>
      </c>
      <c r="D150" s="193" t="s">
        <v>1903</v>
      </c>
      <c r="E150" s="194" t="s">
        <v>1457</v>
      </c>
      <c r="F150" s="123" t="s">
        <v>49</v>
      </c>
      <c r="G150" s="72" t="s">
        <v>1904</v>
      </c>
      <c r="H150" s="72"/>
      <c r="I150" s="72" t="s">
        <v>162</v>
      </c>
      <c r="J150" s="67" t="s">
        <v>1203</v>
      </c>
      <c r="K150" s="72" t="s">
        <v>989</v>
      </c>
      <c r="L150" s="72" t="s">
        <v>1501</v>
      </c>
      <c r="M150" s="71" t="s">
        <v>1172</v>
      </c>
      <c r="N150" s="75">
        <v>2019.0</v>
      </c>
      <c r="O150" s="71" t="s">
        <v>992</v>
      </c>
      <c r="P150" s="71" t="s">
        <v>1503</v>
      </c>
      <c r="Q150" s="71" t="s">
        <v>982</v>
      </c>
      <c r="R150" s="195" t="s">
        <v>963</v>
      </c>
      <c r="S150" s="167" t="s">
        <v>1054</v>
      </c>
      <c r="T150" s="124" t="s">
        <v>1905</v>
      </c>
      <c r="U150" s="123"/>
      <c r="V150" s="39" t="s">
        <v>1906</v>
      </c>
      <c r="W150" s="76" t="s">
        <v>1031</v>
      </c>
      <c r="X150" s="123"/>
      <c r="Y150" s="123"/>
      <c r="Z150" s="123"/>
      <c r="AA150" s="123"/>
      <c r="AB150" s="123"/>
      <c r="AC150" s="123"/>
    </row>
    <row r="151" ht="12.75" customHeight="1">
      <c r="A151" s="26" t="s">
        <v>507</v>
      </c>
      <c r="B151" s="123" t="s">
        <v>544</v>
      </c>
      <c r="C151" s="123" t="s">
        <v>545</v>
      </c>
      <c r="D151" s="193" t="s">
        <v>1907</v>
      </c>
      <c r="E151" s="194" t="s">
        <v>1457</v>
      </c>
      <c r="F151" s="123" t="s">
        <v>49</v>
      </c>
      <c r="G151" s="72" t="s">
        <v>1904</v>
      </c>
      <c r="H151" s="72"/>
      <c r="I151" s="72" t="s">
        <v>162</v>
      </c>
      <c r="J151" s="67" t="s">
        <v>1203</v>
      </c>
      <c r="K151" s="72" t="s">
        <v>1033</v>
      </c>
      <c r="L151" s="72" t="s">
        <v>1908</v>
      </c>
      <c r="M151" s="71" t="s">
        <v>1019</v>
      </c>
      <c r="N151" s="75">
        <v>2018.0</v>
      </c>
      <c r="O151" s="71" t="s">
        <v>1003</v>
      </c>
      <c r="P151" s="71" t="s">
        <v>972</v>
      </c>
      <c r="Q151" s="71" t="s">
        <v>972</v>
      </c>
      <c r="R151" s="195" t="s">
        <v>1894</v>
      </c>
      <c r="S151" s="167" t="s">
        <v>1909</v>
      </c>
      <c r="T151" s="124" t="s">
        <v>1910</v>
      </c>
      <c r="U151" s="123"/>
      <c r="V151" s="39" t="s">
        <v>1911</v>
      </c>
      <c r="W151" s="76" t="s">
        <v>931</v>
      </c>
      <c r="X151" s="123"/>
      <c r="Y151" s="123"/>
      <c r="Z151" s="123"/>
      <c r="AA151" s="123"/>
      <c r="AB151" s="123"/>
      <c r="AC151" s="123"/>
    </row>
    <row r="152" ht="14.25" customHeight="1">
      <c r="A152" s="26" t="s">
        <v>507</v>
      </c>
      <c r="B152" s="123" t="s">
        <v>549</v>
      </c>
      <c r="C152" s="123" t="s">
        <v>550</v>
      </c>
      <c r="D152" s="193" t="s">
        <v>1912</v>
      </c>
      <c r="E152" s="194" t="s">
        <v>1457</v>
      </c>
      <c r="F152" s="123" t="s">
        <v>49</v>
      </c>
      <c r="G152" s="72" t="s">
        <v>1913</v>
      </c>
      <c r="H152" s="72"/>
      <c r="I152" s="72" t="s">
        <v>162</v>
      </c>
      <c r="J152" s="67" t="s">
        <v>1203</v>
      </c>
      <c r="K152" s="123"/>
      <c r="L152" s="79"/>
      <c r="M152" s="71" t="s">
        <v>1027</v>
      </c>
      <c r="N152" s="75">
        <v>2022.0</v>
      </c>
      <c r="O152" s="71" t="s">
        <v>1003</v>
      </c>
      <c r="P152" s="71" t="s">
        <v>1100</v>
      </c>
      <c r="Q152" s="71" t="s">
        <v>1081</v>
      </c>
      <c r="R152" s="195" t="s">
        <v>963</v>
      </c>
      <c r="S152" s="167" t="s">
        <v>1062</v>
      </c>
      <c r="T152" s="27" t="s">
        <v>1914</v>
      </c>
      <c r="U152" s="123"/>
      <c r="V152" s="39" t="s">
        <v>1915</v>
      </c>
      <c r="W152" s="76" t="s">
        <v>1031</v>
      </c>
      <c r="X152" s="72" t="s">
        <v>1916</v>
      </c>
      <c r="Y152" s="123"/>
      <c r="Z152" s="123"/>
      <c r="AA152" s="123"/>
      <c r="AB152" s="123"/>
      <c r="AC152" s="123"/>
    </row>
    <row r="153" ht="14.25" customHeight="1">
      <c r="A153" s="26" t="s">
        <v>507</v>
      </c>
      <c r="B153" s="123" t="s">
        <v>628</v>
      </c>
      <c r="C153" s="123" t="s">
        <v>629</v>
      </c>
      <c r="D153" s="193" t="s">
        <v>1917</v>
      </c>
      <c r="E153" s="194" t="s">
        <v>1457</v>
      </c>
      <c r="F153" s="123" t="s">
        <v>49</v>
      </c>
      <c r="G153" s="72" t="s">
        <v>1918</v>
      </c>
      <c r="H153" s="72"/>
      <c r="I153" s="72" t="s">
        <v>162</v>
      </c>
      <c r="J153" s="69" t="s">
        <v>1919</v>
      </c>
      <c r="K153" s="72" t="s">
        <v>1009</v>
      </c>
      <c r="L153" s="72" t="s">
        <v>1317</v>
      </c>
      <c r="M153" s="71" t="s">
        <v>1027</v>
      </c>
      <c r="N153" s="75">
        <v>2025.0</v>
      </c>
      <c r="O153" s="71" t="s">
        <v>1354</v>
      </c>
      <c r="P153" s="71" t="s">
        <v>972</v>
      </c>
      <c r="Q153" s="71" t="s">
        <v>972</v>
      </c>
      <c r="R153" s="195" t="s">
        <v>1920</v>
      </c>
      <c r="S153" s="167" t="s">
        <v>1921</v>
      </c>
      <c r="T153" s="124" t="s">
        <v>1922</v>
      </c>
      <c r="U153" s="123"/>
      <c r="V153" s="39" t="s">
        <v>1923</v>
      </c>
      <c r="W153" s="76" t="s">
        <v>931</v>
      </c>
      <c r="X153" s="123"/>
      <c r="Y153" s="123"/>
      <c r="Z153" s="123"/>
      <c r="AA153" s="123"/>
      <c r="AB153" s="123"/>
      <c r="AC153" s="123"/>
    </row>
    <row r="154" ht="12.0" customHeight="1">
      <c r="A154" s="26" t="s">
        <v>507</v>
      </c>
      <c r="B154" s="123" t="s">
        <v>712</v>
      </c>
      <c r="C154" s="123" t="s">
        <v>713</v>
      </c>
      <c r="D154" s="197" t="s">
        <v>1924</v>
      </c>
      <c r="E154" s="194" t="s">
        <v>1457</v>
      </c>
      <c r="F154" s="123" t="s">
        <v>49</v>
      </c>
      <c r="G154" s="72" t="s">
        <v>1272</v>
      </c>
      <c r="H154" s="72"/>
      <c r="I154" s="72" t="s">
        <v>162</v>
      </c>
      <c r="J154" s="69" t="s">
        <v>1925</v>
      </c>
      <c r="K154" s="72" t="s">
        <v>1009</v>
      </c>
      <c r="L154" s="72" t="s">
        <v>1587</v>
      </c>
      <c r="M154" s="71" t="s">
        <v>1027</v>
      </c>
      <c r="N154" s="75">
        <v>2025.0</v>
      </c>
      <c r="O154" s="71" t="s">
        <v>992</v>
      </c>
      <c r="P154" s="71" t="s">
        <v>972</v>
      </c>
      <c r="Q154" s="71" t="s">
        <v>972</v>
      </c>
      <c r="R154" s="195" t="s">
        <v>1894</v>
      </c>
      <c r="S154" s="167" t="s">
        <v>1921</v>
      </c>
      <c r="T154" s="124" t="s">
        <v>1926</v>
      </c>
      <c r="U154" s="123"/>
      <c r="V154" s="39" t="s">
        <v>1927</v>
      </c>
      <c r="W154" s="76" t="s">
        <v>931</v>
      </c>
      <c r="X154" s="123"/>
      <c r="Y154" s="123"/>
      <c r="Z154" s="123"/>
      <c r="AA154" s="123"/>
      <c r="AB154" s="123"/>
      <c r="AC154" s="123"/>
    </row>
    <row r="155" ht="13.5" customHeight="1">
      <c r="A155" s="26" t="s">
        <v>507</v>
      </c>
      <c r="B155" s="123" t="s">
        <v>714</v>
      </c>
      <c r="C155" s="123" t="s">
        <v>715</v>
      </c>
      <c r="D155" s="193" t="s">
        <v>1928</v>
      </c>
      <c r="E155" s="194" t="s">
        <v>1457</v>
      </c>
      <c r="F155" s="123" t="s">
        <v>49</v>
      </c>
      <c r="G155" s="123" t="s">
        <v>1153</v>
      </c>
      <c r="H155" s="123"/>
      <c r="I155" s="72" t="s">
        <v>162</v>
      </c>
      <c r="J155" s="67" t="s">
        <v>988</v>
      </c>
      <c r="K155" s="72" t="s">
        <v>1009</v>
      </c>
      <c r="L155" s="74" t="s">
        <v>1929</v>
      </c>
      <c r="M155" s="71" t="s">
        <v>1002</v>
      </c>
      <c r="N155" s="75">
        <v>2025.0</v>
      </c>
      <c r="O155" s="71" t="s">
        <v>1610</v>
      </c>
      <c r="P155" s="71" t="s">
        <v>972</v>
      </c>
      <c r="Q155" s="71" t="s">
        <v>972</v>
      </c>
      <c r="R155" s="195" t="s">
        <v>1894</v>
      </c>
      <c r="S155" s="167" t="s">
        <v>1437</v>
      </c>
      <c r="T155" s="124" t="s">
        <v>1930</v>
      </c>
      <c r="U155" s="123"/>
      <c r="V155" s="39" t="s">
        <v>1931</v>
      </c>
      <c r="W155" s="76" t="s">
        <v>931</v>
      </c>
      <c r="X155" s="123"/>
      <c r="Y155" s="123"/>
      <c r="Z155" s="123"/>
      <c r="AA155" s="123"/>
      <c r="AB155" s="123"/>
      <c r="AC155" s="123"/>
    </row>
    <row r="156" ht="12.75" customHeight="1">
      <c r="A156" s="26" t="s">
        <v>507</v>
      </c>
      <c r="B156" s="123" t="s">
        <v>769</v>
      </c>
      <c r="C156" s="123" t="s">
        <v>770</v>
      </c>
      <c r="D156" s="193" t="s">
        <v>1932</v>
      </c>
      <c r="E156" s="194" t="s">
        <v>1457</v>
      </c>
      <c r="F156" s="123" t="s">
        <v>49</v>
      </c>
      <c r="G156" s="72" t="s">
        <v>1272</v>
      </c>
      <c r="H156" s="72"/>
      <c r="I156" s="72" t="s">
        <v>162</v>
      </c>
      <c r="J156" s="69" t="s">
        <v>1933</v>
      </c>
      <c r="K156" s="72" t="s">
        <v>1009</v>
      </c>
      <c r="L156" s="72" t="s">
        <v>1317</v>
      </c>
      <c r="M156" s="71" t="s">
        <v>1323</v>
      </c>
      <c r="N156" s="75">
        <v>2025.0</v>
      </c>
      <c r="O156" s="71" t="s">
        <v>992</v>
      </c>
      <c r="P156" s="71" t="s">
        <v>972</v>
      </c>
      <c r="Q156" s="71" t="s">
        <v>972</v>
      </c>
      <c r="R156" s="195" t="s">
        <v>1877</v>
      </c>
      <c r="S156" s="196" t="s">
        <v>1895</v>
      </c>
      <c r="T156" s="124" t="s">
        <v>1934</v>
      </c>
      <c r="U156" s="123"/>
      <c r="V156" s="39" t="s">
        <v>1935</v>
      </c>
      <c r="W156" s="76" t="s">
        <v>931</v>
      </c>
      <c r="X156" s="123"/>
      <c r="Y156" s="123"/>
      <c r="Z156" s="123"/>
      <c r="AA156" s="123"/>
      <c r="AB156" s="123"/>
      <c r="AC156" s="123"/>
    </row>
    <row r="157" ht="14.25" customHeight="1">
      <c r="A157" s="26" t="s">
        <v>507</v>
      </c>
      <c r="B157" s="123" t="s">
        <v>899</v>
      </c>
      <c r="C157" s="123" t="s">
        <v>900</v>
      </c>
      <c r="D157" s="193" t="s">
        <v>1936</v>
      </c>
      <c r="E157" s="194" t="s">
        <v>1457</v>
      </c>
      <c r="F157" s="123" t="s">
        <v>49</v>
      </c>
      <c r="G157" s="123" t="s">
        <v>1016</v>
      </c>
      <c r="H157" s="123"/>
      <c r="I157" s="72" t="s">
        <v>162</v>
      </c>
      <c r="J157" s="67" t="s">
        <v>988</v>
      </c>
      <c r="K157" s="123"/>
      <c r="L157" s="72" t="s">
        <v>1242</v>
      </c>
      <c r="M157" s="71" t="s">
        <v>1069</v>
      </c>
      <c r="N157" s="75">
        <v>2024.0</v>
      </c>
      <c r="O157" s="71" t="s">
        <v>992</v>
      </c>
      <c r="P157" s="71" t="s">
        <v>1080</v>
      </c>
      <c r="Q157" s="71" t="s">
        <v>1081</v>
      </c>
      <c r="R157" s="195" t="s">
        <v>963</v>
      </c>
      <c r="S157" s="167" t="s">
        <v>1062</v>
      </c>
      <c r="T157" s="124" t="s">
        <v>1937</v>
      </c>
      <c r="U157" s="123"/>
      <c r="V157" s="39" t="s">
        <v>1938</v>
      </c>
      <c r="W157" s="76" t="s">
        <v>1031</v>
      </c>
      <c r="X157" s="123"/>
      <c r="Y157" s="123"/>
      <c r="Z157" s="123"/>
      <c r="AA157" s="123"/>
      <c r="AB157" s="123"/>
      <c r="AC157" s="123"/>
    </row>
    <row r="158" ht="15.75" customHeight="1">
      <c r="A158" s="26" t="s">
        <v>507</v>
      </c>
      <c r="B158" s="123" t="s">
        <v>854</v>
      </c>
      <c r="C158" s="123" t="s">
        <v>855</v>
      </c>
      <c r="D158" s="197" t="s">
        <v>1939</v>
      </c>
      <c r="E158" s="194" t="s">
        <v>1457</v>
      </c>
      <c r="F158" s="123" t="s">
        <v>49</v>
      </c>
      <c r="G158" s="123" t="s">
        <v>1016</v>
      </c>
      <c r="H158" s="123"/>
      <c r="I158" s="72" t="s">
        <v>966</v>
      </c>
      <c r="J158" s="67" t="s">
        <v>988</v>
      </c>
      <c r="K158" s="72" t="s">
        <v>1940</v>
      </c>
      <c r="M158" s="71" t="s">
        <v>1098</v>
      </c>
      <c r="N158" s="75">
        <v>2024.0</v>
      </c>
      <c r="O158" s="71" t="s">
        <v>992</v>
      </c>
      <c r="P158" s="71" t="s">
        <v>972</v>
      </c>
      <c r="Q158" s="71" t="s">
        <v>972</v>
      </c>
      <c r="R158" s="195" t="s">
        <v>1894</v>
      </c>
      <c r="S158" s="167" t="s">
        <v>1921</v>
      </c>
      <c r="T158" s="124" t="s">
        <v>1941</v>
      </c>
      <c r="U158" s="123"/>
      <c r="V158" s="39" t="s">
        <v>1942</v>
      </c>
      <c r="W158" s="76" t="s">
        <v>1031</v>
      </c>
      <c r="X158" s="72" t="s">
        <v>1943</v>
      </c>
      <c r="Y158" s="123"/>
      <c r="Z158" s="123"/>
      <c r="AA158" s="123"/>
      <c r="AB158" s="123"/>
      <c r="AC158" s="123"/>
    </row>
    <row r="159" ht="17.25" customHeight="1">
      <c r="A159" s="26" t="s">
        <v>507</v>
      </c>
      <c r="B159" s="123" t="s">
        <v>668</v>
      </c>
      <c r="C159" s="123" t="s">
        <v>669</v>
      </c>
      <c r="D159" s="193" t="s">
        <v>1944</v>
      </c>
      <c r="E159" s="194" t="s">
        <v>1457</v>
      </c>
      <c r="F159" s="123" t="s">
        <v>49</v>
      </c>
      <c r="G159" s="72" t="s">
        <v>1524</v>
      </c>
      <c r="H159" s="72"/>
      <c r="I159" s="72" t="s">
        <v>966</v>
      </c>
      <c r="J159" s="69" t="s">
        <v>1945</v>
      </c>
      <c r="K159" s="72" t="s">
        <v>1120</v>
      </c>
      <c r="L159" s="26" t="s">
        <v>1844</v>
      </c>
      <c r="M159" s="71" t="s">
        <v>1027</v>
      </c>
      <c r="N159" s="75">
        <v>2025.0</v>
      </c>
      <c r="O159" s="71" t="s">
        <v>992</v>
      </c>
      <c r="P159" s="71" t="s">
        <v>972</v>
      </c>
      <c r="Q159" s="71" t="s">
        <v>972</v>
      </c>
      <c r="R159" s="195" t="s">
        <v>963</v>
      </c>
      <c r="S159" s="167" t="s">
        <v>1054</v>
      </c>
      <c r="T159" s="124" t="s">
        <v>1946</v>
      </c>
      <c r="U159" s="123"/>
      <c r="V159" s="39" t="s">
        <v>1947</v>
      </c>
      <c r="W159" s="76" t="s">
        <v>1031</v>
      </c>
      <c r="X159" s="123"/>
      <c r="Y159" s="123"/>
      <c r="Z159" s="123"/>
      <c r="AA159" s="123"/>
      <c r="AB159" s="123"/>
      <c r="AC159" s="123"/>
    </row>
    <row r="160" ht="12.75" customHeight="1">
      <c r="A160" s="117" t="s">
        <v>507</v>
      </c>
      <c r="B160" s="98" t="s">
        <v>557</v>
      </c>
      <c r="C160" s="98" t="s">
        <v>558</v>
      </c>
      <c r="D160" s="198" t="s">
        <v>1948</v>
      </c>
      <c r="E160" s="199" t="s">
        <v>1457</v>
      </c>
      <c r="F160" s="98" t="s">
        <v>559</v>
      </c>
      <c r="G160" s="98" t="s">
        <v>1949</v>
      </c>
      <c r="H160" s="98"/>
      <c r="I160" s="95" t="s">
        <v>162</v>
      </c>
      <c r="J160" s="76" t="s">
        <v>988</v>
      </c>
      <c r="K160" s="95" t="s">
        <v>1009</v>
      </c>
      <c r="L160" s="95" t="s">
        <v>1018</v>
      </c>
      <c r="M160" s="96" t="s">
        <v>1027</v>
      </c>
      <c r="N160" s="99">
        <v>2024.0</v>
      </c>
      <c r="O160" s="96" t="s">
        <v>992</v>
      </c>
      <c r="P160" s="96" t="s">
        <v>972</v>
      </c>
      <c r="Q160" s="96" t="s">
        <v>972</v>
      </c>
      <c r="R160" s="200" t="s">
        <v>963</v>
      </c>
      <c r="S160" s="170" t="s">
        <v>1921</v>
      </c>
      <c r="T160" s="201" t="s">
        <v>1950</v>
      </c>
      <c r="U160" s="98"/>
      <c r="V160" s="101" t="s">
        <v>1951</v>
      </c>
      <c r="W160" s="76" t="s">
        <v>1210</v>
      </c>
      <c r="X160" s="98"/>
      <c r="Y160" s="98"/>
      <c r="Z160" s="98"/>
      <c r="AA160" s="98"/>
      <c r="AB160" s="98"/>
      <c r="AC160" s="98"/>
    </row>
    <row r="161" ht="13.5" customHeight="1">
      <c r="A161" s="117" t="s">
        <v>507</v>
      </c>
      <c r="B161" s="98" t="s">
        <v>563</v>
      </c>
      <c r="C161" s="95" t="s">
        <v>564</v>
      </c>
      <c r="D161" s="198" t="s">
        <v>1952</v>
      </c>
      <c r="E161" s="199" t="s">
        <v>1457</v>
      </c>
      <c r="F161" s="98" t="s">
        <v>559</v>
      </c>
      <c r="G161" s="95" t="s">
        <v>987</v>
      </c>
      <c r="H161" s="95"/>
      <c r="I161" s="95" t="s">
        <v>162</v>
      </c>
      <c r="J161" s="76" t="s">
        <v>988</v>
      </c>
      <c r="K161" s="95" t="s">
        <v>1953</v>
      </c>
      <c r="L161" s="95" t="s">
        <v>1954</v>
      </c>
      <c r="M161" s="96" t="s">
        <v>1027</v>
      </c>
      <c r="N161" s="99">
        <v>2024.0</v>
      </c>
      <c r="O161" s="96" t="s">
        <v>992</v>
      </c>
      <c r="P161" s="96" t="s">
        <v>972</v>
      </c>
      <c r="Q161" s="96" t="s">
        <v>972</v>
      </c>
      <c r="R161" s="200" t="s">
        <v>963</v>
      </c>
      <c r="S161" s="170" t="s">
        <v>1437</v>
      </c>
      <c r="T161" s="201" t="s">
        <v>1955</v>
      </c>
      <c r="U161" s="98"/>
      <c r="V161" s="101" t="s">
        <v>1956</v>
      </c>
      <c r="W161" s="76" t="s">
        <v>1210</v>
      </c>
      <c r="X161" s="98"/>
      <c r="Y161" s="98"/>
      <c r="Z161" s="98"/>
      <c r="AA161" s="98"/>
      <c r="AB161" s="98"/>
      <c r="AC161" s="98"/>
    </row>
    <row r="162" ht="15.75" customHeight="1">
      <c r="A162" s="117" t="s">
        <v>507</v>
      </c>
      <c r="B162" s="98" t="s">
        <v>699</v>
      </c>
      <c r="C162" s="98" t="s">
        <v>700</v>
      </c>
      <c r="D162" s="202" t="s">
        <v>1957</v>
      </c>
      <c r="E162" s="199" t="s">
        <v>1457</v>
      </c>
      <c r="F162" s="98" t="s">
        <v>559</v>
      </c>
      <c r="G162" s="98" t="s">
        <v>1153</v>
      </c>
      <c r="H162" s="98"/>
      <c r="I162" s="95" t="s">
        <v>966</v>
      </c>
      <c r="J162" s="76" t="s">
        <v>1203</v>
      </c>
      <c r="K162" s="98" t="s">
        <v>1009</v>
      </c>
      <c r="L162" s="95" t="s">
        <v>1958</v>
      </c>
      <c r="M162" s="96" t="s">
        <v>1385</v>
      </c>
      <c r="N162" s="99">
        <v>2025.0</v>
      </c>
      <c r="O162" s="96" t="s">
        <v>1003</v>
      </c>
      <c r="P162" s="96" t="s">
        <v>1959</v>
      </c>
      <c r="Q162" s="96" t="s">
        <v>982</v>
      </c>
      <c r="R162" s="200" t="s">
        <v>963</v>
      </c>
      <c r="S162" s="170" t="s">
        <v>1960</v>
      </c>
      <c r="T162" s="201" t="s">
        <v>1961</v>
      </c>
      <c r="U162" s="98"/>
      <c r="V162" s="101" t="s">
        <v>1962</v>
      </c>
      <c r="W162" s="76" t="s">
        <v>1210</v>
      </c>
      <c r="X162" s="95"/>
      <c r="Y162" s="98"/>
      <c r="Z162" s="98"/>
      <c r="AA162" s="98"/>
      <c r="AB162" s="98"/>
      <c r="AC162" s="98"/>
    </row>
    <row r="163" ht="14.25" customHeight="1">
      <c r="A163" s="117" t="s">
        <v>507</v>
      </c>
      <c r="B163" s="98" t="s">
        <v>772</v>
      </c>
      <c r="C163" s="98" t="s">
        <v>773</v>
      </c>
      <c r="D163" s="198" t="s">
        <v>1963</v>
      </c>
      <c r="E163" s="199" t="s">
        <v>1457</v>
      </c>
      <c r="F163" s="98" t="s">
        <v>559</v>
      </c>
      <c r="G163" s="95" t="s">
        <v>1272</v>
      </c>
      <c r="H163" s="95"/>
      <c r="I163" s="95" t="s">
        <v>966</v>
      </c>
      <c r="J163" s="203" t="s">
        <v>1964</v>
      </c>
      <c r="K163" s="95" t="s">
        <v>466</v>
      </c>
      <c r="L163" s="95" t="s">
        <v>1965</v>
      </c>
      <c r="M163" s="96" t="s">
        <v>1027</v>
      </c>
      <c r="N163" s="99">
        <v>2025.0</v>
      </c>
      <c r="O163" s="96" t="s">
        <v>992</v>
      </c>
      <c r="P163" s="96" t="s">
        <v>972</v>
      </c>
      <c r="Q163" s="96" t="s">
        <v>972</v>
      </c>
      <c r="R163" s="200" t="s">
        <v>1966</v>
      </c>
      <c r="S163" s="204" t="s">
        <v>1967</v>
      </c>
      <c r="T163" s="201" t="s">
        <v>1968</v>
      </c>
      <c r="U163" s="98"/>
      <c r="V163" s="101" t="s">
        <v>1969</v>
      </c>
      <c r="W163" s="76" t="s">
        <v>931</v>
      </c>
      <c r="X163" s="98"/>
      <c r="Y163" s="98"/>
      <c r="Z163" s="98"/>
      <c r="AA163" s="98"/>
      <c r="AB163" s="98"/>
      <c r="AC163" s="98"/>
    </row>
    <row r="164" ht="16.5" customHeight="1">
      <c r="A164" s="117" t="s">
        <v>507</v>
      </c>
      <c r="B164" s="98" t="s">
        <v>886</v>
      </c>
      <c r="C164" s="98" t="s">
        <v>887</v>
      </c>
      <c r="D164" s="198" t="s">
        <v>1970</v>
      </c>
      <c r="E164" s="199" t="s">
        <v>1457</v>
      </c>
      <c r="F164" s="98" t="s">
        <v>559</v>
      </c>
      <c r="G164" s="95" t="s">
        <v>1971</v>
      </c>
      <c r="H164" s="95"/>
      <c r="I164" s="95" t="s">
        <v>162</v>
      </c>
      <c r="J164" s="76" t="s">
        <v>1203</v>
      </c>
      <c r="K164" s="95" t="s">
        <v>1649</v>
      </c>
      <c r="L164" s="95" t="s">
        <v>1972</v>
      </c>
      <c r="M164" s="96" t="s">
        <v>1973</v>
      </c>
      <c r="N164" s="99">
        <v>2018.0</v>
      </c>
      <c r="O164" s="96" t="s">
        <v>992</v>
      </c>
      <c r="P164" s="96" t="s">
        <v>1503</v>
      </c>
      <c r="Q164" s="96" t="s">
        <v>982</v>
      </c>
      <c r="R164" s="200" t="s">
        <v>963</v>
      </c>
      <c r="S164" s="170" t="s">
        <v>1974</v>
      </c>
      <c r="T164" s="201" t="s">
        <v>1975</v>
      </c>
      <c r="U164" s="98"/>
      <c r="V164" s="101" t="s">
        <v>1976</v>
      </c>
      <c r="W164" s="76" t="s">
        <v>1210</v>
      </c>
      <c r="X164" s="95"/>
      <c r="Y164" s="98"/>
      <c r="Z164" s="98"/>
      <c r="AA164" s="98"/>
      <c r="AB164" s="98"/>
      <c r="AC164" s="98"/>
    </row>
    <row r="165" ht="14.25" customHeight="1">
      <c r="A165" s="26" t="s">
        <v>507</v>
      </c>
      <c r="B165" s="123" t="s">
        <v>560</v>
      </c>
      <c r="C165" s="123" t="s">
        <v>561</v>
      </c>
      <c r="D165" s="193" t="s">
        <v>1977</v>
      </c>
      <c r="E165" s="194" t="s">
        <v>1457</v>
      </c>
      <c r="F165" s="72" t="s">
        <v>49</v>
      </c>
      <c r="G165" s="72" t="s">
        <v>1432</v>
      </c>
      <c r="H165" s="72"/>
      <c r="I165" s="72" t="s">
        <v>162</v>
      </c>
      <c r="J165" s="67" t="s">
        <v>967</v>
      </c>
      <c r="K165" s="79"/>
      <c r="L165" s="123"/>
      <c r="M165" s="71" t="s">
        <v>1027</v>
      </c>
      <c r="N165" s="75">
        <v>2024.0</v>
      </c>
      <c r="O165" s="71" t="s">
        <v>1978</v>
      </c>
      <c r="P165" s="71" t="s">
        <v>1205</v>
      </c>
      <c r="Q165" s="71" t="s">
        <v>1206</v>
      </c>
      <c r="R165" s="195" t="s">
        <v>963</v>
      </c>
      <c r="S165" s="167" t="s">
        <v>1062</v>
      </c>
      <c r="T165" s="124" t="s">
        <v>1979</v>
      </c>
      <c r="U165" s="123"/>
      <c r="V165" s="39" t="s">
        <v>1980</v>
      </c>
      <c r="W165" s="76" t="s">
        <v>1031</v>
      </c>
      <c r="X165" s="123"/>
      <c r="Y165" s="123"/>
      <c r="Z165" s="123"/>
      <c r="AA165" s="123"/>
      <c r="AB165" s="123"/>
      <c r="AC165" s="123"/>
    </row>
    <row r="166" ht="14.25" customHeight="1">
      <c r="A166" s="26" t="s">
        <v>507</v>
      </c>
      <c r="B166" s="123" t="s">
        <v>566</v>
      </c>
      <c r="C166" s="123" t="s">
        <v>567</v>
      </c>
      <c r="D166" s="193" t="s">
        <v>1981</v>
      </c>
      <c r="E166" s="194" t="s">
        <v>1457</v>
      </c>
      <c r="F166" s="72" t="s">
        <v>49</v>
      </c>
      <c r="G166" s="72" t="s">
        <v>1971</v>
      </c>
      <c r="H166" s="72"/>
      <c r="I166" s="72" t="s">
        <v>966</v>
      </c>
      <c r="J166" s="67" t="s">
        <v>1067</v>
      </c>
      <c r="K166" s="124" t="s">
        <v>1009</v>
      </c>
      <c r="L166" s="74" t="s">
        <v>1982</v>
      </c>
      <c r="M166" s="71" t="s">
        <v>1425</v>
      </c>
      <c r="N166" s="75">
        <v>2023.0</v>
      </c>
      <c r="O166" s="71" t="s">
        <v>980</v>
      </c>
      <c r="P166" s="71" t="s">
        <v>972</v>
      </c>
      <c r="Q166" s="71" t="s">
        <v>972</v>
      </c>
      <c r="R166" s="195" t="s">
        <v>963</v>
      </c>
      <c r="S166" s="167" t="s">
        <v>1437</v>
      </c>
      <c r="T166" s="124" t="s">
        <v>1983</v>
      </c>
      <c r="U166" s="123"/>
      <c r="V166" s="39" t="s">
        <v>1984</v>
      </c>
      <c r="W166" s="76" t="s">
        <v>931</v>
      </c>
      <c r="X166" s="123"/>
      <c r="Y166" s="123"/>
      <c r="Z166" s="123"/>
      <c r="AA166" s="123"/>
      <c r="AB166" s="123"/>
      <c r="AC166" s="123"/>
    </row>
    <row r="167" ht="14.25" customHeight="1">
      <c r="A167" s="117" t="s">
        <v>507</v>
      </c>
      <c r="B167" s="95" t="s">
        <v>1985</v>
      </c>
      <c r="C167" s="205" t="s">
        <v>1986</v>
      </c>
      <c r="D167" s="198" t="s">
        <v>1987</v>
      </c>
      <c r="E167" s="199" t="s">
        <v>1210</v>
      </c>
      <c r="F167" s="98" t="s">
        <v>559</v>
      </c>
      <c r="G167" s="95" t="s">
        <v>1988</v>
      </c>
      <c r="H167" s="95"/>
      <c r="I167" s="95" t="s">
        <v>162</v>
      </c>
      <c r="J167" s="76" t="s">
        <v>1203</v>
      </c>
      <c r="K167" s="206" t="s">
        <v>1989</v>
      </c>
      <c r="L167" s="137" t="s">
        <v>998</v>
      </c>
      <c r="M167" s="96" t="s">
        <v>1027</v>
      </c>
      <c r="N167" s="99">
        <v>2025.0</v>
      </c>
      <c r="O167" s="96" t="s">
        <v>1990</v>
      </c>
      <c r="P167" s="96" t="s">
        <v>1991</v>
      </c>
      <c r="Q167" s="96" t="s">
        <v>1206</v>
      </c>
      <c r="R167" s="200" t="s">
        <v>963</v>
      </c>
      <c r="S167" s="170" t="s">
        <v>1992</v>
      </c>
      <c r="T167" s="201" t="s">
        <v>1993</v>
      </c>
      <c r="U167" s="98"/>
      <c r="V167" s="101" t="s">
        <v>1994</v>
      </c>
      <c r="W167" s="76" t="s">
        <v>1210</v>
      </c>
      <c r="X167" s="98"/>
      <c r="Y167" s="98"/>
      <c r="Z167" s="98"/>
      <c r="AA167" s="98"/>
      <c r="AB167" s="98"/>
      <c r="AC167" s="98"/>
    </row>
    <row r="168" ht="18.0" customHeight="1">
      <c r="A168" s="117" t="s">
        <v>507</v>
      </c>
      <c r="B168" s="95" t="s">
        <v>1995</v>
      </c>
      <c r="C168" s="205" t="s">
        <v>1996</v>
      </c>
      <c r="D168" s="198" t="s">
        <v>1997</v>
      </c>
      <c r="E168" s="199" t="s">
        <v>1210</v>
      </c>
      <c r="F168" s="98" t="s">
        <v>559</v>
      </c>
      <c r="G168" s="95" t="s">
        <v>978</v>
      </c>
      <c r="H168" s="95"/>
      <c r="I168" s="117" t="s">
        <v>978</v>
      </c>
      <c r="J168" s="76" t="s">
        <v>1203</v>
      </c>
      <c r="K168" s="95" t="s">
        <v>1998</v>
      </c>
      <c r="L168" s="137" t="s">
        <v>1999</v>
      </c>
      <c r="M168" s="96" t="s">
        <v>1027</v>
      </c>
      <c r="N168" s="99">
        <v>2025.0</v>
      </c>
      <c r="O168" s="96" t="s">
        <v>620</v>
      </c>
      <c r="P168" s="96" t="s">
        <v>1991</v>
      </c>
      <c r="Q168" s="96" t="s">
        <v>1206</v>
      </c>
      <c r="R168" s="200" t="s">
        <v>963</v>
      </c>
      <c r="S168" s="170" t="s">
        <v>1921</v>
      </c>
      <c r="T168" s="201" t="s">
        <v>2000</v>
      </c>
      <c r="U168" s="98"/>
      <c r="V168" s="101" t="s">
        <v>2001</v>
      </c>
      <c r="W168" s="76" t="s">
        <v>1210</v>
      </c>
      <c r="X168" s="98"/>
      <c r="Y168" s="98"/>
      <c r="Z168" s="98"/>
      <c r="AA168" s="98"/>
      <c r="AB168" s="98"/>
      <c r="AC168" s="98"/>
    </row>
    <row r="169" ht="17.25" customHeight="1">
      <c r="A169" s="117" t="s">
        <v>507</v>
      </c>
      <c r="B169" s="95" t="s">
        <v>2002</v>
      </c>
      <c r="C169" s="207" t="s">
        <v>2003</v>
      </c>
      <c r="D169" s="198" t="s">
        <v>2004</v>
      </c>
      <c r="E169" s="199" t="s">
        <v>1210</v>
      </c>
      <c r="F169" s="98" t="s">
        <v>559</v>
      </c>
      <c r="G169" s="95" t="s">
        <v>978</v>
      </c>
      <c r="H169" s="95"/>
      <c r="I169" s="95" t="s">
        <v>966</v>
      </c>
      <c r="J169" s="76" t="s">
        <v>1067</v>
      </c>
      <c r="K169" s="206" t="s">
        <v>979</v>
      </c>
      <c r="L169" s="137" t="s">
        <v>1417</v>
      </c>
      <c r="M169" s="96" t="s">
        <v>1027</v>
      </c>
      <c r="N169" s="99">
        <v>2025.0</v>
      </c>
      <c r="O169" s="96" t="s">
        <v>1582</v>
      </c>
      <c r="P169" s="96" t="s">
        <v>1991</v>
      </c>
      <c r="Q169" s="96" t="s">
        <v>1206</v>
      </c>
      <c r="R169" s="200" t="s">
        <v>963</v>
      </c>
      <c r="S169" s="170" t="s">
        <v>1062</v>
      </c>
      <c r="T169" s="201" t="s">
        <v>2005</v>
      </c>
      <c r="U169" s="95" t="s">
        <v>2006</v>
      </c>
      <c r="V169" s="101" t="s">
        <v>2007</v>
      </c>
      <c r="W169" s="76" t="s">
        <v>1210</v>
      </c>
      <c r="X169" s="98"/>
      <c r="Y169" s="98"/>
      <c r="Z169" s="98"/>
      <c r="AA169" s="98"/>
      <c r="AB169" s="98"/>
      <c r="AC169" s="98"/>
    </row>
    <row r="170" ht="16.5" customHeight="1">
      <c r="A170" s="152" t="s">
        <v>261</v>
      </c>
      <c r="B170" s="153" t="s">
        <v>415</v>
      </c>
      <c r="C170" s="153" t="s">
        <v>416</v>
      </c>
      <c r="D170" s="208" t="s">
        <v>2008</v>
      </c>
      <c r="E170" s="152" t="s">
        <v>1457</v>
      </c>
      <c r="F170" s="153" t="s">
        <v>49</v>
      </c>
      <c r="G170" s="152" t="s">
        <v>987</v>
      </c>
      <c r="H170" s="152"/>
      <c r="I170" s="152" t="s">
        <v>1038</v>
      </c>
      <c r="J170" s="151" t="s">
        <v>1039</v>
      </c>
      <c r="K170" s="209" t="s">
        <v>1333</v>
      </c>
      <c r="L170" s="209" t="s">
        <v>2009</v>
      </c>
      <c r="M170" s="189" t="s">
        <v>1027</v>
      </c>
      <c r="N170" s="150">
        <v>2022.0</v>
      </c>
      <c r="O170" s="189" t="s">
        <v>992</v>
      </c>
      <c r="P170" s="189" t="s">
        <v>972</v>
      </c>
      <c r="Q170" s="189" t="s">
        <v>972</v>
      </c>
      <c r="R170" s="151" t="s">
        <v>1481</v>
      </c>
      <c r="S170" s="210" t="s">
        <v>1895</v>
      </c>
      <c r="T170" s="210" t="s">
        <v>2010</v>
      </c>
      <c r="U170" s="153"/>
      <c r="V170" s="154" t="s">
        <v>2011</v>
      </c>
      <c r="W170" s="76" t="s">
        <v>931</v>
      </c>
      <c r="X170" s="153"/>
      <c r="Y170" s="37"/>
      <c r="Z170" s="37"/>
      <c r="AA170" s="37"/>
      <c r="AB170" s="37"/>
      <c r="AC170" s="37"/>
    </row>
    <row r="171" ht="14.25" customHeight="1">
      <c r="A171" s="26" t="s">
        <v>261</v>
      </c>
      <c r="B171" s="37" t="s">
        <v>424</v>
      </c>
      <c r="C171" s="37" t="s">
        <v>425</v>
      </c>
      <c r="D171" s="139" t="s">
        <v>2012</v>
      </c>
      <c r="E171" s="26" t="s">
        <v>1457</v>
      </c>
      <c r="F171" s="37" t="s">
        <v>49</v>
      </c>
      <c r="G171" s="211" t="s">
        <v>2013</v>
      </c>
      <c r="H171" s="26"/>
      <c r="I171" s="72" t="s">
        <v>966</v>
      </c>
      <c r="J171" s="212" t="s">
        <v>2014</v>
      </c>
      <c r="K171" s="74" t="s">
        <v>466</v>
      </c>
      <c r="L171" s="74" t="s">
        <v>2015</v>
      </c>
      <c r="M171" s="71" t="s">
        <v>1019</v>
      </c>
      <c r="N171" s="75">
        <v>2022.0</v>
      </c>
      <c r="O171" s="71" t="s">
        <v>992</v>
      </c>
      <c r="P171" s="71" t="s">
        <v>972</v>
      </c>
      <c r="Q171" s="71" t="s">
        <v>972</v>
      </c>
      <c r="R171" s="67" t="s">
        <v>1280</v>
      </c>
      <c r="S171" s="211" t="s">
        <v>1054</v>
      </c>
      <c r="T171" s="213" t="s">
        <v>2016</v>
      </c>
      <c r="U171" s="37"/>
      <c r="V171" s="39" t="s">
        <v>2017</v>
      </c>
      <c r="W171" s="76" t="s">
        <v>1031</v>
      </c>
      <c r="X171" s="37"/>
      <c r="Y171" s="37"/>
      <c r="Z171" s="37"/>
      <c r="AA171" s="37"/>
      <c r="AB171" s="37"/>
      <c r="AC171" s="37"/>
    </row>
    <row r="172" ht="15.0" customHeight="1">
      <c r="A172" s="26" t="s">
        <v>261</v>
      </c>
      <c r="B172" s="37" t="s">
        <v>258</v>
      </c>
      <c r="C172" s="37" t="s">
        <v>259</v>
      </c>
      <c r="D172" s="214" t="s">
        <v>2018</v>
      </c>
      <c r="E172" s="26" t="s">
        <v>1457</v>
      </c>
      <c r="F172" s="37" t="s">
        <v>49</v>
      </c>
      <c r="G172" s="211" t="s">
        <v>1432</v>
      </c>
      <c r="H172" s="26"/>
      <c r="I172" s="72" t="s">
        <v>966</v>
      </c>
      <c r="J172" s="67" t="s">
        <v>1203</v>
      </c>
      <c r="K172" s="74" t="s">
        <v>1009</v>
      </c>
      <c r="L172" s="74" t="s">
        <v>2019</v>
      </c>
      <c r="M172" s="71" t="s">
        <v>1366</v>
      </c>
      <c r="N172" s="75">
        <v>2024.0</v>
      </c>
      <c r="O172" s="71" t="s">
        <v>2020</v>
      </c>
      <c r="P172" s="71" t="s">
        <v>981</v>
      </c>
      <c r="Q172" s="71" t="s">
        <v>982</v>
      </c>
      <c r="R172" s="67" t="s">
        <v>963</v>
      </c>
      <c r="S172" s="211" t="s">
        <v>1054</v>
      </c>
      <c r="T172" s="213" t="s">
        <v>2021</v>
      </c>
      <c r="U172" s="37"/>
      <c r="V172" s="39" t="s">
        <v>2022</v>
      </c>
      <c r="W172" s="76" t="s">
        <v>1031</v>
      </c>
      <c r="X172" s="37"/>
      <c r="Y172" s="37"/>
      <c r="Z172" s="37"/>
      <c r="AA172" s="37"/>
      <c r="AB172" s="37"/>
      <c r="AC172" s="37"/>
    </row>
    <row r="173" ht="14.25" customHeight="1">
      <c r="A173" s="26" t="s">
        <v>261</v>
      </c>
      <c r="B173" s="215" t="s">
        <v>262</v>
      </c>
      <c r="C173" s="215" t="s">
        <v>263</v>
      </c>
      <c r="D173" s="216" t="s">
        <v>2023</v>
      </c>
      <c r="E173" s="28" t="s">
        <v>1457</v>
      </c>
      <c r="F173" s="215" t="s">
        <v>49</v>
      </c>
      <c r="G173" s="217" t="s">
        <v>1112</v>
      </c>
      <c r="H173" s="28"/>
      <c r="I173" s="28" t="s">
        <v>162</v>
      </c>
      <c r="J173" s="212" t="s">
        <v>2024</v>
      </c>
      <c r="K173" s="91" t="s">
        <v>1247</v>
      </c>
      <c r="L173" s="91" t="s">
        <v>2025</v>
      </c>
      <c r="M173" s="88" t="s">
        <v>1027</v>
      </c>
      <c r="N173" s="75">
        <v>2024.0</v>
      </c>
      <c r="O173" s="71" t="s">
        <v>992</v>
      </c>
      <c r="P173" s="71" t="s">
        <v>972</v>
      </c>
      <c r="Q173" s="71" t="s">
        <v>972</v>
      </c>
      <c r="R173" s="77" t="s">
        <v>1280</v>
      </c>
      <c r="S173" s="217" t="s">
        <v>1921</v>
      </c>
      <c r="T173" s="218" t="s">
        <v>1930</v>
      </c>
      <c r="U173" s="215"/>
      <c r="V173" s="39" t="s">
        <v>2026</v>
      </c>
      <c r="W173" s="76" t="s">
        <v>1031</v>
      </c>
      <c r="X173" s="37"/>
      <c r="Y173" s="37"/>
      <c r="Z173" s="37"/>
      <c r="AA173" s="37"/>
      <c r="AB173" s="37"/>
      <c r="AC173" s="37"/>
    </row>
    <row r="174" ht="14.25" customHeight="1">
      <c r="A174" s="26" t="s">
        <v>261</v>
      </c>
      <c r="B174" s="37" t="s">
        <v>479</v>
      </c>
      <c r="C174" s="37" t="s">
        <v>480</v>
      </c>
      <c r="D174" s="214" t="s">
        <v>2027</v>
      </c>
      <c r="E174" s="26" t="s">
        <v>1457</v>
      </c>
      <c r="F174" s="37" t="s">
        <v>49</v>
      </c>
      <c r="G174" s="26" t="s">
        <v>1293</v>
      </c>
      <c r="H174" s="26"/>
      <c r="I174" s="26" t="s">
        <v>162</v>
      </c>
      <c r="J174" s="212" t="s">
        <v>2028</v>
      </c>
      <c r="K174" s="74" t="s">
        <v>1009</v>
      </c>
      <c r="L174" s="74" t="s">
        <v>2029</v>
      </c>
      <c r="M174" s="71" t="s">
        <v>1011</v>
      </c>
      <c r="N174" s="75">
        <v>2021.0</v>
      </c>
      <c r="O174" s="71" t="s">
        <v>992</v>
      </c>
      <c r="P174" s="71" t="s">
        <v>972</v>
      </c>
      <c r="Q174" s="71" t="s">
        <v>972</v>
      </c>
      <c r="R174" s="67" t="s">
        <v>1280</v>
      </c>
      <c r="S174" s="211" t="s">
        <v>1639</v>
      </c>
      <c r="T174" s="213" t="s">
        <v>2030</v>
      </c>
      <c r="U174" s="37"/>
      <c r="V174" s="39" t="s">
        <v>2031</v>
      </c>
      <c r="W174" s="76" t="s">
        <v>931</v>
      </c>
      <c r="X174" s="37"/>
      <c r="Y174" s="37"/>
      <c r="Z174" s="37"/>
      <c r="AA174" s="37"/>
      <c r="AB174" s="37"/>
      <c r="AC174" s="37"/>
    </row>
    <row r="175" ht="15.0" customHeight="1">
      <c r="A175" s="26" t="s">
        <v>261</v>
      </c>
      <c r="B175" s="37" t="s">
        <v>482</v>
      </c>
      <c r="C175" s="37" t="s">
        <v>483</v>
      </c>
      <c r="D175" s="214" t="s">
        <v>2032</v>
      </c>
      <c r="E175" s="26" t="s">
        <v>1457</v>
      </c>
      <c r="F175" s="37" t="s">
        <v>49</v>
      </c>
      <c r="G175" s="26" t="s">
        <v>1272</v>
      </c>
      <c r="H175" s="26"/>
      <c r="I175" s="26" t="s">
        <v>162</v>
      </c>
      <c r="J175" s="69" t="s">
        <v>2033</v>
      </c>
      <c r="K175" s="74" t="s">
        <v>1247</v>
      </c>
      <c r="L175" s="74" t="s">
        <v>1018</v>
      </c>
      <c r="M175" s="71" t="s">
        <v>1027</v>
      </c>
      <c r="N175" s="75">
        <v>2021.0</v>
      </c>
      <c r="O175" s="71" t="s">
        <v>992</v>
      </c>
      <c r="P175" s="71" t="s">
        <v>972</v>
      </c>
      <c r="Q175" s="71" t="s">
        <v>972</v>
      </c>
      <c r="R175" s="67" t="s">
        <v>1280</v>
      </c>
      <c r="S175" s="211" t="s">
        <v>1921</v>
      </c>
      <c r="T175" s="213" t="s">
        <v>1930</v>
      </c>
      <c r="U175" s="37"/>
      <c r="V175" s="39" t="s">
        <v>2034</v>
      </c>
      <c r="W175" s="76" t="s">
        <v>1031</v>
      </c>
      <c r="X175" s="37"/>
      <c r="Y175" s="37"/>
      <c r="Z175" s="37"/>
      <c r="AA175" s="37"/>
      <c r="AB175" s="37"/>
      <c r="AC175" s="37"/>
    </row>
    <row r="176" ht="15.75" customHeight="1">
      <c r="A176" s="26" t="s">
        <v>261</v>
      </c>
      <c r="B176" s="37" t="s">
        <v>318</v>
      </c>
      <c r="C176" s="26" t="s">
        <v>319</v>
      </c>
      <c r="D176" s="139" t="s">
        <v>2035</v>
      </c>
      <c r="E176" s="26" t="s">
        <v>1457</v>
      </c>
      <c r="F176" s="37" t="s">
        <v>49</v>
      </c>
      <c r="G176" s="26" t="s">
        <v>162</v>
      </c>
      <c r="H176" s="26"/>
      <c r="I176" s="26" t="s">
        <v>162</v>
      </c>
      <c r="J176" s="67" t="s">
        <v>988</v>
      </c>
      <c r="K176" s="74"/>
      <c r="L176" s="74" t="s">
        <v>2036</v>
      </c>
      <c r="M176" s="71" t="s">
        <v>1019</v>
      </c>
      <c r="N176" s="75">
        <v>2024.0</v>
      </c>
      <c r="O176" s="71" t="s">
        <v>992</v>
      </c>
      <c r="P176" s="71" t="s">
        <v>1205</v>
      </c>
      <c r="Q176" s="71" t="s">
        <v>1206</v>
      </c>
      <c r="R176" s="67" t="s">
        <v>963</v>
      </c>
      <c r="S176" s="211" t="s">
        <v>2037</v>
      </c>
      <c r="T176" s="213" t="s">
        <v>1872</v>
      </c>
      <c r="U176" s="37"/>
      <c r="V176" s="39" t="s">
        <v>2038</v>
      </c>
      <c r="W176" s="76" t="s">
        <v>931</v>
      </c>
      <c r="X176" s="37"/>
      <c r="Y176" s="37"/>
      <c r="Z176" s="37"/>
      <c r="AA176" s="37"/>
      <c r="AB176" s="37"/>
      <c r="AC176" s="37"/>
    </row>
    <row r="177" ht="15.75" customHeight="1">
      <c r="A177" s="26" t="s">
        <v>261</v>
      </c>
      <c r="B177" s="37" t="s">
        <v>334</v>
      </c>
      <c r="C177" s="37" t="s">
        <v>335</v>
      </c>
      <c r="D177" s="214" t="s">
        <v>2039</v>
      </c>
      <c r="E177" s="26" t="s">
        <v>1457</v>
      </c>
      <c r="F177" s="26" t="s">
        <v>49</v>
      </c>
      <c r="G177" s="26" t="s">
        <v>162</v>
      </c>
      <c r="H177" s="26"/>
      <c r="I177" s="26" t="s">
        <v>162</v>
      </c>
      <c r="J177" s="67" t="s">
        <v>988</v>
      </c>
      <c r="K177" s="74" t="s">
        <v>1009</v>
      </c>
      <c r="L177" s="74" t="s">
        <v>2040</v>
      </c>
      <c r="M177" s="71" t="s">
        <v>2041</v>
      </c>
      <c r="N177" s="75">
        <v>2023.0</v>
      </c>
      <c r="O177" s="71" t="s">
        <v>992</v>
      </c>
      <c r="P177" s="71" t="s">
        <v>972</v>
      </c>
      <c r="Q177" s="71" t="s">
        <v>972</v>
      </c>
      <c r="R177" s="67" t="s">
        <v>1533</v>
      </c>
      <c r="S177" s="211" t="s">
        <v>1062</v>
      </c>
      <c r="T177" s="213" t="s">
        <v>1889</v>
      </c>
      <c r="U177" s="37"/>
      <c r="V177" s="39" t="s">
        <v>2042</v>
      </c>
      <c r="W177" s="76" t="s">
        <v>931</v>
      </c>
      <c r="X177" s="37"/>
      <c r="Y177" s="37"/>
      <c r="Z177" s="37"/>
      <c r="AA177" s="37"/>
      <c r="AB177" s="37"/>
      <c r="AC177" s="37"/>
    </row>
    <row r="178" ht="12.75" customHeight="1">
      <c r="A178" s="26" t="s">
        <v>261</v>
      </c>
      <c r="B178" s="37" t="s">
        <v>339</v>
      </c>
      <c r="C178" s="37" t="s">
        <v>340</v>
      </c>
      <c r="D178" s="214" t="s">
        <v>2043</v>
      </c>
      <c r="E178" s="26" t="s">
        <v>1457</v>
      </c>
      <c r="F178" s="26" t="s">
        <v>49</v>
      </c>
      <c r="G178" s="26" t="s">
        <v>1432</v>
      </c>
      <c r="H178" s="26"/>
      <c r="I178" s="72" t="s">
        <v>966</v>
      </c>
      <c r="J178" s="67" t="s">
        <v>1203</v>
      </c>
      <c r="K178" s="74" t="s">
        <v>2044</v>
      </c>
      <c r="L178" s="79"/>
      <c r="M178" s="71" t="s">
        <v>2045</v>
      </c>
      <c r="N178" s="75">
        <v>2023.0</v>
      </c>
      <c r="O178" s="71" t="s">
        <v>980</v>
      </c>
      <c r="P178" s="71" t="s">
        <v>2046</v>
      </c>
      <c r="Q178" s="71" t="s">
        <v>972</v>
      </c>
      <c r="R178" s="67" t="s">
        <v>963</v>
      </c>
      <c r="S178" s="211" t="s">
        <v>1921</v>
      </c>
      <c r="T178" s="213" t="s">
        <v>2047</v>
      </c>
      <c r="U178" s="37"/>
      <c r="V178" s="39" t="s">
        <v>2048</v>
      </c>
      <c r="W178" s="76" t="s">
        <v>931</v>
      </c>
      <c r="X178" s="37"/>
      <c r="Y178" s="37"/>
      <c r="Z178" s="37"/>
      <c r="AA178" s="37"/>
      <c r="AB178" s="37"/>
      <c r="AC178" s="37"/>
    </row>
    <row r="179" ht="12.75" customHeight="1">
      <c r="A179" s="26" t="s">
        <v>261</v>
      </c>
      <c r="B179" s="26" t="s">
        <v>759</v>
      </c>
      <c r="C179" s="26" t="s">
        <v>760</v>
      </c>
      <c r="D179" s="219" t="s">
        <v>2049</v>
      </c>
      <c r="E179" s="26" t="s">
        <v>1457</v>
      </c>
      <c r="F179" s="37" t="s">
        <v>49</v>
      </c>
      <c r="G179" s="26" t="s">
        <v>1214</v>
      </c>
      <c r="H179" s="26"/>
      <c r="I179" s="26" t="s">
        <v>162</v>
      </c>
      <c r="J179" s="67" t="s">
        <v>999</v>
      </c>
      <c r="K179" s="74" t="s">
        <v>1223</v>
      </c>
      <c r="L179" s="74" t="s">
        <v>2050</v>
      </c>
      <c r="M179" s="71" t="s">
        <v>1019</v>
      </c>
      <c r="N179" s="75">
        <v>2025.0</v>
      </c>
      <c r="O179" s="71" t="s">
        <v>1610</v>
      </c>
      <c r="P179" s="71" t="s">
        <v>972</v>
      </c>
      <c r="Q179" s="71" t="s">
        <v>972</v>
      </c>
      <c r="R179" s="67" t="s">
        <v>963</v>
      </c>
      <c r="S179" s="211" t="s">
        <v>1639</v>
      </c>
      <c r="T179" s="213" t="s">
        <v>2051</v>
      </c>
      <c r="U179" s="37"/>
      <c r="V179" s="39" t="s">
        <v>2052</v>
      </c>
      <c r="W179" s="76" t="s">
        <v>1031</v>
      </c>
      <c r="X179" s="37"/>
      <c r="Y179" s="37"/>
      <c r="Z179" s="37"/>
      <c r="AA179" s="37"/>
      <c r="AB179" s="37"/>
      <c r="AC179" s="37"/>
    </row>
    <row r="180" ht="12.75" customHeight="1">
      <c r="A180" s="26" t="s">
        <v>261</v>
      </c>
      <c r="B180" s="26" t="s">
        <v>762</v>
      </c>
      <c r="C180" s="26" t="s">
        <v>763</v>
      </c>
      <c r="D180" s="214" t="s">
        <v>2053</v>
      </c>
      <c r="E180" s="26" t="s">
        <v>1457</v>
      </c>
      <c r="F180" s="37" t="s">
        <v>49</v>
      </c>
      <c r="G180" s="26" t="s">
        <v>987</v>
      </c>
      <c r="H180" s="26"/>
      <c r="I180" s="26" t="s">
        <v>162</v>
      </c>
      <c r="J180" s="67" t="s">
        <v>988</v>
      </c>
      <c r="K180" s="74" t="s">
        <v>1145</v>
      </c>
      <c r="L180" s="74" t="s">
        <v>1299</v>
      </c>
      <c r="M180" s="71" t="s">
        <v>1456</v>
      </c>
      <c r="N180" s="75">
        <v>2025.0</v>
      </c>
      <c r="O180" s="71" t="s">
        <v>992</v>
      </c>
      <c r="P180" s="71" t="s">
        <v>972</v>
      </c>
      <c r="Q180" s="71" t="s">
        <v>972</v>
      </c>
      <c r="R180" s="67" t="s">
        <v>1280</v>
      </c>
      <c r="S180" s="211" t="s">
        <v>1921</v>
      </c>
      <c r="T180" s="27" t="s">
        <v>2054</v>
      </c>
      <c r="U180" s="37"/>
      <c r="V180" s="39" t="s">
        <v>2055</v>
      </c>
      <c r="W180" s="76" t="s">
        <v>931</v>
      </c>
      <c r="X180" s="37"/>
      <c r="Y180" s="37"/>
      <c r="Z180" s="37"/>
      <c r="AA180" s="37"/>
      <c r="AB180" s="37"/>
      <c r="AC180" s="37"/>
    </row>
    <row r="181" ht="13.5" customHeight="1">
      <c r="A181" s="26" t="s">
        <v>261</v>
      </c>
      <c r="B181" s="26" t="s">
        <v>765</v>
      </c>
      <c r="C181" s="26" t="s">
        <v>766</v>
      </c>
      <c r="D181" s="214" t="s">
        <v>2056</v>
      </c>
      <c r="E181" s="26" t="s">
        <v>1457</v>
      </c>
      <c r="F181" s="26" t="s">
        <v>49</v>
      </c>
      <c r="G181" s="26" t="s">
        <v>2057</v>
      </c>
      <c r="H181" s="26"/>
      <c r="I181" s="26" t="s">
        <v>162</v>
      </c>
      <c r="J181" s="67" t="s">
        <v>2058</v>
      </c>
      <c r="K181" s="79" t="s">
        <v>979</v>
      </c>
      <c r="L181" s="74" t="s">
        <v>2059</v>
      </c>
      <c r="M181" s="71" t="s">
        <v>2041</v>
      </c>
      <c r="N181" s="75">
        <v>2025.0</v>
      </c>
      <c r="O181" s="71" t="s">
        <v>1610</v>
      </c>
      <c r="P181" s="71" t="s">
        <v>1020</v>
      </c>
      <c r="Q181" s="71" t="s">
        <v>1021</v>
      </c>
      <c r="R181" s="67" t="s">
        <v>963</v>
      </c>
      <c r="S181" s="211" t="s">
        <v>1921</v>
      </c>
      <c r="T181" s="213" t="s">
        <v>2060</v>
      </c>
      <c r="U181" s="37"/>
      <c r="V181" s="39" t="s">
        <v>2061</v>
      </c>
      <c r="W181" s="76" t="s">
        <v>931</v>
      </c>
      <c r="X181" s="37"/>
      <c r="Y181" s="37"/>
      <c r="Z181" s="37"/>
      <c r="AA181" s="37"/>
      <c r="AB181" s="37"/>
      <c r="AC181" s="37"/>
    </row>
    <row r="182" ht="15.0" customHeight="1">
      <c r="A182" s="26" t="s">
        <v>261</v>
      </c>
      <c r="B182" s="220" t="s">
        <v>812</v>
      </c>
      <c r="C182" s="220" t="s">
        <v>813</v>
      </c>
      <c r="D182" s="221" t="s">
        <v>2062</v>
      </c>
      <c r="E182" s="26" t="s">
        <v>1457</v>
      </c>
      <c r="F182" s="37" t="s">
        <v>49</v>
      </c>
      <c r="G182" s="26" t="s">
        <v>978</v>
      </c>
      <c r="H182" s="26"/>
      <c r="I182" s="72" t="s">
        <v>966</v>
      </c>
      <c r="J182" s="67" t="s">
        <v>1203</v>
      </c>
      <c r="K182" s="74" t="s">
        <v>1120</v>
      </c>
      <c r="L182" s="74" t="s">
        <v>2063</v>
      </c>
      <c r="M182" s="71" t="s">
        <v>1027</v>
      </c>
      <c r="N182" s="75">
        <v>2025.0</v>
      </c>
      <c r="O182" s="71" t="s">
        <v>1003</v>
      </c>
      <c r="P182" s="71" t="s">
        <v>972</v>
      </c>
      <c r="Q182" s="71" t="s">
        <v>972</v>
      </c>
      <c r="R182" s="67" t="s">
        <v>1280</v>
      </c>
      <c r="S182" s="211" t="s">
        <v>1967</v>
      </c>
      <c r="T182" s="27" t="s">
        <v>2064</v>
      </c>
      <c r="U182" s="37"/>
      <c r="V182" s="39" t="s">
        <v>2065</v>
      </c>
      <c r="W182" s="76" t="s">
        <v>931</v>
      </c>
      <c r="X182" s="37"/>
      <c r="Y182" s="37"/>
      <c r="Z182" s="37"/>
      <c r="AA182" s="37"/>
      <c r="AB182" s="37"/>
      <c r="AC182" s="37"/>
    </row>
    <row r="183" ht="12.75" customHeight="1">
      <c r="A183" s="26" t="s">
        <v>261</v>
      </c>
      <c r="B183" s="220" t="s">
        <v>814</v>
      </c>
      <c r="C183" s="220" t="s">
        <v>815</v>
      </c>
      <c r="D183" s="221" t="s">
        <v>2066</v>
      </c>
      <c r="E183" s="26" t="s">
        <v>1457</v>
      </c>
      <c r="F183" s="37" t="s">
        <v>49</v>
      </c>
      <c r="G183" s="26" t="s">
        <v>1293</v>
      </c>
      <c r="H183" s="26"/>
      <c r="I183" s="26" t="s">
        <v>162</v>
      </c>
      <c r="J183" s="212" t="s">
        <v>2067</v>
      </c>
      <c r="K183" s="74" t="s">
        <v>1009</v>
      </c>
      <c r="L183" s="74" t="s">
        <v>2068</v>
      </c>
      <c r="M183" s="71" t="s">
        <v>1027</v>
      </c>
      <c r="N183" s="75">
        <v>2025.0</v>
      </c>
      <c r="O183" s="71" t="s">
        <v>992</v>
      </c>
      <c r="P183" s="71" t="s">
        <v>972</v>
      </c>
      <c r="Q183" s="71" t="s">
        <v>972</v>
      </c>
      <c r="R183" s="67" t="s">
        <v>1280</v>
      </c>
      <c r="S183" s="211" t="s">
        <v>1921</v>
      </c>
      <c r="T183" s="213" t="s">
        <v>1889</v>
      </c>
      <c r="U183" s="37"/>
      <c r="V183" s="39" t="s">
        <v>2069</v>
      </c>
      <c r="W183" s="76" t="s">
        <v>931</v>
      </c>
      <c r="X183" s="37"/>
      <c r="Y183" s="37"/>
      <c r="Z183" s="37"/>
      <c r="AA183" s="37"/>
      <c r="AB183" s="37"/>
      <c r="AC183" s="37"/>
    </row>
    <row r="184" ht="15.75" customHeight="1">
      <c r="A184" s="117" t="s">
        <v>261</v>
      </c>
      <c r="B184" s="222" t="s">
        <v>817</v>
      </c>
      <c r="C184" s="222" t="s">
        <v>818</v>
      </c>
      <c r="D184" s="223" t="s">
        <v>2070</v>
      </c>
      <c r="E184" s="117" t="s">
        <v>1457</v>
      </c>
      <c r="F184" s="224" t="s">
        <v>559</v>
      </c>
      <c r="G184" s="117" t="s">
        <v>2071</v>
      </c>
      <c r="H184" s="117"/>
      <c r="I184" s="117" t="s">
        <v>162</v>
      </c>
      <c r="J184" s="76" t="s">
        <v>1067</v>
      </c>
      <c r="K184" s="137" t="s">
        <v>1649</v>
      </c>
      <c r="L184" s="137" t="s">
        <v>2072</v>
      </c>
      <c r="M184" s="96" t="s">
        <v>2073</v>
      </c>
      <c r="N184" s="99">
        <v>2025.0</v>
      </c>
      <c r="O184" s="96" t="s">
        <v>992</v>
      </c>
      <c r="P184" s="96" t="s">
        <v>1503</v>
      </c>
      <c r="Q184" s="96" t="s">
        <v>982</v>
      </c>
      <c r="R184" s="76" t="s">
        <v>963</v>
      </c>
      <c r="S184" s="224" t="s">
        <v>1062</v>
      </c>
      <c r="T184" s="225" t="s">
        <v>2074</v>
      </c>
      <c r="U184" s="118"/>
      <c r="V184" s="101" t="s">
        <v>2075</v>
      </c>
      <c r="W184" s="76" t="s">
        <v>931</v>
      </c>
      <c r="X184" s="224" t="s">
        <v>2076</v>
      </c>
      <c r="Y184" s="118"/>
      <c r="Z184" s="118"/>
      <c r="AA184" s="118"/>
      <c r="AB184" s="118"/>
      <c r="AC184" s="118"/>
    </row>
    <row r="185" ht="12.75" customHeight="1">
      <c r="A185" s="26" t="s">
        <v>261</v>
      </c>
      <c r="B185" s="220" t="s">
        <v>821</v>
      </c>
      <c r="C185" s="220" t="s">
        <v>822</v>
      </c>
      <c r="D185" s="221" t="s">
        <v>2077</v>
      </c>
      <c r="E185" s="211" t="s">
        <v>1457</v>
      </c>
      <c r="F185" s="37" t="s">
        <v>49</v>
      </c>
      <c r="G185" s="26" t="s">
        <v>987</v>
      </c>
      <c r="H185" s="211"/>
      <c r="I185" s="26" t="s">
        <v>162</v>
      </c>
      <c r="J185" s="67" t="s">
        <v>988</v>
      </c>
      <c r="K185" s="74" t="s">
        <v>1009</v>
      </c>
      <c r="L185" s="74" t="s">
        <v>2078</v>
      </c>
      <c r="M185" s="71" t="s">
        <v>1027</v>
      </c>
      <c r="N185" s="75">
        <v>2025.0</v>
      </c>
      <c r="O185" s="71" t="s">
        <v>992</v>
      </c>
      <c r="P185" s="71" t="s">
        <v>972</v>
      </c>
      <c r="Q185" s="71" t="s">
        <v>972</v>
      </c>
      <c r="R185" s="67" t="s">
        <v>1136</v>
      </c>
      <c r="S185" s="213" t="s">
        <v>2079</v>
      </c>
      <c r="T185" s="213" t="s">
        <v>2080</v>
      </c>
      <c r="U185" s="37"/>
      <c r="V185" s="39" t="s">
        <v>2081</v>
      </c>
      <c r="W185" s="76" t="s">
        <v>931</v>
      </c>
      <c r="X185" s="37"/>
      <c r="Y185" s="71" t="s">
        <v>2082</v>
      </c>
      <c r="Z185" s="37"/>
      <c r="AA185" s="37"/>
      <c r="AB185" s="37"/>
      <c r="AC185" s="37"/>
    </row>
    <row r="186" ht="15.75" customHeight="1">
      <c r="A186" s="26" t="s">
        <v>261</v>
      </c>
      <c r="B186" s="220" t="s">
        <v>840</v>
      </c>
      <c r="C186" s="220" t="s">
        <v>841</v>
      </c>
      <c r="D186" s="221" t="s">
        <v>2083</v>
      </c>
      <c r="E186" s="26" t="s">
        <v>1457</v>
      </c>
      <c r="F186" s="37" t="s">
        <v>49</v>
      </c>
      <c r="G186" s="26" t="s">
        <v>987</v>
      </c>
      <c r="H186" s="26"/>
      <c r="I186" s="26" t="s">
        <v>162</v>
      </c>
      <c r="J186" s="67" t="s">
        <v>988</v>
      </c>
      <c r="K186" s="74" t="s">
        <v>1009</v>
      </c>
      <c r="L186" s="74" t="s">
        <v>2084</v>
      </c>
      <c r="M186" s="71" t="s">
        <v>1027</v>
      </c>
      <c r="N186" s="75">
        <v>2025.0</v>
      </c>
      <c r="O186" s="71" t="s">
        <v>992</v>
      </c>
      <c r="P186" s="71" t="s">
        <v>972</v>
      </c>
      <c r="Q186" s="71" t="s">
        <v>972</v>
      </c>
      <c r="R186" s="67" t="s">
        <v>1136</v>
      </c>
      <c r="S186" s="211" t="s">
        <v>1062</v>
      </c>
      <c r="T186" s="213" t="s">
        <v>2085</v>
      </c>
      <c r="U186" s="37"/>
      <c r="V186" s="39" t="s">
        <v>2086</v>
      </c>
      <c r="W186" s="76" t="s">
        <v>1031</v>
      </c>
      <c r="X186" s="37"/>
      <c r="Y186" s="226">
        <f>COUNTIF($I:$I,"simulation")</f>
        <v>129</v>
      </c>
      <c r="Z186" s="37"/>
      <c r="AA186" s="37"/>
      <c r="AB186" s="37"/>
      <c r="AC186" s="37"/>
    </row>
    <row r="187" ht="13.5" customHeight="1">
      <c r="A187" s="26" t="s">
        <v>261</v>
      </c>
      <c r="B187" s="220" t="s">
        <v>848</v>
      </c>
      <c r="C187" s="220" t="s">
        <v>849</v>
      </c>
      <c r="D187" s="221" t="s">
        <v>2087</v>
      </c>
      <c r="E187" s="26" t="s">
        <v>1457</v>
      </c>
      <c r="F187" s="37" t="s">
        <v>49</v>
      </c>
      <c r="G187" s="26" t="s">
        <v>2088</v>
      </c>
      <c r="H187" s="26"/>
      <c r="I187" s="26" t="s">
        <v>162</v>
      </c>
      <c r="J187" s="212" t="s">
        <v>2089</v>
      </c>
      <c r="K187" s="74" t="s">
        <v>1009</v>
      </c>
      <c r="L187" s="74" t="s">
        <v>2090</v>
      </c>
      <c r="M187" s="71" t="s">
        <v>1027</v>
      </c>
      <c r="N187" s="75">
        <v>2025.0</v>
      </c>
      <c r="O187" s="71" t="s">
        <v>2091</v>
      </c>
      <c r="P187" s="71" t="s">
        <v>972</v>
      </c>
      <c r="Q187" s="71" t="s">
        <v>972</v>
      </c>
      <c r="R187" s="67" t="s">
        <v>2092</v>
      </c>
      <c r="S187" s="227" t="s">
        <v>1921</v>
      </c>
      <c r="T187" s="27" t="s">
        <v>2093</v>
      </c>
      <c r="U187" s="220"/>
      <c r="V187" s="39" t="s">
        <v>2094</v>
      </c>
      <c r="W187" s="76" t="s">
        <v>931</v>
      </c>
      <c r="X187" s="37"/>
      <c r="Y187" s="226"/>
      <c r="Z187" s="37"/>
      <c r="AA187" s="37"/>
      <c r="AB187" s="37"/>
      <c r="AC187" s="37"/>
    </row>
    <row r="188" ht="14.25" customHeight="1">
      <c r="A188" s="26" t="s">
        <v>261</v>
      </c>
      <c r="B188" s="26" t="s">
        <v>851</v>
      </c>
      <c r="C188" s="26" t="s">
        <v>852</v>
      </c>
      <c r="D188" s="122" t="s">
        <v>2095</v>
      </c>
      <c r="E188" s="26" t="s">
        <v>1457</v>
      </c>
      <c r="F188" s="37" t="s">
        <v>49</v>
      </c>
      <c r="G188" s="26" t="s">
        <v>987</v>
      </c>
      <c r="H188" s="26"/>
      <c r="I188" s="26" t="s">
        <v>162</v>
      </c>
      <c r="J188" s="67" t="s">
        <v>988</v>
      </c>
      <c r="K188" s="74" t="s">
        <v>1009</v>
      </c>
      <c r="L188" s="74" t="s">
        <v>2096</v>
      </c>
      <c r="M188" s="71" t="s">
        <v>1027</v>
      </c>
      <c r="N188" s="75">
        <v>2025.0</v>
      </c>
      <c r="O188" s="71" t="s">
        <v>992</v>
      </c>
      <c r="P188" s="71" t="s">
        <v>972</v>
      </c>
      <c r="Q188" s="71" t="s">
        <v>972</v>
      </c>
      <c r="R188" s="67" t="s">
        <v>1280</v>
      </c>
      <c r="S188" s="26" t="s">
        <v>1921</v>
      </c>
      <c r="T188" s="27" t="s">
        <v>2097</v>
      </c>
      <c r="V188" s="39" t="s">
        <v>2098</v>
      </c>
      <c r="W188" s="76" t="s">
        <v>1031</v>
      </c>
      <c r="Y188" s="226"/>
    </row>
    <row r="189" ht="14.25" customHeight="1">
      <c r="A189" s="26" t="s">
        <v>261</v>
      </c>
      <c r="B189" s="26" t="s">
        <v>896</v>
      </c>
      <c r="C189" s="26" t="s">
        <v>897</v>
      </c>
      <c r="D189" s="122" t="s">
        <v>2099</v>
      </c>
      <c r="E189" s="26" t="s">
        <v>1457</v>
      </c>
      <c r="F189" s="26" t="s">
        <v>49</v>
      </c>
      <c r="G189" s="26" t="s">
        <v>1185</v>
      </c>
      <c r="H189" s="26"/>
      <c r="I189" s="26" t="s">
        <v>162</v>
      </c>
      <c r="J189" s="67" t="s">
        <v>988</v>
      </c>
      <c r="K189" s="74" t="s">
        <v>1089</v>
      </c>
      <c r="L189" s="74" t="s">
        <v>2100</v>
      </c>
      <c r="M189" s="71" t="s">
        <v>1069</v>
      </c>
      <c r="N189" s="75">
        <v>2024.0</v>
      </c>
      <c r="O189" s="71" t="s">
        <v>992</v>
      </c>
      <c r="P189" s="71" t="s">
        <v>972</v>
      </c>
      <c r="Q189" s="71" t="s">
        <v>972</v>
      </c>
      <c r="R189" s="67" t="s">
        <v>963</v>
      </c>
      <c r="S189" s="26" t="s">
        <v>1967</v>
      </c>
      <c r="T189" s="27" t="s">
        <v>2101</v>
      </c>
      <c r="V189" s="39" t="s">
        <v>2102</v>
      </c>
      <c r="W189" s="76" t="s">
        <v>931</v>
      </c>
      <c r="Y189" s="226"/>
    </row>
    <row r="190" ht="13.5" customHeight="1">
      <c r="A190" s="28" t="s">
        <v>261</v>
      </c>
      <c r="B190" s="82" t="s">
        <v>2103</v>
      </c>
      <c r="C190" s="82" t="s">
        <v>2104</v>
      </c>
      <c r="D190" s="228" t="s">
        <v>2105</v>
      </c>
      <c r="E190" s="229" t="s">
        <v>1210</v>
      </c>
      <c r="F190" s="178" t="s">
        <v>47</v>
      </c>
      <c r="G190" s="230" t="s">
        <v>2106</v>
      </c>
      <c r="H190" s="230"/>
      <c r="I190" s="72" t="s">
        <v>966</v>
      </c>
      <c r="J190" s="177" t="s">
        <v>2107</v>
      </c>
      <c r="K190" s="229" t="s">
        <v>2108</v>
      </c>
      <c r="L190" s="87" t="s">
        <v>2109</v>
      </c>
      <c r="M190" s="88" t="s">
        <v>2110</v>
      </c>
      <c r="N190" s="92">
        <v>2026.0</v>
      </c>
      <c r="O190" s="88" t="s">
        <v>1003</v>
      </c>
      <c r="P190" s="231" t="s">
        <v>1728</v>
      </c>
      <c r="Q190" s="231" t="s">
        <v>1728</v>
      </c>
      <c r="R190" s="177" t="s">
        <v>2111</v>
      </c>
      <c r="S190" s="178" t="s">
        <v>1062</v>
      </c>
      <c r="T190" s="232" t="s">
        <v>2112</v>
      </c>
      <c r="U190" s="87" t="s">
        <v>2113</v>
      </c>
      <c r="V190" s="42" t="s">
        <v>2114</v>
      </c>
      <c r="W190" s="76" t="s">
        <v>931</v>
      </c>
      <c r="X190" s="87"/>
      <c r="Y190" s="226"/>
      <c r="Z190" s="215"/>
      <c r="AA190" s="215"/>
      <c r="AB190" s="215"/>
      <c r="AC190" s="215"/>
    </row>
    <row r="191" ht="12.0" customHeight="1">
      <c r="A191" s="28" t="s">
        <v>261</v>
      </c>
      <c r="B191" s="82" t="s">
        <v>2115</v>
      </c>
      <c r="C191" s="82" t="s">
        <v>2116</v>
      </c>
      <c r="D191" s="233" t="s">
        <v>2117</v>
      </c>
      <c r="E191" s="230" t="s">
        <v>931</v>
      </c>
      <c r="F191" s="178" t="s">
        <v>47</v>
      </c>
      <c r="G191" s="229" t="s">
        <v>2118</v>
      </c>
      <c r="H191" s="229"/>
      <c r="I191" s="229" t="s">
        <v>162</v>
      </c>
      <c r="J191" s="177" t="s">
        <v>988</v>
      </c>
      <c r="K191" s="229" t="s">
        <v>1009</v>
      </c>
      <c r="L191" s="229" t="s">
        <v>2119</v>
      </c>
      <c r="M191" s="88" t="s">
        <v>1002</v>
      </c>
      <c r="N191" s="234">
        <v>2025.0</v>
      </c>
      <c r="O191" s="231" t="s">
        <v>971</v>
      </c>
      <c r="P191" s="231" t="s">
        <v>972</v>
      </c>
      <c r="Q191" s="231" t="s">
        <v>972</v>
      </c>
      <c r="R191" s="177" t="s">
        <v>963</v>
      </c>
      <c r="S191" s="178" t="s">
        <v>1921</v>
      </c>
      <c r="T191" s="27" t="s">
        <v>2120</v>
      </c>
      <c r="U191" s="87" t="s">
        <v>2121</v>
      </c>
      <c r="V191" s="42" t="s">
        <v>2122</v>
      </c>
      <c r="W191" s="76" t="s">
        <v>931</v>
      </c>
      <c r="X191" s="87"/>
      <c r="Y191" s="226"/>
      <c r="Z191" s="215"/>
      <c r="AA191" s="215"/>
      <c r="AB191" s="215"/>
      <c r="AC191" s="215"/>
    </row>
    <row r="192" ht="12.75" customHeight="1">
      <c r="A192" s="26" t="s">
        <v>261</v>
      </c>
      <c r="B192" s="195" t="s">
        <v>2123</v>
      </c>
      <c r="C192" s="195" t="s">
        <v>2124</v>
      </c>
      <c r="D192" s="235" t="s">
        <v>2125</v>
      </c>
      <c r="E192" s="27" t="s">
        <v>931</v>
      </c>
      <c r="F192" s="167" t="s">
        <v>49</v>
      </c>
      <c r="G192" s="27" t="s">
        <v>2126</v>
      </c>
      <c r="H192" s="27"/>
      <c r="I192" s="27" t="s">
        <v>162</v>
      </c>
      <c r="J192" s="138" t="s">
        <v>988</v>
      </c>
      <c r="K192" s="124" t="s">
        <v>1009</v>
      </c>
      <c r="L192" s="236" t="s">
        <v>2127</v>
      </c>
      <c r="M192" s="71" t="s">
        <v>1027</v>
      </c>
      <c r="N192" s="75">
        <v>2026.0</v>
      </c>
      <c r="O192" s="157" t="s">
        <v>992</v>
      </c>
      <c r="P192" s="157" t="s">
        <v>972</v>
      </c>
      <c r="Q192" s="157" t="s">
        <v>972</v>
      </c>
      <c r="R192" s="138" t="s">
        <v>963</v>
      </c>
      <c r="S192" s="167" t="s">
        <v>1921</v>
      </c>
      <c r="T192" s="196" t="s">
        <v>2128</v>
      </c>
      <c r="U192" s="72" t="s">
        <v>2129</v>
      </c>
      <c r="V192" s="39" t="s">
        <v>2130</v>
      </c>
      <c r="W192" s="76" t="s">
        <v>1031</v>
      </c>
      <c r="X192" s="72"/>
      <c r="Y192" s="226"/>
    </row>
    <row r="193" ht="15.75" customHeight="1">
      <c r="A193" s="26" t="s">
        <v>261</v>
      </c>
      <c r="B193" s="195" t="s">
        <v>2131</v>
      </c>
      <c r="C193" s="195" t="s">
        <v>2132</v>
      </c>
      <c r="D193" s="235" t="s">
        <v>2133</v>
      </c>
      <c r="E193" s="124" t="s">
        <v>1210</v>
      </c>
      <c r="F193" s="167" t="s">
        <v>49</v>
      </c>
      <c r="G193" s="124" t="s">
        <v>2134</v>
      </c>
      <c r="H193" s="124"/>
      <c r="I193" s="124" t="s">
        <v>966</v>
      </c>
      <c r="J193" s="138" t="s">
        <v>2135</v>
      </c>
      <c r="K193" s="124" t="s">
        <v>1674</v>
      </c>
      <c r="L193" s="26" t="s">
        <v>2136</v>
      </c>
      <c r="M193" s="71" t="s">
        <v>1323</v>
      </c>
      <c r="N193" s="75">
        <v>2026.0</v>
      </c>
      <c r="O193" s="157" t="s">
        <v>1436</v>
      </c>
      <c r="P193" s="157" t="s">
        <v>972</v>
      </c>
      <c r="Q193" s="157" t="s">
        <v>972</v>
      </c>
      <c r="R193" s="138" t="s">
        <v>2137</v>
      </c>
      <c r="S193" s="167" t="s">
        <v>1921</v>
      </c>
      <c r="T193" s="196" t="s">
        <v>2138</v>
      </c>
      <c r="U193" s="72" t="s">
        <v>2129</v>
      </c>
      <c r="V193" s="39" t="s">
        <v>2139</v>
      </c>
      <c r="W193" s="76" t="s">
        <v>931</v>
      </c>
      <c r="X193" s="72"/>
      <c r="Y193" s="226"/>
    </row>
    <row r="194" ht="15.0" customHeight="1">
      <c r="A194" s="26" t="s">
        <v>261</v>
      </c>
      <c r="B194" s="195" t="s">
        <v>2140</v>
      </c>
      <c r="C194" s="195" t="s">
        <v>2141</v>
      </c>
      <c r="D194" s="237" t="s">
        <v>2142</v>
      </c>
      <c r="E194" s="124" t="s">
        <v>1210</v>
      </c>
      <c r="F194" s="167" t="s">
        <v>49</v>
      </c>
      <c r="G194" s="124" t="s">
        <v>2143</v>
      </c>
      <c r="H194" s="124"/>
      <c r="I194" s="124" t="s">
        <v>162</v>
      </c>
      <c r="J194" s="138" t="s">
        <v>1203</v>
      </c>
      <c r="K194" s="124" t="s">
        <v>2144</v>
      </c>
      <c r="L194" s="238" t="s">
        <v>998</v>
      </c>
      <c r="M194" s="71" t="s">
        <v>1002</v>
      </c>
      <c r="N194" s="75">
        <v>2025.0</v>
      </c>
      <c r="O194" s="157" t="s">
        <v>1436</v>
      </c>
      <c r="P194" s="71" t="s">
        <v>1080</v>
      </c>
      <c r="Q194" s="71" t="s">
        <v>1081</v>
      </c>
      <c r="R194" s="138" t="s">
        <v>963</v>
      </c>
      <c r="S194" s="167" t="s">
        <v>1062</v>
      </c>
      <c r="T194" s="196" t="s">
        <v>2145</v>
      </c>
      <c r="U194" s="123"/>
      <c r="V194" s="39" t="s">
        <v>2146</v>
      </c>
      <c r="W194" s="76" t="s">
        <v>1031</v>
      </c>
      <c r="X194" s="72"/>
      <c r="Y194" s="226"/>
    </row>
    <row r="195" ht="17.25" customHeight="1">
      <c r="A195" s="26" t="s">
        <v>261</v>
      </c>
      <c r="B195" s="195" t="s">
        <v>2147</v>
      </c>
      <c r="C195" s="195" t="s">
        <v>2148</v>
      </c>
      <c r="D195" s="235" t="s">
        <v>2149</v>
      </c>
      <c r="E195" s="27" t="s">
        <v>931</v>
      </c>
      <c r="F195" s="167" t="s">
        <v>49</v>
      </c>
      <c r="G195" s="124" t="s">
        <v>2150</v>
      </c>
      <c r="H195" s="124"/>
      <c r="I195" s="124" t="s">
        <v>1038</v>
      </c>
      <c r="J195" s="138" t="s">
        <v>1039</v>
      </c>
      <c r="K195" s="72" t="s">
        <v>1009</v>
      </c>
      <c r="L195" s="124" t="s">
        <v>2151</v>
      </c>
      <c r="M195" s="71" t="s">
        <v>1027</v>
      </c>
      <c r="N195" s="75">
        <v>2025.0</v>
      </c>
      <c r="O195" s="157" t="s">
        <v>1610</v>
      </c>
      <c r="P195" s="71" t="s">
        <v>2046</v>
      </c>
      <c r="Q195" s="71" t="s">
        <v>982</v>
      </c>
      <c r="R195" s="138" t="s">
        <v>2152</v>
      </c>
      <c r="S195" s="167" t="s">
        <v>2153</v>
      </c>
      <c r="T195" s="196" t="s">
        <v>1889</v>
      </c>
      <c r="U195" s="123"/>
      <c r="V195" s="39" t="s">
        <v>2154</v>
      </c>
      <c r="W195" s="76" t="s">
        <v>1031</v>
      </c>
      <c r="X195" s="72"/>
      <c r="Y195" s="226"/>
    </row>
    <row r="196" ht="16.5" customHeight="1">
      <c r="A196" s="26" t="s">
        <v>261</v>
      </c>
      <c r="B196" s="195" t="s">
        <v>2155</v>
      </c>
      <c r="C196" s="195" t="s">
        <v>2156</v>
      </c>
      <c r="D196" s="235" t="s">
        <v>2157</v>
      </c>
      <c r="E196" s="124" t="s">
        <v>1210</v>
      </c>
      <c r="F196" s="167" t="s">
        <v>49</v>
      </c>
      <c r="G196" s="27" t="s">
        <v>2158</v>
      </c>
      <c r="H196" s="27"/>
      <c r="I196" s="124" t="s">
        <v>966</v>
      </c>
      <c r="J196" s="138" t="s">
        <v>988</v>
      </c>
      <c r="K196" s="236" t="s">
        <v>1009</v>
      </c>
      <c r="L196" s="236" t="s">
        <v>2159</v>
      </c>
      <c r="M196" s="71" t="s">
        <v>2041</v>
      </c>
      <c r="N196" s="75">
        <v>2025.0</v>
      </c>
      <c r="O196" s="157" t="s">
        <v>992</v>
      </c>
      <c r="P196" s="157" t="s">
        <v>2160</v>
      </c>
      <c r="Q196" s="157" t="s">
        <v>982</v>
      </c>
      <c r="R196" s="138" t="s">
        <v>963</v>
      </c>
      <c r="S196" s="167" t="s">
        <v>1062</v>
      </c>
      <c r="T196" s="196" t="s">
        <v>2161</v>
      </c>
      <c r="U196" s="123"/>
      <c r="V196" s="39" t="s">
        <v>2162</v>
      </c>
      <c r="W196" s="76" t="s">
        <v>1031</v>
      </c>
      <c r="X196" s="72"/>
    </row>
    <row r="197" ht="15.0" customHeight="1">
      <c r="A197" s="26" t="s">
        <v>261</v>
      </c>
      <c r="B197" s="195" t="s">
        <v>2163</v>
      </c>
      <c r="C197" s="195" t="s">
        <v>2164</v>
      </c>
      <c r="D197" s="235" t="s">
        <v>2165</v>
      </c>
      <c r="E197" s="27" t="s">
        <v>931</v>
      </c>
      <c r="F197" s="167" t="s">
        <v>47</v>
      </c>
      <c r="G197" s="27" t="s">
        <v>2166</v>
      </c>
      <c r="H197" s="27"/>
      <c r="I197" s="124" t="s">
        <v>966</v>
      </c>
      <c r="J197" s="138" t="s">
        <v>1203</v>
      </c>
      <c r="K197" s="124" t="s">
        <v>1674</v>
      </c>
      <c r="L197" s="72" t="s">
        <v>2167</v>
      </c>
      <c r="M197" s="71" t="s">
        <v>1027</v>
      </c>
      <c r="N197" s="75">
        <v>2025.0</v>
      </c>
      <c r="O197" s="157" t="s">
        <v>2168</v>
      </c>
      <c r="P197" s="157" t="s">
        <v>972</v>
      </c>
      <c r="Q197" s="157" t="s">
        <v>972</v>
      </c>
      <c r="R197" s="138" t="s">
        <v>963</v>
      </c>
      <c r="S197" s="167" t="s">
        <v>1921</v>
      </c>
      <c r="T197" s="196" t="s">
        <v>2169</v>
      </c>
      <c r="U197" s="123"/>
      <c r="V197" s="39" t="s">
        <v>2170</v>
      </c>
      <c r="W197" s="76" t="s">
        <v>931</v>
      </c>
      <c r="X197" s="72" t="s">
        <v>2171</v>
      </c>
    </row>
    <row r="198" ht="15.0" customHeight="1">
      <c r="A198" s="117" t="s">
        <v>261</v>
      </c>
      <c r="B198" s="200" t="s">
        <v>2172</v>
      </c>
      <c r="C198" s="200" t="s">
        <v>2173</v>
      </c>
      <c r="D198" s="239" t="s">
        <v>2174</v>
      </c>
      <c r="E198" s="240" t="s">
        <v>931</v>
      </c>
      <c r="F198" s="170" t="s">
        <v>559</v>
      </c>
      <c r="G198" s="201" t="s">
        <v>2175</v>
      </c>
      <c r="H198" s="201"/>
      <c r="I198" s="201" t="s">
        <v>162</v>
      </c>
      <c r="J198" s="241" t="s">
        <v>988</v>
      </c>
      <c r="K198" s="137" t="s">
        <v>466</v>
      </c>
      <c r="L198" s="242" t="s">
        <v>1417</v>
      </c>
      <c r="M198" s="96" t="s">
        <v>1027</v>
      </c>
      <c r="N198" s="99">
        <v>2025.0</v>
      </c>
      <c r="O198" s="159" t="s">
        <v>1354</v>
      </c>
      <c r="P198" s="159" t="s">
        <v>2176</v>
      </c>
      <c r="Q198" s="159" t="s">
        <v>1021</v>
      </c>
      <c r="R198" s="241" t="s">
        <v>963</v>
      </c>
      <c r="S198" s="170" t="s">
        <v>2177</v>
      </c>
      <c r="T198" s="204" t="s">
        <v>2138</v>
      </c>
      <c r="U198" s="98"/>
      <c r="V198" s="101" t="s">
        <v>2178</v>
      </c>
      <c r="W198" s="76" t="s">
        <v>1210</v>
      </c>
      <c r="X198" s="95"/>
      <c r="Y198" s="118"/>
      <c r="Z198" s="118"/>
      <c r="AA198" s="118"/>
      <c r="AB198" s="118"/>
      <c r="AC198" s="118"/>
    </row>
    <row r="199" ht="13.5" customHeight="1">
      <c r="A199" s="117" t="s">
        <v>261</v>
      </c>
      <c r="B199" s="200" t="s">
        <v>2179</v>
      </c>
      <c r="C199" s="200" t="s">
        <v>2180</v>
      </c>
      <c r="D199" s="239" t="s">
        <v>2181</v>
      </c>
      <c r="E199" s="240" t="s">
        <v>931</v>
      </c>
      <c r="F199" s="170" t="s">
        <v>559</v>
      </c>
      <c r="G199" s="240" t="s">
        <v>2182</v>
      </c>
      <c r="H199" s="240"/>
      <c r="I199" s="243" t="s">
        <v>966</v>
      </c>
      <c r="J199" s="241" t="s">
        <v>1067</v>
      </c>
      <c r="K199" s="242" t="s">
        <v>2183</v>
      </c>
      <c r="L199" s="242" t="s">
        <v>2184</v>
      </c>
      <c r="M199" s="96" t="s">
        <v>1340</v>
      </c>
      <c r="N199" s="99">
        <v>2025.0</v>
      </c>
      <c r="O199" s="159" t="s">
        <v>992</v>
      </c>
      <c r="P199" s="159" t="s">
        <v>1020</v>
      </c>
      <c r="Q199" s="159" t="s">
        <v>1021</v>
      </c>
      <c r="R199" s="241" t="s">
        <v>963</v>
      </c>
      <c r="S199" s="170" t="s">
        <v>1062</v>
      </c>
      <c r="T199" s="204" t="s">
        <v>2185</v>
      </c>
      <c r="U199" s="98"/>
      <c r="V199" s="101" t="s">
        <v>2186</v>
      </c>
      <c r="W199" s="76" t="s">
        <v>1210</v>
      </c>
      <c r="X199" s="95"/>
      <c r="Y199" s="118"/>
      <c r="Z199" s="118"/>
      <c r="AA199" s="118"/>
      <c r="AB199" s="118"/>
      <c r="AC199" s="118"/>
    </row>
    <row r="200" ht="15.0" customHeight="1">
      <c r="A200" s="117" t="s">
        <v>261</v>
      </c>
      <c r="B200" s="200" t="s">
        <v>2187</v>
      </c>
      <c r="C200" s="200" t="s">
        <v>2188</v>
      </c>
      <c r="D200" s="239" t="s">
        <v>2189</v>
      </c>
      <c r="E200" s="240" t="s">
        <v>931</v>
      </c>
      <c r="F200" s="170" t="s">
        <v>559</v>
      </c>
      <c r="G200" s="240" t="s">
        <v>2190</v>
      </c>
      <c r="H200" s="240"/>
      <c r="I200" s="117" t="s">
        <v>978</v>
      </c>
      <c r="J200" s="241" t="s">
        <v>1203</v>
      </c>
      <c r="K200" s="242"/>
      <c r="L200" s="137"/>
      <c r="M200" s="96" t="s">
        <v>1069</v>
      </c>
      <c r="N200" s="99">
        <v>2025.0</v>
      </c>
      <c r="O200" s="159" t="s">
        <v>2191</v>
      </c>
      <c r="P200" s="159" t="s">
        <v>2192</v>
      </c>
      <c r="Q200" s="159" t="s">
        <v>1206</v>
      </c>
      <c r="R200" s="241" t="s">
        <v>963</v>
      </c>
      <c r="S200" s="170" t="s">
        <v>1062</v>
      </c>
      <c r="T200" s="204" t="s">
        <v>2193</v>
      </c>
      <c r="U200" s="95" t="s">
        <v>2194</v>
      </c>
      <c r="V200" s="101" t="s">
        <v>2195</v>
      </c>
      <c r="W200" s="76" t="s">
        <v>931</v>
      </c>
      <c r="X200" s="95"/>
      <c r="Y200" s="118"/>
      <c r="Z200" s="118"/>
      <c r="AA200" s="118"/>
      <c r="AB200" s="118"/>
      <c r="AC200" s="118"/>
    </row>
    <row r="201" ht="15.0" customHeight="1">
      <c r="A201" s="26" t="s">
        <v>261</v>
      </c>
      <c r="B201" s="195" t="s">
        <v>2196</v>
      </c>
      <c r="C201" s="195" t="s">
        <v>2197</v>
      </c>
      <c r="D201" s="235" t="s">
        <v>2198</v>
      </c>
      <c r="E201" s="124" t="s">
        <v>1210</v>
      </c>
      <c r="F201" s="167" t="s">
        <v>49</v>
      </c>
      <c r="G201" s="27" t="s">
        <v>2199</v>
      </c>
      <c r="H201" s="27"/>
      <c r="I201" s="27" t="s">
        <v>162</v>
      </c>
      <c r="J201" s="138" t="s">
        <v>988</v>
      </c>
      <c r="K201" s="74" t="s">
        <v>2200</v>
      </c>
      <c r="L201" s="74" t="s">
        <v>2201</v>
      </c>
      <c r="M201" s="71" t="s">
        <v>1027</v>
      </c>
      <c r="N201" s="75">
        <v>2025.0</v>
      </c>
      <c r="O201" s="157" t="s">
        <v>992</v>
      </c>
      <c r="P201" s="157" t="s">
        <v>1503</v>
      </c>
      <c r="Q201" s="157" t="s">
        <v>982</v>
      </c>
      <c r="R201" s="138" t="s">
        <v>963</v>
      </c>
      <c r="S201" s="167" t="s">
        <v>2202</v>
      </c>
      <c r="T201" s="196" t="s">
        <v>2203</v>
      </c>
      <c r="U201" s="123"/>
      <c r="V201" s="39" t="s">
        <v>2204</v>
      </c>
      <c r="W201" s="76" t="s">
        <v>1031</v>
      </c>
      <c r="X201" s="72"/>
    </row>
    <row r="202" ht="17.25" customHeight="1">
      <c r="A202" s="26" t="s">
        <v>261</v>
      </c>
      <c r="B202" s="195" t="s">
        <v>2205</v>
      </c>
      <c r="C202" s="195" t="s">
        <v>2206</v>
      </c>
      <c r="D202" s="237" t="s">
        <v>2207</v>
      </c>
      <c r="E202" s="27" t="s">
        <v>931</v>
      </c>
      <c r="F202" s="167" t="s">
        <v>47</v>
      </c>
      <c r="G202" s="27" t="s">
        <v>2208</v>
      </c>
      <c r="H202" s="27"/>
      <c r="I202" s="27" t="s">
        <v>162</v>
      </c>
      <c r="J202" s="138" t="s">
        <v>988</v>
      </c>
      <c r="K202" s="74" t="s">
        <v>1009</v>
      </c>
      <c r="L202" s="74" t="s">
        <v>2209</v>
      </c>
      <c r="M202" s="71" t="s">
        <v>1395</v>
      </c>
      <c r="N202" s="75">
        <v>2025.0</v>
      </c>
      <c r="O202" s="157" t="s">
        <v>992</v>
      </c>
      <c r="P202" s="157" t="s">
        <v>1728</v>
      </c>
      <c r="Q202" s="157" t="s">
        <v>1728</v>
      </c>
      <c r="R202" s="138" t="s">
        <v>963</v>
      </c>
      <c r="S202" s="167" t="s">
        <v>2210</v>
      </c>
      <c r="T202" s="27" t="s">
        <v>2211</v>
      </c>
      <c r="U202" s="123"/>
      <c r="V202" s="39" t="s">
        <v>2212</v>
      </c>
      <c r="W202" s="76" t="s">
        <v>931</v>
      </c>
      <c r="X202" s="72"/>
    </row>
    <row r="203" ht="15.0" customHeight="1">
      <c r="A203" s="26" t="s">
        <v>269</v>
      </c>
      <c r="B203" s="26" t="s">
        <v>2213</v>
      </c>
      <c r="C203" s="26" t="s">
        <v>2214</v>
      </c>
      <c r="D203" s="139" t="s">
        <v>2215</v>
      </c>
      <c r="E203" s="26" t="s">
        <v>931</v>
      </c>
      <c r="F203" s="26" t="s">
        <v>49</v>
      </c>
      <c r="G203" s="26" t="s">
        <v>2216</v>
      </c>
      <c r="I203" s="26" t="s">
        <v>162</v>
      </c>
      <c r="J203" s="67" t="s">
        <v>2217</v>
      </c>
      <c r="K203" s="74" t="s">
        <v>1247</v>
      </c>
      <c r="L203" s="74" t="s">
        <v>2218</v>
      </c>
      <c r="M203" s="71" t="s">
        <v>1027</v>
      </c>
      <c r="N203" s="75">
        <v>2025.0</v>
      </c>
      <c r="O203" s="71" t="s">
        <v>2219</v>
      </c>
      <c r="P203" s="71" t="s">
        <v>2220</v>
      </c>
      <c r="Q203" s="71" t="s">
        <v>2220</v>
      </c>
      <c r="R203" s="67" t="s">
        <v>2221</v>
      </c>
      <c r="S203" s="26" t="s">
        <v>2222</v>
      </c>
      <c r="T203" s="27" t="s">
        <v>2223</v>
      </c>
      <c r="U203" s="26" t="s">
        <v>2224</v>
      </c>
      <c r="V203" s="39" t="s">
        <v>2225</v>
      </c>
      <c r="W203" s="76" t="s">
        <v>1210</v>
      </c>
    </row>
    <row r="204" ht="13.5" customHeight="1">
      <c r="A204" s="26" t="s">
        <v>269</v>
      </c>
      <c r="B204" s="26" t="s">
        <v>2226</v>
      </c>
      <c r="C204" s="26" t="s">
        <v>2227</v>
      </c>
      <c r="D204" s="139" t="s">
        <v>2228</v>
      </c>
      <c r="E204" s="26" t="s">
        <v>931</v>
      </c>
      <c r="F204" s="26" t="s">
        <v>49</v>
      </c>
      <c r="G204" s="26" t="s">
        <v>2216</v>
      </c>
      <c r="I204" s="26" t="s">
        <v>162</v>
      </c>
      <c r="J204" s="67" t="s">
        <v>988</v>
      </c>
      <c r="K204" s="236" t="s">
        <v>2229</v>
      </c>
      <c r="L204" s="236" t="s">
        <v>2230</v>
      </c>
      <c r="M204" s="71" t="s">
        <v>1027</v>
      </c>
      <c r="N204" s="75">
        <v>2025.0</v>
      </c>
      <c r="O204" s="71" t="s">
        <v>1610</v>
      </c>
      <c r="P204" s="71" t="s">
        <v>2220</v>
      </c>
      <c r="Q204" s="71" t="s">
        <v>2220</v>
      </c>
      <c r="R204" s="67" t="s">
        <v>2231</v>
      </c>
      <c r="S204" s="26" t="s">
        <v>2232</v>
      </c>
      <c r="T204" s="26" t="s">
        <v>2233</v>
      </c>
      <c r="U204" s="27" t="s">
        <v>2234</v>
      </c>
      <c r="V204" s="39" t="s">
        <v>2235</v>
      </c>
      <c r="W204" s="76" t="s">
        <v>931</v>
      </c>
    </row>
    <row r="205" ht="15.0" customHeight="1">
      <c r="A205" s="117" t="s">
        <v>269</v>
      </c>
      <c r="B205" s="117" t="s">
        <v>2236</v>
      </c>
      <c r="C205" s="117" t="s">
        <v>576</v>
      </c>
      <c r="D205" s="244" t="s">
        <v>2237</v>
      </c>
      <c r="E205" s="117" t="s">
        <v>1457</v>
      </c>
      <c r="F205" s="117" t="s">
        <v>559</v>
      </c>
      <c r="G205" s="118"/>
      <c r="H205" s="118"/>
      <c r="I205" s="117" t="s">
        <v>966</v>
      </c>
      <c r="J205" s="76" t="s">
        <v>988</v>
      </c>
      <c r="K205" s="137" t="s">
        <v>1649</v>
      </c>
      <c r="L205" s="245" t="s">
        <v>2238</v>
      </c>
      <c r="M205" s="96" t="s">
        <v>1340</v>
      </c>
      <c r="N205" s="99">
        <v>2023.0</v>
      </c>
      <c r="O205" s="96" t="s">
        <v>2239</v>
      </c>
      <c r="P205" s="96" t="s">
        <v>2240</v>
      </c>
      <c r="Q205" s="96" t="s">
        <v>1206</v>
      </c>
      <c r="R205" s="76" t="s">
        <v>963</v>
      </c>
      <c r="S205" s="117" t="s">
        <v>2241</v>
      </c>
      <c r="T205" s="117" t="s">
        <v>2242</v>
      </c>
      <c r="U205" s="240" t="s">
        <v>2243</v>
      </c>
      <c r="V205" s="101" t="s">
        <v>2244</v>
      </c>
      <c r="W205" s="76" t="s">
        <v>931</v>
      </c>
      <c r="X205" s="118"/>
      <c r="Y205" s="118"/>
      <c r="Z205" s="118"/>
      <c r="AA205" s="118"/>
      <c r="AB205" s="118"/>
      <c r="AC205" s="118"/>
    </row>
    <row r="206" ht="17.25" customHeight="1">
      <c r="A206" s="117" t="s">
        <v>269</v>
      </c>
      <c r="B206" s="117" t="s">
        <v>2245</v>
      </c>
      <c r="C206" s="117" t="s">
        <v>586</v>
      </c>
      <c r="D206" s="244" t="s">
        <v>2246</v>
      </c>
      <c r="E206" s="117" t="s">
        <v>1457</v>
      </c>
      <c r="F206" s="117" t="s">
        <v>559</v>
      </c>
      <c r="G206" s="118"/>
      <c r="H206" s="118"/>
      <c r="I206" s="117" t="s">
        <v>162</v>
      </c>
      <c r="J206" s="76" t="s">
        <v>1203</v>
      </c>
      <c r="K206" s="137" t="s">
        <v>979</v>
      </c>
      <c r="L206" s="137" t="s">
        <v>1242</v>
      </c>
      <c r="M206" s="96" t="s">
        <v>1069</v>
      </c>
      <c r="N206" s="99">
        <v>2024.0</v>
      </c>
      <c r="O206" s="96" t="s">
        <v>2247</v>
      </c>
      <c r="P206" s="96" t="s">
        <v>2248</v>
      </c>
      <c r="Q206" s="96" t="s">
        <v>1206</v>
      </c>
      <c r="R206" s="76" t="s">
        <v>963</v>
      </c>
      <c r="S206" s="117" t="s">
        <v>2249</v>
      </c>
      <c r="T206" s="240" t="s">
        <v>2250</v>
      </c>
      <c r="U206" s="117" t="s">
        <v>2251</v>
      </c>
      <c r="V206" s="101" t="s">
        <v>2252</v>
      </c>
      <c r="W206" s="76" t="s">
        <v>1210</v>
      </c>
      <c r="X206" s="117" t="s">
        <v>2253</v>
      </c>
      <c r="Y206" s="118"/>
      <c r="Z206" s="118"/>
      <c r="AA206" s="118"/>
      <c r="AB206" s="118"/>
      <c r="AC206" s="118"/>
    </row>
    <row r="207">
      <c r="C207" s="246"/>
      <c r="J207" s="67"/>
      <c r="K207" s="79"/>
      <c r="L207" s="79"/>
      <c r="M207" s="71"/>
      <c r="N207" s="75"/>
      <c r="O207" s="71"/>
      <c r="P207" s="71"/>
      <c r="Q207" s="71"/>
      <c r="R207" s="67"/>
      <c r="V207" s="41"/>
    </row>
    <row r="208">
      <c r="C208" s="247"/>
      <c r="J208" s="68"/>
      <c r="K208" s="79"/>
      <c r="L208" s="79"/>
      <c r="M208" s="226"/>
      <c r="N208" s="248"/>
      <c r="O208" s="226"/>
      <c r="P208" s="226"/>
      <c r="Q208" s="226"/>
      <c r="R208" s="68"/>
      <c r="V208" s="41"/>
    </row>
    <row r="209">
      <c r="J209" s="68"/>
      <c r="K209" s="79"/>
      <c r="L209" s="79"/>
      <c r="M209" s="226"/>
      <c r="N209" s="248"/>
      <c r="O209" s="226"/>
      <c r="P209" s="226"/>
      <c r="Q209" s="226"/>
      <c r="R209" s="68"/>
      <c r="V209" s="41"/>
    </row>
    <row r="210">
      <c r="B210" s="26"/>
      <c r="C210" s="26"/>
      <c r="J210" s="68"/>
      <c r="K210" s="79"/>
      <c r="L210" s="79"/>
      <c r="M210" s="71"/>
      <c r="N210" s="248"/>
      <c r="O210" s="226"/>
      <c r="P210" s="226"/>
      <c r="Q210" s="226"/>
      <c r="R210" s="68"/>
      <c r="T210" s="27"/>
      <c r="V210" s="41"/>
    </row>
    <row r="211">
      <c r="B211" s="26"/>
      <c r="C211" s="26"/>
      <c r="J211" s="67"/>
      <c r="K211" s="79"/>
      <c r="L211" s="79"/>
      <c r="M211" s="226"/>
      <c r="N211" s="248"/>
      <c r="O211" s="226"/>
      <c r="P211" s="226"/>
      <c r="Q211" s="226"/>
      <c r="R211" s="68"/>
      <c r="T211" s="27"/>
      <c r="V211" s="41"/>
    </row>
    <row r="212">
      <c r="G212" s="28"/>
      <c r="H212" s="28"/>
      <c r="J212" s="68"/>
      <c r="K212" s="79"/>
      <c r="L212" s="79"/>
      <c r="M212" s="226"/>
      <c r="N212" s="248"/>
      <c r="O212" s="226"/>
      <c r="P212" s="226"/>
      <c r="Q212" s="226"/>
      <c r="R212" s="68"/>
      <c r="V212" s="41"/>
    </row>
    <row r="213">
      <c r="H213" s="28"/>
      <c r="J213" s="68"/>
      <c r="K213" s="79"/>
      <c r="L213" s="79"/>
      <c r="M213" s="226"/>
      <c r="N213" s="248"/>
      <c r="O213" s="226"/>
      <c r="P213" s="226"/>
      <c r="Q213" s="226"/>
      <c r="R213" s="68"/>
      <c r="V213" s="41"/>
    </row>
    <row r="214">
      <c r="J214" s="68"/>
      <c r="K214" s="79"/>
      <c r="L214" s="79"/>
      <c r="M214" s="226"/>
      <c r="N214" s="248"/>
      <c r="O214" s="226"/>
      <c r="P214" s="226"/>
      <c r="Q214" s="226"/>
      <c r="R214" s="68"/>
      <c r="V214" s="41"/>
    </row>
    <row r="215">
      <c r="J215" s="68"/>
      <c r="K215" s="79"/>
      <c r="L215" s="79"/>
      <c r="M215" s="226"/>
      <c r="N215" s="248"/>
      <c r="O215" s="226"/>
      <c r="P215" s="226"/>
      <c r="Q215" s="226"/>
      <c r="R215" s="68"/>
      <c r="V215" s="41"/>
    </row>
    <row r="216">
      <c r="J216" s="68"/>
      <c r="K216" s="79"/>
      <c r="L216" s="79"/>
      <c r="M216" s="226"/>
      <c r="N216" s="248"/>
      <c r="O216" s="226"/>
      <c r="P216" s="226"/>
      <c r="Q216" s="226"/>
      <c r="R216" s="68"/>
      <c r="V216" s="41"/>
    </row>
    <row r="217">
      <c r="K217" s="79"/>
      <c r="L217" s="79"/>
      <c r="M217" s="226"/>
      <c r="N217" s="248"/>
      <c r="O217" s="226"/>
      <c r="P217" s="226"/>
      <c r="Q217" s="226"/>
      <c r="R217" s="68"/>
      <c r="V217" s="41"/>
    </row>
    <row r="218">
      <c r="J218" s="68"/>
      <c r="K218" s="79"/>
      <c r="L218" s="79"/>
      <c r="M218" s="226"/>
      <c r="N218" s="248"/>
      <c r="O218" s="226"/>
      <c r="P218" s="226"/>
      <c r="Q218" s="226"/>
      <c r="R218" s="68"/>
      <c r="V218" s="41"/>
    </row>
    <row r="219">
      <c r="J219" s="68"/>
      <c r="K219" s="79"/>
      <c r="L219" s="79"/>
      <c r="M219" s="226"/>
      <c r="N219" s="248"/>
      <c r="O219" s="226"/>
      <c r="P219" s="226"/>
      <c r="Q219" s="226"/>
      <c r="R219" s="68"/>
      <c r="V219" s="41"/>
    </row>
    <row r="220">
      <c r="J220" s="68"/>
      <c r="K220" s="79"/>
      <c r="L220" s="79"/>
      <c r="M220" s="226"/>
      <c r="N220" s="248"/>
      <c r="O220" s="226"/>
      <c r="P220" s="226"/>
      <c r="Q220" s="226"/>
      <c r="R220" s="68"/>
      <c r="V220" s="41"/>
    </row>
    <row r="221">
      <c r="J221" s="68"/>
      <c r="K221" s="79"/>
      <c r="L221" s="79"/>
      <c r="M221" s="226"/>
      <c r="N221" s="248"/>
      <c r="O221" s="226"/>
      <c r="P221" s="226"/>
      <c r="Q221" s="226"/>
      <c r="R221" s="68"/>
      <c r="V221" s="41"/>
    </row>
    <row r="222">
      <c r="J222" s="68"/>
      <c r="K222" s="79"/>
      <c r="L222" s="79"/>
      <c r="M222" s="226"/>
      <c r="N222" s="248"/>
      <c r="O222" s="226"/>
      <c r="P222" s="226"/>
      <c r="Q222" s="226"/>
      <c r="R222" s="68"/>
      <c r="V222" s="41"/>
    </row>
    <row r="223">
      <c r="J223" s="68"/>
      <c r="K223" s="79"/>
      <c r="L223" s="79"/>
      <c r="M223" s="226"/>
      <c r="N223" s="248"/>
      <c r="O223" s="226"/>
      <c r="P223" s="226"/>
      <c r="Q223" s="226"/>
      <c r="R223" s="68"/>
      <c r="V223" s="41"/>
    </row>
    <row r="224">
      <c r="J224" s="68"/>
      <c r="K224" s="79"/>
      <c r="L224" s="79"/>
      <c r="M224" s="226"/>
      <c r="N224" s="248"/>
      <c r="O224" s="226"/>
      <c r="P224" s="226"/>
      <c r="Q224" s="226"/>
      <c r="R224" s="68"/>
      <c r="V224" s="41"/>
    </row>
    <row r="225">
      <c r="J225" s="68"/>
      <c r="K225" s="79"/>
      <c r="L225" s="79"/>
      <c r="M225" s="226"/>
      <c r="N225" s="248"/>
      <c r="O225" s="226"/>
      <c r="P225" s="226"/>
      <c r="Q225" s="226"/>
      <c r="R225" s="68"/>
      <c r="V225" s="41"/>
    </row>
    <row r="226">
      <c r="J226" s="68"/>
      <c r="K226" s="79"/>
      <c r="L226" s="79"/>
      <c r="M226" s="226"/>
      <c r="N226" s="248"/>
      <c r="O226" s="226"/>
      <c r="P226" s="226"/>
      <c r="Q226" s="226"/>
      <c r="R226" s="68"/>
      <c r="V226" s="41"/>
    </row>
    <row r="227">
      <c r="J227" s="68"/>
      <c r="K227" s="79"/>
      <c r="L227" s="79"/>
      <c r="M227" s="226"/>
      <c r="N227" s="248"/>
      <c r="O227" s="226"/>
      <c r="P227" s="226"/>
      <c r="Q227" s="226"/>
      <c r="R227" s="68"/>
      <c r="V227" s="41"/>
    </row>
    <row r="228">
      <c r="J228" s="68"/>
      <c r="K228" s="79"/>
      <c r="L228" s="79"/>
      <c r="M228" s="226"/>
      <c r="N228" s="248"/>
      <c r="O228" s="226"/>
      <c r="P228" s="226"/>
      <c r="Q228" s="226"/>
      <c r="R228" s="68"/>
      <c r="V228" s="41"/>
    </row>
    <row r="229">
      <c r="J229" s="68"/>
      <c r="K229" s="79"/>
      <c r="L229" s="79"/>
      <c r="M229" s="226"/>
      <c r="N229" s="248"/>
      <c r="O229" s="226"/>
      <c r="P229" s="226"/>
      <c r="Q229" s="226"/>
      <c r="R229" s="68"/>
      <c r="V229" s="41"/>
    </row>
    <row r="230">
      <c r="J230" s="68"/>
      <c r="K230" s="79"/>
      <c r="L230" s="79"/>
      <c r="M230" s="226"/>
      <c r="N230" s="248"/>
      <c r="O230" s="226"/>
      <c r="P230" s="226"/>
      <c r="Q230" s="226"/>
      <c r="R230" s="68"/>
      <c r="V230" s="41"/>
    </row>
    <row r="231">
      <c r="J231" s="68"/>
      <c r="K231" s="79"/>
      <c r="L231" s="79"/>
      <c r="M231" s="226"/>
      <c r="N231" s="248"/>
      <c r="O231" s="226"/>
      <c r="P231" s="226"/>
      <c r="Q231" s="226"/>
      <c r="R231" s="68"/>
      <c r="V231" s="41"/>
    </row>
    <row r="232">
      <c r="J232" s="68"/>
      <c r="K232" s="79"/>
      <c r="L232" s="79"/>
      <c r="M232" s="226"/>
      <c r="N232" s="248"/>
      <c r="O232" s="226"/>
      <c r="P232" s="226"/>
      <c r="Q232" s="226"/>
      <c r="R232" s="68"/>
      <c r="V232" s="41"/>
    </row>
    <row r="233">
      <c r="J233" s="68"/>
      <c r="K233" s="79"/>
      <c r="L233" s="79"/>
      <c r="M233" s="226"/>
      <c r="N233" s="248"/>
      <c r="O233" s="226"/>
      <c r="P233" s="226"/>
      <c r="Q233" s="226"/>
      <c r="R233" s="68"/>
      <c r="V233" s="41"/>
    </row>
    <row r="234">
      <c r="J234" s="68"/>
      <c r="K234" s="79"/>
      <c r="L234" s="79"/>
      <c r="M234" s="226"/>
      <c r="N234" s="248"/>
      <c r="O234" s="226"/>
      <c r="P234" s="226"/>
      <c r="Q234" s="226"/>
      <c r="R234" s="68"/>
      <c r="V234" s="41"/>
    </row>
    <row r="235">
      <c r="J235" s="68"/>
      <c r="K235" s="79"/>
      <c r="L235" s="79"/>
      <c r="M235" s="226"/>
      <c r="N235" s="248"/>
      <c r="O235" s="226"/>
      <c r="P235" s="226"/>
      <c r="Q235" s="226"/>
      <c r="R235" s="68"/>
      <c r="V235" s="41"/>
    </row>
    <row r="236">
      <c r="J236" s="68"/>
      <c r="K236" s="79"/>
      <c r="L236" s="79"/>
      <c r="M236" s="226"/>
      <c r="N236" s="248"/>
      <c r="O236" s="226"/>
      <c r="P236" s="226"/>
      <c r="Q236" s="226"/>
      <c r="R236" s="68"/>
      <c r="V236" s="41"/>
    </row>
    <row r="237">
      <c r="J237" s="68"/>
      <c r="K237" s="79"/>
      <c r="L237" s="79"/>
      <c r="M237" s="226"/>
      <c r="N237" s="248"/>
      <c r="O237" s="226"/>
      <c r="P237" s="226"/>
      <c r="Q237" s="226"/>
      <c r="R237" s="68"/>
      <c r="V237" s="41"/>
    </row>
    <row r="238">
      <c r="J238" s="68"/>
      <c r="K238" s="79"/>
      <c r="L238" s="79"/>
      <c r="M238" s="226"/>
      <c r="N238" s="248"/>
      <c r="O238" s="226"/>
      <c r="P238" s="226"/>
      <c r="Q238" s="226"/>
      <c r="R238" s="68"/>
      <c r="V238" s="41"/>
    </row>
    <row r="239">
      <c r="J239" s="68"/>
      <c r="K239" s="79"/>
      <c r="L239" s="79"/>
      <c r="M239" s="226"/>
      <c r="N239" s="248"/>
      <c r="O239" s="226"/>
      <c r="P239" s="226"/>
      <c r="Q239" s="226"/>
      <c r="R239" s="68"/>
      <c r="V239" s="41"/>
    </row>
    <row r="240">
      <c r="J240" s="68"/>
      <c r="K240" s="79"/>
      <c r="L240" s="79"/>
      <c r="M240" s="226"/>
      <c r="N240" s="248"/>
      <c r="O240" s="226"/>
      <c r="P240" s="226"/>
      <c r="Q240" s="226"/>
      <c r="R240" s="68"/>
      <c r="V240" s="41"/>
    </row>
    <row r="241">
      <c r="J241" s="68"/>
      <c r="K241" s="79"/>
      <c r="L241" s="79"/>
      <c r="M241" s="226"/>
      <c r="N241" s="248"/>
      <c r="O241" s="226"/>
      <c r="P241" s="226"/>
      <c r="Q241" s="226"/>
      <c r="R241" s="68"/>
      <c r="V241" s="41"/>
    </row>
    <row r="242">
      <c r="J242" s="68"/>
      <c r="K242" s="79"/>
      <c r="L242" s="79"/>
      <c r="M242" s="226"/>
      <c r="N242" s="248"/>
      <c r="O242" s="226"/>
      <c r="P242" s="226"/>
      <c r="Q242" s="226"/>
      <c r="R242" s="68"/>
      <c r="V242" s="41"/>
    </row>
    <row r="243">
      <c r="J243" s="68"/>
      <c r="K243" s="79"/>
      <c r="L243" s="79"/>
      <c r="M243" s="226"/>
      <c r="N243" s="248"/>
      <c r="O243" s="226"/>
      <c r="P243" s="226"/>
      <c r="Q243" s="226"/>
      <c r="R243" s="68"/>
      <c r="V243" s="41"/>
    </row>
    <row r="244">
      <c r="J244" s="68"/>
      <c r="K244" s="79"/>
      <c r="L244" s="79"/>
      <c r="M244" s="226"/>
      <c r="N244" s="248"/>
      <c r="O244" s="226"/>
      <c r="P244" s="226"/>
      <c r="Q244" s="226"/>
      <c r="R244" s="68"/>
      <c r="V244" s="41"/>
    </row>
    <row r="245">
      <c r="J245" s="68"/>
      <c r="K245" s="79"/>
      <c r="L245" s="79"/>
      <c r="M245" s="226"/>
      <c r="N245" s="248"/>
      <c r="O245" s="226"/>
      <c r="P245" s="226"/>
      <c r="Q245" s="226"/>
      <c r="R245" s="68"/>
      <c r="V245" s="41"/>
    </row>
    <row r="246">
      <c r="J246" s="68"/>
      <c r="K246" s="79"/>
      <c r="L246" s="79"/>
      <c r="M246" s="226"/>
      <c r="N246" s="248"/>
      <c r="O246" s="226"/>
      <c r="P246" s="226"/>
      <c r="Q246" s="226"/>
      <c r="R246" s="68"/>
      <c r="V246" s="41"/>
    </row>
    <row r="247">
      <c r="J247" s="68"/>
      <c r="K247" s="79"/>
      <c r="L247" s="79"/>
      <c r="M247" s="226"/>
      <c r="N247" s="248"/>
      <c r="O247" s="226"/>
      <c r="P247" s="226"/>
      <c r="Q247" s="226"/>
      <c r="R247" s="68"/>
      <c r="V247" s="41"/>
    </row>
    <row r="248">
      <c r="J248" s="68"/>
      <c r="K248" s="79"/>
      <c r="L248" s="79"/>
      <c r="M248" s="226"/>
      <c r="N248" s="248"/>
      <c r="O248" s="226"/>
      <c r="P248" s="226"/>
      <c r="Q248" s="226"/>
      <c r="R248" s="68"/>
      <c r="V248" s="41"/>
    </row>
    <row r="249">
      <c r="J249" s="68"/>
      <c r="K249" s="79"/>
      <c r="L249" s="79"/>
      <c r="M249" s="226"/>
      <c r="N249" s="248"/>
      <c r="O249" s="226"/>
      <c r="P249" s="226"/>
      <c r="Q249" s="226"/>
      <c r="R249" s="68"/>
      <c r="V249" s="41"/>
    </row>
    <row r="250">
      <c r="J250" s="68"/>
      <c r="K250" s="79"/>
      <c r="L250" s="79"/>
      <c r="M250" s="226"/>
      <c r="N250" s="248"/>
      <c r="O250" s="226"/>
      <c r="P250" s="226"/>
      <c r="Q250" s="226"/>
      <c r="R250" s="68"/>
      <c r="V250" s="41"/>
    </row>
    <row r="251">
      <c r="J251" s="68"/>
      <c r="K251" s="79"/>
      <c r="L251" s="79"/>
      <c r="M251" s="226"/>
      <c r="N251" s="248"/>
      <c r="O251" s="226"/>
      <c r="P251" s="226"/>
      <c r="Q251" s="226"/>
      <c r="R251" s="68"/>
      <c r="V251" s="41"/>
    </row>
    <row r="252">
      <c r="J252" s="68"/>
      <c r="K252" s="79"/>
      <c r="L252" s="79"/>
      <c r="M252" s="226"/>
      <c r="N252" s="248"/>
      <c r="O252" s="226"/>
      <c r="P252" s="226"/>
      <c r="Q252" s="226"/>
      <c r="R252" s="68"/>
      <c r="V252" s="41"/>
    </row>
    <row r="253">
      <c r="J253" s="68"/>
      <c r="K253" s="79"/>
      <c r="L253" s="79"/>
      <c r="M253" s="226"/>
      <c r="N253" s="248"/>
      <c r="O253" s="226"/>
      <c r="P253" s="226"/>
      <c r="Q253" s="226"/>
      <c r="R253" s="68"/>
      <c r="V253" s="41"/>
    </row>
    <row r="254">
      <c r="J254" s="68"/>
      <c r="K254" s="79"/>
      <c r="L254" s="79"/>
      <c r="M254" s="226"/>
      <c r="N254" s="248"/>
      <c r="O254" s="226"/>
      <c r="P254" s="226"/>
      <c r="Q254" s="226"/>
      <c r="R254" s="68"/>
      <c r="V254" s="41"/>
    </row>
    <row r="255">
      <c r="J255" s="68"/>
      <c r="K255" s="79"/>
      <c r="L255" s="79"/>
      <c r="M255" s="226"/>
      <c r="N255" s="248"/>
      <c r="O255" s="226"/>
      <c r="P255" s="226"/>
      <c r="Q255" s="226"/>
      <c r="R255" s="68"/>
      <c r="V255" s="41"/>
    </row>
    <row r="256">
      <c r="J256" s="68"/>
      <c r="K256" s="79"/>
      <c r="L256" s="79"/>
      <c r="M256" s="226"/>
      <c r="N256" s="248"/>
      <c r="O256" s="226"/>
      <c r="P256" s="226"/>
      <c r="Q256" s="226"/>
      <c r="R256" s="68"/>
      <c r="V256" s="41"/>
    </row>
    <row r="257">
      <c r="J257" s="68"/>
      <c r="K257" s="79"/>
      <c r="L257" s="79"/>
      <c r="M257" s="226"/>
      <c r="N257" s="248"/>
      <c r="O257" s="226"/>
      <c r="P257" s="226"/>
      <c r="Q257" s="226"/>
      <c r="R257" s="68"/>
      <c r="V257" s="41"/>
    </row>
    <row r="258">
      <c r="J258" s="68"/>
      <c r="K258" s="79"/>
      <c r="L258" s="79"/>
      <c r="M258" s="226"/>
      <c r="N258" s="248"/>
      <c r="O258" s="226"/>
      <c r="P258" s="226"/>
      <c r="Q258" s="226"/>
      <c r="R258" s="68"/>
      <c r="V258" s="41"/>
    </row>
    <row r="259">
      <c r="J259" s="68"/>
      <c r="K259" s="79"/>
      <c r="L259" s="79"/>
      <c r="M259" s="226"/>
      <c r="N259" s="248"/>
      <c r="O259" s="226"/>
      <c r="P259" s="226"/>
      <c r="Q259" s="226"/>
      <c r="R259" s="68"/>
      <c r="V259" s="41"/>
    </row>
    <row r="260">
      <c r="J260" s="68"/>
      <c r="K260" s="79"/>
      <c r="L260" s="79"/>
      <c r="M260" s="226"/>
      <c r="N260" s="248"/>
      <c r="O260" s="226"/>
      <c r="P260" s="226"/>
      <c r="Q260" s="226"/>
      <c r="R260" s="68"/>
      <c r="V260" s="41"/>
    </row>
    <row r="261">
      <c r="J261" s="68"/>
      <c r="K261" s="79"/>
      <c r="L261" s="79"/>
      <c r="M261" s="226"/>
      <c r="N261" s="248"/>
      <c r="O261" s="226"/>
      <c r="P261" s="226"/>
      <c r="Q261" s="226"/>
      <c r="R261" s="68"/>
      <c r="V261" s="41"/>
    </row>
    <row r="262">
      <c r="J262" s="68"/>
      <c r="K262" s="79"/>
      <c r="L262" s="79"/>
      <c r="M262" s="226"/>
      <c r="N262" s="248"/>
      <c r="O262" s="226"/>
      <c r="P262" s="226"/>
      <c r="Q262" s="226"/>
      <c r="R262" s="68"/>
      <c r="V262" s="41"/>
    </row>
    <row r="263">
      <c r="J263" s="68"/>
      <c r="K263" s="79"/>
      <c r="L263" s="79"/>
      <c r="M263" s="226"/>
      <c r="N263" s="248"/>
      <c r="O263" s="226"/>
      <c r="P263" s="226"/>
      <c r="Q263" s="226"/>
      <c r="R263" s="68"/>
      <c r="V263" s="41"/>
    </row>
    <row r="264">
      <c r="J264" s="68"/>
      <c r="K264" s="79"/>
      <c r="L264" s="79"/>
      <c r="M264" s="226"/>
      <c r="N264" s="248"/>
      <c r="O264" s="226"/>
      <c r="P264" s="226"/>
      <c r="Q264" s="226"/>
      <c r="R264" s="68"/>
      <c r="V264" s="41"/>
    </row>
    <row r="265">
      <c r="J265" s="68"/>
      <c r="K265" s="79"/>
      <c r="L265" s="79"/>
      <c r="M265" s="226"/>
      <c r="N265" s="248"/>
      <c r="O265" s="226"/>
      <c r="P265" s="226"/>
      <c r="Q265" s="226"/>
      <c r="R265" s="68"/>
      <c r="V265" s="41"/>
    </row>
    <row r="266">
      <c r="J266" s="68"/>
      <c r="K266" s="79"/>
      <c r="L266" s="79"/>
      <c r="M266" s="226"/>
      <c r="N266" s="248"/>
      <c r="O266" s="226"/>
      <c r="P266" s="226"/>
      <c r="Q266" s="226"/>
      <c r="R266" s="68"/>
      <c r="V266" s="41"/>
    </row>
    <row r="267">
      <c r="J267" s="68"/>
      <c r="K267" s="79"/>
      <c r="L267" s="79"/>
      <c r="M267" s="226"/>
      <c r="N267" s="248"/>
      <c r="O267" s="226"/>
      <c r="P267" s="226"/>
      <c r="Q267" s="226"/>
      <c r="R267" s="68"/>
      <c r="V267" s="41"/>
    </row>
    <row r="268">
      <c r="J268" s="68"/>
      <c r="K268" s="79"/>
      <c r="L268" s="79"/>
      <c r="M268" s="226"/>
      <c r="N268" s="248"/>
      <c r="O268" s="226"/>
      <c r="P268" s="226"/>
      <c r="Q268" s="226"/>
      <c r="R268" s="68"/>
      <c r="V268" s="41"/>
    </row>
    <row r="269">
      <c r="J269" s="68"/>
      <c r="K269" s="79"/>
      <c r="L269" s="79"/>
      <c r="M269" s="226"/>
      <c r="N269" s="248"/>
      <c r="O269" s="226"/>
      <c r="P269" s="226"/>
      <c r="Q269" s="226"/>
      <c r="R269" s="68"/>
      <c r="V269" s="41"/>
    </row>
    <row r="270">
      <c r="J270" s="68"/>
      <c r="K270" s="79"/>
      <c r="L270" s="79"/>
      <c r="M270" s="226"/>
      <c r="N270" s="248"/>
      <c r="O270" s="226"/>
      <c r="P270" s="226"/>
      <c r="Q270" s="226"/>
      <c r="R270" s="68"/>
      <c r="V270" s="41"/>
    </row>
    <row r="271">
      <c r="J271" s="68"/>
      <c r="K271" s="79"/>
      <c r="L271" s="79"/>
      <c r="M271" s="226"/>
      <c r="N271" s="248"/>
      <c r="O271" s="226"/>
      <c r="P271" s="226"/>
      <c r="Q271" s="226"/>
      <c r="R271" s="68"/>
      <c r="V271" s="41"/>
    </row>
    <row r="272">
      <c r="J272" s="68"/>
      <c r="K272" s="79"/>
      <c r="L272" s="79"/>
      <c r="M272" s="226"/>
      <c r="N272" s="248"/>
      <c r="O272" s="226"/>
      <c r="P272" s="226"/>
      <c r="Q272" s="226"/>
      <c r="R272" s="68"/>
      <c r="V272" s="41"/>
    </row>
    <row r="273">
      <c r="J273" s="68"/>
      <c r="K273" s="79"/>
      <c r="L273" s="79"/>
      <c r="M273" s="226"/>
      <c r="N273" s="248"/>
      <c r="O273" s="226"/>
      <c r="P273" s="226"/>
      <c r="Q273" s="226"/>
      <c r="R273" s="68"/>
      <c r="V273" s="41"/>
    </row>
    <row r="274">
      <c r="J274" s="68"/>
      <c r="K274" s="79"/>
      <c r="L274" s="79"/>
      <c r="M274" s="226"/>
      <c r="N274" s="248"/>
      <c r="O274" s="226"/>
      <c r="P274" s="226"/>
      <c r="Q274" s="226"/>
      <c r="R274" s="68"/>
      <c r="V274" s="41"/>
    </row>
    <row r="275">
      <c r="J275" s="68"/>
      <c r="K275" s="79"/>
      <c r="L275" s="79"/>
      <c r="M275" s="226"/>
      <c r="N275" s="248"/>
      <c r="O275" s="226"/>
      <c r="P275" s="226"/>
      <c r="Q275" s="226"/>
      <c r="R275" s="68"/>
      <c r="V275" s="41"/>
    </row>
    <row r="276">
      <c r="J276" s="68"/>
      <c r="K276" s="79"/>
      <c r="L276" s="79"/>
      <c r="M276" s="226"/>
      <c r="N276" s="248"/>
      <c r="O276" s="226"/>
      <c r="P276" s="226"/>
      <c r="Q276" s="226"/>
      <c r="R276" s="68"/>
      <c r="V276" s="41"/>
    </row>
    <row r="277">
      <c r="J277" s="68"/>
      <c r="K277" s="79"/>
      <c r="L277" s="79"/>
      <c r="M277" s="226"/>
      <c r="N277" s="248"/>
      <c r="O277" s="226"/>
      <c r="P277" s="226"/>
      <c r="Q277" s="226"/>
      <c r="R277" s="68"/>
      <c r="V277" s="41"/>
    </row>
    <row r="278">
      <c r="J278" s="68"/>
      <c r="K278" s="79"/>
      <c r="L278" s="79"/>
      <c r="M278" s="226"/>
      <c r="N278" s="248"/>
      <c r="O278" s="226"/>
      <c r="P278" s="226"/>
      <c r="Q278" s="226"/>
      <c r="R278" s="68"/>
      <c r="V278" s="41"/>
    </row>
    <row r="279">
      <c r="J279" s="68"/>
      <c r="K279" s="79"/>
      <c r="L279" s="79"/>
      <c r="M279" s="226"/>
      <c r="N279" s="248"/>
      <c r="O279" s="226"/>
      <c r="P279" s="226"/>
      <c r="Q279" s="226"/>
      <c r="R279" s="68"/>
      <c r="V279" s="41"/>
    </row>
    <row r="280">
      <c r="J280" s="68"/>
      <c r="K280" s="79"/>
      <c r="L280" s="79"/>
      <c r="M280" s="226"/>
      <c r="N280" s="248"/>
      <c r="O280" s="226"/>
      <c r="P280" s="226"/>
      <c r="Q280" s="226"/>
      <c r="R280" s="68"/>
      <c r="V280" s="41"/>
    </row>
    <row r="281">
      <c r="J281" s="68"/>
      <c r="K281" s="79"/>
      <c r="L281" s="79"/>
      <c r="M281" s="226"/>
      <c r="N281" s="248"/>
      <c r="O281" s="226"/>
      <c r="P281" s="226"/>
      <c r="Q281" s="226"/>
      <c r="R281" s="68"/>
      <c r="V281" s="41"/>
    </row>
    <row r="282">
      <c r="J282" s="68"/>
      <c r="K282" s="79"/>
      <c r="L282" s="79"/>
      <c r="M282" s="226"/>
      <c r="N282" s="248"/>
      <c r="O282" s="226"/>
      <c r="P282" s="226"/>
      <c r="Q282" s="226"/>
      <c r="R282" s="68"/>
      <c r="V282" s="41"/>
    </row>
    <row r="283">
      <c r="J283" s="68"/>
      <c r="K283" s="79"/>
      <c r="L283" s="79"/>
      <c r="M283" s="226"/>
      <c r="N283" s="248"/>
      <c r="O283" s="226"/>
      <c r="P283" s="226"/>
      <c r="Q283" s="226"/>
      <c r="R283" s="68"/>
      <c r="V283" s="41"/>
    </row>
    <row r="284">
      <c r="J284" s="68"/>
      <c r="K284" s="79"/>
      <c r="L284" s="79"/>
      <c r="M284" s="226"/>
      <c r="N284" s="248"/>
      <c r="O284" s="226"/>
      <c r="P284" s="226"/>
      <c r="Q284" s="226"/>
      <c r="R284" s="68"/>
      <c r="V284" s="41"/>
    </row>
    <row r="285">
      <c r="J285" s="68"/>
      <c r="K285" s="79"/>
      <c r="L285" s="79"/>
      <c r="M285" s="226"/>
      <c r="N285" s="248"/>
      <c r="O285" s="226"/>
      <c r="P285" s="226"/>
      <c r="Q285" s="226"/>
      <c r="R285" s="68"/>
      <c r="V285" s="41"/>
    </row>
    <row r="286">
      <c r="J286" s="68"/>
      <c r="K286" s="79"/>
      <c r="L286" s="79"/>
      <c r="M286" s="226"/>
      <c r="N286" s="248"/>
      <c r="O286" s="226"/>
      <c r="P286" s="226"/>
      <c r="Q286" s="226"/>
      <c r="R286" s="68"/>
      <c r="V286" s="41"/>
    </row>
    <row r="287">
      <c r="J287" s="68"/>
      <c r="K287" s="79"/>
      <c r="L287" s="79"/>
      <c r="M287" s="226"/>
      <c r="N287" s="248"/>
      <c r="O287" s="226"/>
      <c r="P287" s="226"/>
      <c r="Q287" s="226"/>
      <c r="R287" s="68"/>
      <c r="V287" s="41"/>
    </row>
    <row r="288">
      <c r="J288" s="68"/>
      <c r="K288" s="79"/>
      <c r="L288" s="79"/>
      <c r="M288" s="226"/>
      <c r="N288" s="248"/>
      <c r="O288" s="226"/>
      <c r="P288" s="226"/>
      <c r="Q288" s="226"/>
      <c r="R288" s="68"/>
      <c r="V288" s="41"/>
    </row>
    <row r="289">
      <c r="J289" s="68"/>
      <c r="K289" s="79"/>
      <c r="L289" s="79"/>
      <c r="M289" s="226"/>
      <c r="N289" s="248"/>
      <c r="O289" s="226"/>
      <c r="P289" s="226"/>
      <c r="Q289" s="226"/>
      <c r="R289" s="68"/>
      <c r="V289" s="41"/>
    </row>
    <row r="290">
      <c r="J290" s="68"/>
      <c r="K290" s="79"/>
      <c r="L290" s="79"/>
      <c r="M290" s="226"/>
      <c r="N290" s="248"/>
      <c r="O290" s="226"/>
      <c r="P290" s="226"/>
      <c r="Q290" s="226"/>
      <c r="R290" s="68"/>
      <c r="V290" s="41"/>
    </row>
    <row r="291">
      <c r="J291" s="68"/>
      <c r="K291" s="79"/>
      <c r="L291" s="79"/>
      <c r="M291" s="226"/>
      <c r="N291" s="248"/>
      <c r="O291" s="226"/>
      <c r="P291" s="226"/>
      <c r="Q291" s="226"/>
      <c r="R291" s="68"/>
      <c r="V291" s="41"/>
    </row>
    <row r="292">
      <c r="J292" s="68"/>
      <c r="K292" s="79"/>
      <c r="L292" s="79"/>
      <c r="M292" s="226"/>
      <c r="N292" s="248"/>
      <c r="O292" s="226"/>
      <c r="P292" s="226"/>
      <c r="Q292" s="226"/>
      <c r="R292" s="68"/>
      <c r="V292" s="41"/>
    </row>
    <row r="293">
      <c r="J293" s="68"/>
      <c r="K293" s="79"/>
      <c r="L293" s="79"/>
      <c r="M293" s="226"/>
      <c r="N293" s="248"/>
      <c r="O293" s="226"/>
      <c r="P293" s="226"/>
      <c r="Q293" s="226"/>
      <c r="R293" s="68"/>
      <c r="V293" s="41"/>
    </row>
    <row r="294">
      <c r="J294" s="68"/>
      <c r="K294" s="79"/>
      <c r="L294" s="79"/>
      <c r="M294" s="226"/>
      <c r="N294" s="248"/>
      <c r="O294" s="226"/>
      <c r="P294" s="226"/>
      <c r="Q294" s="226"/>
      <c r="R294" s="68"/>
      <c r="V294" s="41"/>
    </row>
    <row r="295">
      <c r="J295" s="68"/>
      <c r="K295" s="79"/>
      <c r="L295" s="79"/>
      <c r="M295" s="226"/>
      <c r="N295" s="248"/>
      <c r="O295" s="226"/>
      <c r="P295" s="226"/>
      <c r="Q295" s="226"/>
      <c r="R295" s="68"/>
      <c r="V295" s="41"/>
    </row>
    <row r="296">
      <c r="J296" s="68"/>
      <c r="K296" s="79"/>
      <c r="L296" s="79"/>
      <c r="M296" s="226"/>
      <c r="N296" s="248"/>
      <c r="O296" s="226"/>
      <c r="P296" s="226"/>
      <c r="Q296" s="226"/>
      <c r="R296" s="68"/>
      <c r="V296" s="41"/>
    </row>
    <row r="297">
      <c r="J297" s="68"/>
      <c r="K297" s="79"/>
      <c r="L297" s="79"/>
      <c r="M297" s="226"/>
      <c r="N297" s="248"/>
      <c r="O297" s="226"/>
      <c r="P297" s="226"/>
      <c r="Q297" s="226"/>
      <c r="R297" s="68"/>
      <c r="V297" s="41"/>
    </row>
    <row r="298">
      <c r="J298" s="68"/>
      <c r="K298" s="79"/>
      <c r="L298" s="79"/>
      <c r="M298" s="226"/>
      <c r="N298" s="248"/>
      <c r="O298" s="226"/>
      <c r="P298" s="226"/>
      <c r="Q298" s="226"/>
      <c r="R298" s="68"/>
      <c r="V298" s="41"/>
    </row>
    <row r="299">
      <c r="J299" s="68"/>
      <c r="K299" s="79"/>
      <c r="L299" s="79"/>
      <c r="M299" s="226"/>
      <c r="N299" s="248"/>
      <c r="O299" s="226"/>
      <c r="P299" s="226"/>
      <c r="Q299" s="226"/>
      <c r="R299" s="68"/>
      <c r="V299" s="41"/>
    </row>
    <row r="300">
      <c r="J300" s="68"/>
      <c r="K300" s="79"/>
      <c r="L300" s="79"/>
      <c r="M300" s="226"/>
      <c r="N300" s="248"/>
      <c r="O300" s="226"/>
      <c r="P300" s="226"/>
      <c r="Q300" s="226"/>
      <c r="R300" s="68"/>
      <c r="V300" s="41"/>
    </row>
    <row r="301">
      <c r="J301" s="68"/>
      <c r="K301" s="79"/>
      <c r="L301" s="79"/>
      <c r="M301" s="226"/>
      <c r="N301" s="248"/>
      <c r="O301" s="226"/>
      <c r="P301" s="226"/>
      <c r="Q301" s="226"/>
      <c r="R301" s="68"/>
      <c r="V301" s="41"/>
    </row>
    <row r="302">
      <c r="J302" s="68"/>
      <c r="K302" s="79"/>
      <c r="L302" s="79"/>
      <c r="M302" s="226"/>
      <c r="N302" s="248"/>
      <c r="O302" s="226"/>
      <c r="P302" s="226"/>
      <c r="Q302" s="226"/>
      <c r="R302" s="68"/>
      <c r="V302" s="41"/>
    </row>
    <row r="303">
      <c r="J303" s="68"/>
      <c r="K303" s="79"/>
      <c r="L303" s="79"/>
      <c r="M303" s="226"/>
      <c r="N303" s="248"/>
      <c r="O303" s="226"/>
      <c r="P303" s="226"/>
      <c r="Q303" s="226"/>
      <c r="R303" s="68"/>
      <c r="V303" s="41"/>
    </row>
    <row r="304">
      <c r="J304" s="68"/>
      <c r="K304" s="79"/>
      <c r="L304" s="79"/>
      <c r="M304" s="226"/>
      <c r="N304" s="248"/>
      <c r="O304" s="226"/>
      <c r="P304" s="226"/>
      <c r="Q304" s="226"/>
      <c r="R304" s="68"/>
      <c r="V304" s="41"/>
    </row>
    <row r="305">
      <c r="J305" s="68"/>
      <c r="K305" s="79"/>
      <c r="L305" s="79"/>
      <c r="M305" s="226"/>
      <c r="N305" s="248"/>
      <c r="O305" s="226"/>
      <c r="P305" s="226"/>
      <c r="Q305" s="226"/>
      <c r="R305" s="68"/>
      <c r="V305" s="41"/>
    </row>
    <row r="306">
      <c r="J306" s="68"/>
      <c r="K306" s="79"/>
      <c r="L306" s="79"/>
      <c r="M306" s="226"/>
      <c r="N306" s="248"/>
      <c r="O306" s="226"/>
      <c r="P306" s="226"/>
      <c r="Q306" s="226"/>
      <c r="R306" s="68"/>
      <c r="V306" s="41"/>
    </row>
    <row r="307">
      <c r="J307" s="68"/>
      <c r="K307" s="79"/>
      <c r="L307" s="79"/>
      <c r="M307" s="226"/>
      <c r="N307" s="248"/>
      <c r="O307" s="226"/>
      <c r="P307" s="226"/>
      <c r="Q307" s="226"/>
      <c r="R307" s="68"/>
      <c r="V307" s="41"/>
    </row>
    <row r="308">
      <c r="J308" s="68"/>
      <c r="K308" s="79"/>
      <c r="L308" s="79"/>
      <c r="M308" s="226"/>
      <c r="N308" s="248"/>
      <c r="O308" s="226"/>
      <c r="P308" s="226"/>
      <c r="Q308" s="226"/>
      <c r="R308" s="68"/>
      <c r="V308" s="41"/>
    </row>
    <row r="309">
      <c r="J309" s="68"/>
      <c r="K309" s="79"/>
      <c r="L309" s="79"/>
      <c r="M309" s="226"/>
      <c r="N309" s="248"/>
      <c r="O309" s="226"/>
      <c r="P309" s="226"/>
      <c r="Q309" s="226"/>
      <c r="R309" s="68"/>
      <c r="V309" s="41"/>
    </row>
    <row r="310">
      <c r="J310" s="68"/>
      <c r="K310" s="79"/>
      <c r="L310" s="79"/>
      <c r="M310" s="226"/>
      <c r="N310" s="248"/>
      <c r="O310" s="226"/>
      <c r="P310" s="226"/>
      <c r="Q310" s="226"/>
      <c r="R310" s="68"/>
      <c r="V310" s="41"/>
    </row>
    <row r="311">
      <c r="J311" s="68"/>
      <c r="K311" s="79"/>
      <c r="L311" s="79"/>
      <c r="M311" s="226"/>
      <c r="N311" s="248"/>
      <c r="O311" s="226"/>
      <c r="P311" s="226"/>
      <c r="Q311" s="226"/>
      <c r="R311" s="68"/>
      <c r="V311" s="41"/>
    </row>
    <row r="312">
      <c r="J312" s="68"/>
      <c r="K312" s="79"/>
      <c r="L312" s="79"/>
      <c r="M312" s="226"/>
      <c r="N312" s="248"/>
      <c r="O312" s="226"/>
      <c r="P312" s="226"/>
      <c r="Q312" s="226"/>
      <c r="R312" s="68"/>
      <c r="V312" s="41"/>
    </row>
    <row r="313">
      <c r="J313" s="68"/>
      <c r="K313" s="79"/>
      <c r="L313" s="79"/>
      <c r="M313" s="226"/>
      <c r="N313" s="248"/>
      <c r="O313" s="226"/>
      <c r="P313" s="226"/>
      <c r="Q313" s="226"/>
      <c r="R313" s="68"/>
      <c r="V313" s="41"/>
    </row>
    <row r="314">
      <c r="J314" s="68"/>
      <c r="K314" s="79"/>
      <c r="L314" s="79"/>
      <c r="M314" s="226"/>
      <c r="N314" s="248"/>
      <c r="O314" s="226"/>
      <c r="P314" s="226"/>
      <c r="Q314" s="226"/>
      <c r="R314" s="68"/>
      <c r="V314" s="41"/>
    </row>
    <row r="315">
      <c r="J315" s="68"/>
      <c r="K315" s="79"/>
      <c r="L315" s="79"/>
      <c r="M315" s="226"/>
      <c r="N315" s="248"/>
      <c r="O315" s="226"/>
      <c r="P315" s="226"/>
      <c r="Q315" s="226"/>
      <c r="R315" s="68"/>
      <c r="V315" s="41"/>
    </row>
    <row r="316">
      <c r="J316" s="68"/>
      <c r="K316" s="79"/>
      <c r="L316" s="79"/>
      <c r="M316" s="226"/>
      <c r="N316" s="248"/>
      <c r="O316" s="226"/>
      <c r="P316" s="226"/>
      <c r="Q316" s="226"/>
      <c r="R316" s="68"/>
      <c r="V316" s="41"/>
    </row>
    <row r="317">
      <c r="J317" s="68"/>
      <c r="K317" s="79"/>
      <c r="L317" s="79"/>
      <c r="M317" s="226"/>
      <c r="N317" s="248"/>
      <c r="O317" s="226"/>
      <c r="P317" s="226"/>
      <c r="Q317" s="226"/>
      <c r="R317" s="68"/>
      <c r="V317" s="41"/>
    </row>
    <row r="318">
      <c r="J318" s="68"/>
      <c r="K318" s="79"/>
      <c r="L318" s="79"/>
      <c r="M318" s="226"/>
      <c r="N318" s="248"/>
      <c r="O318" s="226"/>
      <c r="P318" s="226"/>
      <c r="Q318" s="226"/>
      <c r="R318" s="68"/>
      <c r="V318" s="41"/>
    </row>
    <row r="319">
      <c r="J319" s="68"/>
      <c r="K319" s="79"/>
      <c r="L319" s="79"/>
      <c r="M319" s="226"/>
      <c r="N319" s="248"/>
      <c r="O319" s="226"/>
      <c r="P319" s="226"/>
      <c r="Q319" s="226"/>
      <c r="R319" s="68"/>
      <c r="V319" s="41"/>
    </row>
    <row r="320">
      <c r="J320" s="68"/>
      <c r="K320" s="79"/>
      <c r="L320" s="79"/>
      <c r="M320" s="226"/>
      <c r="N320" s="248"/>
      <c r="O320" s="226"/>
      <c r="P320" s="226"/>
      <c r="Q320" s="226"/>
      <c r="R320" s="68"/>
      <c r="V320" s="41"/>
    </row>
    <row r="321">
      <c r="J321" s="68"/>
      <c r="K321" s="79"/>
      <c r="L321" s="79"/>
      <c r="M321" s="226"/>
      <c r="N321" s="248"/>
      <c r="O321" s="226"/>
      <c r="P321" s="226"/>
      <c r="Q321" s="226"/>
      <c r="R321" s="68"/>
      <c r="V321" s="41"/>
    </row>
    <row r="322">
      <c r="J322" s="68"/>
      <c r="K322" s="79"/>
      <c r="L322" s="79"/>
      <c r="M322" s="226"/>
      <c r="N322" s="248"/>
      <c r="O322" s="226"/>
      <c r="P322" s="226"/>
      <c r="Q322" s="226"/>
      <c r="R322" s="68"/>
      <c r="V322" s="41"/>
    </row>
    <row r="323">
      <c r="J323" s="68"/>
      <c r="K323" s="79"/>
      <c r="L323" s="79"/>
      <c r="M323" s="226"/>
      <c r="N323" s="248"/>
      <c r="O323" s="226"/>
      <c r="P323" s="226"/>
      <c r="Q323" s="226"/>
      <c r="R323" s="68"/>
      <c r="V323" s="41"/>
    </row>
    <row r="324">
      <c r="J324" s="68"/>
      <c r="K324" s="79"/>
      <c r="L324" s="79"/>
      <c r="M324" s="226"/>
      <c r="N324" s="248"/>
      <c r="O324" s="226"/>
      <c r="P324" s="226"/>
      <c r="Q324" s="226"/>
      <c r="R324" s="68"/>
      <c r="V324" s="41"/>
    </row>
    <row r="325">
      <c r="J325" s="68"/>
      <c r="K325" s="79"/>
      <c r="L325" s="79"/>
      <c r="M325" s="226"/>
      <c r="N325" s="248"/>
      <c r="O325" s="226"/>
      <c r="P325" s="226"/>
      <c r="Q325" s="226"/>
      <c r="R325" s="68"/>
      <c r="V325" s="41"/>
    </row>
    <row r="326">
      <c r="J326" s="68"/>
      <c r="K326" s="79"/>
      <c r="L326" s="79"/>
      <c r="M326" s="226"/>
      <c r="N326" s="248"/>
      <c r="O326" s="226"/>
      <c r="P326" s="226"/>
      <c r="Q326" s="226"/>
      <c r="R326" s="68"/>
      <c r="V326" s="41"/>
    </row>
    <row r="327">
      <c r="J327" s="68"/>
      <c r="K327" s="79"/>
      <c r="L327" s="79"/>
      <c r="M327" s="226"/>
      <c r="N327" s="248"/>
      <c r="O327" s="226"/>
      <c r="P327" s="226"/>
      <c r="Q327" s="226"/>
      <c r="R327" s="68"/>
      <c r="V327" s="41"/>
    </row>
    <row r="328">
      <c r="J328" s="68"/>
      <c r="K328" s="79"/>
      <c r="L328" s="79"/>
      <c r="M328" s="226"/>
      <c r="N328" s="248"/>
      <c r="O328" s="226"/>
      <c r="P328" s="226"/>
      <c r="Q328" s="226"/>
      <c r="R328" s="68"/>
      <c r="V328" s="41"/>
    </row>
    <row r="329">
      <c r="J329" s="68"/>
      <c r="K329" s="79"/>
      <c r="L329" s="79"/>
      <c r="M329" s="226"/>
      <c r="N329" s="248"/>
      <c r="O329" s="226"/>
      <c r="P329" s="226"/>
      <c r="Q329" s="226"/>
      <c r="R329" s="68"/>
      <c r="V329" s="41"/>
    </row>
    <row r="330">
      <c r="J330" s="68"/>
      <c r="K330" s="79"/>
      <c r="L330" s="79"/>
      <c r="M330" s="226"/>
      <c r="N330" s="248"/>
      <c r="O330" s="226"/>
      <c r="P330" s="226"/>
      <c r="Q330" s="226"/>
      <c r="R330" s="68"/>
      <c r="V330" s="41"/>
    </row>
    <row r="331">
      <c r="J331" s="68"/>
      <c r="K331" s="79"/>
      <c r="L331" s="79"/>
      <c r="M331" s="226"/>
      <c r="N331" s="248"/>
      <c r="O331" s="226"/>
      <c r="P331" s="226"/>
      <c r="Q331" s="226"/>
      <c r="R331" s="68"/>
      <c r="V331" s="41"/>
    </row>
    <row r="332">
      <c r="J332" s="68"/>
      <c r="K332" s="79"/>
      <c r="L332" s="79"/>
      <c r="M332" s="226"/>
      <c r="N332" s="248"/>
      <c r="O332" s="226"/>
      <c r="P332" s="226"/>
      <c r="Q332" s="226"/>
      <c r="R332" s="68"/>
      <c r="V332" s="41"/>
    </row>
    <row r="333">
      <c r="J333" s="68"/>
      <c r="K333" s="79"/>
      <c r="L333" s="79"/>
      <c r="M333" s="226"/>
      <c r="N333" s="248"/>
      <c r="O333" s="226"/>
      <c r="P333" s="226"/>
      <c r="Q333" s="226"/>
      <c r="R333" s="68"/>
      <c r="V333" s="41"/>
    </row>
    <row r="334">
      <c r="J334" s="68"/>
      <c r="K334" s="79"/>
      <c r="L334" s="79"/>
      <c r="M334" s="226"/>
      <c r="N334" s="248"/>
      <c r="O334" s="226"/>
      <c r="P334" s="226"/>
      <c r="Q334" s="226"/>
      <c r="R334" s="68"/>
      <c r="V334" s="41"/>
    </row>
    <row r="335">
      <c r="J335" s="68"/>
      <c r="K335" s="79"/>
      <c r="L335" s="79"/>
      <c r="M335" s="226"/>
      <c r="N335" s="248"/>
      <c r="O335" s="226"/>
      <c r="P335" s="226"/>
      <c r="Q335" s="226"/>
      <c r="R335" s="68"/>
      <c r="V335" s="41"/>
    </row>
    <row r="336">
      <c r="J336" s="68"/>
      <c r="K336" s="79"/>
      <c r="L336" s="79"/>
      <c r="M336" s="226"/>
      <c r="N336" s="248"/>
      <c r="O336" s="226"/>
      <c r="P336" s="226"/>
      <c r="Q336" s="226"/>
      <c r="R336" s="68"/>
      <c r="V336" s="41"/>
    </row>
    <row r="337">
      <c r="J337" s="68"/>
      <c r="K337" s="79"/>
      <c r="L337" s="79"/>
      <c r="M337" s="226"/>
      <c r="N337" s="248"/>
      <c r="O337" s="226"/>
      <c r="P337" s="226"/>
      <c r="Q337" s="226"/>
      <c r="R337" s="68"/>
      <c r="V337" s="41"/>
    </row>
    <row r="338">
      <c r="J338" s="68"/>
      <c r="K338" s="79"/>
      <c r="L338" s="79"/>
      <c r="M338" s="226"/>
      <c r="N338" s="248"/>
      <c r="O338" s="226"/>
      <c r="P338" s="226"/>
      <c r="Q338" s="226"/>
      <c r="R338" s="68"/>
      <c r="V338" s="41"/>
    </row>
    <row r="339">
      <c r="J339" s="68"/>
      <c r="K339" s="79"/>
      <c r="L339" s="79"/>
      <c r="M339" s="226"/>
      <c r="N339" s="248"/>
      <c r="O339" s="226"/>
      <c r="P339" s="226"/>
      <c r="Q339" s="226"/>
      <c r="R339" s="68"/>
      <c r="V339" s="41"/>
    </row>
    <row r="340">
      <c r="J340" s="68"/>
      <c r="K340" s="79"/>
      <c r="L340" s="79"/>
      <c r="M340" s="226"/>
      <c r="N340" s="248"/>
      <c r="O340" s="226"/>
      <c r="P340" s="226"/>
      <c r="Q340" s="226"/>
      <c r="R340" s="68"/>
      <c r="V340" s="41"/>
    </row>
    <row r="341">
      <c r="J341" s="68"/>
      <c r="K341" s="79"/>
      <c r="L341" s="79"/>
      <c r="M341" s="226"/>
      <c r="N341" s="248"/>
      <c r="O341" s="226"/>
      <c r="P341" s="226"/>
      <c r="Q341" s="226"/>
      <c r="R341" s="68"/>
      <c r="V341" s="41"/>
    </row>
    <row r="342">
      <c r="J342" s="68"/>
      <c r="K342" s="79"/>
      <c r="L342" s="79"/>
      <c r="M342" s="226"/>
      <c r="N342" s="248"/>
      <c r="O342" s="226"/>
      <c r="P342" s="226"/>
      <c r="Q342" s="226"/>
      <c r="R342" s="68"/>
      <c r="V342" s="41"/>
    </row>
    <row r="343">
      <c r="J343" s="68"/>
      <c r="K343" s="79"/>
      <c r="L343" s="79"/>
      <c r="M343" s="226"/>
      <c r="N343" s="248"/>
      <c r="O343" s="226"/>
      <c r="P343" s="226"/>
      <c r="Q343" s="226"/>
      <c r="R343" s="68"/>
      <c r="V343" s="41"/>
    </row>
    <row r="344">
      <c r="J344" s="68"/>
      <c r="K344" s="79"/>
      <c r="L344" s="79"/>
      <c r="M344" s="226"/>
      <c r="N344" s="248"/>
      <c r="O344" s="226"/>
      <c r="P344" s="226"/>
      <c r="Q344" s="226"/>
      <c r="R344" s="68"/>
      <c r="V344" s="41"/>
    </row>
    <row r="345">
      <c r="J345" s="68"/>
      <c r="K345" s="79"/>
      <c r="L345" s="79"/>
      <c r="M345" s="226"/>
      <c r="N345" s="248"/>
      <c r="O345" s="226"/>
      <c r="P345" s="226"/>
      <c r="Q345" s="226"/>
      <c r="R345" s="68"/>
      <c r="V345" s="41"/>
    </row>
    <row r="346">
      <c r="J346" s="68"/>
      <c r="K346" s="79"/>
      <c r="L346" s="79"/>
      <c r="M346" s="226"/>
      <c r="N346" s="248"/>
      <c r="O346" s="226"/>
      <c r="P346" s="226"/>
      <c r="Q346" s="226"/>
      <c r="R346" s="68"/>
      <c r="V346" s="41"/>
    </row>
    <row r="347">
      <c r="J347" s="68"/>
      <c r="K347" s="79"/>
      <c r="L347" s="79"/>
      <c r="M347" s="226"/>
      <c r="N347" s="248"/>
      <c r="O347" s="226"/>
      <c r="P347" s="226"/>
      <c r="Q347" s="226"/>
      <c r="R347" s="68"/>
      <c r="V347" s="41"/>
    </row>
    <row r="348">
      <c r="J348" s="68"/>
      <c r="K348" s="79"/>
      <c r="L348" s="79"/>
      <c r="M348" s="226"/>
      <c r="N348" s="248"/>
      <c r="O348" s="226"/>
      <c r="P348" s="226"/>
      <c r="Q348" s="226"/>
      <c r="R348" s="68"/>
      <c r="V348" s="41"/>
    </row>
    <row r="349">
      <c r="J349" s="68"/>
      <c r="K349" s="79"/>
      <c r="L349" s="79"/>
      <c r="M349" s="226"/>
      <c r="N349" s="248"/>
      <c r="O349" s="226"/>
      <c r="P349" s="226"/>
      <c r="Q349" s="226"/>
      <c r="R349" s="68"/>
      <c r="V349" s="41"/>
    </row>
    <row r="350">
      <c r="J350" s="68"/>
      <c r="K350" s="79"/>
      <c r="L350" s="79"/>
      <c r="M350" s="226"/>
      <c r="N350" s="248"/>
      <c r="O350" s="226"/>
      <c r="P350" s="226"/>
      <c r="Q350" s="226"/>
      <c r="R350" s="68"/>
      <c r="V350" s="41"/>
    </row>
    <row r="351">
      <c r="J351" s="68"/>
      <c r="K351" s="79"/>
      <c r="L351" s="79"/>
      <c r="M351" s="226"/>
      <c r="N351" s="248"/>
      <c r="O351" s="226"/>
      <c r="P351" s="226"/>
      <c r="Q351" s="226"/>
      <c r="R351" s="68"/>
      <c r="V351" s="41"/>
    </row>
    <row r="352">
      <c r="J352" s="68"/>
      <c r="K352" s="79"/>
      <c r="L352" s="79"/>
      <c r="M352" s="226"/>
      <c r="N352" s="248"/>
      <c r="O352" s="226"/>
      <c r="P352" s="226"/>
      <c r="Q352" s="226"/>
      <c r="R352" s="68"/>
      <c r="V352" s="41"/>
    </row>
    <row r="353">
      <c r="J353" s="68"/>
      <c r="K353" s="79"/>
      <c r="L353" s="79"/>
      <c r="M353" s="226"/>
      <c r="N353" s="248"/>
      <c r="O353" s="226"/>
      <c r="P353" s="226"/>
      <c r="Q353" s="226"/>
      <c r="R353" s="68"/>
      <c r="V353" s="41"/>
    </row>
    <row r="354">
      <c r="J354" s="68"/>
      <c r="K354" s="79"/>
      <c r="L354" s="79"/>
      <c r="M354" s="226"/>
      <c r="N354" s="248"/>
      <c r="O354" s="226"/>
      <c r="P354" s="226"/>
      <c r="Q354" s="226"/>
      <c r="R354" s="68"/>
      <c r="V354" s="41"/>
    </row>
    <row r="355">
      <c r="J355" s="68"/>
      <c r="K355" s="79"/>
      <c r="L355" s="79"/>
      <c r="M355" s="226"/>
      <c r="N355" s="248"/>
      <c r="O355" s="226"/>
      <c r="P355" s="226"/>
      <c r="Q355" s="226"/>
      <c r="R355" s="68"/>
      <c r="V355" s="41"/>
    </row>
    <row r="356">
      <c r="J356" s="68"/>
      <c r="K356" s="79"/>
      <c r="L356" s="79"/>
      <c r="M356" s="226"/>
      <c r="N356" s="248"/>
      <c r="O356" s="226"/>
      <c r="P356" s="226"/>
      <c r="Q356" s="226"/>
      <c r="R356" s="68"/>
      <c r="V356" s="41"/>
    </row>
    <row r="357">
      <c r="J357" s="68"/>
      <c r="K357" s="79"/>
      <c r="L357" s="79"/>
      <c r="M357" s="226"/>
      <c r="N357" s="248"/>
      <c r="O357" s="226"/>
      <c r="P357" s="226"/>
      <c r="Q357" s="226"/>
      <c r="R357" s="68"/>
      <c r="V357" s="41"/>
    </row>
    <row r="358">
      <c r="J358" s="68"/>
      <c r="K358" s="79"/>
      <c r="L358" s="79"/>
      <c r="M358" s="226"/>
      <c r="N358" s="248"/>
      <c r="O358" s="226"/>
      <c r="P358" s="226"/>
      <c r="Q358" s="226"/>
      <c r="R358" s="68"/>
      <c r="V358" s="41"/>
    </row>
    <row r="359">
      <c r="J359" s="68"/>
      <c r="K359" s="79"/>
      <c r="L359" s="79"/>
      <c r="M359" s="226"/>
      <c r="N359" s="248"/>
      <c r="O359" s="226"/>
      <c r="P359" s="226"/>
      <c r="Q359" s="226"/>
      <c r="R359" s="68"/>
      <c r="V359" s="41"/>
    </row>
    <row r="360">
      <c r="J360" s="68"/>
      <c r="K360" s="79"/>
      <c r="L360" s="79"/>
      <c r="M360" s="226"/>
      <c r="N360" s="248"/>
      <c r="O360" s="226"/>
      <c r="P360" s="226"/>
      <c r="Q360" s="226"/>
      <c r="R360" s="68"/>
      <c r="V360" s="41"/>
    </row>
    <row r="361">
      <c r="J361" s="68"/>
      <c r="K361" s="79"/>
      <c r="L361" s="79"/>
      <c r="M361" s="226"/>
      <c r="N361" s="248"/>
      <c r="O361" s="226"/>
      <c r="P361" s="226"/>
      <c r="Q361" s="226"/>
      <c r="R361" s="68"/>
      <c r="V361" s="41"/>
    </row>
    <row r="362">
      <c r="J362" s="68"/>
      <c r="K362" s="79"/>
      <c r="L362" s="79"/>
      <c r="M362" s="226"/>
      <c r="N362" s="248"/>
      <c r="O362" s="226"/>
      <c r="P362" s="226"/>
      <c r="Q362" s="226"/>
      <c r="R362" s="68"/>
      <c r="V362" s="41"/>
    </row>
    <row r="363">
      <c r="J363" s="68"/>
      <c r="K363" s="79"/>
      <c r="L363" s="79"/>
      <c r="M363" s="226"/>
      <c r="N363" s="248"/>
      <c r="O363" s="226"/>
      <c r="P363" s="226"/>
      <c r="Q363" s="226"/>
      <c r="R363" s="68"/>
      <c r="V363" s="41"/>
    </row>
    <row r="364">
      <c r="J364" s="68"/>
      <c r="K364" s="79"/>
      <c r="L364" s="79"/>
      <c r="M364" s="226"/>
      <c r="N364" s="248"/>
      <c r="O364" s="226"/>
      <c r="P364" s="226"/>
      <c r="Q364" s="226"/>
      <c r="R364" s="68"/>
      <c r="V364" s="41"/>
    </row>
    <row r="365">
      <c r="J365" s="68"/>
      <c r="K365" s="79"/>
      <c r="L365" s="79"/>
      <c r="M365" s="226"/>
      <c r="N365" s="248"/>
      <c r="O365" s="226"/>
      <c r="P365" s="226"/>
      <c r="Q365" s="226"/>
      <c r="R365" s="68"/>
      <c r="V365" s="41"/>
    </row>
    <row r="366">
      <c r="J366" s="68"/>
      <c r="K366" s="79"/>
      <c r="L366" s="79"/>
      <c r="M366" s="226"/>
      <c r="N366" s="248"/>
      <c r="O366" s="226"/>
      <c r="P366" s="226"/>
      <c r="Q366" s="226"/>
      <c r="R366" s="68"/>
      <c r="V366" s="41"/>
    </row>
    <row r="367">
      <c r="J367" s="68"/>
      <c r="K367" s="79"/>
      <c r="L367" s="79"/>
      <c r="M367" s="226"/>
      <c r="N367" s="248"/>
      <c r="O367" s="226"/>
      <c r="P367" s="226"/>
      <c r="Q367" s="226"/>
      <c r="R367" s="68"/>
      <c r="V367" s="41"/>
    </row>
    <row r="368">
      <c r="J368" s="68"/>
      <c r="K368" s="79"/>
      <c r="L368" s="79"/>
      <c r="M368" s="226"/>
      <c r="N368" s="248"/>
      <c r="O368" s="226"/>
      <c r="P368" s="226"/>
      <c r="Q368" s="226"/>
      <c r="R368" s="68"/>
      <c r="V368" s="41"/>
    </row>
    <row r="369">
      <c r="J369" s="68"/>
      <c r="K369" s="79"/>
      <c r="L369" s="79"/>
      <c r="M369" s="226"/>
      <c r="N369" s="248"/>
      <c r="O369" s="226"/>
      <c r="P369" s="226"/>
      <c r="Q369" s="226"/>
      <c r="R369" s="68"/>
      <c r="V369" s="41"/>
    </row>
    <row r="370">
      <c r="J370" s="68"/>
      <c r="K370" s="79"/>
      <c r="L370" s="79"/>
      <c r="M370" s="226"/>
      <c r="N370" s="248"/>
      <c r="O370" s="226"/>
      <c r="P370" s="226"/>
      <c r="Q370" s="226"/>
      <c r="R370" s="68"/>
      <c r="V370" s="41"/>
    </row>
    <row r="371">
      <c r="J371" s="68"/>
      <c r="K371" s="79"/>
      <c r="L371" s="79"/>
      <c r="M371" s="226"/>
      <c r="N371" s="248"/>
      <c r="O371" s="226"/>
      <c r="P371" s="226"/>
      <c r="Q371" s="226"/>
      <c r="R371" s="68"/>
      <c r="V371" s="41"/>
    </row>
    <row r="372">
      <c r="J372" s="68"/>
      <c r="K372" s="79"/>
      <c r="L372" s="79"/>
      <c r="M372" s="226"/>
      <c r="N372" s="248"/>
      <c r="O372" s="226"/>
      <c r="P372" s="226"/>
      <c r="Q372" s="226"/>
      <c r="R372" s="68"/>
      <c r="V372" s="41"/>
    </row>
    <row r="373">
      <c r="J373" s="68"/>
      <c r="K373" s="79"/>
      <c r="L373" s="79"/>
      <c r="M373" s="226"/>
      <c r="N373" s="248"/>
      <c r="O373" s="226"/>
      <c r="P373" s="226"/>
      <c r="Q373" s="226"/>
      <c r="R373" s="68"/>
      <c r="V373" s="41"/>
    </row>
    <row r="374">
      <c r="J374" s="68"/>
      <c r="K374" s="79"/>
      <c r="L374" s="79"/>
      <c r="M374" s="226"/>
      <c r="N374" s="248"/>
      <c r="O374" s="226"/>
      <c r="P374" s="226"/>
      <c r="Q374" s="226"/>
      <c r="R374" s="68"/>
      <c r="V374" s="41"/>
    </row>
    <row r="375">
      <c r="J375" s="68"/>
      <c r="K375" s="79"/>
      <c r="L375" s="79"/>
      <c r="M375" s="226"/>
      <c r="N375" s="248"/>
      <c r="O375" s="226"/>
      <c r="P375" s="226"/>
      <c r="Q375" s="226"/>
      <c r="R375" s="68"/>
      <c r="V375" s="41"/>
    </row>
    <row r="376">
      <c r="J376" s="68"/>
      <c r="K376" s="79"/>
      <c r="L376" s="79"/>
      <c r="M376" s="226"/>
      <c r="N376" s="248"/>
      <c r="O376" s="226"/>
      <c r="P376" s="226"/>
      <c r="Q376" s="226"/>
      <c r="R376" s="68"/>
      <c r="V376" s="41"/>
    </row>
    <row r="377">
      <c r="J377" s="68"/>
      <c r="K377" s="79"/>
      <c r="L377" s="79"/>
      <c r="M377" s="226"/>
      <c r="N377" s="248"/>
      <c r="O377" s="226"/>
      <c r="P377" s="226"/>
      <c r="Q377" s="226"/>
      <c r="R377" s="68"/>
      <c r="V377" s="41"/>
    </row>
    <row r="378">
      <c r="J378" s="68"/>
      <c r="K378" s="79"/>
      <c r="L378" s="79"/>
      <c r="M378" s="226"/>
      <c r="N378" s="248"/>
      <c r="O378" s="226"/>
      <c r="P378" s="226"/>
      <c r="Q378" s="226"/>
      <c r="R378" s="68"/>
      <c r="V378" s="41"/>
    </row>
    <row r="379">
      <c r="J379" s="68"/>
      <c r="K379" s="79"/>
      <c r="L379" s="79"/>
      <c r="M379" s="226"/>
      <c r="N379" s="248"/>
      <c r="O379" s="226"/>
      <c r="P379" s="226"/>
      <c r="Q379" s="226"/>
      <c r="R379" s="68"/>
      <c r="V379" s="41"/>
    </row>
    <row r="380">
      <c r="J380" s="68"/>
      <c r="K380" s="79"/>
      <c r="L380" s="79"/>
      <c r="M380" s="226"/>
      <c r="N380" s="248"/>
      <c r="O380" s="226"/>
      <c r="P380" s="226"/>
      <c r="Q380" s="226"/>
      <c r="R380" s="68"/>
      <c r="V380" s="41"/>
    </row>
    <row r="381">
      <c r="J381" s="68"/>
      <c r="K381" s="79"/>
      <c r="L381" s="79"/>
      <c r="M381" s="226"/>
      <c r="N381" s="248"/>
      <c r="O381" s="226"/>
      <c r="P381" s="226"/>
      <c r="Q381" s="226"/>
      <c r="R381" s="68"/>
      <c r="V381" s="41"/>
    </row>
    <row r="382">
      <c r="J382" s="68"/>
      <c r="K382" s="79"/>
      <c r="L382" s="79"/>
      <c r="M382" s="226"/>
      <c r="N382" s="248"/>
      <c r="O382" s="226"/>
      <c r="P382" s="226"/>
      <c r="Q382" s="226"/>
      <c r="R382" s="68"/>
      <c r="V382" s="41"/>
    </row>
    <row r="383">
      <c r="J383" s="68"/>
      <c r="K383" s="79"/>
      <c r="L383" s="79"/>
      <c r="M383" s="226"/>
      <c r="N383" s="248"/>
      <c r="O383" s="226"/>
      <c r="P383" s="226"/>
      <c r="Q383" s="226"/>
      <c r="R383" s="68"/>
      <c r="V383" s="41"/>
    </row>
    <row r="384">
      <c r="J384" s="68"/>
      <c r="K384" s="79"/>
      <c r="L384" s="79"/>
      <c r="M384" s="226"/>
      <c r="N384" s="248"/>
      <c r="O384" s="226"/>
      <c r="P384" s="226"/>
      <c r="Q384" s="226"/>
      <c r="R384" s="68"/>
      <c r="V384" s="41"/>
    </row>
    <row r="385">
      <c r="J385" s="68"/>
      <c r="K385" s="79"/>
      <c r="L385" s="79"/>
      <c r="M385" s="226"/>
      <c r="N385" s="248"/>
      <c r="O385" s="226"/>
      <c r="P385" s="226"/>
      <c r="Q385" s="226"/>
      <c r="R385" s="68"/>
      <c r="V385" s="41"/>
    </row>
    <row r="386">
      <c r="J386" s="68"/>
      <c r="K386" s="79"/>
      <c r="L386" s="79"/>
      <c r="M386" s="226"/>
      <c r="N386" s="248"/>
      <c r="O386" s="226"/>
      <c r="P386" s="226"/>
      <c r="Q386" s="226"/>
      <c r="R386" s="68"/>
      <c r="V386" s="41"/>
    </row>
    <row r="387">
      <c r="J387" s="68"/>
      <c r="K387" s="79"/>
      <c r="L387" s="79"/>
      <c r="M387" s="226"/>
      <c r="N387" s="248"/>
      <c r="O387" s="226"/>
      <c r="P387" s="226"/>
      <c r="Q387" s="226"/>
      <c r="R387" s="68"/>
      <c r="V387" s="41"/>
    </row>
    <row r="388">
      <c r="J388" s="68"/>
      <c r="K388" s="79"/>
      <c r="L388" s="79"/>
      <c r="M388" s="226"/>
      <c r="N388" s="248"/>
      <c r="O388" s="226"/>
      <c r="P388" s="226"/>
      <c r="Q388" s="226"/>
      <c r="R388" s="68"/>
      <c r="V388" s="41"/>
    </row>
    <row r="389">
      <c r="J389" s="68"/>
      <c r="K389" s="79"/>
      <c r="L389" s="79"/>
      <c r="M389" s="226"/>
      <c r="N389" s="248"/>
      <c r="O389" s="226"/>
      <c r="P389" s="226"/>
      <c r="Q389" s="226"/>
      <c r="R389" s="68"/>
      <c r="V389" s="41"/>
    </row>
    <row r="390">
      <c r="J390" s="68"/>
      <c r="K390" s="79"/>
      <c r="L390" s="79"/>
      <c r="M390" s="226"/>
      <c r="N390" s="248"/>
      <c r="O390" s="226"/>
      <c r="P390" s="226"/>
      <c r="Q390" s="226"/>
      <c r="R390" s="68"/>
      <c r="V390" s="41"/>
    </row>
    <row r="391">
      <c r="J391" s="68"/>
      <c r="K391" s="79"/>
      <c r="L391" s="79"/>
      <c r="M391" s="226"/>
      <c r="N391" s="248"/>
      <c r="O391" s="226"/>
      <c r="P391" s="226"/>
      <c r="Q391" s="226"/>
      <c r="R391" s="68"/>
      <c r="V391" s="41"/>
    </row>
    <row r="392">
      <c r="J392" s="68"/>
      <c r="K392" s="79"/>
      <c r="L392" s="79"/>
      <c r="M392" s="226"/>
      <c r="N392" s="248"/>
      <c r="O392" s="226"/>
      <c r="P392" s="226"/>
      <c r="Q392" s="226"/>
      <c r="R392" s="68"/>
      <c r="V392" s="41"/>
    </row>
    <row r="393">
      <c r="J393" s="68"/>
      <c r="K393" s="79"/>
      <c r="L393" s="79"/>
      <c r="M393" s="226"/>
      <c r="N393" s="248"/>
      <c r="O393" s="226"/>
      <c r="P393" s="226"/>
      <c r="Q393" s="226"/>
      <c r="R393" s="68"/>
      <c r="V393" s="41"/>
    </row>
    <row r="394">
      <c r="J394" s="68"/>
      <c r="K394" s="79"/>
      <c r="L394" s="79"/>
      <c r="M394" s="226"/>
      <c r="N394" s="248"/>
      <c r="O394" s="226"/>
      <c r="P394" s="226"/>
      <c r="Q394" s="226"/>
      <c r="R394" s="68"/>
      <c r="V394" s="41"/>
    </row>
    <row r="395">
      <c r="J395" s="68"/>
      <c r="K395" s="79"/>
      <c r="L395" s="79"/>
      <c r="M395" s="226"/>
      <c r="N395" s="248"/>
      <c r="O395" s="226"/>
      <c r="P395" s="226"/>
      <c r="Q395" s="226"/>
      <c r="R395" s="68"/>
      <c r="V395" s="41"/>
    </row>
    <row r="396">
      <c r="J396" s="68"/>
      <c r="K396" s="79"/>
      <c r="L396" s="79"/>
      <c r="M396" s="226"/>
      <c r="N396" s="248"/>
      <c r="O396" s="226"/>
      <c r="P396" s="226"/>
      <c r="Q396" s="226"/>
      <c r="R396" s="68"/>
      <c r="V396" s="41"/>
    </row>
    <row r="397">
      <c r="J397" s="68"/>
      <c r="K397" s="79"/>
      <c r="L397" s="79"/>
      <c r="M397" s="226"/>
      <c r="N397" s="248"/>
      <c r="O397" s="226"/>
      <c r="P397" s="226"/>
      <c r="Q397" s="226"/>
      <c r="R397" s="68"/>
      <c r="V397" s="41"/>
    </row>
    <row r="398">
      <c r="J398" s="68"/>
      <c r="K398" s="79"/>
      <c r="L398" s="79"/>
      <c r="M398" s="226"/>
      <c r="N398" s="248"/>
      <c r="O398" s="226"/>
      <c r="P398" s="226"/>
      <c r="Q398" s="226"/>
      <c r="R398" s="68"/>
      <c r="V398" s="41"/>
    </row>
    <row r="399">
      <c r="J399" s="68"/>
      <c r="K399" s="79"/>
      <c r="L399" s="79"/>
      <c r="M399" s="226"/>
      <c r="N399" s="248"/>
      <c r="O399" s="226"/>
      <c r="P399" s="226"/>
      <c r="Q399" s="226"/>
      <c r="R399" s="68"/>
      <c r="V399" s="41"/>
    </row>
    <row r="400">
      <c r="J400" s="68"/>
      <c r="K400" s="79"/>
      <c r="L400" s="79"/>
      <c r="M400" s="226"/>
      <c r="N400" s="248"/>
      <c r="O400" s="226"/>
      <c r="P400" s="226"/>
      <c r="Q400" s="226"/>
      <c r="R400" s="68"/>
      <c r="V400" s="41"/>
    </row>
    <row r="401">
      <c r="J401" s="68"/>
      <c r="K401" s="79"/>
      <c r="L401" s="79"/>
      <c r="M401" s="226"/>
      <c r="N401" s="248"/>
      <c r="O401" s="226"/>
      <c r="P401" s="226"/>
      <c r="Q401" s="226"/>
      <c r="R401" s="68"/>
      <c r="V401" s="41"/>
    </row>
    <row r="402">
      <c r="J402" s="68"/>
      <c r="K402" s="79"/>
      <c r="L402" s="79"/>
      <c r="M402" s="226"/>
      <c r="N402" s="248"/>
      <c r="O402" s="226"/>
      <c r="P402" s="226"/>
      <c r="Q402" s="226"/>
      <c r="R402" s="68"/>
      <c r="V402" s="41"/>
    </row>
    <row r="403">
      <c r="J403" s="68"/>
      <c r="K403" s="79"/>
      <c r="L403" s="79"/>
      <c r="M403" s="226"/>
      <c r="N403" s="248"/>
      <c r="O403" s="226"/>
      <c r="P403" s="226"/>
      <c r="Q403" s="226"/>
      <c r="R403" s="68"/>
      <c r="V403" s="41"/>
    </row>
    <row r="404">
      <c r="J404" s="68"/>
      <c r="K404" s="79"/>
      <c r="L404" s="79"/>
      <c r="M404" s="226"/>
      <c r="N404" s="248"/>
      <c r="O404" s="226"/>
      <c r="P404" s="226"/>
      <c r="Q404" s="226"/>
      <c r="R404" s="68"/>
      <c r="V404" s="41"/>
    </row>
    <row r="405">
      <c r="J405" s="68"/>
      <c r="K405" s="79"/>
      <c r="L405" s="79"/>
      <c r="M405" s="226"/>
      <c r="N405" s="248"/>
      <c r="O405" s="226"/>
      <c r="P405" s="226"/>
      <c r="Q405" s="226"/>
      <c r="R405" s="68"/>
      <c r="V405" s="41"/>
    </row>
    <row r="406">
      <c r="J406" s="68"/>
      <c r="K406" s="79"/>
      <c r="L406" s="79"/>
      <c r="M406" s="226"/>
      <c r="N406" s="248"/>
      <c r="O406" s="226"/>
      <c r="P406" s="226"/>
      <c r="Q406" s="226"/>
      <c r="R406" s="68"/>
      <c r="V406" s="41"/>
    </row>
    <row r="407">
      <c r="J407" s="68"/>
      <c r="K407" s="79"/>
      <c r="L407" s="79"/>
      <c r="M407" s="226"/>
      <c r="N407" s="248"/>
      <c r="O407" s="226"/>
      <c r="P407" s="226"/>
      <c r="Q407" s="226"/>
      <c r="R407" s="68"/>
      <c r="V407" s="41"/>
    </row>
    <row r="408">
      <c r="J408" s="68"/>
      <c r="K408" s="79"/>
      <c r="L408" s="79"/>
      <c r="M408" s="226"/>
      <c r="N408" s="248"/>
      <c r="O408" s="226"/>
      <c r="P408" s="226"/>
      <c r="Q408" s="226"/>
      <c r="R408" s="68"/>
      <c r="V408" s="41"/>
    </row>
    <row r="409">
      <c r="J409" s="68"/>
      <c r="K409" s="79"/>
      <c r="L409" s="79"/>
      <c r="M409" s="226"/>
      <c r="N409" s="248"/>
      <c r="O409" s="226"/>
      <c r="P409" s="226"/>
      <c r="Q409" s="226"/>
      <c r="R409" s="68"/>
      <c r="V409" s="41"/>
    </row>
    <row r="410">
      <c r="J410" s="68"/>
      <c r="K410" s="79"/>
      <c r="L410" s="79"/>
      <c r="M410" s="226"/>
      <c r="N410" s="248"/>
      <c r="O410" s="226"/>
      <c r="P410" s="226"/>
      <c r="Q410" s="226"/>
      <c r="R410" s="68"/>
      <c r="V410" s="41"/>
    </row>
    <row r="411">
      <c r="J411" s="68"/>
      <c r="K411" s="79"/>
      <c r="L411" s="79"/>
      <c r="M411" s="226"/>
      <c r="N411" s="248"/>
      <c r="O411" s="226"/>
      <c r="P411" s="226"/>
      <c r="Q411" s="226"/>
      <c r="R411" s="68"/>
      <c r="V411" s="41"/>
    </row>
    <row r="412">
      <c r="J412" s="68"/>
      <c r="K412" s="79"/>
      <c r="L412" s="79"/>
      <c r="M412" s="226"/>
      <c r="N412" s="248"/>
      <c r="O412" s="226"/>
      <c r="P412" s="226"/>
      <c r="Q412" s="226"/>
      <c r="R412" s="68"/>
      <c r="V412" s="41"/>
    </row>
    <row r="413">
      <c r="J413" s="68"/>
      <c r="K413" s="79"/>
      <c r="L413" s="79"/>
      <c r="M413" s="226"/>
      <c r="N413" s="248"/>
      <c r="O413" s="226"/>
      <c r="P413" s="226"/>
      <c r="Q413" s="226"/>
      <c r="R413" s="68"/>
      <c r="V413" s="41"/>
    </row>
    <row r="414">
      <c r="J414" s="68"/>
      <c r="K414" s="79"/>
      <c r="L414" s="79"/>
      <c r="M414" s="226"/>
      <c r="N414" s="248"/>
      <c r="O414" s="226"/>
      <c r="P414" s="226"/>
      <c r="Q414" s="226"/>
      <c r="R414" s="68"/>
      <c r="V414" s="41"/>
    </row>
    <row r="415">
      <c r="J415" s="68"/>
      <c r="K415" s="79"/>
      <c r="L415" s="79"/>
      <c r="M415" s="226"/>
      <c r="N415" s="248"/>
      <c r="O415" s="226"/>
      <c r="P415" s="226"/>
      <c r="Q415" s="226"/>
      <c r="R415" s="68"/>
      <c r="V415" s="41"/>
    </row>
    <row r="416">
      <c r="J416" s="68"/>
      <c r="K416" s="79"/>
      <c r="L416" s="79"/>
      <c r="M416" s="226"/>
      <c r="N416" s="248"/>
      <c r="O416" s="226"/>
      <c r="P416" s="226"/>
      <c r="Q416" s="226"/>
      <c r="R416" s="68"/>
      <c r="V416" s="41"/>
    </row>
    <row r="417">
      <c r="J417" s="68"/>
      <c r="K417" s="79"/>
      <c r="L417" s="79"/>
      <c r="M417" s="226"/>
      <c r="N417" s="248"/>
      <c r="O417" s="226"/>
      <c r="P417" s="226"/>
      <c r="Q417" s="226"/>
      <c r="R417" s="68"/>
      <c r="V417" s="41"/>
    </row>
    <row r="418">
      <c r="J418" s="68"/>
      <c r="K418" s="79"/>
      <c r="L418" s="79"/>
      <c r="M418" s="226"/>
      <c r="N418" s="248"/>
      <c r="O418" s="226"/>
      <c r="P418" s="226"/>
      <c r="Q418" s="226"/>
      <c r="R418" s="68"/>
      <c r="V418" s="41"/>
    </row>
    <row r="419">
      <c r="J419" s="68"/>
      <c r="K419" s="79"/>
      <c r="L419" s="79"/>
      <c r="M419" s="226"/>
      <c r="N419" s="248"/>
      <c r="O419" s="226"/>
      <c r="P419" s="226"/>
      <c r="Q419" s="226"/>
      <c r="R419" s="68"/>
      <c r="V419" s="41"/>
    </row>
    <row r="420">
      <c r="J420" s="68"/>
      <c r="K420" s="79"/>
      <c r="L420" s="79"/>
      <c r="M420" s="226"/>
      <c r="N420" s="248"/>
      <c r="O420" s="226"/>
      <c r="P420" s="226"/>
      <c r="Q420" s="226"/>
      <c r="R420" s="68"/>
      <c r="V420" s="41"/>
    </row>
    <row r="421">
      <c r="J421" s="68"/>
      <c r="K421" s="79"/>
      <c r="L421" s="79"/>
      <c r="M421" s="226"/>
      <c r="N421" s="248"/>
      <c r="O421" s="226"/>
      <c r="P421" s="226"/>
      <c r="Q421" s="226"/>
      <c r="R421" s="68"/>
      <c r="V421" s="41"/>
    </row>
    <row r="422">
      <c r="J422" s="68"/>
      <c r="K422" s="79"/>
      <c r="L422" s="79"/>
      <c r="M422" s="226"/>
      <c r="N422" s="248"/>
      <c r="O422" s="226"/>
      <c r="P422" s="226"/>
      <c r="Q422" s="226"/>
      <c r="R422" s="68"/>
      <c r="V422" s="41"/>
    </row>
    <row r="423">
      <c r="J423" s="68"/>
      <c r="K423" s="79"/>
      <c r="L423" s="79"/>
      <c r="M423" s="226"/>
      <c r="N423" s="248"/>
      <c r="O423" s="226"/>
      <c r="P423" s="226"/>
      <c r="Q423" s="226"/>
      <c r="R423" s="68"/>
      <c r="V423" s="41"/>
    </row>
    <row r="424">
      <c r="J424" s="68"/>
      <c r="K424" s="79"/>
      <c r="L424" s="79"/>
      <c r="M424" s="226"/>
      <c r="N424" s="248"/>
      <c r="O424" s="226"/>
      <c r="P424" s="226"/>
      <c r="Q424" s="226"/>
      <c r="R424" s="68"/>
      <c r="V424" s="41"/>
    </row>
    <row r="425">
      <c r="J425" s="68"/>
      <c r="K425" s="79"/>
      <c r="L425" s="79"/>
      <c r="M425" s="226"/>
      <c r="N425" s="248"/>
      <c r="O425" s="226"/>
      <c r="P425" s="226"/>
      <c r="Q425" s="226"/>
      <c r="R425" s="68"/>
      <c r="V425" s="41"/>
    </row>
    <row r="426">
      <c r="J426" s="68"/>
      <c r="K426" s="79"/>
      <c r="L426" s="79"/>
      <c r="M426" s="226"/>
      <c r="N426" s="248"/>
      <c r="O426" s="226"/>
      <c r="P426" s="226"/>
      <c r="Q426" s="226"/>
      <c r="R426" s="68"/>
      <c r="V426" s="41"/>
    </row>
    <row r="427">
      <c r="J427" s="68"/>
      <c r="K427" s="79"/>
      <c r="L427" s="79"/>
      <c r="M427" s="226"/>
      <c r="N427" s="248"/>
      <c r="O427" s="226"/>
      <c r="P427" s="226"/>
      <c r="Q427" s="226"/>
      <c r="R427" s="68"/>
      <c r="V427" s="41"/>
    </row>
    <row r="428">
      <c r="J428" s="68"/>
      <c r="K428" s="79"/>
      <c r="L428" s="79"/>
      <c r="M428" s="226"/>
      <c r="N428" s="248"/>
      <c r="O428" s="226"/>
      <c r="P428" s="226"/>
      <c r="Q428" s="226"/>
      <c r="R428" s="68"/>
      <c r="V428" s="41"/>
    </row>
    <row r="429">
      <c r="J429" s="68"/>
      <c r="K429" s="79"/>
      <c r="L429" s="79"/>
      <c r="M429" s="226"/>
      <c r="N429" s="248"/>
      <c r="O429" s="226"/>
      <c r="P429" s="226"/>
      <c r="Q429" s="226"/>
      <c r="R429" s="68"/>
      <c r="V429" s="41"/>
    </row>
    <row r="430">
      <c r="J430" s="68"/>
      <c r="K430" s="79"/>
      <c r="L430" s="79"/>
      <c r="M430" s="226"/>
      <c r="N430" s="248"/>
      <c r="O430" s="226"/>
      <c r="P430" s="226"/>
      <c r="Q430" s="226"/>
      <c r="R430" s="68"/>
      <c r="V430" s="41"/>
    </row>
    <row r="431">
      <c r="J431" s="68"/>
      <c r="K431" s="79"/>
      <c r="L431" s="79"/>
      <c r="M431" s="226"/>
      <c r="N431" s="248"/>
      <c r="O431" s="226"/>
      <c r="P431" s="226"/>
      <c r="Q431" s="226"/>
      <c r="R431" s="68"/>
      <c r="V431" s="41"/>
    </row>
    <row r="432">
      <c r="J432" s="68"/>
      <c r="K432" s="79"/>
      <c r="L432" s="79"/>
      <c r="M432" s="226"/>
      <c r="N432" s="248"/>
      <c r="O432" s="226"/>
      <c r="P432" s="226"/>
      <c r="Q432" s="226"/>
      <c r="R432" s="68"/>
      <c r="V432" s="41"/>
    </row>
    <row r="433">
      <c r="J433" s="68"/>
      <c r="K433" s="79"/>
      <c r="L433" s="79"/>
      <c r="M433" s="226"/>
      <c r="N433" s="248"/>
      <c r="O433" s="226"/>
      <c r="P433" s="226"/>
      <c r="Q433" s="226"/>
      <c r="R433" s="68"/>
      <c r="V433" s="41"/>
    </row>
    <row r="434">
      <c r="J434" s="68"/>
      <c r="K434" s="79"/>
      <c r="L434" s="79"/>
      <c r="M434" s="226"/>
      <c r="N434" s="248"/>
      <c r="O434" s="226"/>
      <c r="P434" s="226"/>
      <c r="Q434" s="226"/>
      <c r="R434" s="68"/>
      <c r="V434" s="41"/>
    </row>
    <row r="435">
      <c r="J435" s="68"/>
      <c r="K435" s="79"/>
      <c r="L435" s="79"/>
      <c r="M435" s="226"/>
      <c r="N435" s="248"/>
      <c r="O435" s="226"/>
      <c r="P435" s="226"/>
      <c r="Q435" s="226"/>
      <c r="R435" s="68"/>
      <c r="V435" s="41"/>
    </row>
    <row r="436">
      <c r="J436" s="68"/>
      <c r="K436" s="79"/>
      <c r="L436" s="79"/>
      <c r="M436" s="226"/>
      <c r="N436" s="248"/>
      <c r="O436" s="226"/>
      <c r="P436" s="226"/>
      <c r="Q436" s="226"/>
      <c r="R436" s="68"/>
      <c r="V436" s="41"/>
    </row>
    <row r="437">
      <c r="J437" s="68"/>
      <c r="K437" s="79"/>
      <c r="L437" s="79"/>
      <c r="M437" s="226"/>
      <c r="N437" s="248"/>
      <c r="O437" s="226"/>
      <c r="P437" s="226"/>
      <c r="Q437" s="226"/>
      <c r="R437" s="68"/>
      <c r="V437" s="41"/>
    </row>
    <row r="438">
      <c r="J438" s="68"/>
      <c r="K438" s="79"/>
      <c r="L438" s="79"/>
      <c r="M438" s="226"/>
      <c r="N438" s="248"/>
      <c r="O438" s="226"/>
      <c r="P438" s="226"/>
      <c r="Q438" s="226"/>
      <c r="R438" s="68"/>
      <c r="V438" s="41"/>
    </row>
    <row r="439">
      <c r="J439" s="68"/>
      <c r="K439" s="79"/>
      <c r="L439" s="79"/>
      <c r="M439" s="226"/>
      <c r="N439" s="248"/>
      <c r="O439" s="226"/>
      <c r="P439" s="226"/>
      <c r="Q439" s="226"/>
      <c r="R439" s="68"/>
      <c r="V439" s="41"/>
    </row>
    <row r="440">
      <c r="J440" s="68"/>
      <c r="K440" s="79"/>
      <c r="L440" s="79"/>
      <c r="M440" s="226"/>
      <c r="N440" s="248"/>
      <c r="O440" s="226"/>
      <c r="P440" s="226"/>
      <c r="Q440" s="226"/>
      <c r="R440" s="68"/>
      <c r="V440" s="41"/>
    </row>
    <row r="441">
      <c r="J441" s="68"/>
      <c r="K441" s="79"/>
      <c r="L441" s="79"/>
      <c r="M441" s="226"/>
      <c r="N441" s="248"/>
      <c r="O441" s="226"/>
      <c r="P441" s="226"/>
      <c r="Q441" s="226"/>
      <c r="R441" s="68"/>
      <c r="V441" s="41"/>
    </row>
    <row r="442">
      <c r="J442" s="68"/>
      <c r="K442" s="79"/>
      <c r="L442" s="79"/>
      <c r="M442" s="226"/>
      <c r="N442" s="248"/>
      <c r="O442" s="226"/>
      <c r="P442" s="226"/>
      <c r="Q442" s="226"/>
      <c r="R442" s="68"/>
      <c r="V442" s="41"/>
    </row>
    <row r="443">
      <c r="J443" s="68"/>
      <c r="K443" s="79"/>
      <c r="L443" s="79"/>
      <c r="M443" s="226"/>
      <c r="N443" s="248"/>
      <c r="O443" s="226"/>
      <c r="P443" s="226"/>
      <c r="Q443" s="226"/>
      <c r="R443" s="68"/>
      <c r="V443" s="41"/>
    </row>
    <row r="444">
      <c r="J444" s="68"/>
      <c r="K444" s="79"/>
      <c r="L444" s="79"/>
      <c r="M444" s="226"/>
      <c r="N444" s="248"/>
      <c r="O444" s="226"/>
      <c r="P444" s="226"/>
      <c r="Q444" s="226"/>
      <c r="R444" s="68"/>
      <c r="V444" s="41"/>
    </row>
    <row r="445">
      <c r="J445" s="68"/>
      <c r="K445" s="79"/>
      <c r="L445" s="79"/>
      <c r="M445" s="226"/>
      <c r="N445" s="248"/>
      <c r="O445" s="226"/>
      <c r="P445" s="226"/>
      <c r="Q445" s="226"/>
      <c r="R445" s="68"/>
      <c r="V445" s="41"/>
    </row>
    <row r="446">
      <c r="J446" s="68"/>
      <c r="K446" s="79"/>
      <c r="L446" s="79"/>
      <c r="M446" s="226"/>
      <c r="N446" s="248"/>
      <c r="O446" s="226"/>
      <c r="P446" s="226"/>
      <c r="Q446" s="226"/>
      <c r="R446" s="68"/>
      <c r="V446" s="41"/>
    </row>
    <row r="447">
      <c r="J447" s="68"/>
      <c r="K447" s="79"/>
      <c r="L447" s="79"/>
      <c r="M447" s="226"/>
      <c r="N447" s="248"/>
      <c r="O447" s="226"/>
      <c r="P447" s="226"/>
      <c r="Q447" s="226"/>
      <c r="R447" s="68"/>
      <c r="V447" s="41"/>
    </row>
    <row r="448">
      <c r="J448" s="68"/>
      <c r="K448" s="79"/>
      <c r="L448" s="79"/>
      <c r="M448" s="226"/>
      <c r="N448" s="248"/>
      <c r="O448" s="226"/>
      <c r="P448" s="226"/>
      <c r="Q448" s="226"/>
      <c r="R448" s="68"/>
      <c r="V448" s="41"/>
    </row>
    <row r="449">
      <c r="J449" s="68"/>
      <c r="K449" s="79"/>
      <c r="L449" s="79"/>
      <c r="M449" s="226"/>
      <c r="N449" s="248"/>
      <c r="O449" s="226"/>
      <c r="P449" s="226"/>
      <c r="Q449" s="226"/>
      <c r="R449" s="68"/>
      <c r="V449" s="41"/>
    </row>
    <row r="450">
      <c r="J450" s="68"/>
      <c r="K450" s="79"/>
      <c r="L450" s="79"/>
      <c r="M450" s="226"/>
      <c r="N450" s="248"/>
      <c r="O450" s="226"/>
      <c r="P450" s="226"/>
      <c r="Q450" s="226"/>
      <c r="R450" s="68"/>
      <c r="V450" s="41"/>
    </row>
    <row r="451">
      <c r="J451" s="68"/>
      <c r="K451" s="79"/>
      <c r="L451" s="79"/>
      <c r="M451" s="226"/>
      <c r="N451" s="248"/>
      <c r="O451" s="226"/>
      <c r="P451" s="226"/>
      <c r="Q451" s="226"/>
      <c r="R451" s="68"/>
      <c r="V451" s="41"/>
    </row>
    <row r="452">
      <c r="J452" s="68"/>
      <c r="K452" s="79"/>
      <c r="L452" s="79"/>
      <c r="M452" s="226"/>
      <c r="N452" s="248"/>
      <c r="O452" s="226"/>
      <c r="P452" s="226"/>
      <c r="Q452" s="226"/>
      <c r="R452" s="68"/>
      <c r="V452" s="41"/>
    </row>
    <row r="453">
      <c r="J453" s="68"/>
      <c r="K453" s="79"/>
      <c r="L453" s="79"/>
      <c r="M453" s="226"/>
      <c r="N453" s="248"/>
      <c r="O453" s="226"/>
      <c r="P453" s="226"/>
      <c r="Q453" s="226"/>
      <c r="R453" s="68"/>
      <c r="V453" s="41"/>
    </row>
    <row r="454">
      <c r="J454" s="68"/>
      <c r="K454" s="79"/>
      <c r="L454" s="79"/>
      <c r="M454" s="226"/>
      <c r="N454" s="248"/>
      <c r="O454" s="226"/>
      <c r="P454" s="226"/>
      <c r="Q454" s="226"/>
      <c r="R454" s="68"/>
      <c r="V454" s="41"/>
    </row>
    <row r="455">
      <c r="J455" s="68"/>
      <c r="K455" s="79"/>
      <c r="L455" s="79"/>
      <c r="M455" s="226"/>
      <c r="N455" s="248"/>
      <c r="O455" s="226"/>
      <c r="P455" s="226"/>
      <c r="Q455" s="226"/>
      <c r="R455" s="68"/>
      <c r="V455" s="41"/>
    </row>
    <row r="456">
      <c r="J456" s="68"/>
      <c r="K456" s="79"/>
      <c r="L456" s="79"/>
      <c r="M456" s="226"/>
      <c r="N456" s="248"/>
      <c r="O456" s="226"/>
      <c r="P456" s="226"/>
      <c r="Q456" s="226"/>
      <c r="R456" s="68"/>
      <c r="V456" s="41"/>
    </row>
    <row r="457">
      <c r="J457" s="68"/>
      <c r="K457" s="79"/>
      <c r="L457" s="79"/>
      <c r="M457" s="226"/>
      <c r="N457" s="248"/>
      <c r="O457" s="226"/>
      <c r="P457" s="226"/>
      <c r="Q457" s="226"/>
      <c r="R457" s="68"/>
      <c r="V457" s="41"/>
    </row>
    <row r="458">
      <c r="J458" s="68"/>
      <c r="K458" s="79"/>
      <c r="L458" s="79"/>
      <c r="M458" s="226"/>
      <c r="N458" s="248"/>
      <c r="O458" s="226"/>
      <c r="P458" s="226"/>
      <c r="Q458" s="226"/>
      <c r="R458" s="68"/>
      <c r="V458" s="41"/>
    </row>
    <row r="459">
      <c r="J459" s="68"/>
      <c r="K459" s="79"/>
      <c r="L459" s="79"/>
      <c r="M459" s="226"/>
      <c r="N459" s="248"/>
      <c r="O459" s="226"/>
      <c r="P459" s="226"/>
      <c r="Q459" s="226"/>
      <c r="R459" s="68"/>
      <c r="V459" s="41"/>
    </row>
    <row r="460">
      <c r="J460" s="68"/>
      <c r="K460" s="79"/>
      <c r="L460" s="79"/>
      <c r="M460" s="226"/>
      <c r="N460" s="248"/>
      <c r="O460" s="226"/>
      <c r="P460" s="226"/>
      <c r="Q460" s="226"/>
      <c r="R460" s="68"/>
      <c r="V460" s="41"/>
    </row>
    <row r="461">
      <c r="J461" s="68"/>
      <c r="K461" s="79"/>
      <c r="L461" s="79"/>
      <c r="M461" s="226"/>
      <c r="N461" s="248"/>
      <c r="O461" s="226"/>
      <c r="P461" s="226"/>
      <c r="Q461" s="226"/>
      <c r="R461" s="68"/>
      <c r="V461" s="41"/>
    </row>
    <row r="462">
      <c r="J462" s="68"/>
      <c r="K462" s="79"/>
      <c r="L462" s="79"/>
      <c r="M462" s="226"/>
      <c r="N462" s="248"/>
      <c r="O462" s="226"/>
      <c r="P462" s="226"/>
      <c r="Q462" s="226"/>
      <c r="R462" s="68"/>
      <c r="V462" s="41"/>
    </row>
    <row r="463">
      <c r="J463" s="68"/>
      <c r="K463" s="79"/>
      <c r="L463" s="79"/>
      <c r="M463" s="226"/>
      <c r="N463" s="248"/>
      <c r="O463" s="226"/>
      <c r="P463" s="226"/>
      <c r="Q463" s="226"/>
      <c r="R463" s="68"/>
      <c r="V463" s="41"/>
    </row>
    <row r="464">
      <c r="J464" s="68"/>
      <c r="K464" s="79"/>
      <c r="L464" s="79"/>
      <c r="M464" s="226"/>
      <c r="N464" s="248"/>
      <c r="O464" s="226"/>
      <c r="P464" s="226"/>
      <c r="Q464" s="226"/>
      <c r="R464" s="68"/>
      <c r="V464" s="41"/>
    </row>
    <row r="465">
      <c r="J465" s="68"/>
      <c r="K465" s="79"/>
      <c r="L465" s="79"/>
      <c r="M465" s="226"/>
      <c r="N465" s="248"/>
      <c r="O465" s="226"/>
      <c r="P465" s="226"/>
      <c r="Q465" s="226"/>
      <c r="R465" s="68"/>
      <c r="V465" s="41"/>
    </row>
    <row r="466">
      <c r="J466" s="68"/>
      <c r="K466" s="79"/>
      <c r="L466" s="79"/>
      <c r="M466" s="226"/>
      <c r="N466" s="248"/>
      <c r="O466" s="226"/>
      <c r="P466" s="226"/>
      <c r="Q466" s="226"/>
      <c r="R466" s="68"/>
      <c r="V466" s="41"/>
    </row>
    <row r="467">
      <c r="J467" s="68"/>
      <c r="K467" s="79"/>
      <c r="L467" s="79"/>
      <c r="M467" s="226"/>
      <c r="N467" s="248"/>
      <c r="O467" s="226"/>
      <c r="P467" s="226"/>
      <c r="Q467" s="226"/>
      <c r="R467" s="68"/>
      <c r="V467" s="41"/>
    </row>
    <row r="468">
      <c r="J468" s="68"/>
      <c r="K468" s="79"/>
      <c r="L468" s="79"/>
      <c r="M468" s="226"/>
      <c r="N468" s="248"/>
      <c r="O468" s="226"/>
      <c r="P468" s="226"/>
      <c r="Q468" s="226"/>
      <c r="R468" s="68"/>
      <c r="V468" s="41"/>
    </row>
    <row r="469">
      <c r="J469" s="68"/>
      <c r="K469" s="79"/>
      <c r="L469" s="79"/>
      <c r="M469" s="226"/>
      <c r="N469" s="248"/>
      <c r="O469" s="226"/>
      <c r="P469" s="226"/>
      <c r="Q469" s="226"/>
      <c r="R469" s="68"/>
      <c r="V469" s="41"/>
    </row>
    <row r="470">
      <c r="J470" s="68"/>
      <c r="K470" s="79"/>
      <c r="L470" s="79"/>
      <c r="M470" s="226"/>
      <c r="N470" s="248"/>
      <c r="O470" s="226"/>
      <c r="P470" s="226"/>
      <c r="Q470" s="226"/>
      <c r="R470" s="68"/>
      <c r="V470" s="41"/>
    </row>
    <row r="471">
      <c r="J471" s="68"/>
      <c r="K471" s="79"/>
      <c r="L471" s="79"/>
      <c r="M471" s="226"/>
      <c r="N471" s="248"/>
      <c r="O471" s="226"/>
      <c r="P471" s="226"/>
      <c r="Q471" s="226"/>
      <c r="R471" s="68"/>
      <c r="V471" s="41"/>
    </row>
    <row r="472">
      <c r="J472" s="68"/>
      <c r="K472" s="79"/>
      <c r="L472" s="79"/>
      <c r="M472" s="226"/>
      <c r="N472" s="248"/>
      <c r="O472" s="226"/>
      <c r="P472" s="226"/>
      <c r="Q472" s="226"/>
      <c r="R472" s="68"/>
      <c r="V472" s="41"/>
    </row>
    <row r="473">
      <c r="J473" s="68"/>
      <c r="K473" s="79"/>
      <c r="L473" s="79"/>
      <c r="M473" s="226"/>
      <c r="N473" s="248"/>
      <c r="O473" s="226"/>
      <c r="P473" s="226"/>
      <c r="Q473" s="226"/>
      <c r="R473" s="68"/>
      <c r="V473" s="41"/>
    </row>
    <row r="474">
      <c r="J474" s="68"/>
      <c r="K474" s="79"/>
      <c r="L474" s="79"/>
      <c r="M474" s="226"/>
      <c r="N474" s="248"/>
      <c r="O474" s="226"/>
      <c r="P474" s="226"/>
      <c r="Q474" s="226"/>
      <c r="R474" s="68"/>
      <c r="V474" s="41"/>
    </row>
    <row r="475">
      <c r="J475" s="68"/>
      <c r="K475" s="79"/>
      <c r="L475" s="79"/>
      <c r="M475" s="226"/>
      <c r="N475" s="248"/>
      <c r="O475" s="226"/>
      <c r="P475" s="226"/>
      <c r="Q475" s="226"/>
      <c r="R475" s="68"/>
      <c r="V475" s="41"/>
    </row>
    <row r="476">
      <c r="J476" s="68"/>
      <c r="K476" s="79"/>
      <c r="L476" s="79"/>
      <c r="M476" s="226"/>
      <c r="N476" s="248"/>
      <c r="O476" s="226"/>
      <c r="P476" s="226"/>
      <c r="Q476" s="226"/>
      <c r="R476" s="68"/>
      <c r="V476" s="41"/>
    </row>
    <row r="477">
      <c r="J477" s="68"/>
      <c r="K477" s="79"/>
      <c r="L477" s="79"/>
      <c r="M477" s="226"/>
      <c r="N477" s="248"/>
      <c r="O477" s="226"/>
      <c r="P477" s="226"/>
      <c r="Q477" s="226"/>
      <c r="R477" s="68"/>
      <c r="V477" s="41"/>
    </row>
    <row r="478">
      <c r="J478" s="68"/>
      <c r="K478" s="79"/>
      <c r="L478" s="79"/>
      <c r="M478" s="226"/>
      <c r="N478" s="248"/>
      <c r="O478" s="226"/>
      <c r="P478" s="226"/>
      <c r="Q478" s="226"/>
      <c r="R478" s="68"/>
      <c r="V478" s="41"/>
    </row>
    <row r="479">
      <c r="J479" s="68"/>
      <c r="K479" s="79"/>
      <c r="L479" s="79"/>
      <c r="M479" s="226"/>
      <c r="N479" s="248"/>
      <c r="O479" s="226"/>
      <c r="P479" s="226"/>
      <c r="Q479" s="226"/>
      <c r="R479" s="68"/>
      <c r="V479" s="41"/>
    </row>
    <row r="480">
      <c r="J480" s="68"/>
      <c r="K480" s="79"/>
      <c r="L480" s="79"/>
      <c r="M480" s="226"/>
      <c r="N480" s="248"/>
      <c r="O480" s="226"/>
      <c r="P480" s="226"/>
      <c r="Q480" s="226"/>
      <c r="R480" s="68"/>
      <c r="V480" s="41"/>
    </row>
    <row r="481">
      <c r="J481" s="68"/>
      <c r="K481" s="79"/>
      <c r="L481" s="79"/>
      <c r="M481" s="226"/>
      <c r="N481" s="248"/>
      <c r="O481" s="226"/>
      <c r="P481" s="226"/>
      <c r="Q481" s="226"/>
      <c r="R481" s="68"/>
      <c r="V481" s="41"/>
    </row>
    <row r="482">
      <c r="J482" s="68"/>
      <c r="K482" s="79"/>
      <c r="L482" s="79"/>
      <c r="M482" s="226"/>
      <c r="N482" s="248"/>
      <c r="O482" s="226"/>
      <c r="P482" s="226"/>
      <c r="Q482" s="226"/>
      <c r="R482" s="68"/>
      <c r="V482" s="41"/>
    </row>
    <row r="483">
      <c r="J483" s="68"/>
      <c r="K483" s="79"/>
      <c r="L483" s="79"/>
      <c r="M483" s="226"/>
      <c r="N483" s="248"/>
      <c r="O483" s="226"/>
      <c r="P483" s="226"/>
      <c r="Q483" s="226"/>
      <c r="R483" s="68"/>
      <c r="V483" s="41"/>
    </row>
    <row r="484">
      <c r="J484" s="68"/>
      <c r="K484" s="79"/>
      <c r="L484" s="79"/>
      <c r="M484" s="226"/>
      <c r="N484" s="248"/>
      <c r="O484" s="226"/>
      <c r="P484" s="226"/>
      <c r="Q484" s="226"/>
      <c r="R484" s="68"/>
      <c r="V484" s="41"/>
    </row>
    <row r="485">
      <c r="J485" s="68"/>
      <c r="K485" s="79"/>
      <c r="L485" s="79"/>
      <c r="M485" s="226"/>
      <c r="N485" s="248"/>
      <c r="O485" s="226"/>
      <c r="P485" s="226"/>
      <c r="Q485" s="226"/>
      <c r="R485" s="68"/>
      <c r="V485" s="41"/>
    </row>
    <row r="486">
      <c r="J486" s="68"/>
      <c r="K486" s="79"/>
      <c r="L486" s="79"/>
      <c r="M486" s="226"/>
      <c r="N486" s="248"/>
      <c r="O486" s="226"/>
      <c r="P486" s="226"/>
      <c r="Q486" s="226"/>
      <c r="R486" s="68"/>
      <c r="V486" s="41"/>
    </row>
    <row r="487">
      <c r="J487" s="68"/>
      <c r="K487" s="79"/>
      <c r="L487" s="79"/>
      <c r="M487" s="226"/>
      <c r="N487" s="248"/>
      <c r="O487" s="226"/>
      <c r="P487" s="226"/>
      <c r="Q487" s="226"/>
      <c r="R487" s="68"/>
      <c r="V487" s="41"/>
    </row>
    <row r="488">
      <c r="J488" s="68"/>
      <c r="K488" s="79"/>
      <c r="L488" s="79"/>
      <c r="M488" s="226"/>
      <c r="N488" s="248"/>
      <c r="O488" s="226"/>
      <c r="P488" s="226"/>
      <c r="Q488" s="226"/>
      <c r="R488" s="68"/>
      <c r="V488" s="41"/>
    </row>
    <row r="489">
      <c r="J489" s="68"/>
      <c r="K489" s="79"/>
      <c r="L489" s="79"/>
      <c r="M489" s="226"/>
      <c r="N489" s="248"/>
      <c r="O489" s="226"/>
      <c r="P489" s="226"/>
      <c r="Q489" s="226"/>
      <c r="R489" s="68"/>
      <c r="V489" s="41"/>
    </row>
    <row r="490">
      <c r="J490" s="68"/>
      <c r="K490" s="79"/>
      <c r="L490" s="79"/>
      <c r="M490" s="226"/>
      <c r="N490" s="248"/>
      <c r="O490" s="226"/>
      <c r="P490" s="226"/>
      <c r="Q490" s="226"/>
      <c r="R490" s="68"/>
      <c r="V490" s="41"/>
    </row>
    <row r="491">
      <c r="J491" s="68"/>
      <c r="K491" s="79"/>
      <c r="L491" s="79"/>
      <c r="M491" s="226"/>
      <c r="N491" s="248"/>
      <c r="O491" s="226"/>
      <c r="P491" s="226"/>
      <c r="Q491" s="226"/>
      <c r="R491" s="68"/>
      <c r="V491" s="41"/>
    </row>
    <row r="492">
      <c r="J492" s="68"/>
      <c r="K492" s="79"/>
      <c r="L492" s="79"/>
      <c r="M492" s="226"/>
      <c r="N492" s="248"/>
      <c r="O492" s="226"/>
      <c r="P492" s="226"/>
      <c r="Q492" s="226"/>
      <c r="R492" s="68"/>
      <c r="V492" s="41"/>
    </row>
    <row r="493">
      <c r="J493" s="68"/>
      <c r="K493" s="79"/>
      <c r="L493" s="79"/>
      <c r="M493" s="226"/>
      <c r="N493" s="248"/>
      <c r="O493" s="226"/>
      <c r="P493" s="226"/>
      <c r="Q493" s="226"/>
      <c r="R493" s="68"/>
      <c r="V493" s="41"/>
    </row>
    <row r="494">
      <c r="J494" s="68"/>
      <c r="K494" s="79"/>
      <c r="L494" s="79"/>
      <c r="M494" s="226"/>
      <c r="N494" s="248"/>
      <c r="O494" s="226"/>
      <c r="P494" s="226"/>
      <c r="Q494" s="226"/>
      <c r="R494" s="68"/>
      <c r="V494" s="41"/>
    </row>
    <row r="495">
      <c r="J495" s="68"/>
      <c r="K495" s="79"/>
      <c r="L495" s="79"/>
      <c r="M495" s="226"/>
      <c r="N495" s="248"/>
      <c r="O495" s="226"/>
      <c r="P495" s="226"/>
      <c r="Q495" s="226"/>
      <c r="R495" s="68"/>
      <c r="V495" s="41"/>
    </row>
    <row r="496">
      <c r="J496" s="68"/>
      <c r="K496" s="79"/>
      <c r="L496" s="79"/>
      <c r="M496" s="226"/>
      <c r="N496" s="248"/>
      <c r="O496" s="226"/>
      <c r="P496" s="226"/>
      <c r="Q496" s="226"/>
      <c r="R496" s="68"/>
      <c r="V496" s="41"/>
    </row>
    <row r="497">
      <c r="J497" s="68"/>
      <c r="K497" s="79"/>
      <c r="L497" s="79"/>
      <c r="M497" s="226"/>
      <c r="N497" s="248"/>
      <c r="O497" s="226"/>
      <c r="P497" s="226"/>
      <c r="Q497" s="226"/>
      <c r="R497" s="68"/>
      <c r="V497" s="41"/>
    </row>
    <row r="498">
      <c r="J498" s="68"/>
      <c r="K498" s="79"/>
      <c r="L498" s="79"/>
      <c r="M498" s="226"/>
      <c r="N498" s="248"/>
      <c r="O498" s="226"/>
      <c r="P498" s="226"/>
      <c r="Q498" s="226"/>
      <c r="R498" s="68"/>
      <c r="V498" s="41"/>
    </row>
    <row r="499">
      <c r="J499" s="68"/>
      <c r="K499" s="79"/>
      <c r="L499" s="79"/>
      <c r="M499" s="226"/>
      <c r="N499" s="248"/>
      <c r="O499" s="226"/>
      <c r="P499" s="226"/>
      <c r="Q499" s="226"/>
      <c r="R499" s="68"/>
      <c r="V499" s="41"/>
    </row>
    <row r="500">
      <c r="J500" s="68"/>
      <c r="K500" s="79"/>
      <c r="L500" s="79"/>
      <c r="M500" s="226"/>
      <c r="N500" s="248"/>
      <c r="O500" s="226"/>
      <c r="P500" s="226"/>
      <c r="Q500" s="226"/>
      <c r="R500" s="68"/>
      <c r="V500" s="41"/>
    </row>
    <row r="501">
      <c r="J501" s="68"/>
      <c r="K501" s="79"/>
      <c r="L501" s="79"/>
      <c r="M501" s="226"/>
      <c r="N501" s="248"/>
      <c r="O501" s="226"/>
      <c r="P501" s="226"/>
      <c r="Q501" s="226"/>
      <c r="R501" s="68"/>
      <c r="V501" s="41"/>
    </row>
    <row r="502">
      <c r="J502" s="68"/>
      <c r="K502" s="79"/>
      <c r="L502" s="79"/>
      <c r="M502" s="226"/>
      <c r="N502" s="248"/>
      <c r="O502" s="226"/>
      <c r="P502" s="226"/>
      <c r="Q502" s="226"/>
      <c r="R502" s="68"/>
      <c r="V502" s="41"/>
    </row>
    <row r="503">
      <c r="J503" s="68"/>
      <c r="K503" s="79"/>
      <c r="L503" s="79"/>
      <c r="M503" s="226"/>
      <c r="N503" s="248"/>
      <c r="O503" s="226"/>
      <c r="P503" s="226"/>
      <c r="Q503" s="226"/>
      <c r="R503" s="68"/>
      <c r="V503" s="41"/>
    </row>
    <row r="504">
      <c r="J504" s="68"/>
      <c r="K504" s="79"/>
      <c r="L504" s="79"/>
      <c r="M504" s="226"/>
      <c r="N504" s="248"/>
      <c r="O504" s="226"/>
      <c r="P504" s="226"/>
      <c r="Q504" s="226"/>
      <c r="R504" s="68"/>
      <c r="V504" s="41"/>
    </row>
    <row r="505">
      <c r="J505" s="68"/>
      <c r="K505" s="79"/>
      <c r="L505" s="79"/>
      <c r="M505" s="226"/>
      <c r="N505" s="248"/>
      <c r="O505" s="226"/>
      <c r="P505" s="226"/>
      <c r="Q505" s="226"/>
      <c r="R505" s="68"/>
      <c r="V505" s="41"/>
    </row>
    <row r="506">
      <c r="J506" s="68"/>
      <c r="K506" s="79"/>
      <c r="L506" s="79"/>
      <c r="M506" s="226"/>
      <c r="N506" s="248"/>
      <c r="O506" s="226"/>
      <c r="P506" s="226"/>
      <c r="Q506" s="226"/>
      <c r="R506" s="68"/>
      <c r="V506" s="41"/>
    </row>
    <row r="507">
      <c r="J507" s="68"/>
      <c r="K507" s="79"/>
      <c r="L507" s="79"/>
      <c r="M507" s="226"/>
      <c r="N507" s="248"/>
      <c r="O507" s="226"/>
      <c r="P507" s="226"/>
      <c r="Q507" s="226"/>
      <c r="R507" s="68"/>
      <c r="V507" s="41"/>
    </row>
    <row r="508">
      <c r="J508" s="68"/>
      <c r="K508" s="79"/>
      <c r="L508" s="79"/>
      <c r="M508" s="226"/>
      <c r="N508" s="248"/>
      <c r="O508" s="226"/>
      <c r="P508" s="226"/>
      <c r="Q508" s="226"/>
      <c r="R508" s="68"/>
      <c r="V508" s="41"/>
    </row>
    <row r="509">
      <c r="J509" s="68"/>
      <c r="K509" s="79"/>
      <c r="L509" s="79"/>
      <c r="M509" s="226"/>
      <c r="N509" s="248"/>
      <c r="O509" s="226"/>
      <c r="P509" s="226"/>
      <c r="Q509" s="226"/>
      <c r="R509" s="68"/>
      <c r="V509" s="41"/>
    </row>
    <row r="510">
      <c r="J510" s="68"/>
      <c r="K510" s="79"/>
      <c r="L510" s="79"/>
      <c r="M510" s="226"/>
      <c r="N510" s="248"/>
      <c r="O510" s="226"/>
      <c r="P510" s="226"/>
      <c r="Q510" s="226"/>
      <c r="R510" s="68"/>
      <c r="V510" s="41"/>
    </row>
    <row r="511">
      <c r="J511" s="68"/>
      <c r="K511" s="79"/>
      <c r="L511" s="79"/>
      <c r="M511" s="226"/>
      <c r="N511" s="248"/>
      <c r="O511" s="226"/>
      <c r="P511" s="226"/>
      <c r="Q511" s="226"/>
      <c r="R511" s="68"/>
      <c r="V511" s="41"/>
    </row>
    <row r="512">
      <c r="J512" s="68"/>
      <c r="K512" s="79"/>
      <c r="L512" s="79"/>
      <c r="M512" s="226"/>
      <c r="N512" s="248"/>
      <c r="O512" s="226"/>
      <c r="P512" s="226"/>
      <c r="Q512" s="226"/>
      <c r="R512" s="68"/>
      <c r="V512" s="41"/>
    </row>
    <row r="513">
      <c r="J513" s="68"/>
      <c r="K513" s="79"/>
      <c r="L513" s="79"/>
      <c r="M513" s="226"/>
      <c r="N513" s="248"/>
      <c r="O513" s="226"/>
      <c r="P513" s="226"/>
      <c r="Q513" s="226"/>
      <c r="R513" s="68"/>
      <c r="V513" s="41"/>
    </row>
    <row r="514">
      <c r="J514" s="68"/>
      <c r="K514" s="79"/>
      <c r="L514" s="79"/>
      <c r="M514" s="226"/>
      <c r="N514" s="248"/>
      <c r="O514" s="226"/>
      <c r="P514" s="226"/>
      <c r="Q514" s="226"/>
      <c r="R514" s="68"/>
      <c r="V514" s="41"/>
    </row>
    <row r="515">
      <c r="J515" s="68"/>
      <c r="K515" s="79"/>
      <c r="L515" s="79"/>
      <c r="M515" s="226"/>
      <c r="N515" s="248"/>
      <c r="O515" s="226"/>
      <c r="P515" s="226"/>
      <c r="Q515" s="226"/>
      <c r="R515" s="68"/>
      <c r="V515" s="41"/>
    </row>
    <row r="516">
      <c r="J516" s="68"/>
      <c r="K516" s="79"/>
      <c r="L516" s="79"/>
      <c r="M516" s="226"/>
      <c r="N516" s="248"/>
      <c r="O516" s="226"/>
      <c r="P516" s="226"/>
      <c r="Q516" s="226"/>
      <c r="R516" s="68"/>
      <c r="V516" s="41"/>
    </row>
    <row r="517">
      <c r="J517" s="68"/>
      <c r="K517" s="79"/>
      <c r="L517" s="79"/>
      <c r="M517" s="226"/>
      <c r="N517" s="248"/>
      <c r="O517" s="226"/>
      <c r="P517" s="226"/>
      <c r="Q517" s="226"/>
      <c r="R517" s="68"/>
      <c r="V517" s="41"/>
    </row>
    <row r="518">
      <c r="J518" s="68"/>
      <c r="K518" s="79"/>
      <c r="L518" s="79"/>
      <c r="M518" s="226"/>
      <c r="N518" s="248"/>
      <c r="O518" s="226"/>
      <c r="P518" s="226"/>
      <c r="Q518" s="226"/>
      <c r="R518" s="68"/>
      <c r="V518" s="41"/>
    </row>
    <row r="519">
      <c r="J519" s="68"/>
      <c r="K519" s="79"/>
      <c r="L519" s="79"/>
      <c r="M519" s="226"/>
      <c r="N519" s="248"/>
      <c r="O519" s="226"/>
      <c r="P519" s="226"/>
      <c r="Q519" s="226"/>
      <c r="R519" s="68"/>
      <c r="V519" s="41"/>
    </row>
    <row r="520">
      <c r="J520" s="68"/>
      <c r="K520" s="79"/>
      <c r="L520" s="79"/>
      <c r="M520" s="226"/>
      <c r="N520" s="248"/>
      <c r="O520" s="226"/>
      <c r="P520" s="226"/>
      <c r="Q520" s="226"/>
      <c r="R520" s="68"/>
      <c r="V520" s="41"/>
    </row>
    <row r="521">
      <c r="J521" s="68"/>
      <c r="K521" s="79"/>
      <c r="L521" s="79"/>
      <c r="M521" s="226"/>
      <c r="N521" s="248"/>
      <c r="O521" s="226"/>
      <c r="P521" s="226"/>
      <c r="Q521" s="226"/>
      <c r="R521" s="68"/>
      <c r="V521" s="41"/>
    </row>
    <row r="522">
      <c r="J522" s="68"/>
      <c r="K522" s="79"/>
      <c r="L522" s="79"/>
      <c r="M522" s="226"/>
      <c r="N522" s="248"/>
      <c r="O522" s="226"/>
      <c r="P522" s="226"/>
      <c r="Q522" s="226"/>
      <c r="R522" s="68"/>
      <c r="V522" s="41"/>
    </row>
    <row r="523">
      <c r="J523" s="68"/>
      <c r="K523" s="79"/>
      <c r="L523" s="79"/>
      <c r="M523" s="226"/>
      <c r="N523" s="248"/>
      <c r="O523" s="226"/>
      <c r="P523" s="226"/>
      <c r="Q523" s="226"/>
      <c r="R523" s="68"/>
      <c r="V523" s="41"/>
    </row>
    <row r="524">
      <c r="J524" s="68"/>
      <c r="K524" s="79"/>
      <c r="L524" s="79"/>
      <c r="M524" s="226"/>
      <c r="N524" s="248"/>
      <c r="O524" s="226"/>
      <c r="P524" s="226"/>
      <c r="Q524" s="226"/>
      <c r="R524" s="68"/>
      <c r="V524" s="41"/>
    </row>
    <row r="525">
      <c r="J525" s="68"/>
      <c r="K525" s="79"/>
      <c r="L525" s="79"/>
      <c r="M525" s="226"/>
      <c r="N525" s="248"/>
      <c r="O525" s="226"/>
      <c r="P525" s="226"/>
      <c r="Q525" s="226"/>
      <c r="R525" s="68"/>
      <c r="V525" s="41"/>
    </row>
    <row r="526">
      <c r="J526" s="68"/>
      <c r="K526" s="79"/>
      <c r="L526" s="79"/>
      <c r="M526" s="226"/>
      <c r="N526" s="248"/>
      <c r="O526" s="226"/>
      <c r="P526" s="226"/>
      <c r="Q526" s="226"/>
      <c r="R526" s="68"/>
      <c r="V526" s="41"/>
    </row>
    <row r="527">
      <c r="J527" s="68"/>
      <c r="K527" s="79"/>
      <c r="L527" s="79"/>
      <c r="M527" s="226"/>
      <c r="N527" s="248"/>
      <c r="O527" s="226"/>
      <c r="P527" s="226"/>
      <c r="Q527" s="226"/>
      <c r="R527" s="68"/>
      <c r="V527" s="41"/>
    </row>
    <row r="528">
      <c r="J528" s="68"/>
      <c r="K528" s="79"/>
      <c r="L528" s="79"/>
      <c r="M528" s="226"/>
      <c r="N528" s="248"/>
      <c r="O528" s="226"/>
      <c r="P528" s="226"/>
      <c r="Q528" s="226"/>
      <c r="R528" s="68"/>
      <c r="V528" s="41"/>
    </row>
    <row r="529">
      <c r="J529" s="68"/>
      <c r="K529" s="79"/>
      <c r="L529" s="79"/>
      <c r="M529" s="226"/>
      <c r="N529" s="248"/>
      <c r="O529" s="226"/>
      <c r="P529" s="226"/>
      <c r="Q529" s="226"/>
      <c r="R529" s="68"/>
      <c r="V529" s="41"/>
    </row>
    <row r="530">
      <c r="J530" s="68"/>
      <c r="K530" s="79"/>
      <c r="L530" s="79"/>
      <c r="M530" s="226"/>
      <c r="N530" s="248"/>
      <c r="O530" s="226"/>
      <c r="P530" s="226"/>
      <c r="Q530" s="226"/>
      <c r="R530" s="68"/>
      <c r="V530" s="41"/>
    </row>
    <row r="531">
      <c r="J531" s="68"/>
      <c r="K531" s="79"/>
      <c r="L531" s="79"/>
      <c r="M531" s="226"/>
      <c r="N531" s="248"/>
      <c r="O531" s="226"/>
      <c r="P531" s="226"/>
      <c r="Q531" s="226"/>
      <c r="R531" s="68"/>
      <c r="V531" s="41"/>
    </row>
    <row r="532">
      <c r="J532" s="68"/>
      <c r="K532" s="79"/>
      <c r="L532" s="79"/>
      <c r="M532" s="226"/>
      <c r="N532" s="248"/>
      <c r="O532" s="226"/>
      <c r="P532" s="226"/>
      <c r="Q532" s="226"/>
      <c r="R532" s="68"/>
      <c r="V532" s="41"/>
    </row>
    <row r="533">
      <c r="J533" s="68"/>
      <c r="K533" s="79"/>
      <c r="L533" s="79"/>
      <c r="M533" s="226"/>
      <c r="N533" s="248"/>
      <c r="O533" s="226"/>
      <c r="P533" s="226"/>
      <c r="Q533" s="226"/>
      <c r="R533" s="68"/>
      <c r="V533" s="41"/>
    </row>
    <row r="534">
      <c r="J534" s="68"/>
      <c r="K534" s="79"/>
      <c r="L534" s="79"/>
      <c r="M534" s="226"/>
      <c r="N534" s="248"/>
      <c r="O534" s="226"/>
      <c r="P534" s="226"/>
      <c r="Q534" s="226"/>
      <c r="R534" s="68"/>
      <c r="V534" s="41"/>
    </row>
    <row r="535">
      <c r="J535" s="68"/>
      <c r="K535" s="79"/>
      <c r="L535" s="79"/>
      <c r="M535" s="226"/>
      <c r="N535" s="248"/>
      <c r="O535" s="226"/>
      <c r="P535" s="226"/>
      <c r="Q535" s="226"/>
      <c r="R535" s="68"/>
      <c r="V535" s="41"/>
    </row>
    <row r="536">
      <c r="J536" s="68"/>
      <c r="K536" s="79"/>
      <c r="L536" s="79"/>
      <c r="M536" s="226"/>
      <c r="N536" s="248"/>
      <c r="O536" s="226"/>
      <c r="P536" s="226"/>
      <c r="Q536" s="226"/>
      <c r="R536" s="68"/>
      <c r="V536" s="41"/>
    </row>
    <row r="537">
      <c r="J537" s="68"/>
      <c r="K537" s="79"/>
      <c r="L537" s="79"/>
      <c r="M537" s="226"/>
      <c r="N537" s="248"/>
      <c r="O537" s="226"/>
      <c r="P537" s="226"/>
      <c r="Q537" s="226"/>
      <c r="R537" s="68"/>
      <c r="V537" s="41"/>
    </row>
    <row r="538">
      <c r="J538" s="68"/>
      <c r="K538" s="79"/>
      <c r="L538" s="79"/>
      <c r="M538" s="226"/>
      <c r="N538" s="248"/>
      <c r="O538" s="226"/>
      <c r="P538" s="226"/>
      <c r="Q538" s="226"/>
      <c r="R538" s="68"/>
      <c r="V538" s="41"/>
    </row>
    <row r="539">
      <c r="J539" s="68"/>
      <c r="K539" s="79"/>
      <c r="L539" s="79"/>
      <c r="M539" s="226"/>
      <c r="N539" s="248"/>
      <c r="O539" s="226"/>
      <c r="P539" s="226"/>
      <c r="Q539" s="226"/>
      <c r="R539" s="68"/>
      <c r="V539" s="41"/>
    </row>
    <row r="540">
      <c r="J540" s="68"/>
      <c r="K540" s="79"/>
      <c r="L540" s="79"/>
      <c r="M540" s="226"/>
      <c r="N540" s="248"/>
      <c r="O540" s="226"/>
      <c r="P540" s="226"/>
      <c r="Q540" s="226"/>
      <c r="R540" s="68"/>
      <c r="V540" s="41"/>
    </row>
    <row r="541">
      <c r="J541" s="68"/>
      <c r="K541" s="79"/>
      <c r="L541" s="79"/>
      <c r="M541" s="226"/>
      <c r="N541" s="248"/>
      <c r="O541" s="226"/>
      <c r="P541" s="226"/>
      <c r="Q541" s="226"/>
      <c r="R541" s="68"/>
      <c r="V541" s="41"/>
    </row>
    <row r="542">
      <c r="J542" s="68"/>
      <c r="K542" s="79"/>
      <c r="L542" s="79"/>
      <c r="M542" s="226"/>
      <c r="N542" s="248"/>
      <c r="O542" s="226"/>
      <c r="P542" s="226"/>
      <c r="Q542" s="226"/>
      <c r="R542" s="68"/>
      <c r="V542" s="41"/>
    </row>
    <row r="543">
      <c r="J543" s="68"/>
      <c r="K543" s="79"/>
      <c r="L543" s="79"/>
      <c r="M543" s="226"/>
      <c r="N543" s="248"/>
      <c r="O543" s="226"/>
      <c r="P543" s="226"/>
      <c r="Q543" s="226"/>
      <c r="R543" s="68"/>
      <c r="V543" s="41"/>
    </row>
    <row r="544">
      <c r="J544" s="68"/>
      <c r="K544" s="79"/>
      <c r="L544" s="79"/>
      <c r="M544" s="226"/>
      <c r="N544" s="248"/>
      <c r="O544" s="226"/>
      <c r="P544" s="226"/>
      <c r="Q544" s="226"/>
      <c r="R544" s="68"/>
      <c r="V544" s="41"/>
    </row>
    <row r="545">
      <c r="J545" s="68"/>
      <c r="K545" s="79"/>
      <c r="L545" s="79"/>
      <c r="M545" s="226"/>
      <c r="N545" s="248"/>
      <c r="O545" s="226"/>
      <c r="P545" s="226"/>
      <c r="Q545" s="226"/>
      <c r="R545" s="68"/>
      <c r="V545" s="41"/>
    </row>
    <row r="546">
      <c r="J546" s="68"/>
      <c r="K546" s="79"/>
      <c r="L546" s="79"/>
      <c r="M546" s="226"/>
      <c r="N546" s="248"/>
      <c r="O546" s="226"/>
      <c r="P546" s="226"/>
      <c r="Q546" s="226"/>
      <c r="R546" s="68"/>
      <c r="V546" s="41"/>
    </row>
    <row r="547">
      <c r="J547" s="68"/>
      <c r="K547" s="79"/>
      <c r="L547" s="79"/>
      <c r="M547" s="226"/>
      <c r="N547" s="248"/>
      <c r="O547" s="226"/>
      <c r="P547" s="226"/>
      <c r="Q547" s="226"/>
      <c r="R547" s="68"/>
      <c r="V547" s="41"/>
    </row>
    <row r="548">
      <c r="J548" s="68"/>
      <c r="K548" s="79"/>
      <c r="L548" s="79"/>
      <c r="M548" s="226"/>
      <c r="N548" s="248"/>
      <c r="O548" s="226"/>
      <c r="P548" s="226"/>
      <c r="Q548" s="226"/>
      <c r="R548" s="68"/>
      <c r="V548" s="41"/>
    </row>
    <row r="549">
      <c r="J549" s="68"/>
      <c r="K549" s="79"/>
      <c r="L549" s="79"/>
      <c r="M549" s="226"/>
      <c r="N549" s="248"/>
      <c r="O549" s="226"/>
      <c r="P549" s="226"/>
      <c r="Q549" s="226"/>
      <c r="R549" s="68"/>
      <c r="V549" s="41"/>
    </row>
    <row r="550">
      <c r="J550" s="68"/>
      <c r="K550" s="79"/>
      <c r="L550" s="79"/>
      <c r="M550" s="226"/>
      <c r="N550" s="248"/>
      <c r="O550" s="226"/>
      <c r="P550" s="226"/>
      <c r="Q550" s="226"/>
      <c r="R550" s="68"/>
      <c r="V550" s="41"/>
    </row>
    <row r="551">
      <c r="J551" s="68"/>
      <c r="K551" s="79"/>
      <c r="L551" s="79"/>
      <c r="M551" s="226"/>
      <c r="N551" s="248"/>
      <c r="O551" s="226"/>
      <c r="P551" s="226"/>
      <c r="Q551" s="226"/>
      <c r="R551" s="68"/>
      <c r="V551" s="41"/>
    </row>
    <row r="552">
      <c r="J552" s="68"/>
      <c r="K552" s="79"/>
      <c r="L552" s="79"/>
      <c r="M552" s="226"/>
      <c r="N552" s="248"/>
      <c r="O552" s="226"/>
      <c r="P552" s="226"/>
      <c r="Q552" s="226"/>
      <c r="R552" s="68"/>
      <c r="V552" s="41"/>
    </row>
    <row r="553">
      <c r="J553" s="68"/>
      <c r="K553" s="79"/>
      <c r="L553" s="79"/>
      <c r="M553" s="226"/>
      <c r="N553" s="248"/>
      <c r="O553" s="226"/>
      <c r="P553" s="226"/>
      <c r="Q553" s="226"/>
      <c r="R553" s="68"/>
      <c r="V553" s="41"/>
    </row>
    <row r="554">
      <c r="J554" s="68"/>
      <c r="K554" s="79"/>
      <c r="L554" s="79"/>
      <c r="M554" s="226"/>
      <c r="N554" s="248"/>
      <c r="O554" s="226"/>
      <c r="P554" s="226"/>
      <c r="Q554" s="226"/>
      <c r="R554" s="68"/>
      <c r="V554" s="41"/>
    </row>
    <row r="555">
      <c r="J555" s="68"/>
      <c r="K555" s="79"/>
      <c r="L555" s="79"/>
      <c r="M555" s="226"/>
      <c r="N555" s="248"/>
      <c r="O555" s="226"/>
      <c r="P555" s="226"/>
      <c r="Q555" s="226"/>
      <c r="R555" s="68"/>
      <c r="V555" s="41"/>
    </row>
    <row r="556">
      <c r="J556" s="68"/>
      <c r="K556" s="79"/>
      <c r="L556" s="79"/>
      <c r="M556" s="226"/>
      <c r="N556" s="248"/>
      <c r="O556" s="226"/>
      <c r="P556" s="226"/>
      <c r="Q556" s="226"/>
      <c r="R556" s="68"/>
      <c r="V556" s="41"/>
    </row>
    <row r="557">
      <c r="J557" s="68"/>
      <c r="K557" s="79"/>
      <c r="L557" s="79"/>
      <c r="M557" s="226"/>
      <c r="N557" s="248"/>
      <c r="O557" s="226"/>
      <c r="P557" s="226"/>
      <c r="Q557" s="226"/>
      <c r="R557" s="68"/>
      <c r="V557" s="41"/>
    </row>
    <row r="558">
      <c r="J558" s="68"/>
      <c r="K558" s="79"/>
      <c r="L558" s="79"/>
      <c r="M558" s="226"/>
      <c r="N558" s="248"/>
      <c r="O558" s="226"/>
      <c r="P558" s="226"/>
      <c r="Q558" s="226"/>
      <c r="R558" s="68"/>
      <c r="V558" s="41"/>
    </row>
    <row r="559">
      <c r="J559" s="68"/>
      <c r="K559" s="79"/>
      <c r="L559" s="79"/>
      <c r="M559" s="226"/>
      <c r="N559" s="248"/>
      <c r="O559" s="226"/>
      <c r="P559" s="226"/>
      <c r="Q559" s="226"/>
      <c r="R559" s="68"/>
      <c r="V559" s="41"/>
    </row>
    <row r="560">
      <c r="J560" s="68"/>
      <c r="K560" s="79"/>
      <c r="L560" s="79"/>
      <c r="M560" s="226"/>
      <c r="N560" s="248"/>
      <c r="O560" s="226"/>
      <c r="P560" s="226"/>
      <c r="Q560" s="226"/>
      <c r="R560" s="68"/>
      <c r="V560" s="41"/>
    </row>
    <row r="561">
      <c r="J561" s="68"/>
      <c r="K561" s="79"/>
      <c r="L561" s="79"/>
      <c r="M561" s="226"/>
      <c r="N561" s="248"/>
      <c r="O561" s="226"/>
      <c r="P561" s="226"/>
      <c r="Q561" s="226"/>
      <c r="R561" s="68"/>
      <c r="V561" s="41"/>
    </row>
    <row r="562">
      <c r="J562" s="68"/>
      <c r="K562" s="79"/>
      <c r="L562" s="79"/>
      <c r="M562" s="226"/>
      <c r="N562" s="248"/>
      <c r="O562" s="226"/>
      <c r="P562" s="226"/>
      <c r="Q562" s="226"/>
      <c r="R562" s="68"/>
      <c r="V562" s="41"/>
    </row>
    <row r="563">
      <c r="J563" s="68"/>
      <c r="K563" s="79"/>
      <c r="L563" s="79"/>
      <c r="M563" s="226"/>
      <c r="N563" s="248"/>
      <c r="O563" s="226"/>
      <c r="P563" s="226"/>
      <c r="Q563" s="226"/>
      <c r="R563" s="68"/>
      <c r="V563" s="41"/>
    </row>
    <row r="564">
      <c r="J564" s="68"/>
      <c r="K564" s="79"/>
      <c r="L564" s="79"/>
      <c r="M564" s="226"/>
      <c r="N564" s="248"/>
      <c r="O564" s="226"/>
      <c r="P564" s="226"/>
      <c r="Q564" s="226"/>
      <c r="R564" s="68"/>
      <c r="V564" s="41"/>
    </row>
    <row r="565">
      <c r="J565" s="68"/>
      <c r="K565" s="79"/>
      <c r="L565" s="79"/>
      <c r="M565" s="226"/>
      <c r="N565" s="248"/>
      <c r="O565" s="226"/>
      <c r="P565" s="226"/>
      <c r="Q565" s="226"/>
      <c r="R565" s="68"/>
      <c r="V565" s="41"/>
    </row>
    <row r="566">
      <c r="J566" s="68"/>
      <c r="K566" s="79"/>
      <c r="L566" s="79"/>
      <c r="M566" s="226"/>
      <c r="N566" s="248"/>
      <c r="O566" s="226"/>
      <c r="P566" s="226"/>
      <c r="Q566" s="226"/>
      <c r="R566" s="68"/>
      <c r="V566" s="41"/>
    </row>
    <row r="567">
      <c r="J567" s="68"/>
      <c r="K567" s="79"/>
      <c r="L567" s="79"/>
      <c r="M567" s="226"/>
      <c r="N567" s="248"/>
      <c r="O567" s="226"/>
      <c r="P567" s="226"/>
      <c r="Q567" s="226"/>
      <c r="R567" s="68"/>
      <c r="V567" s="41"/>
    </row>
    <row r="568">
      <c r="J568" s="68"/>
      <c r="K568" s="79"/>
      <c r="L568" s="79"/>
      <c r="M568" s="226"/>
      <c r="N568" s="248"/>
      <c r="O568" s="226"/>
      <c r="P568" s="226"/>
      <c r="Q568" s="226"/>
      <c r="R568" s="68"/>
      <c r="V568" s="41"/>
    </row>
    <row r="569">
      <c r="J569" s="68"/>
      <c r="K569" s="79"/>
      <c r="L569" s="79"/>
      <c r="M569" s="226"/>
      <c r="N569" s="248"/>
      <c r="O569" s="226"/>
      <c r="P569" s="226"/>
      <c r="Q569" s="226"/>
      <c r="R569" s="68"/>
      <c r="V569" s="41"/>
    </row>
    <row r="570">
      <c r="J570" s="68"/>
      <c r="K570" s="79"/>
      <c r="L570" s="79"/>
      <c r="M570" s="226"/>
      <c r="N570" s="248"/>
      <c r="O570" s="226"/>
      <c r="P570" s="226"/>
      <c r="Q570" s="226"/>
      <c r="R570" s="68"/>
      <c r="V570" s="41"/>
    </row>
    <row r="571">
      <c r="J571" s="68"/>
      <c r="K571" s="79"/>
      <c r="L571" s="79"/>
      <c r="M571" s="226"/>
      <c r="N571" s="248"/>
      <c r="O571" s="226"/>
      <c r="P571" s="226"/>
      <c r="Q571" s="226"/>
      <c r="R571" s="68"/>
      <c r="V571" s="41"/>
    </row>
    <row r="572">
      <c r="J572" s="68"/>
      <c r="K572" s="79"/>
      <c r="L572" s="79"/>
      <c r="M572" s="226"/>
      <c r="N572" s="248"/>
      <c r="O572" s="226"/>
      <c r="P572" s="226"/>
      <c r="Q572" s="226"/>
      <c r="R572" s="68"/>
      <c r="V572" s="41"/>
    </row>
    <row r="573">
      <c r="J573" s="68"/>
      <c r="K573" s="79"/>
      <c r="L573" s="79"/>
      <c r="M573" s="226"/>
      <c r="N573" s="248"/>
      <c r="O573" s="226"/>
      <c r="P573" s="226"/>
      <c r="Q573" s="226"/>
      <c r="R573" s="68"/>
      <c r="V573" s="41"/>
    </row>
    <row r="574">
      <c r="J574" s="68"/>
      <c r="K574" s="79"/>
      <c r="L574" s="79"/>
      <c r="M574" s="226"/>
      <c r="N574" s="248"/>
      <c r="O574" s="226"/>
      <c r="P574" s="226"/>
      <c r="Q574" s="226"/>
      <c r="R574" s="68"/>
      <c r="V574" s="41"/>
    </row>
    <row r="575">
      <c r="J575" s="68"/>
      <c r="K575" s="79"/>
      <c r="L575" s="79"/>
      <c r="M575" s="226"/>
      <c r="N575" s="248"/>
      <c r="O575" s="226"/>
      <c r="P575" s="226"/>
      <c r="Q575" s="226"/>
      <c r="R575" s="68"/>
      <c r="V575" s="41"/>
    </row>
    <row r="576">
      <c r="J576" s="68"/>
      <c r="K576" s="79"/>
      <c r="L576" s="79"/>
      <c r="M576" s="226"/>
      <c r="N576" s="248"/>
      <c r="O576" s="226"/>
      <c r="P576" s="226"/>
      <c r="Q576" s="226"/>
      <c r="R576" s="68"/>
      <c r="V576" s="41"/>
    </row>
    <row r="577">
      <c r="J577" s="68"/>
      <c r="K577" s="79"/>
      <c r="L577" s="79"/>
      <c r="M577" s="226"/>
      <c r="N577" s="248"/>
      <c r="O577" s="226"/>
      <c r="P577" s="226"/>
      <c r="Q577" s="226"/>
      <c r="R577" s="68"/>
      <c r="V577" s="41"/>
    </row>
    <row r="578">
      <c r="J578" s="68"/>
      <c r="K578" s="79"/>
      <c r="L578" s="79"/>
      <c r="M578" s="226"/>
      <c r="N578" s="248"/>
      <c r="O578" s="226"/>
      <c r="P578" s="226"/>
      <c r="Q578" s="226"/>
      <c r="R578" s="68"/>
      <c r="V578" s="41"/>
    </row>
    <row r="579">
      <c r="J579" s="68"/>
      <c r="K579" s="79"/>
      <c r="L579" s="79"/>
      <c r="M579" s="226"/>
      <c r="N579" s="248"/>
      <c r="O579" s="226"/>
      <c r="P579" s="226"/>
      <c r="Q579" s="226"/>
      <c r="R579" s="68"/>
      <c r="V579" s="41"/>
    </row>
    <row r="580">
      <c r="J580" s="68"/>
      <c r="K580" s="79"/>
      <c r="L580" s="79"/>
      <c r="M580" s="226"/>
      <c r="N580" s="248"/>
      <c r="O580" s="226"/>
      <c r="P580" s="226"/>
      <c r="Q580" s="226"/>
      <c r="R580" s="68"/>
      <c r="V580" s="41"/>
    </row>
    <row r="581">
      <c r="J581" s="68"/>
      <c r="K581" s="79"/>
      <c r="L581" s="79"/>
      <c r="M581" s="226"/>
      <c r="N581" s="248"/>
      <c r="O581" s="226"/>
      <c r="P581" s="226"/>
      <c r="Q581" s="226"/>
      <c r="R581" s="68"/>
      <c r="V581" s="41"/>
    </row>
    <row r="582">
      <c r="J582" s="68"/>
      <c r="K582" s="79"/>
      <c r="L582" s="79"/>
      <c r="M582" s="226"/>
      <c r="N582" s="248"/>
      <c r="O582" s="226"/>
      <c r="P582" s="226"/>
      <c r="Q582" s="226"/>
      <c r="R582" s="68"/>
      <c r="V582" s="41"/>
    </row>
    <row r="583">
      <c r="J583" s="68"/>
      <c r="K583" s="79"/>
      <c r="L583" s="79"/>
      <c r="M583" s="226"/>
      <c r="N583" s="248"/>
      <c r="O583" s="226"/>
      <c r="P583" s="226"/>
      <c r="Q583" s="226"/>
      <c r="R583" s="68"/>
      <c r="V583" s="41"/>
    </row>
    <row r="584">
      <c r="J584" s="68"/>
      <c r="K584" s="79"/>
      <c r="L584" s="79"/>
      <c r="M584" s="226"/>
      <c r="N584" s="248"/>
      <c r="O584" s="226"/>
      <c r="P584" s="226"/>
      <c r="Q584" s="226"/>
      <c r="R584" s="68"/>
      <c r="V584" s="41"/>
    </row>
    <row r="585">
      <c r="J585" s="68"/>
      <c r="K585" s="79"/>
      <c r="L585" s="79"/>
      <c r="M585" s="226"/>
      <c r="N585" s="248"/>
      <c r="O585" s="226"/>
      <c r="P585" s="226"/>
      <c r="Q585" s="226"/>
      <c r="R585" s="68"/>
      <c r="V585" s="41"/>
    </row>
    <row r="586">
      <c r="J586" s="68"/>
      <c r="K586" s="79"/>
      <c r="L586" s="79"/>
      <c r="M586" s="226"/>
      <c r="N586" s="248"/>
      <c r="O586" s="226"/>
      <c r="P586" s="226"/>
      <c r="Q586" s="226"/>
      <c r="R586" s="68"/>
      <c r="V586" s="41"/>
    </row>
    <row r="587">
      <c r="J587" s="68"/>
      <c r="K587" s="79"/>
      <c r="L587" s="79"/>
      <c r="M587" s="226"/>
      <c r="N587" s="248"/>
      <c r="O587" s="226"/>
      <c r="P587" s="226"/>
      <c r="Q587" s="226"/>
      <c r="R587" s="68"/>
      <c r="V587" s="41"/>
    </row>
    <row r="588">
      <c r="J588" s="68"/>
      <c r="K588" s="79"/>
      <c r="L588" s="79"/>
      <c r="M588" s="226"/>
      <c r="N588" s="248"/>
      <c r="O588" s="226"/>
      <c r="P588" s="226"/>
      <c r="Q588" s="226"/>
      <c r="R588" s="68"/>
      <c r="V588" s="41"/>
    </row>
    <row r="589">
      <c r="J589" s="68"/>
      <c r="K589" s="79"/>
      <c r="L589" s="79"/>
      <c r="M589" s="226"/>
      <c r="N589" s="248"/>
      <c r="O589" s="226"/>
      <c r="P589" s="226"/>
      <c r="Q589" s="226"/>
      <c r="R589" s="68"/>
      <c r="V589" s="41"/>
    </row>
    <row r="590">
      <c r="J590" s="68"/>
      <c r="K590" s="79"/>
      <c r="L590" s="79"/>
      <c r="M590" s="226"/>
      <c r="N590" s="248"/>
      <c r="O590" s="226"/>
      <c r="P590" s="226"/>
      <c r="Q590" s="226"/>
      <c r="R590" s="68"/>
      <c r="V590" s="41"/>
    </row>
    <row r="591">
      <c r="J591" s="68"/>
      <c r="K591" s="79"/>
      <c r="L591" s="79"/>
      <c r="M591" s="226"/>
      <c r="N591" s="248"/>
      <c r="O591" s="226"/>
      <c r="P591" s="226"/>
      <c r="Q591" s="226"/>
      <c r="R591" s="68"/>
      <c r="V591" s="41"/>
    </row>
    <row r="592">
      <c r="J592" s="68"/>
      <c r="K592" s="79"/>
      <c r="L592" s="79"/>
      <c r="M592" s="226"/>
      <c r="N592" s="248"/>
      <c r="O592" s="226"/>
      <c r="P592" s="226"/>
      <c r="Q592" s="226"/>
      <c r="R592" s="68"/>
      <c r="V592" s="41"/>
    </row>
    <row r="593">
      <c r="J593" s="68"/>
      <c r="K593" s="79"/>
      <c r="L593" s="79"/>
      <c r="M593" s="226"/>
      <c r="N593" s="248"/>
      <c r="O593" s="226"/>
      <c r="P593" s="226"/>
      <c r="Q593" s="226"/>
      <c r="R593" s="68"/>
      <c r="V593" s="41"/>
    </row>
    <row r="594">
      <c r="J594" s="68"/>
      <c r="K594" s="79"/>
      <c r="L594" s="79"/>
      <c r="M594" s="226"/>
      <c r="N594" s="248"/>
      <c r="O594" s="226"/>
      <c r="P594" s="226"/>
      <c r="Q594" s="226"/>
      <c r="R594" s="68"/>
      <c r="V594" s="41"/>
    </row>
    <row r="595">
      <c r="J595" s="68"/>
      <c r="K595" s="79"/>
      <c r="L595" s="79"/>
      <c r="M595" s="226"/>
      <c r="N595" s="248"/>
      <c r="O595" s="226"/>
      <c r="P595" s="226"/>
      <c r="Q595" s="226"/>
      <c r="R595" s="68"/>
      <c r="V595" s="41"/>
    </row>
    <row r="596">
      <c r="J596" s="68"/>
      <c r="K596" s="79"/>
      <c r="L596" s="79"/>
      <c r="M596" s="226"/>
      <c r="N596" s="248"/>
      <c r="O596" s="226"/>
      <c r="P596" s="226"/>
      <c r="Q596" s="226"/>
      <c r="R596" s="68"/>
      <c r="V596" s="41"/>
    </row>
    <row r="597">
      <c r="J597" s="68"/>
      <c r="K597" s="79"/>
      <c r="L597" s="79"/>
      <c r="M597" s="226"/>
      <c r="N597" s="248"/>
      <c r="O597" s="226"/>
      <c r="P597" s="226"/>
      <c r="Q597" s="226"/>
      <c r="R597" s="68"/>
      <c r="V597" s="41"/>
    </row>
    <row r="598">
      <c r="J598" s="68"/>
      <c r="K598" s="79"/>
      <c r="L598" s="79"/>
      <c r="M598" s="226"/>
      <c r="N598" s="248"/>
      <c r="O598" s="226"/>
      <c r="P598" s="226"/>
      <c r="Q598" s="226"/>
      <c r="R598" s="68"/>
      <c r="V598" s="41"/>
    </row>
    <row r="599">
      <c r="J599" s="68"/>
      <c r="K599" s="79"/>
      <c r="L599" s="79"/>
      <c r="M599" s="226"/>
      <c r="N599" s="248"/>
      <c r="O599" s="226"/>
      <c r="P599" s="226"/>
      <c r="Q599" s="226"/>
      <c r="R599" s="68"/>
      <c r="V599" s="41"/>
    </row>
    <row r="600">
      <c r="J600" s="68"/>
      <c r="K600" s="79"/>
      <c r="L600" s="79"/>
      <c r="M600" s="226"/>
      <c r="N600" s="248"/>
      <c r="O600" s="226"/>
      <c r="P600" s="226"/>
      <c r="Q600" s="226"/>
      <c r="R600" s="68"/>
      <c r="V600" s="41"/>
    </row>
    <row r="601">
      <c r="J601" s="68"/>
      <c r="K601" s="79"/>
      <c r="L601" s="79"/>
      <c r="M601" s="226"/>
      <c r="N601" s="248"/>
      <c r="O601" s="226"/>
      <c r="P601" s="226"/>
      <c r="Q601" s="226"/>
      <c r="R601" s="68"/>
      <c r="V601" s="41"/>
    </row>
    <row r="602">
      <c r="J602" s="68"/>
      <c r="K602" s="79"/>
      <c r="L602" s="79"/>
      <c r="M602" s="226"/>
      <c r="N602" s="248"/>
      <c r="O602" s="226"/>
      <c r="P602" s="226"/>
      <c r="Q602" s="226"/>
      <c r="R602" s="68"/>
      <c r="V602" s="41"/>
    </row>
    <row r="603">
      <c r="J603" s="68"/>
      <c r="K603" s="79"/>
      <c r="L603" s="79"/>
      <c r="M603" s="226"/>
      <c r="N603" s="248"/>
      <c r="O603" s="226"/>
      <c r="P603" s="226"/>
      <c r="Q603" s="226"/>
      <c r="R603" s="68"/>
      <c r="V603" s="41"/>
    </row>
    <row r="604">
      <c r="J604" s="68"/>
      <c r="K604" s="79"/>
      <c r="L604" s="79"/>
      <c r="M604" s="226"/>
      <c r="N604" s="248"/>
      <c r="O604" s="226"/>
      <c r="P604" s="226"/>
      <c r="Q604" s="226"/>
      <c r="R604" s="68"/>
      <c r="V604" s="41"/>
    </row>
    <row r="605">
      <c r="J605" s="68"/>
      <c r="K605" s="79"/>
      <c r="L605" s="79"/>
      <c r="M605" s="226"/>
      <c r="N605" s="248"/>
      <c r="O605" s="226"/>
      <c r="P605" s="226"/>
      <c r="Q605" s="226"/>
      <c r="R605" s="68"/>
      <c r="V605" s="41"/>
    </row>
    <row r="606">
      <c r="J606" s="68"/>
      <c r="K606" s="79"/>
      <c r="L606" s="79"/>
      <c r="M606" s="226"/>
      <c r="N606" s="248"/>
      <c r="O606" s="226"/>
      <c r="P606" s="226"/>
      <c r="Q606" s="226"/>
      <c r="R606" s="68"/>
      <c r="V606" s="41"/>
    </row>
    <row r="607">
      <c r="J607" s="68"/>
      <c r="K607" s="79"/>
      <c r="L607" s="79"/>
      <c r="M607" s="226"/>
      <c r="N607" s="248"/>
      <c r="O607" s="226"/>
      <c r="P607" s="226"/>
      <c r="Q607" s="226"/>
      <c r="R607" s="68"/>
      <c r="V607" s="41"/>
    </row>
    <row r="608">
      <c r="J608" s="68"/>
      <c r="K608" s="79"/>
      <c r="L608" s="79"/>
      <c r="M608" s="226"/>
      <c r="N608" s="248"/>
      <c r="O608" s="226"/>
      <c r="P608" s="226"/>
      <c r="Q608" s="226"/>
      <c r="R608" s="68"/>
      <c r="V608" s="41"/>
    </row>
    <row r="609">
      <c r="J609" s="68"/>
      <c r="K609" s="79"/>
      <c r="L609" s="79"/>
      <c r="M609" s="226"/>
      <c r="N609" s="248"/>
      <c r="O609" s="226"/>
      <c r="P609" s="226"/>
      <c r="Q609" s="226"/>
      <c r="R609" s="68"/>
      <c r="V609" s="41"/>
    </row>
    <row r="610">
      <c r="J610" s="68"/>
      <c r="K610" s="79"/>
      <c r="L610" s="79"/>
      <c r="M610" s="226"/>
      <c r="N610" s="248"/>
      <c r="O610" s="226"/>
      <c r="P610" s="226"/>
      <c r="Q610" s="226"/>
      <c r="R610" s="68"/>
      <c r="V610" s="41"/>
    </row>
    <row r="611">
      <c r="J611" s="68"/>
      <c r="K611" s="79"/>
      <c r="L611" s="79"/>
      <c r="M611" s="226"/>
      <c r="N611" s="248"/>
      <c r="O611" s="226"/>
      <c r="P611" s="226"/>
      <c r="Q611" s="226"/>
      <c r="R611" s="68"/>
      <c r="V611" s="41"/>
    </row>
    <row r="612">
      <c r="J612" s="68"/>
      <c r="K612" s="79"/>
      <c r="L612" s="79"/>
      <c r="M612" s="226"/>
      <c r="N612" s="248"/>
      <c r="O612" s="226"/>
      <c r="P612" s="226"/>
      <c r="Q612" s="226"/>
      <c r="R612" s="68"/>
      <c r="V612" s="41"/>
    </row>
    <row r="613">
      <c r="J613" s="68"/>
      <c r="K613" s="79"/>
      <c r="L613" s="79"/>
      <c r="M613" s="226"/>
      <c r="N613" s="248"/>
      <c r="O613" s="226"/>
      <c r="P613" s="226"/>
      <c r="Q613" s="226"/>
      <c r="R613" s="68"/>
      <c r="V613" s="41"/>
    </row>
    <row r="614">
      <c r="J614" s="68"/>
      <c r="K614" s="79"/>
      <c r="L614" s="79"/>
      <c r="M614" s="226"/>
      <c r="N614" s="248"/>
      <c r="O614" s="226"/>
      <c r="P614" s="226"/>
      <c r="Q614" s="226"/>
      <c r="R614" s="68"/>
      <c r="V614" s="41"/>
    </row>
    <row r="615">
      <c r="J615" s="68"/>
      <c r="K615" s="79"/>
      <c r="L615" s="79"/>
      <c r="M615" s="226"/>
      <c r="N615" s="248"/>
      <c r="O615" s="226"/>
      <c r="P615" s="226"/>
      <c r="Q615" s="226"/>
      <c r="R615" s="68"/>
      <c r="V615" s="41"/>
    </row>
    <row r="616">
      <c r="J616" s="68"/>
      <c r="K616" s="79"/>
      <c r="L616" s="79"/>
      <c r="M616" s="226"/>
      <c r="N616" s="248"/>
      <c r="O616" s="226"/>
      <c r="P616" s="226"/>
      <c r="Q616" s="226"/>
      <c r="R616" s="68"/>
      <c r="V616" s="41"/>
    </row>
    <row r="617">
      <c r="J617" s="68"/>
      <c r="K617" s="79"/>
      <c r="L617" s="79"/>
      <c r="M617" s="226"/>
      <c r="N617" s="248"/>
      <c r="O617" s="226"/>
      <c r="P617" s="226"/>
      <c r="Q617" s="226"/>
      <c r="R617" s="68"/>
      <c r="V617" s="41"/>
    </row>
    <row r="618">
      <c r="J618" s="68"/>
      <c r="K618" s="79"/>
      <c r="L618" s="79"/>
      <c r="M618" s="226"/>
      <c r="N618" s="248"/>
      <c r="O618" s="226"/>
      <c r="P618" s="226"/>
      <c r="Q618" s="226"/>
      <c r="R618" s="68"/>
      <c r="V618" s="41"/>
    </row>
    <row r="619">
      <c r="J619" s="68"/>
      <c r="K619" s="79"/>
      <c r="L619" s="79"/>
      <c r="M619" s="226"/>
      <c r="N619" s="248"/>
      <c r="O619" s="226"/>
      <c r="P619" s="226"/>
      <c r="Q619" s="226"/>
      <c r="R619" s="68"/>
      <c r="V619" s="41"/>
    </row>
    <row r="620">
      <c r="J620" s="68"/>
      <c r="K620" s="79"/>
      <c r="L620" s="79"/>
      <c r="M620" s="226"/>
      <c r="N620" s="248"/>
      <c r="O620" s="226"/>
      <c r="P620" s="226"/>
      <c r="Q620" s="226"/>
      <c r="R620" s="68"/>
      <c r="V620" s="41"/>
    </row>
    <row r="621">
      <c r="J621" s="68"/>
      <c r="K621" s="79"/>
      <c r="L621" s="79"/>
      <c r="M621" s="226"/>
      <c r="N621" s="248"/>
      <c r="O621" s="226"/>
      <c r="P621" s="226"/>
      <c r="Q621" s="226"/>
      <c r="R621" s="68"/>
      <c r="V621" s="41"/>
    </row>
    <row r="622">
      <c r="J622" s="68"/>
      <c r="K622" s="79"/>
      <c r="L622" s="79"/>
      <c r="M622" s="226"/>
      <c r="N622" s="248"/>
      <c r="O622" s="226"/>
      <c r="P622" s="226"/>
      <c r="Q622" s="226"/>
      <c r="R622" s="68"/>
      <c r="V622" s="41"/>
    </row>
    <row r="623">
      <c r="J623" s="68"/>
      <c r="K623" s="79"/>
      <c r="L623" s="79"/>
      <c r="M623" s="226"/>
      <c r="N623" s="248"/>
      <c r="O623" s="226"/>
      <c r="P623" s="226"/>
      <c r="Q623" s="226"/>
      <c r="R623" s="68"/>
      <c r="V623" s="41"/>
    </row>
    <row r="624">
      <c r="J624" s="68"/>
      <c r="K624" s="79"/>
      <c r="L624" s="79"/>
      <c r="M624" s="226"/>
      <c r="N624" s="248"/>
      <c r="O624" s="226"/>
      <c r="P624" s="226"/>
      <c r="Q624" s="226"/>
      <c r="R624" s="68"/>
      <c r="V624" s="41"/>
    </row>
    <row r="625">
      <c r="J625" s="68"/>
      <c r="K625" s="79"/>
      <c r="L625" s="79"/>
      <c r="M625" s="226"/>
      <c r="N625" s="248"/>
      <c r="O625" s="226"/>
      <c r="P625" s="226"/>
      <c r="Q625" s="226"/>
      <c r="R625" s="68"/>
      <c r="V625" s="41"/>
    </row>
    <row r="626">
      <c r="J626" s="68"/>
      <c r="K626" s="79"/>
      <c r="L626" s="79"/>
      <c r="M626" s="226"/>
      <c r="N626" s="248"/>
      <c r="O626" s="226"/>
      <c r="P626" s="226"/>
      <c r="Q626" s="226"/>
      <c r="R626" s="68"/>
      <c r="V626" s="41"/>
    </row>
    <row r="627">
      <c r="J627" s="68"/>
      <c r="K627" s="79"/>
      <c r="L627" s="79"/>
      <c r="M627" s="226"/>
      <c r="N627" s="248"/>
      <c r="O627" s="226"/>
      <c r="P627" s="226"/>
      <c r="Q627" s="226"/>
      <c r="R627" s="68"/>
      <c r="V627" s="41"/>
    </row>
    <row r="628">
      <c r="J628" s="68"/>
      <c r="K628" s="79"/>
      <c r="L628" s="79"/>
      <c r="M628" s="226"/>
      <c r="N628" s="248"/>
      <c r="O628" s="226"/>
      <c r="P628" s="226"/>
      <c r="Q628" s="226"/>
      <c r="R628" s="68"/>
      <c r="V628" s="41"/>
    </row>
    <row r="629">
      <c r="J629" s="68"/>
      <c r="K629" s="79"/>
      <c r="L629" s="79"/>
      <c r="M629" s="226"/>
      <c r="N629" s="248"/>
      <c r="O629" s="226"/>
      <c r="P629" s="226"/>
      <c r="Q629" s="226"/>
      <c r="R629" s="68"/>
      <c r="V629" s="41"/>
    </row>
    <row r="630">
      <c r="J630" s="68"/>
      <c r="K630" s="79"/>
      <c r="L630" s="79"/>
      <c r="M630" s="226"/>
      <c r="N630" s="248"/>
      <c r="O630" s="226"/>
      <c r="P630" s="226"/>
      <c r="Q630" s="226"/>
      <c r="R630" s="68"/>
      <c r="V630" s="41"/>
    </row>
    <row r="631">
      <c r="J631" s="68"/>
      <c r="K631" s="79"/>
      <c r="L631" s="79"/>
      <c r="M631" s="226"/>
      <c r="N631" s="248"/>
      <c r="O631" s="226"/>
      <c r="P631" s="226"/>
      <c r="Q631" s="226"/>
      <c r="R631" s="68"/>
      <c r="V631" s="41"/>
    </row>
    <row r="632">
      <c r="J632" s="68"/>
      <c r="K632" s="79"/>
      <c r="L632" s="79"/>
      <c r="M632" s="226"/>
      <c r="N632" s="248"/>
      <c r="O632" s="226"/>
      <c r="P632" s="226"/>
      <c r="Q632" s="226"/>
      <c r="R632" s="68"/>
      <c r="V632" s="41"/>
    </row>
    <row r="633">
      <c r="J633" s="68"/>
      <c r="K633" s="79"/>
      <c r="L633" s="79"/>
      <c r="M633" s="226"/>
      <c r="N633" s="248"/>
      <c r="O633" s="226"/>
      <c r="P633" s="226"/>
      <c r="Q633" s="226"/>
      <c r="R633" s="68"/>
      <c r="V633" s="41"/>
    </row>
    <row r="634">
      <c r="J634" s="68"/>
      <c r="K634" s="79"/>
      <c r="L634" s="79"/>
      <c r="M634" s="226"/>
      <c r="N634" s="248"/>
      <c r="O634" s="226"/>
      <c r="P634" s="226"/>
      <c r="Q634" s="226"/>
      <c r="R634" s="68"/>
      <c r="V634" s="41"/>
    </row>
    <row r="635">
      <c r="J635" s="68"/>
      <c r="K635" s="79"/>
      <c r="L635" s="79"/>
      <c r="M635" s="226"/>
      <c r="N635" s="248"/>
      <c r="O635" s="226"/>
      <c r="P635" s="226"/>
      <c r="Q635" s="226"/>
      <c r="R635" s="68"/>
      <c r="V635" s="41"/>
    </row>
    <row r="636">
      <c r="J636" s="68"/>
      <c r="K636" s="79"/>
      <c r="L636" s="79"/>
      <c r="M636" s="226"/>
      <c r="N636" s="248"/>
      <c r="O636" s="226"/>
      <c r="P636" s="226"/>
      <c r="Q636" s="226"/>
      <c r="R636" s="68"/>
      <c r="V636" s="41"/>
    </row>
    <row r="637">
      <c r="J637" s="68"/>
      <c r="K637" s="79"/>
      <c r="L637" s="79"/>
      <c r="M637" s="226"/>
      <c r="N637" s="248"/>
      <c r="O637" s="226"/>
      <c r="P637" s="226"/>
      <c r="Q637" s="226"/>
      <c r="R637" s="68"/>
      <c r="V637" s="41"/>
    </row>
    <row r="638">
      <c r="J638" s="68"/>
      <c r="K638" s="79"/>
      <c r="L638" s="79"/>
      <c r="M638" s="226"/>
      <c r="N638" s="248"/>
      <c r="O638" s="226"/>
      <c r="P638" s="226"/>
      <c r="Q638" s="226"/>
      <c r="R638" s="68"/>
      <c r="V638" s="41"/>
    </row>
    <row r="639">
      <c r="J639" s="68"/>
      <c r="K639" s="79"/>
      <c r="L639" s="79"/>
      <c r="M639" s="226"/>
      <c r="N639" s="248"/>
      <c r="O639" s="226"/>
      <c r="P639" s="226"/>
      <c r="Q639" s="226"/>
      <c r="R639" s="68"/>
      <c r="V639" s="41"/>
    </row>
    <row r="640">
      <c r="J640" s="68"/>
      <c r="K640" s="79"/>
      <c r="L640" s="79"/>
      <c r="M640" s="226"/>
      <c r="N640" s="248"/>
      <c r="O640" s="226"/>
      <c r="P640" s="226"/>
      <c r="Q640" s="226"/>
      <c r="R640" s="68"/>
      <c r="V640" s="41"/>
    </row>
    <row r="641">
      <c r="J641" s="68"/>
      <c r="K641" s="79"/>
      <c r="L641" s="79"/>
      <c r="M641" s="226"/>
      <c r="N641" s="248"/>
      <c r="O641" s="226"/>
      <c r="P641" s="226"/>
      <c r="Q641" s="226"/>
      <c r="R641" s="68"/>
      <c r="V641" s="41"/>
    </row>
    <row r="642">
      <c r="J642" s="68"/>
      <c r="K642" s="79"/>
      <c r="L642" s="79"/>
      <c r="M642" s="226"/>
      <c r="N642" s="248"/>
      <c r="O642" s="226"/>
      <c r="P642" s="226"/>
      <c r="Q642" s="226"/>
      <c r="R642" s="68"/>
      <c r="V642" s="41"/>
    </row>
    <row r="643">
      <c r="J643" s="68"/>
      <c r="K643" s="79"/>
      <c r="L643" s="79"/>
      <c r="M643" s="226"/>
      <c r="N643" s="248"/>
      <c r="O643" s="226"/>
      <c r="P643" s="226"/>
      <c r="Q643" s="226"/>
      <c r="R643" s="68"/>
      <c r="V643" s="41"/>
    </row>
    <row r="644">
      <c r="J644" s="68"/>
      <c r="K644" s="79"/>
      <c r="L644" s="79"/>
      <c r="M644" s="226"/>
      <c r="N644" s="248"/>
      <c r="O644" s="226"/>
      <c r="P644" s="226"/>
      <c r="Q644" s="226"/>
      <c r="R644" s="68"/>
      <c r="V644" s="41"/>
    </row>
    <row r="645">
      <c r="J645" s="68"/>
      <c r="K645" s="79"/>
      <c r="L645" s="79"/>
      <c r="M645" s="226"/>
      <c r="N645" s="248"/>
      <c r="O645" s="226"/>
      <c r="P645" s="226"/>
      <c r="Q645" s="226"/>
      <c r="R645" s="68"/>
      <c r="V645" s="41"/>
    </row>
    <row r="646">
      <c r="J646" s="68"/>
      <c r="K646" s="79"/>
      <c r="L646" s="79"/>
      <c r="M646" s="226"/>
      <c r="N646" s="248"/>
      <c r="O646" s="226"/>
      <c r="P646" s="226"/>
      <c r="Q646" s="226"/>
      <c r="R646" s="68"/>
      <c r="V646" s="41"/>
    </row>
    <row r="647">
      <c r="J647" s="68"/>
      <c r="K647" s="79"/>
      <c r="L647" s="79"/>
      <c r="M647" s="226"/>
      <c r="N647" s="248"/>
      <c r="O647" s="226"/>
      <c r="P647" s="226"/>
      <c r="Q647" s="226"/>
      <c r="R647" s="68"/>
      <c r="V647" s="41"/>
    </row>
    <row r="648">
      <c r="J648" s="68"/>
      <c r="K648" s="79"/>
      <c r="L648" s="79"/>
      <c r="M648" s="226"/>
      <c r="N648" s="248"/>
      <c r="O648" s="226"/>
      <c r="P648" s="226"/>
      <c r="Q648" s="226"/>
      <c r="R648" s="68"/>
      <c r="V648" s="41"/>
    </row>
    <row r="649">
      <c r="J649" s="68"/>
      <c r="K649" s="79"/>
      <c r="L649" s="79"/>
      <c r="M649" s="226"/>
      <c r="N649" s="248"/>
      <c r="O649" s="226"/>
      <c r="P649" s="226"/>
      <c r="Q649" s="226"/>
      <c r="R649" s="68"/>
      <c r="V649" s="41"/>
    </row>
    <row r="650">
      <c r="J650" s="68"/>
      <c r="K650" s="79"/>
      <c r="L650" s="79"/>
      <c r="M650" s="226"/>
      <c r="N650" s="248"/>
      <c r="O650" s="226"/>
      <c r="P650" s="226"/>
      <c r="Q650" s="226"/>
      <c r="R650" s="68"/>
      <c r="V650" s="41"/>
    </row>
    <row r="651">
      <c r="J651" s="68"/>
      <c r="K651" s="79"/>
      <c r="L651" s="79"/>
      <c r="M651" s="226"/>
      <c r="N651" s="248"/>
      <c r="O651" s="226"/>
      <c r="P651" s="226"/>
      <c r="Q651" s="226"/>
      <c r="R651" s="68"/>
      <c r="V651" s="41"/>
    </row>
    <row r="652">
      <c r="J652" s="68"/>
      <c r="K652" s="79"/>
      <c r="L652" s="79"/>
      <c r="M652" s="226"/>
      <c r="N652" s="248"/>
      <c r="O652" s="226"/>
      <c r="P652" s="226"/>
      <c r="Q652" s="226"/>
      <c r="R652" s="68"/>
      <c r="V652" s="41"/>
    </row>
    <row r="653">
      <c r="J653" s="68"/>
      <c r="K653" s="79"/>
      <c r="L653" s="79"/>
      <c r="M653" s="226"/>
      <c r="N653" s="248"/>
      <c r="O653" s="226"/>
      <c r="P653" s="226"/>
      <c r="Q653" s="226"/>
      <c r="R653" s="68"/>
      <c r="V653" s="41"/>
    </row>
    <row r="654">
      <c r="J654" s="68"/>
      <c r="K654" s="79"/>
      <c r="L654" s="79"/>
      <c r="M654" s="226"/>
      <c r="N654" s="248"/>
      <c r="O654" s="226"/>
      <c r="P654" s="226"/>
      <c r="Q654" s="226"/>
      <c r="R654" s="68"/>
      <c r="V654" s="41"/>
    </row>
    <row r="655">
      <c r="J655" s="68"/>
      <c r="K655" s="79"/>
      <c r="L655" s="79"/>
      <c r="M655" s="226"/>
      <c r="N655" s="248"/>
      <c r="O655" s="226"/>
      <c r="P655" s="226"/>
      <c r="Q655" s="226"/>
      <c r="R655" s="68"/>
      <c r="V655" s="41"/>
    </row>
    <row r="656">
      <c r="J656" s="68"/>
      <c r="K656" s="79"/>
      <c r="L656" s="79"/>
      <c r="M656" s="226"/>
      <c r="N656" s="248"/>
      <c r="O656" s="226"/>
      <c r="P656" s="226"/>
      <c r="Q656" s="226"/>
      <c r="R656" s="68"/>
      <c r="V656" s="41"/>
    </row>
    <row r="657">
      <c r="J657" s="68"/>
      <c r="K657" s="79"/>
      <c r="L657" s="79"/>
      <c r="M657" s="226"/>
      <c r="N657" s="248"/>
      <c r="O657" s="226"/>
      <c r="P657" s="226"/>
      <c r="Q657" s="226"/>
      <c r="R657" s="68"/>
      <c r="V657" s="41"/>
    </row>
    <row r="658">
      <c r="J658" s="68"/>
      <c r="K658" s="79"/>
      <c r="L658" s="79"/>
      <c r="M658" s="226"/>
      <c r="N658" s="248"/>
      <c r="O658" s="226"/>
      <c r="P658" s="226"/>
      <c r="Q658" s="226"/>
      <c r="R658" s="68"/>
      <c r="V658" s="41"/>
    </row>
    <row r="659">
      <c r="J659" s="68"/>
      <c r="K659" s="79"/>
      <c r="L659" s="79"/>
      <c r="M659" s="226"/>
      <c r="N659" s="248"/>
      <c r="O659" s="226"/>
      <c r="P659" s="226"/>
      <c r="Q659" s="226"/>
      <c r="R659" s="68"/>
      <c r="V659" s="41"/>
    </row>
    <row r="660">
      <c r="J660" s="68"/>
      <c r="K660" s="79"/>
      <c r="L660" s="79"/>
      <c r="M660" s="226"/>
      <c r="N660" s="248"/>
      <c r="O660" s="226"/>
      <c r="P660" s="226"/>
      <c r="Q660" s="226"/>
      <c r="R660" s="68"/>
      <c r="V660" s="41"/>
    </row>
    <row r="661">
      <c r="J661" s="68"/>
      <c r="K661" s="79"/>
      <c r="L661" s="79"/>
      <c r="M661" s="226"/>
      <c r="N661" s="248"/>
      <c r="O661" s="226"/>
      <c r="P661" s="226"/>
      <c r="Q661" s="226"/>
      <c r="R661" s="68"/>
      <c r="V661" s="41"/>
    </row>
    <row r="662">
      <c r="J662" s="68"/>
      <c r="K662" s="79"/>
      <c r="L662" s="79"/>
      <c r="M662" s="226"/>
      <c r="N662" s="248"/>
      <c r="O662" s="226"/>
      <c r="P662" s="226"/>
      <c r="Q662" s="226"/>
      <c r="R662" s="68"/>
      <c r="V662" s="41"/>
    </row>
    <row r="663">
      <c r="J663" s="68"/>
      <c r="K663" s="79"/>
      <c r="L663" s="79"/>
      <c r="M663" s="226"/>
      <c r="N663" s="248"/>
      <c r="O663" s="226"/>
      <c r="P663" s="226"/>
      <c r="Q663" s="226"/>
      <c r="R663" s="68"/>
      <c r="V663" s="41"/>
    </row>
    <row r="664">
      <c r="J664" s="68"/>
      <c r="K664" s="79"/>
      <c r="L664" s="79"/>
      <c r="M664" s="226"/>
      <c r="N664" s="248"/>
      <c r="O664" s="226"/>
      <c r="P664" s="226"/>
      <c r="Q664" s="226"/>
      <c r="R664" s="68"/>
      <c r="V664" s="41"/>
    </row>
    <row r="665">
      <c r="J665" s="68"/>
      <c r="K665" s="79"/>
      <c r="L665" s="79"/>
      <c r="M665" s="226"/>
      <c r="N665" s="248"/>
      <c r="O665" s="226"/>
      <c r="P665" s="226"/>
      <c r="Q665" s="226"/>
      <c r="R665" s="68"/>
      <c r="V665" s="41"/>
    </row>
    <row r="666">
      <c r="J666" s="68"/>
      <c r="K666" s="79"/>
      <c r="L666" s="79"/>
      <c r="M666" s="226"/>
      <c r="N666" s="248"/>
      <c r="O666" s="226"/>
      <c r="P666" s="226"/>
      <c r="Q666" s="226"/>
      <c r="R666" s="68"/>
      <c r="V666" s="41"/>
    </row>
    <row r="667">
      <c r="J667" s="68"/>
      <c r="K667" s="79"/>
      <c r="L667" s="79"/>
      <c r="M667" s="226"/>
      <c r="N667" s="248"/>
      <c r="O667" s="226"/>
      <c r="P667" s="226"/>
      <c r="Q667" s="226"/>
      <c r="R667" s="68"/>
      <c r="V667" s="41"/>
    </row>
    <row r="668">
      <c r="J668" s="68"/>
      <c r="K668" s="79"/>
      <c r="L668" s="79"/>
      <c r="M668" s="226"/>
      <c r="N668" s="248"/>
      <c r="O668" s="226"/>
      <c r="P668" s="226"/>
      <c r="Q668" s="226"/>
      <c r="R668" s="68"/>
      <c r="V668" s="41"/>
    </row>
    <row r="669">
      <c r="J669" s="68"/>
      <c r="K669" s="79"/>
      <c r="L669" s="79"/>
      <c r="M669" s="226"/>
      <c r="N669" s="248"/>
      <c r="O669" s="226"/>
      <c r="P669" s="226"/>
      <c r="Q669" s="226"/>
      <c r="R669" s="68"/>
      <c r="V669" s="41"/>
    </row>
    <row r="670">
      <c r="J670" s="68"/>
      <c r="K670" s="79"/>
      <c r="L670" s="79"/>
      <c r="M670" s="226"/>
      <c r="N670" s="248"/>
      <c r="O670" s="226"/>
      <c r="P670" s="226"/>
      <c r="Q670" s="226"/>
      <c r="R670" s="68"/>
      <c r="V670" s="41"/>
    </row>
    <row r="671">
      <c r="J671" s="68"/>
      <c r="K671" s="79"/>
      <c r="L671" s="79"/>
      <c r="M671" s="226"/>
      <c r="N671" s="248"/>
      <c r="O671" s="226"/>
      <c r="P671" s="226"/>
      <c r="Q671" s="226"/>
      <c r="R671" s="68"/>
      <c r="V671" s="41"/>
    </row>
    <row r="672">
      <c r="J672" s="68"/>
      <c r="K672" s="79"/>
      <c r="L672" s="79"/>
      <c r="M672" s="226"/>
      <c r="N672" s="248"/>
      <c r="O672" s="226"/>
      <c r="P672" s="226"/>
      <c r="Q672" s="226"/>
      <c r="R672" s="68"/>
      <c r="V672" s="41"/>
    </row>
    <row r="673">
      <c r="J673" s="68"/>
      <c r="K673" s="79"/>
      <c r="L673" s="79"/>
      <c r="M673" s="226"/>
      <c r="N673" s="248"/>
      <c r="O673" s="226"/>
      <c r="P673" s="226"/>
      <c r="Q673" s="226"/>
      <c r="R673" s="68"/>
      <c r="V673" s="41"/>
    </row>
    <row r="674">
      <c r="J674" s="68"/>
      <c r="K674" s="79"/>
      <c r="L674" s="79"/>
      <c r="M674" s="226"/>
      <c r="N674" s="248"/>
      <c r="O674" s="226"/>
      <c r="P674" s="226"/>
      <c r="Q674" s="226"/>
      <c r="R674" s="68"/>
      <c r="V674" s="41"/>
    </row>
    <row r="675">
      <c r="J675" s="68"/>
      <c r="K675" s="79"/>
      <c r="L675" s="79"/>
      <c r="M675" s="226"/>
      <c r="N675" s="248"/>
      <c r="O675" s="226"/>
      <c r="P675" s="226"/>
      <c r="Q675" s="226"/>
      <c r="R675" s="68"/>
      <c r="V675" s="41"/>
    </row>
    <row r="676">
      <c r="J676" s="68"/>
      <c r="K676" s="79"/>
      <c r="L676" s="79"/>
      <c r="M676" s="226"/>
      <c r="N676" s="248"/>
      <c r="O676" s="226"/>
      <c r="P676" s="226"/>
      <c r="Q676" s="226"/>
      <c r="R676" s="68"/>
      <c r="V676" s="41"/>
    </row>
    <row r="677">
      <c r="J677" s="68"/>
      <c r="K677" s="79"/>
      <c r="L677" s="79"/>
      <c r="M677" s="226"/>
      <c r="N677" s="248"/>
      <c r="O677" s="226"/>
      <c r="P677" s="226"/>
      <c r="Q677" s="226"/>
      <c r="R677" s="68"/>
      <c r="V677" s="41"/>
    </row>
    <row r="678">
      <c r="J678" s="68"/>
      <c r="K678" s="79"/>
      <c r="L678" s="79"/>
      <c r="M678" s="226"/>
      <c r="N678" s="248"/>
      <c r="O678" s="226"/>
      <c r="P678" s="226"/>
      <c r="Q678" s="226"/>
      <c r="R678" s="68"/>
      <c r="V678" s="41"/>
    </row>
    <row r="679">
      <c r="J679" s="68"/>
      <c r="K679" s="79"/>
      <c r="L679" s="79"/>
      <c r="M679" s="226"/>
      <c r="N679" s="248"/>
      <c r="O679" s="226"/>
      <c r="P679" s="226"/>
      <c r="Q679" s="226"/>
      <c r="R679" s="68"/>
      <c r="V679" s="41"/>
    </row>
    <row r="680">
      <c r="J680" s="68"/>
      <c r="K680" s="79"/>
      <c r="L680" s="79"/>
      <c r="M680" s="226"/>
      <c r="N680" s="248"/>
      <c r="O680" s="226"/>
      <c r="P680" s="226"/>
      <c r="Q680" s="226"/>
      <c r="R680" s="68"/>
      <c r="V680" s="41"/>
    </row>
    <row r="681">
      <c r="J681" s="68"/>
      <c r="K681" s="79"/>
      <c r="L681" s="79"/>
      <c r="M681" s="226"/>
      <c r="N681" s="248"/>
      <c r="O681" s="226"/>
      <c r="P681" s="226"/>
      <c r="Q681" s="226"/>
      <c r="R681" s="68"/>
      <c r="V681" s="41"/>
    </row>
    <row r="682">
      <c r="J682" s="68"/>
      <c r="K682" s="79"/>
      <c r="L682" s="79"/>
      <c r="M682" s="226"/>
      <c r="N682" s="248"/>
      <c r="O682" s="226"/>
      <c r="P682" s="226"/>
      <c r="Q682" s="226"/>
      <c r="R682" s="68"/>
      <c r="V682" s="41"/>
    </row>
    <row r="683">
      <c r="J683" s="68"/>
      <c r="K683" s="79"/>
      <c r="L683" s="79"/>
      <c r="M683" s="226"/>
      <c r="N683" s="248"/>
      <c r="O683" s="226"/>
      <c r="P683" s="226"/>
      <c r="Q683" s="226"/>
      <c r="R683" s="68"/>
      <c r="V683" s="41"/>
    </row>
    <row r="684">
      <c r="J684" s="68"/>
      <c r="K684" s="79"/>
      <c r="L684" s="79"/>
      <c r="M684" s="226"/>
      <c r="N684" s="248"/>
      <c r="O684" s="226"/>
      <c r="P684" s="226"/>
      <c r="Q684" s="226"/>
      <c r="R684" s="68"/>
      <c r="V684" s="41"/>
    </row>
    <row r="685">
      <c r="J685" s="68"/>
      <c r="K685" s="79"/>
      <c r="L685" s="79"/>
      <c r="M685" s="226"/>
      <c r="N685" s="248"/>
      <c r="O685" s="226"/>
      <c r="P685" s="226"/>
      <c r="Q685" s="226"/>
      <c r="R685" s="68"/>
      <c r="V685" s="41"/>
    </row>
    <row r="686">
      <c r="J686" s="68"/>
      <c r="K686" s="79"/>
      <c r="L686" s="79"/>
      <c r="M686" s="226"/>
      <c r="N686" s="248"/>
      <c r="O686" s="226"/>
      <c r="P686" s="226"/>
      <c r="Q686" s="226"/>
      <c r="R686" s="68"/>
      <c r="V686" s="41"/>
    </row>
    <row r="687">
      <c r="J687" s="68"/>
      <c r="K687" s="79"/>
      <c r="L687" s="79"/>
      <c r="M687" s="226"/>
      <c r="N687" s="248"/>
      <c r="O687" s="226"/>
      <c r="P687" s="226"/>
      <c r="Q687" s="226"/>
      <c r="R687" s="68"/>
      <c r="V687" s="41"/>
    </row>
    <row r="688">
      <c r="J688" s="68"/>
      <c r="K688" s="79"/>
      <c r="L688" s="79"/>
      <c r="M688" s="226"/>
      <c r="N688" s="248"/>
      <c r="O688" s="226"/>
      <c r="P688" s="226"/>
      <c r="Q688" s="226"/>
      <c r="R688" s="68"/>
      <c r="V688" s="41"/>
    </row>
    <row r="689">
      <c r="J689" s="68"/>
      <c r="K689" s="79"/>
      <c r="L689" s="79"/>
      <c r="M689" s="226"/>
      <c r="N689" s="248"/>
      <c r="O689" s="226"/>
      <c r="P689" s="226"/>
      <c r="Q689" s="226"/>
      <c r="R689" s="68"/>
      <c r="V689" s="41"/>
    </row>
    <row r="690">
      <c r="J690" s="68"/>
      <c r="K690" s="79"/>
      <c r="L690" s="79"/>
      <c r="M690" s="226"/>
      <c r="N690" s="248"/>
      <c r="O690" s="226"/>
      <c r="P690" s="226"/>
      <c r="Q690" s="226"/>
      <c r="R690" s="68"/>
      <c r="V690" s="41"/>
    </row>
    <row r="691">
      <c r="J691" s="68"/>
      <c r="K691" s="79"/>
      <c r="L691" s="79"/>
      <c r="M691" s="226"/>
      <c r="N691" s="248"/>
      <c r="O691" s="226"/>
      <c r="P691" s="226"/>
      <c r="Q691" s="226"/>
      <c r="R691" s="68"/>
      <c r="V691" s="41"/>
    </row>
    <row r="692">
      <c r="J692" s="68"/>
      <c r="K692" s="79"/>
      <c r="L692" s="79"/>
      <c r="M692" s="226"/>
      <c r="N692" s="248"/>
      <c r="O692" s="226"/>
      <c r="P692" s="226"/>
      <c r="Q692" s="226"/>
      <c r="R692" s="68"/>
      <c r="V692" s="41"/>
    </row>
    <row r="693">
      <c r="J693" s="68"/>
      <c r="K693" s="79"/>
      <c r="L693" s="79"/>
      <c r="M693" s="226"/>
      <c r="N693" s="248"/>
      <c r="O693" s="226"/>
      <c r="P693" s="226"/>
      <c r="Q693" s="226"/>
      <c r="R693" s="68"/>
      <c r="V693" s="41"/>
    </row>
    <row r="694">
      <c r="J694" s="68"/>
      <c r="K694" s="79"/>
      <c r="L694" s="79"/>
      <c r="M694" s="226"/>
      <c r="N694" s="248"/>
      <c r="O694" s="226"/>
      <c r="P694" s="226"/>
      <c r="Q694" s="226"/>
      <c r="R694" s="68"/>
      <c r="V694" s="41"/>
    </row>
    <row r="695">
      <c r="J695" s="68"/>
      <c r="K695" s="79"/>
      <c r="L695" s="79"/>
      <c r="M695" s="226"/>
      <c r="N695" s="248"/>
      <c r="O695" s="226"/>
      <c r="P695" s="226"/>
      <c r="Q695" s="226"/>
      <c r="R695" s="68"/>
      <c r="V695" s="41"/>
    </row>
    <row r="696">
      <c r="J696" s="68"/>
      <c r="K696" s="79"/>
      <c r="L696" s="79"/>
      <c r="M696" s="226"/>
      <c r="N696" s="248"/>
      <c r="O696" s="226"/>
      <c r="P696" s="226"/>
      <c r="Q696" s="226"/>
      <c r="R696" s="68"/>
      <c r="V696" s="41"/>
    </row>
    <row r="697">
      <c r="J697" s="68"/>
      <c r="K697" s="79"/>
      <c r="L697" s="79"/>
      <c r="M697" s="226"/>
      <c r="N697" s="248"/>
      <c r="O697" s="226"/>
      <c r="P697" s="226"/>
      <c r="Q697" s="226"/>
      <c r="R697" s="68"/>
      <c r="V697" s="41"/>
    </row>
    <row r="698">
      <c r="J698" s="68"/>
      <c r="K698" s="79"/>
      <c r="L698" s="79"/>
      <c r="M698" s="226"/>
      <c r="N698" s="248"/>
      <c r="O698" s="226"/>
      <c r="P698" s="226"/>
      <c r="Q698" s="226"/>
      <c r="R698" s="68"/>
      <c r="V698" s="41"/>
    </row>
    <row r="699">
      <c r="J699" s="68"/>
      <c r="K699" s="79"/>
      <c r="L699" s="79"/>
      <c r="M699" s="226"/>
      <c r="N699" s="248"/>
      <c r="O699" s="226"/>
      <c r="P699" s="226"/>
      <c r="Q699" s="226"/>
      <c r="R699" s="68"/>
      <c r="V699" s="41"/>
    </row>
    <row r="700">
      <c r="J700" s="68"/>
      <c r="K700" s="79"/>
      <c r="L700" s="79"/>
      <c r="M700" s="226"/>
      <c r="N700" s="248"/>
      <c r="O700" s="226"/>
      <c r="P700" s="226"/>
      <c r="Q700" s="226"/>
      <c r="R700" s="68"/>
      <c r="V700" s="41"/>
    </row>
    <row r="701">
      <c r="J701" s="68"/>
      <c r="K701" s="79"/>
      <c r="L701" s="79"/>
      <c r="M701" s="226"/>
      <c r="N701" s="248"/>
      <c r="O701" s="226"/>
      <c r="P701" s="226"/>
      <c r="Q701" s="226"/>
      <c r="R701" s="68"/>
      <c r="V701" s="41"/>
    </row>
    <row r="702">
      <c r="J702" s="68"/>
      <c r="K702" s="79"/>
      <c r="L702" s="79"/>
      <c r="M702" s="226"/>
      <c r="N702" s="248"/>
      <c r="O702" s="226"/>
      <c r="P702" s="226"/>
      <c r="Q702" s="226"/>
      <c r="R702" s="68"/>
      <c r="V702" s="41"/>
    </row>
    <row r="703">
      <c r="J703" s="68"/>
      <c r="K703" s="79"/>
      <c r="L703" s="79"/>
      <c r="M703" s="226"/>
      <c r="N703" s="248"/>
      <c r="O703" s="226"/>
      <c r="P703" s="226"/>
      <c r="Q703" s="226"/>
      <c r="R703" s="68"/>
      <c r="V703" s="41"/>
    </row>
    <row r="704">
      <c r="J704" s="68"/>
      <c r="K704" s="79"/>
      <c r="L704" s="79"/>
      <c r="M704" s="226"/>
      <c r="N704" s="248"/>
      <c r="O704" s="226"/>
      <c r="P704" s="226"/>
      <c r="Q704" s="226"/>
      <c r="R704" s="68"/>
      <c r="V704" s="41"/>
    </row>
    <row r="705">
      <c r="J705" s="68"/>
      <c r="K705" s="79"/>
      <c r="L705" s="79"/>
      <c r="M705" s="226"/>
      <c r="N705" s="248"/>
      <c r="O705" s="226"/>
      <c r="P705" s="226"/>
      <c r="Q705" s="226"/>
      <c r="R705" s="68"/>
      <c r="V705" s="41"/>
    </row>
    <row r="706">
      <c r="J706" s="68"/>
      <c r="K706" s="79"/>
      <c r="L706" s="79"/>
      <c r="M706" s="226"/>
      <c r="N706" s="248"/>
      <c r="O706" s="226"/>
      <c r="P706" s="226"/>
      <c r="Q706" s="226"/>
      <c r="R706" s="68"/>
      <c r="V706" s="41"/>
    </row>
    <row r="707">
      <c r="J707" s="68"/>
      <c r="K707" s="79"/>
      <c r="L707" s="79"/>
      <c r="M707" s="226"/>
      <c r="N707" s="248"/>
      <c r="O707" s="226"/>
      <c r="P707" s="226"/>
      <c r="Q707" s="226"/>
      <c r="R707" s="68"/>
      <c r="V707" s="41"/>
    </row>
    <row r="708">
      <c r="J708" s="68"/>
      <c r="K708" s="79"/>
      <c r="L708" s="79"/>
      <c r="M708" s="226"/>
      <c r="N708" s="248"/>
      <c r="O708" s="226"/>
      <c r="P708" s="226"/>
      <c r="Q708" s="226"/>
      <c r="R708" s="68"/>
      <c r="V708" s="41"/>
    </row>
    <row r="709">
      <c r="J709" s="68"/>
      <c r="K709" s="79"/>
      <c r="L709" s="79"/>
      <c r="M709" s="226"/>
      <c r="N709" s="248"/>
      <c r="O709" s="226"/>
      <c r="P709" s="226"/>
      <c r="Q709" s="226"/>
      <c r="R709" s="68"/>
      <c r="V709" s="41"/>
    </row>
    <row r="710">
      <c r="J710" s="68"/>
      <c r="K710" s="79"/>
      <c r="L710" s="79"/>
      <c r="M710" s="226"/>
      <c r="N710" s="248"/>
      <c r="O710" s="226"/>
      <c r="P710" s="226"/>
      <c r="Q710" s="226"/>
      <c r="R710" s="68"/>
      <c r="V710" s="41"/>
    </row>
    <row r="711">
      <c r="J711" s="68"/>
      <c r="K711" s="79"/>
      <c r="L711" s="79"/>
      <c r="M711" s="226"/>
      <c r="N711" s="248"/>
      <c r="O711" s="226"/>
      <c r="P711" s="226"/>
      <c r="Q711" s="226"/>
      <c r="R711" s="68"/>
      <c r="V711" s="41"/>
    </row>
    <row r="712">
      <c r="J712" s="68"/>
      <c r="K712" s="79"/>
      <c r="L712" s="79"/>
      <c r="M712" s="226"/>
      <c r="N712" s="248"/>
      <c r="O712" s="226"/>
      <c r="P712" s="226"/>
      <c r="Q712" s="226"/>
      <c r="R712" s="68"/>
      <c r="V712" s="41"/>
    </row>
    <row r="713">
      <c r="J713" s="68"/>
      <c r="K713" s="79"/>
      <c r="L713" s="79"/>
      <c r="M713" s="226"/>
      <c r="N713" s="248"/>
      <c r="O713" s="226"/>
      <c r="P713" s="226"/>
      <c r="Q713" s="226"/>
      <c r="R713" s="68"/>
      <c r="V713" s="41"/>
    </row>
    <row r="714">
      <c r="J714" s="68"/>
      <c r="K714" s="79"/>
      <c r="L714" s="79"/>
      <c r="M714" s="226"/>
      <c r="N714" s="248"/>
      <c r="O714" s="226"/>
      <c r="P714" s="226"/>
      <c r="Q714" s="226"/>
      <c r="R714" s="68"/>
      <c r="V714" s="41"/>
    </row>
    <row r="715">
      <c r="J715" s="68"/>
      <c r="K715" s="79"/>
      <c r="L715" s="79"/>
      <c r="M715" s="226"/>
      <c r="N715" s="248"/>
      <c r="O715" s="226"/>
      <c r="P715" s="226"/>
      <c r="Q715" s="226"/>
      <c r="R715" s="68"/>
      <c r="V715" s="41"/>
    </row>
    <row r="716">
      <c r="J716" s="68"/>
      <c r="K716" s="79"/>
      <c r="L716" s="79"/>
      <c r="M716" s="226"/>
      <c r="N716" s="248"/>
      <c r="O716" s="226"/>
      <c r="P716" s="226"/>
      <c r="Q716" s="226"/>
      <c r="R716" s="68"/>
      <c r="V716" s="41"/>
    </row>
    <row r="717">
      <c r="J717" s="68"/>
      <c r="K717" s="79"/>
      <c r="L717" s="79"/>
      <c r="M717" s="226"/>
      <c r="N717" s="248"/>
      <c r="O717" s="226"/>
      <c r="P717" s="226"/>
      <c r="Q717" s="226"/>
      <c r="R717" s="68"/>
      <c r="V717" s="41"/>
    </row>
    <row r="718">
      <c r="J718" s="68"/>
      <c r="K718" s="79"/>
      <c r="L718" s="79"/>
      <c r="M718" s="226"/>
      <c r="N718" s="248"/>
      <c r="O718" s="226"/>
      <c r="P718" s="226"/>
      <c r="Q718" s="226"/>
      <c r="R718" s="68"/>
      <c r="V718" s="41"/>
    </row>
    <row r="719">
      <c r="J719" s="68"/>
      <c r="K719" s="79"/>
      <c r="L719" s="79"/>
      <c r="M719" s="226"/>
      <c r="N719" s="248"/>
      <c r="O719" s="226"/>
      <c r="P719" s="226"/>
      <c r="Q719" s="226"/>
      <c r="R719" s="68"/>
      <c r="V719" s="41"/>
    </row>
    <row r="720">
      <c r="J720" s="68"/>
      <c r="K720" s="79"/>
      <c r="L720" s="79"/>
      <c r="M720" s="226"/>
      <c r="N720" s="248"/>
      <c r="O720" s="226"/>
      <c r="P720" s="226"/>
      <c r="Q720" s="226"/>
      <c r="R720" s="68"/>
      <c r="V720" s="41"/>
    </row>
    <row r="721">
      <c r="J721" s="68"/>
      <c r="K721" s="79"/>
      <c r="L721" s="79"/>
      <c r="M721" s="226"/>
      <c r="N721" s="248"/>
      <c r="O721" s="226"/>
      <c r="P721" s="226"/>
      <c r="Q721" s="226"/>
      <c r="R721" s="68"/>
      <c r="V721" s="41"/>
    </row>
    <row r="722">
      <c r="J722" s="68"/>
      <c r="K722" s="79"/>
      <c r="L722" s="79"/>
      <c r="M722" s="226"/>
      <c r="N722" s="248"/>
      <c r="O722" s="226"/>
      <c r="P722" s="226"/>
      <c r="Q722" s="226"/>
      <c r="R722" s="68"/>
      <c r="V722" s="41"/>
    </row>
    <row r="723">
      <c r="J723" s="68"/>
      <c r="K723" s="79"/>
      <c r="L723" s="79"/>
      <c r="M723" s="226"/>
      <c r="N723" s="248"/>
      <c r="O723" s="226"/>
      <c r="P723" s="226"/>
      <c r="Q723" s="226"/>
      <c r="R723" s="68"/>
      <c r="V723" s="41"/>
    </row>
    <row r="724">
      <c r="J724" s="68"/>
      <c r="K724" s="79"/>
      <c r="L724" s="79"/>
      <c r="M724" s="226"/>
      <c r="N724" s="248"/>
      <c r="O724" s="226"/>
      <c r="P724" s="226"/>
      <c r="Q724" s="226"/>
      <c r="R724" s="68"/>
      <c r="V724" s="41"/>
    </row>
    <row r="725">
      <c r="J725" s="68"/>
      <c r="K725" s="79"/>
      <c r="L725" s="79"/>
      <c r="M725" s="226"/>
      <c r="N725" s="248"/>
      <c r="O725" s="226"/>
      <c r="P725" s="226"/>
      <c r="Q725" s="226"/>
      <c r="R725" s="68"/>
      <c r="V725" s="41"/>
    </row>
    <row r="726">
      <c r="J726" s="68"/>
      <c r="K726" s="79"/>
      <c r="L726" s="79"/>
      <c r="M726" s="226"/>
      <c r="N726" s="248"/>
      <c r="O726" s="226"/>
      <c r="P726" s="226"/>
      <c r="Q726" s="226"/>
      <c r="R726" s="68"/>
      <c r="V726" s="41"/>
    </row>
    <row r="727">
      <c r="J727" s="68"/>
      <c r="K727" s="79"/>
      <c r="L727" s="79"/>
      <c r="M727" s="226"/>
      <c r="N727" s="248"/>
      <c r="O727" s="226"/>
      <c r="P727" s="226"/>
      <c r="Q727" s="226"/>
      <c r="R727" s="68"/>
      <c r="V727" s="41"/>
    </row>
    <row r="728">
      <c r="J728" s="68"/>
      <c r="K728" s="79"/>
      <c r="L728" s="79"/>
      <c r="M728" s="226"/>
      <c r="N728" s="248"/>
      <c r="O728" s="226"/>
      <c r="P728" s="226"/>
      <c r="Q728" s="226"/>
      <c r="R728" s="68"/>
      <c r="V728" s="41"/>
    </row>
    <row r="729">
      <c r="J729" s="68"/>
      <c r="K729" s="79"/>
      <c r="L729" s="79"/>
      <c r="M729" s="226"/>
      <c r="N729" s="248"/>
      <c r="O729" s="226"/>
      <c r="P729" s="226"/>
      <c r="Q729" s="226"/>
      <c r="R729" s="68"/>
      <c r="V729" s="41"/>
    </row>
    <row r="730">
      <c r="J730" s="68"/>
      <c r="K730" s="79"/>
      <c r="L730" s="79"/>
      <c r="M730" s="226"/>
      <c r="N730" s="248"/>
      <c r="O730" s="226"/>
      <c r="P730" s="226"/>
      <c r="Q730" s="226"/>
      <c r="R730" s="68"/>
      <c r="V730" s="41"/>
    </row>
    <row r="731">
      <c r="J731" s="68"/>
      <c r="K731" s="79"/>
      <c r="L731" s="79"/>
      <c r="M731" s="226"/>
      <c r="N731" s="248"/>
      <c r="O731" s="226"/>
      <c r="P731" s="226"/>
      <c r="Q731" s="226"/>
      <c r="R731" s="68"/>
      <c r="V731" s="41"/>
    </row>
    <row r="732">
      <c r="J732" s="68"/>
      <c r="K732" s="79"/>
      <c r="L732" s="79"/>
      <c r="M732" s="226"/>
      <c r="N732" s="248"/>
      <c r="O732" s="226"/>
      <c r="P732" s="226"/>
      <c r="Q732" s="226"/>
      <c r="R732" s="68"/>
      <c r="V732" s="41"/>
    </row>
    <row r="733">
      <c r="J733" s="68"/>
      <c r="K733" s="79"/>
      <c r="L733" s="79"/>
      <c r="M733" s="226"/>
      <c r="N733" s="248"/>
      <c r="O733" s="226"/>
      <c r="P733" s="226"/>
      <c r="Q733" s="226"/>
      <c r="R733" s="68"/>
      <c r="V733" s="41"/>
    </row>
    <row r="734">
      <c r="J734" s="68"/>
      <c r="K734" s="79"/>
      <c r="L734" s="79"/>
      <c r="M734" s="226"/>
      <c r="N734" s="248"/>
      <c r="O734" s="226"/>
      <c r="P734" s="226"/>
      <c r="Q734" s="226"/>
      <c r="R734" s="68"/>
      <c r="V734" s="41"/>
    </row>
    <row r="735">
      <c r="J735" s="68"/>
      <c r="K735" s="79"/>
      <c r="L735" s="79"/>
      <c r="M735" s="226"/>
      <c r="N735" s="248"/>
      <c r="O735" s="226"/>
      <c r="P735" s="226"/>
      <c r="Q735" s="226"/>
      <c r="R735" s="68"/>
      <c r="V735" s="41"/>
    </row>
    <row r="736">
      <c r="J736" s="68"/>
      <c r="K736" s="79"/>
      <c r="L736" s="79"/>
      <c r="M736" s="226"/>
      <c r="N736" s="248"/>
      <c r="O736" s="226"/>
      <c r="P736" s="226"/>
      <c r="Q736" s="226"/>
      <c r="R736" s="68"/>
      <c r="V736" s="41"/>
    </row>
    <row r="737">
      <c r="J737" s="68"/>
      <c r="K737" s="79"/>
      <c r="L737" s="79"/>
      <c r="M737" s="226"/>
      <c r="N737" s="248"/>
      <c r="O737" s="226"/>
      <c r="P737" s="226"/>
      <c r="Q737" s="226"/>
      <c r="R737" s="68"/>
      <c r="V737" s="41"/>
    </row>
    <row r="738">
      <c r="J738" s="68"/>
      <c r="K738" s="79"/>
      <c r="L738" s="79"/>
      <c r="M738" s="226"/>
      <c r="N738" s="248"/>
      <c r="O738" s="226"/>
      <c r="P738" s="226"/>
      <c r="Q738" s="226"/>
      <c r="R738" s="68"/>
      <c r="V738" s="41"/>
    </row>
    <row r="739">
      <c r="J739" s="68"/>
      <c r="K739" s="79"/>
      <c r="L739" s="79"/>
      <c r="M739" s="226"/>
      <c r="N739" s="248"/>
      <c r="O739" s="226"/>
      <c r="P739" s="226"/>
      <c r="Q739" s="226"/>
      <c r="R739" s="68"/>
      <c r="V739" s="41"/>
    </row>
    <row r="740">
      <c r="J740" s="68"/>
      <c r="K740" s="79"/>
      <c r="L740" s="79"/>
      <c r="M740" s="226"/>
      <c r="N740" s="248"/>
      <c r="O740" s="226"/>
      <c r="P740" s="226"/>
      <c r="Q740" s="226"/>
      <c r="R740" s="68"/>
      <c r="V740" s="41"/>
    </row>
    <row r="741">
      <c r="J741" s="68"/>
      <c r="K741" s="79"/>
      <c r="L741" s="79"/>
      <c r="M741" s="226"/>
      <c r="N741" s="248"/>
      <c r="O741" s="226"/>
      <c r="P741" s="226"/>
      <c r="Q741" s="226"/>
      <c r="R741" s="68"/>
      <c r="V741" s="41"/>
    </row>
    <row r="742">
      <c r="J742" s="68"/>
      <c r="K742" s="79"/>
      <c r="L742" s="79"/>
      <c r="M742" s="226"/>
      <c r="N742" s="248"/>
      <c r="O742" s="226"/>
      <c r="P742" s="226"/>
      <c r="Q742" s="226"/>
      <c r="R742" s="68"/>
      <c r="V742" s="41"/>
    </row>
    <row r="743">
      <c r="J743" s="68"/>
      <c r="K743" s="79"/>
      <c r="L743" s="79"/>
      <c r="M743" s="226"/>
      <c r="N743" s="248"/>
      <c r="O743" s="226"/>
      <c r="P743" s="226"/>
      <c r="Q743" s="226"/>
      <c r="R743" s="68"/>
      <c r="V743" s="41"/>
    </row>
    <row r="744">
      <c r="J744" s="68"/>
      <c r="K744" s="79"/>
      <c r="L744" s="79"/>
      <c r="M744" s="226"/>
      <c r="N744" s="248"/>
      <c r="O744" s="226"/>
      <c r="P744" s="226"/>
      <c r="Q744" s="226"/>
      <c r="R744" s="68"/>
      <c r="V744" s="41"/>
    </row>
    <row r="745">
      <c r="J745" s="68"/>
      <c r="K745" s="79"/>
      <c r="L745" s="79"/>
      <c r="M745" s="226"/>
      <c r="N745" s="248"/>
      <c r="O745" s="226"/>
      <c r="P745" s="226"/>
      <c r="Q745" s="226"/>
      <c r="R745" s="68"/>
      <c r="V745" s="41"/>
    </row>
    <row r="746">
      <c r="J746" s="68"/>
      <c r="K746" s="79"/>
      <c r="L746" s="79"/>
      <c r="M746" s="226"/>
      <c r="N746" s="248"/>
      <c r="O746" s="226"/>
      <c r="P746" s="226"/>
      <c r="Q746" s="226"/>
      <c r="R746" s="68"/>
      <c r="V746" s="41"/>
    </row>
    <row r="747">
      <c r="J747" s="68"/>
      <c r="K747" s="79"/>
      <c r="L747" s="79"/>
      <c r="M747" s="226"/>
      <c r="N747" s="248"/>
      <c r="O747" s="226"/>
      <c r="P747" s="226"/>
      <c r="Q747" s="226"/>
      <c r="R747" s="68"/>
      <c r="V747" s="41"/>
    </row>
    <row r="748">
      <c r="J748" s="68"/>
      <c r="K748" s="79"/>
      <c r="L748" s="79"/>
      <c r="M748" s="226"/>
      <c r="N748" s="248"/>
      <c r="O748" s="226"/>
      <c r="P748" s="226"/>
      <c r="Q748" s="226"/>
      <c r="R748" s="68"/>
      <c r="V748" s="41"/>
    </row>
    <row r="749">
      <c r="J749" s="68"/>
      <c r="K749" s="79"/>
      <c r="L749" s="79"/>
      <c r="M749" s="226"/>
      <c r="N749" s="248"/>
      <c r="O749" s="226"/>
      <c r="P749" s="226"/>
      <c r="Q749" s="226"/>
      <c r="R749" s="68"/>
      <c r="V749" s="41"/>
    </row>
    <row r="750">
      <c r="J750" s="68"/>
      <c r="K750" s="79"/>
      <c r="L750" s="79"/>
      <c r="M750" s="226"/>
      <c r="N750" s="248"/>
      <c r="O750" s="226"/>
      <c r="P750" s="226"/>
      <c r="Q750" s="226"/>
      <c r="R750" s="68"/>
      <c r="V750" s="41"/>
    </row>
    <row r="751">
      <c r="J751" s="68"/>
      <c r="K751" s="79"/>
      <c r="L751" s="79"/>
      <c r="M751" s="226"/>
      <c r="N751" s="248"/>
      <c r="O751" s="226"/>
      <c r="P751" s="226"/>
      <c r="Q751" s="226"/>
      <c r="R751" s="68"/>
      <c r="V751" s="41"/>
    </row>
    <row r="752">
      <c r="J752" s="68"/>
      <c r="K752" s="79"/>
      <c r="L752" s="79"/>
      <c r="M752" s="226"/>
      <c r="N752" s="248"/>
      <c r="O752" s="226"/>
      <c r="P752" s="226"/>
      <c r="Q752" s="226"/>
      <c r="R752" s="68"/>
      <c r="V752" s="41"/>
    </row>
    <row r="753">
      <c r="J753" s="68"/>
      <c r="K753" s="79"/>
      <c r="L753" s="79"/>
      <c r="M753" s="226"/>
      <c r="N753" s="248"/>
      <c r="O753" s="226"/>
      <c r="P753" s="226"/>
      <c r="Q753" s="226"/>
      <c r="R753" s="68"/>
      <c r="V753" s="41"/>
    </row>
    <row r="754">
      <c r="J754" s="68"/>
      <c r="K754" s="79"/>
      <c r="L754" s="79"/>
      <c r="M754" s="226"/>
      <c r="N754" s="248"/>
      <c r="O754" s="226"/>
      <c r="P754" s="226"/>
      <c r="Q754" s="226"/>
      <c r="R754" s="68"/>
      <c r="V754" s="41"/>
    </row>
    <row r="755">
      <c r="J755" s="68"/>
      <c r="K755" s="79"/>
      <c r="L755" s="79"/>
      <c r="M755" s="226"/>
      <c r="N755" s="248"/>
      <c r="O755" s="226"/>
      <c r="P755" s="226"/>
      <c r="Q755" s="226"/>
      <c r="R755" s="68"/>
      <c r="V755" s="41"/>
    </row>
    <row r="756">
      <c r="J756" s="68"/>
      <c r="K756" s="79"/>
      <c r="L756" s="79"/>
      <c r="M756" s="226"/>
      <c r="N756" s="248"/>
      <c r="O756" s="226"/>
      <c r="P756" s="226"/>
      <c r="Q756" s="226"/>
      <c r="R756" s="68"/>
      <c r="V756" s="41"/>
    </row>
    <row r="757">
      <c r="J757" s="68"/>
      <c r="K757" s="79"/>
      <c r="L757" s="79"/>
      <c r="M757" s="226"/>
      <c r="N757" s="248"/>
      <c r="O757" s="226"/>
      <c r="P757" s="226"/>
      <c r="Q757" s="226"/>
      <c r="R757" s="68"/>
      <c r="V757" s="41"/>
    </row>
    <row r="758">
      <c r="J758" s="68"/>
      <c r="K758" s="79"/>
      <c r="L758" s="79"/>
      <c r="M758" s="226"/>
      <c r="N758" s="248"/>
      <c r="O758" s="226"/>
      <c r="P758" s="226"/>
      <c r="Q758" s="226"/>
      <c r="R758" s="68"/>
      <c r="V758" s="41"/>
    </row>
    <row r="759">
      <c r="J759" s="68"/>
      <c r="K759" s="79"/>
      <c r="L759" s="79"/>
      <c r="M759" s="226"/>
      <c r="N759" s="248"/>
      <c r="O759" s="226"/>
      <c r="P759" s="226"/>
      <c r="Q759" s="226"/>
      <c r="R759" s="68"/>
      <c r="V759" s="41"/>
    </row>
    <row r="760">
      <c r="J760" s="68"/>
      <c r="K760" s="79"/>
      <c r="L760" s="79"/>
      <c r="M760" s="226"/>
      <c r="N760" s="248"/>
      <c r="O760" s="226"/>
      <c r="P760" s="226"/>
      <c r="Q760" s="226"/>
      <c r="R760" s="68"/>
      <c r="V760" s="41"/>
    </row>
    <row r="761">
      <c r="J761" s="68"/>
      <c r="K761" s="79"/>
      <c r="L761" s="79"/>
      <c r="M761" s="226"/>
      <c r="N761" s="248"/>
      <c r="O761" s="226"/>
      <c r="P761" s="226"/>
      <c r="Q761" s="226"/>
      <c r="R761" s="68"/>
      <c r="V761" s="41"/>
    </row>
    <row r="762">
      <c r="J762" s="68"/>
      <c r="K762" s="79"/>
      <c r="L762" s="79"/>
      <c r="M762" s="226"/>
      <c r="N762" s="248"/>
      <c r="O762" s="226"/>
      <c r="P762" s="226"/>
      <c r="Q762" s="226"/>
      <c r="R762" s="68"/>
      <c r="V762" s="41"/>
    </row>
    <row r="763">
      <c r="J763" s="68"/>
      <c r="K763" s="79"/>
      <c r="L763" s="79"/>
      <c r="M763" s="226"/>
      <c r="N763" s="248"/>
      <c r="O763" s="226"/>
      <c r="P763" s="226"/>
      <c r="Q763" s="226"/>
      <c r="R763" s="68"/>
      <c r="V763" s="41"/>
    </row>
    <row r="764">
      <c r="J764" s="68"/>
      <c r="K764" s="79"/>
      <c r="L764" s="79"/>
      <c r="M764" s="226"/>
      <c r="N764" s="248"/>
      <c r="O764" s="226"/>
      <c r="P764" s="226"/>
      <c r="Q764" s="226"/>
      <c r="R764" s="68"/>
      <c r="V764" s="41"/>
    </row>
    <row r="765">
      <c r="J765" s="68"/>
      <c r="K765" s="79"/>
      <c r="L765" s="79"/>
      <c r="M765" s="226"/>
      <c r="N765" s="248"/>
      <c r="O765" s="226"/>
      <c r="P765" s="226"/>
      <c r="Q765" s="226"/>
      <c r="R765" s="68"/>
      <c r="V765" s="41"/>
    </row>
    <row r="766">
      <c r="J766" s="68"/>
      <c r="K766" s="79"/>
      <c r="L766" s="79"/>
      <c r="M766" s="226"/>
      <c r="N766" s="248"/>
      <c r="O766" s="226"/>
      <c r="P766" s="226"/>
      <c r="Q766" s="226"/>
      <c r="R766" s="68"/>
      <c r="V766" s="41"/>
    </row>
    <row r="767">
      <c r="J767" s="68"/>
      <c r="K767" s="79"/>
      <c r="L767" s="79"/>
      <c r="M767" s="226"/>
      <c r="N767" s="248"/>
      <c r="O767" s="226"/>
      <c r="P767" s="226"/>
      <c r="Q767" s="226"/>
      <c r="R767" s="68"/>
      <c r="V767" s="41"/>
    </row>
    <row r="768">
      <c r="J768" s="68"/>
      <c r="K768" s="79"/>
      <c r="L768" s="79"/>
      <c r="M768" s="226"/>
      <c r="N768" s="248"/>
      <c r="O768" s="226"/>
      <c r="P768" s="226"/>
      <c r="Q768" s="226"/>
      <c r="R768" s="68"/>
      <c r="V768" s="41"/>
    </row>
    <row r="769">
      <c r="J769" s="68"/>
      <c r="K769" s="79"/>
      <c r="L769" s="79"/>
      <c r="M769" s="226"/>
      <c r="N769" s="248"/>
      <c r="O769" s="226"/>
      <c r="P769" s="226"/>
      <c r="Q769" s="226"/>
      <c r="R769" s="68"/>
      <c r="V769" s="41"/>
    </row>
    <row r="770">
      <c r="J770" s="68"/>
      <c r="K770" s="79"/>
      <c r="L770" s="79"/>
      <c r="M770" s="226"/>
      <c r="N770" s="248"/>
      <c r="O770" s="226"/>
      <c r="P770" s="226"/>
      <c r="Q770" s="226"/>
      <c r="R770" s="68"/>
      <c r="V770" s="41"/>
    </row>
    <row r="771">
      <c r="J771" s="68"/>
      <c r="K771" s="79"/>
      <c r="L771" s="79"/>
      <c r="M771" s="226"/>
      <c r="N771" s="248"/>
      <c r="O771" s="226"/>
      <c r="P771" s="226"/>
      <c r="Q771" s="226"/>
      <c r="R771" s="68"/>
      <c r="V771" s="41"/>
    </row>
    <row r="772">
      <c r="J772" s="68"/>
      <c r="K772" s="79"/>
      <c r="L772" s="79"/>
      <c r="M772" s="226"/>
      <c r="N772" s="248"/>
      <c r="O772" s="226"/>
      <c r="P772" s="226"/>
      <c r="Q772" s="226"/>
      <c r="R772" s="68"/>
      <c r="V772" s="41"/>
    </row>
    <row r="773">
      <c r="J773" s="68"/>
      <c r="K773" s="79"/>
      <c r="L773" s="79"/>
      <c r="M773" s="226"/>
      <c r="N773" s="248"/>
      <c r="O773" s="226"/>
      <c r="P773" s="226"/>
      <c r="Q773" s="226"/>
      <c r="R773" s="68"/>
      <c r="V773" s="41"/>
    </row>
    <row r="774">
      <c r="J774" s="68"/>
      <c r="K774" s="79"/>
      <c r="L774" s="79"/>
      <c r="M774" s="226"/>
      <c r="N774" s="248"/>
      <c r="O774" s="226"/>
      <c r="P774" s="226"/>
      <c r="Q774" s="226"/>
      <c r="R774" s="68"/>
      <c r="V774" s="41"/>
    </row>
    <row r="775">
      <c r="J775" s="68"/>
      <c r="K775" s="79"/>
      <c r="L775" s="79"/>
      <c r="M775" s="226"/>
      <c r="N775" s="248"/>
      <c r="O775" s="226"/>
      <c r="P775" s="226"/>
      <c r="Q775" s="226"/>
      <c r="R775" s="68"/>
      <c r="V775" s="41"/>
    </row>
    <row r="776">
      <c r="J776" s="68"/>
      <c r="K776" s="79"/>
      <c r="L776" s="79"/>
      <c r="M776" s="226"/>
      <c r="N776" s="248"/>
      <c r="O776" s="226"/>
      <c r="P776" s="226"/>
      <c r="Q776" s="226"/>
      <c r="R776" s="68"/>
      <c r="V776" s="41"/>
    </row>
    <row r="777">
      <c r="J777" s="68"/>
      <c r="K777" s="79"/>
      <c r="L777" s="79"/>
      <c r="M777" s="226"/>
      <c r="N777" s="248"/>
      <c r="O777" s="226"/>
      <c r="P777" s="226"/>
      <c r="Q777" s="226"/>
      <c r="R777" s="68"/>
      <c r="V777" s="41"/>
    </row>
    <row r="778">
      <c r="J778" s="68"/>
      <c r="K778" s="79"/>
      <c r="L778" s="79"/>
      <c r="M778" s="226"/>
      <c r="N778" s="248"/>
      <c r="O778" s="226"/>
      <c r="P778" s="226"/>
      <c r="Q778" s="226"/>
      <c r="R778" s="68"/>
      <c r="V778" s="41"/>
    </row>
    <row r="779">
      <c r="J779" s="68"/>
      <c r="K779" s="79"/>
      <c r="L779" s="79"/>
      <c r="M779" s="226"/>
      <c r="N779" s="248"/>
      <c r="O779" s="226"/>
      <c r="P779" s="226"/>
      <c r="Q779" s="226"/>
      <c r="R779" s="68"/>
      <c r="V779" s="41"/>
    </row>
    <row r="780">
      <c r="J780" s="68"/>
      <c r="K780" s="79"/>
      <c r="L780" s="79"/>
      <c r="M780" s="226"/>
      <c r="N780" s="248"/>
      <c r="O780" s="226"/>
      <c r="P780" s="226"/>
      <c r="Q780" s="226"/>
      <c r="R780" s="68"/>
      <c r="V780" s="41"/>
    </row>
    <row r="781">
      <c r="J781" s="68"/>
      <c r="K781" s="79"/>
      <c r="L781" s="79"/>
      <c r="M781" s="226"/>
      <c r="N781" s="248"/>
      <c r="O781" s="226"/>
      <c r="P781" s="226"/>
      <c r="Q781" s="226"/>
      <c r="R781" s="68"/>
      <c r="V781" s="41"/>
    </row>
    <row r="782">
      <c r="J782" s="68"/>
      <c r="K782" s="79"/>
      <c r="L782" s="79"/>
      <c r="M782" s="226"/>
      <c r="N782" s="248"/>
      <c r="O782" s="226"/>
      <c r="P782" s="226"/>
      <c r="Q782" s="226"/>
      <c r="R782" s="68"/>
      <c r="V782" s="41"/>
    </row>
    <row r="783">
      <c r="J783" s="68"/>
      <c r="K783" s="79"/>
      <c r="L783" s="79"/>
      <c r="M783" s="226"/>
      <c r="N783" s="248"/>
      <c r="O783" s="226"/>
      <c r="P783" s="226"/>
      <c r="Q783" s="226"/>
      <c r="R783" s="68"/>
      <c r="V783" s="41"/>
    </row>
    <row r="784">
      <c r="J784" s="68"/>
      <c r="K784" s="79"/>
      <c r="L784" s="79"/>
      <c r="M784" s="226"/>
      <c r="N784" s="248"/>
      <c r="O784" s="226"/>
      <c r="P784" s="226"/>
      <c r="Q784" s="226"/>
      <c r="R784" s="68"/>
      <c r="V784" s="41"/>
    </row>
    <row r="785">
      <c r="J785" s="68"/>
      <c r="K785" s="79"/>
      <c r="L785" s="79"/>
      <c r="M785" s="226"/>
      <c r="N785" s="248"/>
      <c r="O785" s="226"/>
      <c r="P785" s="226"/>
      <c r="Q785" s="226"/>
      <c r="R785" s="68"/>
      <c r="V785" s="41"/>
    </row>
    <row r="786">
      <c r="J786" s="68"/>
      <c r="K786" s="79"/>
      <c r="L786" s="79"/>
      <c r="M786" s="226"/>
      <c r="N786" s="248"/>
      <c r="O786" s="226"/>
      <c r="P786" s="226"/>
      <c r="Q786" s="226"/>
      <c r="R786" s="68"/>
      <c r="V786" s="41"/>
    </row>
    <row r="787">
      <c r="J787" s="68"/>
      <c r="K787" s="79"/>
      <c r="L787" s="79"/>
      <c r="M787" s="226"/>
      <c r="N787" s="248"/>
      <c r="O787" s="226"/>
      <c r="P787" s="226"/>
      <c r="Q787" s="226"/>
      <c r="R787" s="68"/>
      <c r="V787" s="41"/>
    </row>
    <row r="788">
      <c r="J788" s="68"/>
      <c r="K788" s="79"/>
      <c r="L788" s="79"/>
      <c r="M788" s="226"/>
      <c r="N788" s="248"/>
      <c r="O788" s="226"/>
      <c r="P788" s="226"/>
      <c r="Q788" s="226"/>
      <c r="R788" s="68"/>
      <c r="V788" s="41"/>
    </row>
    <row r="789">
      <c r="J789" s="68"/>
      <c r="K789" s="79"/>
      <c r="L789" s="79"/>
      <c r="M789" s="226"/>
      <c r="N789" s="248"/>
      <c r="O789" s="226"/>
      <c r="P789" s="226"/>
      <c r="Q789" s="226"/>
      <c r="R789" s="68"/>
      <c r="V789" s="41"/>
    </row>
    <row r="790">
      <c r="J790" s="68"/>
      <c r="K790" s="79"/>
      <c r="L790" s="79"/>
      <c r="M790" s="226"/>
      <c r="N790" s="248"/>
      <c r="O790" s="226"/>
      <c r="P790" s="226"/>
      <c r="Q790" s="226"/>
      <c r="R790" s="68"/>
      <c r="V790" s="41"/>
    </row>
    <row r="791">
      <c r="J791" s="68"/>
      <c r="K791" s="79"/>
      <c r="L791" s="79"/>
      <c r="M791" s="226"/>
      <c r="N791" s="248"/>
      <c r="O791" s="226"/>
      <c r="P791" s="226"/>
      <c r="Q791" s="226"/>
      <c r="R791" s="68"/>
      <c r="V791" s="41"/>
    </row>
    <row r="792">
      <c r="J792" s="68"/>
      <c r="K792" s="79"/>
      <c r="L792" s="79"/>
      <c r="M792" s="226"/>
      <c r="N792" s="248"/>
      <c r="O792" s="226"/>
      <c r="P792" s="226"/>
      <c r="Q792" s="226"/>
      <c r="R792" s="68"/>
      <c r="V792" s="41"/>
    </row>
    <row r="793">
      <c r="J793" s="68"/>
      <c r="K793" s="79"/>
      <c r="L793" s="79"/>
      <c r="M793" s="226"/>
      <c r="N793" s="248"/>
      <c r="O793" s="226"/>
      <c r="P793" s="226"/>
      <c r="Q793" s="226"/>
      <c r="R793" s="68"/>
      <c r="V793" s="41"/>
    </row>
    <row r="794">
      <c r="J794" s="68"/>
      <c r="K794" s="79"/>
      <c r="L794" s="79"/>
      <c r="M794" s="226"/>
      <c r="N794" s="248"/>
      <c r="O794" s="226"/>
      <c r="P794" s="226"/>
      <c r="Q794" s="226"/>
      <c r="R794" s="68"/>
      <c r="V794" s="41"/>
    </row>
    <row r="795">
      <c r="J795" s="68"/>
      <c r="K795" s="79"/>
      <c r="L795" s="79"/>
      <c r="M795" s="226"/>
      <c r="N795" s="248"/>
      <c r="O795" s="226"/>
      <c r="P795" s="226"/>
      <c r="Q795" s="226"/>
      <c r="R795" s="68"/>
      <c r="V795" s="41"/>
    </row>
    <row r="796">
      <c r="J796" s="68"/>
      <c r="K796" s="79"/>
      <c r="L796" s="79"/>
      <c r="M796" s="226"/>
      <c r="N796" s="248"/>
      <c r="O796" s="226"/>
      <c r="P796" s="226"/>
      <c r="Q796" s="226"/>
      <c r="R796" s="68"/>
      <c r="V796" s="41"/>
    </row>
    <row r="797">
      <c r="J797" s="68"/>
      <c r="K797" s="79"/>
      <c r="L797" s="79"/>
      <c r="M797" s="226"/>
      <c r="N797" s="248"/>
      <c r="O797" s="226"/>
      <c r="P797" s="226"/>
      <c r="Q797" s="226"/>
      <c r="R797" s="68"/>
      <c r="V797" s="41"/>
    </row>
    <row r="798">
      <c r="J798" s="68"/>
      <c r="K798" s="79"/>
      <c r="L798" s="79"/>
      <c r="M798" s="226"/>
      <c r="N798" s="248"/>
      <c r="O798" s="226"/>
      <c r="P798" s="226"/>
      <c r="Q798" s="226"/>
      <c r="R798" s="68"/>
      <c r="V798" s="41"/>
    </row>
    <row r="799">
      <c r="J799" s="68"/>
      <c r="K799" s="79"/>
      <c r="L799" s="79"/>
      <c r="M799" s="226"/>
      <c r="N799" s="248"/>
      <c r="O799" s="226"/>
      <c r="P799" s="226"/>
      <c r="Q799" s="226"/>
      <c r="R799" s="68"/>
      <c r="V799" s="41"/>
    </row>
    <row r="800">
      <c r="J800" s="68"/>
      <c r="K800" s="79"/>
      <c r="L800" s="79"/>
      <c r="M800" s="226"/>
      <c r="N800" s="248"/>
      <c r="O800" s="226"/>
      <c r="P800" s="226"/>
      <c r="Q800" s="226"/>
      <c r="R800" s="68"/>
      <c r="V800" s="41"/>
    </row>
    <row r="801">
      <c r="J801" s="68"/>
      <c r="K801" s="79"/>
      <c r="L801" s="79"/>
      <c r="M801" s="226"/>
      <c r="N801" s="248"/>
      <c r="O801" s="226"/>
      <c r="P801" s="226"/>
      <c r="Q801" s="226"/>
      <c r="R801" s="68"/>
      <c r="V801" s="41"/>
    </row>
    <row r="802">
      <c r="J802" s="68"/>
      <c r="K802" s="79"/>
      <c r="L802" s="79"/>
      <c r="M802" s="226"/>
      <c r="N802" s="248"/>
      <c r="O802" s="226"/>
      <c r="P802" s="226"/>
      <c r="Q802" s="226"/>
      <c r="R802" s="68"/>
      <c r="V802" s="41"/>
    </row>
    <row r="803">
      <c r="J803" s="68"/>
      <c r="K803" s="79"/>
      <c r="L803" s="79"/>
      <c r="M803" s="226"/>
      <c r="N803" s="248"/>
      <c r="O803" s="226"/>
      <c r="P803" s="226"/>
      <c r="Q803" s="226"/>
      <c r="R803" s="68"/>
      <c r="V803" s="41"/>
    </row>
    <row r="804">
      <c r="J804" s="68"/>
      <c r="K804" s="79"/>
      <c r="L804" s="79"/>
      <c r="M804" s="226"/>
      <c r="N804" s="248"/>
      <c r="O804" s="226"/>
      <c r="P804" s="226"/>
      <c r="Q804" s="226"/>
      <c r="R804" s="68"/>
      <c r="V804" s="41"/>
    </row>
    <row r="805">
      <c r="J805" s="68"/>
      <c r="K805" s="79"/>
      <c r="L805" s="79"/>
      <c r="M805" s="226"/>
      <c r="N805" s="248"/>
      <c r="O805" s="226"/>
      <c r="P805" s="226"/>
      <c r="Q805" s="226"/>
      <c r="R805" s="68"/>
      <c r="V805" s="41"/>
    </row>
    <row r="806">
      <c r="J806" s="68"/>
      <c r="K806" s="79"/>
      <c r="L806" s="79"/>
      <c r="M806" s="226"/>
      <c r="N806" s="248"/>
      <c r="O806" s="226"/>
      <c r="P806" s="226"/>
      <c r="Q806" s="226"/>
      <c r="R806" s="68"/>
      <c r="V806" s="41"/>
    </row>
    <row r="807">
      <c r="J807" s="68"/>
      <c r="K807" s="79"/>
      <c r="L807" s="79"/>
      <c r="M807" s="226"/>
      <c r="N807" s="248"/>
      <c r="O807" s="226"/>
      <c r="P807" s="226"/>
      <c r="Q807" s="226"/>
      <c r="R807" s="68"/>
      <c r="V807" s="41"/>
    </row>
    <row r="808">
      <c r="J808" s="68"/>
      <c r="K808" s="79"/>
      <c r="L808" s="79"/>
      <c r="M808" s="226"/>
      <c r="N808" s="248"/>
      <c r="O808" s="226"/>
      <c r="P808" s="226"/>
      <c r="Q808" s="226"/>
      <c r="R808" s="68"/>
      <c r="V808" s="41"/>
    </row>
    <row r="809">
      <c r="J809" s="68"/>
      <c r="K809" s="79"/>
      <c r="L809" s="79"/>
      <c r="M809" s="226"/>
      <c r="N809" s="248"/>
      <c r="O809" s="226"/>
      <c r="P809" s="226"/>
      <c r="Q809" s="226"/>
      <c r="R809" s="68"/>
      <c r="V809" s="41"/>
    </row>
    <row r="810">
      <c r="J810" s="68"/>
      <c r="K810" s="79"/>
      <c r="L810" s="79"/>
      <c r="M810" s="226"/>
      <c r="N810" s="248"/>
      <c r="O810" s="226"/>
      <c r="P810" s="226"/>
      <c r="Q810" s="226"/>
      <c r="R810" s="68"/>
      <c r="V810" s="41"/>
    </row>
    <row r="811">
      <c r="J811" s="68"/>
      <c r="K811" s="79"/>
      <c r="L811" s="79"/>
      <c r="M811" s="226"/>
      <c r="N811" s="248"/>
      <c r="O811" s="226"/>
      <c r="P811" s="226"/>
      <c r="Q811" s="226"/>
      <c r="R811" s="68"/>
      <c r="V811" s="41"/>
    </row>
    <row r="812">
      <c r="J812" s="68"/>
      <c r="K812" s="79"/>
      <c r="L812" s="79"/>
      <c r="M812" s="226"/>
      <c r="N812" s="248"/>
      <c r="O812" s="226"/>
      <c r="P812" s="226"/>
      <c r="Q812" s="226"/>
      <c r="R812" s="68"/>
      <c r="V812" s="41"/>
    </row>
    <row r="813">
      <c r="J813" s="68"/>
      <c r="K813" s="79"/>
      <c r="L813" s="79"/>
      <c r="M813" s="226"/>
      <c r="N813" s="248"/>
      <c r="O813" s="226"/>
      <c r="P813" s="226"/>
      <c r="Q813" s="226"/>
      <c r="R813" s="68"/>
      <c r="V813" s="41"/>
    </row>
    <row r="814">
      <c r="J814" s="68"/>
      <c r="K814" s="79"/>
      <c r="L814" s="79"/>
      <c r="M814" s="226"/>
      <c r="N814" s="248"/>
      <c r="O814" s="226"/>
      <c r="P814" s="226"/>
      <c r="Q814" s="226"/>
      <c r="R814" s="68"/>
      <c r="V814" s="41"/>
    </row>
    <row r="815">
      <c r="J815" s="68"/>
      <c r="K815" s="79"/>
      <c r="L815" s="79"/>
      <c r="M815" s="226"/>
      <c r="N815" s="248"/>
      <c r="O815" s="226"/>
      <c r="P815" s="226"/>
      <c r="Q815" s="226"/>
      <c r="R815" s="68"/>
      <c r="V815" s="41"/>
    </row>
    <row r="816">
      <c r="J816" s="68"/>
      <c r="K816" s="79"/>
      <c r="L816" s="79"/>
      <c r="M816" s="226"/>
      <c r="N816" s="248"/>
      <c r="O816" s="226"/>
      <c r="P816" s="226"/>
      <c r="Q816" s="226"/>
      <c r="R816" s="68"/>
      <c r="V816" s="41"/>
    </row>
    <row r="817">
      <c r="J817" s="68"/>
      <c r="K817" s="79"/>
      <c r="L817" s="79"/>
      <c r="M817" s="226"/>
      <c r="N817" s="248"/>
      <c r="O817" s="226"/>
      <c r="P817" s="226"/>
      <c r="Q817" s="226"/>
      <c r="R817" s="68"/>
      <c r="V817" s="41"/>
    </row>
    <row r="818">
      <c r="J818" s="68"/>
      <c r="K818" s="79"/>
      <c r="L818" s="79"/>
      <c r="M818" s="226"/>
      <c r="N818" s="248"/>
      <c r="O818" s="226"/>
      <c r="P818" s="226"/>
      <c r="Q818" s="226"/>
      <c r="R818" s="68"/>
      <c r="V818" s="41"/>
    </row>
    <row r="819">
      <c r="J819" s="68"/>
      <c r="K819" s="79"/>
      <c r="L819" s="79"/>
      <c r="M819" s="226"/>
      <c r="N819" s="248"/>
      <c r="O819" s="226"/>
      <c r="P819" s="226"/>
      <c r="Q819" s="226"/>
      <c r="R819" s="68"/>
      <c r="V819" s="41"/>
    </row>
    <row r="820">
      <c r="J820" s="68"/>
      <c r="K820" s="79"/>
      <c r="L820" s="79"/>
      <c r="M820" s="226"/>
      <c r="N820" s="248"/>
      <c r="O820" s="226"/>
      <c r="P820" s="226"/>
      <c r="Q820" s="226"/>
      <c r="R820" s="68"/>
      <c r="V820" s="41"/>
    </row>
    <row r="821">
      <c r="J821" s="68"/>
      <c r="K821" s="79"/>
      <c r="L821" s="79"/>
      <c r="M821" s="226"/>
      <c r="N821" s="248"/>
      <c r="O821" s="226"/>
      <c r="P821" s="226"/>
      <c r="Q821" s="226"/>
      <c r="R821" s="68"/>
      <c r="V821" s="41"/>
    </row>
    <row r="822">
      <c r="J822" s="68"/>
      <c r="K822" s="79"/>
      <c r="L822" s="79"/>
      <c r="M822" s="226"/>
      <c r="N822" s="248"/>
      <c r="O822" s="226"/>
      <c r="P822" s="226"/>
      <c r="Q822" s="226"/>
      <c r="R822" s="68"/>
      <c r="V822" s="41"/>
    </row>
    <row r="823">
      <c r="J823" s="68"/>
      <c r="K823" s="79"/>
      <c r="L823" s="79"/>
      <c r="M823" s="226"/>
      <c r="N823" s="248"/>
      <c r="O823" s="226"/>
      <c r="P823" s="226"/>
      <c r="Q823" s="226"/>
      <c r="R823" s="68"/>
      <c r="V823" s="41"/>
    </row>
    <row r="824">
      <c r="J824" s="68"/>
      <c r="K824" s="79"/>
      <c r="L824" s="79"/>
      <c r="M824" s="226"/>
      <c r="N824" s="248"/>
      <c r="O824" s="226"/>
      <c r="P824" s="226"/>
      <c r="Q824" s="226"/>
      <c r="R824" s="68"/>
      <c r="V824" s="41"/>
    </row>
    <row r="825">
      <c r="J825" s="68"/>
      <c r="K825" s="79"/>
      <c r="L825" s="79"/>
      <c r="M825" s="226"/>
      <c r="N825" s="248"/>
      <c r="O825" s="226"/>
      <c r="P825" s="226"/>
      <c r="Q825" s="226"/>
      <c r="R825" s="68"/>
      <c r="V825" s="41"/>
    </row>
    <row r="826">
      <c r="J826" s="68"/>
      <c r="K826" s="79"/>
      <c r="L826" s="79"/>
      <c r="M826" s="226"/>
      <c r="N826" s="248"/>
      <c r="O826" s="226"/>
      <c r="P826" s="226"/>
      <c r="Q826" s="226"/>
      <c r="R826" s="68"/>
      <c r="V826" s="41"/>
    </row>
    <row r="827">
      <c r="J827" s="68"/>
      <c r="K827" s="79"/>
      <c r="L827" s="79"/>
      <c r="M827" s="226"/>
      <c r="N827" s="248"/>
      <c r="O827" s="226"/>
      <c r="P827" s="226"/>
      <c r="Q827" s="226"/>
      <c r="R827" s="68"/>
      <c r="V827" s="41"/>
    </row>
    <row r="828">
      <c r="J828" s="68"/>
      <c r="K828" s="79"/>
      <c r="L828" s="79"/>
      <c r="M828" s="226"/>
      <c r="N828" s="248"/>
      <c r="O828" s="226"/>
      <c r="P828" s="226"/>
      <c r="Q828" s="226"/>
      <c r="R828" s="68"/>
      <c r="V828" s="41"/>
    </row>
    <row r="829">
      <c r="J829" s="68"/>
      <c r="K829" s="79"/>
      <c r="L829" s="79"/>
      <c r="M829" s="226"/>
      <c r="N829" s="248"/>
      <c r="O829" s="226"/>
      <c r="P829" s="226"/>
      <c r="Q829" s="226"/>
      <c r="R829" s="68"/>
      <c r="V829" s="41"/>
    </row>
    <row r="830">
      <c r="J830" s="68"/>
      <c r="K830" s="79"/>
      <c r="L830" s="79"/>
      <c r="M830" s="226"/>
      <c r="N830" s="248"/>
      <c r="O830" s="226"/>
      <c r="P830" s="226"/>
      <c r="Q830" s="226"/>
      <c r="R830" s="68"/>
      <c r="V830" s="41"/>
    </row>
    <row r="831">
      <c r="J831" s="68"/>
      <c r="K831" s="79"/>
      <c r="L831" s="79"/>
      <c r="M831" s="226"/>
      <c r="N831" s="248"/>
      <c r="O831" s="226"/>
      <c r="P831" s="226"/>
      <c r="Q831" s="226"/>
      <c r="R831" s="68"/>
      <c r="V831" s="41"/>
    </row>
    <row r="832">
      <c r="J832" s="68"/>
      <c r="K832" s="79"/>
      <c r="L832" s="79"/>
      <c r="M832" s="226"/>
      <c r="N832" s="248"/>
      <c r="O832" s="226"/>
      <c r="P832" s="226"/>
      <c r="Q832" s="226"/>
      <c r="R832" s="68"/>
      <c r="V832" s="41"/>
    </row>
    <row r="833">
      <c r="J833" s="68"/>
      <c r="K833" s="79"/>
      <c r="L833" s="79"/>
      <c r="M833" s="226"/>
      <c r="N833" s="248"/>
      <c r="O833" s="226"/>
      <c r="P833" s="226"/>
      <c r="Q833" s="226"/>
      <c r="R833" s="68"/>
      <c r="V833" s="41"/>
    </row>
    <row r="834">
      <c r="J834" s="68"/>
      <c r="K834" s="79"/>
      <c r="L834" s="79"/>
      <c r="M834" s="226"/>
      <c r="N834" s="248"/>
      <c r="O834" s="226"/>
      <c r="P834" s="226"/>
      <c r="Q834" s="226"/>
      <c r="R834" s="68"/>
      <c r="V834" s="41"/>
    </row>
    <row r="835">
      <c r="J835" s="68"/>
      <c r="K835" s="79"/>
      <c r="L835" s="79"/>
      <c r="M835" s="226"/>
      <c r="N835" s="248"/>
      <c r="O835" s="226"/>
      <c r="P835" s="226"/>
      <c r="Q835" s="226"/>
      <c r="R835" s="68"/>
      <c r="V835" s="41"/>
    </row>
    <row r="836">
      <c r="J836" s="68"/>
      <c r="K836" s="79"/>
      <c r="L836" s="79"/>
      <c r="M836" s="226"/>
      <c r="N836" s="248"/>
      <c r="O836" s="226"/>
      <c r="P836" s="226"/>
      <c r="Q836" s="226"/>
      <c r="R836" s="68"/>
      <c r="V836" s="41"/>
    </row>
    <row r="837">
      <c r="J837" s="68"/>
      <c r="K837" s="79"/>
      <c r="L837" s="79"/>
      <c r="M837" s="226"/>
      <c r="N837" s="248"/>
      <c r="O837" s="226"/>
      <c r="P837" s="226"/>
      <c r="Q837" s="226"/>
      <c r="R837" s="68"/>
      <c r="V837" s="41"/>
    </row>
    <row r="838">
      <c r="J838" s="68"/>
      <c r="K838" s="79"/>
      <c r="L838" s="79"/>
      <c r="M838" s="226"/>
      <c r="N838" s="248"/>
      <c r="O838" s="226"/>
      <c r="P838" s="226"/>
      <c r="Q838" s="226"/>
      <c r="R838" s="68"/>
      <c r="V838" s="41"/>
    </row>
    <row r="839">
      <c r="J839" s="68"/>
      <c r="K839" s="79"/>
      <c r="L839" s="79"/>
      <c r="M839" s="226"/>
      <c r="N839" s="248"/>
      <c r="O839" s="226"/>
      <c r="P839" s="226"/>
      <c r="Q839" s="226"/>
      <c r="R839" s="68"/>
      <c r="V839" s="41"/>
    </row>
    <row r="840">
      <c r="J840" s="68"/>
      <c r="K840" s="79"/>
      <c r="L840" s="79"/>
      <c r="M840" s="226"/>
      <c r="N840" s="248"/>
      <c r="O840" s="226"/>
      <c r="P840" s="226"/>
      <c r="Q840" s="226"/>
      <c r="R840" s="68"/>
      <c r="V840" s="41"/>
    </row>
    <row r="841">
      <c r="J841" s="68"/>
      <c r="K841" s="79"/>
      <c r="L841" s="79"/>
      <c r="M841" s="226"/>
      <c r="N841" s="248"/>
      <c r="O841" s="226"/>
      <c r="P841" s="226"/>
      <c r="Q841" s="226"/>
      <c r="R841" s="68"/>
      <c r="V841" s="41"/>
    </row>
    <row r="842">
      <c r="J842" s="68"/>
      <c r="K842" s="79"/>
      <c r="L842" s="79"/>
      <c r="M842" s="226"/>
      <c r="N842" s="248"/>
      <c r="O842" s="226"/>
      <c r="P842" s="226"/>
      <c r="Q842" s="226"/>
      <c r="R842" s="68"/>
      <c r="V842" s="41"/>
    </row>
    <row r="843">
      <c r="J843" s="68"/>
      <c r="K843" s="79"/>
      <c r="L843" s="79"/>
      <c r="M843" s="226"/>
      <c r="N843" s="248"/>
      <c r="O843" s="226"/>
      <c r="P843" s="226"/>
      <c r="Q843" s="226"/>
      <c r="R843" s="68"/>
      <c r="V843" s="41"/>
    </row>
    <row r="844">
      <c r="J844" s="68"/>
      <c r="K844" s="79"/>
      <c r="L844" s="79"/>
      <c r="M844" s="226"/>
      <c r="N844" s="248"/>
      <c r="O844" s="226"/>
      <c r="P844" s="226"/>
      <c r="Q844" s="226"/>
      <c r="R844" s="68"/>
      <c r="V844" s="41"/>
    </row>
    <row r="845">
      <c r="J845" s="68"/>
      <c r="K845" s="79"/>
      <c r="L845" s="79"/>
      <c r="M845" s="226"/>
      <c r="N845" s="248"/>
      <c r="O845" s="226"/>
      <c r="P845" s="226"/>
      <c r="Q845" s="226"/>
      <c r="R845" s="68"/>
      <c r="V845" s="41"/>
    </row>
    <row r="846">
      <c r="J846" s="68"/>
      <c r="K846" s="79"/>
      <c r="L846" s="79"/>
      <c r="M846" s="226"/>
      <c r="N846" s="248"/>
      <c r="O846" s="226"/>
      <c r="P846" s="226"/>
      <c r="Q846" s="226"/>
      <c r="R846" s="68"/>
      <c r="V846" s="41"/>
    </row>
    <row r="847">
      <c r="J847" s="68"/>
      <c r="K847" s="79"/>
      <c r="L847" s="79"/>
      <c r="M847" s="226"/>
      <c r="N847" s="248"/>
      <c r="O847" s="226"/>
      <c r="P847" s="226"/>
      <c r="Q847" s="226"/>
      <c r="R847" s="68"/>
      <c r="V847" s="41"/>
    </row>
    <row r="848">
      <c r="J848" s="68"/>
      <c r="K848" s="79"/>
      <c r="L848" s="79"/>
      <c r="M848" s="226"/>
      <c r="N848" s="248"/>
      <c r="O848" s="226"/>
      <c r="P848" s="226"/>
      <c r="Q848" s="226"/>
      <c r="R848" s="68"/>
      <c r="V848" s="41"/>
    </row>
    <row r="849">
      <c r="J849" s="68"/>
      <c r="K849" s="79"/>
      <c r="L849" s="79"/>
      <c r="M849" s="226"/>
      <c r="N849" s="248"/>
      <c r="O849" s="226"/>
      <c r="P849" s="226"/>
      <c r="Q849" s="226"/>
      <c r="R849" s="68"/>
      <c r="V849" s="41"/>
    </row>
    <row r="850">
      <c r="J850" s="68"/>
      <c r="K850" s="79"/>
      <c r="L850" s="79"/>
      <c r="M850" s="226"/>
      <c r="N850" s="248"/>
      <c r="O850" s="226"/>
      <c r="P850" s="226"/>
      <c r="Q850" s="226"/>
      <c r="R850" s="68"/>
      <c r="V850" s="41"/>
    </row>
    <row r="851">
      <c r="J851" s="68"/>
      <c r="K851" s="79"/>
      <c r="L851" s="79"/>
      <c r="M851" s="226"/>
      <c r="N851" s="248"/>
      <c r="O851" s="226"/>
      <c r="P851" s="226"/>
      <c r="Q851" s="226"/>
      <c r="R851" s="68"/>
      <c r="V851" s="41"/>
    </row>
    <row r="852">
      <c r="J852" s="68"/>
      <c r="K852" s="79"/>
      <c r="L852" s="79"/>
      <c r="M852" s="226"/>
      <c r="N852" s="248"/>
      <c r="O852" s="226"/>
      <c r="P852" s="226"/>
      <c r="Q852" s="226"/>
      <c r="R852" s="68"/>
      <c r="V852" s="41"/>
    </row>
    <row r="853">
      <c r="J853" s="68"/>
      <c r="K853" s="79"/>
      <c r="L853" s="79"/>
      <c r="M853" s="226"/>
      <c r="N853" s="248"/>
      <c r="O853" s="226"/>
      <c r="P853" s="226"/>
      <c r="Q853" s="226"/>
      <c r="R853" s="68"/>
      <c r="V853" s="41"/>
    </row>
    <row r="854">
      <c r="J854" s="68"/>
      <c r="K854" s="79"/>
      <c r="L854" s="79"/>
      <c r="M854" s="226"/>
      <c r="N854" s="248"/>
      <c r="O854" s="226"/>
      <c r="P854" s="226"/>
      <c r="Q854" s="226"/>
      <c r="R854" s="68"/>
      <c r="V854" s="41"/>
    </row>
    <row r="855">
      <c r="J855" s="68"/>
      <c r="K855" s="79"/>
      <c r="L855" s="79"/>
      <c r="M855" s="226"/>
      <c r="N855" s="248"/>
      <c r="O855" s="226"/>
      <c r="P855" s="226"/>
      <c r="Q855" s="226"/>
      <c r="R855" s="68"/>
      <c r="V855" s="41"/>
    </row>
    <row r="856">
      <c r="J856" s="68"/>
      <c r="K856" s="79"/>
      <c r="L856" s="79"/>
      <c r="M856" s="226"/>
      <c r="N856" s="248"/>
      <c r="O856" s="226"/>
      <c r="P856" s="226"/>
      <c r="Q856" s="226"/>
      <c r="R856" s="68"/>
      <c r="V856" s="41"/>
    </row>
    <row r="857">
      <c r="J857" s="68"/>
      <c r="K857" s="79"/>
      <c r="L857" s="79"/>
      <c r="M857" s="226"/>
      <c r="N857" s="248"/>
      <c r="O857" s="226"/>
      <c r="P857" s="226"/>
      <c r="Q857" s="226"/>
      <c r="R857" s="68"/>
      <c r="V857" s="41"/>
    </row>
    <row r="858">
      <c r="J858" s="68"/>
      <c r="K858" s="79"/>
      <c r="L858" s="79"/>
      <c r="M858" s="226"/>
      <c r="N858" s="248"/>
      <c r="O858" s="226"/>
      <c r="P858" s="226"/>
      <c r="Q858" s="226"/>
      <c r="R858" s="68"/>
      <c r="V858" s="41"/>
    </row>
    <row r="859">
      <c r="J859" s="68"/>
      <c r="K859" s="79"/>
      <c r="L859" s="79"/>
      <c r="M859" s="226"/>
      <c r="N859" s="248"/>
      <c r="O859" s="226"/>
      <c r="P859" s="226"/>
      <c r="Q859" s="226"/>
      <c r="R859" s="68"/>
      <c r="V859" s="41"/>
    </row>
    <row r="860">
      <c r="J860" s="68"/>
      <c r="K860" s="79"/>
      <c r="L860" s="79"/>
      <c r="M860" s="226"/>
      <c r="N860" s="248"/>
      <c r="O860" s="226"/>
      <c r="P860" s="226"/>
      <c r="Q860" s="226"/>
      <c r="R860" s="68"/>
      <c r="V860" s="41"/>
    </row>
    <row r="861">
      <c r="J861" s="68"/>
      <c r="K861" s="79"/>
      <c r="L861" s="79"/>
      <c r="M861" s="226"/>
      <c r="N861" s="248"/>
      <c r="O861" s="226"/>
      <c r="P861" s="226"/>
      <c r="Q861" s="226"/>
      <c r="R861" s="68"/>
      <c r="V861" s="41"/>
    </row>
    <row r="862">
      <c r="J862" s="68"/>
      <c r="K862" s="79"/>
      <c r="L862" s="79"/>
      <c r="M862" s="226"/>
      <c r="N862" s="248"/>
      <c r="O862" s="226"/>
      <c r="P862" s="226"/>
      <c r="Q862" s="226"/>
      <c r="R862" s="68"/>
      <c r="V862" s="41"/>
    </row>
    <row r="863">
      <c r="J863" s="68"/>
      <c r="K863" s="79"/>
      <c r="L863" s="79"/>
      <c r="M863" s="226"/>
      <c r="N863" s="248"/>
      <c r="O863" s="226"/>
      <c r="P863" s="226"/>
      <c r="Q863" s="226"/>
      <c r="R863" s="68"/>
      <c r="V863" s="41"/>
    </row>
    <row r="864">
      <c r="J864" s="68"/>
      <c r="K864" s="79"/>
      <c r="L864" s="79"/>
      <c r="M864" s="226"/>
      <c r="N864" s="248"/>
      <c r="O864" s="226"/>
      <c r="P864" s="226"/>
      <c r="Q864" s="226"/>
      <c r="R864" s="68"/>
      <c r="V864" s="41"/>
    </row>
    <row r="865">
      <c r="J865" s="68"/>
      <c r="K865" s="79"/>
      <c r="L865" s="79"/>
      <c r="M865" s="226"/>
      <c r="N865" s="248"/>
      <c r="O865" s="226"/>
      <c r="P865" s="226"/>
      <c r="Q865" s="226"/>
      <c r="R865" s="68"/>
      <c r="V865" s="41"/>
    </row>
    <row r="866">
      <c r="J866" s="68"/>
      <c r="K866" s="79"/>
      <c r="L866" s="79"/>
      <c r="M866" s="226"/>
      <c r="N866" s="248"/>
      <c r="O866" s="226"/>
      <c r="P866" s="226"/>
      <c r="Q866" s="226"/>
      <c r="R866" s="68"/>
      <c r="V866" s="41"/>
    </row>
    <row r="867">
      <c r="J867" s="68"/>
      <c r="K867" s="79"/>
      <c r="L867" s="79"/>
      <c r="M867" s="226"/>
      <c r="N867" s="248"/>
      <c r="O867" s="226"/>
      <c r="P867" s="226"/>
      <c r="Q867" s="226"/>
      <c r="R867" s="68"/>
      <c r="V867" s="41"/>
    </row>
    <row r="868">
      <c r="J868" s="68"/>
      <c r="K868" s="79"/>
      <c r="L868" s="79"/>
      <c r="M868" s="226"/>
      <c r="N868" s="248"/>
      <c r="O868" s="226"/>
      <c r="P868" s="226"/>
      <c r="Q868" s="226"/>
      <c r="R868" s="68"/>
      <c r="V868" s="41"/>
    </row>
    <row r="869">
      <c r="J869" s="68"/>
      <c r="K869" s="79"/>
      <c r="L869" s="79"/>
      <c r="M869" s="226"/>
      <c r="N869" s="248"/>
      <c r="O869" s="226"/>
      <c r="P869" s="226"/>
      <c r="Q869" s="226"/>
      <c r="R869" s="68"/>
      <c r="V869" s="41"/>
    </row>
    <row r="870">
      <c r="J870" s="68"/>
      <c r="K870" s="79"/>
      <c r="L870" s="79"/>
      <c r="M870" s="226"/>
      <c r="N870" s="248"/>
      <c r="O870" s="226"/>
      <c r="P870" s="226"/>
      <c r="Q870" s="226"/>
      <c r="R870" s="68"/>
      <c r="V870" s="41"/>
    </row>
    <row r="871">
      <c r="J871" s="68"/>
      <c r="K871" s="79"/>
      <c r="L871" s="79"/>
      <c r="M871" s="226"/>
      <c r="N871" s="248"/>
      <c r="O871" s="226"/>
      <c r="P871" s="226"/>
      <c r="Q871" s="226"/>
      <c r="R871" s="68"/>
      <c r="V871" s="41"/>
    </row>
    <row r="872">
      <c r="J872" s="68"/>
      <c r="K872" s="79"/>
      <c r="L872" s="79"/>
      <c r="M872" s="226"/>
      <c r="N872" s="248"/>
      <c r="O872" s="226"/>
      <c r="P872" s="226"/>
      <c r="Q872" s="226"/>
      <c r="R872" s="68"/>
      <c r="V872" s="41"/>
    </row>
    <row r="873">
      <c r="J873" s="68"/>
      <c r="K873" s="79"/>
      <c r="L873" s="79"/>
      <c r="M873" s="226"/>
      <c r="N873" s="248"/>
      <c r="O873" s="226"/>
      <c r="P873" s="226"/>
      <c r="Q873" s="226"/>
      <c r="R873" s="68"/>
      <c r="V873" s="41"/>
    </row>
    <row r="874">
      <c r="J874" s="68"/>
      <c r="K874" s="79"/>
      <c r="L874" s="79"/>
      <c r="M874" s="226"/>
      <c r="N874" s="248"/>
      <c r="O874" s="226"/>
      <c r="P874" s="226"/>
      <c r="Q874" s="226"/>
      <c r="R874" s="68"/>
      <c r="V874" s="41"/>
    </row>
    <row r="875">
      <c r="J875" s="68"/>
      <c r="K875" s="79"/>
      <c r="L875" s="79"/>
      <c r="M875" s="226"/>
      <c r="N875" s="248"/>
      <c r="O875" s="226"/>
      <c r="P875" s="226"/>
      <c r="Q875" s="226"/>
      <c r="R875" s="68"/>
      <c r="V875" s="41"/>
    </row>
    <row r="876">
      <c r="J876" s="68"/>
      <c r="K876" s="79"/>
      <c r="L876" s="79"/>
      <c r="M876" s="226"/>
      <c r="N876" s="248"/>
      <c r="O876" s="226"/>
      <c r="P876" s="226"/>
      <c r="Q876" s="226"/>
      <c r="R876" s="68"/>
      <c r="V876" s="41"/>
    </row>
    <row r="877">
      <c r="J877" s="68"/>
      <c r="K877" s="79"/>
      <c r="L877" s="79"/>
      <c r="M877" s="226"/>
      <c r="N877" s="248"/>
      <c r="O877" s="226"/>
      <c r="P877" s="226"/>
      <c r="Q877" s="226"/>
      <c r="R877" s="68"/>
      <c r="V877" s="41"/>
    </row>
    <row r="878">
      <c r="J878" s="68"/>
      <c r="K878" s="79"/>
      <c r="L878" s="79"/>
      <c r="M878" s="226"/>
      <c r="N878" s="248"/>
      <c r="O878" s="226"/>
      <c r="P878" s="226"/>
      <c r="Q878" s="226"/>
      <c r="R878" s="68"/>
      <c r="V878" s="41"/>
    </row>
    <row r="879">
      <c r="J879" s="68"/>
      <c r="K879" s="79"/>
      <c r="L879" s="79"/>
      <c r="M879" s="226"/>
      <c r="N879" s="248"/>
      <c r="O879" s="226"/>
      <c r="P879" s="226"/>
      <c r="Q879" s="226"/>
      <c r="R879" s="68"/>
      <c r="V879" s="41"/>
    </row>
    <row r="880">
      <c r="J880" s="68"/>
      <c r="K880" s="79"/>
      <c r="L880" s="79"/>
      <c r="M880" s="226"/>
      <c r="N880" s="248"/>
      <c r="O880" s="226"/>
      <c r="P880" s="226"/>
      <c r="Q880" s="226"/>
      <c r="R880" s="68"/>
      <c r="V880" s="41"/>
    </row>
    <row r="881">
      <c r="J881" s="68"/>
      <c r="K881" s="79"/>
      <c r="L881" s="79"/>
      <c r="M881" s="226"/>
      <c r="N881" s="248"/>
      <c r="O881" s="226"/>
      <c r="P881" s="226"/>
      <c r="Q881" s="226"/>
      <c r="R881" s="68"/>
      <c r="V881" s="41"/>
    </row>
    <row r="882">
      <c r="J882" s="68"/>
      <c r="K882" s="79"/>
      <c r="L882" s="79"/>
      <c r="M882" s="226"/>
      <c r="N882" s="248"/>
      <c r="O882" s="226"/>
      <c r="P882" s="226"/>
      <c r="Q882" s="226"/>
      <c r="R882" s="68"/>
      <c r="V882" s="41"/>
    </row>
    <row r="883">
      <c r="J883" s="68"/>
      <c r="K883" s="79"/>
      <c r="L883" s="79"/>
      <c r="M883" s="226"/>
      <c r="N883" s="248"/>
      <c r="O883" s="226"/>
      <c r="P883" s="226"/>
      <c r="Q883" s="226"/>
      <c r="R883" s="68"/>
      <c r="V883" s="41"/>
    </row>
    <row r="884">
      <c r="J884" s="68"/>
      <c r="K884" s="79"/>
      <c r="L884" s="79"/>
      <c r="M884" s="226"/>
      <c r="N884" s="248"/>
      <c r="O884" s="226"/>
      <c r="P884" s="226"/>
      <c r="Q884" s="226"/>
      <c r="R884" s="68"/>
      <c r="V884" s="41"/>
    </row>
    <row r="885">
      <c r="J885" s="68"/>
      <c r="K885" s="79"/>
      <c r="L885" s="79"/>
      <c r="M885" s="226"/>
      <c r="N885" s="248"/>
      <c r="O885" s="226"/>
      <c r="P885" s="226"/>
      <c r="Q885" s="226"/>
      <c r="R885" s="68"/>
      <c r="V885" s="41"/>
    </row>
    <row r="886">
      <c r="J886" s="68"/>
      <c r="K886" s="79"/>
      <c r="L886" s="79"/>
      <c r="M886" s="226"/>
      <c r="N886" s="248"/>
      <c r="O886" s="226"/>
      <c r="P886" s="226"/>
      <c r="Q886" s="226"/>
      <c r="R886" s="68"/>
      <c r="V886" s="41"/>
    </row>
    <row r="887">
      <c r="J887" s="68"/>
      <c r="K887" s="79"/>
      <c r="L887" s="79"/>
      <c r="M887" s="226"/>
      <c r="N887" s="248"/>
      <c r="O887" s="226"/>
      <c r="P887" s="226"/>
      <c r="Q887" s="226"/>
      <c r="R887" s="68"/>
      <c r="V887" s="41"/>
    </row>
    <row r="888">
      <c r="J888" s="68"/>
      <c r="K888" s="79"/>
      <c r="L888" s="79"/>
      <c r="M888" s="226"/>
      <c r="N888" s="248"/>
      <c r="O888" s="226"/>
      <c r="P888" s="226"/>
      <c r="Q888" s="226"/>
      <c r="R888" s="68"/>
      <c r="V888" s="41"/>
    </row>
    <row r="889">
      <c r="J889" s="68"/>
      <c r="K889" s="79"/>
      <c r="L889" s="79"/>
      <c r="M889" s="226"/>
      <c r="N889" s="248"/>
      <c r="O889" s="226"/>
      <c r="P889" s="226"/>
      <c r="Q889" s="226"/>
      <c r="R889" s="68"/>
      <c r="V889" s="41"/>
    </row>
    <row r="890">
      <c r="J890" s="68"/>
      <c r="K890" s="79"/>
      <c r="L890" s="79"/>
      <c r="M890" s="226"/>
      <c r="N890" s="248"/>
      <c r="O890" s="226"/>
      <c r="P890" s="226"/>
      <c r="Q890" s="226"/>
      <c r="R890" s="68"/>
      <c r="V890" s="41"/>
    </row>
    <row r="891">
      <c r="J891" s="68"/>
      <c r="K891" s="79"/>
      <c r="L891" s="79"/>
      <c r="M891" s="226"/>
      <c r="N891" s="248"/>
      <c r="O891" s="226"/>
      <c r="P891" s="226"/>
      <c r="Q891" s="226"/>
      <c r="R891" s="68"/>
      <c r="V891" s="41"/>
    </row>
    <row r="892">
      <c r="J892" s="68"/>
      <c r="K892" s="79"/>
      <c r="L892" s="79"/>
      <c r="M892" s="226"/>
      <c r="N892" s="248"/>
      <c r="O892" s="226"/>
      <c r="P892" s="226"/>
      <c r="Q892" s="226"/>
      <c r="R892" s="68"/>
      <c r="V892" s="41"/>
    </row>
    <row r="893">
      <c r="J893" s="68"/>
      <c r="K893" s="79"/>
      <c r="L893" s="79"/>
      <c r="M893" s="226"/>
      <c r="N893" s="248"/>
      <c r="O893" s="226"/>
      <c r="P893" s="226"/>
      <c r="Q893" s="226"/>
      <c r="R893" s="68"/>
      <c r="V893" s="41"/>
    </row>
    <row r="894">
      <c r="J894" s="68"/>
      <c r="K894" s="79"/>
      <c r="L894" s="79"/>
      <c r="M894" s="226"/>
      <c r="N894" s="248"/>
      <c r="O894" s="226"/>
      <c r="P894" s="226"/>
      <c r="Q894" s="226"/>
      <c r="R894" s="68"/>
      <c r="V894" s="41"/>
    </row>
    <row r="895">
      <c r="J895" s="68"/>
      <c r="K895" s="79"/>
      <c r="L895" s="79"/>
      <c r="M895" s="226"/>
      <c r="N895" s="248"/>
      <c r="O895" s="226"/>
      <c r="P895" s="226"/>
      <c r="Q895" s="226"/>
      <c r="R895" s="68"/>
      <c r="V895" s="41"/>
    </row>
    <row r="896">
      <c r="J896" s="68"/>
      <c r="K896" s="79"/>
      <c r="L896" s="79"/>
      <c r="M896" s="226"/>
      <c r="N896" s="248"/>
      <c r="O896" s="226"/>
      <c r="P896" s="226"/>
      <c r="Q896" s="226"/>
      <c r="R896" s="68"/>
      <c r="V896" s="41"/>
    </row>
    <row r="897">
      <c r="J897" s="68"/>
      <c r="K897" s="79"/>
      <c r="L897" s="79"/>
      <c r="M897" s="226"/>
      <c r="N897" s="248"/>
      <c r="O897" s="226"/>
      <c r="P897" s="226"/>
      <c r="Q897" s="226"/>
      <c r="R897" s="68"/>
      <c r="V897" s="41"/>
    </row>
    <row r="898">
      <c r="J898" s="68"/>
      <c r="K898" s="79"/>
      <c r="L898" s="79"/>
      <c r="M898" s="226"/>
      <c r="N898" s="248"/>
      <c r="O898" s="226"/>
      <c r="P898" s="226"/>
      <c r="Q898" s="226"/>
      <c r="R898" s="68"/>
      <c r="V898" s="41"/>
    </row>
    <row r="899">
      <c r="J899" s="68"/>
      <c r="K899" s="79"/>
      <c r="L899" s="79"/>
      <c r="M899" s="226"/>
      <c r="N899" s="248"/>
      <c r="O899" s="226"/>
      <c r="P899" s="226"/>
      <c r="Q899" s="226"/>
      <c r="R899" s="68"/>
      <c r="V899" s="41"/>
    </row>
    <row r="900">
      <c r="J900" s="68"/>
      <c r="K900" s="79"/>
      <c r="L900" s="79"/>
      <c r="M900" s="226"/>
      <c r="N900" s="248"/>
      <c r="O900" s="226"/>
      <c r="P900" s="226"/>
      <c r="Q900" s="226"/>
      <c r="R900" s="68"/>
      <c r="V900" s="41"/>
    </row>
    <row r="901">
      <c r="J901" s="68"/>
      <c r="K901" s="79"/>
      <c r="L901" s="79"/>
      <c r="M901" s="226"/>
      <c r="N901" s="248"/>
      <c r="O901" s="226"/>
      <c r="P901" s="226"/>
      <c r="Q901" s="226"/>
      <c r="R901" s="68"/>
      <c r="V901" s="41"/>
    </row>
    <row r="902">
      <c r="J902" s="68"/>
      <c r="K902" s="79"/>
      <c r="L902" s="79"/>
      <c r="M902" s="226"/>
      <c r="N902" s="248"/>
      <c r="O902" s="226"/>
      <c r="P902" s="226"/>
      <c r="Q902" s="226"/>
      <c r="R902" s="68"/>
      <c r="V902" s="41"/>
    </row>
    <row r="903">
      <c r="J903" s="68"/>
      <c r="K903" s="79"/>
      <c r="L903" s="79"/>
      <c r="M903" s="226"/>
      <c r="N903" s="248"/>
      <c r="O903" s="226"/>
      <c r="P903" s="226"/>
      <c r="Q903" s="226"/>
      <c r="R903" s="68"/>
      <c r="V903" s="41"/>
    </row>
    <row r="904">
      <c r="J904" s="68"/>
      <c r="K904" s="79"/>
      <c r="L904" s="79"/>
      <c r="M904" s="226"/>
      <c r="N904" s="248"/>
      <c r="O904" s="226"/>
      <c r="P904" s="226"/>
      <c r="Q904" s="226"/>
      <c r="R904" s="68"/>
      <c r="V904" s="41"/>
    </row>
    <row r="905">
      <c r="J905" s="68"/>
      <c r="K905" s="79"/>
      <c r="L905" s="79"/>
      <c r="M905" s="226"/>
      <c r="N905" s="248"/>
      <c r="O905" s="226"/>
      <c r="P905" s="226"/>
      <c r="Q905" s="226"/>
      <c r="R905" s="68"/>
      <c r="V905" s="41"/>
    </row>
    <row r="906">
      <c r="J906" s="68"/>
      <c r="K906" s="79"/>
      <c r="L906" s="79"/>
      <c r="M906" s="226"/>
      <c r="N906" s="248"/>
      <c r="O906" s="226"/>
      <c r="P906" s="226"/>
      <c r="Q906" s="226"/>
      <c r="R906" s="68"/>
      <c r="V906" s="41"/>
    </row>
    <row r="907">
      <c r="J907" s="68"/>
      <c r="K907" s="79"/>
      <c r="L907" s="79"/>
      <c r="M907" s="226"/>
      <c r="N907" s="248"/>
      <c r="O907" s="226"/>
      <c r="P907" s="226"/>
      <c r="Q907" s="226"/>
      <c r="R907" s="68"/>
      <c r="V907" s="41"/>
    </row>
    <row r="908">
      <c r="J908" s="68"/>
      <c r="K908" s="79"/>
      <c r="L908" s="79"/>
      <c r="M908" s="226"/>
      <c r="N908" s="248"/>
      <c r="O908" s="226"/>
      <c r="P908" s="226"/>
      <c r="Q908" s="226"/>
      <c r="R908" s="68"/>
      <c r="V908" s="41"/>
    </row>
    <row r="909">
      <c r="J909" s="68"/>
      <c r="K909" s="79"/>
      <c r="L909" s="79"/>
      <c r="M909" s="226"/>
      <c r="N909" s="248"/>
      <c r="O909" s="226"/>
      <c r="P909" s="226"/>
      <c r="Q909" s="226"/>
      <c r="R909" s="68"/>
      <c r="V909" s="41"/>
    </row>
    <row r="910">
      <c r="J910" s="68"/>
      <c r="K910" s="79"/>
      <c r="L910" s="79"/>
      <c r="M910" s="226"/>
      <c r="N910" s="248"/>
      <c r="O910" s="226"/>
      <c r="P910" s="226"/>
      <c r="Q910" s="226"/>
      <c r="R910" s="68"/>
      <c r="V910" s="41"/>
    </row>
    <row r="911">
      <c r="J911" s="68"/>
      <c r="K911" s="79"/>
      <c r="L911" s="79"/>
      <c r="M911" s="226"/>
      <c r="N911" s="248"/>
      <c r="O911" s="226"/>
      <c r="P911" s="226"/>
      <c r="Q911" s="226"/>
      <c r="R911" s="68"/>
      <c r="V911" s="41"/>
    </row>
    <row r="912">
      <c r="J912" s="68"/>
      <c r="K912" s="79"/>
      <c r="L912" s="79"/>
      <c r="M912" s="226"/>
      <c r="N912" s="248"/>
      <c r="O912" s="226"/>
      <c r="P912" s="226"/>
      <c r="Q912" s="226"/>
      <c r="R912" s="68"/>
      <c r="V912" s="41"/>
    </row>
    <row r="913">
      <c r="J913" s="68"/>
      <c r="K913" s="79"/>
      <c r="L913" s="79"/>
      <c r="M913" s="226"/>
      <c r="N913" s="248"/>
      <c r="O913" s="226"/>
      <c r="P913" s="226"/>
      <c r="Q913" s="226"/>
      <c r="R913" s="68"/>
      <c r="V913" s="41"/>
    </row>
    <row r="914">
      <c r="J914" s="68"/>
      <c r="K914" s="79"/>
      <c r="L914" s="79"/>
      <c r="M914" s="226"/>
      <c r="N914" s="248"/>
      <c r="O914" s="226"/>
      <c r="P914" s="226"/>
      <c r="Q914" s="226"/>
      <c r="R914" s="68"/>
      <c r="V914" s="41"/>
    </row>
    <row r="915">
      <c r="J915" s="68"/>
      <c r="K915" s="79"/>
      <c r="L915" s="79"/>
      <c r="M915" s="226"/>
      <c r="N915" s="248"/>
      <c r="O915" s="226"/>
      <c r="P915" s="226"/>
      <c r="Q915" s="226"/>
      <c r="R915" s="68"/>
      <c r="V915" s="41"/>
    </row>
    <row r="916">
      <c r="J916" s="68"/>
      <c r="K916" s="79"/>
      <c r="L916" s="79"/>
      <c r="M916" s="226"/>
      <c r="N916" s="248"/>
      <c r="O916" s="226"/>
      <c r="P916" s="226"/>
      <c r="Q916" s="226"/>
      <c r="R916" s="68"/>
      <c r="V916" s="41"/>
    </row>
    <row r="917">
      <c r="J917" s="68"/>
      <c r="K917" s="79"/>
      <c r="L917" s="79"/>
      <c r="M917" s="226"/>
      <c r="N917" s="248"/>
      <c r="O917" s="226"/>
      <c r="P917" s="226"/>
      <c r="Q917" s="226"/>
      <c r="R917" s="68"/>
      <c r="V917" s="41"/>
    </row>
    <row r="918">
      <c r="J918" s="68"/>
      <c r="K918" s="79"/>
      <c r="L918" s="79"/>
      <c r="M918" s="226"/>
      <c r="N918" s="248"/>
      <c r="O918" s="226"/>
      <c r="P918" s="226"/>
      <c r="Q918" s="226"/>
      <c r="R918" s="68"/>
      <c r="V918" s="41"/>
    </row>
    <row r="919">
      <c r="J919" s="68"/>
      <c r="K919" s="79"/>
      <c r="L919" s="79"/>
      <c r="M919" s="226"/>
      <c r="N919" s="248"/>
      <c r="O919" s="226"/>
      <c r="P919" s="226"/>
      <c r="Q919" s="226"/>
      <c r="R919" s="68"/>
      <c r="V919" s="41"/>
    </row>
    <row r="920">
      <c r="J920" s="68"/>
      <c r="K920" s="79"/>
      <c r="L920" s="79"/>
      <c r="M920" s="226"/>
      <c r="N920" s="248"/>
      <c r="O920" s="226"/>
      <c r="P920" s="226"/>
      <c r="Q920" s="226"/>
      <c r="R920" s="68"/>
      <c r="V920" s="41"/>
    </row>
    <row r="921">
      <c r="J921" s="68"/>
      <c r="K921" s="79"/>
      <c r="L921" s="79"/>
      <c r="M921" s="226"/>
      <c r="N921" s="248"/>
      <c r="O921" s="226"/>
      <c r="P921" s="226"/>
      <c r="Q921" s="226"/>
      <c r="R921" s="68"/>
      <c r="V921" s="41"/>
    </row>
    <row r="922">
      <c r="J922" s="68"/>
      <c r="K922" s="79"/>
      <c r="L922" s="79"/>
      <c r="M922" s="226"/>
      <c r="N922" s="248"/>
      <c r="O922" s="226"/>
      <c r="P922" s="226"/>
      <c r="Q922" s="226"/>
      <c r="R922" s="68"/>
      <c r="V922" s="41"/>
    </row>
    <row r="923">
      <c r="J923" s="68"/>
      <c r="K923" s="79"/>
      <c r="L923" s="79"/>
      <c r="M923" s="226"/>
      <c r="N923" s="248"/>
      <c r="O923" s="226"/>
      <c r="P923" s="226"/>
      <c r="Q923" s="226"/>
      <c r="R923" s="68"/>
      <c r="V923" s="41"/>
    </row>
    <row r="924">
      <c r="J924" s="68"/>
      <c r="K924" s="79"/>
      <c r="L924" s="79"/>
      <c r="M924" s="226"/>
      <c r="N924" s="248"/>
      <c r="O924" s="226"/>
      <c r="P924" s="226"/>
      <c r="Q924" s="226"/>
      <c r="R924" s="68"/>
      <c r="V924" s="41"/>
    </row>
    <row r="925">
      <c r="J925" s="68"/>
      <c r="K925" s="79"/>
      <c r="L925" s="79"/>
      <c r="M925" s="226"/>
      <c r="N925" s="248"/>
      <c r="O925" s="226"/>
      <c r="P925" s="226"/>
      <c r="Q925" s="226"/>
      <c r="R925" s="68"/>
      <c r="V925" s="41"/>
    </row>
    <row r="926">
      <c r="J926" s="68"/>
      <c r="K926" s="79"/>
      <c r="L926" s="79"/>
      <c r="M926" s="226"/>
      <c r="N926" s="248"/>
      <c r="O926" s="226"/>
      <c r="P926" s="226"/>
      <c r="Q926" s="226"/>
      <c r="R926" s="68"/>
      <c r="V926" s="41"/>
    </row>
    <row r="927">
      <c r="J927" s="68"/>
      <c r="K927" s="79"/>
      <c r="L927" s="79"/>
      <c r="M927" s="226"/>
      <c r="N927" s="248"/>
      <c r="O927" s="226"/>
      <c r="P927" s="226"/>
      <c r="Q927" s="226"/>
      <c r="R927" s="68"/>
      <c r="V927" s="41"/>
    </row>
    <row r="928">
      <c r="J928" s="68"/>
      <c r="K928" s="79"/>
      <c r="L928" s="79"/>
      <c r="M928" s="226"/>
      <c r="N928" s="248"/>
      <c r="O928" s="226"/>
      <c r="P928" s="226"/>
      <c r="Q928" s="226"/>
      <c r="R928" s="68"/>
      <c r="V928" s="41"/>
    </row>
    <row r="929">
      <c r="J929" s="68"/>
      <c r="K929" s="79"/>
      <c r="L929" s="79"/>
      <c r="M929" s="226"/>
      <c r="N929" s="248"/>
      <c r="O929" s="226"/>
      <c r="P929" s="226"/>
      <c r="Q929" s="226"/>
      <c r="R929" s="68"/>
      <c r="V929" s="41"/>
    </row>
    <row r="930">
      <c r="J930" s="68"/>
      <c r="K930" s="79"/>
      <c r="L930" s="79"/>
      <c r="M930" s="226"/>
      <c r="N930" s="248"/>
      <c r="O930" s="226"/>
      <c r="P930" s="226"/>
      <c r="Q930" s="226"/>
      <c r="R930" s="68"/>
      <c r="V930" s="41"/>
    </row>
    <row r="931">
      <c r="J931" s="68"/>
      <c r="K931" s="79"/>
      <c r="L931" s="79"/>
      <c r="M931" s="226"/>
      <c r="N931" s="248"/>
      <c r="O931" s="226"/>
      <c r="P931" s="226"/>
      <c r="Q931" s="226"/>
      <c r="R931" s="68"/>
      <c r="V931" s="41"/>
    </row>
    <row r="932">
      <c r="J932" s="68"/>
      <c r="K932" s="79"/>
      <c r="L932" s="79"/>
      <c r="M932" s="226"/>
      <c r="N932" s="248"/>
      <c r="O932" s="226"/>
      <c r="P932" s="226"/>
      <c r="Q932" s="226"/>
      <c r="R932" s="68"/>
      <c r="V932" s="41"/>
    </row>
    <row r="933">
      <c r="J933" s="68"/>
      <c r="K933" s="79"/>
      <c r="L933" s="79"/>
      <c r="M933" s="226"/>
      <c r="N933" s="248"/>
      <c r="O933" s="226"/>
      <c r="P933" s="226"/>
      <c r="Q933" s="226"/>
      <c r="R933" s="68"/>
      <c r="V933" s="41"/>
    </row>
    <row r="934">
      <c r="J934" s="68"/>
      <c r="K934" s="79"/>
      <c r="L934" s="79"/>
      <c r="M934" s="226"/>
      <c r="N934" s="248"/>
      <c r="O934" s="226"/>
      <c r="P934" s="226"/>
      <c r="Q934" s="226"/>
      <c r="R934" s="68"/>
      <c r="V934" s="41"/>
    </row>
    <row r="935">
      <c r="J935" s="68"/>
      <c r="K935" s="79"/>
      <c r="L935" s="79"/>
      <c r="M935" s="226"/>
      <c r="N935" s="248"/>
      <c r="O935" s="226"/>
      <c r="P935" s="226"/>
      <c r="Q935" s="226"/>
      <c r="R935" s="68"/>
      <c r="V935" s="41"/>
    </row>
    <row r="936">
      <c r="J936" s="68"/>
      <c r="K936" s="79"/>
      <c r="L936" s="79"/>
      <c r="M936" s="226"/>
      <c r="N936" s="248"/>
      <c r="O936" s="226"/>
      <c r="P936" s="226"/>
      <c r="Q936" s="226"/>
      <c r="R936" s="68"/>
      <c r="V936" s="41"/>
    </row>
    <row r="937">
      <c r="J937" s="68"/>
      <c r="K937" s="79"/>
      <c r="L937" s="79"/>
      <c r="M937" s="226"/>
      <c r="N937" s="248"/>
      <c r="O937" s="226"/>
      <c r="P937" s="226"/>
      <c r="Q937" s="226"/>
      <c r="R937" s="68"/>
      <c r="V937" s="41"/>
    </row>
    <row r="938">
      <c r="J938" s="68"/>
      <c r="K938" s="79"/>
      <c r="L938" s="79"/>
      <c r="M938" s="226"/>
      <c r="N938" s="248"/>
      <c r="O938" s="226"/>
      <c r="P938" s="226"/>
      <c r="Q938" s="226"/>
      <c r="R938" s="68"/>
      <c r="V938" s="41"/>
    </row>
    <row r="939">
      <c r="J939" s="68"/>
      <c r="K939" s="79"/>
      <c r="L939" s="79"/>
      <c r="M939" s="226"/>
      <c r="N939" s="248"/>
      <c r="O939" s="226"/>
      <c r="P939" s="226"/>
      <c r="Q939" s="226"/>
      <c r="R939" s="68"/>
      <c r="V939" s="41"/>
    </row>
    <row r="940">
      <c r="J940" s="68"/>
      <c r="K940" s="79"/>
      <c r="L940" s="79"/>
      <c r="M940" s="226"/>
      <c r="N940" s="248"/>
      <c r="O940" s="226"/>
      <c r="P940" s="226"/>
      <c r="Q940" s="226"/>
      <c r="R940" s="68"/>
      <c r="V940" s="41"/>
    </row>
    <row r="941">
      <c r="J941" s="68"/>
      <c r="K941" s="79"/>
      <c r="L941" s="79"/>
      <c r="M941" s="226"/>
      <c r="N941" s="248"/>
      <c r="O941" s="226"/>
      <c r="P941" s="226"/>
      <c r="Q941" s="226"/>
      <c r="R941" s="68"/>
      <c r="V941" s="41"/>
    </row>
    <row r="942">
      <c r="J942" s="68"/>
      <c r="K942" s="79"/>
      <c r="L942" s="79"/>
      <c r="M942" s="226"/>
      <c r="N942" s="248"/>
      <c r="O942" s="226"/>
      <c r="P942" s="226"/>
      <c r="Q942" s="226"/>
      <c r="R942" s="68"/>
      <c r="V942" s="41"/>
    </row>
    <row r="943">
      <c r="J943" s="68"/>
      <c r="K943" s="79"/>
      <c r="L943" s="79"/>
      <c r="M943" s="226"/>
      <c r="N943" s="248"/>
      <c r="O943" s="226"/>
      <c r="P943" s="226"/>
      <c r="Q943" s="226"/>
      <c r="R943" s="68"/>
      <c r="V943" s="41"/>
    </row>
    <row r="944">
      <c r="J944" s="68"/>
      <c r="K944" s="79"/>
      <c r="L944" s="79"/>
      <c r="M944" s="226"/>
      <c r="N944" s="248"/>
      <c r="O944" s="226"/>
      <c r="P944" s="226"/>
      <c r="Q944" s="226"/>
      <c r="R944" s="68"/>
      <c r="V944" s="41"/>
    </row>
    <row r="945">
      <c r="J945" s="68"/>
      <c r="K945" s="79"/>
      <c r="L945" s="79"/>
      <c r="M945" s="226"/>
      <c r="N945" s="248"/>
      <c r="O945" s="226"/>
      <c r="P945" s="226"/>
      <c r="Q945" s="226"/>
      <c r="R945" s="68"/>
      <c r="V945" s="41"/>
    </row>
    <row r="946">
      <c r="J946" s="68"/>
      <c r="K946" s="79"/>
      <c r="L946" s="79"/>
      <c r="M946" s="226"/>
      <c r="N946" s="248"/>
      <c r="O946" s="226"/>
      <c r="P946" s="226"/>
      <c r="Q946" s="226"/>
      <c r="R946" s="68"/>
      <c r="V946" s="41"/>
    </row>
    <row r="947">
      <c r="J947" s="68"/>
      <c r="K947" s="79"/>
      <c r="L947" s="79"/>
      <c r="M947" s="226"/>
      <c r="N947" s="248"/>
      <c r="O947" s="226"/>
      <c r="P947" s="226"/>
      <c r="Q947" s="226"/>
      <c r="R947" s="68"/>
      <c r="V947" s="41"/>
    </row>
    <row r="948">
      <c r="J948" s="68"/>
      <c r="K948" s="79"/>
      <c r="L948" s="79"/>
      <c r="M948" s="226"/>
      <c r="N948" s="248"/>
      <c r="O948" s="226"/>
      <c r="P948" s="226"/>
      <c r="Q948" s="226"/>
      <c r="R948" s="68"/>
      <c r="V948" s="41"/>
    </row>
    <row r="949">
      <c r="J949" s="68"/>
      <c r="K949" s="79"/>
      <c r="L949" s="79"/>
      <c r="M949" s="226"/>
      <c r="N949" s="248"/>
      <c r="O949" s="226"/>
      <c r="P949" s="226"/>
      <c r="Q949" s="226"/>
      <c r="R949" s="68"/>
      <c r="V949" s="41"/>
    </row>
    <row r="950">
      <c r="J950" s="68"/>
      <c r="K950" s="79"/>
      <c r="L950" s="79"/>
      <c r="M950" s="226"/>
      <c r="N950" s="248"/>
      <c r="O950" s="226"/>
      <c r="P950" s="226"/>
      <c r="Q950" s="226"/>
      <c r="R950" s="68"/>
      <c r="V950" s="41"/>
    </row>
    <row r="951">
      <c r="J951" s="68"/>
      <c r="K951" s="79"/>
      <c r="L951" s="79"/>
      <c r="M951" s="226"/>
      <c r="N951" s="248"/>
      <c r="O951" s="226"/>
      <c r="P951" s="226"/>
      <c r="Q951" s="226"/>
      <c r="R951" s="68"/>
      <c r="V951" s="41"/>
    </row>
    <row r="952">
      <c r="J952" s="68"/>
      <c r="K952" s="79"/>
      <c r="L952" s="79"/>
      <c r="M952" s="226"/>
      <c r="N952" s="248"/>
      <c r="O952" s="226"/>
      <c r="P952" s="226"/>
      <c r="Q952" s="226"/>
      <c r="R952" s="68"/>
      <c r="V952" s="41"/>
    </row>
    <row r="953">
      <c r="J953" s="68"/>
      <c r="K953" s="79"/>
      <c r="L953" s="79"/>
      <c r="M953" s="226"/>
      <c r="N953" s="248"/>
      <c r="O953" s="226"/>
      <c r="P953" s="226"/>
      <c r="Q953" s="226"/>
      <c r="R953" s="68"/>
      <c r="V953" s="41"/>
    </row>
    <row r="954">
      <c r="J954" s="68"/>
      <c r="K954" s="79"/>
      <c r="L954" s="79"/>
      <c r="M954" s="226"/>
      <c r="N954" s="248"/>
      <c r="O954" s="226"/>
      <c r="P954" s="226"/>
      <c r="Q954" s="226"/>
      <c r="R954" s="68"/>
      <c r="V954" s="41"/>
    </row>
    <row r="955">
      <c r="J955" s="68"/>
      <c r="K955" s="79"/>
      <c r="L955" s="79"/>
      <c r="M955" s="226"/>
      <c r="N955" s="248"/>
      <c r="O955" s="226"/>
      <c r="P955" s="226"/>
      <c r="Q955" s="226"/>
      <c r="R955" s="68"/>
      <c r="V955" s="41"/>
    </row>
    <row r="956">
      <c r="J956" s="68"/>
      <c r="K956" s="79"/>
      <c r="L956" s="79"/>
      <c r="M956" s="226"/>
      <c r="N956" s="248"/>
      <c r="O956" s="226"/>
      <c r="P956" s="226"/>
      <c r="Q956" s="226"/>
      <c r="R956" s="68"/>
      <c r="V956" s="41"/>
    </row>
    <row r="957">
      <c r="J957" s="68"/>
      <c r="K957" s="79"/>
      <c r="L957" s="79"/>
      <c r="M957" s="226"/>
      <c r="N957" s="248"/>
      <c r="O957" s="226"/>
      <c r="P957" s="226"/>
      <c r="Q957" s="226"/>
      <c r="R957" s="68"/>
      <c r="V957" s="41"/>
    </row>
    <row r="958">
      <c r="J958" s="68"/>
      <c r="K958" s="79"/>
      <c r="L958" s="79"/>
      <c r="M958" s="226"/>
      <c r="N958" s="248"/>
      <c r="O958" s="226"/>
      <c r="P958" s="226"/>
      <c r="Q958" s="226"/>
      <c r="R958" s="68"/>
      <c r="V958" s="41"/>
    </row>
    <row r="959">
      <c r="J959" s="68"/>
      <c r="K959" s="79"/>
      <c r="L959" s="79"/>
      <c r="M959" s="226"/>
      <c r="N959" s="248"/>
      <c r="O959" s="226"/>
      <c r="P959" s="226"/>
      <c r="Q959" s="226"/>
      <c r="R959" s="68"/>
      <c r="V959" s="41"/>
    </row>
    <row r="960">
      <c r="J960" s="68"/>
      <c r="K960" s="79"/>
      <c r="L960" s="79"/>
      <c r="M960" s="226"/>
      <c r="N960" s="248"/>
      <c r="O960" s="226"/>
      <c r="P960" s="226"/>
      <c r="Q960" s="226"/>
      <c r="R960" s="68"/>
      <c r="V960" s="41"/>
    </row>
    <row r="961">
      <c r="J961" s="68"/>
      <c r="K961" s="79"/>
      <c r="L961" s="79"/>
      <c r="M961" s="226"/>
      <c r="N961" s="248"/>
      <c r="O961" s="226"/>
      <c r="P961" s="226"/>
      <c r="Q961" s="226"/>
      <c r="R961" s="68"/>
      <c r="V961" s="41"/>
    </row>
    <row r="962">
      <c r="J962" s="68"/>
      <c r="K962" s="79"/>
      <c r="L962" s="79"/>
      <c r="M962" s="226"/>
      <c r="N962" s="248"/>
      <c r="O962" s="226"/>
      <c r="P962" s="226"/>
      <c r="Q962" s="226"/>
      <c r="R962" s="68"/>
      <c r="V962" s="41"/>
    </row>
    <row r="963">
      <c r="J963" s="68"/>
      <c r="K963" s="79"/>
      <c r="L963" s="79"/>
      <c r="M963" s="226"/>
      <c r="N963" s="248"/>
      <c r="O963" s="226"/>
      <c r="P963" s="226"/>
      <c r="Q963" s="226"/>
      <c r="R963" s="68"/>
      <c r="V963" s="41"/>
    </row>
    <row r="964">
      <c r="J964" s="68"/>
      <c r="K964" s="79"/>
      <c r="L964" s="79"/>
      <c r="M964" s="226"/>
      <c r="N964" s="248"/>
      <c r="O964" s="226"/>
      <c r="P964" s="226"/>
      <c r="Q964" s="226"/>
      <c r="R964" s="68"/>
      <c r="V964" s="41"/>
    </row>
    <row r="965">
      <c r="J965" s="68"/>
      <c r="K965" s="79"/>
      <c r="L965" s="79"/>
      <c r="M965" s="226"/>
      <c r="N965" s="248"/>
      <c r="O965" s="226"/>
      <c r="P965" s="226"/>
      <c r="Q965" s="226"/>
      <c r="R965" s="68"/>
      <c r="V965" s="41"/>
    </row>
    <row r="966">
      <c r="J966" s="68"/>
      <c r="K966" s="79"/>
      <c r="L966" s="79"/>
      <c r="M966" s="226"/>
      <c r="N966" s="248"/>
      <c r="O966" s="226"/>
      <c r="P966" s="226"/>
      <c r="Q966" s="226"/>
      <c r="R966" s="68"/>
      <c r="V966" s="41"/>
    </row>
    <row r="967">
      <c r="J967" s="68"/>
      <c r="K967" s="79"/>
      <c r="L967" s="79"/>
      <c r="M967" s="226"/>
      <c r="N967" s="248"/>
      <c r="O967" s="226"/>
      <c r="P967" s="226"/>
      <c r="Q967" s="226"/>
      <c r="R967" s="68"/>
      <c r="V967" s="41"/>
    </row>
    <row r="968">
      <c r="J968" s="68"/>
      <c r="K968" s="79"/>
      <c r="L968" s="79"/>
      <c r="M968" s="226"/>
      <c r="N968" s="248"/>
      <c r="O968" s="226"/>
      <c r="P968" s="226"/>
      <c r="Q968" s="226"/>
      <c r="R968" s="68"/>
      <c r="V968" s="41"/>
    </row>
    <row r="969">
      <c r="J969" s="68"/>
      <c r="K969" s="79"/>
      <c r="L969" s="79"/>
      <c r="M969" s="226"/>
      <c r="N969" s="248"/>
      <c r="O969" s="226"/>
      <c r="P969" s="226"/>
      <c r="Q969" s="226"/>
      <c r="R969" s="68"/>
      <c r="V969" s="41"/>
    </row>
    <row r="970">
      <c r="J970" s="68"/>
      <c r="K970" s="79"/>
      <c r="L970" s="79"/>
      <c r="M970" s="226"/>
      <c r="N970" s="248"/>
      <c r="O970" s="226"/>
      <c r="P970" s="226"/>
      <c r="Q970" s="226"/>
      <c r="R970" s="68"/>
      <c r="V970" s="41"/>
    </row>
    <row r="971">
      <c r="J971" s="68"/>
      <c r="K971" s="79"/>
      <c r="L971" s="79"/>
      <c r="M971" s="226"/>
      <c r="N971" s="248"/>
      <c r="O971" s="226"/>
      <c r="P971" s="226"/>
      <c r="Q971" s="226"/>
      <c r="R971" s="68"/>
      <c r="V971" s="41"/>
    </row>
    <row r="972">
      <c r="J972" s="68"/>
      <c r="K972" s="79"/>
      <c r="L972" s="79"/>
      <c r="M972" s="226"/>
      <c r="N972" s="248"/>
      <c r="O972" s="226"/>
      <c r="P972" s="226"/>
      <c r="Q972" s="226"/>
      <c r="R972" s="68"/>
      <c r="V972" s="41"/>
    </row>
    <row r="973">
      <c r="J973" s="68"/>
      <c r="K973" s="79"/>
      <c r="L973" s="79"/>
      <c r="M973" s="226"/>
      <c r="N973" s="248"/>
      <c r="O973" s="226"/>
      <c r="P973" s="226"/>
      <c r="Q973" s="226"/>
      <c r="R973" s="68"/>
      <c r="V973" s="41"/>
    </row>
    <row r="974">
      <c r="J974" s="68"/>
      <c r="K974" s="79"/>
      <c r="L974" s="79"/>
      <c r="M974" s="226"/>
      <c r="N974" s="248"/>
      <c r="O974" s="226"/>
      <c r="P974" s="226"/>
      <c r="Q974" s="226"/>
      <c r="R974" s="68"/>
      <c r="V974" s="41"/>
    </row>
    <row r="975">
      <c r="J975" s="68"/>
      <c r="K975" s="79"/>
      <c r="L975" s="79"/>
      <c r="M975" s="226"/>
      <c r="N975" s="248"/>
      <c r="O975" s="226"/>
      <c r="P975" s="226"/>
      <c r="Q975" s="226"/>
      <c r="R975" s="68"/>
      <c r="V975" s="41"/>
    </row>
    <row r="976">
      <c r="J976" s="68"/>
      <c r="K976" s="79"/>
      <c r="L976" s="79"/>
      <c r="M976" s="226"/>
      <c r="N976" s="248"/>
      <c r="O976" s="226"/>
      <c r="P976" s="226"/>
      <c r="Q976" s="226"/>
      <c r="R976" s="68"/>
      <c r="V976" s="41"/>
    </row>
    <row r="977">
      <c r="J977" s="68"/>
      <c r="K977" s="79"/>
      <c r="L977" s="79"/>
      <c r="M977" s="226"/>
      <c r="N977" s="248"/>
      <c r="O977" s="226"/>
      <c r="P977" s="226"/>
      <c r="Q977" s="226"/>
      <c r="R977" s="68"/>
      <c r="V977" s="41"/>
    </row>
    <row r="978">
      <c r="J978" s="68"/>
      <c r="K978" s="79"/>
      <c r="L978" s="79"/>
      <c r="M978" s="226"/>
      <c r="N978" s="248"/>
      <c r="O978" s="226"/>
      <c r="P978" s="226"/>
      <c r="Q978" s="226"/>
      <c r="R978" s="68"/>
      <c r="V978" s="41"/>
    </row>
    <row r="979">
      <c r="J979" s="68"/>
      <c r="K979" s="79"/>
      <c r="L979" s="79"/>
      <c r="M979" s="226"/>
      <c r="N979" s="248"/>
      <c r="O979" s="226"/>
      <c r="P979" s="226"/>
      <c r="Q979" s="226"/>
      <c r="R979" s="68"/>
      <c r="V979" s="41"/>
    </row>
    <row r="980">
      <c r="J980" s="68"/>
      <c r="K980" s="79"/>
      <c r="L980" s="79"/>
      <c r="M980" s="226"/>
      <c r="N980" s="248"/>
      <c r="O980" s="226"/>
      <c r="P980" s="226"/>
      <c r="Q980" s="226"/>
      <c r="R980" s="68"/>
      <c r="V980" s="41"/>
    </row>
    <row r="981">
      <c r="J981" s="68"/>
      <c r="K981" s="79"/>
      <c r="L981" s="79"/>
      <c r="M981" s="226"/>
      <c r="N981" s="248"/>
      <c r="O981" s="226"/>
      <c r="P981" s="226"/>
      <c r="Q981" s="226"/>
      <c r="R981" s="68"/>
      <c r="V981" s="41"/>
    </row>
    <row r="982">
      <c r="J982" s="68"/>
      <c r="K982" s="79"/>
      <c r="L982" s="79"/>
      <c r="M982" s="226"/>
      <c r="N982" s="248"/>
      <c r="O982" s="226"/>
      <c r="P982" s="226"/>
      <c r="Q982" s="226"/>
      <c r="R982" s="68"/>
      <c r="V982" s="41"/>
    </row>
    <row r="983">
      <c r="J983" s="68"/>
      <c r="K983" s="79"/>
      <c r="L983" s="79"/>
      <c r="M983" s="226"/>
      <c r="N983" s="248"/>
      <c r="O983" s="226"/>
      <c r="P983" s="226"/>
      <c r="Q983" s="226"/>
      <c r="R983" s="68"/>
      <c r="V983" s="41"/>
    </row>
    <row r="984">
      <c r="J984" s="68"/>
      <c r="K984" s="79"/>
      <c r="L984" s="79"/>
      <c r="M984" s="226"/>
      <c r="N984" s="248"/>
      <c r="O984" s="226"/>
      <c r="P984" s="226"/>
      <c r="Q984" s="226"/>
      <c r="R984" s="68"/>
      <c r="V984" s="41"/>
    </row>
    <row r="985">
      <c r="J985" s="68"/>
      <c r="K985" s="79"/>
      <c r="L985" s="79"/>
      <c r="M985" s="226"/>
      <c r="N985" s="248"/>
      <c r="O985" s="226"/>
      <c r="P985" s="226"/>
      <c r="Q985" s="226"/>
      <c r="R985" s="68"/>
      <c r="V985" s="41"/>
    </row>
    <row r="986">
      <c r="J986" s="68"/>
      <c r="K986" s="79"/>
      <c r="L986" s="79"/>
      <c r="M986" s="226"/>
      <c r="N986" s="248"/>
      <c r="O986" s="226"/>
      <c r="P986" s="226"/>
      <c r="Q986" s="226"/>
      <c r="R986" s="68"/>
      <c r="V986" s="41"/>
    </row>
    <row r="987">
      <c r="J987" s="68"/>
      <c r="K987" s="79"/>
      <c r="L987" s="79"/>
      <c r="M987" s="226"/>
      <c r="N987" s="248"/>
      <c r="O987" s="226"/>
      <c r="P987" s="226"/>
      <c r="Q987" s="226"/>
      <c r="R987" s="68"/>
      <c r="V987" s="41"/>
    </row>
    <row r="988">
      <c r="J988" s="68"/>
      <c r="K988" s="79"/>
      <c r="L988" s="79"/>
      <c r="M988" s="226"/>
      <c r="N988" s="248"/>
      <c r="O988" s="226"/>
      <c r="P988" s="226"/>
      <c r="Q988" s="226"/>
      <c r="R988" s="68"/>
      <c r="V988" s="41"/>
    </row>
    <row r="989">
      <c r="J989" s="68"/>
      <c r="K989" s="79"/>
      <c r="L989" s="79"/>
      <c r="M989" s="226"/>
      <c r="N989" s="248"/>
      <c r="O989" s="226"/>
      <c r="P989" s="226"/>
      <c r="Q989" s="226"/>
      <c r="R989" s="68"/>
      <c r="V989" s="41"/>
    </row>
    <row r="990">
      <c r="J990" s="68"/>
      <c r="K990" s="79"/>
      <c r="L990" s="79"/>
      <c r="M990" s="226"/>
      <c r="N990" s="248"/>
      <c r="O990" s="226"/>
      <c r="P990" s="226"/>
      <c r="Q990" s="226"/>
      <c r="R990" s="68"/>
      <c r="V990" s="41"/>
    </row>
    <row r="991">
      <c r="J991" s="68"/>
      <c r="K991" s="79"/>
      <c r="L991" s="79"/>
      <c r="M991" s="226"/>
      <c r="N991" s="248"/>
      <c r="O991" s="226"/>
      <c r="P991" s="226"/>
      <c r="Q991" s="226"/>
      <c r="R991" s="68"/>
      <c r="V991" s="41"/>
    </row>
    <row r="992">
      <c r="J992" s="68"/>
      <c r="K992" s="79"/>
      <c r="L992" s="79"/>
      <c r="M992" s="226"/>
      <c r="N992" s="248"/>
      <c r="O992" s="226"/>
      <c r="P992" s="226"/>
      <c r="Q992" s="226"/>
      <c r="R992" s="68"/>
      <c r="V992" s="41"/>
    </row>
    <row r="993">
      <c r="J993" s="68"/>
      <c r="K993" s="79"/>
      <c r="L993" s="79"/>
      <c r="M993" s="226"/>
      <c r="N993" s="248"/>
      <c r="O993" s="226"/>
      <c r="P993" s="226"/>
      <c r="Q993" s="226"/>
      <c r="R993" s="68"/>
      <c r="V993" s="41"/>
    </row>
    <row r="994">
      <c r="J994" s="68"/>
      <c r="K994" s="79"/>
      <c r="L994" s="79"/>
      <c r="M994" s="226"/>
      <c r="N994" s="248"/>
      <c r="O994" s="226"/>
      <c r="P994" s="226"/>
      <c r="Q994" s="226"/>
      <c r="R994" s="68"/>
      <c r="V994" s="41"/>
    </row>
    <row r="995">
      <c r="J995" s="68"/>
      <c r="K995" s="79"/>
      <c r="L995" s="79"/>
      <c r="M995" s="226"/>
      <c r="N995" s="248"/>
      <c r="O995" s="226"/>
      <c r="P995" s="226"/>
      <c r="Q995" s="226"/>
      <c r="R995" s="68"/>
      <c r="V995" s="41"/>
    </row>
    <row r="996">
      <c r="J996" s="68"/>
      <c r="K996" s="79"/>
      <c r="L996" s="79"/>
      <c r="M996" s="226"/>
      <c r="N996" s="248"/>
      <c r="O996" s="226"/>
      <c r="P996" s="226"/>
      <c r="Q996" s="226"/>
      <c r="R996" s="68"/>
      <c r="V996" s="41"/>
    </row>
    <row r="997">
      <c r="J997" s="68"/>
      <c r="K997" s="79"/>
      <c r="L997" s="79"/>
      <c r="M997" s="226"/>
      <c r="N997" s="248"/>
      <c r="O997" s="226"/>
      <c r="P997" s="226"/>
      <c r="Q997" s="226"/>
      <c r="R997" s="68"/>
      <c r="V997" s="41"/>
    </row>
    <row r="998">
      <c r="J998" s="68"/>
      <c r="K998" s="79"/>
      <c r="L998" s="79"/>
      <c r="M998" s="226"/>
      <c r="N998" s="248"/>
      <c r="O998" s="226"/>
      <c r="P998" s="226"/>
      <c r="Q998" s="226"/>
      <c r="R998" s="68"/>
      <c r="V998" s="41"/>
    </row>
    <row r="999">
      <c r="J999" s="68"/>
      <c r="K999" s="79"/>
      <c r="L999" s="79"/>
      <c r="M999" s="226"/>
      <c r="N999" s="248"/>
      <c r="O999" s="226"/>
      <c r="P999" s="226"/>
      <c r="Q999" s="226"/>
      <c r="R999" s="68"/>
      <c r="V999" s="41"/>
    </row>
    <row r="1000">
      <c r="J1000" s="68"/>
      <c r="K1000" s="79"/>
      <c r="L1000" s="79"/>
      <c r="M1000" s="226"/>
      <c r="N1000" s="248"/>
      <c r="O1000" s="226"/>
      <c r="P1000" s="226"/>
      <c r="Q1000" s="226"/>
      <c r="R1000" s="68"/>
      <c r="V1000" s="41"/>
    </row>
    <row r="1001">
      <c r="J1001" s="68"/>
      <c r="K1001" s="79"/>
      <c r="L1001" s="79"/>
      <c r="M1001" s="226"/>
      <c r="N1001" s="248"/>
      <c r="O1001" s="226"/>
      <c r="P1001" s="226"/>
      <c r="Q1001" s="226"/>
      <c r="R1001" s="68"/>
      <c r="V1001" s="41"/>
    </row>
    <row r="1002">
      <c r="J1002" s="68"/>
      <c r="K1002" s="79"/>
      <c r="L1002" s="79"/>
      <c r="M1002" s="226"/>
      <c r="N1002" s="248"/>
      <c r="O1002" s="226"/>
      <c r="P1002" s="226"/>
      <c r="Q1002" s="226"/>
      <c r="R1002" s="68"/>
      <c r="V1002" s="41"/>
    </row>
    <row r="1003">
      <c r="J1003" s="68"/>
      <c r="K1003" s="79"/>
      <c r="L1003" s="79"/>
      <c r="M1003" s="226"/>
      <c r="N1003" s="248"/>
      <c r="O1003" s="226"/>
      <c r="P1003" s="226"/>
      <c r="Q1003" s="226"/>
      <c r="R1003" s="68"/>
      <c r="V1003" s="41"/>
    </row>
    <row r="1004">
      <c r="J1004" s="68"/>
      <c r="K1004" s="79"/>
      <c r="L1004" s="79"/>
      <c r="M1004" s="226"/>
      <c r="N1004" s="248"/>
      <c r="O1004" s="226"/>
      <c r="P1004" s="226"/>
      <c r="Q1004" s="226"/>
      <c r="R1004" s="68"/>
      <c r="V1004" s="41"/>
    </row>
    <row r="1005">
      <c r="J1005" s="68"/>
      <c r="K1005" s="79"/>
      <c r="L1005" s="79"/>
      <c r="M1005" s="226"/>
      <c r="N1005" s="248"/>
      <c r="O1005" s="226"/>
      <c r="P1005" s="226"/>
      <c r="Q1005" s="226"/>
      <c r="R1005" s="68"/>
      <c r="V1005" s="41"/>
    </row>
    <row r="1006">
      <c r="J1006" s="68"/>
      <c r="K1006" s="79"/>
      <c r="L1006" s="79"/>
      <c r="M1006" s="226"/>
      <c r="N1006" s="248"/>
      <c r="O1006" s="226"/>
      <c r="P1006" s="226"/>
      <c r="Q1006" s="226"/>
      <c r="R1006" s="68"/>
      <c r="V1006" s="41"/>
    </row>
    <row r="1007">
      <c r="J1007" s="68"/>
      <c r="K1007" s="79"/>
      <c r="L1007" s="79"/>
      <c r="M1007" s="226"/>
      <c r="N1007" s="248"/>
      <c r="O1007" s="226"/>
      <c r="P1007" s="226"/>
      <c r="Q1007" s="226"/>
      <c r="R1007" s="68"/>
      <c r="V1007" s="41"/>
    </row>
    <row r="1008">
      <c r="J1008" s="68"/>
      <c r="K1008" s="79"/>
      <c r="L1008" s="79"/>
      <c r="M1008" s="226"/>
      <c r="N1008" s="248"/>
      <c r="O1008" s="226"/>
      <c r="P1008" s="226"/>
      <c r="Q1008" s="226"/>
      <c r="R1008" s="68"/>
      <c r="V1008" s="41"/>
    </row>
    <row r="1009">
      <c r="J1009" s="68"/>
      <c r="K1009" s="79"/>
      <c r="L1009" s="79"/>
      <c r="M1009" s="226"/>
      <c r="N1009" s="248"/>
      <c r="O1009" s="226"/>
      <c r="P1009" s="226"/>
      <c r="Q1009" s="226"/>
      <c r="R1009" s="68"/>
      <c r="V1009" s="41"/>
    </row>
    <row r="1010">
      <c r="J1010" s="68"/>
      <c r="K1010" s="79"/>
      <c r="L1010" s="79"/>
      <c r="M1010" s="226"/>
      <c r="N1010" s="248"/>
      <c r="O1010" s="226"/>
      <c r="P1010" s="226"/>
      <c r="Q1010" s="226"/>
      <c r="R1010" s="68"/>
      <c r="V1010" s="41"/>
    </row>
    <row r="1011">
      <c r="J1011" s="68"/>
      <c r="K1011" s="79"/>
      <c r="L1011" s="79"/>
      <c r="M1011" s="226"/>
      <c r="N1011" s="248"/>
      <c r="O1011" s="226"/>
      <c r="P1011" s="226"/>
      <c r="Q1011" s="226"/>
      <c r="R1011" s="68"/>
      <c r="V1011" s="41"/>
    </row>
    <row r="1012">
      <c r="J1012" s="68"/>
      <c r="K1012" s="79"/>
      <c r="L1012" s="79"/>
      <c r="M1012" s="226"/>
      <c r="N1012" s="248"/>
      <c r="O1012" s="226"/>
      <c r="P1012" s="226"/>
      <c r="Q1012" s="226"/>
      <c r="R1012" s="68"/>
      <c r="V1012" s="41"/>
    </row>
    <row r="1013">
      <c r="J1013" s="68"/>
      <c r="K1013" s="79"/>
      <c r="L1013" s="79"/>
      <c r="M1013" s="226"/>
      <c r="N1013" s="248"/>
      <c r="O1013" s="226"/>
      <c r="P1013" s="226"/>
      <c r="Q1013" s="226"/>
      <c r="R1013" s="68"/>
      <c r="V1013" s="41"/>
    </row>
    <row r="1014">
      <c r="J1014" s="68"/>
      <c r="K1014" s="79"/>
      <c r="L1014" s="79"/>
      <c r="M1014" s="226"/>
      <c r="N1014" s="248"/>
      <c r="O1014" s="226"/>
      <c r="P1014" s="226"/>
      <c r="Q1014" s="226"/>
      <c r="R1014" s="68"/>
      <c r="V1014" s="41"/>
    </row>
    <row r="1015">
      <c r="J1015" s="68"/>
      <c r="K1015" s="79"/>
      <c r="L1015" s="79"/>
      <c r="M1015" s="226"/>
      <c r="N1015" s="248"/>
      <c r="O1015" s="226"/>
      <c r="P1015" s="226"/>
      <c r="Q1015" s="226"/>
      <c r="R1015" s="68"/>
      <c r="V1015" s="41"/>
    </row>
  </sheetData>
  <conditionalFormatting sqref="C134">
    <cfRule type="expression" dxfId="0" priority="1">
      <formula>$P134="No"</formula>
    </cfRule>
  </conditionalFormatting>
  <conditionalFormatting sqref="C134">
    <cfRule type="expression" dxfId="1" priority="2">
      <formula>$P134=""</formula>
    </cfRule>
  </conditionalFormatting>
  <conditionalFormatting sqref="B170:B187 C170:C175 D170:H187 I170 M170:M187 N170:N188 O170:U187 I173:I177 C177:C187 I179:I181 I183:I187 P195:Q195">
    <cfRule type="expression" dxfId="0" priority="3">
      <formula>$U170="No"</formula>
    </cfRule>
  </conditionalFormatting>
  <conditionalFormatting sqref="I3 B114:G140 H114:H136 M114:M140 O114:O140 R114:R140 J116:J140 I130 I132 I134:I137 H138:H140 I140 I168">
    <cfRule type="expression" dxfId="0" priority="4">
      <formula>$G3="No"</formula>
    </cfRule>
  </conditionalFormatting>
  <conditionalFormatting sqref="I3 B114:G140 H114:H136 M114:M140 O114:O140 R114:R140 J116:J140 I130 I132 I134:I137 H138:H140 I140 I168">
    <cfRule type="expression" dxfId="1" priority="5">
      <formula>$G3=""</formula>
    </cfRule>
  </conditionalFormatting>
  <conditionalFormatting sqref="W1:W1015">
    <cfRule type="cellIs" dxfId="2" priority="6" operator="equal">
      <formula>"No"</formula>
    </cfRule>
  </conditionalFormatting>
  <conditionalFormatting sqref="W1:W1015">
    <cfRule type="cellIs" dxfId="3" priority="7" operator="equal">
      <formula>"Yes"</formula>
    </cfRule>
  </conditionalFormatting>
  <conditionalFormatting sqref="W1">
    <cfRule type="notContainsBlanks" dxfId="4" priority="8">
      <formula>LEN(TRIM(W1))&gt;0</formula>
    </cfRule>
  </conditionalFormatting>
  <conditionalFormatting sqref="W1:W1015">
    <cfRule type="cellIs" dxfId="5" priority="9" operator="equal">
      <formula>"YesNo"</formula>
    </cfRule>
  </conditionalFormatting>
  <hyperlinks>
    <hyperlink r:id="rId2" ref="D2"/>
    <hyperlink r:id="rId3" ref="D3"/>
    <hyperlink r:id="rId4" ref="D4"/>
    <hyperlink r:id="rId5" ref="D5"/>
    <hyperlink r:id="rId6" ref="D6"/>
    <hyperlink r:id="rId7" ref="J6"/>
    <hyperlink r:id="rId8" ref="D7"/>
    <hyperlink r:id="rId9" ref="D8"/>
    <hyperlink r:id="rId10" ref="D9"/>
    <hyperlink r:id="rId11" ref="D10"/>
    <hyperlink r:id="rId12" ref="D11"/>
    <hyperlink r:id="rId13" ref="D12"/>
    <hyperlink r:id="rId14" ref="D13"/>
    <hyperlink r:id="rId15" ref="D14"/>
    <hyperlink r:id="rId16" ref="D15"/>
    <hyperlink r:id="rId17" ref="D16"/>
    <hyperlink r:id="rId18" ref="D17"/>
    <hyperlink r:id="rId19" ref="D18"/>
    <hyperlink r:id="rId20" ref="D19"/>
    <hyperlink r:id="rId21" ref="D20"/>
    <hyperlink r:id="rId22" ref="J20"/>
    <hyperlink r:id="rId23" ref="D21"/>
    <hyperlink r:id="rId24" ref="D22"/>
    <hyperlink r:id="rId25" ref="D23"/>
    <hyperlink r:id="rId26" ref="D24"/>
    <hyperlink r:id="rId27" ref="J24"/>
    <hyperlink r:id="rId28" ref="D25"/>
    <hyperlink r:id="rId29" ref="J25"/>
    <hyperlink r:id="rId30" ref="D26"/>
    <hyperlink r:id="rId31" ref="D27"/>
    <hyperlink r:id="rId32" ref="D28"/>
    <hyperlink r:id="rId33" ref="D29"/>
    <hyperlink r:id="rId34" ref="D30"/>
    <hyperlink r:id="rId35" ref="D31"/>
    <hyperlink r:id="rId36" ref="D32"/>
    <hyperlink r:id="rId37" ref="D33"/>
    <hyperlink r:id="rId38" ref="D34"/>
    <hyperlink r:id="rId39" ref="D35"/>
    <hyperlink r:id="rId40" ref="D36"/>
    <hyperlink r:id="rId41" ref="D37"/>
    <hyperlink r:id="rId42" ref="D38"/>
    <hyperlink r:id="rId43" ref="D39"/>
    <hyperlink r:id="rId44" ref="J39"/>
    <hyperlink r:id="rId45" ref="D40"/>
    <hyperlink r:id="rId46" ref="J40"/>
    <hyperlink r:id="rId47" ref="D41"/>
    <hyperlink r:id="rId48" ref="D42"/>
    <hyperlink r:id="rId49" ref="D43"/>
    <hyperlink r:id="rId50" ref="D44"/>
    <hyperlink r:id="rId51" ref="J44"/>
    <hyperlink r:id="rId52" ref="D45"/>
    <hyperlink r:id="rId53" ref="J45"/>
    <hyperlink r:id="rId54" ref="D46"/>
    <hyperlink r:id="rId55" ref="D47"/>
    <hyperlink r:id="rId56" ref="D48"/>
    <hyperlink r:id="rId57" ref="J48"/>
    <hyperlink r:id="rId58" ref="D49"/>
    <hyperlink r:id="rId59" ref="D50"/>
    <hyperlink r:id="rId60" ref="J50"/>
    <hyperlink r:id="rId61" ref="D51"/>
    <hyperlink r:id="rId62" ref="J51"/>
    <hyperlink r:id="rId63" ref="D52"/>
    <hyperlink r:id="rId64" ref="J52"/>
    <hyperlink r:id="rId65" ref="D53"/>
    <hyperlink r:id="rId66" ref="D54"/>
    <hyperlink r:id="rId67" ref="J54"/>
    <hyperlink r:id="rId68" ref="D55"/>
    <hyperlink r:id="rId69" ref="J55"/>
    <hyperlink r:id="rId70" ref="D56"/>
    <hyperlink r:id="rId71" ref="D57"/>
    <hyperlink r:id="rId72" ref="D58"/>
    <hyperlink r:id="rId73" ref="D59"/>
    <hyperlink r:id="rId74" ref="D60"/>
    <hyperlink r:id="rId75" ref="J60"/>
    <hyperlink r:id="rId76" ref="D61"/>
    <hyperlink r:id="rId77" ref="D62"/>
    <hyperlink r:id="rId78" ref="D63"/>
    <hyperlink r:id="rId79" ref="J63"/>
    <hyperlink r:id="rId80" ref="D64"/>
    <hyperlink r:id="rId81" ref="D65"/>
    <hyperlink r:id="rId82" ref="D66"/>
    <hyperlink r:id="rId83" ref="D67"/>
    <hyperlink r:id="rId84" ref="D68"/>
    <hyperlink r:id="rId85" ref="D69"/>
    <hyperlink r:id="rId86" ref="D70"/>
    <hyperlink r:id="rId87" ref="D71"/>
    <hyperlink r:id="rId88" ref="D72"/>
    <hyperlink r:id="rId89" ref="D73"/>
    <hyperlink r:id="rId90" ref="J73"/>
    <hyperlink r:id="rId91" ref="D74"/>
    <hyperlink r:id="rId92" ref="J74"/>
    <hyperlink r:id="rId93" ref="D75"/>
    <hyperlink r:id="rId94" ref="D76"/>
    <hyperlink r:id="rId95" ref="D77"/>
    <hyperlink r:id="rId96" ref="D78"/>
    <hyperlink r:id="rId97" ref="D79"/>
    <hyperlink r:id="rId98" ref="D80"/>
    <hyperlink r:id="rId99" ref="D81"/>
    <hyperlink r:id="rId100" ref="D82"/>
    <hyperlink r:id="rId101" ref="D83"/>
    <hyperlink r:id="rId102" ref="D84"/>
    <hyperlink r:id="rId103" ref="D85"/>
    <hyperlink r:id="rId104" ref="D86"/>
    <hyperlink r:id="rId105" ref="J86"/>
    <hyperlink r:id="rId106" ref="D87"/>
    <hyperlink r:id="rId107" ref="D88"/>
    <hyperlink r:id="rId108" ref="D89"/>
    <hyperlink r:id="rId109" ref="D90"/>
    <hyperlink r:id="rId110" ref="J90"/>
    <hyperlink r:id="rId111" ref="D91"/>
    <hyperlink r:id="rId112" ref="D92"/>
    <hyperlink r:id="rId113" ref="D93"/>
    <hyperlink r:id="rId114" ref="J93"/>
    <hyperlink r:id="rId115" ref="D94"/>
    <hyperlink r:id="rId116" ref="D95"/>
    <hyperlink r:id="rId117" ref="D96"/>
    <hyperlink r:id="rId118" ref="D97"/>
    <hyperlink r:id="rId119" ref="D98"/>
    <hyperlink r:id="rId120" ref="D99"/>
    <hyperlink r:id="rId121" ref="D100"/>
    <hyperlink r:id="rId122" ref="D101"/>
    <hyperlink r:id="rId123" ref="J101"/>
    <hyperlink r:id="rId124" ref="D102"/>
    <hyperlink r:id="rId125" ref="D103"/>
    <hyperlink r:id="rId126" ref="J103"/>
    <hyperlink r:id="rId127" ref="D104"/>
    <hyperlink r:id="rId128" ref="J104"/>
    <hyperlink r:id="rId129" ref="D105"/>
    <hyperlink r:id="rId130" ref="D106"/>
    <hyperlink r:id="rId131" ref="J106"/>
    <hyperlink r:id="rId132" ref="D107"/>
    <hyperlink r:id="rId133" ref="J107"/>
    <hyperlink r:id="rId134" ref="D108"/>
    <hyperlink r:id="rId135" ref="D109"/>
    <hyperlink r:id="rId136" ref="J109"/>
    <hyperlink r:id="rId137" ref="D110"/>
    <hyperlink r:id="rId138" ref="D111"/>
    <hyperlink r:id="rId139" ref="D112"/>
    <hyperlink r:id="rId140" ref="D113"/>
    <hyperlink r:id="rId141" ref="D114"/>
    <hyperlink r:id="rId142" ref="D115"/>
    <hyperlink r:id="rId143" ref="D116"/>
    <hyperlink r:id="rId144" ref="D117"/>
    <hyperlink r:id="rId145" ref="D118"/>
    <hyperlink r:id="rId146" ref="D119"/>
    <hyperlink r:id="rId147" ref="D120"/>
    <hyperlink r:id="rId148" ref="D121"/>
    <hyperlink r:id="rId149" ref="D122"/>
    <hyperlink r:id="rId150" ref="D123"/>
    <hyperlink r:id="rId151" ref="D124"/>
    <hyperlink r:id="rId152" ref="D125"/>
    <hyperlink r:id="rId153" ref="D126"/>
    <hyperlink r:id="rId154" ref="D127"/>
    <hyperlink r:id="rId155" ref="J127"/>
    <hyperlink r:id="rId156" ref="D128"/>
    <hyperlink r:id="rId157" ref="D129"/>
    <hyperlink r:id="rId158" ref="D130"/>
    <hyperlink r:id="rId159" ref="D131"/>
    <hyperlink r:id="rId160" ref="D132"/>
    <hyperlink r:id="rId161" ref="D133"/>
    <hyperlink r:id="rId162" ref="J133"/>
    <hyperlink r:id="rId163" ref="D134"/>
    <hyperlink r:id="rId164" ref="D135"/>
    <hyperlink r:id="rId165" ref="D136"/>
    <hyperlink r:id="rId166" ref="J136"/>
    <hyperlink r:id="rId167" ref="D137"/>
    <hyperlink r:id="rId168" ref="D138"/>
    <hyperlink r:id="rId169" ref="J138"/>
    <hyperlink r:id="rId170" ref="D139"/>
    <hyperlink r:id="rId171" ref="D140"/>
    <hyperlink r:id="rId172" ref="D141"/>
    <hyperlink r:id="rId173" ref="D142"/>
    <hyperlink r:id="rId174" ref="J142"/>
    <hyperlink r:id="rId175" ref="D143"/>
    <hyperlink r:id="rId176" ref="D144"/>
    <hyperlink r:id="rId177" ref="D145"/>
    <hyperlink r:id="rId178" ref="D146"/>
    <hyperlink r:id="rId179" ref="D147"/>
    <hyperlink r:id="rId180" ref="J147"/>
    <hyperlink r:id="rId181" ref="D148"/>
    <hyperlink r:id="rId182" ref="J148"/>
    <hyperlink r:id="rId183" ref="D149"/>
    <hyperlink r:id="rId184" ref="D150"/>
    <hyperlink r:id="rId185" ref="D151"/>
    <hyperlink r:id="rId186" ref="D152"/>
    <hyperlink r:id="rId187" ref="D153"/>
    <hyperlink r:id="rId188" ref="J153"/>
    <hyperlink r:id="rId189" ref="D154"/>
    <hyperlink r:id="rId190" ref="J154"/>
    <hyperlink r:id="rId191" ref="D155"/>
    <hyperlink r:id="rId192" ref="D156"/>
    <hyperlink r:id="rId193" ref="J156"/>
    <hyperlink r:id="rId194" ref="D157"/>
    <hyperlink r:id="rId195" ref="D158"/>
    <hyperlink r:id="rId196" ref="D159"/>
    <hyperlink r:id="rId197" ref="J159"/>
    <hyperlink r:id="rId198" ref="D160"/>
    <hyperlink r:id="rId199" ref="D161"/>
    <hyperlink r:id="rId200" ref="D162"/>
    <hyperlink r:id="rId201" ref="D163"/>
    <hyperlink r:id="rId202" ref="J163"/>
    <hyperlink r:id="rId203" ref="D164"/>
    <hyperlink r:id="rId204" ref="D165"/>
    <hyperlink r:id="rId205" ref="D166"/>
    <hyperlink r:id="rId206" ref="D167"/>
    <hyperlink r:id="rId207" ref="D168"/>
    <hyperlink r:id="rId208" ref="D169"/>
    <hyperlink r:id="rId209" ref="D170"/>
    <hyperlink r:id="rId210" ref="D171"/>
    <hyperlink r:id="rId211" ref="J171"/>
    <hyperlink r:id="rId212" ref="D172"/>
    <hyperlink r:id="rId213" ref="D173"/>
    <hyperlink r:id="rId214" ref="J173"/>
    <hyperlink r:id="rId215" ref="D174"/>
    <hyperlink r:id="rId216" ref="J174"/>
    <hyperlink r:id="rId217" ref="D175"/>
    <hyperlink r:id="rId218" ref="J175"/>
    <hyperlink r:id="rId219" ref="D176"/>
    <hyperlink r:id="rId220" ref="D177"/>
    <hyperlink r:id="rId221" ref="D178"/>
    <hyperlink r:id="rId222" ref="D179"/>
    <hyperlink r:id="rId223" ref="D180"/>
    <hyperlink r:id="rId224" ref="D181"/>
    <hyperlink r:id="rId225" ref="D182"/>
    <hyperlink r:id="rId226" ref="D183"/>
    <hyperlink r:id="rId227" ref="J183"/>
    <hyperlink r:id="rId228" ref="D184"/>
    <hyperlink r:id="rId229" ref="D185"/>
    <hyperlink r:id="rId230" ref="D186"/>
    <hyperlink r:id="rId231" ref="D187"/>
    <hyperlink r:id="rId232" ref="J187"/>
    <hyperlink r:id="rId233" ref="D188"/>
    <hyperlink r:id="rId234" ref="D189"/>
    <hyperlink r:id="rId235" ref="D190"/>
    <hyperlink r:id="rId236" ref="D191"/>
    <hyperlink r:id="rId237" ref="D192"/>
    <hyperlink r:id="rId238" ref="D193"/>
    <hyperlink r:id="rId239" ref="D194"/>
    <hyperlink r:id="rId240" ref="D195"/>
    <hyperlink r:id="rId241" ref="D196"/>
    <hyperlink r:id="rId242" ref="D197"/>
    <hyperlink r:id="rId243" ref="D198"/>
    <hyperlink r:id="rId244" ref="D199"/>
    <hyperlink r:id="rId245" ref="D200"/>
    <hyperlink r:id="rId246" ref="D201"/>
    <hyperlink r:id="rId247" ref="D202"/>
    <hyperlink r:id="rId248" ref="D203"/>
    <hyperlink r:id="rId249" ref="D204"/>
    <hyperlink r:id="rId250" ref="D205"/>
    <hyperlink r:id="rId251" ref="D206"/>
  </hyperlinks>
  <drawing r:id="rId252"/>
  <legacyDrawing r:id="rId25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66.0"/>
    <col customWidth="1" min="2" max="2" width="18.0"/>
    <col customWidth="1" min="3" max="3" width="27.11"/>
    <col customWidth="1" min="4" max="4" width="45.44"/>
    <col customWidth="1" min="5" max="5" width="13.33"/>
    <col customWidth="1" min="8" max="8" width="19.0"/>
    <col customWidth="1" min="9" max="9" width="23.22"/>
  </cols>
  <sheetData>
    <row r="1">
      <c r="A1" s="26" t="s">
        <v>2254</v>
      </c>
      <c r="B1" s="26" t="s">
        <v>2255</v>
      </c>
      <c r="D1" s="249" t="s">
        <v>2256</v>
      </c>
      <c r="E1" s="249" t="s">
        <v>2255</v>
      </c>
    </row>
    <row r="2">
      <c r="A2" s="26" t="s">
        <v>2257</v>
      </c>
      <c r="B2" s="26" t="s">
        <v>2258</v>
      </c>
      <c r="D2" s="26" t="s">
        <v>2259</v>
      </c>
      <c r="E2" s="26" t="s">
        <v>2260</v>
      </c>
    </row>
    <row r="3">
      <c r="A3" s="26" t="s">
        <v>2261</v>
      </c>
      <c r="B3" s="26" t="s">
        <v>2262</v>
      </c>
      <c r="D3" s="26" t="s">
        <v>2263</v>
      </c>
      <c r="E3" s="26" t="s">
        <v>2264</v>
      </c>
    </row>
    <row r="4">
      <c r="A4" s="26" t="s">
        <v>2265</v>
      </c>
      <c r="B4" s="26" t="s">
        <v>2266</v>
      </c>
      <c r="D4" s="26" t="s">
        <v>2267</v>
      </c>
      <c r="E4" s="26" t="s">
        <v>2268</v>
      </c>
    </row>
    <row r="5">
      <c r="A5" s="26" t="s">
        <v>2269</v>
      </c>
      <c r="B5" s="26" t="s">
        <v>2270</v>
      </c>
      <c r="D5" s="26" t="s">
        <v>2271</v>
      </c>
      <c r="E5" s="26" t="s">
        <v>2272</v>
      </c>
    </row>
    <row r="6">
      <c r="A6" s="26" t="s">
        <v>2273</v>
      </c>
      <c r="B6" s="26" t="s">
        <v>2109</v>
      </c>
      <c r="D6" s="26" t="s">
        <v>2274</v>
      </c>
      <c r="E6" s="26" t="s">
        <v>2275</v>
      </c>
    </row>
    <row r="7">
      <c r="A7" s="26" t="s">
        <v>2276</v>
      </c>
      <c r="B7" s="26" t="s">
        <v>2277</v>
      </c>
      <c r="D7" s="26" t="s">
        <v>2278</v>
      </c>
      <c r="E7" s="26" t="s">
        <v>2279</v>
      </c>
    </row>
    <row r="8">
      <c r="A8" s="26" t="s">
        <v>300</v>
      </c>
      <c r="B8" s="26" t="s">
        <v>1417</v>
      </c>
      <c r="D8" s="26" t="s">
        <v>2280</v>
      </c>
      <c r="E8" s="26" t="s">
        <v>2281</v>
      </c>
    </row>
    <row r="9">
      <c r="A9" s="26" t="s">
        <v>2282</v>
      </c>
      <c r="B9" s="26" t="s">
        <v>2283</v>
      </c>
      <c r="D9" s="26" t="s">
        <v>2284</v>
      </c>
      <c r="E9" s="26" t="s">
        <v>2285</v>
      </c>
    </row>
    <row r="10">
      <c r="A10" s="26" t="s">
        <v>2286</v>
      </c>
      <c r="B10" s="26" t="s">
        <v>2287</v>
      </c>
      <c r="D10" s="26" t="s">
        <v>2288</v>
      </c>
      <c r="E10" s="26" t="s">
        <v>2289</v>
      </c>
    </row>
    <row r="11">
      <c r="A11" s="26" t="s">
        <v>2290</v>
      </c>
      <c r="B11" s="26" t="s">
        <v>2291</v>
      </c>
      <c r="D11" s="26" t="s">
        <v>2292</v>
      </c>
      <c r="E11" s="26" t="s">
        <v>2293</v>
      </c>
    </row>
    <row r="12">
      <c r="A12" s="26" t="s">
        <v>2294</v>
      </c>
      <c r="B12" s="26" t="s">
        <v>2295</v>
      </c>
    </row>
    <row r="13">
      <c r="A13" s="26" t="s">
        <v>2296</v>
      </c>
      <c r="B13" s="26" t="s">
        <v>2297</v>
      </c>
      <c r="D13" s="249" t="s">
        <v>2298</v>
      </c>
      <c r="E13" s="249" t="s">
        <v>2255</v>
      </c>
    </row>
    <row r="14">
      <c r="A14" s="26" t="s">
        <v>2299</v>
      </c>
      <c r="B14" s="26" t="s">
        <v>2300</v>
      </c>
      <c r="D14" s="26" t="s">
        <v>2301</v>
      </c>
      <c r="E14" s="26" t="s">
        <v>2302</v>
      </c>
    </row>
    <row r="15">
      <c r="A15" s="26" t="s">
        <v>2303</v>
      </c>
      <c r="B15" s="26" t="s">
        <v>2304</v>
      </c>
      <c r="D15" s="26" t="s">
        <v>2260</v>
      </c>
      <c r="E15" s="26" t="s">
        <v>2259</v>
      </c>
    </row>
    <row r="16">
      <c r="A16" s="26" t="s">
        <v>2305</v>
      </c>
      <c r="B16" s="26" t="s">
        <v>2306</v>
      </c>
      <c r="D16" s="26" t="s">
        <v>2307</v>
      </c>
      <c r="E16" s="26" t="s">
        <v>2308</v>
      </c>
    </row>
    <row r="17">
      <c r="A17" s="26" t="s">
        <v>2309</v>
      </c>
      <c r="B17" s="26" t="s">
        <v>2310</v>
      </c>
      <c r="D17" s="26" t="s">
        <v>2311</v>
      </c>
      <c r="E17" s="26" t="s">
        <v>2312</v>
      </c>
    </row>
    <row r="18">
      <c r="A18" s="26" t="s">
        <v>2313</v>
      </c>
      <c r="B18" s="26" t="s">
        <v>2314</v>
      </c>
      <c r="D18" s="26" t="s">
        <v>2315</v>
      </c>
      <c r="E18" s="26" t="s">
        <v>2316</v>
      </c>
    </row>
    <row r="19">
      <c r="A19" s="26" t="s">
        <v>2317</v>
      </c>
      <c r="B19" s="26" t="s">
        <v>2318</v>
      </c>
      <c r="D19" s="249"/>
      <c r="E19" s="249"/>
    </row>
    <row r="20">
      <c r="A20" s="26" t="s">
        <v>2319</v>
      </c>
      <c r="B20" s="26" t="s">
        <v>2320</v>
      </c>
    </row>
    <row r="21">
      <c r="A21" s="26" t="s">
        <v>2321</v>
      </c>
      <c r="B21" s="26" t="s">
        <v>2322</v>
      </c>
      <c r="D21" s="79"/>
      <c r="E21" s="79"/>
    </row>
    <row r="22">
      <c r="A22" s="26" t="s">
        <v>2323</v>
      </c>
      <c r="B22" s="26" t="s">
        <v>2324</v>
      </c>
      <c r="D22" s="250" t="s">
        <v>2325</v>
      </c>
      <c r="E22" s="250" t="s">
        <v>2255</v>
      </c>
    </row>
    <row r="23">
      <c r="A23" s="26" t="s">
        <v>2326</v>
      </c>
      <c r="B23" s="26" t="s">
        <v>2327</v>
      </c>
      <c r="D23" s="79" t="s">
        <v>2328</v>
      </c>
      <c r="E23" s="79" t="s">
        <v>2329</v>
      </c>
    </row>
    <row r="24">
      <c r="A24" s="26" t="s">
        <v>577</v>
      </c>
      <c r="B24" s="26" t="s">
        <v>979</v>
      </c>
      <c r="D24" s="79" t="s">
        <v>2330</v>
      </c>
      <c r="E24" s="79" t="s">
        <v>2331</v>
      </c>
    </row>
    <row r="25">
      <c r="A25" s="26" t="s">
        <v>2332</v>
      </c>
      <c r="B25" s="26" t="s">
        <v>2333</v>
      </c>
      <c r="D25" s="79" t="s">
        <v>2334</v>
      </c>
      <c r="E25" s="79" t="s">
        <v>2335</v>
      </c>
    </row>
    <row r="26">
      <c r="A26" s="26" t="s">
        <v>2336</v>
      </c>
      <c r="B26" s="26" t="s">
        <v>2337</v>
      </c>
      <c r="D26" s="79" t="s">
        <v>2338</v>
      </c>
      <c r="E26" s="79" t="s">
        <v>2339</v>
      </c>
    </row>
    <row r="27">
      <c r="A27" s="26" t="s">
        <v>2340</v>
      </c>
      <c r="B27" s="26" t="s">
        <v>2341</v>
      </c>
      <c r="D27" s="79" t="s">
        <v>2342</v>
      </c>
      <c r="E27" s="79" t="s">
        <v>2343</v>
      </c>
    </row>
    <row r="28">
      <c r="A28" s="26" t="s">
        <v>2344</v>
      </c>
      <c r="B28" s="26" t="s">
        <v>2345</v>
      </c>
      <c r="D28" s="79" t="s">
        <v>2346</v>
      </c>
      <c r="E28" s="79" t="s">
        <v>2347</v>
      </c>
    </row>
    <row r="29">
      <c r="A29" s="26" t="s">
        <v>2348</v>
      </c>
      <c r="B29" s="26" t="s">
        <v>2349</v>
      </c>
      <c r="D29" s="79" t="s">
        <v>2350</v>
      </c>
      <c r="E29" s="79" t="s">
        <v>2351</v>
      </c>
    </row>
    <row r="30">
      <c r="A30" s="26" t="s">
        <v>2352</v>
      </c>
      <c r="B30" s="26" t="s">
        <v>2353</v>
      </c>
      <c r="D30" s="79" t="s">
        <v>2354</v>
      </c>
      <c r="E30" s="79" t="s">
        <v>2355</v>
      </c>
    </row>
    <row r="31">
      <c r="A31" s="26" t="s">
        <v>2356</v>
      </c>
      <c r="B31" s="26" t="s">
        <v>1242</v>
      </c>
    </row>
    <row r="32">
      <c r="A32" s="26" t="s">
        <v>2357</v>
      </c>
      <c r="B32" s="26" t="s">
        <v>2358</v>
      </c>
      <c r="D32" s="249" t="s">
        <v>2359</v>
      </c>
      <c r="E32" s="249" t="s">
        <v>2255</v>
      </c>
    </row>
    <row r="33">
      <c r="A33" s="26" t="s">
        <v>2360</v>
      </c>
      <c r="B33" s="26" t="s">
        <v>2361</v>
      </c>
      <c r="D33" s="26" t="s">
        <v>2259</v>
      </c>
      <c r="E33" s="26" t="s">
        <v>2260</v>
      </c>
    </row>
    <row r="34">
      <c r="A34" s="26" t="s">
        <v>2362</v>
      </c>
      <c r="B34" s="26" t="s">
        <v>2363</v>
      </c>
      <c r="D34" s="26" t="s">
        <v>2263</v>
      </c>
      <c r="E34" s="26" t="s">
        <v>2264</v>
      </c>
    </row>
    <row r="35">
      <c r="A35" s="26" t="s">
        <v>2364</v>
      </c>
      <c r="B35" s="26" t="s">
        <v>2365</v>
      </c>
      <c r="D35" s="26" t="s">
        <v>2302</v>
      </c>
      <c r="E35" s="26" t="s">
        <v>2301</v>
      </c>
    </row>
    <row r="36">
      <c r="A36" s="26" t="s">
        <v>2366</v>
      </c>
      <c r="B36" s="26" t="s">
        <v>2367</v>
      </c>
      <c r="D36" s="26" t="s">
        <v>2368</v>
      </c>
      <c r="E36" s="26" t="s">
        <v>2369</v>
      </c>
    </row>
    <row r="37">
      <c r="A37" s="26" t="s">
        <v>2370</v>
      </c>
      <c r="B37" s="26" t="s">
        <v>2295</v>
      </c>
      <c r="D37" s="26" t="s">
        <v>2371</v>
      </c>
      <c r="E37" s="26" t="s">
        <v>2372</v>
      </c>
    </row>
    <row r="38">
      <c r="A38" s="26" t="s">
        <v>2373</v>
      </c>
      <c r="B38" s="26" t="s">
        <v>2295</v>
      </c>
      <c r="D38" s="26" t="s">
        <v>2374</v>
      </c>
      <c r="E38" s="26" t="s">
        <v>2375</v>
      </c>
    </row>
    <row r="39">
      <c r="A39" s="26" t="s">
        <v>2376</v>
      </c>
      <c r="B39" s="26" t="s">
        <v>2295</v>
      </c>
      <c r="D39" s="26" t="s">
        <v>2377</v>
      </c>
      <c r="E39" s="26" t="s">
        <v>2378</v>
      </c>
    </row>
    <row r="40">
      <c r="A40" s="26" t="s">
        <v>2379</v>
      </c>
      <c r="B40" s="26" t="s">
        <v>2295</v>
      </c>
      <c r="D40" s="26" t="s">
        <v>2380</v>
      </c>
      <c r="E40" s="26" t="s">
        <v>2381</v>
      </c>
    </row>
    <row r="41">
      <c r="A41" s="26" t="s">
        <v>2269</v>
      </c>
      <c r="B41" s="26" t="s">
        <v>2216</v>
      </c>
      <c r="D41" s="26" t="s">
        <v>2382</v>
      </c>
      <c r="E41" s="26" t="s">
        <v>2383</v>
      </c>
    </row>
    <row r="42">
      <c r="A42" s="26" t="s">
        <v>2384</v>
      </c>
      <c r="B42" s="26" t="s">
        <v>2385</v>
      </c>
      <c r="D42" s="26" t="s">
        <v>2386</v>
      </c>
      <c r="E42" s="26" t="s">
        <v>2387</v>
      </c>
    </row>
    <row r="43">
      <c r="A43" s="251" t="s">
        <v>2388</v>
      </c>
      <c r="B43" s="26" t="s">
        <v>2389</v>
      </c>
      <c r="D43" s="26" t="s">
        <v>2390</v>
      </c>
      <c r="E43" s="26" t="s">
        <v>2391</v>
      </c>
    </row>
    <row r="44">
      <c r="A44" s="26" t="s">
        <v>2392</v>
      </c>
      <c r="B44" s="26" t="s">
        <v>1041</v>
      </c>
    </row>
    <row r="45">
      <c r="A45" s="26" t="s">
        <v>2393</v>
      </c>
      <c r="B45" s="26" t="s">
        <v>2394</v>
      </c>
    </row>
    <row r="46">
      <c r="A46" s="26" t="s">
        <v>2395</v>
      </c>
      <c r="B46" s="26" t="s">
        <v>2396</v>
      </c>
    </row>
    <row r="47">
      <c r="A47" s="26" t="s">
        <v>2397</v>
      </c>
      <c r="B47" s="26" t="s">
        <v>1393</v>
      </c>
      <c r="D47" s="252"/>
    </row>
    <row r="48">
      <c r="A48" s="26" t="s">
        <v>2398</v>
      </c>
      <c r="B48" s="26" t="s">
        <v>2399</v>
      </c>
      <c r="D48" s="252"/>
    </row>
    <row r="49">
      <c r="A49" s="26" t="s">
        <v>2400</v>
      </c>
      <c r="B49" s="26" t="s">
        <v>2401</v>
      </c>
      <c r="D49" s="252"/>
    </row>
    <row r="50">
      <c r="A50" s="26" t="s">
        <v>2402</v>
      </c>
      <c r="B50" s="26" t="s">
        <v>1348</v>
      </c>
      <c r="D50" s="252"/>
    </row>
    <row r="51">
      <c r="A51" s="26" t="s">
        <v>2403</v>
      </c>
      <c r="B51" s="26" t="s">
        <v>2404</v>
      </c>
      <c r="D51" s="252"/>
    </row>
    <row r="52">
      <c r="D52" s="252"/>
    </row>
    <row r="53">
      <c r="A53" s="26" t="s">
        <v>2405</v>
      </c>
      <c r="B53" s="26" t="s">
        <v>2304</v>
      </c>
      <c r="D53" s="252"/>
    </row>
    <row r="54">
      <c r="A54" s="26" t="s">
        <v>2406</v>
      </c>
      <c r="B54" s="26" t="s">
        <v>2320</v>
      </c>
    </row>
    <row r="55">
      <c r="A55" s="26" t="s">
        <v>2407</v>
      </c>
      <c r="B55" s="26" t="s">
        <v>2408</v>
      </c>
      <c r="D55" s="252"/>
    </row>
    <row r="56">
      <c r="A56" s="26" t="s">
        <v>2409</v>
      </c>
      <c r="B56" s="26" t="s">
        <v>2310</v>
      </c>
    </row>
    <row r="57">
      <c r="A57" s="26" t="s">
        <v>2410</v>
      </c>
      <c r="B57" s="26" t="s">
        <v>2411</v>
      </c>
      <c r="D57" s="252"/>
    </row>
    <row r="58">
      <c r="A58" s="26" t="s">
        <v>2316</v>
      </c>
      <c r="B58" s="26" t="s">
        <v>2315</v>
      </c>
      <c r="D58" s="252"/>
    </row>
    <row r="59">
      <c r="A59" s="26" t="s">
        <v>2259</v>
      </c>
      <c r="B59" s="26" t="s">
        <v>2260</v>
      </c>
      <c r="D59" s="252"/>
    </row>
    <row r="60">
      <c r="A60" s="26" t="s">
        <v>2377</v>
      </c>
      <c r="B60" s="26" t="s">
        <v>2378</v>
      </c>
      <c r="D60" s="252"/>
    </row>
    <row r="61">
      <c r="A61" s="26" t="s">
        <v>2412</v>
      </c>
      <c r="B61" s="26" t="s">
        <v>2413</v>
      </c>
      <c r="D61" s="252"/>
    </row>
    <row r="62">
      <c r="A62" s="26" t="s">
        <v>2414</v>
      </c>
      <c r="B62" s="26" t="s">
        <v>2415</v>
      </c>
      <c r="D62" s="252"/>
    </row>
    <row r="63">
      <c r="A63" s="26" t="s">
        <v>2416</v>
      </c>
      <c r="B63" s="26" t="s">
        <v>2417</v>
      </c>
      <c r="D63" s="252"/>
    </row>
    <row r="64">
      <c r="A64" s="26" t="s">
        <v>2418</v>
      </c>
      <c r="B64" s="26" t="s">
        <v>2419</v>
      </c>
      <c r="D64" s="252"/>
    </row>
    <row r="65">
      <c r="A65" s="26" t="s">
        <v>2420</v>
      </c>
      <c r="B65" s="26" t="s">
        <v>2421</v>
      </c>
      <c r="D65" s="252"/>
    </row>
    <row r="66">
      <c r="A66" s="26" t="s">
        <v>2422</v>
      </c>
      <c r="B66" s="26" t="s">
        <v>2423</v>
      </c>
      <c r="D66" s="252"/>
    </row>
    <row r="67">
      <c r="A67" s="26" t="s">
        <v>2424</v>
      </c>
      <c r="B67" s="26" t="s">
        <v>2425</v>
      </c>
      <c r="D67" s="252"/>
    </row>
    <row r="68">
      <c r="A68" s="26" t="s">
        <v>2426</v>
      </c>
      <c r="B68" s="26" t="s">
        <v>2427</v>
      </c>
      <c r="D68" s="252"/>
    </row>
    <row r="69">
      <c r="A69" s="26" t="s">
        <v>2428</v>
      </c>
      <c r="B69" s="26" t="s">
        <v>2429</v>
      </c>
      <c r="D69" s="252"/>
    </row>
    <row r="70">
      <c r="A70" s="26" t="s">
        <v>2430</v>
      </c>
      <c r="B70" s="26" t="s">
        <v>1364</v>
      </c>
      <c r="D70" s="252"/>
    </row>
    <row r="71">
      <c r="A71" s="26" t="s">
        <v>2431</v>
      </c>
      <c r="B71" s="26" t="s">
        <v>2432</v>
      </c>
      <c r="D71" s="252"/>
    </row>
    <row r="72">
      <c r="A72" s="253" t="s">
        <v>2433</v>
      </c>
      <c r="B72" s="26" t="s">
        <v>2434</v>
      </c>
      <c r="D72" s="252"/>
    </row>
    <row r="73">
      <c r="A73" s="253" t="s">
        <v>2435</v>
      </c>
      <c r="B73" s="26" t="s">
        <v>2436</v>
      </c>
      <c r="D73" s="252"/>
    </row>
    <row r="74">
      <c r="A74" s="26" t="s">
        <v>2437</v>
      </c>
      <c r="B74" s="26" t="s">
        <v>2438</v>
      </c>
    </row>
    <row r="75">
      <c r="A75" s="26" t="s">
        <v>923</v>
      </c>
      <c r="B75" s="26" t="s">
        <v>1666</v>
      </c>
    </row>
    <row r="76">
      <c r="A76" s="26" t="s">
        <v>2439</v>
      </c>
      <c r="B76" s="26" t="s">
        <v>2440</v>
      </c>
    </row>
    <row r="77">
      <c r="A77" s="26" t="s">
        <v>2441</v>
      </c>
      <c r="B77" s="26" t="s">
        <v>2442</v>
      </c>
    </row>
    <row r="78">
      <c r="A78" s="26" t="s">
        <v>2443</v>
      </c>
      <c r="B78" s="26" t="s">
        <v>2444</v>
      </c>
    </row>
    <row r="79">
      <c r="A79" s="26" t="s">
        <v>2445</v>
      </c>
      <c r="B79" s="26" t="s">
        <v>2446</v>
      </c>
    </row>
    <row r="80">
      <c r="A80" s="26" t="s">
        <v>2447</v>
      </c>
      <c r="B80" s="26" t="s">
        <v>2448</v>
      </c>
    </row>
    <row r="81">
      <c r="A81" s="26" t="s">
        <v>2449</v>
      </c>
      <c r="B81" s="26" t="s">
        <v>2450</v>
      </c>
    </row>
    <row r="82">
      <c r="A82" s="26" t="s">
        <v>2451</v>
      </c>
      <c r="B82" s="26" t="s">
        <v>2452</v>
      </c>
    </row>
    <row r="83">
      <c r="A83" s="26" t="s">
        <v>2453</v>
      </c>
      <c r="B83" s="26" t="s">
        <v>2454</v>
      </c>
    </row>
    <row r="84">
      <c r="A84" s="26" t="s">
        <v>2455</v>
      </c>
      <c r="B84" s="26" t="s">
        <v>2456</v>
      </c>
    </row>
    <row r="85">
      <c r="A85" s="26" t="s">
        <v>2457</v>
      </c>
      <c r="B85" s="26" t="s">
        <v>2458</v>
      </c>
    </row>
    <row r="86">
      <c r="A86" s="26" t="s">
        <v>2459</v>
      </c>
      <c r="B86" s="26" t="s">
        <v>2460</v>
      </c>
    </row>
    <row r="87">
      <c r="A87" s="26" t="s">
        <v>2461</v>
      </c>
      <c r="B87" s="26" t="s">
        <v>2462</v>
      </c>
    </row>
    <row r="88">
      <c r="A88" s="26" t="s">
        <v>2463</v>
      </c>
      <c r="B88" s="26" t="s">
        <v>2464</v>
      </c>
    </row>
    <row r="89">
      <c r="A89" s="26" t="s">
        <v>2465</v>
      </c>
      <c r="B89" s="26" t="s">
        <v>2466</v>
      </c>
    </row>
    <row r="90">
      <c r="A90" s="238" t="s">
        <v>2467</v>
      </c>
      <c r="B90" s="26" t="s">
        <v>2468</v>
      </c>
    </row>
    <row r="91">
      <c r="A91" s="26" t="s">
        <v>2469</v>
      </c>
      <c r="B91" s="26" t="s">
        <v>2144</v>
      </c>
    </row>
    <row r="92">
      <c r="A92" s="26" t="s">
        <v>2470</v>
      </c>
      <c r="B92" s="26" t="s">
        <v>2471</v>
      </c>
    </row>
    <row r="93">
      <c r="A93" s="26" t="s">
        <v>2472</v>
      </c>
      <c r="B93" s="26" t="s">
        <v>2473</v>
      </c>
    </row>
    <row r="94">
      <c r="A94" s="26" t="s">
        <v>2474</v>
      </c>
      <c r="B94" s="26" t="s">
        <v>2475</v>
      </c>
    </row>
    <row r="95">
      <c r="A95" s="26" t="s">
        <v>2476</v>
      </c>
      <c r="B95" s="26" t="s">
        <v>2477</v>
      </c>
    </row>
    <row r="96">
      <c r="A96" s="26" t="s">
        <v>2478</v>
      </c>
      <c r="B96" s="26" t="s">
        <v>2479</v>
      </c>
    </row>
    <row r="97">
      <c r="A97" s="26" t="s">
        <v>2480</v>
      </c>
      <c r="B97" s="26" t="s">
        <v>2481</v>
      </c>
    </row>
    <row r="98">
      <c r="A98" s="26" t="s">
        <v>2482</v>
      </c>
      <c r="B98" s="26" t="s">
        <v>2483</v>
      </c>
    </row>
    <row r="99">
      <c r="A99" s="26" t="s">
        <v>2484</v>
      </c>
      <c r="B99" s="26" t="s">
        <v>2485</v>
      </c>
    </row>
    <row r="100">
      <c r="A100" s="26" t="s">
        <v>2486</v>
      </c>
      <c r="B100" s="26" t="s">
        <v>2487</v>
      </c>
      <c r="D100" s="252"/>
    </row>
    <row r="101">
      <c r="A101" s="26" t="s">
        <v>2488</v>
      </c>
      <c r="B101" s="26" t="s">
        <v>2489</v>
      </c>
      <c r="D101" s="252"/>
    </row>
    <row r="102">
      <c r="A102" s="26" t="s">
        <v>2490</v>
      </c>
      <c r="B102" s="26" t="s">
        <v>2491</v>
      </c>
      <c r="D102" s="252"/>
    </row>
    <row r="103">
      <c r="A103" s="26" t="s">
        <v>2492</v>
      </c>
      <c r="B103" s="26" t="s">
        <v>2493</v>
      </c>
      <c r="D103" s="252"/>
    </row>
    <row r="104">
      <c r="A104" s="26" t="s">
        <v>2494</v>
      </c>
      <c r="B104" s="26" t="s">
        <v>2495</v>
      </c>
      <c r="D104" s="252"/>
    </row>
    <row r="105">
      <c r="A105" s="26" t="s">
        <v>2496</v>
      </c>
      <c r="B105" s="26" t="s">
        <v>2361</v>
      </c>
    </row>
    <row r="106">
      <c r="A106" s="26" t="s">
        <v>2497</v>
      </c>
      <c r="B106" s="26" t="s">
        <v>1798</v>
      </c>
    </row>
    <row r="107">
      <c r="A107" s="26" t="s">
        <v>2498</v>
      </c>
      <c r="B107" s="26" t="s">
        <v>2499</v>
      </c>
    </row>
    <row r="108">
      <c r="A108" s="26" t="s">
        <v>2500</v>
      </c>
      <c r="B108" s="26" t="s">
        <v>2501</v>
      </c>
    </row>
    <row r="109">
      <c r="A109" s="26" t="s">
        <v>2502</v>
      </c>
      <c r="B109" s="26" t="s">
        <v>2503</v>
      </c>
    </row>
    <row r="110">
      <c r="A110" s="26" t="s">
        <v>2504</v>
      </c>
      <c r="B110" s="26" t="s">
        <v>2505</v>
      </c>
      <c r="D110" s="252"/>
    </row>
    <row r="111">
      <c r="D111" s="252"/>
    </row>
    <row r="112">
      <c r="D112" s="252"/>
    </row>
    <row r="113">
      <c r="D113" s="252"/>
    </row>
    <row r="114">
      <c r="D114" s="252"/>
    </row>
    <row r="115">
      <c r="D115" s="252"/>
    </row>
    <row r="116">
      <c r="D116" s="252"/>
    </row>
    <row r="117">
      <c r="D117" s="252"/>
    </row>
    <row r="118">
      <c r="D118" s="252"/>
    </row>
    <row r="119">
      <c r="D119" s="252"/>
    </row>
    <row r="120">
      <c r="D120" s="252"/>
    </row>
    <row r="121">
      <c r="D121" s="252"/>
    </row>
    <row r="122">
      <c r="D122" s="252"/>
    </row>
    <row r="123">
      <c r="D123" s="252"/>
    </row>
    <row r="125">
      <c r="D125" s="252"/>
    </row>
    <row r="126">
      <c r="D126" s="252"/>
    </row>
    <row r="127">
      <c r="D127" s="252"/>
    </row>
    <row r="128">
      <c r="D128" s="252"/>
    </row>
    <row r="137">
      <c r="D137" s="252"/>
    </row>
    <row r="138">
      <c r="D138" s="252"/>
    </row>
    <row r="139">
      <c r="D139" s="252"/>
    </row>
    <row r="140">
      <c r="D140" s="252"/>
    </row>
    <row r="141">
      <c r="D141" s="252"/>
    </row>
    <row r="142">
      <c r="D142" s="252"/>
    </row>
    <row r="143">
      <c r="D143" s="252"/>
    </row>
    <row r="144">
      <c r="D144" s="252"/>
    </row>
    <row r="146">
      <c r="D146" s="252"/>
    </row>
    <row r="147">
      <c r="D147" s="252"/>
    </row>
    <row r="148">
      <c r="D148" s="252"/>
    </row>
    <row r="150">
      <c r="D150" s="252"/>
    </row>
    <row r="152">
      <c r="D152" s="252"/>
    </row>
    <row r="153">
      <c r="D153" s="252"/>
    </row>
    <row r="154">
      <c r="D154" s="252"/>
    </row>
    <row r="155">
      <c r="D155" s="252"/>
    </row>
    <row r="156">
      <c r="D156" s="252"/>
    </row>
    <row r="157">
      <c r="D157" s="252"/>
    </row>
    <row r="158">
      <c r="D158" s="252"/>
    </row>
    <row r="159">
      <c r="D159" s="252"/>
    </row>
    <row r="160">
      <c r="D160" s="252"/>
    </row>
    <row r="161">
      <c r="D161" s="252"/>
    </row>
    <row r="162">
      <c r="D162" s="252"/>
    </row>
    <row r="163">
      <c r="D163" s="252"/>
    </row>
    <row r="165">
      <c r="D165" s="252"/>
    </row>
    <row r="166">
      <c r="D166" s="252"/>
    </row>
    <row r="167">
      <c r="D167" s="252"/>
    </row>
    <row r="168">
      <c r="D168" s="252"/>
    </row>
    <row r="172">
      <c r="D172" s="252"/>
    </row>
    <row r="173">
      <c r="D173" s="252"/>
    </row>
    <row r="174">
      <c r="D174" s="252"/>
    </row>
    <row r="175">
      <c r="D175" s="252"/>
    </row>
    <row r="176">
      <c r="D176" s="252"/>
    </row>
    <row r="177">
      <c r="D177" s="252"/>
    </row>
    <row r="178">
      <c r="D178" s="252"/>
    </row>
    <row r="180">
      <c r="D180" s="252"/>
    </row>
    <row r="181">
      <c r="D181" s="252"/>
    </row>
    <row r="182">
      <c r="D182" s="252"/>
    </row>
    <row r="183">
      <c r="D183" s="252"/>
    </row>
    <row r="184">
      <c r="D184" s="252"/>
    </row>
    <row r="185">
      <c r="D185" s="252"/>
    </row>
    <row r="186">
      <c r="D186" s="252"/>
    </row>
    <row r="187">
      <c r="D187" s="252"/>
    </row>
    <row r="188">
      <c r="D188" s="252"/>
    </row>
    <row r="189">
      <c r="D189" s="252"/>
    </row>
    <row r="190">
      <c r="D190" s="252"/>
    </row>
    <row r="191">
      <c r="D191" s="252"/>
    </row>
    <row r="192">
      <c r="D192" s="252"/>
    </row>
    <row r="193">
      <c r="D193" s="252"/>
    </row>
    <row r="196">
      <c r="D196" s="252"/>
    </row>
    <row r="197">
      <c r="D197" s="252"/>
    </row>
    <row r="198">
      <c r="D198" s="252"/>
    </row>
    <row r="199">
      <c r="D199" s="252"/>
    </row>
    <row r="200">
      <c r="D200" s="252"/>
    </row>
    <row r="201">
      <c r="D201" s="252"/>
    </row>
    <row r="202">
      <c r="D202" s="252"/>
    </row>
    <row r="203">
      <c r="D203" s="252"/>
    </row>
    <row r="204">
      <c r="D204" s="252"/>
    </row>
    <row r="205">
      <c r="D205" s="252"/>
    </row>
    <row r="206">
      <c r="D206" s="252"/>
    </row>
    <row r="207">
      <c r="D207" s="252"/>
    </row>
    <row r="208">
      <c r="D208" s="252"/>
    </row>
  </sheetData>
  <autoFilter ref="$A$1:$B$110">
    <sortState ref="A1:B110">
      <sortCondition descending="1" ref="B1:B110"/>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34.11"/>
  </cols>
  <sheetData>
    <row r="1">
      <c r="A1" s="254" t="s">
        <v>2506</v>
      </c>
      <c r="B1" s="254" t="s">
        <v>2507</v>
      </c>
      <c r="C1" s="254" t="s">
        <v>2508</v>
      </c>
      <c r="H1" s="254" t="s">
        <v>2506</v>
      </c>
      <c r="I1" s="254" t="s">
        <v>2507</v>
      </c>
      <c r="J1" s="254" t="s">
        <v>2508</v>
      </c>
    </row>
    <row r="2">
      <c r="A2" s="254"/>
      <c r="B2" s="254"/>
      <c r="C2" s="254"/>
      <c r="H2" s="26" t="s">
        <v>2509</v>
      </c>
    </row>
    <row r="3">
      <c r="A3" s="254" t="s">
        <v>2510</v>
      </c>
      <c r="B3" s="254"/>
      <c r="C3" s="254"/>
      <c r="H3" s="26" t="s">
        <v>2511</v>
      </c>
      <c r="J3" s="37">
        <f>COUNTIF('Cleaned Master sheet'!P2:P206, "*scheduling*")</f>
        <v>142</v>
      </c>
    </row>
    <row r="4">
      <c r="A4" s="255" t="s">
        <v>2512</v>
      </c>
      <c r="B4" s="255" t="s">
        <v>2513</v>
      </c>
      <c r="C4" s="255">
        <v>373.0</v>
      </c>
      <c r="H4" s="26" t="s">
        <v>2514</v>
      </c>
      <c r="J4" s="37">
        <f>COUNTIF('Cleaned Master sheet'!P2:P206, "&lt;&gt;*scheduling*")</f>
        <v>63</v>
      </c>
    </row>
    <row r="5">
      <c r="A5" s="255" t="s">
        <v>2515</v>
      </c>
      <c r="B5" s="255" t="s">
        <v>2516</v>
      </c>
      <c r="C5" s="255">
        <v>36.0</v>
      </c>
      <c r="H5" s="26" t="s">
        <v>2517</v>
      </c>
      <c r="J5" s="37">
        <f>(J3)/(J4+J3)*100</f>
        <v>69.26829268</v>
      </c>
    </row>
    <row r="6">
      <c r="A6" s="255" t="s">
        <v>2518</v>
      </c>
      <c r="B6" s="255" t="s">
        <v>2519</v>
      </c>
      <c r="C6" s="255">
        <v>337.0</v>
      </c>
      <c r="H6" s="26" t="s">
        <v>2520</v>
      </c>
      <c r="J6" s="37">
        <f>(J4)/(J3+J4)*100</f>
        <v>30.73170732</v>
      </c>
    </row>
    <row r="7">
      <c r="A7" s="254" t="s">
        <v>2521</v>
      </c>
      <c r="B7" s="254" t="s">
        <v>2522</v>
      </c>
      <c r="C7" s="256">
        <f>COUNTA('Cleaned Master sheet'!C2:C1000)</f>
        <v>205</v>
      </c>
      <c r="H7" s="26" t="s">
        <v>2523</v>
      </c>
    </row>
    <row r="8">
      <c r="A8" s="254" t="s">
        <v>2524</v>
      </c>
      <c r="B8" s="255" t="s">
        <v>2525</v>
      </c>
      <c r="C8" s="256">
        <v>616.0</v>
      </c>
    </row>
    <row r="9">
      <c r="A9" s="254"/>
      <c r="B9" s="254"/>
      <c r="C9" s="254"/>
    </row>
    <row r="10">
      <c r="A10" s="254" t="s">
        <v>2526</v>
      </c>
      <c r="B10" s="254"/>
      <c r="C10" s="254"/>
    </row>
    <row r="11">
      <c r="A11" s="254" t="s">
        <v>2527</v>
      </c>
      <c r="B11" s="255" t="s">
        <v>2528</v>
      </c>
      <c r="C11" s="256">
        <f>COUNTIF('Cleaned Master sheet'!F2:F1000,"L0")</f>
        <v>14</v>
      </c>
    </row>
    <row r="12">
      <c r="A12" s="254" t="s">
        <v>2529</v>
      </c>
      <c r="B12" s="255" t="s">
        <v>2530</v>
      </c>
      <c r="C12" s="256">
        <f>COUNTIF('Cleaned Master sheet'!F2:F1000,"L1")</f>
        <v>13</v>
      </c>
    </row>
    <row r="13">
      <c r="A13" s="254" t="s">
        <v>2531</v>
      </c>
      <c r="B13" s="255" t="s">
        <v>2532</v>
      </c>
      <c r="C13" s="256">
        <f>COUNTIF('Cleaned Master sheet'!F2:F1000,"L2")</f>
        <v>154</v>
      </c>
    </row>
    <row r="14">
      <c r="A14" s="254" t="s">
        <v>2533</v>
      </c>
      <c r="B14" s="255" t="s">
        <v>2534</v>
      </c>
      <c r="C14" s="256">
        <f>COUNTIF('Cleaned Master sheet'!F2:F1000,"L3*")</f>
        <v>24</v>
      </c>
    </row>
    <row r="15">
      <c r="A15" s="254"/>
      <c r="B15" s="254"/>
      <c r="C15" s="254"/>
    </row>
    <row r="16">
      <c r="A16" s="254" t="s">
        <v>2535</v>
      </c>
      <c r="B16" s="254"/>
      <c r="C16" s="254"/>
    </row>
    <row r="17">
      <c r="A17" s="254" t="s">
        <v>2536</v>
      </c>
      <c r="B17" s="254" t="s">
        <v>2537</v>
      </c>
      <c r="C17" s="256">
        <f>COUNTIF('Cleaned Master sheet'!O2:O1000,"Not specified")+COUNTIF('Cleaned Master sheet'!O2:O1000,"None")</f>
        <v>124</v>
      </c>
    </row>
    <row r="18">
      <c r="A18" s="254" t="s">
        <v>2538</v>
      </c>
      <c r="B18" s="254" t="s">
        <v>2539</v>
      </c>
      <c r="C18" s="256">
        <f>COUNTA('Cleaned Master sheet'!C2:C1000)-COUNTIF('Cleaned Master sheet'!O2:O1000,"Not specified")-COUNTIF('Cleaned Master sheet'!O2:O1000,"None")</f>
        <v>81</v>
      </c>
    </row>
    <row r="19">
      <c r="A19" s="254" t="s">
        <v>2540</v>
      </c>
      <c r="B19" s="254" t="s">
        <v>2541</v>
      </c>
      <c r="C19" s="256">
        <f>COUNTIF('Cleaned Master sheet'!O2:O1000,"Electronics")+COUNTIF('Cleaned Master sheet'!O2:O1000,"Semiconductor")</f>
        <v>20</v>
      </c>
    </row>
    <row r="20">
      <c r="A20" s="254" t="s">
        <v>2542</v>
      </c>
      <c r="B20" s="254" t="s">
        <v>980</v>
      </c>
      <c r="C20" s="256">
        <f>COUNTIF('Cleaned Master sheet'!O2:O1000,"Metal*")</f>
        <v>12</v>
      </c>
    </row>
    <row r="21">
      <c r="A21" s="254" t="s">
        <v>2543</v>
      </c>
      <c r="B21" s="254" t="s">
        <v>1003</v>
      </c>
      <c r="C21" s="256">
        <f>COUNTIF('Cleaned Master sheet'!O2:O1000,"Automotive")</f>
        <v>13</v>
      </c>
    </row>
    <row r="22">
      <c r="A22" s="254" t="s">
        <v>2544</v>
      </c>
      <c r="B22" s="254" t="s">
        <v>2545</v>
      </c>
      <c r="C22" s="256">
        <f>COUNTIF('Cleaned Master sheet'!O2:O1000,"Chemical")+COUNTIF('Cleaned Master sheet'!O2:O1000,"Food")+COUNTIF('Cleaned Master sheet'!O2:O1000,"Pharmaceutical")+COUNTIF('Cleaned Master sheet'!O2:O1000,"Food packaging")+COUNTIF('Cleaned Master sheet'!O2:O1000,"Paint")+COUNTIF('Cleaned Master sheet'!O2:O1000,"Ceramic tile")+COUNTIF('Cleaned Master sheet'!O2:O1000,"Oil and gas")</f>
        <v>11</v>
      </c>
    </row>
    <row r="23">
      <c r="A23" s="254" t="s">
        <v>2546</v>
      </c>
      <c r="B23" s="254" t="s">
        <v>2547</v>
      </c>
      <c r="C23" s="256">
        <f>COUNTIF('Cleaned Master sheet'!O2:O1000,"Pump manufacturing")+COUNTIF('Cleaned Master sheet'!O2:O1000,"Pneumatic components")+COUNTIF('Cleaned Master sheet'!O2:O1000,"Marine engine")+COUNTIF('Cleaned Master sheet'!O2:O1000,"Power equipment")+COUNTIF('Cleaned Master sheet'!O2:O1000,"Home appliances")+COUNTIF('Cleaned Master sheet'!O2:O1000,"Air conditioner")+COUNTIF('Cleaned Master sheet'!O2:O1000,"Cylinder production")+COUNTIF('Cleaned Master sheet'!O2:O1000,"Furniture")+COUNTIF('Cleaned Master sheet'!O2:O1000,"Bicycles")</f>
        <v>11</v>
      </c>
    </row>
    <row r="24">
      <c r="A24" s="254" t="s">
        <v>2548</v>
      </c>
      <c r="B24" s="254" t="s">
        <v>1354</v>
      </c>
      <c r="C24" s="256">
        <f>COUNTIF('Cleaned Master sheet'!O2:O1000,"Aerospace")</f>
        <v>7</v>
      </c>
    </row>
    <row r="25">
      <c r="A25" s="254"/>
      <c r="B25" s="254"/>
      <c r="C25" s="254"/>
    </row>
    <row r="26">
      <c r="A26" s="254" t="s">
        <v>2549</v>
      </c>
      <c r="B26" s="254"/>
      <c r="C26" s="254"/>
    </row>
    <row r="27">
      <c r="A27" s="254" t="s">
        <v>2550</v>
      </c>
      <c r="B27" s="254" t="s">
        <v>972</v>
      </c>
      <c r="C27" s="256">
        <f>COUNTIF('Cleaned Master sheet'!P2:P1000,"scheduling")</f>
        <v>142</v>
      </c>
    </row>
    <row r="28">
      <c r="A28" s="254" t="s">
        <v>2551</v>
      </c>
      <c r="B28" s="254" t="s">
        <v>2552</v>
      </c>
      <c r="C28" s="256">
        <f>COUNTIF('Cleaned Master sheet'!P2:P1000,"Logistics")+COUNTIF('Cleaned Master sheet'!P2:P1000,"Supply chain")+COUNTIF('Cleaned Master sheet'!P2:P1000,"Safe materials transportation")+COUNTIF('Cleaned Master sheet'!P2:P1000,"Material flow control")</f>
        <v>11</v>
      </c>
    </row>
    <row r="29">
      <c r="A29" s="254" t="s">
        <v>2553</v>
      </c>
      <c r="B29" s="254" t="s">
        <v>1021</v>
      </c>
      <c r="C29" s="256">
        <f>COUNTIF('Cleaned Master sheet'!P2:P1000,"Plant layout")+COUNTIF('Cleaned Master sheet'!P2:P1000,"Reconfigur*")+COUNTIF('Cleaned Master sheet'!P2:P1000,"Combined design*")</f>
        <v>12</v>
      </c>
    </row>
    <row r="30">
      <c r="A30" s="254" t="s">
        <v>2554</v>
      </c>
      <c r="B30" s="254" t="s">
        <v>982</v>
      </c>
      <c r="C30" s="256">
        <f>COUNTIF('Cleaned Master sheet'!P2:P1000,"Demand forecasting")+COUNTIF('Cleaned Master sheet'!P2:P1000,"Lead time prediction")+COUNTIF('Cleaned Master sheet'!P2:P1000,"Bottleneck prediction")+COUNTIF('Cleaned Master sheet'!P2:P1000,"Customization level prediction")</f>
        <v>9</v>
      </c>
    </row>
    <row r="31">
      <c r="A31" s="254" t="s">
        <v>2555</v>
      </c>
      <c r="B31" s="254" t="s">
        <v>1081</v>
      </c>
      <c r="C31" s="256">
        <f>COUNTIF('Cleaned Master sheet'!P2:P1000,"Data collection*")+COUNTIF('Cleaned Master sheet'!P2:P1000,"Simulation*")+COUNTIF('Cleaned Master sheet'!P2:P1000,"3D simulation")+COUNTIF('Cleaned Master sheet'!P2:P1000,"Dashboard*")</f>
        <v>9</v>
      </c>
    </row>
    <row r="32">
      <c r="A32" s="254" t="s">
        <v>2556</v>
      </c>
      <c r="B32" s="254" t="s">
        <v>2557</v>
      </c>
      <c r="C32" s="256">
        <f>COUNTIF('Cleaned Master sheet'!P2:P1000,"Predictive maintenance")+COUNTIF('Cleaned Master sheet'!P2:P1000,"Product quality")+COUNTIF('Cleaned Master sheet'!P2:P1000,"Fault detection")+COUNTIF('Cleaned Master sheet'!P2:P1000,"Process monitoring")+COUNTIF('Cleaned Master sheet'!P2:P1000,"Defect*")</f>
        <v>6</v>
      </c>
    </row>
    <row r="33">
      <c r="A33" s="254" t="s">
        <v>2558</v>
      </c>
      <c r="B33" s="254" t="s">
        <v>1728</v>
      </c>
      <c r="C33" s="256">
        <f>COUNTIF('Cleaned Master sheet'!P2:P1000,"Human-robot*")</f>
        <v>6</v>
      </c>
    </row>
    <row r="34">
      <c r="A34" s="254"/>
      <c r="B34" s="254"/>
      <c r="C34" s="254"/>
    </row>
    <row r="35">
      <c r="A35" s="254" t="s">
        <v>2559</v>
      </c>
      <c r="B35" s="254"/>
      <c r="C35" s="254"/>
    </row>
    <row r="36">
      <c r="A36" s="254" t="s">
        <v>2560</v>
      </c>
      <c r="B36" s="254" t="s">
        <v>2561</v>
      </c>
      <c r="C36" s="256">
        <f>COUNTIF('Cleaned Master sheet'!N2:N1000,2020)+COUNTIF('Cleaned Master sheet'!N2:N1000,2019)+COUNTIF('Cleaned Master sheet'!N2:N1000,2018)+COUNTIF('Cleaned Master sheet'!N2:N1000,2016)</f>
        <v>19</v>
      </c>
    </row>
    <row r="37">
      <c r="A37" s="254" t="s">
        <v>2562</v>
      </c>
      <c r="B37" s="254" t="s">
        <v>2563</v>
      </c>
      <c r="C37" s="256">
        <f>COUNTIF('Cleaned Master sheet'!N2:N1000,"2021")</f>
        <v>12</v>
      </c>
    </row>
    <row r="38">
      <c r="A38" s="254" t="s">
        <v>2564</v>
      </c>
      <c r="B38" s="254" t="s">
        <v>2565</v>
      </c>
      <c r="C38" s="256">
        <f>COUNTIF('Cleaned Master sheet'!N2:N1000,"2022")</f>
        <v>26</v>
      </c>
    </row>
    <row r="39">
      <c r="A39" s="254" t="s">
        <v>2566</v>
      </c>
      <c r="B39" s="254" t="s">
        <v>2567</v>
      </c>
      <c r="C39" s="256">
        <f>COUNTIF('Cleaned Master sheet'!N2:N1000,"2023")</f>
        <v>19</v>
      </c>
    </row>
    <row r="40">
      <c r="A40" s="254" t="s">
        <v>2568</v>
      </c>
      <c r="B40" s="254" t="s">
        <v>2569</v>
      </c>
      <c r="C40" s="256">
        <f>COUNTIF('Cleaned Master sheet'!N2:N1000,"2024")</f>
        <v>45</v>
      </c>
    </row>
    <row r="41">
      <c r="A41" s="254" t="s">
        <v>2570</v>
      </c>
      <c r="B41" s="254" t="s">
        <v>2571</v>
      </c>
      <c r="C41" s="256">
        <f>COUNTIF('Cleaned Master sheet'!N2:N1000,"2025")</f>
        <v>81</v>
      </c>
    </row>
    <row r="42">
      <c r="A42" s="254" t="s">
        <v>2572</v>
      </c>
      <c r="B42" s="254" t="s">
        <v>2573</v>
      </c>
      <c r="C42" s="256">
        <f>COUNTIF('Cleaned Master sheet'!N2:N1000,"2026")</f>
        <v>3</v>
      </c>
    </row>
    <row r="43">
      <c r="A43" s="254"/>
      <c r="B43" s="254"/>
      <c r="C43" s="254"/>
    </row>
    <row r="44">
      <c r="A44" s="254" t="s">
        <v>2574</v>
      </c>
      <c r="B44" s="254"/>
      <c r="C44" s="254"/>
    </row>
    <row r="45">
      <c r="A45" s="254" t="s">
        <v>2575</v>
      </c>
      <c r="B45" s="254" t="s">
        <v>1027</v>
      </c>
      <c r="C45" s="256">
        <f>COUNTIF('Cleaned Master sheet'!M2:M1000,"China")</f>
        <v>111</v>
      </c>
    </row>
    <row r="46">
      <c r="A46" s="254" t="s">
        <v>2576</v>
      </c>
      <c r="B46" s="254" t="s">
        <v>1019</v>
      </c>
      <c r="C46" s="256">
        <f>COUNTIF('Cleaned Master sheet'!M2:M1000,"Germany")</f>
        <v>14</v>
      </c>
    </row>
    <row r="47">
      <c r="A47" s="254"/>
      <c r="B47" s="254"/>
      <c r="C47" s="254"/>
    </row>
    <row r="48">
      <c r="A48" s="254" t="s">
        <v>2577</v>
      </c>
      <c r="B48" s="254"/>
      <c r="C48" s="254"/>
    </row>
    <row r="49">
      <c r="A49" s="254" t="s">
        <v>2578</v>
      </c>
      <c r="B49" s="254" t="s">
        <v>998</v>
      </c>
      <c r="C49" s="256">
        <f>COUNTIF('Cleaned Master sheet'!I2:I1000,"simulation")</f>
        <v>129</v>
      </c>
    </row>
    <row r="50">
      <c r="A50" s="254" t="s">
        <v>2579</v>
      </c>
      <c r="B50" s="254" t="s">
        <v>2580</v>
      </c>
      <c r="C50" s="256">
        <f>COUNTIF('Cleaned Master sheet'!I2:I1000,"static evaluation")</f>
        <v>53</v>
      </c>
    </row>
    <row r="51">
      <c r="A51" s="254" t="s">
        <v>2581</v>
      </c>
      <c r="B51" s="254" t="s">
        <v>2582</v>
      </c>
      <c r="C51" s="256">
        <f>COUNTIF('Cleaned Master sheet'!I2:I1000,"lab case study")</f>
        <v>16</v>
      </c>
    </row>
    <row r="52">
      <c r="A52" s="254" t="s">
        <v>2583</v>
      </c>
      <c r="B52" s="254" t="s">
        <v>2584</v>
      </c>
      <c r="C52" s="256">
        <f>COUNTIF('Cleaned Master sheet'!I2:I1000,"industrial*")</f>
        <v>5</v>
      </c>
    </row>
    <row r="53">
      <c r="A53" s="254" t="s">
        <v>2585</v>
      </c>
      <c r="B53" s="254" t="s">
        <v>1665</v>
      </c>
      <c r="C53" s="256">
        <f>COUNTIF('Cleaned Master sheet'!I2:I1000,"Other")</f>
        <v>2</v>
      </c>
    </row>
    <row r="54">
      <c r="A54" s="254"/>
      <c r="B54" s="254"/>
      <c r="C54" s="254"/>
    </row>
    <row r="55">
      <c r="A55" s="254" t="s">
        <v>2586</v>
      </c>
      <c r="B55" s="254"/>
      <c r="C55" s="254"/>
    </row>
    <row r="56">
      <c r="A56" s="254" t="s">
        <v>2587</v>
      </c>
      <c r="B56" s="254" t="s">
        <v>2588</v>
      </c>
      <c r="C56" s="256">
        <f>COUNTIF('Cleaned Master sheet'!J2:J1000,"*synthetic*")</f>
        <v>143</v>
      </c>
    </row>
    <row r="57">
      <c r="A57" s="254" t="s">
        <v>2589</v>
      </c>
      <c r="B57" s="254" t="s">
        <v>2590</v>
      </c>
      <c r="C57" s="256">
        <f>COUNTIF('Cleaned Master sheet'!J2:J1000,"*industrial*")</f>
        <v>65</v>
      </c>
    </row>
    <row r="58">
      <c r="A58" s="254" t="s">
        <v>2591</v>
      </c>
      <c r="B58" s="254" t="s">
        <v>2592</v>
      </c>
      <c r="C58" s="256">
        <f>IFERROR(__xludf.DUMMYFUNCTION("SUM(ArrayFormula(--REGEXMATCH(
  LOWER('Cleaned Master sheet'!J2:J1000),
  ""(^|[^A-Za-z0-9_])benchmarks?([^A-Za-z0-9_]|$)""
)))"),45.0)</f>
        <v>45</v>
      </c>
    </row>
    <row r="59">
      <c r="A59" s="254" t="s">
        <v>2593</v>
      </c>
      <c r="B59" s="254" t="s">
        <v>2594</v>
      </c>
      <c r="C59" s="256">
        <f>COUNTIF('Cleaned Master sheet'!J2:J1000,"*lab**")</f>
        <v>22</v>
      </c>
    </row>
    <row r="60">
      <c r="A60" s="254"/>
      <c r="B60" s="254"/>
      <c r="C60" s="254"/>
    </row>
    <row r="61">
      <c r="A61" s="255" t="s">
        <v>2595</v>
      </c>
      <c r="B61" s="254"/>
      <c r="C61" s="254"/>
    </row>
    <row r="62">
      <c r="A62" s="254" t="s">
        <v>2596</v>
      </c>
      <c r="B62" s="254" t="s">
        <v>2597</v>
      </c>
      <c r="C62" s="256">
        <f>SUMPRODUCT(('Cleaned Master sheet'!F2:F1000="L2")*(ISNUMBER(SEARCH("scheduling",'Cleaned Master sheet'!P2:P1000))))</f>
        <v>120</v>
      </c>
    </row>
    <row r="63">
      <c r="A63" s="254" t="s">
        <v>2598</v>
      </c>
      <c r="B63" s="254" t="s">
        <v>2599</v>
      </c>
      <c r="C63" s="256">
        <f>COUNTIF('Cleaned Master sheet'!F2:F1000,"L2")-SUMPRODUCT(('Cleaned Master sheet'!F2:F1000="L2")*(ISNUMBER(SEARCH("scheduling",'Cleaned Master sheet'!P2:P1000))))</f>
        <v>34</v>
      </c>
    </row>
    <row r="64">
      <c r="A64" s="254"/>
      <c r="B64" s="254"/>
      <c r="C64" s="254"/>
    </row>
    <row r="65">
      <c r="A65" s="255" t="s">
        <v>2600</v>
      </c>
      <c r="B65" s="254"/>
      <c r="C65" s="254"/>
    </row>
    <row r="66">
      <c r="A66" s="254" t="s">
        <v>2601</v>
      </c>
      <c r="B66" s="254" t="s">
        <v>2602</v>
      </c>
      <c r="C66" s="256">
        <f>SUMPRODUCT(('Cleaned Master sheet'!F2:F1000="L2")*(ISNUMBER(SEARCH("flexible",'Cleaned Master sheet'!R2:R1000)))*(ISNUMBER(SEARCH("job",'Cleaned Master sheet'!R2:R1000)))*(NOT(ISNUMBER(SEARCH("dynamic",'Cleaned Master sheet'!R2:R1000))))*(NOT(ISNUMBER(SEARCH("distributed",'Cleaned Master sheet'!R2:R1000))))*(NOT(ISNUMBER(SEARCH("assembly",'Cleaned Master sheet'!R2:R1000)))))</f>
        <v>42</v>
      </c>
    </row>
    <row r="67">
      <c r="A67" s="254" t="s">
        <v>2603</v>
      </c>
      <c r="B67" s="254" t="s">
        <v>2604</v>
      </c>
      <c r="C67" s="256">
        <f>SUMPRODUCT(('Cleaned Master sheet'!F2:F1000="L2")*(ISNUMBER(SEARCH("job",'Cleaned Master sheet'!R2:R1000)))*(NOT(ISNUMBER(SEARCH("flexible",'Cleaned Master sheet'!R2:R1000))))*(NOT(ISNUMBER(SEARCH("dynamic",'Cleaned Master sheet'!R2:R1000))))*(NOT(ISNUMBER(SEARCH("distributed",'Cleaned Master sheet'!R2:R1000))))*(NOT(ISNUMBER(SEARCH("reconfigur",'Cleaned Master sheet'!R2:R1000))))*(NOT(ISNUMBER(SEARCH("adaptive",'Cleaned Master sheet'!R2:R1000))))*(NOT(ISNUMBER(SEARCH("maintenance",'Cleaned Master sheet'!R2:R1000)))))</f>
        <v>19</v>
      </c>
    </row>
    <row r="68">
      <c r="A68" s="254" t="s">
        <v>2605</v>
      </c>
      <c r="B68" s="254" t="s">
        <v>2606</v>
      </c>
      <c r="C68" s="256">
        <f>SUMPRODUCT(('Cleaned Master sheet'!F2:F1000="L2")*(ISNUMBER(SEARCH("dynamic",'Cleaned Master sheet'!R2:R1000)))*(ISNUMBER(SEARCH("flexible",'Cleaned Master sheet'!R2:R1000)))*(ISNUMBER(SEARCH("job",'Cleaned Master sheet'!R2:R1000)))*(NOT(ISNUMBER(SEARCH("distributed",'Cleaned Master sheet'!R2:R1000)))))</f>
        <v>16</v>
      </c>
    </row>
    <row r="69">
      <c r="A69" s="254" t="s">
        <v>2607</v>
      </c>
      <c r="B69" s="254" t="s">
        <v>2608</v>
      </c>
      <c r="C69" s="256">
        <f>SUMPRODUCT(('Cleaned Master sheet'!F2:F1000="L2")*(ISNUMBER(SEARCH("dynamic",'Cleaned Master sheet'!R2:R1000)))*(ISNUMBER(SEARCH("job",'Cleaned Master sheet'!R2:R1000)))*(NOT(ISNUMBER(SEARCH("flexible",'Cleaned Master sheet'!R2:R1000))))*(NOT(ISNUMBER(SEARCH("distributed",'Cleaned Master sheet'!R2:R1000)))))</f>
        <v>8</v>
      </c>
    </row>
    <row r="70">
      <c r="A70" s="254" t="s">
        <v>2609</v>
      </c>
      <c r="B70" s="254" t="s">
        <v>2610</v>
      </c>
      <c r="C70" s="256">
        <f>SUMPRODUCT(('Cleaned Master sheet'!F2:F1000="L2")*(ISNUMBER(SEARCH("distributed",'Cleaned Master sheet'!R2:R1000))))</f>
        <v>4</v>
      </c>
    </row>
    <row r="71">
      <c r="A71" s="254"/>
      <c r="B71" s="254"/>
      <c r="C71" s="254"/>
    </row>
    <row r="72">
      <c r="A72" s="255" t="s">
        <v>2611</v>
      </c>
      <c r="B72" s="254"/>
      <c r="C72" s="254"/>
    </row>
    <row r="73">
      <c r="A73" s="254" t="s">
        <v>2612</v>
      </c>
      <c r="B73" s="254" t="s">
        <v>2613</v>
      </c>
      <c r="C73" s="256">
        <f>SUMPRODUCT(('Cleaned Master sheet'!F2:F1000="L2")*(ISNUMBER(SEARCH("makespan",'Cleaned Master sheet'!S2:S1000))))</f>
        <v>90</v>
      </c>
    </row>
    <row r="74">
      <c r="A74" s="254" t="s">
        <v>2614</v>
      </c>
      <c r="B74" s="254" t="s">
        <v>2615</v>
      </c>
      <c r="C74" s="256">
        <f>SUMPRODUCT(('Cleaned Master sheet'!F2:F1000="L2")*(ISNUMBER(SEARCH("robust",'Cleaned Master sheet'!S2:S1000))))+SUMPRODUCT(('Cleaned Master sheet'!F2:F1000="L2")*(ISNUMBER(SEARCH("stability",'Cleaned Master sheet'!S2:S1000))))</f>
        <v>19</v>
      </c>
    </row>
    <row r="75">
      <c r="A75" s="254" t="s">
        <v>2616</v>
      </c>
      <c r="B75" s="254" t="s">
        <v>2617</v>
      </c>
      <c r="C75" s="256">
        <f>SUMPRODUCT(('Cleaned Master sheet'!F2:F1000="L2")*(ISNUMBER(SEARCH("tardiness",'Cleaned Master sheet'!S2:S1000))))</f>
        <v>29</v>
      </c>
    </row>
    <row r="76">
      <c r="A76" s="254" t="s">
        <v>2618</v>
      </c>
      <c r="B76" s="254" t="s">
        <v>2619</v>
      </c>
      <c r="C76" s="256">
        <f>SUMPRODUCT(('Cleaned Master sheet'!F2:F1000="L2")*(ISNUMBER(SEARCH("energy",'Cleaned Master sheet'!S2:S1000))))</f>
        <v>12</v>
      </c>
    </row>
    <row r="77">
      <c r="A77" s="254" t="s">
        <v>2620</v>
      </c>
      <c r="B77" s="254" t="s">
        <v>2621</v>
      </c>
      <c r="C77" s="256">
        <f>SUMPRODUCT(('Cleaned Master sheet'!F2:F1000="L2")*(ISNUMBER(SEARCH("utilisation",'Cleaned Master sheet'!S2:S1000))))+SUMPRODUCT(('Cleaned Master sheet'!F2:F1000="L2")*(ISNUMBER(SEARCH("utilization",'Cleaned Master sheet'!S2:S1000))))</f>
        <v>13</v>
      </c>
    </row>
    <row r="78">
      <c r="A78" s="254"/>
      <c r="B78" s="254"/>
      <c r="C78" s="254"/>
    </row>
    <row r="79">
      <c r="A79" s="255" t="s">
        <v>2622</v>
      </c>
      <c r="B79" s="254"/>
      <c r="C79" s="254"/>
    </row>
    <row r="80">
      <c r="A80" s="255" t="s">
        <v>2623</v>
      </c>
      <c r="B80" s="255" t="s">
        <v>2624</v>
      </c>
      <c r="C80" s="256">
        <f>SUMPRODUCT(('Cleaned Master sheet'!F2:F1000="L2")*(ISNUMBER(SEARCH("metaheuristic",'Cleaned Master sheet'!K2:K1000))))</f>
        <v>22</v>
      </c>
    </row>
    <row r="81">
      <c r="A81" s="254" t="s">
        <v>2625</v>
      </c>
      <c r="B81" s="254" t="s">
        <v>2626</v>
      </c>
      <c r="C81" s="256">
        <f>SUMPRODUCT(('Cleaned Master sheet'!F2:F1000="L2")*(ISNUMBER(SEARCH("RL",'Cleaned Master sheet'!L2:L1000))))</f>
        <v>90</v>
      </c>
    </row>
    <row r="82">
      <c r="A82" s="254" t="s">
        <v>2627</v>
      </c>
      <c r="B82" s="254" t="s">
        <v>2628</v>
      </c>
      <c r="C82" s="256">
        <f>SUMPRODUCT(('Cleaned Master sheet'!F2:F1000="L2")*(ISNUMBER(SEARCH("DL",'Cleaned Master sheet'!L2:L1000))))</f>
        <v>10</v>
      </c>
    </row>
    <row r="83">
      <c r="A83" s="255" t="s">
        <v>2629</v>
      </c>
      <c r="B83" s="255" t="s">
        <v>2630</v>
      </c>
      <c r="C83" s="37">
        <f>SUMPRODUCT(('Cleaned Master sheet'!F2:F1001="L2")*(ISNUMBER(SEARCH("classic",'Cleaned Master sheet'!K2:K1001))))</f>
        <v>4</v>
      </c>
      <c r="E83" s="37">
        <f>C84-C83-C82-C81</f>
        <v>0</v>
      </c>
    </row>
    <row r="84">
      <c r="A84" s="254" t="s">
        <v>2631</v>
      </c>
      <c r="B84" s="254" t="s">
        <v>2632</v>
      </c>
      <c r="C84" s="256">
        <f>SUMPRODUCT(('Cleaned Master sheet'!F2:F1000="L2")*(ISNUMBER(SEARCH("ML",'Cleaned Master sheet'!K2:K1000))))</f>
        <v>104</v>
      </c>
    </row>
    <row r="85">
      <c r="A85" s="254" t="s">
        <v>2633</v>
      </c>
      <c r="B85" s="254" t="s">
        <v>2634</v>
      </c>
      <c r="C85" s="256">
        <f>SUMPRODUCT(('Cleaned Master sheet'!F2:F1000="L2")*(ISNUMBER(SEARCH("AI",'Cleaned Master sheet'!K2:K1000))))</f>
        <v>4</v>
      </c>
    </row>
    <row r="86">
      <c r="A86" s="254" t="s">
        <v>2635</v>
      </c>
      <c r="B86" s="254" t="s">
        <v>2636</v>
      </c>
      <c r="C86" s="256">
        <f>SUMPRODUCT(('Cleaned Master sheet'!F2:F1000="L2")*(ISNUMBER(SEARCH("CPS",'Cleaned Master sheet'!K2:K1000))))</f>
        <v>7</v>
      </c>
    </row>
    <row r="87">
      <c r="A87" s="254" t="s">
        <v>2637</v>
      </c>
      <c r="B87" s="254" t="s">
        <v>2638</v>
      </c>
      <c r="C87" s="256">
        <f>SUMPRODUCT(('Cleaned Master sheet'!F2:F1000="L2")*(ISNUMBER(SEARCH("IoT",'Cleaned Master sheet'!K2:K1000))))</f>
        <v>7</v>
      </c>
    </row>
    <row r="88">
      <c r="A88" s="254" t="s">
        <v>2639</v>
      </c>
      <c r="B88" s="254" t="s">
        <v>2640</v>
      </c>
      <c r="C88" s="256">
        <f>SUMPRODUCT(('Cleaned Master sheet'!F2:F1000="L2")*(ISNUMBER(SEARCH("DT",'Cleaned Master sheet'!K2:K1000))))</f>
        <v>14</v>
      </c>
    </row>
    <row r="89">
      <c r="A89" s="254" t="s">
        <v>2641</v>
      </c>
      <c r="B89" s="254" t="s">
        <v>2642</v>
      </c>
      <c r="C89" s="256">
        <f>SUMPRODUCT(('Cleaned Master sheet'!F2:F1000="L2")*(ISNUMBER(SEARCH("AGV",'Cleaned Master sheet'!K2:K1000))))</f>
        <v>28</v>
      </c>
    </row>
    <row r="90">
      <c r="A90" s="254"/>
      <c r="B90" s="254"/>
      <c r="C90" s="254"/>
    </row>
    <row r="91">
      <c r="A91" s="255" t="s">
        <v>2643</v>
      </c>
      <c r="B91" s="254"/>
      <c r="C91" s="254"/>
    </row>
    <row r="92">
      <c r="A92" s="254" t="s">
        <v>2644</v>
      </c>
      <c r="B92" s="254" t="s">
        <v>2645</v>
      </c>
      <c r="C92" s="256">
        <f>SUMPRODUCT(('Cleaned Master sheet'!F2:F1000="L2")*(ISNUMBER(SEARCH("PPO",'Cleaned Master sheet'!L2:L1000))))</f>
        <v>36</v>
      </c>
    </row>
    <row r="93">
      <c r="A93" s="254" t="s">
        <v>2646</v>
      </c>
      <c r="B93" s="254" t="s">
        <v>2647</v>
      </c>
      <c r="C93" s="256">
        <f>SUMPRODUCT(('Cleaned Master sheet'!F2:F1000="L2")*(ISNUMBER(SEARCH("DQN",'Cleaned Master sheet'!L2:L1000))))</f>
        <v>23</v>
      </c>
    </row>
    <row r="94">
      <c r="A94" s="254" t="s">
        <v>2648</v>
      </c>
      <c r="B94" s="254" t="s">
        <v>2649</v>
      </c>
      <c r="C94" s="256">
        <f>SUMPRODUCT(('Cleaned Master sheet'!F2:F1000="L2")*(ISNUMBER(SEARCH("GNN",'Cleaned Master sheet'!L2:L1000))))</f>
        <v>29</v>
      </c>
    </row>
    <row r="95">
      <c r="A95" s="254" t="s">
        <v>2650</v>
      </c>
      <c r="B95" s="254" t="s">
        <v>2651</v>
      </c>
      <c r="C95" s="256">
        <f>SUMPRODUCT(('Cleaned Master sheet'!F2:F1000="L2")*(ISNUMBER(SEARCH("MARL",'Cleaned Master sheet'!L2:L1000))))</f>
        <v>0</v>
      </c>
    </row>
    <row r="96">
      <c r="A96" s="254" t="s">
        <v>2652</v>
      </c>
      <c r="B96" s="254" t="s">
        <v>2653</v>
      </c>
      <c r="C96" s="256">
        <f>SUMPRODUCT(('Cleaned Master sheet'!F2:F1000="L2")*(ISNUMBER(SEARCH("Genetic algorithm",'Cleaned Master sheet'!L2:L1000))))</f>
        <v>2</v>
      </c>
    </row>
    <row r="97">
      <c r="A97" s="254"/>
      <c r="B97" s="254"/>
      <c r="C97" s="254"/>
    </row>
    <row r="98">
      <c r="A98" s="255" t="s">
        <v>2654</v>
      </c>
      <c r="B98" s="254"/>
      <c r="C98" s="254"/>
    </row>
    <row r="99">
      <c r="A99" s="254" t="s">
        <v>2655</v>
      </c>
      <c r="B99" s="254" t="s">
        <v>2656</v>
      </c>
      <c r="C99" s="256">
        <f>SUMPRODUCT(('Cleaned Master sheet'!F2:F1000="L2")*('Cleaned Master sheet'!I2:I1000="simulation"))</f>
        <v>110</v>
      </c>
    </row>
    <row r="100">
      <c r="A100" s="254" t="s">
        <v>2657</v>
      </c>
      <c r="B100" s="254" t="s">
        <v>2658</v>
      </c>
      <c r="C100" s="256">
        <f>SUMPRODUCT(('Cleaned Master sheet'!F2:F1000="L2")*('Cleaned Master sheet'!I2:I1000="static evaluation"))</f>
        <v>29</v>
      </c>
    </row>
    <row r="101">
      <c r="A101" s="254" t="s">
        <v>2659</v>
      </c>
      <c r="B101" s="254" t="s">
        <v>2660</v>
      </c>
      <c r="C101" s="256">
        <f>SUMPRODUCT(('Cleaned Master sheet'!F2:F1000="L2")*('Cleaned Master sheet'!I2:I1000="lab case study"))</f>
        <v>12</v>
      </c>
    </row>
    <row r="102">
      <c r="A102" s="254" t="s">
        <v>2661</v>
      </c>
      <c r="B102" s="254" t="s">
        <v>2662</v>
      </c>
      <c r="C102" s="256">
        <f>SUMPRODUCT(('Cleaned Master sheet'!F2:F1000="L2")*(ISNUMBER(SEARCH("industrial",'Cleaned Master sheet'!I2:I1000))))</f>
        <v>2</v>
      </c>
    </row>
    <row r="103">
      <c r="A103" s="26" t="s">
        <v>2663</v>
      </c>
      <c r="B103" s="26" t="s">
        <v>2664</v>
      </c>
      <c r="C103" s="26">
        <f>SUMPRODUCT(('Cleaned Master sheet'!F2:F1000="L2")*(ISNUMBER(SEARCH("other",'Cleaned Master sheet'!I2:I1000))))</f>
        <v>1</v>
      </c>
    </row>
    <row r="105">
      <c r="A105" s="26" t="s">
        <v>2665</v>
      </c>
    </row>
    <row r="106">
      <c r="A106" s="26" t="s">
        <v>2666</v>
      </c>
      <c r="B106" s="255" t="s">
        <v>2667</v>
      </c>
      <c r="C106" s="256">
        <f>SUMPRODUCT(('Cleaned Master sheet'!F2:F1007="L0")*('Cleaned Master sheet'!I2:I1007="simulation"))</f>
        <v>2</v>
      </c>
    </row>
    <row r="107">
      <c r="A107" s="26" t="s">
        <v>2668</v>
      </c>
      <c r="B107" s="255" t="s">
        <v>2669</v>
      </c>
      <c r="C107" s="256">
        <f>SUMPRODUCT(('Cleaned Master sheet'!F2:F1007="L0")*('Cleaned Master sheet'!I2:I1007="static evaluation"))</f>
        <v>7</v>
      </c>
    </row>
    <row r="108">
      <c r="A108" s="26" t="s">
        <v>2670</v>
      </c>
      <c r="B108" s="255" t="s">
        <v>2671</v>
      </c>
      <c r="C108" s="256">
        <f>SUMPRODUCT(('Cleaned Master sheet'!F2:F1007="L0")*('Cleaned Master sheet'!I2:I1007="lab case study"))</f>
        <v>3</v>
      </c>
    </row>
    <row r="109">
      <c r="A109" s="26" t="s">
        <v>2672</v>
      </c>
      <c r="B109" s="255" t="s">
        <v>2673</v>
      </c>
      <c r="C109" s="256">
        <f>SUMPRODUCT(('Cleaned Master sheet'!F2:F1007="L0")*(ISNUMBER(SEARCH("industrial",'Cleaned Master sheet'!I2:I1007))))</f>
        <v>1</v>
      </c>
    </row>
    <row r="110">
      <c r="A110" s="26" t="s">
        <v>2674</v>
      </c>
      <c r="B110" s="26" t="s">
        <v>2675</v>
      </c>
      <c r="C110" s="26">
        <f>SUMPRODUCT(('Cleaned Master sheet'!F2:F1007="L0")*(ISNUMBER(SEARCH("other",'Cleaned Master sheet'!I2:I1007))))</f>
        <v>1</v>
      </c>
    </row>
    <row r="112">
      <c r="A112" s="26" t="s">
        <v>2676</v>
      </c>
    </row>
    <row r="113">
      <c r="A113" s="26" t="s">
        <v>2677</v>
      </c>
      <c r="B113" s="255" t="s">
        <v>2678</v>
      </c>
      <c r="C113" s="256">
        <f>SUMPRODUCT(('Cleaned Master sheet'!F2:F1014="L1")*('Cleaned Master sheet'!I2:I1014="simulation"))</f>
        <v>6</v>
      </c>
    </row>
    <row r="114">
      <c r="A114" s="26" t="s">
        <v>2679</v>
      </c>
      <c r="B114" s="255" t="s">
        <v>2680</v>
      </c>
      <c r="C114" s="256">
        <f>SUMPRODUCT(('Cleaned Master sheet'!F2:F1014="L1")*('Cleaned Master sheet'!I2:I1014="static evaluation"))</f>
        <v>6</v>
      </c>
    </row>
    <row r="115">
      <c r="A115" s="26" t="s">
        <v>2681</v>
      </c>
      <c r="B115" s="255" t="s">
        <v>2682</v>
      </c>
      <c r="C115" s="256">
        <f>SUMPRODUCT(('Cleaned Master sheet'!F2:F1014="L1")*('Cleaned Master sheet'!I2:I1014="lab case study"))</f>
        <v>1</v>
      </c>
    </row>
    <row r="116">
      <c r="A116" s="26" t="s">
        <v>2683</v>
      </c>
      <c r="B116" s="255" t="s">
        <v>2684</v>
      </c>
      <c r="C116" s="256">
        <f>SUMPRODUCT(('Cleaned Master sheet'!F2:F1014="L1")*(ISNUMBER(SEARCH("industrial",'Cleaned Master sheet'!I2:I1014))))</f>
        <v>0</v>
      </c>
    </row>
    <row r="117">
      <c r="A117" s="26" t="s">
        <v>2685</v>
      </c>
      <c r="B117" s="26" t="s">
        <v>2686</v>
      </c>
      <c r="C117" s="26">
        <f>SUMPRODUCT(('Cleaned Master sheet'!F2:F1014="L1")*(ISNUMBER(SEARCH("other",'Cleaned Master sheet'!I2:I1014))))</f>
        <v>0</v>
      </c>
    </row>
    <row r="119">
      <c r="A119" s="26" t="s">
        <v>2687</v>
      </c>
    </row>
    <row r="120">
      <c r="A120" s="26" t="s">
        <v>2688</v>
      </c>
      <c r="B120" s="255" t="s">
        <v>2689</v>
      </c>
      <c r="C120" s="256">
        <f>SUMPRODUCT(('Cleaned Master sheet'!F2:F1021="L3")*('Cleaned Master sheet'!I2:I1021="simulation"))</f>
        <v>11</v>
      </c>
    </row>
    <row r="121">
      <c r="A121" s="26" t="s">
        <v>2690</v>
      </c>
      <c r="B121" s="255" t="s">
        <v>2691</v>
      </c>
      <c r="C121" s="256">
        <f>SUMPRODUCT(('Cleaned Master sheet'!F2:F1021="L3")*('Cleaned Master sheet'!I2:I1021="static evaluation"))</f>
        <v>11</v>
      </c>
    </row>
    <row r="122">
      <c r="A122" s="26" t="s">
        <v>2692</v>
      </c>
      <c r="B122" s="255" t="s">
        <v>2693</v>
      </c>
      <c r="C122" s="256">
        <f>SUMPRODUCT(('Cleaned Master sheet'!F2:F1021="L3")*('Cleaned Master sheet'!I2:I1021="lab case study"))</f>
        <v>0</v>
      </c>
    </row>
    <row r="123">
      <c r="A123" s="26" t="s">
        <v>2694</v>
      </c>
      <c r="B123" s="255" t="s">
        <v>2695</v>
      </c>
      <c r="C123" s="256">
        <f>SUMPRODUCT(('Cleaned Master sheet'!F2:F1021="L3")*(ISNUMBER(SEARCH("industrial",'Cleaned Master sheet'!I2:I1021))))</f>
        <v>2</v>
      </c>
    </row>
    <row r="124">
      <c r="A124" s="26" t="s">
        <v>2696</v>
      </c>
      <c r="B124" s="26" t="s">
        <v>2697</v>
      </c>
      <c r="C124" s="26">
        <f>SUMPRODUCT(('Cleaned Master sheet'!F2:F1021="L3")*(ISNUMBER(SEARCH("other",'Cleaned Master sheet'!I2:I1021))))</f>
        <v>0</v>
      </c>
    </row>
    <row r="126">
      <c r="A126" s="255" t="s">
        <v>2698</v>
      </c>
      <c r="B126" s="254"/>
      <c r="C126" s="254"/>
    </row>
    <row r="127">
      <c r="A127" s="254" t="s">
        <v>2655</v>
      </c>
      <c r="B127" s="255" t="s">
        <v>2699</v>
      </c>
      <c r="C127" s="256">
        <f>SUMPRODUCT(('Cleaned Master sheet'!F30:F1028="L2")*('Cleaned Master sheet'!J30:J1028="Industrial data"))</f>
        <v>11</v>
      </c>
    </row>
    <row r="128">
      <c r="A128" s="254" t="s">
        <v>2657</v>
      </c>
      <c r="B128" s="255" t="s">
        <v>2700</v>
      </c>
      <c r="C128" s="256">
        <f>SUMPRODUCT(('Cleaned Master sheet'!F30:F1028="L2")*('Cleaned Master sheet'!J30:J1028="lab data"))</f>
        <v>10</v>
      </c>
    </row>
    <row r="129">
      <c r="A129" s="254" t="s">
        <v>2659</v>
      </c>
      <c r="B129" s="255" t="s">
        <v>2701</v>
      </c>
      <c r="C129" s="256">
        <f>SUMPRODUCT(('Cleaned Master sheet'!F30:F1028="L2")*('Cleaned Master sheet'!J30:J1028="synthetic"))</f>
        <v>52</v>
      </c>
    </row>
    <row r="130">
      <c r="A130" s="254" t="s">
        <v>2659</v>
      </c>
      <c r="B130" s="255" t="s">
        <v>2702</v>
      </c>
      <c r="C130" s="256">
        <f>SUMPRODUCT(('Cleaned Master sheet'!F31:F1029="L2")*('Cleaned Master sheet'!J31:J1029="benchmark"))</f>
        <v>0</v>
      </c>
    </row>
    <row r="133">
      <c r="A133" s="26" t="s">
        <v>2703</v>
      </c>
    </row>
    <row r="134">
      <c r="A134" s="26" t="s">
        <v>2704</v>
      </c>
      <c r="C134" s="26">
        <f>COUNTIF('Cleaned Master sheet'!K2:K1000,"heuristic")</f>
        <v>7</v>
      </c>
    </row>
    <row r="135">
      <c r="A135" s="26" t="s">
        <v>2705</v>
      </c>
      <c r="C135" s="256">
        <f>COUNTIF('Cleaned Master sheet'!K2:K1000,"metaheuristic")</f>
        <v>18</v>
      </c>
    </row>
    <row r="137">
      <c r="A137" s="255" t="s">
        <v>2706</v>
      </c>
      <c r="B137" s="254"/>
    </row>
    <row r="138">
      <c r="A138" s="255" t="s">
        <v>2707</v>
      </c>
      <c r="B138" s="255" t="s">
        <v>2624</v>
      </c>
      <c r="C138" s="256">
        <f>SUMPRODUCT(('Cleaned Master sheet'!F2:F1057="L3")*(ISNUMBER(SEARCH("metaheuristic",'Cleaned Master sheet'!K2:K1057))))</f>
        <v>6</v>
      </c>
    </row>
    <row r="139">
      <c r="A139" s="255" t="s">
        <v>2707</v>
      </c>
      <c r="B139" s="255" t="s">
        <v>2708</v>
      </c>
      <c r="C139" s="256">
        <f>SUMPRODUCT(('Cleaned Master sheet'!F3:F1058="L3")*
ISNUMBER(SEARCH(",heuristic,",","&amp;SUBSTITUTE(LOWER('Cleaned Master sheet'!K3:K1058)," ","")&amp;",")))</f>
        <v>1</v>
      </c>
    </row>
    <row r="140">
      <c r="A140" s="255" t="s">
        <v>2709</v>
      </c>
      <c r="B140" s="254" t="s">
        <v>2626</v>
      </c>
      <c r="C140" s="256">
        <f>SUMPRODUCT(('Cleaned Master sheet'!F2:F1057="L3")*
((ISNUMBER(SEARCH(",RL,",","&amp;SUBSTITUTE('Cleaned Master sheet'!K2:K1057," ","")&amp;",")))))</f>
        <v>0</v>
      </c>
    </row>
    <row r="141">
      <c r="A141" s="255" t="s">
        <v>2710</v>
      </c>
      <c r="B141" s="254" t="s">
        <v>2628</v>
      </c>
      <c r="C141" s="256">
        <f>SUMPRODUCT(('Cleaned Master sheet'!F2:F1057="L3")*
((ISNUMBER(SEARCH(",DL,",","&amp;SUBSTITUTE('Cleaned Master sheet'!K2:K1057," ","")&amp;",")))))</f>
        <v>0</v>
      </c>
    </row>
    <row r="142">
      <c r="A142" s="255" t="s">
        <v>2711</v>
      </c>
      <c r="B142" s="254" t="s">
        <v>2632</v>
      </c>
      <c r="C142" s="256">
        <f>SUMPRODUCT(('Cleaned Master sheet'!F2:F1057="L3")*
((ISNUMBER(SEARCH(",ML,",","&amp;SUBSTITUTE('Cleaned Master sheet'!K2:K1057," ","")&amp;",")))))</f>
        <v>7</v>
      </c>
    </row>
    <row r="143">
      <c r="A143" s="255" t="s">
        <v>2712</v>
      </c>
      <c r="B143" s="254" t="s">
        <v>2634</v>
      </c>
      <c r="C143" s="256">
        <f>SUMPRODUCT(('Cleaned Master sheet'!F2:F1057="L3")*(ISNUMBER(SEARCH("AI",'Cleaned Master sheet'!K2:K1057))))</f>
        <v>1</v>
      </c>
    </row>
    <row r="144">
      <c r="A144" s="255" t="s">
        <v>2713</v>
      </c>
      <c r="B144" s="254" t="s">
        <v>2636</v>
      </c>
      <c r="C144" s="256">
        <f>SUMPRODUCT(('Cleaned Master sheet'!F59:F1057="L3")*(ISNUMBER(SEARCH("CPS",'Cleaned Master sheet'!K59:K1057))))</f>
        <v>0</v>
      </c>
    </row>
    <row r="145">
      <c r="A145" s="255" t="s">
        <v>2714</v>
      </c>
      <c r="B145" s="254" t="s">
        <v>2638</v>
      </c>
      <c r="C145" s="256">
        <f>SUMPRODUCT(('Cleaned Master sheet'!F2:F1057="L3")*
((ISNUMBER(SEARCH(",iot,",","&amp;SUBSTITUTE('Cleaned Master sheet'!K2:K1057," ","")&amp;",")))))</f>
        <v>0</v>
      </c>
    </row>
    <row r="146">
      <c r="A146" s="255" t="s">
        <v>2715</v>
      </c>
      <c r="B146" s="254" t="s">
        <v>2640</v>
      </c>
      <c r="C146" s="256">
        <f>SUMPRODUCT(('Cleaned Master sheet'!F2:F1057="L3")*
((ISNUMBER(SEARCH(",DT,",","&amp;SUBSTITUTE('Cleaned Master sheet'!K2:K1057," ","")&amp;",")))))</f>
        <v>6</v>
      </c>
    </row>
    <row r="147">
      <c r="A147" s="255" t="s">
        <v>2716</v>
      </c>
      <c r="B147" s="254" t="s">
        <v>2642</v>
      </c>
      <c r="C147" s="256">
        <f>SUMPRODUCT(('Cleaned Master sheet'!F2:F1057="L3")*
((ISNUMBER(SEARCH(",AGV/AMR,",","&amp;SUBSTITUTE('Cleaned Master sheet'!K2:K1057," ","")&amp;",")))))</f>
        <v>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72.56"/>
    <col customWidth="1" min="3" max="3" width="39.33"/>
  </cols>
  <sheetData>
    <row r="1">
      <c r="A1" s="29" t="s">
        <v>57</v>
      </c>
      <c r="B1" s="29" t="s">
        <v>58</v>
      </c>
      <c r="C1" s="257" t="s">
        <v>943</v>
      </c>
      <c r="D1" s="30" t="s">
        <v>59</v>
      </c>
      <c r="E1" s="29" t="s">
        <v>60</v>
      </c>
      <c r="F1" s="29" t="s">
        <v>61</v>
      </c>
      <c r="G1" s="29" t="s">
        <v>62</v>
      </c>
      <c r="H1" s="29" t="s">
        <v>63</v>
      </c>
      <c r="I1" s="29" t="s">
        <v>64</v>
      </c>
      <c r="J1" s="257" t="s">
        <v>953</v>
      </c>
      <c r="K1" s="257" t="s">
        <v>2717</v>
      </c>
    </row>
    <row r="2">
      <c r="A2" s="258" t="s">
        <v>2718</v>
      </c>
      <c r="B2" s="258" t="s">
        <v>2719</v>
      </c>
      <c r="C2" s="259" t="s">
        <v>2720</v>
      </c>
      <c r="D2" s="258" t="s">
        <v>2721</v>
      </c>
      <c r="E2" s="258" t="s">
        <v>2722</v>
      </c>
      <c r="F2" s="258" t="s">
        <v>2723</v>
      </c>
      <c r="G2" s="258" t="s">
        <v>142</v>
      </c>
      <c r="H2" s="258" t="s">
        <v>115</v>
      </c>
      <c r="I2" s="258" t="s">
        <v>128</v>
      </c>
      <c r="J2" s="258" t="s">
        <v>2220</v>
      </c>
      <c r="K2" s="260">
        <v>2025.0</v>
      </c>
    </row>
    <row r="3">
      <c r="A3" s="258" t="s">
        <v>2724</v>
      </c>
      <c r="B3" s="258" t="s">
        <v>2725</v>
      </c>
      <c r="C3" s="259" t="s">
        <v>2726</v>
      </c>
      <c r="D3" s="258" t="s">
        <v>2721</v>
      </c>
      <c r="E3" s="258" t="s">
        <v>2727</v>
      </c>
      <c r="F3" s="258" t="s">
        <v>101</v>
      </c>
      <c r="G3" s="258" t="s">
        <v>2728</v>
      </c>
      <c r="H3" s="258" t="s">
        <v>115</v>
      </c>
      <c r="I3" s="258" t="s">
        <v>620</v>
      </c>
      <c r="J3" s="258" t="s">
        <v>2220</v>
      </c>
      <c r="K3" s="260">
        <v>2025.0</v>
      </c>
    </row>
    <row r="4">
      <c r="A4" s="258" t="s">
        <v>2729</v>
      </c>
      <c r="B4" s="258" t="s">
        <v>2730</v>
      </c>
      <c r="C4" s="261" t="s">
        <v>2731</v>
      </c>
      <c r="D4" s="258" t="s">
        <v>2721</v>
      </c>
      <c r="E4" s="258" t="s">
        <v>2732</v>
      </c>
      <c r="F4" s="258" t="s">
        <v>2733</v>
      </c>
      <c r="G4" s="258" t="s">
        <v>260</v>
      </c>
      <c r="H4" s="258" t="s">
        <v>115</v>
      </c>
      <c r="I4" s="258" t="s">
        <v>620</v>
      </c>
      <c r="J4" s="262" t="s">
        <v>2216</v>
      </c>
      <c r="K4" s="260">
        <v>2025.0</v>
      </c>
    </row>
    <row r="5">
      <c r="A5" s="258" t="s">
        <v>2734</v>
      </c>
      <c r="B5" s="258" t="s">
        <v>2735</v>
      </c>
      <c r="C5" s="261" t="s">
        <v>2736</v>
      </c>
      <c r="D5" s="258" t="s">
        <v>2721</v>
      </c>
      <c r="E5" s="258" t="s">
        <v>2737</v>
      </c>
      <c r="F5" s="263"/>
      <c r="G5" s="258" t="s">
        <v>217</v>
      </c>
      <c r="H5" s="258" t="s">
        <v>92</v>
      </c>
      <c r="I5" s="258" t="s">
        <v>128</v>
      </c>
      <c r="J5" s="262" t="s">
        <v>2216</v>
      </c>
      <c r="K5" s="260">
        <v>2025.0</v>
      </c>
    </row>
    <row r="6">
      <c r="A6" s="258" t="s">
        <v>2738</v>
      </c>
      <c r="B6" s="258" t="s">
        <v>2739</v>
      </c>
      <c r="C6" s="261" t="s">
        <v>2740</v>
      </c>
      <c r="D6" s="258" t="s">
        <v>2721</v>
      </c>
      <c r="E6" s="258" t="s">
        <v>2741</v>
      </c>
      <c r="F6" s="258" t="s">
        <v>2742</v>
      </c>
      <c r="G6" s="258" t="s">
        <v>142</v>
      </c>
      <c r="H6" s="258" t="s">
        <v>115</v>
      </c>
      <c r="I6" s="258" t="s">
        <v>620</v>
      </c>
      <c r="J6" s="258" t="s">
        <v>2220</v>
      </c>
      <c r="K6" s="260">
        <v>2025.0</v>
      </c>
    </row>
    <row r="7">
      <c r="A7" s="258" t="s">
        <v>2743</v>
      </c>
      <c r="B7" s="258" t="s">
        <v>2744</v>
      </c>
      <c r="C7" s="261" t="s">
        <v>2745</v>
      </c>
      <c r="D7" s="258" t="s">
        <v>2721</v>
      </c>
      <c r="E7" s="258" t="s">
        <v>2746</v>
      </c>
      <c r="F7" s="258" t="s">
        <v>514</v>
      </c>
      <c r="G7" s="258" t="s">
        <v>920</v>
      </c>
      <c r="H7" s="258" t="s">
        <v>115</v>
      </c>
      <c r="I7" s="258" t="s">
        <v>620</v>
      </c>
      <c r="J7" s="258" t="s">
        <v>2220</v>
      </c>
      <c r="K7" s="260">
        <v>2025.0</v>
      </c>
    </row>
    <row r="8">
      <c r="A8" s="258" t="s">
        <v>2747</v>
      </c>
      <c r="B8" s="258" t="s">
        <v>2748</v>
      </c>
      <c r="C8" s="261" t="s">
        <v>2749</v>
      </c>
      <c r="D8" s="258" t="s">
        <v>2721</v>
      </c>
      <c r="E8" s="258" t="s">
        <v>2737</v>
      </c>
      <c r="F8" s="263"/>
      <c r="G8" s="258" t="s">
        <v>209</v>
      </c>
      <c r="H8" s="258" t="s">
        <v>92</v>
      </c>
      <c r="I8" s="258" t="s">
        <v>620</v>
      </c>
      <c r="J8" s="262" t="s">
        <v>2216</v>
      </c>
      <c r="K8" s="260">
        <v>2025.0</v>
      </c>
    </row>
    <row r="9">
      <c r="A9" s="258" t="s">
        <v>2750</v>
      </c>
      <c r="B9" s="258" t="s">
        <v>2751</v>
      </c>
      <c r="C9" s="261" t="s">
        <v>2752</v>
      </c>
      <c r="D9" s="258" t="s">
        <v>2721</v>
      </c>
      <c r="E9" s="258" t="s">
        <v>2753</v>
      </c>
      <c r="F9" s="258" t="s">
        <v>101</v>
      </c>
      <c r="G9" s="258" t="s">
        <v>523</v>
      </c>
      <c r="H9" s="258" t="s">
        <v>92</v>
      </c>
      <c r="I9" s="258" t="s">
        <v>128</v>
      </c>
      <c r="J9" s="262" t="s">
        <v>2216</v>
      </c>
      <c r="K9" s="260">
        <v>2024.0</v>
      </c>
    </row>
    <row r="10">
      <c r="A10" s="258" t="s">
        <v>2754</v>
      </c>
      <c r="B10" s="258" t="s">
        <v>2755</v>
      </c>
      <c r="C10" s="264" t="s">
        <v>2756</v>
      </c>
      <c r="D10" s="258" t="s">
        <v>2721</v>
      </c>
      <c r="E10" s="258" t="s">
        <v>2757</v>
      </c>
      <c r="F10" s="258" t="s">
        <v>300</v>
      </c>
      <c r="G10" s="258" t="s">
        <v>127</v>
      </c>
      <c r="H10" s="258" t="s">
        <v>115</v>
      </c>
      <c r="I10" s="258" t="s">
        <v>620</v>
      </c>
      <c r="J10" s="258" t="s">
        <v>2220</v>
      </c>
      <c r="K10" s="260">
        <v>2024.0</v>
      </c>
    </row>
    <row r="11">
      <c r="A11" s="258" t="s">
        <v>2758</v>
      </c>
      <c r="B11" s="258" t="s">
        <v>2759</v>
      </c>
      <c r="C11" s="264" t="s">
        <v>2760</v>
      </c>
      <c r="D11" s="258" t="s">
        <v>2721</v>
      </c>
      <c r="E11" s="258" t="s">
        <v>2732</v>
      </c>
      <c r="F11" s="258" t="s">
        <v>162</v>
      </c>
      <c r="G11" s="258" t="s">
        <v>260</v>
      </c>
      <c r="H11" s="258" t="s">
        <v>92</v>
      </c>
      <c r="I11" s="258" t="s">
        <v>128</v>
      </c>
      <c r="J11" s="262" t="s">
        <v>2216</v>
      </c>
      <c r="K11" s="260">
        <v>2023.0</v>
      </c>
    </row>
    <row r="12">
      <c r="A12" s="258" t="s">
        <v>2761</v>
      </c>
      <c r="B12" s="258" t="s">
        <v>2762</v>
      </c>
      <c r="C12" s="261" t="s">
        <v>2763</v>
      </c>
      <c r="D12" s="258" t="s">
        <v>2721</v>
      </c>
      <c r="E12" s="258" t="s">
        <v>2746</v>
      </c>
      <c r="F12" s="263"/>
      <c r="G12" s="258" t="s">
        <v>273</v>
      </c>
      <c r="H12" s="258" t="s">
        <v>92</v>
      </c>
      <c r="I12" s="258" t="s">
        <v>128</v>
      </c>
      <c r="J12" s="262" t="s">
        <v>2216</v>
      </c>
      <c r="K12" s="260">
        <v>2023.0</v>
      </c>
    </row>
    <row r="13">
      <c r="A13" s="258" t="s">
        <v>2764</v>
      </c>
      <c r="B13" s="258" t="s">
        <v>2765</v>
      </c>
      <c r="C13" s="261" t="s">
        <v>2763</v>
      </c>
      <c r="D13" s="258" t="s">
        <v>2721</v>
      </c>
      <c r="E13" s="258" t="s">
        <v>2766</v>
      </c>
      <c r="F13" s="258" t="s">
        <v>2767</v>
      </c>
      <c r="G13" s="258" t="s">
        <v>209</v>
      </c>
      <c r="H13" s="258" t="s">
        <v>115</v>
      </c>
      <c r="I13" s="258" t="s">
        <v>620</v>
      </c>
      <c r="J13" s="262" t="s">
        <v>2216</v>
      </c>
      <c r="K13" s="260">
        <v>2023.0</v>
      </c>
    </row>
    <row r="14">
      <c r="A14" s="258" t="s">
        <v>2768</v>
      </c>
      <c r="B14" s="258" t="s">
        <v>2769</v>
      </c>
      <c r="C14" s="261" t="s">
        <v>2770</v>
      </c>
      <c r="D14" s="258" t="s">
        <v>2721</v>
      </c>
      <c r="E14" s="258" t="s">
        <v>2766</v>
      </c>
      <c r="F14" s="258" t="s">
        <v>101</v>
      </c>
      <c r="G14" s="258" t="s">
        <v>260</v>
      </c>
      <c r="H14" s="258" t="s">
        <v>115</v>
      </c>
      <c r="I14" s="258" t="s">
        <v>620</v>
      </c>
      <c r="J14" s="258" t="s">
        <v>2220</v>
      </c>
      <c r="K14" s="260">
        <v>2023.0</v>
      </c>
    </row>
    <row r="15">
      <c r="A15" s="258" t="s">
        <v>2771</v>
      </c>
      <c r="B15" s="258" t="s">
        <v>2772</v>
      </c>
      <c r="C15" s="261" t="s">
        <v>2773</v>
      </c>
      <c r="D15" s="258" t="s">
        <v>2721</v>
      </c>
      <c r="E15" s="258" t="s">
        <v>2727</v>
      </c>
      <c r="F15" s="258" t="s">
        <v>2774</v>
      </c>
      <c r="G15" s="258" t="s">
        <v>142</v>
      </c>
      <c r="H15" s="258" t="s">
        <v>115</v>
      </c>
      <c r="I15" s="258" t="s">
        <v>620</v>
      </c>
      <c r="J15" s="258" t="s">
        <v>2220</v>
      </c>
      <c r="K15" s="260">
        <v>2023.0</v>
      </c>
    </row>
    <row r="16">
      <c r="A16" s="258" t="s">
        <v>2775</v>
      </c>
      <c r="B16" s="258" t="s">
        <v>2776</v>
      </c>
      <c r="C16" s="261" t="s">
        <v>2777</v>
      </c>
      <c r="D16" s="258" t="s">
        <v>2721</v>
      </c>
      <c r="E16" s="258" t="s">
        <v>2746</v>
      </c>
      <c r="F16" s="263"/>
      <c r="G16" s="258" t="s">
        <v>260</v>
      </c>
      <c r="H16" s="258" t="s">
        <v>115</v>
      </c>
      <c r="I16" s="258" t="s">
        <v>128</v>
      </c>
      <c r="J16" s="262" t="s">
        <v>2216</v>
      </c>
      <c r="K16" s="260">
        <v>2023.0</v>
      </c>
    </row>
    <row r="17">
      <c r="A17" s="258" t="s">
        <v>2778</v>
      </c>
      <c r="B17" s="258" t="s">
        <v>2779</v>
      </c>
      <c r="C17" s="261" t="s">
        <v>2780</v>
      </c>
      <c r="D17" s="258" t="s">
        <v>2721</v>
      </c>
      <c r="E17" s="258" t="s">
        <v>2722</v>
      </c>
      <c r="F17" s="258" t="s">
        <v>126</v>
      </c>
      <c r="G17" s="258" t="s">
        <v>260</v>
      </c>
      <c r="H17" s="258" t="s">
        <v>115</v>
      </c>
      <c r="I17" s="258" t="s">
        <v>620</v>
      </c>
      <c r="J17" s="258" t="s">
        <v>2220</v>
      </c>
      <c r="K17" s="260">
        <v>2023.0</v>
      </c>
    </row>
    <row r="18">
      <c r="A18" s="258" t="s">
        <v>2781</v>
      </c>
      <c r="B18" s="258" t="s">
        <v>2782</v>
      </c>
      <c r="C18" s="261" t="s">
        <v>2783</v>
      </c>
      <c r="D18" s="258" t="s">
        <v>2721</v>
      </c>
      <c r="E18" s="258" t="s">
        <v>2732</v>
      </c>
      <c r="F18" s="263"/>
      <c r="G18" s="258" t="s">
        <v>260</v>
      </c>
      <c r="H18" s="258" t="s">
        <v>115</v>
      </c>
      <c r="I18" s="258" t="s">
        <v>620</v>
      </c>
      <c r="J18" s="262" t="s">
        <v>2216</v>
      </c>
      <c r="K18" s="260">
        <v>2023.0</v>
      </c>
    </row>
    <row r="19">
      <c r="A19" s="258" t="s">
        <v>2784</v>
      </c>
      <c r="B19" s="258" t="s">
        <v>2785</v>
      </c>
      <c r="C19" s="261" t="s">
        <v>2786</v>
      </c>
      <c r="D19" s="258" t="s">
        <v>2721</v>
      </c>
      <c r="E19" s="258" t="s">
        <v>2722</v>
      </c>
      <c r="F19" s="258" t="s">
        <v>300</v>
      </c>
      <c r="G19" s="258" t="s">
        <v>260</v>
      </c>
      <c r="H19" s="258" t="s">
        <v>92</v>
      </c>
      <c r="I19" s="258" t="s">
        <v>620</v>
      </c>
      <c r="J19" s="262" t="s">
        <v>2216</v>
      </c>
      <c r="K19" s="260">
        <v>2023.0</v>
      </c>
    </row>
    <row r="20">
      <c r="A20" s="258" t="s">
        <v>2787</v>
      </c>
      <c r="B20" s="258" t="s">
        <v>2788</v>
      </c>
      <c r="C20" s="261" t="s">
        <v>2789</v>
      </c>
      <c r="D20" s="258" t="s">
        <v>2721</v>
      </c>
      <c r="E20" s="258" t="s">
        <v>2737</v>
      </c>
      <c r="F20" s="263"/>
      <c r="G20" s="258" t="s">
        <v>260</v>
      </c>
      <c r="H20" s="258" t="s">
        <v>115</v>
      </c>
      <c r="I20" s="258" t="s">
        <v>620</v>
      </c>
      <c r="J20" s="258" t="s">
        <v>2220</v>
      </c>
      <c r="K20" s="260">
        <v>2023.0</v>
      </c>
    </row>
    <row r="21">
      <c r="A21" s="258" t="s">
        <v>2790</v>
      </c>
      <c r="B21" s="258" t="s">
        <v>2791</v>
      </c>
      <c r="C21" s="261" t="s">
        <v>2792</v>
      </c>
      <c r="D21" s="258" t="s">
        <v>2721</v>
      </c>
      <c r="E21" s="258" t="s">
        <v>2793</v>
      </c>
      <c r="F21" s="263"/>
      <c r="G21" s="258" t="s">
        <v>260</v>
      </c>
      <c r="H21" s="258" t="s">
        <v>115</v>
      </c>
      <c r="I21" s="258" t="s">
        <v>128</v>
      </c>
      <c r="J21" s="258" t="s">
        <v>2220</v>
      </c>
      <c r="K21" s="260">
        <v>2022.0</v>
      </c>
    </row>
    <row r="22">
      <c r="A22" s="258" t="s">
        <v>2794</v>
      </c>
      <c r="B22" s="258" t="s">
        <v>2795</v>
      </c>
      <c r="C22" s="261" t="s">
        <v>2796</v>
      </c>
      <c r="D22" s="258" t="s">
        <v>2721</v>
      </c>
      <c r="E22" s="258" t="s">
        <v>2737</v>
      </c>
      <c r="F22" s="258" t="s">
        <v>137</v>
      </c>
      <c r="G22" s="258" t="s">
        <v>260</v>
      </c>
      <c r="H22" s="258" t="s">
        <v>92</v>
      </c>
      <c r="I22" s="258" t="s">
        <v>620</v>
      </c>
      <c r="J22" s="262" t="s">
        <v>2216</v>
      </c>
      <c r="K22" s="260">
        <v>2022.0</v>
      </c>
    </row>
    <row r="23">
      <c r="A23" s="258" t="s">
        <v>2797</v>
      </c>
      <c r="B23" s="258" t="s">
        <v>2798</v>
      </c>
      <c r="C23" s="261" t="s">
        <v>2799</v>
      </c>
      <c r="D23" s="258" t="s">
        <v>2721</v>
      </c>
      <c r="E23" s="258" t="s">
        <v>2793</v>
      </c>
      <c r="F23" s="258" t="s">
        <v>2800</v>
      </c>
      <c r="G23" s="258" t="s">
        <v>273</v>
      </c>
      <c r="H23" s="258" t="s">
        <v>115</v>
      </c>
      <c r="I23" s="258" t="s">
        <v>128</v>
      </c>
      <c r="J23" s="258" t="s">
        <v>2220</v>
      </c>
      <c r="K23" s="260">
        <v>2022.0</v>
      </c>
    </row>
    <row r="24">
      <c r="A24" s="258" t="s">
        <v>2801</v>
      </c>
      <c r="B24" s="258" t="s">
        <v>2802</v>
      </c>
      <c r="C24" s="261" t="s">
        <v>2803</v>
      </c>
      <c r="D24" s="258" t="s">
        <v>2721</v>
      </c>
      <c r="E24" s="258" t="s">
        <v>2804</v>
      </c>
      <c r="F24" s="258" t="s">
        <v>577</v>
      </c>
      <c r="G24" s="258" t="s">
        <v>260</v>
      </c>
      <c r="H24" s="258" t="s">
        <v>92</v>
      </c>
      <c r="I24" s="258" t="s">
        <v>128</v>
      </c>
      <c r="J24" s="262" t="s">
        <v>2216</v>
      </c>
      <c r="K24" s="260">
        <v>2022.0</v>
      </c>
    </row>
    <row r="25">
      <c r="A25" s="258" t="s">
        <v>2805</v>
      </c>
      <c r="B25" s="258" t="s">
        <v>2806</v>
      </c>
      <c r="C25" s="261" t="s">
        <v>2807</v>
      </c>
      <c r="D25" s="258" t="s">
        <v>2721</v>
      </c>
      <c r="E25" s="258" t="s">
        <v>2737</v>
      </c>
      <c r="F25" s="258" t="s">
        <v>591</v>
      </c>
      <c r="G25" s="258" t="s">
        <v>260</v>
      </c>
      <c r="H25" s="258" t="s">
        <v>92</v>
      </c>
      <c r="I25" s="258" t="s">
        <v>620</v>
      </c>
      <c r="J25" s="258" t="s">
        <v>2220</v>
      </c>
      <c r="K25" s="260">
        <v>2021.0</v>
      </c>
    </row>
    <row r="26">
      <c r="A26" s="258" t="s">
        <v>2808</v>
      </c>
      <c r="B26" s="258" t="s">
        <v>2809</v>
      </c>
      <c r="C26" s="259" t="s">
        <v>2810</v>
      </c>
      <c r="D26" s="258" t="s">
        <v>2721</v>
      </c>
      <c r="E26" s="258" t="s">
        <v>2732</v>
      </c>
      <c r="F26" s="263"/>
      <c r="G26" s="258" t="s">
        <v>260</v>
      </c>
      <c r="H26" s="258" t="s">
        <v>92</v>
      </c>
      <c r="I26" s="258" t="s">
        <v>128</v>
      </c>
      <c r="J26" s="262" t="s">
        <v>2216</v>
      </c>
      <c r="K26" s="260">
        <v>2021.0</v>
      </c>
    </row>
    <row r="27">
      <c r="A27" s="258" t="s">
        <v>2811</v>
      </c>
      <c r="B27" s="258" t="s">
        <v>2812</v>
      </c>
      <c r="C27" s="261" t="s">
        <v>2813</v>
      </c>
      <c r="D27" s="258" t="s">
        <v>2721</v>
      </c>
      <c r="E27" s="258" t="s">
        <v>2746</v>
      </c>
      <c r="F27" s="263"/>
      <c r="G27" s="258" t="s">
        <v>260</v>
      </c>
      <c r="H27" s="258" t="s">
        <v>92</v>
      </c>
      <c r="I27" s="258" t="s">
        <v>128</v>
      </c>
      <c r="J27" s="262" t="s">
        <v>2216</v>
      </c>
      <c r="K27" s="260">
        <v>2021.0</v>
      </c>
    </row>
    <row r="28">
      <c r="A28" s="258" t="s">
        <v>2814</v>
      </c>
      <c r="B28" s="258" t="s">
        <v>2815</v>
      </c>
      <c r="C28" s="261" t="s">
        <v>2816</v>
      </c>
      <c r="D28" s="258" t="s">
        <v>2721</v>
      </c>
      <c r="E28" s="258" t="s">
        <v>2793</v>
      </c>
      <c r="F28" s="263"/>
      <c r="G28" s="258" t="s">
        <v>260</v>
      </c>
      <c r="H28" s="258" t="s">
        <v>92</v>
      </c>
      <c r="I28" s="258" t="s">
        <v>620</v>
      </c>
      <c r="J28" s="262" t="s">
        <v>2216</v>
      </c>
      <c r="K28" s="260">
        <v>2020.0</v>
      </c>
    </row>
    <row r="29">
      <c r="A29" s="258" t="s">
        <v>2817</v>
      </c>
      <c r="B29" s="258" t="s">
        <v>2818</v>
      </c>
      <c r="C29" s="261" t="s">
        <v>2819</v>
      </c>
      <c r="D29" s="258" t="s">
        <v>2721</v>
      </c>
      <c r="E29" s="258" t="s">
        <v>2732</v>
      </c>
      <c r="F29" s="263"/>
      <c r="G29" s="258" t="s">
        <v>260</v>
      </c>
      <c r="H29" s="258" t="s">
        <v>92</v>
      </c>
      <c r="I29" s="258" t="s">
        <v>128</v>
      </c>
      <c r="J29" s="262" t="s">
        <v>2216</v>
      </c>
      <c r="K29" s="260">
        <v>2020.0</v>
      </c>
    </row>
    <row r="30">
      <c r="A30" s="258" t="s">
        <v>2820</v>
      </c>
      <c r="B30" s="258" t="s">
        <v>2821</v>
      </c>
      <c r="C30" s="261" t="s">
        <v>2822</v>
      </c>
      <c r="D30" s="258" t="s">
        <v>2721</v>
      </c>
      <c r="E30" s="258" t="s">
        <v>2732</v>
      </c>
      <c r="F30" s="258" t="s">
        <v>101</v>
      </c>
      <c r="G30" s="258" t="s">
        <v>102</v>
      </c>
      <c r="H30" s="258" t="s">
        <v>92</v>
      </c>
      <c r="I30" s="258" t="s">
        <v>620</v>
      </c>
      <c r="J30" s="262" t="s">
        <v>2216</v>
      </c>
      <c r="K30" s="260">
        <v>2020.0</v>
      </c>
    </row>
    <row r="31">
      <c r="A31" s="258" t="s">
        <v>2823</v>
      </c>
      <c r="B31" s="258" t="s">
        <v>2824</v>
      </c>
      <c r="C31" s="261" t="s">
        <v>2825</v>
      </c>
      <c r="D31" s="258" t="s">
        <v>2721</v>
      </c>
      <c r="E31" s="258" t="s">
        <v>2722</v>
      </c>
      <c r="F31" s="258" t="s">
        <v>2826</v>
      </c>
      <c r="G31" s="258" t="s">
        <v>260</v>
      </c>
      <c r="H31" s="258" t="s">
        <v>115</v>
      </c>
      <c r="I31" s="258" t="s">
        <v>620</v>
      </c>
      <c r="J31" s="258" t="s">
        <v>2220</v>
      </c>
      <c r="K31" s="260">
        <v>2020.0</v>
      </c>
    </row>
    <row r="32">
      <c r="A32" s="258" t="s">
        <v>2827</v>
      </c>
      <c r="B32" s="258" t="s">
        <v>2828</v>
      </c>
      <c r="C32" s="261" t="s">
        <v>2829</v>
      </c>
      <c r="D32" s="258" t="s">
        <v>2721</v>
      </c>
      <c r="E32" s="258" t="s">
        <v>2741</v>
      </c>
      <c r="F32" s="258" t="s">
        <v>2733</v>
      </c>
      <c r="G32" s="258" t="s">
        <v>260</v>
      </c>
      <c r="H32" s="258" t="s">
        <v>115</v>
      </c>
      <c r="I32" s="258" t="s">
        <v>620</v>
      </c>
      <c r="J32" s="258" t="s">
        <v>2220</v>
      </c>
      <c r="K32" s="260">
        <v>2019.0</v>
      </c>
    </row>
    <row r="33">
      <c r="A33" s="258" t="s">
        <v>2830</v>
      </c>
      <c r="B33" s="258" t="s">
        <v>2831</v>
      </c>
      <c r="C33" s="261" t="s">
        <v>2832</v>
      </c>
      <c r="D33" s="258" t="s">
        <v>2721</v>
      </c>
      <c r="E33" s="258" t="s">
        <v>2746</v>
      </c>
      <c r="F33" s="263"/>
      <c r="G33" s="258" t="s">
        <v>920</v>
      </c>
      <c r="H33" s="258" t="s">
        <v>115</v>
      </c>
      <c r="I33" s="258" t="s">
        <v>620</v>
      </c>
      <c r="J33" s="262" t="s">
        <v>2216</v>
      </c>
      <c r="K33" s="260">
        <v>2019.0</v>
      </c>
    </row>
    <row r="34">
      <c r="A34" s="258" t="s">
        <v>2833</v>
      </c>
      <c r="B34" s="258" t="s">
        <v>2834</v>
      </c>
      <c r="C34" s="261" t="s">
        <v>2835</v>
      </c>
      <c r="D34" s="258" t="s">
        <v>2721</v>
      </c>
      <c r="E34" s="258" t="s">
        <v>2722</v>
      </c>
      <c r="F34" s="263"/>
      <c r="G34" s="258" t="s">
        <v>260</v>
      </c>
      <c r="H34" s="258" t="s">
        <v>92</v>
      </c>
      <c r="I34" s="258" t="s">
        <v>620</v>
      </c>
      <c r="J34" s="262" t="s">
        <v>2216</v>
      </c>
      <c r="K34" s="260">
        <v>2019.0</v>
      </c>
    </row>
    <row r="35">
      <c r="A35" s="258" t="s">
        <v>2836</v>
      </c>
      <c r="B35" s="258" t="s">
        <v>2837</v>
      </c>
      <c r="C35" s="261" t="s">
        <v>2838</v>
      </c>
      <c r="D35" s="258" t="s">
        <v>2721</v>
      </c>
      <c r="E35" s="258" t="s">
        <v>2746</v>
      </c>
      <c r="F35" s="258" t="s">
        <v>137</v>
      </c>
      <c r="G35" s="258" t="s">
        <v>260</v>
      </c>
      <c r="H35" s="258" t="s">
        <v>115</v>
      </c>
      <c r="I35" s="258" t="s">
        <v>128</v>
      </c>
      <c r="J35" s="258" t="s">
        <v>2220</v>
      </c>
      <c r="K35" s="260">
        <v>2018.0</v>
      </c>
    </row>
    <row r="36">
      <c r="A36" s="258" t="s">
        <v>2839</v>
      </c>
      <c r="B36" s="258" t="s">
        <v>2840</v>
      </c>
      <c r="C36" s="261" t="s">
        <v>2841</v>
      </c>
      <c r="D36" s="258" t="s">
        <v>2721</v>
      </c>
      <c r="E36" s="258" t="s">
        <v>2766</v>
      </c>
      <c r="F36" s="258" t="s">
        <v>216</v>
      </c>
      <c r="G36" s="258" t="s">
        <v>260</v>
      </c>
      <c r="H36" s="258" t="s">
        <v>92</v>
      </c>
      <c r="I36" s="258" t="s">
        <v>620</v>
      </c>
      <c r="J36" s="262" t="s">
        <v>2216</v>
      </c>
      <c r="K36" s="260">
        <v>2018.0</v>
      </c>
    </row>
    <row r="37">
      <c r="A37" s="258" t="s">
        <v>2842</v>
      </c>
      <c r="B37" s="258" t="s">
        <v>2843</v>
      </c>
      <c r="C37" s="261" t="s">
        <v>2844</v>
      </c>
      <c r="D37" s="258" t="s">
        <v>2721</v>
      </c>
      <c r="E37" s="258" t="s">
        <v>2845</v>
      </c>
      <c r="F37" s="258" t="s">
        <v>101</v>
      </c>
      <c r="G37" s="258" t="s">
        <v>176</v>
      </c>
      <c r="H37" s="258" t="s">
        <v>115</v>
      </c>
      <c r="I37" s="258" t="s">
        <v>620</v>
      </c>
      <c r="J37" s="262" t="s">
        <v>2216</v>
      </c>
      <c r="K37" s="260">
        <v>2018.0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s>
  <drawing r:id="rId3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1">
      <c r="A1" s="52" t="s">
        <v>942</v>
      </c>
      <c r="B1" s="53" t="s">
        <v>57</v>
      </c>
      <c r="C1" s="54" t="s">
        <v>58</v>
      </c>
      <c r="D1" s="55" t="s">
        <v>943</v>
      </c>
      <c r="E1" s="56" t="s">
        <v>944</v>
      </c>
      <c r="F1" s="57" t="s">
        <v>945</v>
      </c>
      <c r="G1" s="58" t="s">
        <v>946</v>
      </c>
      <c r="H1" s="58" t="s">
        <v>947</v>
      </c>
      <c r="I1" s="58" t="s">
        <v>948</v>
      </c>
      <c r="J1" s="59" t="s">
        <v>949</v>
      </c>
      <c r="K1" s="58" t="s">
        <v>62</v>
      </c>
      <c r="L1" s="58" t="s">
        <v>61</v>
      </c>
      <c r="M1" s="60" t="s">
        <v>950</v>
      </c>
      <c r="N1" s="61" t="s">
        <v>951</v>
      </c>
      <c r="O1" s="62" t="s">
        <v>952</v>
      </c>
      <c r="P1" s="62" t="s">
        <v>953</v>
      </c>
      <c r="Q1" s="63" t="s">
        <v>955</v>
      </c>
      <c r="R1" s="58" t="s">
        <v>956</v>
      </c>
      <c r="S1" s="58" t="s">
        <v>957</v>
      </c>
      <c r="T1" s="64" t="s">
        <v>958</v>
      </c>
      <c r="U1" s="65" t="s">
        <v>959</v>
      </c>
      <c r="V1" s="66" t="s">
        <v>960</v>
      </c>
      <c r="W1" s="64" t="s">
        <v>961</v>
      </c>
      <c r="X1" s="64"/>
      <c r="Y1" s="64"/>
      <c r="Z1" s="64"/>
      <c r="AA1" s="64"/>
      <c r="AB1" s="64"/>
      <c r="AC1" s="64"/>
      <c r="AD1" s="64"/>
      <c r="AE1" s="64"/>
      <c r="AF1" s="64"/>
      <c r="AG1" s="64"/>
      <c r="AH1" s="64"/>
      <c r="AI1" s="64"/>
      <c r="AJ1" s="64"/>
      <c r="AK1" s="64"/>
    </row>
    <row r="2">
      <c r="A2" s="26" t="s">
        <v>507</v>
      </c>
      <c r="C2" s="246" t="s">
        <v>2846</v>
      </c>
      <c r="D2" s="122" t="s">
        <v>2847</v>
      </c>
      <c r="E2" s="26" t="s">
        <v>2848</v>
      </c>
      <c r="F2" s="26" t="s">
        <v>2849</v>
      </c>
      <c r="I2" s="26" t="s">
        <v>1062</v>
      </c>
      <c r="J2" s="67" t="s">
        <v>1062</v>
      </c>
      <c r="K2" s="26" t="s">
        <v>1062</v>
      </c>
      <c r="L2" s="26" t="s">
        <v>1062</v>
      </c>
      <c r="M2" s="71" t="s">
        <v>2850</v>
      </c>
      <c r="N2" s="75">
        <v>2021.0</v>
      </c>
      <c r="O2" s="71" t="s">
        <v>2851</v>
      </c>
      <c r="P2" s="71" t="s">
        <v>1062</v>
      </c>
      <c r="Q2" s="67" t="s">
        <v>963</v>
      </c>
      <c r="R2" s="26" t="s">
        <v>1062</v>
      </c>
      <c r="S2" s="26" t="s">
        <v>1062</v>
      </c>
      <c r="T2" s="26" t="s">
        <v>2852</v>
      </c>
      <c r="U2" s="41"/>
      <c r="V2" s="26" t="s">
        <v>931</v>
      </c>
      <c r="W2" s="26" t="s">
        <v>2853</v>
      </c>
    </row>
  </sheetData>
  <conditionalFormatting sqref="V1">
    <cfRule type="notContainsBlanks" dxfId="4" priority="1">
      <formula>LEN(TRIM(V1))&gt;0</formula>
    </cfRule>
  </conditionalFormatting>
  <conditionalFormatting sqref="V1:V2">
    <cfRule type="containsText" dxfId="2" priority="2" operator="containsText" text="No">
      <formula>NOT(ISERROR(SEARCH(("No"),(V1))))</formula>
    </cfRule>
  </conditionalFormatting>
  <conditionalFormatting sqref="V1:V2">
    <cfRule type="containsText" dxfId="3" priority="3" operator="containsText" text="Yes">
      <formula>NOT(ISERROR(SEARCH(("Yes"),(V1))))</formula>
    </cfRule>
  </conditionalFormatting>
  <hyperlinks>
    <hyperlink r:id="rId1" ref="D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55.33"/>
    <col customWidth="1" min="2" max="2" width="24.33"/>
  </cols>
  <sheetData>
    <row r="1">
      <c r="A1" s="265" t="s">
        <v>2854</v>
      </c>
      <c r="B1" s="265" t="s">
        <v>2855</v>
      </c>
    </row>
    <row r="2">
      <c r="A2" s="266" t="s">
        <v>2856</v>
      </c>
      <c r="B2" s="266" t="s">
        <v>2857</v>
      </c>
    </row>
    <row r="3">
      <c r="A3" s="266" t="s">
        <v>2858</v>
      </c>
      <c r="B3" s="266" t="s">
        <v>2859</v>
      </c>
    </row>
    <row r="4">
      <c r="A4" s="266" t="s">
        <v>2860</v>
      </c>
      <c r="B4" s="266" t="s">
        <v>2861</v>
      </c>
    </row>
    <row r="5" ht="15.75" customHeight="1">
      <c r="A5" s="267" t="s">
        <v>2862</v>
      </c>
      <c r="B5" s="266" t="s">
        <v>2863</v>
      </c>
    </row>
    <row r="6">
      <c r="A6" s="266"/>
      <c r="B6" s="266"/>
    </row>
    <row r="7">
      <c r="A7" s="266"/>
      <c r="B7" s="266"/>
    </row>
    <row r="8">
      <c r="A8" s="266"/>
      <c r="B8" s="266"/>
    </row>
    <row r="9">
      <c r="A9" s="266"/>
      <c r="B9" s="266"/>
    </row>
    <row r="10">
      <c r="A10" s="266"/>
      <c r="B10" s="266"/>
    </row>
    <row r="11">
      <c r="A11" s="268"/>
      <c r="B11" s="266"/>
    </row>
    <row r="12">
      <c r="A12" s="266"/>
      <c r="B12" s="266"/>
    </row>
    <row r="13">
      <c r="A13" s="266"/>
      <c r="B13" s="266"/>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14.11"/>
    <col customWidth="1" min="8" max="8" width="14.89"/>
    <col customWidth="1" min="15" max="15" width="37.44"/>
  </cols>
  <sheetData>
    <row r="1">
      <c r="A1" s="269" t="s">
        <v>959</v>
      </c>
      <c r="B1" s="269" t="s">
        <v>2864</v>
      </c>
      <c r="C1" s="269" t="s">
        <v>58</v>
      </c>
      <c r="D1" s="269" t="s">
        <v>2717</v>
      </c>
      <c r="E1" s="269" t="s">
        <v>943</v>
      </c>
      <c r="F1" s="269" t="s">
        <v>2865</v>
      </c>
      <c r="G1" s="269" t="s">
        <v>2866</v>
      </c>
      <c r="H1" s="269" t="s">
        <v>2867</v>
      </c>
      <c r="I1" s="269" t="s">
        <v>2868</v>
      </c>
      <c r="J1" s="269" t="s">
        <v>2869</v>
      </c>
      <c r="K1" s="269" t="s">
        <v>2870</v>
      </c>
      <c r="L1" s="269" t="s">
        <v>2871</v>
      </c>
      <c r="M1" s="269" t="s">
        <v>2872</v>
      </c>
      <c r="N1" s="269" t="s">
        <v>2873</v>
      </c>
      <c r="O1" s="269" t="s">
        <v>2874</v>
      </c>
      <c r="P1" s="270" t="s">
        <v>2875</v>
      </c>
      <c r="Q1" s="271"/>
      <c r="R1" s="271"/>
      <c r="S1" s="271"/>
      <c r="T1" s="271"/>
      <c r="U1" s="271"/>
      <c r="V1" s="271"/>
      <c r="W1" s="271"/>
      <c r="X1" s="271"/>
      <c r="Y1" s="271"/>
      <c r="Z1" s="271"/>
      <c r="AA1" s="271"/>
      <c r="AB1" s="271"/>
      <c r="AC1" s="271"/>
      <c r="AD1" s="271"/>
      <c r="AE1" s="271"/>
      <c r="AF1" s="271"/>
      <c r="AG1" s="271"/>
      <c r="AH1" s="271"/>
      <c r="AI1" s="271"/>
    </row>
    <row r="2">
      <c r="A2" s="26" t="s">
        <v>2876</v>
      </c>
      <c r="B2" s="26" t="s">
        <v>963</v>
      </c>
      <c r="C2" s="26" t="s">
        <v>2877</v>
      </c>
      <c r="D2" s="26">
        <v>2023.0</v>
      </c>
      <c r="E2" s="122" t="s">
        <v>2878</v>
      </c>
      <c r="F2" s="26" t="s">
        <v>2879</v>
      </c>
      <c r="G2" s="26" t="s">
        <v>2880</v>
      </c>
      <c r="H2" s="26">
        <v>152.0</v>
      </c>
      <c r="I2" s="26" t="s">
        <v>2881</v>
      </c>
      <c r="J2" s="26" t="s">
        <v>2882</v>
      </c>
      <c r="K2" s="26" t="s">
        <v>2883</v>
      </c>
      <c r="L2" s="26" t="s">
        <v>2884</v>
      </c>
      <c r="M2" s="26" t="s">
        <v>2885</v>
      </c>
      <c r="N2" s="26" t="s">
        <v>2886</v>
      </c>
      <c r="O2" s="26" t="s">
        <v>2887</v>
      </c>
      <c r="P2" s="67" t="s">
        <v>2888</v>
      </c>
    </row>
    <row r="3">
      <c r="A3" s="26" t="s">
        <v>2889</v>
      </c>
      <c r="B3" s="26" t="s">
        <v>963</v>
      </c>
      <c r="C3" s="26" t="s">
        <v>2890</v>
      </c>
      <c r="D3" s="26">
        <v>2023.0</v>
      </c>
      <c r="E3" s="122" t="s">
        <v>2891</v>
      </c>
      <c r="F3" s="26" t="s">
        <v>2879</v>
      </c>
      <c r="G3" s="26" t="s">
        <v>2892</v>
      </c>
      <c r="H3" s="26" t="s">
        <v>1062</v>
      </c>
      <c r="I3" s="26" t="s">
        <v>2893</v>
      </c>
      <c r="J3" s="26" t="s">
        <v>2894</v>
      </c>
      <c r="K3" s="26" t="s">
        <v>2895</v>
      </c>
      <c r="L3" s="26" t="s">
        <v>2896</v>
      </c>
      <c r="M3" s="26" t="s">
        <v>2897</v>
      </c>
      <c r="N3" s="26" t="s">
        <v>2898</v>
      </c>
      <c r="O3" s="26" t="s">
        <v>2899</v>
      </c>
      <c r="P3" s="67" t="s">
        <v>2900</v>
      </c>
    </row>
    <row r="4">
      <c r="A4" s="26" t="s">
        <v>2901</v>
      </c>
      <c r="B4" s="26" t="s">
        <v>963</v>
      </c>
      <c r="C4" s="26" t="s">
        <v>2902</v>
      </c>
      <c r="D4" s="26">
        <v>2025.0</v>
      </c>
      <c r="E4" s="122" t="s">
        <v>2903</v>
      </c>
      <c r="F4" s="26" t="s">
        <v>2904</v>
      </c>
      <c r="G4" s="26" t="s">
        <v>2905</v>
      </c>
      <c r="H4" s="26">
        <v>93.0</v>
      </c>
      <c r="I4" s="26" t="s">
        <v>2906</v>
      </c>
      <c r="J4" s="26" t="s">
        <v>972</v>
      </c>
      <c r="K4" s="26" t="s">
        <v>2907</v>
      </c>
      <c r="L4" s="26" t="s">
        <v>49</v>
      </c>
      <c r="M4" s="26" t="s">
        <v>2908</v>
      </c>
      <c r="N4" s="26" t="s">
        <v>2909</v>
      </c>
      <c r="O4" s="26" t="s">
        <v>2910</v>
      </c>
      <c r="P4" s="67" t="s">
        <v>2911</v>
      </c>
    </row>
    <row r="5">
      <c r="A5" s="26" t="s">
        <v>2912</v>
      </c>
      <c r="B5" s="26" t="s">
        <v>963</v>
      </c>
      <c r="C5" s="26" t="s">
        <v>875</v>
      </c>
      <c r="D5" s="26">
        <v>2025.0</v>
      </c>
      <c r="E5" s="122" t="s">
        <v>2913</v>
      </c>
      <c r="F5" s="26" t="s">
        <v>2904</v>
      </c>
      <c r="G5" s="26" t="s">
        <v>2914</v>
      </c>
      <c r="H5" s="26" t="s">
        <v>1062</v>
      </c>
      <c r="I5" s="26" t="s">
        <v>2915</v>
      </c>
      <c r="J5" s="26" t="s">
        <v>2916</v>
      </c>
      <c r="K5" s="26" t="s">
        <v>2917</v>
      </c>
      <c r="L5" s="26" t="s">
        <v>49</v>
      </c>
      <c r="M5" s="26" t="s">
        <v>2918</v>
      </c>
      <c r="N5" s="26" t="s">
        <v>2919</v>
      </c>
      <c r="O5" s="26" t="s">
        <v>2920</v>
      </c>
      <c r="P5" s="67" t="s">
        <v>2921</v>
      </c>
    </row>
    <row r="6">
      <c r="A6" s="26" t="s">
        <v>2922</v>
      </c>
      <c r="B6" s="26" t="s">
        <v>963</v>
      </c>
      <c r="C6" s="26" t="s">
        <v>2923</v>
      </c>
      <c r="D6" s="26">
        <v>2025.0</v>
      </c>
      <c r="E6" s="122" t="s">
        <v>2924</v>
      </c>
      <c r="F6" s="26" t="s">
        <v>2904</v>
      </c>
      <c r="G6" s="26" t="s">
        <v>2925</v>
      </c>
      <c r="H6" s="26">
        <v>60.0</v>
      </c>
      <c r="I6" s="26" t="s">
        <v>2926</v>
      </c>
      <c r="J6" s="26" t="s">
        <v>972</v>
      </c>
      <c r="K6" s="26" t="s">
        <v>2927</v>
      </c>
      <c r="L6" s="26" t="s">
        <v>49</v>
      </c>
      <c r="M6" s="26" t="s">
        <v>2928</v>
      </c>
      <c r="N6" s="26" t="s">
        <v>2929</v>
      </c>
      <c r="O6" s="26" t="s">
        <v>2930</v>
      </c>
      <c r="P6" s="67" t="s">
        <v>2931</v>
      </c>
    </row>
    <row r="7">
      <c r="A7" s="26" t="s">
        <v>2932</v>
      </c>
      <c r="B7" s="26" t="s">
        <v>963</v>
      </c>
      <c r="C7" s="26" t="s">
        <v>2933</v>
      </c>
      <c r="D7" s="26">
        <v>2025.0</v>
      </c>
      <c r="E7" s="122" t="s">
        <v>2934</v>
      </c>
      <c r="F7" s="26" t="s">
        <v>2904</v>
      </c>
      <c r="G7" s="26" t="s">
        <v>2935</v>
      </c>
      <c r="H7" s="26" t="s">
        <v>1062</v>
      </c>
      <c r="I7" s="26" t="s">
        <v>2926</v>
      </c>
      <c r="J7" s="26" t="s">
        <v>972</v>
      </c>
      <c r="K7" s="26" t="s">
        <v>2936</v>
      </c>
      <c r="L7" s="26" t="s">
        <v>49</v>
      </c>
      <c r="M7" s="26" t="s">
        <v>2937</v>
      </c>
      <c r="N7" s="26" t="s">
        <v>2938</v>
      </c>
      <c r="O7" s="26" t="s">
        <v>2910</v>
      </c>
      <c r="P7" s="67" t="s">
        <v>2939</v>
      </c>
    </row>
    <row r="8">
      <c r="A8" s="26" t="s">
        <v>2940</v>
      </c>
      <c r="B8" s="26" t="s">
        <v>963</v>
      </c>
      <c r="C8" s="26" t="s">
        <v>2941</v>
      </c>
      <c r="D8" s="26">
        <v>2017.0</v>
      </c>
      <c r="E8" s="122" t="s">
        <v>2942</v>
      </c>
      <c r="F8" s="26" t="s">
        <v>2943</v>
      </c>
      <c r="G8" s="26" t="s">
        <v>2944</v>
      </c>
      <c r="H8" s="26" t="s">
        <v>1062</v>
      </c>
      <c r="I8" s="26" t="s">
        <v>2945</v>
      </c>
      <c r="J8" s="26" t="s">
        <v>2946</v>
      </c>
      <c r="K8" s="26" t="s">
        <v>2947</v>
      </c>
      <c r="L8" s="26" t="s">
        <v>2884</v>
      </c>
      <c r="M8" s="26" t="s">
        <v>2948</v>
      </c>
      <c r="N8" s="26" t="s">
        <v>2949</v>
      </c>
      <c r="O8" s="26" t="s">
        <v>2950</v>
      </c>
      <c r="P8" s="67" t="s">
        <v>2951</v>
      </c>
    </row>
    <row r="9">
      <c r="A9" s="26" t="s">
        <v>2952</v>
      </c>
      <c r="B9" s="26" t="s">
        <v>963</v>
      </c>
      <c r="C9" s="26" t="s">
        <v>2953</v>
      </c>
      <c r="D9" s="26">
        <v>2021.0</v>
      </c>
      <c r="E9" s="122" t="s">
        <v>2954</v>
      </c>
      <c r="F9" s="26" t="s">
        <v>2955</v>
      </c>
      <c r="G9" s="26" t="s">
        <v>2956</v>
      </c>
      <c r="H9" s="26" t="s">
        <v>1062</v>
      </c>
      <c r="I9" s="26" t="s">
        <v>2957</v>
      </c>
      <c r="J9" s="26" t="s">
        <v>2958</v>
      </c>
      <c r="K9" s="26" t="s">
        <v>2959</v>
      </c>
      <c r="L9" s="26" t="s">
        <v>49</v>
      </c>
      <c r="M9" s="26" t="s">
        <v>2960</v>
      </c>
      <c r="N9" s="26" t="s">
        <v>2961</v>
      </c>
      <c r="O9" s="26" t="s">
        <v>2899</v>
      </c>
      <c r="P9" s="67" t="s">
        <v>2962</v>
      </c>
    </row>
    <row r="10">
      <c r="A10" s="26" t="s">
        <v>2963</v>
      </c>
      <c r="B10" s="26" t="s">
        <v>963</v>
      </c>
      <c r="C10" s="26" t="s">
        <v>2964</v>
      </c>
      <c r="D10" s="26">
        <v>2021.0</v>
      </c>
      <c r="E10" s="122" t="s">
        <v>2965</v>
      </c>
      <c r="F10" s="26" t="s">
        <v>2955</v>
      </c>
      <c r="G10" s="26" t="s">
        <v>2966</v>
      </c>
      <c r="H10" s="26" t="s">
        <v>1062</v>
      </c>
      <c r="I10" s="26" t="s">
        <v>2881</v>
      </c>
      <c r="J10" s="26" t="s">
        <v>2967</v>
      </c>
      <c r="K10" s="26" t="s">
        <v>2968</v>
      </c>
      <c r="L10" s="26" t="s">
        <v>2969</v>
      </c>
      <c r="M10" s="26" t="s">
        <v>2970</v>
      </c>
      <c r="N10" s="26" t="s">
        <v>2971</v>
      </c>
      <c r="O10" s="26" t="s">
        <v>2899</v>
      </c>
      <c r="P10" s="67" t="s">
        <v>2972</v>
      </c>
    </row>
    <row r="11">
      <c r="P11" s="68"/>
    </row>
    <row r="12">
      <c r="P12" s="68"/>
    </row>
    <row r="13">
      <c r="P13" s="68"/>
    </row>
    <row r="14">
      <c r="P14" s="68"/>
    </row>
    <row r="15">
      <c r="P15" s="68"/>
    </row>
    <row r="16">
      <c r="P16" s="68"/>
    </row>
    <row r="17">
      <c r="P17" s="68"/>
    </row>
    <row r="18">
      <c r="P18" s="68"/>
    </row>
    <row r="19">
      <c r="P19" s="68"/>
    </row>
    <row r="20">
      <c r="P20" s="68"/>
    </row>
    <row r="21">
      <c r="P21" s="68"/>
    </row>
    <row r="22">
      <c r="P22" s="68"/>
    </row>
    <row r="23">
      <c r="P23" s="68"/>
    </row>
    <row r="24">
      <c r="P24" s="68"/>
    </row>
    <row r="25">
      <c r="P25" s="68"/>
    </row>
    <row r="26">
      <c r="P26" s="68"/>
    </row>
    <row r="27">
      <c r="P27" s="68"/>
    </row>
    <row r="28">
      <c r="P28" s="68"/>
    </row>
    <row r="29">
      <c r="P29" s="68"/>
    </row>
    <row r="30">
      <c r="P30" s="68"/>
    </row>
    <row r="31">
      <c r="P31" s="68"/>
    </row>
    <row r="32">
      <c r="P32" s="68"/>
    </row>
    <row r="33">
      <c r="P33" s="68"/>
    </row>
    <row r="34">
      <c r="P34" s="68"/>
    </row>
    <row r="35">
      <c r="P35" s="68"/>
    </row>
    <row r="36">
      <c r="P36" s="68"/>
    </row>
    <row r="37">
      <c r="P37" s="68"/>
    </row>
    <row r="38">
      <c r="P38" s="68"/>
    </row>
    <row r="39">
      <c r="P39" s="68"/>
    </row>
    <row r="40">
      <c r="P40" s="68"/>
    </row>
    <row r="41">
      <c r="P41" s="68"/>
    </row>
    <row r="42">
      <c r="P42" s="68"/>
    </row>
    <row r="43">
      <c r="P43" s="68"/>
    </row>
    <row r="44">
      <c r="P44" s="68"/>
    </row>
    <row r="45">
      <c r="P45" s="68"/>
    </row>
    <row r="46">
      <c r="P46" s="68"/>
    </row>
    <row r="47">
      <c r="P47" s="68"/>
    </row>
    <row r="48">
      <c r="P48" s="68"/>
    </row>
    <row r="49">
      <c r="P49" s="68"/>
    </row>
    <row r="50">
      <c r="P50" s="68"/>
    </row>
    <row r="51">
      <c r="P51" s="68"/>
    </row>
    <row r="52">
      <c r="P52" s="68"/>
    </row>
    <row r="53">
      <c r="P53" s="68"/>
    </row>
    <row r="54">
      <c r="P54" s="68"/>
    </row>
    <row r="55">
      <c r="P55" s="68"/>
    </row>
    <row r="56">
      <c r="P56" s="68"/>
    </row>
    <row r="57">
      <c r="P57" s="68"/>
    </row>
    <row r="58">
      <c r="P58" s="68"/>
    </row>
    <row r="59">
      <c r="P59" s="68"/>
    </row>
    <row r="60">
      <c r="P60" s="68"/>
    </row>
    <row r="61">
      <c r="P61" s="68"/>
    </row>
    <row r="62">
      <c r="P62" s="68"/>
    </row>
    <row r="63">
      <c r="P63" s="68"/>
    </row>
    <row r="64">
      <c r="P64" s="68"/>
    </row>
    <row r="65">
      <c r="P65" s="68"/>
    </row>
    <row r="66">
      <c r="P66" s="68"/>
    </row>
    <row r="67">
      <c r="P67" s="68"/>
    </row>
    <row r="68">
      <c r="P68" s="68"/>
    </row>
    <row r="69">
      <c r="P69" s="68"/>
    </row>
    <row r="70">
      <c r="P70" s="68"/>
    </row>
    <row r="71">
      <c r="P71" s="68"/>
    </row>
    <row r="72">
      <c r="P72" s="68"/>
    </row>
    <row r="73">
      <c r="P73" s="68"/>
    </row>
    <row r="74">
      <c r="P74" s="68"/>
    </row>
    <row r="75">
      <c r="P75" s="68"/>
    </row>
    <row r="76">
      <c r="P76" s="68"/>
    </row>
    <row r="77">
      <c r="P77" s="68"/>
    </row>
    <row r="78">
      <c r="P78" s="68"/>
    </row>
    <row r="79">
      <c r="P79" s="68"/>
    </row>
    <row r="80">
      <c r="P80" s="68"/>
    </row>
    <row r="81">
      <c r="P81" s="68"/>
    </row>
    <row r="82">
      <c r="P82" s="68"/>
    </row>
    <row r="83">
      <c r="P83" s="68"/>
    </row>
    <row r="84">
      <c r="P84" s="68"/>
    </row>
    <row r="85">
      <c r="P85" s="68"/>
    </row>
    <row r="86">
      <c r="P86" s="68"/>
    </row>
    <row r="87">
      <c r="P87" s="68"/>
    </row>
    <row r="88">
      <c r="P88" s="68"/>
    </row>
    <row r="89">
      <c r="P89" s="68"/>
    </row>
    <row r="90">
      <c r="P90" s="68"/>
    </row>
    <row r="91">
      <c r="P91" s="68"/>
    </row>
    <row r="92">
      <c r="P92" s="68"/>
    </row>
    <row r="93">
      <c r="P93" s="68"/>
    </row>
    <row r="94">
      <c r="P94" s="68"/>
    </row>
    <row r="95">
      <c r="P95" s="68"/>
    </row>
    <row r="96">
      <c r="P96" s="68"/>
    </row>
    <row r="97">
      <c r="P97" s="68"/>
    </row>
    <row r="98">
      <c r="P98" s="68"/>
    </row>
    <row r="99">
      <c r="P99" s="68"/>
    </row>
    <row r="100">
      <c r="P100" s="68"/>
    </row>
    <row r="101">
      <c r="P101" s="68"/>
    </row>
    <row r="102">
      <c r="P102" s="68"/>
    </row>
    <row r="103">
      <c r="P103" s="68"/>
    </row>
    <row r="104">
      <c r="P104" s="68"/>
    </row>
    <row r="105">
      <c r="P105" s="68"/>
    </row>
    <row r="106">
      <c r="P106" s="68"/>
    </row>
    <row r="107">
      <c r="P107" s="68"/>
    </row>
    <row r="108">
      <c r="P108" s="68"/>
    </row>
    <row r="109">
      <c r="P109" s="68"/>
    </row>
    <row r="110">
      <c r="P110" s="68"/>
    </row>
    <row r="111">
      <c r="P111" s="68"/>
    </row>
    <row r="112">
      <c r="P112" s="68"/>
    </row>
    <row r="113">
      <c r="P113" s="68"/>
    </row>
    <row r="114">
      <c r="P114" s="68"/>
    </row>
    <row r="115">
      <c r="P115" s="68"/>
    </row>
    <row r="116">
      <c r="P116" s="68"/>
    </row>
    <row r="117">
      <c r="P117" s="68"/>
    </row>
    <row r="118">
      <c r="P118" s="68"/>
    </row>
    <row r="119">
      <c r="P119" s="68"/>
    </row>
    <row r="120">
      <c r="P120" s="68"/>
    </row>
    <row r="121">
      <c r="P121" s="68"/>
    </row>
    <row r="122">
      <c r="P122" s="68"/>
    </row>
    <row r="123">
      <c r="P123" s="68"/>
    </row>
    <row r="124">
      <c r="P124" s="68"/>
    </row>
    <row r="125">
      <c r="P125" s="68"/>
    </row>
    <row r="126">
      <c r="P126" s="68"/>
    </row>
    <row r="127">
      <c r="P127" s="68"/>
    </row>
    <row r="128">
      <c r="P128" s="68"/>
    </row>
    <row r="129">
      <c r="P129" s="68"/>
    </row>
    <row r="130">
      <c r="P130" s="68"/>
    </row>
    <row r="131">
      <c r="P131" s="68"/>
    </row>
    <row r="132">
      <c r="P132" s="68"/>
    </row>
    <row r="133">
      <c r="P133" s="68"/>
    </row>
    <row r="134">
      <c r="P134" s="68"/>
    </row>
    <row r="135">
      <c r="P135" s="68"/>
    </row>
    <row r="136">
      <c r="P136" s="68"/>
    </row>
    <row r="137">
      <c r="P137" s="68"/>
    </row>
    <row r="138">
      <c r="P138" s="68"/>
    </row>
    <row r="139">
      <c r="P139" s="68"/>
    </row>
    <row r="140">
      <c r="P140" s="68"/>
    </row>
    <row r="141">
      <c r="P141" s="68"/>
    </row>
    <row r="142">
      <c r="P142" s="68"/>
    </row>
    <row r="143">
      <c r="P143" s="68"/>
    </row>
    <row r="144">
      <c r="P144" s="68"/>
    </row>
    <row r="145">
      <c r="P145" s="68"/>
    </row>
    <row r="146">
      <c r="P146" s="68"/>
    </row>
    <row r="147">
      <c r="P147" s="68"/>
    </row>
    <row r="148">
      <c r="P148" s="68"/>
    </row>
    <row r="149">
      <c r="P149" s="68"/>
    </row>
    <row r="150">
      <c r="P150" s="68"/>
    </row>
    <row r="151">
      <c r="P151" s="68"/>
    </row>
    <row r="152">
      <c r="P152" s="68"/>
    </row>
    <row r="153">
      <c r="P153" s="68"/>
    </row>
    <row r="154">
      <c r="P154" s="68"/>
    </row>
    <row r="155">
      <c r="P155" s="68"/>
    </row>
    <row r="156">
      <c r="P156" s="68"/>
    </row>
    <row r="157">
      <c r="P157" s="68"/>
    </row>
    <row r="158">
      <c r="P158" s="68"/>
    </row>
    <row r="159">
      <c r="P159" s="68"/>
    </row>
    <row r="160">
      <c r="P160" s="68"/>
    </row>
    <row r="161">
      <c r="P161" s="68"/>
    </row>
    <row r="162">
      <c r="P162" s="68"/>
    </row>
    <row r="163">
      <c r="P163" s="68"/>
    </row>
    <row r="164">
      <c r="P164" s="68"/>
    </row>
    <row r="165">
      <c r="P165" s="68"/>
    </row>
    <row r="166">
      <c r="P166" s="68"/>
    </row>
    <row r="167">
      <c r="P167" s="68"/>
    </row>
    <row r="168">
      <c r="P168" s="68"/>
    </row>
    <row r="169">
      <c r="P169" s="68"/>
    </row>
    <row r="170">
      <c r="P170" s="68"/>
    </row>
    <row r="171">
      <c r="P171" s="68"/>
    </row>
    <row r="172">
      <c r="P172" s="68"/>
    </row>
    <row r="173">
      <c r="P173" s="68"/>
    </row>
    <row r="174">
      <c r="P174" s="68"/>
    </row>
    <row r="175">
      <c r="P175" s="68"/>
    </row>
    <row r="176">
      <c r="P176" s="68"/>
    </row>
    <row r="177">
      <c r="P177" s="68"/>
    </row>
    <row r="178">
      <c r="P178" s="68"/>
    </row>
    <row r="179">
      <c r="P179" s="68"/>
    </row>
    <row r="180">
      <c r="P180" s="68"/>
    </row>
    <row r="181">
      <c r="P181" s="68"/>
    </row>
    <row r="182">
      <c r="P182" s="68"/>
    </row>
    <row r="183">
      <c r="P183" s="68"/>
    </row>
    <row r="184">
      <c r="P184" s="68"/>
    </row>
    <row r="185">
      <c r="P185" s="68"/>
    </row>
    <row r="186">
      <c r="P186" s="68"/>
    </row>
    <row r="187">
      <c r="P187" s="68"/>
    </row>
    <row r="188">
      <c r="P188" s="68"/>
    </row>
    <row r="189">
      <c r="P189" s="68"/>
    </row>
    <row r="190">
      <c r="P190" s="68"/>
    </row>
    <row r="191">
      <c r="P191" s="68"/>
    </row>
    <row r="192">
      <c r="P192" s="68"/>
    </row>
    <row r="193">
      <c r="P193" s="68"/>
    </row>
    <row r="194">
      <c r="P194" s="68"/>
    </row>
    <row r="195">
      <c r="P195" s="68"/>
    </row>
    <row r="196">
      <c r="P196" s="68"/>
    </row>
    <row r="197">
      <c r="P197" s="68"/>
    </row>
    <row r="198">
      <c r="P198" s="68"/>
    </row>
    <row r="199">
      <c r="P199" s="68"/>
    </row>
    <row r="200">
      <c r="P200" s="68"/>
    </row>
    <row r="201">
      <c r="P201" s="68"/>
    </row>
    <row r="202">
      <c r="P202" s="68"/>
    </row>
    <row r="203">
      <c r="P203" s="68"/>
    </row>
    <row r="204">
      <c r="P204" s="68"/>
    </row>
    <row r="205">
      <c r="P205" s="68"/>
    </row>
    <row r="206">
      <c r="P206" s="68"/>
    </row>
    <row r="207">
      <c r="P207" s="68"/>
    </row>
    <row r="208">
      <c r="P208" s="68"/>
    </row>
    <row r="209">
      <c r="P209" s="68"/>
    </row>
    <row r="210">
      <c r="P210" s="68"/>
    </row>
    <row r="211">
      <c r="P211" s="68"/>
    </row>
    <row r="212">
      <c r="P212" s="68"/>
    </row>
    <row r="213">
      <c r="P213" s="68"/>
    </row>
    <row r="214">
      <c r="P214" s="68"/>
    </row>
    <row r="215">
      <c r="P215" s="68"/>
    </row>
    <row r="216">
      <c r="P216" s="68"/>
    </row>
    <row r="217">
      <c r="P217" s="68"/>
    </row>
    <row r="218">
      <c r="P218" s="68"/>
    </row>
    <row r="219">
      <c r="P219" s="68"/>
    </row>
    <row r="220">
      <c r="P220" s="68"/>
    </row>
    <row r="221">
      <c r="P221" s="68"/>
    </row>
    <row r="222">
      <c r="P222" s="68"/>
    </row>
    <row r="223">
      <c r="P223" s="68"/>
    </row>
    <row r="224">
      <c r="P224" s="68"/>
    </row>
    <row r="225">
      <c r="P225" s="68"/>
    </row>
    <row r="226">
      <c r="P226" s="68"/>
    </row>
    <row r="227">
      <c r="P227" s="68"/>
    </row>
    <row r="228">
      <c r="P228" s="68"/>
    </row>
    <row r="229">
      <c r="P229" s="68"/>
    </row>
    <row r="230">
      <c r="P230" s="68"/>
    </row>
    <row r="231">
      <c r="P231" s="68"/>
    </row>
    <row r="232">
      <c r="P232" s="68"/>
    </row>
    <row r="233">
      <c r="P233" s="68"/>
    </row>
    <row r="234">
      <c r="P234" s="68"/>
    </row>
    <row r="235">
      <c r="P235" s="68"/>
    </row>
    <row r="236">
      <c r="P236" s="68"/>
    </row>
    <row r="237">
      <c r="P237" s="68"/>
    </row>
    <row r="238">
      <c r="P238" s="68"/>
    </row>
    <row r="239">
      <c r="P239" s="68"/>
    </row>
    <row r="240">
      <c r="P240" s="68"/>
    </row>
    <row r="241">
      <c r="P241" s="68"/>
    </row>
    <row r="242">
      <c r="P242" s="68"/>
    </row>
    <row r="243">
      <c r="P243" s="68"/>
    </row>
    <row r="244">
      <c r="P244" s="68"/>
    </row>
    <row r="245">
      <c r="P245" s="68"/>
    </row>
    <row r="246">
      <c r="P246" s="68"/>
    </row>
    <row r="247">
      <c r="P247" s="68"/>
    </row>
    <row r="248">
      <c r="P248" s="68"/>
    </row>
    <row r="249">
      <c r="P249" s="68"/>
    </row>
    <row r="250">
      <c r="P250" s="68"/>
    </row>
    <row r="251">
      <c r="P251" s="68"/>
    </row>
    <row r="252">
      <c r="P252" s="68"/>
    </row>
    <row r="253">
      <c r="P253" s="68"/>
    </row>
    <row r="254">
      <c r="P254" s="68"/>
    </row>
    <row r="255">
      <c r="P255" s="68"/>
    </row>
    <row r="256">
      <c r="P256" s="68"/>
    </row>
    <row r="257">
      <c r="P257" s="68"/>
    </row>
    <row r="258">
      <c r="P258" s="68"/>
    </row>
    <row r="259">
      <c r="P259" s="68"/>
    </row>
    <row r="260">
      <c r="P260" s="68"/>
    </row>
    <row r="261">
      <c r="P261" s="68"/>
    </row>
    <row r="262">
      <c r="P262" s="68"/>
    </row>
    <row r="263">
      <c r="P263" s="68"/>
    </row>
    <row r="264">
      <c r="P264" s="68"/>
    </row>
    <row r="265">
      <c r="P265" s="68"/>
    </row>
    <row r="266">
      <c r="P266" s="68"/>
    </row>
    <row r="267">
      <c r="P267" s="68"/>
    </row>
    <row r="268">
      <c r="P268" s="68"/>
    </row>
    <row r="269">
      <c r="P269" s="68"/>
    </row>
    <row r="270">
      <c r="P270" s="68"/>
    </row>
    <row r="271">
      <c r="P271" s="68"/>
    </row>
    <row r="272">
      <c r="P272" s="68"/>
    </row>
    <row r="273">
      <c r="P273" s="68"/>
    </row>
    <row r="274">
      <c r="P274" s="68"/>
    </row>
    <row r="275">
      <c r="P275" s="68"/>
    </row>
    <row r="276">
      <c r="P276" s="68"/>
    </row>
    <row r="277">
      <c r="P277" s="68"/>
    </row>
    <row r="278">
      <c r="P278" s="68"/>
    </row>
    <row r="279">
      <c r="P279" s="68"/>
    </row>
    <row r="280">
      <c r="P280" s="68"/>
    </row>
    <row r="281">
      <c r="P281" s="68"/>
    </row>
    <row r="282">
      <c r="P282" s="68"/>
    </row>
    <row r="283">
      <c r="P283" s="68"/>
    </row>
    <row r="284">
      <c r="P284" s="68"/>
    </row>
    <row r="285">
      <c r="P285" s="68"/>
    </row>
    <row r="286">
      <c r="P286" s="68"/>
    </row>
    <row r="287">
      <c r="P287" s="68"/>
    </row>
    <row r="288">
      <c r="P288" s="68"/>
    </row>
    <row r="289">
      <c r="P289" s="68"/>
    </row>
    <row r="290">
      <c r="P290" s="68"/>
    </row>
    <row r="291">
      <c r="P291" s="68"/>
    </row>
    <row r="292">
      <c r="P292" s="68"/>
    </row>
    <row r="293">
      <c r="P293" s="68"/>
    </row>
    <row r="294">
      <c r="P294" s="68"/>
    </row>
    <row r="295">
      <c r="P295" s="68"/>
    </row>
    <row r="296">
      <c r="P296" s="68"/>
    </row>
    <row r="297">
      <c r="P297" s="68"/>
    </row>
    <row r="298">
      <c r="P298" s="68"/>
    </row>
    <row r="299">
      <c r="P299" s="68"/>
    </row>
    <row r="300">
      <c r="P300" s="68"/>
    </row>
    <row r="301">
      <c r="P301" s="68"/>
    </row>
    <row r="302">
      <c r="P302" s="68"/>
    </row>
    <row r="303">
      <c r="P303" s="68"/>
    </row>
    <row r="304">
      <c r="P304" s="68"/>
    </row>
    <row r="305">
      <c r="P305" s="68"/>
    </row>
    <row r="306">
      <c r="P306" s="68"/>
    </row>
    <row r="307">
      <c r="P307" s="68"/>
    </row>
    <row r="308">
      <c r="P308" s="68"/>
    </row>
    <row r="309">
      <c r="P309" s="68"/>
    </row>
    <row r="310">
      <c r="P310" s="68"/>
    </row>
    <row r="311">
      <c r="P311" s="68"/>
    </row>
    <row r="312">
      <c r="P312" s="68"/>
    </row>
    <row r="313">
      <c r="P313" s="68"/>
    </row>
    <row r="314">
      <c r="P314" s="68"/>
    </row>
    <row r="315">
      <c r="P315" s="68"/>
    </row>
    <row r="316">
      <c r="P316" s="68"/>
    </row>
    <row r="317">
      <c r="P317" s="68"/>
    </row>
    <row r="318">
      <c r="P318" s="68"/>
    </row>
    <row r="319">
      <c r="P319" s="68"/>
    </row>
    <row r="320">
      <c r="P320" s="68"/>
    </row>
    <row r="321">
      <c r="P321" s="68"/>
    </row>
    <row r="322">
      <c r="P322" s="68"/>
    </row>
    <row r="323">
      <c r="P323" s="68"/>
    </row>
    <row r="324">
      <c r="P324" s="68"/>
    </row>
    <row r="325">
      <c r="P325" s="68"/>
    </row>
    <row r="326">
      <c r="P326" s="68"/>
    </row>
    <row r="327">
      <c r="P327" s="68"/>
    </row>
    <row r="328">
      <c r="P328" s="68"/>
    </row>
    <row r="329">
      <c r="P329" s="68"/>
    </row>
    <row r="330">
      <c r="P330" s="68"/>
    </row>
    <row r="331">
      <c r="P331" s="68"/>
    </row>
    <row r="332">
      <c r="P332" s="68"/>
    </row>
    <row r="333">
      <c r="P333" s="68"/>
    </row>
    <row r="334">
      <c r="P334" s="68"/>
    </row>
    <row r="335">
      <c r="P335" s="68"/>
    </row>
    <row r="336">
      <c r="P336" s="68"/>
    </row>
    <row r="337">
      <c r="P337" s="68"/>
    </row>
    <row r="338">
      <c r="P338" s="68"/>
    </row>
    <row r="339">
      <c r="P339" s="68"/>
    </row>
    <row r="340">
      <c r="P340" s="68"/>
    </row>
    <row r="341">
      <c r="P341" s="68"/>
    </row>
    <row r="342">
      <c r="P342" s="68"/>
    </row>
    <row r="343">
      <c r="P343" s="68"/>
    </row>
    <row r="344">
      <c r="P344" s="68"/>
    </row>
    <row r="345">
      <c r="P345" s="68"/>
    </row>
    <row r="346">
      <c r="P346" s="68"/>
    </row>
    <row r="347">
      <c r="P347" s="68"/>
    </row>
    <row r="348">
      <c r="P348" s="68"/>
    </row>
    <row r="349">
      <c r="P349" s="68"/>
    </row>
    <row r="350">
      <c r="P350" s="68"/>
    </row>
    <row r="351">
      <c r="P351" s="68"/>
    </row>
    <row r="352">
      <c r="P352" s="68"/>
    </row>
    <row r="353">
      <c r="P353" s="68"/>
    </row>
    <row r="354">
      <c r="P354" s="68"/>
    </row>
    <row r="355">
      <c r="P355" s="68"/>
    </row>
    <row r="356">
      <c r="P356" s="68"/>
    </row>
    <row r="357">
      <c r="P357" s="68"/>
    </row>
    <row r="358">
      <c r="P358" s="68"/>
    </row>
    <row r="359">
      <c r="P359" s="68"/>
    </row>
    <row r="360">
      <c r="P360" s="68"/>
    </row>
    <row r="361">
      <c r="P361" s="68"/>
    </row>
    <row r="362">
      <c r="P362" s="68"/>
    </row>
    <row r="363">
      <c r="P363" s="68"/>
    </row>
    <row r="364">
      <c r="P364" s="68"/>
    </row>
    <row r="365">
      <c r="P365" s="68"/>
    </row>
    <row r="366">
      <c r="P366" s="68"/>
    </row>
    <row r="367">
      <c r="P367" s="68"/>
    </row>
    <row r="368">
      <c r="P368" s="68"/>
    </row>
    <row r="369">
      <c r="P369" s="68"/>
    </row>
    <row r="370">
      <c r="P370" s="68"/>
    </row>
    <row r="371">
      <c r="P371" s="68"/>
    </row>
    <row r="372">
      <c r="P372" s="68"/>
    </row>
    <row r="373">
      <c r="P373" s="68"/>
    </row>
    <row r="374">
      <c r="P374" s="68"/>
    </row>
    <row r="375">
      <c r="P375" s="68"/>
    </row>
    <row r="376">
      <c r="P376" s="68"/>
    </row>
    <row r="377">
      <c r="P377" s="68"/>
    </row>
    <row r="378">
      <c r="P378" s="68"/>
    </row>
    <row r="379">
      <c r="P379" s="68"/>
    </row>
    <row r="380">
      <c r="P380" s="68"/>
    </row>
    <row r="381">
      <c r="P381" s="68"/>
    </row>
    <row r="382">
      <c r="P382" s="68"/>
    </row>
    <row r="383">
      <c r="P383" s="68"/>
    </row>
    <row r="384">
      <c r="P384" s="68"/>
    </row>
    <row r="385">
      <c r="P385" s="68"/>
    </row>
    <row r="386">
      <c r="P386" s="68"/>
    </row>
    <row r="387">
      <c r="P387" s="68"/>
    </row>
    <row r="388">
      <c r="P388" s="68"/>
    </row>
    <row r="389">
      <c r="P389" s="68"/>
    </row>
    <row r="390">
      <c r="P390" s="68"/>
    </row>
    <row r="391">
      <c r="P391" s="68"/>
    </row>
    <row r="392">
      <c r="P392" s="68"/>
    </row>
    <row r="393">
      <c r="P393" s="68"/>
    </row>
    <row r="394">
      <c r="P394" s="68"/>
    </row>
    <row r="395">
      <c r="P395" s="68"/>
    </row>
    <row r="396">
      <c r="P396" s="68"/>
    </row>
    <row r="397">
      <c r="P397" s="68"/>
    </row>
    <row r="398">
      <c r="P398" s="68"/>
    </row>
    <row r="399">
      <c r="P399" s="68"/>
    </row>
    <row r="400">
      <c r="P400" s="68"/>
    </row>
    <row r="401">
      <c r="P401" s="68"/>
    </row>
    <row r="402">
      <c r="P402" s="68"/>
    </row>
    <row r="403">
      <c r="P403" s="68"/>
    </row>
    <row r="404">
      <c r="P404" s="68"/>
    </row>
    <row r="405">
      <c r="P405" s="68"/>
    </row>
    <row r="406">
      <c r="P406" s="68"/>
    </row>
    <row r="407">
      <c r="P407" s="68"/>
    </row>
    <row r="408">
      <c r="P408" s="68"/>
    </row>
    <row r="409">
      <c r="P409" s="68"/>
    </row>
    <row r="410">
      <c r="P410" s="68"/>
    </row>
    <row r="411">
      <c r="P411" s="68"/>
    </row>
    <row r="412">
      <c r="P412" s="68"/>
    </row>
    <row r="413">
      <c r="P413" s="68"/>
    </row>
    <row r="414">
      <c r="P414" s="68"/>
    </row>
    <row r="415">
      <c r="P415" s="68"/>
    </row>
    <row r="416">
      <c r="P416" s="68"/>
    </row>
    <row r="417">
      <c r="P417" s="68"/>
    </row>
    <row r="418">
      <c r="P418" s="68"/>
    </row>
    <row r="419">
      <c r="P419" s="68"/>
    </row>
    <row r="420">
      <c r="P420" s="68"/>
    </row>
    <row r="421">
      <c r="P421" s="68"/>
    </row>
    <row r="422">
      <c r="P422" s="68"/>
    </row>
    <row r="423">
      <c r="P423" s="68"/>
    </row>
    <row r="424">
      <c r="P424" s="68"/>
    </row>
    <row r="425">
      <c r="P425" s="68"/>
    </row>
    <row r="426">
      <c r="P426" s="68"/>
    </row>
    <row r="427">
      <c r="P427" s="68"/>
    </row>
    <row r="428">
      <c r="P428" s="68"/>
    </row>
    <row r="429">
      <c r="P429" s="68"/>
    </row>
    <row r="430">
      <c r="P430" s="68"/>
    </row>
    <row r="431">
      <c r="P431" s="68"/>
    </row>
    <row r="432">
      <c r="P432" s="68"/>
    </row>
    <row r="433">
      <c r="P433" s="68"/>
    </row>
    <row r="434">
      <c r="P434" s="68"/>
    </row>
    <row r="435">
      <c r="P435" s="68"/>
    </row>
    <row r="436">
      <c r="P436" s="68"/>
    </row>
    <row r="437">
      <c r="P437" s="68"/>
    </row>
    <row r="438">
      <c r="P438" s="68"/>
    </row>
    <row r="439">
      <c r="P439" s="68"/>
    </row>
    <row r="440">
      <c r="P440" s="68"/>
    </row>
    <row r="441">
      <c r="P441" s="68"/>
    </row>
    <row r="442">
      <c r="P442" s="68"/>
    </row>
    <row r="443">
      <c r="P443" s="68"/>
    </row>
    <row r="444">
      <c r="P444" s="68"/>
    </row>
    <row r="445">
      <c r="P445" s="68"/>
    </row>
    <row r="446">
      <c r="P446" s="68"/>
    </row>
    <row r="447">
      <c r="P447" s="68"/>
    </row>
    <row r="448">
      <c r="P448" s="68"/>
    </row>
    <row r="449">
      <c r="P449" s="68"/>
    </row>
    <row r="450">
      <c r="P450" s="68"/>
    </row>
    <row r="451">
      <c r="P451" s="68"/>
    </row>
    <row r="452">
      <c r="P452" s="68"/>
    </row>
    <row r="453">
      <c r="P453" s="68"/>
    </row>
    <row r="454">
      <c r="P454" s="68"/>
    </row>
    <row r="455">
      <c r="P455" s="68"/>
    </row>
    <row r="456">
      <c r="P456" s="68"/>
    </row>
    <row r="457">
      <c r="P457" s="68"/>
    </row>
    <row r="458">
      <c r="P458" s="68"/>
    </row>
    <row r="459">
      <c r="P459" s="68"/>
    </row>
    <row r="460">
      <c r="P460" s="68"/>
    </row>
    <row r="461">
      <c r="P461" s="68"/>
    </row>
    <row r="462">
      <c r="P462" s="68"/>
    </row>
    <row r="463">
      <c r="P463" s="68"/>
    </row>
    <row r="464">
      <c r="P464" s="68"/>
    </row>
    <row r="465">
      <c r="P465" s="68"/>
    </row>
    <row r="466">
      <c r="P466" s="68"/>
    </row>
    <row r="467">
      <c r="P467" s="68"/>
    </row>
    <row r="468">
      <c r="P468" s="68"/>
    </row>
    <row r="469">
      <c r="P469" s="68"/>
    </row>
    <row r="470">
      <c r="P470" s="68"/>
    </row>
    <row r="471">
      <c r="P471" s="68"/>
    </row>
    <row r="472">
      <c r="P472" s="68"/>
    </row>
    <row r="473">
      <c r="P473" s="68"/>
    </row>
    <row r="474">
      <c r="P474" s="68"/>
    </row>
    <row r="475">
      <c r="P475" s="68"/>
    </row>
    <row r="476">
      <c r="P476" s="68"/>
    </row>
    <row r="477">
      <c r="P477" s="68"/>
    </row>
    <row r="478">
      <c r="P478" s="68"/>
    </row>
    <row r="479">
      <c r="P479" s="68"/>
    </row>
    <row r="480">
      <c r="P480" s="68"/>
    </row>
    <row r="481">
      <c r="P481" s="68"/>
    </row>
    <row r="482">
      <c r="P482" s="68"/>
    </row>
    <row r="483">
      <c r="P483" s="68"/>
    </row>
    <row r="484">
      <c r="P484" s="68"/>
    </row>
    <row r="485">
      <c r="P485" s="68"/>
    </row>
    <row r="486">
      <c r="P486" s="68"/>
    </row>
    <row r="487">
      <c r="P487" s="68"/>
    </row>
    <row r="488">
      <c r="P488" s="68"/>
    </row>
    <row r="489">
      <c r="P489" s="68"/>
    </row>
    <row r="490">
      <c r="P490" s="68"/>
    </row>
    <row r="491">
      <c r="P491" s="68"/>
    </row>
    <row r="492">
      <c r="P492" s="68"/>
    </row>
    <row r="493">
      <c r="P493" s="68"/>
    </row>
    <row r="494">
      <c r="P494" s="68"/>
    </row>
    <row r="495">
      <c r="P495" s="68"/>
    </row>
    <row r="496">
      <c r="P496" s="68"/>
    </row>
    <row r="497">
      <c r="P497" s="68"/>
    </row>
    <row r="498">
      <c r="P498" s="68"/>
    </row>
    <row r="499">
      <c r="P499" s="68"/>
    </row>
    <row r="500">
      <c r="P500" s="68"/>
    </row>
    <row r="501">
      <c r="P501" s="68"/>
    </row>
    <row r="502">
      <c r="P502" s="68"/>
    </row>
    <row r="503">
      <c r="P503" s="68"/>
    </row>
    <row r="504">
      <c r="P504" s="68"/>
    </row>
    <row r="505">
      <c r="P505" s="68"/>
    </row>
    <row r="506">
      <c r="P506" s="68"/>
    </row>
    <row r="507">
      <c r="P507" s="68"/>
    </row>
    <row r="508">
      <c r="P508" s="68"/>
    </row>
    <row r="509">
      <c r="P509" s="68"/>
    </row>
    <row r="510">
      <c r="P510" s="68"/>
    </row>
    <row r="511">
      <c r="P511" s="68"/>
    </row>
    <row r="512">
      <c r="P512" s="68"/>
    </row>
    <row r="513">
      <c r="P513" s="68"/>
    </row>
    <row r="514">
      <c r="P514" s="68"/>
    </row>
    <row r="515">
      <c r="P515" s="68"/>
    </row>
    <row r="516">
      <c r="P516" s="68"/>
    </row>
    <row r="517">
      <c r="P517" s="68"/>
    </row>
    <row r="518">
      <c r="P518" s="68"/>
    </row>
    <row r="519">
      <c r="P519" s="68"/>
    </row>
    <row r="520">
      <c r="P520" s="68"/>
    </row>
    <row r="521">
      <c r="P521" s="68"/>
    </row>
    <row r="522">
      <c r="P522" s="68"/>
    </row>
    <row r="523">
      <c r="P523" s="68"/>
    </row>
    <row r="524">
      <c r="P524" s="68"/>
    </row>
    <row r="525">
      <c r="P525" s="68"/>
    </row>
    <row r="526">
      <c r="P526" s="68"/>
    </row>
    <row r="527">
      <c r="P527" s="68"/>
    </row>
    <row r="528">
      <c r="P528" s="68"/>
    </row>
    <row r="529">
      <c r="P529" s="68"/>
    </row>
    <row r="530">
      <c r="P530" s="68"/>
    </row>
    <row r="531">
      <c r="P531" s="68"/>
    </row>
    <row r="532">
      <c r="P532" s="68"/>
    </row>
    <row r="533">
      <c r="P533" s="68"/>
    </row>
    <row r="534">
      <c r="P534" s="68"/>
    </row>
    <row r="535">
      <c r="P535" s="68"/>
    </row>
    <row r="536">
      <c r="P536" s="68"/>
    </row>
    <row r="537">
      <c r="P537" s="68"/>
    </row>
    <row r="538">
      <c r="P538" s="68"/>
    </row>
    <row r="539">
      <c r="P539" s="68"/>
    </row>
    <row r="540">
      <c r="P540" s="68"/>
    </row>
    <row r="541">
      <c r="P541" s="68"/>
    </row>
    <row r="542">
      <c r="P542" s="68"/>
    </row>
    <row r="543">
      <c r="P543" s="68"/>
    </row>
    <row r="544">
      <c r="P544" s="68"/>
    </row>
    <row r="545">
      <c r="P545" s="68"/>
    </row>
    <row r="546">
      <c r="P546" s="68"/>
    </row>
    <row r="547">
      <c r="P547" s="68"/>
    </row>
    <row r="548">
      <c r="P548" s="68"/>
    </row>
    <row r="549">
      <c r="P549" s="68"/>
    </row>
    <row r="550">
      <c r="P550" s="68"/>
    </row>
    <row r="551">
      <c r="P551" s="68"/>
    </row>
    <row r="552">
      <c r="P552" s="68"/>
    </row>
    <row r="553">
      <c r="P553" s="68"/>
    </row>
    <row r="554">
      <c r="P554" s="68"/>
    </row>
    <row r="555">
      <c r="P555" s="68"/>
    </row>
    <row r="556">
      <c r="P556" s="68"/>
    </row>
    <row r="557">
      <c r="P557" s="68"/>
    </row>
    <row r="558">
      <c r="P558" s="68"/>
    </row>
    <row r="559">
      <c r="P559" s="68"/>
    </row>
    <row r="560">
      <c r="P560" s="68"/>
    </row>
    <row r="561">
      <c r="P561" s="68"/>
    </row>
    <row r="562">
      <c r="P562" s="68"/>
    </row>
    <row r="563">
      <c r="P563" s="68"/>
    </row>
    <row r="564">
      <c r="P564" s="68"/>
    </row>
    <row r="565">
      <c r="P565" s="68"/>
    </row>
    <row r="566">
      <c r="P566" s="68"/>
    </row>
    <row r="567">
      <c r="P567" s="68"/>
    </row>
    <row r="568">
      <c r="P568" s="68"/>
    </row>
    <row r="569">
      <c r="P569" s="68"/>
    </row>
    <row r="570">
      <c r="P570" s="68"/>
    </row>
    <row r="571">
      <c r="P571" s="68"/>
    </row>
    <row r="572">
      <c r="P572" s="68"/>
    </row>
    <row r="573">
      <c r="P573" s="68"/>
    </row>
    <row r="574">
      <c r="P574" s="68"/>
    </row>
    <row r="575">
      <c r="P575" s="68"/>
    </row>
    <row r="576">
      <c r="P576" s="68"/>
    </row>
    <row r="577">
      <c r="P577" s="68"/>
    </row>
    <row r="578">
      <c r="P578" s="68"/>
    </row>
    <row r="579">
      <c r="P579" s="68"/>
    </row>
    <row r="580">
      <c r="P580" s="68"/>
    </row>
    <row r="581">
      <c r="P581" s="68"/>
    </row>
    <row r="582">
      <c r="P582" s="68"/>
    </row>
    <row r="583">
      <c r="P583" s="68"/>
    </row>
    <row r="584">
      <c r="P584" s="68"/>
    </row>
    <row r="585">
      <c r="P585" s="68"/>
    </row>
    <row r="586">
      <c r="P586" s="68"/>
    </row>
    <row r="587">
      <c r="P587" s="68"/>
    </row>
    <row r="588">
      <c r="P588" s="68"/>
    </row>
    <row r="589">
      <c r="P589" s="68"/>
    </row>
    <row r="590">
      <c r="P590" s="68"/>
    </row>
    <row r="591">
      <c r="P591" s="68"/>
    </row>
    <row r="592">
      <c r="P592" s="68"/>
    </row>
    <row r="593">
      <c r="P593" s="68"/>
    </row>
    <row r="594">
      <c r="P594" s="68"/>
    </row>
    <row r="595">
      <c r="P595" s="68"/>
    </row>
    <row r="596">
      <c r="P596" s="68"/>
    </row>
    <row r="597">
      <c r="P597" s="68"/>
    </row>
    <row r="598">
      <c r="P598" s="68"/>
    </row>
    <row r="599">
      <c r="P599" s="68"/>
    </row>
    <row r="600">
      <c r="P600" s="68"/>
    </row>
    <row r="601">
      <c r="P601" s="68"/>
    </row>
    <row r="602">
      <c r="P602" s="68"/>
    </row>
    <row r="603">
      <c r="P603" s="68"/>
    </row>
    <row r="604">
      <c r="P604" s="68"/>
    </row>
    <row r="605">
      <c r="P605" s="68"/>
    </row>
    <row r="606">
      <c r="P606" s="68"/>
    </row>
    <row r="607">
      <c r="P607" s="68"/>
    </row>
    <row r="608">
      <c r="P608" s="68"/>
    </row>
    <row r="609">
      <c r="P609" s="68"/>
    </row>
    <row r="610">
      <c r="P610" s="68"/>
    </row>
    <row r="611">
      <c r="P611" s="68"/>
    </row>
    <row r="612">
      <c r="P612" s="68"/>
    </row>
    <row r="613">
      <c r="P613" s="68"/>
    </row>
    <row r="614">
      <c r="P614" s="68"/>
    </row>
    <row r="615">
      <c r="P615" s="68"/>
    </row>
    <row r="616">
      <c r="P616" s="68"/>
    </row>
    <row r="617">
      <c r="P617" s="68"/>
    </row>
    <row r="618">
      <c r="P618" s="68"/>
    </row>
    <row r="619">
      <c r="P619" s="68"/>
    </row>
    <row r="620">
      <c r="P620" s="68"/>
    </row>
    <row r="621">
      <c r="P621" s="68"/>
    </row>
    <row r="622">
      <c r="P622" s="68"/>
    </row>
    <row r="623">
      <c r="P623" s="68"/>
    </row>
    <row r="624">
      <c r="P624" s="68"/>
    </row>
    <row r="625">
      <c r="P625" s="68"/>
    </row>
    <row r="626">
      <c r="P626" s="68"/>
    </row>
    <row r="627">
      <c r="P627" s="68"/>
    </row>
    <row r="628">
      <c r="P628" s="68"/>
    </row>
    <row r="629">
      <c r="P629" s="68"/>
    </row>
    <row r="630">
      <c r="P630" s="68"/>
    </row>
    <row r="631">
      <c r="P631" s="68"/>
    </row>
    <row r="632">
      <c r="P632" s="68"/>
    </row>
    <row r="633">
      <c r="P633" s="68"/>
    </row>
    <row r="634">
      <c r="P634" s="68"/>
    </row>
    <row r="635">
      <c r="P635" s="68"/>
    </row>
    <row r="636">
      <c r="P636" s="68"/>
    </row>
    <row r="637">
      <c r="P637" s="68"/>
    </row>
    <row r="638">
      <c r="P638" s="68"/>
    </row>
    <row r="639">
      <c r="P639" s="68"/>
    </row>
    <row r="640">
      <c r="P640" s="68"/>
    </row>
    <row r="641">
      <c r="P641" s="68"/>
    </row>
    <row r="642">
      <c r="P642" s="68"/>
    </row>
    <row r="643">
      <c r="P643" s="68"/>
    </row>
    <row r="644">
      <c r="P644" s="68"/>
    </row>
    <row r="645">
      <c r="P645" s="68"/>
    </row>
    <row r="646">
      <c r="P646" s="68"/>
    </row>
    <row r="647">
      <c r="P647" s="68"/>
    </row>
    <row r="648">
      <c r="P648" s="68"/>
    </row>
    <row r="649">
      <c r="P649" s="68"/>
    </row>
    <row r="650">
      <c r="P650" s="68"/>
    </row>
    <row r="651">
      <c r="P651" s="68"/>
    </row>
    <row r="652">
      <c r="P652" s="68"/>
    </row>
    <row r="653">
      <c r="P653" s="68"/>
    </row>
    <row r="654">
      <c r="P654" s="68"/>
    </row>
    <row r="655">
      <c r="P655" s="68"/>
    </row>
    <row r="656">
      <c r="P656" s="68"/>
    </row>
    <row r="657">
      <c r="P657" s="68"/>
    </row>
    <row r="658">
      <c r="P658" s="68"/>
    </row>
    <row r="659">
      <c r="P659" s="68"/>
    </row>
    <row r="660">
      <c r="P660" s="68"/>
    </row>
    <row r="661">
      <c r="P661" s="68"/>
    </row>
    <row r="662">
      <c r="P662" s="68"/>
    </row>
    <row r="663">
      <c r="P663" s="68"/>
    </row>
    <row r="664">
      <c r="P664" s="68"/>
    </row>
    <row r="665">
      <c r="P665" s="68"/>
    </row>
    <row r="666">
      <c r="P666" s="68"/>
    </row>
    <row r="667">
      <c r="P667" s="68"/>
    </row>
    <row r="668">
      <c r="P668" s="68"/>
    </row>
    <row r="669">
      <c r="P669" s="68"/>
    </row>
    <row r="670">
      <c r="P670" s="68"/>
    </row>
    <row r="671">
      <c r="P671" s="68"/>
    </row>
    <row r="672">
      <c r="P672" s="68"/>
    </row>
    <row r="673">
      <c r="P673" s="68"/>
    </row>
    <row r="674">
      <c r="P674" s="68"/>
    </row>
    <row r="675">
      <c r="P675" s="68"/>
    </row>
    <row r="676">
      <c r="P676" s="68"/>
    </row>
    <row r="677">
      <c r="P677" s="68"/>
    </row>
    <row r="678">
      <c r="P678" s="68"/>
    </row>
    <row r="679">
      <c r="P679" s="68"/>
    </row>
    <row r="680">
      <c r="P680" s="68"/>
    </row>
    <row r="681">
      <c r="P681" s="68"/>
    </row>
    <row r="682">
      <c r="P682" s="68"/>
    </row>
    <row r="683">
      <c r="P683" s="68"/>
    </row>
    <row r="684">
      <c r="P684" s="68"/>
    </row>
    <row r="685">
      <c r="P685" s="68"/>
    </row>
    <row r="686">
      <c r="P686" s="68"/>
    </row>
    <row r="687">
      <c r="P687" s="68"/>
    </row>
    <row r="688">
      <c r="P688" s="68"/>
    </row>
    <row r="689">
      <c r="P689" s="68"/>
    </row>
    <row r="690">
      <c r="P690" s="68"/>
    </row>
    <row r="691">
      <c r="P691" s="68"/>
    </row>
    <row r="692">
      <c r="P692" s="68"/>
    </row>
    <row r="693">
      <c r="P693" s="68"/>
    </row>
    <row r="694">
      <c r="P694" s="68"/>
    </row>
    <row r="695">
      <c r="P695" s="68"/>
    </row>
    <row r="696">
      <c r="P696" s="68"/>
    </row>
    <row r="697">
      <c r="P697" s="68"/>
    </row>
    <row r="698">
      <c r="P698" s="68"/>
    </row>
    <row r="699">
      <c r="P699" s="68"/>
    </row>
    <row r="700">
      <c r="P700" s="68"/>
    </row>
    <row r="701">
      <c r="P701" s="68"/>
    </row>
    <row r="702">
      <c r="P702" s="68"/>
    </row>
    <row r="703">
      <c r="P703" s="68"/>
    </row>
    <row r="704">
      <c r="P704" s="68"/>
    </row>
    <row r="705">
      <c r="P705" s="68"/>
    </row>
    <row r="706">
      <c r="P706" s="68"/>
    </row>
    <row r="707">
      <c r="P707" s="68"/>
    </row>
    <row r="708">
      <c r="P708" s="68"/>
    </row>
    <row r="709">
      <c r="P709" s="68"/>
    </row>
    <row r="710">
      <c r="P710" s="68"/>
    </row>
    <row r="711">
      <c r="P711" s="68"/>
    </row>
    <row r="712">
      <c r="P712" s="68"/>
    </row>
    <row r="713">
      <c r="P713" s="68"/>
    </row>
    <row r="714">
      <c r="P714" s="68"/>
    </row>
    <row r="715">
      <c r="P715" s="68"/>
    </row>
    <row r="716">
      <c r="P716" s="68"/>
    </row>
    <row r="717">
      <c r="P717" s="68"/>
    </row>
    <row r="718">
      <c r="P718" s="68"/>
    </row>
    <row r="719">
      <c r="P719" s="68"/>
    </row>
    <row r="720">
      <c r="P720" s="68"/>
    </row>
    <row r="721">
      <c r="P721" s="68"/>
    </row>
    <row r="722">
      <c r="P722" s="68"/>
    </row>
    <row r="723">
      <c r="P723" s="68"/>
    </row>
    <row r="724">
      <c r="P724" s="68"/>
    </row>
    <row r="725">
      <c r="P725" s="68"/>
    </row>
    <row r="726">
      <c r="P726" s="68"/>
    </row>
    <row r="727">
      <c r="P727" s="68"/>
    </row>
    <row r="728">
      <c r="P728" s="68"/>
    </row>
    <row r="729">
      <c r="P729" s="68"/>
    </row>
    <row r="730">
      <c r="P730" s="68"/>
    </row>
    <row r="731">
      <c r="P731" s="68"/>
    </row>
    <row r="732">
      <c r="P732" s="68"/>
    </row>
    <row r="733">
      <c r="P733" s="68"/>
    </row>
    <row r="734">
      <c r="P734" s="68"/>
    </row>
    <row r="735">
      <c r="P735" s="68"/>
    </row>
    <row r="736">
      <c r="P736" s="68"/>
    </row>
    <row r="737">
      <c r="P737" s="68"/>
    </row>
    <row r="738">
      <c r="P738" s="68"/>
    </row>
    <row r="739">
      <c r="P739" s="68"/>
    </row>
    <row r="740">
      <c r="P740" s="68"/>
    </row>
    <row r="741">
      <c r="P741" s="68"/>
    </row>
    <row r="742">
      <c r="P742" s="68"/>
    </row>
    <row r="743">
      <c r="P743" s="68"/>
    </row>
    <row r="744">
      <c r="P744" s="68"/>
    </row>
    <row r="745">
      <c r="P745" s="68"/>
    </row>
    <row r="746">
      <c r="P746" s="68"/>
    </row>
    <row r="747">
      <c r="P747" s="68"/>
    </row>
    <row r="748">
      <c r="P748" s="68"/>
    </row>
    <row r="749">
      <c r="P749" s="68"/>
    </row>
    <row r="750">
      <c r="P750" s="68"/>
    </row>
    <row r="751">
      <c r="P751" s="68"/>
    </row>
    <row r="752">
      <c r="P752" s="68"/>
    </row>
    <row r="753">
      <c r="P753" s="68"/>
    </row>
    <row r="754">
      <c r="P754" s="68"/>
    </row>
    <row r="755">
      <c r="P755" s="68"/>
    </row>
    <row r="756">
      <c r="P756" s="68"/>
    </row>
    <row r="757">
      <c r="P757" s="68"/>
    </row>
    <row r="758">
      <c r="P758" s="68"/>
    </row>
    <row r="759">
      <c r="P759" s="68"/>
    </row>
    <row r="760">
      <c r="P760" s="68"/>
    </row>
    <row r="761">
      <c r="P761" s="68"/>
    </row>
    <row r="762">
      <c r="P762" s="68"/>
    </row>
    <row r="763">
      <c r="P763" s="68"/>
    </row>
    <row r="764">
      <c r="P764" s="68"/>
    </row>
    <row r="765">
      <c r="P765" s="68"/>
    </row>
    <row r="766">
      <c r="P766" s="68"/>
    </row>
    <row r="767">
      <c r="P767" s="68"/>
    </row>
    <row r="768">
      <c r="P768" s="68"/>
    </row>
    <row r="769">
      <c r="P769" s="68"/>
    </row>
    <row r="770">
      <c r="P770" s="68"/>
    </row>
    <row r="771">
      <c r="P771" s="68"/>
    </row>
    <row r="772">
      <c r="P772" s="68"/>
    </row>
    <row r="773">
      <c r="P773" s="68"/>
    </row>
    <row r="774">
      <c r="P774" s="68"/>
    </row>
    <row r="775">
      <c r="P775" s="68"/>
    </row>
    <row r="776">
      <c r="P776" s="68"/>
    </row>
    <row r="777">
      <c r="P777" s="68"/>
    </row>
    <row r="778">
      <c r="P778" s="68"/>
    </row>
    <row r="779">
      <c r="P779" s="68"/>
    </row>
    <row r="780">
      <c r="P780" s="68"/>
    </row>
    <row r="781">
      <c r="P781" s="68"/>
    </row>
    <row r="782">
      <c r="P782" s="68"/>
    </row>
    <row r="783">
      <c r="P783" s="68"/>
    </row>
    <row r="784">
      <c r="P784" s="68"/>
    </row>
    <row r="785">
      <c r="P785" s="68"/>
    </row>
    <row r="786">
      <c r="P786" s="68"/>
    </row>
    <row r="787">
      <c r="P787" s="68"/>
    </row>
    <row r="788">
      <c r="P788" s="68"/>
    </row>
    <row r="789">
      <c r="P789" s="68"/>
    </row>
    <row r="790">
      <c r="P790" s="68"/>
    </row>
    <row r="791">
      <c r="P791" s="68"/>
    </row>
    <row r="792">
      <c r="P792" s="68"/>
    </row>
    <row r="793">
      <c r="P793" s="68"/>
    </row>
    <row r="794">
      <c r="P794" s="68"/>
    </row>
    <row r="795">
      <c r="P795" s="68"/>
    </row>
    <row r="796">
      <c r="P796" s="68"/>
    </row>
    <row r="797">
      <c r="P797" s="68"/>
    </row>
    <row r="798">
      <c r="P798" s="68"/>
    </row>
    <row r="799">
      <c r="P799" s="68"/>
    </row>
    <row r="800">
      <c r="P800" s="68"/>
    </row>
    <row r="801">
      <c r="P801" s="68"/>
    </row>
    <row r="802">
      <c r="P802" s="68"/>
    </row>
    <row r="803">
      <c r="P803" s="68"/>
    </row>
    <row r="804">
      <c r="P804" s="68"/>
    </row>
    <row r="805">
      <c r="P805" s="68"/>
    </row>
    <row r="806">
      <c r="P806" s="68"/>
    </row>
    <row r="807">
      <c r="P807" s="68"/>
    </row>
    <row r="808">
      <c r="P808" s="68"/>
    </row>
    <row r="809">
      <c r="P809" s="68"/>
    </row>
    <row r="810">
      <c r="P810" s="68"/>
    </row>
    <row r="811">
      <c r="P811" s="68"/>
    </row>
    <row r="812">
      <c r="P812" s="68"/>
    </row>
    <row r="813">
      <c r="P813" s="68"/>
    </row>
    <row r="814">
      <c r="P814" s="68"/>
    </row>
    <row r="815">
      <c r="P815" s="68"/>
    </row>
    <row r="816">
      <c r="P816" s="68"/>
    </row>
    <row r="817">
      <c r="P817" s="68"/>
    </row>
    <row r="818">
      <c r="P818" s="68"/>
    </row>
    <row r="819">
      <c r="P819" s="68"/>
    </row>
    <row r="820">
      <c r="P820" s="68"/>
    </row>
    <row r="821">
      <c r="P821" s="68"/>
    </row>
    <row r="822">
      <c r="P822" s="68"/>
    </row>
    <row r="823">
      <c r="P823" s="68"/>
    </row>
    <row r="824">
      <c r="P824" s="68"/>
    </row>
    <row r="825">
      <c r="P825" s="68"/>
    </row>
    <row r="826">
      <c r="P826" s="68"/>
    </row>
    <row r="827">
      <c r="P827" s="68"/>
    </row>
    <row r="828">
      <c r="P828" s="68"/>
    </row>
    <row r="829">
      <c r="P829" s="68"/>
    </row>
    <row r="830">
      <c r="P830" s="68"/>
    </row>
    <row r="831">
      <c r="P831" s="68"/>
    </row>
    <row r="832">
      <c r="P832" s="68"/>
    </row>
    <row r="833">
      <c r="P833" s="68"/>
    </row>
    <row r="834">
      <c r="P834" s="68"/>
    </row>
    <row r="835">
      <c r="P835" s="68"/>
    </row>
    <row r="836">
      <c r="P836" s="68"/>
    </row>
    <row r="837">
      <c r="P837" s="68"/>
    </row>
    <row r="838">
      <c r="P838" s="68"/>
    </row>
    <row r="839">
      <c r="P839" s="68"/>
    </row>
    <row r="840">
      <c r="P840" s="68"/>
    </row>
    <row r="841">
      <c r="P841" s="68"/>
    </row>
    <row r="842">
      <c r="P842" s="68"/>
    </row>
    <row r="843">
      <c r="P843" s="68"/>
    </row>
    <row r="844">
      <c r="P844" s="68"/>
    </row>
    <row r="845">
      <c r="P845" s="68"/>
    </row>
    <row r="846">
      <c r="P846" s="68"/>
    </row>
    <row r="847">
      <c r="P847" s="68"/>
    </row>
    <row r="848">
      <c r="P848" s="68"/>
    </row>
    <row r="849">
      <c r="P849" s="68"/>
    </row>
    <row r="850">
      <c r="P850" s="68"/>
    </row>
    <row r="851">
      <c r="P851" s="68"/>
    </row>
    <row r="852">
      <c r="P852" s="68"/>
    </row>
    <row r="853">
      <c r="P853" s="68"/>
    </row>
    <row r="854">
      <c r="P854" s="68"/>
    </row>
    <row r="855">
      <c r="P855" s="68"/>
    </row>
    <row r="856">
      <c r="P856" s="68"/>
    </row>
    <row r="857">
      <c r="P857" s="68"/>
    </row>
    <row r="858">
      <c r="P858" s="68"/>
    </row>
    <row r="859">
      <c r="P859" s="68"/>
    </row>
    <row r="860">
      <c r="P860" s="68"/>
    </row>
    <row r="861">
      <c r="P861" s="68"/>
    </row>
    <row r="862">
      <c r="P862" s="68"/>
    </row>
    <row r="863">
      <c r="P863" s="68"/>
    </row>
    <row r="864">
      <c r="P864" s="68"/>
    </row>
    <row r="865">
      <c r="P865" s="68"/>
    </row>
    <row r="866">
      <c r="P866" s="68"/>
    </row>
    <row r="867">
      <c r="P867" s="68"/>
    </row>
    <row r="868">
      <c r="P868" s="68"/>
    </row>
    <row r="869">
      <c r="P869" s="68"/>
    </row>
    <row r="870">
      <c r="P870" s="68"/>
    </row>
    <row r="871">
      <c r="P871" s="68"/>
    </row>
    <row r="872">
      <c r="P872" s="68"/>
    </row>
    <row r="873">
      <c r="P873" s="68"/>
    </row>
    <row r="874">
      <c r="P874" s="68"/>
    </row>
    <row r="875">
      <c r="P875" s="68"/>
    </row>
    <row r="876">
      <c r="P876" s="68"/>
    </row>
    <row r="877">
      <c r="P877" s="68"/>
    </row>
    <row r="878">
      <c r="P878" s="68"/>
    </row>
    <row r="879">
      <c r="P879" s="68"/>
    </row>
    <row r="880">
      <c r="P880" s="68"/>
    </row>
    <row r="881">
      <c r="P881" s="68"/>
    </row>
    <row r="882">
      <c r="P882" s="68"/>
    </row>
    <row r="883">
      <c r="P883" s="68"/>
    </row>
    <row r="884">
      <c r="P884" s="68"/>
    </row>
    <row r="885">
      <c r="P885" s="68"/>
    </row>
    <row r="886">
      <c r="P886" s="68"/>
    </row>
    <row r="887">
      <c r="P887" s="68"/>
    </row>
    <row r="888">
      <c r="P888" s="68"/>
    </row>
    <row r="889">
      <c r="P889" s="68"/>
    </row>
    <row r="890">
      <c r="P890" s="68"/>
    </row>
    <row r="891">
      <c r="P891" s="68"/>
    </row>
    <row r="892">
      <c r="P892" s="68"/>
    </row>
    <row r="893">
      <c r="P893" s="68"/>
    </row>
    <row r="894">
      <c r="P894" s="68"/>
    </row>
    <row r="895">
      <c r="P895" s="68"/>
    </row>
    <row r="896">
      <c r="P896" s="68"/>
    </row>
    <row r="897">
      <c r="P897" s="68"/>
    </row>
    <row r="898">
      <c r="P898" s="68"/>
    </row>
    <row r="899">
      <c r="P899" s="68"/>
    </row>
    <row r="900">
      <c r="P900" s="68"/>
    </row>
    <row r="901">
      <c r="P901" s="68"/>
    </row>
    <row r="902">
      <c r="P902" s="68"/>
    </row>
    <row r="903">
      <c r="P903" s="68"/>
    </row>
    <row r="904">
      <c r="P904" s="68"/>
    </row>
    <row r="905">
      <c r="P905" s="68"/>
    </row>
    <row r="906">
      <c r="P906" s="68"/>
    </row>
    <row r="907">
      <c r="P907" s="68"/>
    </row>
    <row r="908">
      <c r="P908" s="68"/>
    </row>
    <row r="909">
      <c r="P909" s="68"/>
    </row>
    <row r="910">
      <c r="P910" s="68"/>
    </row>
    <row r="911">
      <c r="P911" s="68"/>
    </row>
    <row r="912">
      <c r="P912" s="68"/>
    </row>
    <row r="913">
      <c r="P913" s="68"/>
    </row>
    <row r="914">
      <c r="P914" s="68"/>
    </row>
    <row r="915">
      <c r="P915" s="68"/>
    </row>
    <row r="916">
      <c r="P916" s="68"/>
    </row>
    <row r="917">
      <c r="P917" s="68"/>
    </row>
    <row r="918">
      <c r="P918" s="68"/>
    </row>
    <row r="919">
      <c r="P919" s="68"/>
    </row>
    <row r="920">
      <c r="P920" s="68"/>
    </row>
    <row r="921">
      <c r="P921" s="68"/>
    </row>
    <row r="922">
      <c r="P922" s="68"/>
    </row>
    <row r="923">
      <c r="P923" s="68"/>
    </row>
    <row r="924">
      <c r="P924" s="68"/>
    </row>
    <row r="925">
      <c r="P925" s="68"/>
    </row>
    <row r="926">
      <c r="P926" s="68"/>
    </row>
    <row r="927">
      <c r="P927" s="68"/>
    </row>
    <row r="928">
      <c r="P928" s="68"/>
    </row>
    <row r="929">
      <c r="P929" s="68"/>
    </row>
    <row r="930">
      <c r="P930" s="68"/>
    </row>
    <row r="931">
      <c r="P931" s="68"/>
    </row>
    <row r="932">
      <c r="P932" s="68"/>
    </row>
    <row r="933">
      <c r="P933" s="68"/>
    </row>
    <row r="934">
      <c r="P934" s="68"/>
    </row>
    <row r="935">
      <c r="P935" s="68"/>
    </row>
    <row r="936">
      <c r="P936" s="68"/>
    </row>
    <row r="937">
      <c r="P937" s="68"/>
    </row>
    <row r="938">
      <c r="P938" s="68"/>
    </row>
    <row r="939">
      <c r="P939" s="68"/>
    </row>
    <row r="940">
      <c r="P940" s="68"/>
    </row>
    <row r="941">
      <c r="P941" s="68"/>
    </row>
    <row r="942">
      <c r="P942" s="68"/>
    </row>
    <row r="943">
      <c r="P943" s="68"/>
    </row>
    <row r="944">
      <c r="P944" s="68"/>
    </row>
    <row r="945">
      <c r="P945" s="68"/>
    </row>
    <row r="946">
      <c r="P946" s="68"/>
    </row>
    <row r="947">
      <c r="P947" s="68"/>
    </row>
    <row r="948">
      <c r="P948" s="68"/>
    </row>
    <row r="949">
      <c r="P949" s="68"/>
    </row>
    <row r="950">
      <c r="P950" s="68"/>
    </row>
    <row r="951">
      <c r="P951" s="68"/>
    </row>
    <row r="952">
      <c r="P952" s="68"/>
    </row>
    <row r="953">
      <c r="P953" s="68"/>
    </row>
    <row r="954">
      <c r="P954" s="68"/>
    </row>
    <row r="955">
      <c r="P955" s="68"/>
    </row>
    <row r="956">
      <c r="P956" s="68"/>
    </row>
    <row r="957">
      <c r="P957" s="68"/>
    </row>
    <row r="958">
      <c r="P958" s="68"/>
    </row>
    <row r="959">
      <c r="P959" s="68"/>
    </row>
    <row r="960">
      <c r="P960" s="68"/>
    </row>
    <row r="961">
      <c r="P961" s="68"/>
    </row>
    <row r="962">
      <c r="P962" s="68"/>
    </row>
    <row r="963">
      <c r="P963" s="68"/>
    </row>
    <row r="964">
      <c r="P964" s="68"/>
    </row>
    <row r="965">
      <c r="P965" s="68"/>
    </row>
    <row r="966">
      <c r="P966" s="68"/>
    </row>
    <row r="967">
      <c r="P967" s="68"/>
    </row>
    <row r="968">
      <c r="P968" s="68"/>
    </row>
    <row r="969">
      <c r="P969" s="68"/>
    </row>
    <row r="970">
      <c r="P970" s="68"/>
    </row>
    <row r="971">
      <c r="P971" s="68"/>
    </row>
    <row r="972">
      <c r="P972" s="68"/>
    </row>
    <row r="973">
      <c r="P973" s="68"/>
    </row>
    <row r="974">
      <c r="P974" s="68"/>
    </row>
    <row r="975">
      <c r="P975" s="68"/>
    </row>
    <row r="976">
      <c r="P976" s="68"/>
    </row>
    <row r="977">
      <c r="P977" s="68"/>
    </row>
    <row r="978">
      <c r="P978" s="68"/>
    </row>
    <row r="979">
      <c r="P979" s="68"/>
    </row>
    <row r="980">
      <c r="P980" s="68"/>
    </row>
    <row r="981">
      <c r="P981" s="68"/>
    </row>
    <row r="982">
      <c r="P982" s="68"/>
    </row>
    <row r="983">
      <c r="P983" s="68"/>
    </row>
  </sheetData>
  <hyperlinks>
    <hyperlink r:id="rId1" ref="E2"/>
    <hyperlink r:id="rId2" ref="E3"/>
    <hyperlink r:id="rId3" ref="E4"/>
    <hyperlink r:id="rId4" ref="E5"/>
    <hyperlink r:id="rId5" ref="E6"/>
    <hyperlink r:id="rId6" ref="E7"/>
    <hyperlink r:id="rId7" ref="E8"/>
    <hyperlink r:id="rId8" ref="E9"/>
    <hyperlink r:id="rId9" ref="E10"/>
  </hyperlinks>
  <drawing r:id="rId1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23.22"/>
    <col customWidth="1" min="3" max="3" width="23.44"/>
    <col customWidth="1" min="4" max="4" width="47.0"/>
    <col customWidth="1" min="6" max="6" width="17.11"/>
    <col customWidth="1" min="7" max="7" width="17.44"/>
    <col customWidth="1" min="8" max="8" width="22.89"/>
    <col customWidth="1" min="9" max="9" width="12.22"/>
  </cols>
  <sheetData>
    <row r="1" ht="33.75" customHeight="1">
      <c r="A1" s="272" t="s">
        <v>66</v>
      </c>
      <c r="B1" s="272" t="s">
        <v>58</v>
      </c>
      <c r="C1" s="272" t="s">
        <v>2973</v>
      </c>
      <c r="D1" s="272" t="s">
        <v>2974</v>
      </c>
      <c r="E1" s="273" t="s">
        <v>944</v>
      </c>
      <c r="F1" s="28" t="s">
        <v>2975</v>
      </c>
      <c r="G1" s="28" t="s">
        <v>2976</v>
      </c>
      <c r="H1" s="28" t="s">
        <v>2977</v>
      </c>
      <c r="I1" s="215"/>
      <c r="J1" s="177" t="s">
        <v>2978</v>
      </c>
      <c r="K1" s="177" t="s">
        <v>2979</v>
      </c>
      <c r="L1" s="177" t="s">
        <v>2980</v>
      </c>
      <c r="M1" s="215"/>
      <c r="N1" s="215"/>
      <c r="O1" s="215"/>
      <c r="P1" s="215"/>
      <c r="Q1" s="215"/>
      <c r="R1" s="215"/>
      <c r="S1" s="215"/>
      <c r="T1" s="215"/>
      <c r="U1" s="215"/>
      <c r="V1" s="215"/>
      <c r="W1" s="215"/>
      <c r="X1" s="215"/>
      <c r="Y1" s="215"/>
      <c r="Z1" s="215"/>
      <c r="AA1" s="215"/>
      <c r="AB1" s="215"/>
      <c r="AC1" s="215"/>
      <c r="AD1" s="215"/>
      <c r="AE1" s="215"/>
      <c r="AF1" s="215"/>
      <c r="AG1" s="215"/>
      <c r="AH1" s="215"/>
      <c r="AI1" s="215"/>
      <c r="AJ1" s="215"/>
      <c r="AK1" s="215"/>
      <c r="AL1" s="215"/>
      <c r="AM1" s="215"/>
      <c r="AN1" s="215"/>
      <c r="AO1" s="215"/>
      <c r="AP1" s="215"/>
      <c r="AQ1" s="215"/>
      <c r="AR1" s="215"/>
      <c r="AS1" s="215"/>
      <c r="AT1" s="215"/>
      <c r="AU1" s="215"/>
      <c r="AV1" s="215"/>
      <c r="AW1" s="215"/>
      <c r="AX1" s="215"/>
      <c r="AY1" s="215"/>
    </row>
    <row r="2">
      <c r="A2" s="177" t="s">
        <v>347</v>
      </c>
      <c r="B2" s="177" t="s">
        <v>2981</v>
      </c>
      <c r="C2" s="177" t="s">
        <v>2979</v>
      </c>
      <c r="D2" s="177" t="s">
        <v>2982</v>
      </c>
      <c r="E2" s="28" t="s">
        <v>1210</v>
      </c>
      <c r="F2" s="28">
        <f>COUNTIF(E:E,"Yes")</f>
        <v>133</v>
      </c>
      <c r="G2" s="28">
        <f>COUNTIF(E:E,"No")</f>
        <v>79</v>
      </c>
      <c r="H2" s="28">
        <v>24.0</v>
      </c>
      <c r="I2" s="28"/>
      <c r="J2" s="28">
        <f>COUNTIF(C:C,"Title/Abstract")</f>
        <v>54</v>
      </c>
      <c r="K2" s="28">
        <f>COUNTIF(C:C,"Paper review")</f>
        <v>145</v>
      </c>
      <c r="L2" s="28">
        <f>COUNTIF(C:C,"Not recieved")</f>
        <v>13</v>
      </c>
      <c r="M2" s="28"/>
      <c r="N2" s="215"/>
      <c r="O2" s="28"/>
      <c r="P2" s="28"/>
      <c r="Q2" s="28"/>
      <c r="R2" s="215"/>
      <c r="S2" s="215"/>
      <c r="T2" s="215"/>
      <c r="U2" s="215"/>
      <c r="V2" s="215"/>
      <c r="W2" s="215"/>
      <c r="X2" s="215"/>
      <c r="Y2" s="215"/>
      <c r="Z2" s="215"/>
      <c r="AA2" s="215"/>
      <c r="AB2" s="215"/>
      <c r="AC2" s="215"/>
      <c r="AD2" s="215"/>
      <c r="AE2" s="215"/>
      <c r="AF2" s="215"/>
      <c r="AG2" s="215"/>
      <c r="AH2" s="215"/>
      <c r="AI2" s="215"/>
      <c r="AJ2" s="215"/>
      <c r="AK2" s="215"/>
      <c r="AL2" s="215"/>
      <c r="AM2" s="215"/>
      <c r="AN2" s="215"/>
      <c r="AO2" s="215"/>
      <c r="AP2" s="215"/>
      <c r="AQ2" s="215"/>
      <c r="AR2" s="215"/>
      <c r="AS2" s="215"/>
      <c r="AT2" s="215"/>
      <c r="AU2" s="215"/>
      <c r="AV2" s="215"/>
      <c r="AW2" s="215"/>
      <c r="AX2" s="215"/>
      <c r="AY2" s="215"/>
    </row>
    <row r="3">
      <c r="A3" s="177" t="s">
        <v>347</v>
      </c>
      <c r="B3" s="177" t="s">
        <v>912</v>
      </c>
      <c r="C3" s="177" t="s">
        <v>2979</v>
      </c>
      <c r="D3" s="177" t="s">
        <v>2983</v>
      </c>
      <c r="E3" s="42" t="s">
        <v>1457</v>
      </c>
      <c r="F3" s="42"/>
      <c r="G3" s="42"/>
      <c r="H3" s="28"/>
      <c r="I3" s="28"/>
      <c r="J3" s="175"/>
      <c r="K3" s="28"/>
      <c r="L3" s="274"/>
      <c r="M3" s="28"/>
      <c r="N3" s="28"/>
      <c r="O3" s="28"/>
      <c r="P3" s="28"/>
      <c r="Q3" s="215"/>
      <c r="R3" s="215"/>
      <c r="S3" s="215"/>
      <c r="T3" s="215"/>
      <c r="U3" s="215"/>
      <c r="V3" s="215"/>
      <c r="W3" s="215"/>
      <c r="X3" s="215"/>
      <c r="Y3" s="215"/>
      <c r="Z3" s="215"/>
      <c r="AA3" s="215"/>
      <c r="AB3" s="215"/>
      <c r="AC3" s="215"/>
      <c r="AD3" s="215"/>
      <c r="AE3" s="215"/>
      <c r="AF3" s="215"/>
      <c r="AG3" s="215"/>
      <c r="AH3" s="215"/>
      <c r="AI3" s="215"/>
      <c r="AJ3" s="215"/>
      <c r="AK3" s="215"/>
      <c r="AL3" s="215"/>
      <c r="AM3" s="215"/>
      <c r="AN3" s="215"/>
      <c r="AO3" s="215"/>
      <c r="AP3" s="215"/>
      <c r="AQ3" s="215"/>
      <c r="AR3" s="215"/>
      <c r="AS3" s="215"/>
      <c r="AT3" s="215"/>
      <c r="AU3" s="215"/>
      <c r="AV3" s="215"/>
      <c r="AW3" s="215"/>
      <c r="AX3" s="215"/>
      <c r="AY3" s="215"/>
    </row>
    <row r="4">
      <c r="A4" s="177" t="s">
        <v>93</v>
      </c>
      <c r="B4" s="275" t="s">
        <v>925</v>
      </c>
      <c r="C4" s="177" t="s">
        <v>2979</v>
      </c>
      <c r="D4" s="82"/>
      <c r="E4" s="28" t="s">
        <v>1457</v>
      </c>
      <c r="F4" s="175"/>
      <c r="G4" s="87" t="s">
        <v>2984</v>
      </c>
      <c r="H4" s="87" t="s">
        <v>2980</v>
      </c>
      <c r="I4" s="87" t="s">
        <v>2985</v>
      </c>
      <c r="J4" s="231" t="s">
        <v>2986</v>
      </c>
      <c r="K4" s="231" t="s">
        <v>2987</v>
      </c>
      <c r="L4" s="87" t="s">
        <v>2988</v>
      </c>
      <c r="M4" s="87" t="s">
        <v>2989</v>
      </c>
      <c r="N4" s="87" t="s">
        <v>2990</v>
      </c>
      <c r="O4" s="175"/>
      <c r="P4" s="175"/>
      <c r="Q4" s="175"/>
      <c r="R4" s="175"/>
      <c r="S4" s="175"/>
      <c r="T4" s="175"/>
      <c r="U4" s="175"/>
      <c r="V4" s="175"/>
      <c r="W4" s="175"/>
      <c r="X4" s="175"/>
      <c r="Y4" s="175"/>
      <c r="Z4" s="175"/>
      <c r="AA4" s="175"/>
      <c r="AB4" s="175"/>
      <c r="AC4" s="175"/>
      <c r="AD4" s="175"/>
      <c r="AE4" s="175"/>
      <c r="AF4" s="175"/>
      <c r="AG4" s="175"/>
      <c r="AH4" s="175"/>
      <c r="AI4" s="175"/>
      <c r="AJ4" s="175"/>
      <c r="AK4" s="175"/>
      <c r="AL4" s="175"/>
      <c r="AM4" s="175"/>
      <c r="AN4" s="175"/>
      <c r="AO4" s="175"/>
      <c r="AP4" s="175"/>
      <c r="AQ4" s="175"/>
      <c r="AR4" s="175"/>
      <c r="AS4" s="175"/>
      <c r="AT4" s="175"/>
      <c r="AU4" s="175"/>
      <c r="AV4" s="175"/>
      <c r="AW4" s="175"/>
      <c r="AX4" s="175"/>
      <c r="AY4" s="175"/>
    </row>
    <row r="5">
      <c r="A5" s="177" t="s">
        <v>507</v>
      </c>
      <c r="B5" s="177" t="s">
        <v>573</v>
      </c>
      <c r="C5" s="177" t="s">
        <v>2979</v>
      </c>
      <c r="D5" s="177" t="s">
        <v>2991</v>
      </c>
      <c r="E5" s="42" t="s">
        <v>1457</v>
      </c>
      <c r="F5" s="175"/>
      <c r="G5" s="175"/>
      <c r="H5" s="175">
        <f>SUMPRODUCT((C:C="not recieved")*(TRIM(E:E)="no"))</f>
        <v>12</v>
      </c>
      <c r="I5" s="229">
        <f>SUMPRODUCT((C:C="Title/Abstract")*(TRIM(E:E)="no")*(TRIM(D:D)="duplicate"))</f>
        <v>3</v>
      </c>
      <c r="J5" s="37">
        <f>SUMPRODUCT((C:C="Title/Abstract")*(TRIM(E:E)="no")*(NOT(ISNUMBER(SEARCH("*review paper*",D:D))))*(NOT(ISNUMBER(SEARCH("*duplicate*",D:D)))))</f>
        <v>16</v>
      </c>
      <c r="K5" s="175">
        <f>COUNTIFS(C:C,"Title/Abstract",E:E,"no",D:D,"*review paper*")
+COUNTIFS(C:C,"Paper review",E:E,"no",D:D,"*review paper*")</f>
        <v>5</v>
      </c>
      <c r="L5" s="175">
        <f>SUMPRODUCT((C:C="Paper review")*(TRIM(E:E)="no")*(NOT(ISNUMBER(SEARCH("shallow",D:D))))*(NOT(ISNUMBER(SEARCH("*review paper*",D:D)))))</f>
        <v>36</v>
      </c>
      <c r="M5" s="175">
        <f>COUNTIFS(C:C,"Title/Abstract",E:E,"no",D:D,"*shallow*")
+COUNTIFS(C:C,"Paper review",E:E,"no",D:D,"*shallow*")</f>
        <v>7</v>
      </c>
      <c r="N5" s="175">
        <f t="shared" ref="N5:N6" si="1">H5+I5+J5+K5+L5+M5</f>
        <v>79</v>
      </c>
      <c r="O5" s="175"/>
      <c r="P5" s="175"/>
      <c r="Q5" s="175"/>
      <c r="R5" s="175"/>
      <c r="S5" s="175"/>
      <c r="T5" s="175"/>
      <c r="U5" s="175"/>
      <c r="V5" s="175"/>
      <c r="W5" s="175"/>
      <c r="X5" s="175"/>
      <c r="Y5" s="175"/>
      <c r="Z5" s="175"/>
      <c r="AA5" s="175"/>
      <c r="AB5" s="175"/>
      <c r="AC5" s="175"/>
      <c r="AD5" s="175"/>
      <c r="AE5" s="175"/>
      <c r="AF5" s="175"/>
      <c r="AG5" s="175"/>
      <c r="AH5" s="175"/>
      <c r="AI5" s="175"/>
      <c r="AJ5" s="175"/>
      <c r="AK5" s="175"/>
      <c r="AL5" s="175"/>
      <c r="AM5" s="175"/>
      <c r="AN5" s="175"/>
      <c r="AO5" s="175"/>
      <c r="AP5" s="175"/>
      <c r="AQ5" s="175"/>
      <c r="AR5" s="175"/>
      <c r="AS5" s="175"/>
      <c r="AT5" s="175"/>
      <c r="AU5" s="175"/>
      <c r="AV5" s="175"/>
      <c r="AW5" s="175"/>
      <c r="AX5" s="175"/>
      <c r="AY5" s="175"/>
    </row>
    <row r="6">
      <c r="A6" s="177"/>
      <c r="C6" s="177"/>
      <c r="D6" s="177"/>
      <c r="E6" s="42"/>
      <c r="F6" s="87" t="s">
        <v>1457</v>
      </c>
      <c r="G6" s="87" t="s">
        <v>2992</v>
      </c>
      <c r="H6" s="175">
        <f>SUMPRODUCT((C:C="not recieved")*(TRIM(E:E)="yes"))</f>
        <v>1</v>
      </c>
      <c r="I6" s="276">
        <f>SUMPRODUCT((C:C="Title/Abstract")*(TRIM(E:E)="yes")*(TRIM(D:D)="duplicate"))</f>
        <v>4</v>
      </c>
      <c r="J6" s="175">
        <f>SUMPRODUCT((C:C="Title/Abstract")*(TRIM(E:E)="yes")*(NOT(ISNUMBER(SEARCH("*review paper*",D:D))))*(NOT(ISNUMBER(SEARCH("*duplicate*",D:D)))))</f>
        <v>17</v>
      </c>
      <c r="K6" s="175">
        <f>COUNTIFS(C:C,"Title/Abstract",E:E,"yes",D:D,"*review paper*")
+COUNTIFS(C:C,"Paper review",E:E,"no",D:D,"*review paper*")</f>
        <v>11</v>
      </c>
      <c r="L6" s="175">
        <f>SUMPRODUCT((C:C="Paper review")*(TRIM(E:E)="yes")*(NOT(ISNUMBER(SEARCH("shallow",D:D))))*(NOT(ISNUMBER(SEARCH("*review paper*",D:D)))))</f>
        <v>100</v>
      </c>
      <c r="M6" s="175">
        <f>COUNTIFS(C:C,"Title/Abstract",E:E,"yes",D:D,"*shallow*")
+COUNTIFS(C:C,"Paper review",E:E,"yes",D:D,"*shallow*")</f>
        <v>0</v>
      </c>
      <c r="N6" s="175">
        <f t="shared" si="1"/>
        <v>133</v>
      </c>
      <c r="O6" s="175"/>
      <c r="P6" s="175"/>
      <c r="Q6" s="175"/>
      <c r="R6" s="175"/>
      <c r="S6" s="175"/>
      <c r="T6" s="175"/>
      <c r="U6" s="175"/>
      <c r="V6" s="175"/>
      <c r="W6" s="175"/>
      <c r="X6" s="175"/>
      <c r="Y6" s="175"/>
      <c r="Z6" s="175"/>
      <c r="AA6" s="175"/>
      <c r="AB6" s="175"/>
      <c r="AC6" s="175"/>
      <c r="AD6" s="175"/>
      <c r="AE6" s="175"/>
      <c r="AF6" s="175"/>
      <c r="AG6" s="175"/>
      <c r="AH6" s="175"/>
      <c r="AI6" s="175"/>
      <c r="AJ6" s="175"/>
      <c r="AK6" s="175"/>
      <c r="AL6" s="175"/>
      <c r="AM6" s="175"/>
      <c r="AN6" s="175"/>
      <c r="AO6" s="175"/>
      <c r="AP6" s="175"/>
      <c r="AQ6" s="175"/>
      <c r="AR6" s="175"/>
      <c r="AS6" s="175"/>
      <c r="AT6" s="175"/>
      <c r="AU6" s="175"/>
      <c r="AV6" s="175"/>
      <c r="AW6" s="175"/>
      <c r="AX6" s="175"/>
      <c r="AY6" s="175"/>
    </row>
    <row r="7">
      <c r="A7" s="177" t="s">
        <v>261</v>
      </c>
      <c r="B7" s="177" t="s">
        <v>845</v>
      </c>
      <c r="C7" s="177" t="s">
        <v>2979</v>
      </c>
      <c r="D7" s="177" t="s">
        <v>2993</v>
      </c>
      <c r="E7" s="28" t="s">
        <v>1457</v>
      </c>
      <c r="F7" s="175"/>
      <c r="G7" s="175"/>
      <c r="H7" s="175"/>
      <c r="I7" s="175"/>
      <c r="J7" s="175"/>
      <c r="K7" s="175"/>
      <c r="L7" s="175"/>
      <c r="M7" s="175"/>
      <c r="N7" s="175"/>
      <c r="O7" s="175"/>
      <c r="P7" s="175"/>
      <c r="Q7" s="175"/>
      <c r="R7" s="175"/>
      <c r="S7" s="175"/>
      <c r="T7" s="175"/>
      <c r="U7" s="175"/>
      <c r="V7" s="175"/>
      <c r="W7" s="175"/>
      <c r="X7" s="175"/>
      <c r="Y7" s="175"/>
      <c r="Z7" s="175"/>
      <c r="AA7" s="175"/>
      <c r="AB7" s="175"/>
      <c r="AC7" s="175"/>
      <c r="AD7" s="175"/>
      <c r="AE7" s="175"/>
      <c r="AF7" s="175"/>
      <c r="AG7" s="175"/>
      <c r="AH7" s="175"/>
      <c r="AI7" s="175"/>
      <c r="AJ7" s="175"/>
      <c r="AK7" s="175"/>
      <c r="AL7" s="175"/>
      <c r="AM7" s="175"/>
      <c r="AN7" s="175"/>
      <c r="AO7" s="175"/>
      <c r="AP7" s="175"/>
      <c r="AQ7" s="175"/>
      <c r="AR7" s="175"/>
      <c r="AS7" s="175"/>
      <c r="AT7" s="175"/>
      <c r="AU7" s="175"/>
      <c r="AV7" s="175"/>
      <c r="AW7" s="175"/>
      <c r="AX7" s="175"/>
      <c r="AY7" s="175"/>
    </row>
    <row r="8">
      <c r="A8" s="177" t="s">
        <v>261</v>
      </c>
      <c r="B8" s="177" t="s">
        <v>919</v>
      </c>
      <c r="C8" s="177" t="s">
        <v>2986</v>
      </c>
      <c r="D8" s="177" t="s">
        <v>2982</v>
      </c>
      <c r="E8" s="42" t="s">
        <v>1457</v>
      </c>
      <c r="F8" s="175"/>
      <c r="G8" s="175"/>
      <c r="H8" s="175"/>
      <c r="I8" s="175"/>
      <c r="J8" s="175"/>
      <c r="K8" s="175"/>
      <c r="L8" s="175"/>
      <c r="M8" s="175"/>
      <c r="N8" s="175"/>
      <c r="O8" s="175"/>
      <c r="P8" s="175"/>
      <c r="Q8" s="175"/>
      <c r="R8" s="175"/>
      <c r="S8" s="175"/>
      <c r="T8" s="175"/>
      <c r="U8" s="175"/>
      <c r="V8" s="175"/>
      <c r="W8" s="175"/>
      <c r="X8" s="175"/>
      <c r="Y8" s="175"/>
      <c r="Z8" s="175"/>
      <c r="AA8" s="175"/>
      <c r="AB8" s="175"/>
      <c r="AC8" s="175"/>
      <c r="AD8" s="175"/>
      <c r="AE8" s="175"/>
      <c r="AF8" s="175"/>
      <c r="AG8" s="175"/>
      <c r="AH8" s="175"/>
      <c r="AI8" s="175"/>
      <c r="AJ8" s="175"/>
      <c r="AK8" s="175"/>
      <c r="AL8" s="175"/>
      <c r="AM8" s="175"/>
      <c r="AN8" s="175"/>
      <c r="AO8" s="175"/>
      <c r="AP8" s="175"/>
      <c r="AQ8" s="175"/>
      <c r="AR8" s="175"/>
      <c r="AS8" s="175"/>
      <c r="AT8" s="175"/>
      <c r="AU8" s="175"/>
      <c r="AV8" s="175"/>
      <c r="AW8" s="175"/>
      <c r="AX8" s="175"/>
      <c r="AY8" s="175"/>
    </row>
    <row r="9">
      <c r="A9" s="77" t="s">
        <v>261</v>
      </c>
      <c r="B9" s="177" t="s">
        <v>2994</v>
      </c>
      <c r="C9" s="177" t="s">
        <v>2986</v>
      </c>
      <c r="D9" s="177" t="s">
        <v>2995</v>
      </c>
      <c r="E9" s="28" t="s">
        <v>1210</v>
      </c>
      <c r="F9" s="175"/>
      <c r="G9" s="175"/>
      <c r="H9" s="175"/>
      <c r="I9" s="175"/>
      <c r="J9" s="175"/>
      <c r="K9" s="175"/>
      <c r="L9" s="82"/>
      <c r="M9" s="175"/>
      <c r="N9" s="175"/>
      <c r="O9" s="87"/>
      <c r="P9" s="87"/>
      <c r="Q9" s="175"/>
      <c r="R9" s="175"/>
      <c r="S9" s="175"/>
      <c r="T9" s="175"/>
      <c r="U9" s="82"/>
      <c r="V9" s="175"/>
      <c r="W9" s="175"/>
      <c r="X9" s="175"/>
      <c r="Y9" s="175"/>
      <c r="Z9" s="215"/>
      <c r="AA9" s="215"/>
      <c r="AB9" s="215"/>
      <c r="AC9" s="215"/>
      <c r="AD9" s="215"/>
      <c r="AE9" s="215"/>
      <c r="AF9" s="215"/>
      <c r="AG9" s="215"/>
      <c r="AH9" s="215"/>
      <c r="AI9" s="215"/>
      <c r="AJ9" s="215"/>
      <c r="AK9" s="215"/>
      <c r="AL9" s="215"/>
      <c r="AM9" s="215"/>
      <c r="AN9" s="215"/>
      <c r="AO9" s="215"/>
      <c r="AP9" s="215"/>
      <c r="AQ9" s="215"/>
      <c r="AR9" s="215"/>
      <c r="AS9" s="215"/>
      <c r="AT9" s="215"/>
      <c r="AU9" s="215"/>
      <c r="AV9" s="215"/>
      <c r="AW9" s="215"/>
      <c r="AX9" s="215"/>
      <c r="AY9" s="215"/>
    </row>
    <row r="10">
      <c r="A10" s="77" t="s">
        <v>261</v>
      </c>
      <c r="B10" s="77" t="s">
        <v>2996</v>
      </c>
      <c r="C10" s="177" t="s">
        <v>2986</v>
      </c>
      <c r="D10" s="77" t="s">
        <v>2987</v>
      </c>
      <c r="E10" s="42" t="s">
        <v>1210</v>
      </c>
      <c r="F10" s="215"/>
      <c r="G10" s="215"/>
      <c r="H10" s="215"/>
      <c r="I10" s="215"/>
      <c r="J10" s="215"/>
      <c r="K10" s="215"/>
      <c r="L10" s="215"/>
      <c r="M10" s="215"/>
      <c r="N10" s="215"/>
      <c r="O10" s="215"/>
      <c r="P10" s="215"/>
      <c r="Q10" s="215"/>
      <c r="R10" s="215"/>
      <c r="S10" s="215"/>
      <c r="T10" s="215"/>
      <c r="U10" s="215"/>
      <c r="V10" s="215"/>
      <c r="W10" s="215"/>
      <c r="X10" s="215"/>
      <c r="Y10" s="215"/>
      <c r="Z10" s="215"/>
      <c r="AA10" s="215"/>
      <c r="AB10" s="215"/>
      <c r="AC10" s="215"/>
      <c r="AD10" s="215"/>
      <c r="AE10" s="215"/>
      <c r="AF10" s="215"/>
      <c r="AG10" s="215"/>
      <c r="AH10" s="215"/>
      <c r="AI10" s="215"/>
      <c r="AJ10" s="215"/>
      <c r="AK10" s="215"/>
      <c r="AL10" s="215"/>
      <c r="AM10" s="215"/>
      <c r="AN10" s="215"/>
      <c r="AO10" s="215"/>
      <c r="AP10" s="215"/>
      <c r="AQ10" s="215"/>
      <c r="AR10" s="215"/>
      <c r="AS10" s="215"/>
      <c r="AT10" s="215"/>
      <c r="AU10" s="215"/>
      <c r="AV10" s="215"/>
      <c r="AW10" s="215"/>
      <c r="AX10" s="215"/>
      <c r="AY10" s="215"/>
    </row>
    <row r="11">
      <c r="A11" s="177" t="s">
        <v>261</v>
      </c>
      <c r="B11" s="177" t="s">
        <v>2997</v>
      </c>
      <c r="C11" s="177" t="s">
        <v>2986</v>
      </c>
      <c r="D11" s="177" t="s">
        <v>2998</v>
      </c>
      <c r="E11" s="28" t="s">
        <v>1210</v>
      </c>
      <c r="F11" s="175"/>
      <c r="G11" s="175"/>
      <c r="H11" s="175"/>
      <c r="I11" s="175"/>
      <c r="J11" s="175"/>
      <c r="K11" s="175"/>
      <c r="L11" s="82"/>
      <c r="M11" s="175"/>
      <c r="N11" s="175"/>
      <c r="O11" s="175"/>
      <c r="P11" s="175"/>
      <c r="Q11" s="175"/>
      <c r="R11" s="175"/>
      <c r="S11" s="175"/>
      <c r="T11" s="175"/>
      <c r="U11" s="175"/>
      <c r="V11" s="175"/>
      <c r="W11" s="175"/>
      <c r="X11" s="175"/>
      <c r="Y11" s="175"/>
      <c r="Z11" s="175"/>
      <c r="AA11" s="175"/>
      <c r="AB11" s="175"/>
      <c r="AC11" s="175"/>
      <c r="AD11" s="175"/>
      <c r="AE11" s="175"/>
      <c r="AF11" s="175"/>
      <c r="AG11" s="175"/>
      <c r="AH11" s="175"/>
      <c r="AI11" s="175"/>
      <c r="AJ11" s="175"/>
      <c r="AK11" s="175"/>
      <c r="AL11" s="175"/>
      <c r="AM11" s="175"/>
      <c r="AN11" s="175"/>
      <c r="AO11" s="175"/>
      <c r="AP11" s="175"/>
      <c r="AQ11" s="175"/>
      <c r="AR11" s="175"/>
      <c r="AS11" s="175"/>
      <c r="AT11" s="175"/>
      <c r="AU11" s="175"/>
      <c r="AV11" s="175"/>
      <c r="AW11" s="175"/>
      <c r="AX11" s="175"/>
      <c r="AY11" s="175"/>
    </row>
    <row r="12">
      <c r="A12" s="77" t="s">
        <v>261</v>
      </c>
      <c r="B12" s="77" t="s">
        <v>2999</v>
      </c>
      <c r="C12" s="177" t="s">
        <v>2986</v>
      </c>
      <c r="D12" s="77" t="s">
        <v>3000</v>
      </c>
      <c r="E12" s="42" t="s">
        <v>1210</v>
      </c>
      <c r="F12" s="215"/>
      <c r="G12" s="215"/>
      <c r="H12" s="215"/>
      <c r="I12" s="215"/>
      <c r="J12" s="215"/>
      <c r="K12" s="215"/>
      <c r="L12" s="215"/>
      <c r="M12" s="215"/>
      <c r="N12" s="215"/>
      <c r="O12" s="215"/>
      <c r="P12" s="215"/>
      <c r="Q12" s="215"/>
      <c r="R12" s="215"/>
      <c r="S12" s="215"/>
      <c r="T12" s="215"/>
      <c r="U12" s="215"/>
      <c r="V12" s="215"/>
      <c r="W12" s="215"/>
      <c r="X12" s="215"/>
      <c r="Y12" s="215"/>
      <c r="Z12" s="215"/>
      <c r="AA12" s="215"/>
      <c r="AB12" s="215"/>
      <c r="AC12" s="215"/>
      <c r="AD12" s="215"/>
      <c r="AE12" s="215"/>
      <c r="AF12" s="215"/>
      <c r="AG12" s="215"/>
      <c r="AH12" s="215"/>
      <c r="AI12" s="215"/>
      <c r="AJ12" s="215"/>
      <c r="AK12" s="215"/>
      <c r="AL12" s="215"/>
      <c r="AM12" s="215"/>
      <c r="AN12" s="215"/>
      <c r="AO12" s="215"/>
      <c r="AP12" s="215"/>
      <c r="AQ12" s="215"/>
      <c r="AR12" s="215"/>
      <c r="AS12" s="215"/>
      <c r="AT12" s="215"/>
      <c r="AU12" s="215"/>
      <c r="AV12" s="215"/>
      <c r="AW12" s="215"/>
      <c r="AX12" s="215"/>
      <c r="AY12" s="215"/>
    </row>
    <row r="13">
      <c r="A13" s="77" t="s">
        <v>261</v>
      </c>
      <c r="B13" s="77" t="s">
        <v>3001</v>
      </c>
      <c r="C13" s="177" t="s">
        <v>2986</v>
      </c>
      <c r="D13" s="77" t="s">
        <v>2987</v>
      </c>
      <c r="E13" s="28" t="s">
        <v>1210</v>
      </c>
      <c r="F13" s="215"/>
      <c r="G13" s="215"/>
      <c r="H13" s="215"/>
      <c r="I13" s="215"/>
      <c r="J13" s="215"/>
      <c r="K13" s="215"/>
      <c r="L13" s="215"/>
      <c r="M13" s="215"/>
      <c r="N13" s="215"/>
      <c r="O13" s="215"/>
      <c r="P13" s="215"/>
      <c r="Q13" s="215"/>
      <c r="R13" s="215"/>
      <c r="S13" s="215"/>
      <c r="T13" s="215"/>
      <c r="U13" s="215"/>
      <c r="V13" s="215"/>
      <c r="W13" s="215"/>
      <c r="X13" s="215"/>
      <c r="Y13" s="215"/>
      <c r="Z13" s="215"/>
      <c r="AA13" s="215"/>
      <c r="AB13" s="215"/>
      <c r="AC13" s="215"/>
      <c r="AD13" s="215"/>
      <c r="AE13" s="215"/>
      <c r="AF13" s="215"/>
      <c r="AG13" s="215"/>
      <c r="AH13" s="215"/>
      <c r="AI13" s="215"/>
      <c r="AJ13" s="215"/>
      <c r="AK13" s="215"/>
      <c r="AL13" s="215"/>
      <c r="AM13" s="215"/>
      <c r="AN13" s="215"/>
      <c r="AO13" s="215"/>
      <c r="AP13" s="215"/>
      <c r="AQ13" s="215"/>
      <c r="AR13" s="215"/>
      <c r="AS13" s="215"/>
      <c r="AT13" s="215"/>
      <c r="AU13" s="215"/>
      <c r="AV13" s="215"/>
      <c r="AW13" s="215"/>
      <c r="AX13" s="215"/>
      <c r="AY13" s="215"/>
    </row>
    <row r="14">
      <c r="A14" s="77" t="s">
        <v>431</v>
      </c>
      <c r="B14" s="177" t="s">
        <v>428</v>
      </c>
      <c r="C14" s="177" t="s">
        <v>2979</v>
      </c>
      <c r="D14" s="177" t="s">
        <v>3002</v>
      </c>
      <c r="E14" s="42" t="s">
        <v>1457</v>
      </c>
      <c r="F14" s="175"/>
      <c r="G14" s="175"/>
      <c r="H14" s="175"/>
      <c r="I14" s="175"/>
      <c r="J14" s="175"/>
      <c r="K14" s="175"/>
      <c r="L14" s="175"/>
      <c r="M14" s="175"/>
      <c r="N14" s="175"/>
      <c r="O14" s="175"/>
      <c r="P14" s="175"/>
      <c r="Q14" s="175"/>
      <c r="R14" s="175"/>
      <c r="S14" s="175"/>
      <c r="T14" s="175"/>
      <c r="U14" s="175"/>
      <c r="V14" s="175"/>
      <c r="W14" s="175"/>
      <c r="X14" s="175"/>
      <c r="Y14" s="175"/>
      <c r="Z14" s="175"/>
      <c r="AA14" s="175"/>
      <c r="AB14" s="175"/>
      <c r="AC14" s="175"/>
      <c r="AD14" s="215"/>
      <c r="AE14" s="215"/>
      <c r="AF14" s="215"/>
      <c r="AG14" s="215"/>
      <c r="AH14" s="215"/>
      <c r="AI14" s="215"/>
      <c r="AJ14" s="215"/>
      <c r="AK14" s="215"/>
      <c r="AL14" s="215"/>
      <c r="AM14" s="215"/>
      <c r="AN14" s="215"/>
      <c r="AO14" s="215"/>
      <c r="AP14" s="215"/>
      <c r="AQ14" s="215"/>
      <c r="AR14" s="215"/>
      <c r="AS14" s="215"/>
      <c r="AT14" s="215"/>
      <c r="AU14" s="215"/>
      <c r="AV14" s="215"/>
      <c r="AW14" s="215"/>
      <c r="AX14" s="215"/>
      <c r="AY14" s="215"/>
    </row>
    <row r="15">
      <c r="A15" s="77" t="s">
        <v>431</v>
      </c>
      <c r="B15" s="177" t="s">
        <v>468</v>
      </c>
      <c r="C15" s="177" t="s">
        <v>2979</v>
      </c>
      <c r="D15" s="177" t="s">
        <v>3003</v>
      </c>
      <c r="E15" s="28" t="s">
        <v>1457</v>
      </c>
      <c r="F15" s="175"/>
      <c r="G15" s="175"/>
      <c r="H15" s="175"/>
      <c r="I15" s="175"/>
      <c r="J15" s="175"/>
      <c r="K15" s="175"/>
      <c r="L15" s="175"/>
      <c r="M15" s="175"/>
      <c r="N15" s="175"/>
      <c r="O15" s="175"/>
      <c r="P15" s="175"/>
      <c r="Q15" s="175"/>
      <c r="R15" s="175"/>
      <c r="S15" s="175"/>
      <c r="T15" s="175"/>
      <c r="U15" s="175"/>
      <c r="V15" s="175"/>
      <c r="W15" s="175"/>
      <c r="X15" s="175"/>
      <c r="Y15" s="175"/>
      <c r="Z15" s="175"/>
      <c r="AA15" s="175"/>
      <c r="AB15" s="175"/>
      <c r="AC15" s="175"/>
      <c r="AD15" s="215"/>
      <c r="AE15" s="215"/>
      <c r="AF15" s="215"/>
      <c r="AG15" s="215"/>
      <c r="AH15" s="215"/>
      <c r="AI15" s="215"/>
      <c r="AJ15" s="215"/>
      <c r="AK15" s="215"/>
      <c r="AL15" s="215"/>
      <c r="AM15" s="215"/>
      <c r="AN15" s="215"/>
      <c r="AO15" s="215"/>
      <c r="AP15" s="215"/>
      <c r="AQ15" s="215"/>
      <c r="AR15" s="215"/>
      <c r="AS15" s="215"/>
      <c r="AT15" s="215"/>
      <c r="AU15" s="215"/>
      <c r="AV15" s="215"/>
      <c r="AW15" s="215"/>
      <c r="AX15" s="215"/>
      <c r="AY15" s="215"/>
    </row>
    <row r="16">
      <c r="A16" s="77" t="s">
        <v>431</v>
      </c>
      <c r="B16" s="177" t="s">
        <v>793</v>
      </c>
      <c r="C16" s="177" t="s">
        <v>2986</v>
      </c>
      <c r="D16" s="177" t="s">
        <v>2987</v>
      </c>
      <c r="E16" s="42" t="s">
        <v>1457</v>
      </c>
      <c r="F16" s="175"/>
      <c r="G16" s="175"/>
      <c r="H16" s="175"/>
      <c r="I16" s="175"/>
      <c r="J16" s="175"/>
      <c r="K16" s="175"/>
      <c r="L16" s="175"/>
      <c r="M16" s="175"/>
      <c r="N16" s="175"/>
      <c r="O16" s="175"/>
      <c r="P16" s="175"/>
      <c r="Q16" s="175"/>
      <c r="R16" s="175"/>
      <c r="S16" s="175"/>
      <c r="T16" s="175"/>
      <c r="U16" s="175"/>
      <c r="V16" s="175"/>
      <c r="W16" s="175"/>
      <c r="X16" s="175"/>
      <c r="Y16" s="175"/>
      <c r="Z16" s="175"/>
      <c r="AA16" s="175"/>
      <c r="AB16" s="175"/>
      <c r="AC16" s="175"/>
      <c r="AD16" s="215"/>
      <c r="AE16" s="215"/>
      <c r="AF16" s="215"/>
      <c r="AG16" s="215"/>
      <c r="AH16" s="215"/>
      <c r="AI16" s="215"/>
      <c r="AJ16" s="215"/>
      <c r="AK16" s="215"/>
      <c r="AL16" s="215"/>
      <c r="AM16" s="215"/>
      <c r="AN16" s="215"/>
      <c r="AO16" s="215"/>
      <c r="AP16" s="215"/>
      <c r="AQ16" s="215"/>
      <c r="AR16" s="215"/>
      <c r="AS16" s="215"/>
      <c r="AT16" s="215"/>
      <c r="AU16" s="215"/>
      <c r="AV16" s="215"/>
      <c r="AW16" s="215"/>
      <c r="AX16" s="215"/>
      <c r="AY16" s="215"/>
    </row>
    <row r="17">
      <c r="A17" s="77" t="s">
        <v>181</v>
      </c>
      <c r="B17" s="177" t="s">
        <v>200</v>
      </c>
      <c r="C17" s="177" t="s">
        <v>2980</v>
      </c>
      <c r="D17" s="177" t="s">
        <v>3004</v>
      </c>
      <c r="E17" s="28" t="s">
        <v>1457</v>
      </c>
      <c r="F17" s="175"/>
      <c r="G17" s="175"/>
      <c r="H17" s="175"/>
      <c r="I17" s="175"/>
      <c r="J17" s="175"/>
      <c r="K17" s="175"/>
      <c r="L17" s="175"/>
      <c r="M17" s="175"/>
      <c r="N17" s="175"/>
      <c r="O17" s="175"/>
      <c r="P17" s="175"/>
      <c r="Q17" s="175"/>
      <c r="R17" s="175"/>
      <c r="S17" s="175"/>
      <c r="T17" s="175"/>
      <c r="U17" s="175"/>
      <c r="V17" s="175"/>
      <c r="W17" s="175"/>
      <c r="X17" s="175"/>
      <c r="Y17" s="175"/>
      <c r="Z17" s="175"/>
      <c r="AA17" s="175"/>
      <c r="AB17" s="175"/>
      <c r="AC17" s="215"/>
      <c r="AD17" s="215"/>
      <c r="AE17" s="215"/>
      <c r="AF17" s="215"/>
      <c r="AG17" s="215"/>
      <c r="AH17" s="215"/>
      <c r="AI17" s="215"/>
      <c r="AJ17" s="215"/>
      <c r="AK17" s="215"/>
      <c r="AL17" s="215"/>
      <c r="AM17" s="215"/>
      <c r="AN17" s="215"/>
      <c r="AO17" s="215"/>
      <c r="AP17" s="215"/>
      <c r="AQ17" s="215"/>
      <c r="AR17" s="215"/>
      <c r="AS17" s="215"/>
      <c r="AT17" s="215"/>
      <c r="AU17" s="215"/>
      <c r="AV17" s="215"/>
      <c r="AW17" s="215"/>
      <c r="AX17" s="215"/>
      <c r="AY17" s="215"/>
    </row>
    <row r="18">
      <c r="A18" s="77" t="s">
        <v>181</v>
      </c>
      <c r="B18" s="177" t="s">
        <v>661</v>
      </c>
      <c r="C18" s="177" t="s">
        <v>2979</v>
      </c>
      <c r="D18" s="177" t="s">
        <v>3003</v>
      </c>
      <c r="E18" s="42" t="s">
        <v>1457</v>
      </c>
      <c r="F18" s="175"/>
      <c r="G18" s="175"/>
      <c r="H18" s="175"/>
      <c r="I18" s="175"/>
      <c r="J18" s="175"/>
      <c r="K18" s="175"/>
      <c r="L18" s="175"/>
      <c r="M18" s="175"/>
      <c r="N18" s="175"/>
      <c r="O18" s="175"/>
      <c r="P18" s="175"/>
      <c r="Q18" s="175"/>
      <c r="R18" s="175"/>
      <c r="S18" s="175"/>
      <c r="T18" s="175"/>
      <c r="U18" s="175"/>
      <c r="V18" s="175"/>
      <c r="W18" s="175"/>
      <c r="X18" s="175"/>
      <c r="Y18" s="175"/>
      <c r="Z18" s="175"/>
      <c r="AA18" s="175"/>
      <c r="AB18" s="175"/>
      <c r="AC18" s="215"/>
      <c r="AD18" s="215"/>
      <c r="AE18" s="215"/>
      <c r="AF18" s="215"/>
      <c r="AG18" s="215"/>
      <c r="AH18" s="215"/>
      <c r="AI18" s="215"/>
      <c r="AJ18" s="215"/>
      <c r="AK18" s="215"/>
      <c r="AL18" s="215"/>
      <c r="AM18" s="215"/>
      <c r="AN18" s="215"/>
      <c r="AO18" s="215"/>
      <c r="AP18" s="215"/>
      <c r="AQ18" s="215"/>
      <c r="AR18" s="215"/>
      <c r="AS18" s="215"/>
      <c r="AT18" s="215"/>
      <c r="AU18" s="215"/>
      <c r="AV18" s="215"/>
      <c r="AW18" s="215"/>
      <c r="AX18" s="215"/>
      <c r="AY18" s="215"/>
    </row>
    <row r="19">
      <c r="A19" s="77" t="s">
        <v>181</v>
      </c>
      <c r="B19" s="177" t="s">
        <v>797</v>
      </c>
      <c r="C19" s="177" t="s">
        <v>2980</v>
      </c>
      <c r="D19" s="177" t="s">
        <v>3004</v>
      </c>
      <c r="E19" s="28" t="s">
        <v>1457</v>
      </c>
      <c r="F19" s="175"/>
      <c r="G19" s="175"/>
      <c r="H19" s="175"/>
      <c r="I19" s="175"/>
      <c r="J19" s="175"/>
      <c r="K19" s="175"/>
      <c r="L19" s="175"/>
      <c r="M19" s="175"/>
      <c r="N19" s="175"/>
      <c r="O19" s="175"/>
      <c r="P19" s="175"/>
      <c r="Q19" s="175"/>
      <c r="R19" s="175"/>
      <c r="S19" s="175"/>
      <c r="T19" s="175"/>
      <c r="U19" s="175"/>
      <c r="V19" s="175"/>
      <c r="W19" s="175"/>
      <c r="X19" s="175"/>
      <c r="Y19" s="175"/>
      <c r="Z19" s="175"/>
      <c r="AA19" s="175"/>
      <c r="AB19" s="175"/>
      <c r="AC19" s="215"/>
      <c r="AD19" s="215"/>
      <c r="AE19" s="215"/>
      <c r="AF19" s="215"/>
      <c r="AG19" s="215"/>
      <c r="AH19" s="215"/>
      <c r="AI19" s="215"/>
      <c r="AJ19" s="215"/>
      <c r="AK19" s="215"/>
      <c r="AL19" s="215"/>
      <c r="AM19" s="215"/>
      <c r="AN19" s="215"/>
      <c r="AO19" s="215"/>
      <c r="AP19" s="215"/>
      <c r="AQ19" s="215"/>
      <c r="AR19" s="215"/>
      <c r="AS19" s="215"/>
      <c r="AT19" s="215"/>
      <c r="AU19" s="215"/>
      <c r="AV19" s="215"/>
      <c r="AW19" s="215"/>
      <c r="AX19" s="215"/>
      <c r="AY19" s="215"/>
    </row>
    <row r="20">
      <c r="A20" s="77" t="s">
        <v>181</v>
      </c>
      <c r="B20" s="177" t="s">
        <v>800</v>
      </c>
      <c r="C20" s="177" t="s">
        <v>2979</v>
      </c>
      <c r="D20" s="177" t="s">
        <v>3003</v>
      </c>
      <c r="E20" s="42" t="s">
        <v>1457</v>
      </c>
      <c r="F20" s="175"/>
      <c r="G20" s="175"/>
      <c r="H20" s="175"/>
      <c r="I20" s="175"/>
      <c r="J20" s="175"/>
      <c r="K20" s="175"/>
      <c r="L20" s="175"/>
      <c r="M20" s="175"/>
      <c r="N20" s="175"/>
      <c r="O20" s="175"/>
      <c r="P20" s="175"/>
      <c r="Q20" s="175"/>
      <c r="R20" s="175"/>
      <c r="S20" s="175"/>
      <c r="T20" s="277"/>
      <c r="U20" s="175"/>
      <c r="V20" s="175"/>
      <c r="W20" s="175"/>
      <c r="X20" s="175"/>
      <c r="Y20" s="175"/>
      <c r="Z20" s="175"/>
      <c r="AA20" s="175"/>
      <c r="AB20" s="175"/>
      <c r="AC20" s="215"/>
      <c r="AD20" s="215"/>
      <c r="AE20" s="215"/>
      <c r="AF20" s="215"/>
      <c r="AG20" s="215"/>
      <c r="AH20" s="215"/>
      <c r="AI20" s="215"/>
      <c r="AJ20" s="215"/>
      <c r="AK20" s="215"/>
      <c r="AL20" s="215"/>
      <c r="AM20" s="215"/>
      <c r="AN20" s="215"/>
      <c r="AO20" s="215"/>
      <c r="AP20" s="215"/>
      <c r="AQ20" s="215"/>
      <c r="AR20" s="215"/>
      <c r="AS20" s="215"/>
      <c r="AT20" s="215"/>
      <c r="AU20" s="215"/>
      <c r="AV20" s="215"/>
      <c r="AW20" s="215"/>
      <c r="AX20" s="215"/>
      <c r="AY20" s="215"/>
    </row>
    <row r="21">
      <c r="A21" s="77" t="s">
        <v>181</v>
      </c>
      <c r="B21" s="177" t="s">
        <v>890</v>
      </c>
      <c r="C21" s="177" t="s">
        <v>2980</v>
      </c>
      <c r="D21" s="177" t="s">
        <v>3004</v>
      </c>
      <c r="E21" s="28" t="s">
        <v>1457</v>
      </c>
      <c r="F21" s="175"/>
      <c r="G21" s="175"/>
      <c r="H21" s="175"/>
      <c r="I21" s="175"/>
      <c r="J21" s="175"/>
      <c r="K21" s="175"/>
      <c r="L21" s="175"/>
      <c r="M21" s="175"/>
      <c r="N21" s="175"/>
      <c r="O21" s="175"/>
      <c r="P21" s="175"/>
      <c r="Q21" s="175"/>
      <c r="R21" s="175"/>
      <c r="S21" s="175"/>
      <c r="T21" s="175"/>
      <c r="U21" s="175"/>
      <c r="V21" s="175"/>
      <c r="W21" s="175"/>
      <c r="X21" s="175"/>
      <c r="Y21" s="175"/>
      <c r="Z21" s="175"/>
      <c r="AA21" s="175"/>
      <c r="AB21" s="175"/>
      <c r="AC21" s="215"/>
      <c r="AD21" s="215"/>
      <c r="AE21" s="215"/>
      <c r="AF21" s="215"/>
      <c r="AG21" s="215"/>
      <c r="AH21" s="215"/>
      <c r="AI21" s="215"/>
      <c r="AJ21" s="215"/>
      <c r="AK21" s="215"/>
      <c r="AL21" s="215"/>
      <c r="AM21" s="215"/>
      <c r="AN21" s="215"/>
      <c r="AO21" s="215"/>
      <c r="AP21" s="215"/>
      <c r="AQ21" s="215"/>
      <c r="AR21" s="215"/>
      <c r="AS21" s="215"/>
      <c r="AT21" s="215"/>
      <c r="AU21" s="215"/>
      <c r="AV21" s="215"/>
      <c r="AW21" s="215"/>
      <c r="AX21" s="215"/>
      <c r="AY21" s="215"/>
    </row>
    <row r="22">
      <c r="A22" s="77" t="s">
        <v>181</v>
      </c>
      <c r="B22" s="177" t="s">
        <v>910</v>
      </c>
      <c r="C22" s="177" t="s">
        <v>2979</v>
      </c>
      <c r="D22" s="177" t="s">
        <v>3003</v>
      </c>
      <c r="E22" s="42" t="s">
        <v>1457</v>
      </c>
      <c r="F22" s="175"/>
      <c r="G22" s="175"/>
      <c r="I22" s="175"/>
      <c r="J22" s="175"/>
      <c r="K22" s="175"/>
      <c r="L22" s="175"/>
      <c r="M22" s="175"/>
      <c r="N22" s="175"/>
      <c r="O22" s="175"/>
      <c r="P22" s="175"/>
      <c r="Q22" s="175"/>
      <c r="R22" s="175"/>
      <c r="S22" s="175"/>
      <c r="T22" s="277"/>
      <c r="U22" s="175"/>
      <c r="V22" s="175"/>
      <c r="W22" s="175"/>
      <c r="X22" s="175"/>
      <c r="Y22" s="175"/>
      <c r="Z22" s="175"/>
      <c r="AA22" s="175"/>
      <c r="AB22" s="175"/>
      <c r="AC22" s="215"/>
      <c r="AD22" s="215"/>
      <c r="AE22" s="215"/>
      <c r="AF22" s="215"/>
      <c r="AG22" s="215"/>
      <c r="AH22" s="215"/>
      <c r="AI22" s="215"/>
      <c r="AJ22" s="215"/>
      <c r="AK22" s="215"/>
      <c r="AL22" s="215"/>
      <c r="AM22" s="215"/>
      <c r="AN22" s="215"/>
      <c r="AO22" s="215"/>
      <c r="AP22" s="215"/>
      <c r="AQ22" s="215"/>
      <c r="AR22" s="215"/>
      <c r="AS22" s="215"/>
      <c r="AT22" s="215"/>
      <c r="AU22" s="215"/>
      <c r="AV22" s="215"/>
      <c r="AW22" s="215"/>
      <c r="AX22" s="215"/>
      <c r="AY22" s="215"/>
    </row>
    <row r="23">
      <c r="A23" s="77" t="s">
        <v>269</v>
      </c>
      <c r="B23" s="177" t="s">
        <v>271</v>
      </c>
      <c r="C23" s="177" t="s">
        <v>2979</v>
      </c>
      <c r="D23" s="89" t="s">
        <v>3005</v>
      </c>
      <c r="E23" s="28" t="s">
        <v>1457</v>
      </c>
      <c r="F23" s="175"/>
      <c r="G23" s="175"/>
      <c r="H23" s="175"/>
      <c r="I23" s="175"/>
      <c r="J23" s="175"/>
      <c r="K23" s="175"/>
      <c r="L23" s="175"/>
      <c r="M23" s="175"/>
      <c r="N23" s="175"/>
      <c r="O23" s="175"/>
      <c r="P23" s="175"/>
      <c r="Q23" s="175"/>
      <c r="R23" s="175"/>
      <c r="S23" s="175"/>
      <c r="T23" s="175"/>
      <c r="U23" s="175"/>
      <c r="V23" s="175"/>
      <c r="W23" s="175"/>
      <c r="X23" s="175"/>
      <c r="Y23" s="175"/>
      <c r="Z23" s="175"/>
      <c r="AA23" s="175"/>
      <c r="AB23" s="175"/>
      <c r="AC23" s="215"/>
      <c r="AD23" s="215"/>
      <c r="AE23" s="215"/>
      <c r="AF23" s="215"/>
      <c r="AG23" s="215"/>
      <c r="AH23" s="215"/>
      <c r="AI23" s="215"/>
      <c r="AJ23" s="215"/>
      <c r="AK23" s="215"/>
      <c r="AL23" s="215"/>
      <c r="AM23" s="215"/>
      <c r="AN23" s="215"/>
      <c r="AO23" s="215"/>
      <c r="AP23" s="215"/>
      <c r="AQ23" s="215"/>
      <c r="AR23" s="215"/>
      <c r="AS23" s="215"/>
      <c r="AT23" s="215"/>
      <c r="AU23" s="215"/>
      <c r="AV23" s="215"/>
      <c r="AW23" s="215"/>
      <c r="AX23" s="215"/>
      <c r="AY23" s="215"/>
    </row>
    <row r="24">
      <c r="A24" s="77" t="s">
        <v>269</v>
      </c>
      <c r="B24" s="177" t="s">
        <v>275</v>
      </c>
      <c r="C24" s="177" t="s">
        <v>2979</v>
      </c>
      <c r="D24" s="89" t="s">
        <v>3006</v>
      </c>
      <c r="E24" s="42" t="s">
        <v>1457</v>
      </c>
      <c r="F24" s="175"/>
      <c r="G24" s="175"/>
      <c r="H24" s="175"/>
      <c r="I24" s="175"/>
      <c r="J24" s="175"/>
      <c r="K24" s="175"/>
      <c r="L24" s="175"/>
      <c r="M24" s="175"/>
      <c r="N24" s="175"/>
      <c r="O24" s="175"/>
      <c r="P24" s="175"/>
      <c r="Q24" s="175"/>
      <c r="R24" s="175"/>
      <c r="S24" s="175"/>
      <c r="T24" s="175"/>
      <c r="U24" s="175"/>
      <c r="V24" s="175"/>
      <c r="W24" s="175"/>
      <c r="X24" s="175"/>
      <c r="Y24" s="175"/>
      <c r="Z24" s="175"/>
      <c r="AA24" s="175"/>
      <c r="AB24" s="175"/>
      <c r="AC24" s="215"/>
      <c r="AD24" s="215"/>
      <c r="AE24" s="215"/>
      <c r="AF24" s="215"/>
      <c r="AG24" s="215"/>
      <c r="AH24" s="215"/>
      <c r="AI24" s="215"/>
      <c r="AJ24" s="215"/>
      <c r="AK24" s="215"/>
      <c r="AL24" s="215"/>
      <c r="AM24" s="215"/>
      <c r="AN24" s="215"/>
      <c r="AO24" s="215"/>
      <c r="AP24" s="215"/>
      <c r="AQ24" s="215"/>
      <c r="AR24" s="215"/>
      <c r="AS24" s="215"/>
      <c r="AT24" s="215"/>
      <c r="AU24" s="215"/>
      <c r="AV24" s="215"/>
      <c r="AW24" s="215"/>
      <c r="AX24" s="215"/>
      <c r="AY24" s="215"/>
    </row>
    <row r="25">
      <c r="A25" s="77" t="s">
        <v>269</v>
      </c>
      <c r="B25" s="37" t="s">
        <v>275</v>
      </c>
      <c r="C25" s="177" t="s">
        <v>2986</v>
      </c>
      <c r="D25" s="177" t="s">
        <v>611</v>
      </c>
      <c r="E25" s="42" t="s">
        <v>1457</v>
      </c>
      <c r="F25" s="175"/>
      <c r="G25" s="175"/>
      <c r="H25" s="175"/>
      <c r="I25" s="175"/>
      <c r="J25" s="175"/>
      <c r="K25" s="175"/>
      <c r="L25" s="175"/>
      <c r="M25" s="175"/>
      <c r="N25" s="175"/>
      <c r="O25" s="175"/>
      <c r="P25" s="175"/>
      <c r="Q25" s="175"/>
      <c r="R25" s="175"/>
      <c r="S25" s="175"/>
      <c r="T25" s="175"/>
      <c r="U25" s="175"/>
      <c r="V25" s="175"/>
      <c r="W25" s="175"/>
      <c r="X25" s="175"/>
      <c r="Y25" s="175"/>
      <c r="Z25" s="175"/>
      <c r="AA25" s="175"/>
      <c r="AB25" s="17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215"/>
      <c r="AY25" s="215"/>
    </row>
    <row r="26">
      <c r="A26" s="77" t="s">
        <v>269</v>
      </c>
      <c r="B26" s="177" t="s">
        <v>282</v>
      </c>
      <c r="C26" s="177" t="s">
        <v>2980</v>
      </c>
      <c r="D26" s="89" t="s">
        <v>3007</v>
      </c>
      <c r="E26" s="28" t="s">
        <v>1457</v>
      </c>
      <c r="F26" s="175"/>
      <c r="G26" s="175"/>
      <c r="H26" s="175"/>
      <c r="I26" s="175"/>
      <c r="J26" s="175"/>
      <c r="K26" s="175"/>
      <c r="L26" s="175"/>
      <c r="M26" s="175"/>
      <c r="N26" s="175"/>
      <c r="O26" s="175"/>
      <c r="P26" s="175"/>
      <c r="Q26" s="175"/>
      <c r="R26" s="175"/>
      <c r="S26" s="175"/>
      <c r="T26" s="175"/>
      <c r="U26" s="175"/>
      <c r="V26" s="175"/>
      <c r="W26" s="175"/>
      <c r="X26" s="175"/>
      <c r="Y26" s="175"/>
      <c r="Z26" s="175"/>
      <c r="AA26" s="175"/>
      <c r="AB26" s="175"/>
      <c r="AC26" s="215"/>
      <c r="AD26" s="215"/>
      <c r="AE26" s="215"/>
      <c r="AF26" s="215"/>
      <c r="AG26" s="215"/>
      <c r="AH26" s="215"/>
      <c r="AI26" s="215"/>
      <c r="AJ26" s="215"/>
      <c r="AK26" s="215"/>
      <c r="AL26" s="215"/>
      <c r="AM26" s="215"/>
      <c r="AN26" s="215"/>
      <c r="AO26" s="215"/>
      <c r="AP26" s="215"/>
      <c r="AQ26" s="215"/>
      <c r="AR26" s="215"/>
      <c r="AS26" s="215"/>
      <c r="AT26" s="215"/>
      <c r="AU26" s="215"/>
      <c r="AV26" s="215"/>
      <c r="AW26" s="215"/>
      <c r="AX26" s="215"/>
      <c r="AY26" s="215"/>
    </row>
    <row r="27">
      <c r="A27" s="77" t="s">
        <v>269</v>
      </c>
      <c r="B27" s="177" t="s">
        <v>303</v>
      </c>
      <c r="C27" s="177" t="s">
        <v>2986</v>
      </c>
      <c r="D27" s="177" t="s">
        <v>3003</v>
      </c>
      <c r="E27" s="42" t="s">
        <v>1457</v>
      </c>
      <c r="F27" s="175"/>
      <c r="G27" s="175"/>
      <c r="H27" s="175"/>
      <c r="I27" s="175"/>
      <c r="J27" s="175"/>
      <c r="K27" s="175"/>
      <c r="L27" s="175"/>
      <c r="M27" s="175"/>
      <c r="N27" s="175"/>
      <c r="O27" s="175"/>
      <c r="P27" s="175"/>
      <c r="Q27" s="175"/>
      <c r="R27" s="175"/>
      <c r="S27" s="175"/>
      <c r="T27" s="277"/>
      <c r="U27" s="175"/>
      <c r="V27" s="175"/>
      <c r="W27" s="175"/>
      <c r="X27" s="175"/>
      <c r="Y27" s="175"/>
      <c r="Z27" s="175"/>
      <c r="AA27" s="175"/>
      <c r="AB27" s="175"/>
      <c r="AC27" s="215"/>
      <c r="AD27" s="215"/>
      <c r="AE27" s="215"/>
      <c r="AF27" s="215"/>
      <c r="AG27" s="215"/>
      <c r="AH27" s="215"/>
      <c r="AI27" s="215"/>
      <c r="AJ27" s="215"/>
      <c r="AK27" s="215"/>
      <c r="AL27" s="215"/>
      <c r="AM27" s="215"/>
      <c r="AN27" s="215"/>
      <c r="AO27" s="215"/>
      <c r="AP27" s="215"/>
      <c r="AQ27" s="215"/>
      <c r="AR27" s="215"/>
      <c r="AS27" s="215"/>
      <c r="AT27" s="215"/>
      <c r="AU27" s="215"/>
      <c r="AV27" s="215"/>
      <c r="AW27" s="215"/>
      <c r="AX27" s="215"/>
      <c r="AY27" s="215"/>
    </row>
    <row r="28">
      <c r="A28" s="77" t="s">
        <v>269</v>
      </c>
      <c r="B28" s="177" t="s">
        <v>313</v>
      </c>
      <c r="C28" s="177" t="s">
        <v>2986</v>
      </c>
      <c r="D28" s="89" t="s">
        <v>3008</v>
      </c>
      <c r="E28" s="28" t="s">
        <v>1457</v>
      </c>
      <c r="F28" s="175"/>
      <c r="G28" s="175"/>
      <c r="H28" s="175"/>
      <c r="I28" s="175"/>
      <c r="J28" s="175"/>
      <c r="K28" s="175"/>
      <c r="L28" s="175"/>
      <c r="M28" s="175"/>
      <c r="N28" s="175"/>
      <c r="O28" s="175"/>
      <c r="P28" s="175"/>
      <c r="Q28" s="175"/>
      <c r="R28" s="175"/>
      <c r="S28" s="175"/>
      <c r="T28" s="175"/>
      <c r="U28" s="175"/>
      <c r="V28" s="175"/>
      <c r="W28" s="175"/>
      <c r="X28" s="175"/>
      <c r="Y28" s="175"/>
      <c r="Z28" s="175"/>
      <c r="AA28" s="175"/>
      <c r="AB28" s="175"/>
      <c r="AC28" s="215"/>
      <c r="AD28" s="215"/>
      <c r="AE28" s="215"/>
      <c r="AF28" s="215"/>
      <c r="AG28" s="215"/>
      <c r="AH28" s="215"/>
      <c r="AI28" s="215"/>
      <c r="AJ28" s="215"/>
      <c r="AK28" s="215"/>
      <c r="AL28" s="215"/>
      <c r="AM28" s="215"/>
      <c r="AN28" s="215"/>
      <c r="AO28" s="215"/>
      <c r="AP28" s="215"/>
      <c r="AQ28" s="215"/>
      <c r="AR28" s="215"/>
      <c r="AS28" s="215"/>
      <c r="AT28" s="215"/>
      <c r="AU28" s="215"/>
      <c r="AV28" s="215"/>
      <c r="AW28" s="215"/>
      <c r="AX28" s="215"/>
      <c r="AY28" s="215"/>
    </row>
    <row r="29">
      <c r="A29" s="77" t="s">
        <v>269</v>
      </c>
      <c r="B29" s="177" t="s">
        <v>316</v>
      </c>
      <c r="C29" s="177" t="s">
        <v>2979</v>
      </c>
      <c r="D29" s="89" t="s">
        <v>3009</v>
      </c>
      <c r="E29" s="42" t="s">
        <v>1457</v>
      </c>
      <c r="F29" s="175"/>
      <c r="G29" s="175"/>
      <c r="I29" s="175"/>
      <c r="J29" s="175"/>
      <c r="K29" s="175"/>
      <c r="L29" s="175"/>
      <c r="M29" s="175"/>
      <c r="N29" s="175"/>
      <c r="O29" s="175"/>
      <c r="P29" s="175"/>
      <c r="Q29" s="175"/>
      <c r="R29" s="175"/>
      <c r="S29" s="175"/>
      <c r="T29" s="277"/>
      <c r="U29" s="175"/>
      <c r="V29" s="175"/>
      <c r="W29" s="175"/>
      <c r="X29" s="175"/>
      <c r="Y29" s="175"/>
      <c r="Z29" s="175"/>
      <c r="AA29" s="175"/>
      <c r="AB29" s="175"/>
      <c r="AC29" s="215"/>
      <c r="AD29" s="215"/>
      <c r="AE29" s="215"/>
      <c r="AF29" s="215"/>
      <c r="AG29" s="215"/>
      <c r="AH29" s="215"/>
      <c r="AI29" s="215"/>
      <c r="AJ29" s="215"/>
      <c r="AK29" s="215"/>
      <c r="AL29" s="215"/>
      <c r="AM29" s="215"/>
      <c r="AN29" s="215"/>
      <c r="AO29" s="215"/>
      <c r="AP29" s="215"/>
      <c r="AQ29" s="215"/>
      <c r="AR29" s="215"/>
      <c r="AS29" s="215"/>
      <c r="AT29" s="215"/>
      <c r="AU29" s="215"/>
      <c r="AV29" s="215"/>
      <c r="AW29" s="215"/>
      <c r="AX29" s="215"/>
      <c r="AY29" s="215"/>
    </row>
    <row r="30">
      <c r="A30" s="77" t="s">
        <v>269</v>
      </c>
      <c r="B30" s="177" t="s">
        <v>877</v>
      </c>
      <c r="C30" s="177" t="s">
        <v>2979</v>
      </c>
      <c r="D30" s="278" t="s">
        <v>3010</v>
      </c>
      <c r="E30" s="28" t="s">
        <v>1457</v>
      </c>
      <c r="F30" s="175"/>
      <c r="G30" s="175"/>
      <c r="H30" s="175"/>
      <c r="I30" s="175"/>
      <c r="J30" s="175"/>
      <c r="K30" s="82"/>
      <c r="L30" s="175"/>
      <c r="M30" s="82"/>
      <c r="N30" s="82"/>
      <c r="O30" s="175"/>
      <c r="P30" s="175"/>
      <c r="Q30" s="175"/>
      <c r="R30" s="175"/>
      <c r="S30" s="175"/>
      <c r="T30" s="175"/>
      <c r="U30" s="175"/>
      <c r="V30" s="175"/>
      <c r="W30" s="82"/>
      <c r="X30" s="82"/>
      <c r="Y30" s="175"/>
      <c r="Z30" s="175"/>
      <c r="AA30" s="175"/>
      <c r="AB30" s="175"/>
      <c r="AC30" s="82"/>
      <c r="AD30" s="82"/>
      <c r="AE30" s="175"/>
      <c r="AF30" s="175"/>
      <c r="AG30" s="175"/>
      <c r="AH30" s="175"/>
      <c r="AI30" s="175"/>
      <c r="AJ30" s="175"/>
      <c r="AK30" s="175"/>
      <c r="AL30" s="175"/>
      <c r="AM30" s="175"/>
      <c r="AN30" s="175"/>
      <c r="AO30" s="175"/>
      <c r="AP30" s="175"/>
      <c r="AQ30" s="175"/>
      <c r="AR30" s="175"/>
      <c r="AS30" s="175"/>
      <c r="AT30" s="175"/>
      <c r="AU30" s="175"/>
      <c r="AV30" s="175"/>
      <c r="AW30" s="175"/>
      <c r="AX30" s="175"/>
      <c r="AY30" s="175"/>
    </row>
    <row r="31">
      <c r="A31" s="77" t="s">
        <v>269</v>
      </c>
      <c r="B31" s="177" t="s">
        <v>903</v>
      </c>
      <c r="C31" s="177" t="s">
        <v>2979</v>
      </c>
      <c r="D31" s="279" t="s">
        <v>3011</v>
      </c>
      <c r="E31" s="42" t="s">
        <v>1457</v>
      </c>
      <c r="F31" s="175"/>
      <c r="G31" s="175"/>
      <c r="H31" s="280"/>
      <c r="I31" s="175"/>
      <c r="J31" s="175"/>
      <c r="K31" s="82"/>
      <c r="L31" s="82"/>
      <c r="M31" s="82"/>
      <c r="N31" s="82"/>
      <c r="O31" s="175"/>
      <c r="P31" s="175"/>
      <c r="Q31" s="175"/>
      <c r="R31" s="175"/>
      <c r="S31" s="175"/>
      <c r="T31" s="175"/>
      <c r="U31" s="175"/>
      <c r="V31" s="175"/>
      <c r="W31" s="82"/>
      <c r="X31" s="82"/>
      <c r="Z31" s="175"/>
      <c r="AA31" s="82"/>
      <c r="AB31" s="82"/>
      <c r="AC31" s="82"/>
      <c r="AD31" s="82"/>
      <c r="AE31" s="175"/>
      <c r="AF31" s="175"/>
      <c r="AG31" s="175"/>
      <c r="AH31" s="175"/>
      <c r="AI31" s="175"/>
      <c r="AJ31" s="175"/>
      <c r="AK31" s="175"/>
      <c r="AL31" s="175"/>
      <c r="AM31" s="175"/>
      <c r="AN31" s="175"/>
      <c r="AO31" s="175"/>
      <c r="AP31" s="175"/>
      <c r="AQ31" s="175"/>
      <c r="AR31" s="175"/>
      <c r="AS31" s="175"/>
      <c r="AT31" s="175"/>
      <c r="AU31" s="175"/>
      <c r="AV31" s="175"/>
      <c r="AW31" s="175"/>
      <c r="AX31" s="175"/>
      <c r="AY31" s="175"/>
    </row>
    <row r="32">
      <c r="A32" s="77" t="s">
        <v>269</v>
      </c>
      <c r="B32" s="177" t="s">
        <v>869</v>
      </c>
      <c r="C32" s="177" t="s">
        <v>2979</v>
      </c>
      <c r="D32" s="279" t="s">
        <v>3012</v>
      </c>
      <c r="E32" s="28" t="s">
        <v>1457</v>
      </c>
      <c r="F32" s="175"/>
      <c r="G32" s="175"/>
      <c r="H32" s="175"/>
      <c r="I32" s="175"/>
      <c r="J32" s="175"/>
      <c r="K32" s="175"/>
      <c r="L32" s="175"/>
      <c r="M32" s="175"/>
      <c r="N32" s="175"/>
      <c r="O32" s="175"/>
      <c r="P32" s="175"/>
      <c r="Q32" s="175"/>
      <c r="R32" s="175"/>
      <c r="S32" s="175"/>
      <c r="T32" s="175"/>
      <c r="U32" s="175"/>
      <c r="V32" s="175"/>
      <c r="W32" s="175"/>
      <c r="X32" s="175"/>
      <c r="Y32" s="175"/>
      <c r="Z32" s="175"/>
      <c r="AA32" s="175"/>
      <c r="AB32" s="175"/>
      <c r="AC32" s="82"/>
      <c r="AD32" s="82"/>
      <c r="AE32" s="175"/>
      <c r="AF32" s="175"/>
      <c r="AG32" s="175"/>
      <c r="AH32" s="175"/>
      <c r="AI32" s="175"/>
      <c r="AJ32" s="175"/>
      <c r="AK32" s="175"/>
      <c r="AL32" s="175"/>
      <c r="AM32" s="175"/>
      <c r="AN32" s="175"/>
      <c r="AO32" s="175"/>
      <c r="AP32" s="175"/>
      <c r="AQ32" s="175"/>
      <c r="AR32" s="175"/>
      <c r="AS32" s="175"/>
      <c r="AT32" s="175"/>
      <c r="AU32" s="175"/>
      <c r="AV32" s="175"/>
      <c r="AW32" s="175"/>
      <c r="AX32" s="175"/>
      <c r="AY32" s="175"/>
    </row>
    <row r="33">
      <c r="A33" s="77" t="s">
        <v>269</v>
      </c>
      <c r="B33" s="177" t="s">
        <v>872</v>
      </c>
      <c r="C33" s="177" t="s">
        <v>2986</v>
      </c>
      <c r="D33" s="279" t="s">
        <v>3013</v>
      </c>
      <c r="E33" s="42" t="s">
        <v>1457</v>
      </c>
      <c r="F33" s="175"/>
      <c r="G33" s="175"/>
      <c r="H33" s="175"/>
      <c r="I33" s="175"/>
      <c r="J33" s="175"/>
      <c r="K33" s="175"/>
      <c r="L33" s="175"/>
      <c r="M33" s="82"/>
      <c r="N33" s="175"/>
      <c r="O33" s="175"/>
      <c r="P33" s="175"/>
      <c r="Q33" s="175"/>
      <c r="R33" s="175"/>
      <c r="S33" s="175"/>
      <c r="T33" s="175"/>
      <c r="U33" s="175"/>
      <c r="V33" s="175"/>
      <c r="W33" s="175"/>
      <c r="X33" s="175"/>
      <c r="Y33" s="175"/>
      <c r="Z33" s="175"/>
      <c r="AA33" s="175"/>
      <c r="AB33" s="175"/>
      <c r="AC33" s="82"/>
      <c r="AD33" s="82"/>
      <c r="AE33" s="175"/>
      <c r="AF33" s="175"/>
      <c r="AG33" s="175"/>
      <c r="AH33" s="175"/>
      <c r="AI33" s="175"/>
      <c r="AJ33" s="175"/>
      <c r="AK33" s="175"/>
      <c r="AL33" s="175"/>
      <c r="AM33" s="175"/>
      <c r="AN33" s="175"/>
      <c r="AO33" s="175"/>
      <c r="AP33" s="175"/>
      <c r="AQ33" s="175"/>
      <c r="AR33" s="175"/>
      <c r="AS33" s="175"/>
      <c r="AT33" s="175"/>
      <c r="AU33" s="175"/>
      <c r="AV33" s="175"/>
      <c r="AW33" s="175"/>
      <c r="AX33" s="175"/>
      <c r="AY33" s="175"/>
    </row>
    <row r="34">
      <c r="A34" s="77" t="s">
        <v>269</v>
      </c>
      <c r="B34" s="39" t="s">
        <v>872</v>
      </c>
      <c r="C34" s="177" t="s">
        <v>2986</v>
      </c>
      <c r="D34" s="177" t="s">
        <v>611</v>
      </c>
      <c r="E34" s="42" t="s">
        <v>1457</v>
      </c>
      <c r="F34" s="175"/>
      <c r="G34" s="175"/>
      <c r="H34" s="175"/>
      <c r="I34" s="175"/>
      <c r="J34" s="175"/>
      <c r="K34" s="175"/>
      <c r="L34" s="175"/>
      <c r="M34" s="82"/>
      <c r="N34" s="175"/>
      <c r="O34" s="175"/>
      <c r="P34" s="175"/>
      <c r="Q34" s="175"/>
      <c r="R34" s="175"/>
      <c r="S34" s="175"/>
      <c r="T34" s="175"/>
      <c r="U34" s="175"/>
      <c r="V34" s="175"/>
      <c r="W34" s="175"/>
      <c r="X34" s="175"/>
      <c r="Y34" s="175"/>
      <c r="Z34" s="175"/>
      <c r="AA34" s="175"/>
      <c r="AB34" s="175"/>
      <c r="AC34" s="82"/>
      <c r="AD34" s="82"/>
      <c r="AE34" s="175"/>
      <c r="AF34" s="175"/>
      <c r="AG34" s="175"/>
      <c r="AH34" s="175"/>
      <c r="AI34" s="175"/>
      <c r="AJ34" s="175"/>
      <c r="AK34" s="175"/>
      <c r="AL34" s="175"/>
      <c r="AM34" s="175"/>
      <c r="AN34" s="175"/>
      <c r="AO34" s="175"/>
      <c r="AP34" s="175"/>
      <c r="AQ34" s="175"/>
      <c r="AR34" s="175"/>
      <c r="AS34" s="175"/>
      <c r="AT34" s="175"/>
      <c r="AU34" s="175"/>
      <c r="AV34" s="175"/>
      <c r="AW34" s="175"/>
      <c r="AX34" s="175"/>
      <c r="AY34" s="175"/>
    </row>
    <row r="35">
      <c r="A35" s="77" t="s">
        <v>269</v>
      </c>
      <c r="B35" s="177" t="s">
        <v>875</v>
      </c>
      <c r="C35" s="177" t="s">
        <v>2986</v>
      </c>
      <c r="D35" s="279" t="s">
        <v>3014</v>
      </c>
      <c r="E35" s="28" t="s">
        <v>1457</v>
      </c>
      <c r="F35" s="175"/>
      <c r="G35" s="175"/>
      <c r="H35" s="82" t="s">
        <v>261</v>
      </c>
      <c r="I35" s="79" t="s">
        <v>822</v>
      </c>
      <c r="J35" s="82" t="s">
        <v>2986</v>
      </c>
      <c r="K35" s="82" t="s">
        <v>611</v>
      </c>
      <c r="L35" s="281" t="s">
        <v>1457</v>
      </c>
      <c r="M35" s="175"/>
      <c r="N35" s="175"/>
      <c r="O35" s="175"/>
      <c r="P35" s="175"/>
      <c r="Q35" s="175"/>
      <c r="R35" s="175"/>
      <c r="S35" s="175"/>
      <c r="T35" s="175"/>
      <c r="U35" s="175"/>
      <c r="V35" s="175"/>
      <c r="W35" s="175"/>
      <c r="X35" s="175"/>
      <c r="Y35" s="175"/>
      <c r="Z35" s="175"/>
      <c r="AA35" s="175"/>
      <c r="AB35" s="175"/>
      <c r="AC35" s="175"/>
      <c r="AD35" s="175"/>
      <c r="AE35" s="175"/>
      <c r="AF35" s="175"/>
      <c r="AG35" s="175"/>
      <c r="AH35" s="175"/>
      <c r="AI35" s="175"/>
      <c r="AJ35" s="175"/>
      <c r="AK35" s="175"/>
      <c r="AL35" s="175"/>
      <c r="AM35" s="175"/>
      <c r="AN35" s="175"/>
      <c r="AO35" s="175"/>
      <c r="AP35" s="175"/>
      <c r="AQ35" s="175"/>
      <c r="AR35" s="175"/>
      <c r="AS35" s="175"/>
      <c r="AT35" s="175"/>
      <c r="AU35" s="175"/>
      <c r="AV35" s="175"/>
      <c r="AW35" s="175"/>
      <c r="AX35" s="175"/>
      <c r="AY35" s="175"/>
    </row>
    <row r="36">
      <c r="A36" s="77" t="s">
        <v>269</v>
      </c>
      <c r="B36" s="177" t="s">
        <v>882</v>
      </c>
      <c r="C36" s="177" t="s">
        <v>2979</v>
      </c>
      <c r="D36" s="279" t="s">
        <v>3015</v>
      </c>
      <c r="E36" s="42" t="s">
        <v>1457</v>
      </c>
      <c r="F36" s="175"/>
      <c r="G36" s="175"/>
      <c r="H36" s="79" t="s">
        <v>93</v>
      </c>
      <c r="I36" s="282" t="s">
        <v>832</v>
      </c>
      <c r="J36" s="82" t="s">
        <v>2986</v>
      </c>
      <c r="K36" s="283" t="s">
        <v>611</v>
      </c>
      <c r="L36" s="90" t="s">
        <v>1457</v>
      </c>
      <c r="M36" s="175"/>
      <c r="N36" s="175"/>
      <c r="O36" s="175"/>
      <c r="P36" s="175"/>
      <c r="R36" s="175"/>
      <c r="S36" s="175"/>
      <c r="T36" s="82"/>
      <c r="U36" s="175"/>
      <c r="V36" s="175"/>
      <c r="W36" s="175"/>
      <c r="X36" s="175"/>
      <c r="Y36" s="175"/>
      <c r="Z36" s="175"/>
      <c r="AA36" s="175"/>
      <c r="AB36" s="82"/>
      <c r="AC36" s="82"/>
      <c r="AD36" s="82"/>
      <c r="AF36" s="175"/>
      <c r="AG36" s="175"/>
      <c r="AH36" s="175"/>
      <c r="AI36" s="175"/>
      <c r="AJ36" s="175"/>
      <c r="AK36" s="175"/>
      <c r="AL36" s="175"/>
      <c r="AM36" s="175"/>
      <c r="AN36" s="175"/>
      <c r="AO36" s="175"/>
      <c r="AP36" s="175"/>
      <c r="AQ36" s="175"/>
      <c r="AR36" s="175"/>
      <c r="AS36" s="175"/>
      <c r="AT36" s="175"/>
      <c r="AU36" s="175"/>
      <c r="AV36" s="175"/>
      <c r="AW36" s="175"/>
      <c r="AX36" s="175"/>
      <c r="AY36" s="175"/>
    </row>
    <row r="37">
      <c r="A37" s="77" t="s">
        <v>269</v>
      </c>
      <c r="B37" s="177" t="s">
        <v>580</v>
      </c>
      <c r="C37" s="177" t="s">
        <v>2986</v>
      </c>
      <c r="D37" s="284" t="s">
        <v>3016</v>
      </c>
      <c r="E37" s="28" t="s">
        <v>1457</v>
      </c>
      <c r="F37" s="175"/>
      <c r="G37" s="175"/>
      <c r="H37" s="175"/>
      <c r="I37" s="82"/>
      <c r="J37" s="82"/>
      <c r="K37" s="82"/>
      <c r="L37" s="82"/>
      <c r="M37" s="82"/>
      <c r="N37" s="82"/>
      <c r="O37" s="82"/>
      <c r="P37" s="175"/>
      <c r="Q37" s="175"/>
      <c r="R37" s="175"/>
      <c r="S37" s="175"/>
      <c r="T37" s="82"/>
      <c r="U37" s="82"/>
      <c r="V37" s="82"/>
      <c r="W37" s="82"/>
      <c r="X37" s="175"/>
      <c r="Y37" s="175"/>
      <c r="Z37" s="82"/>
      <c r="AA37" s="82"/>
      <c r="AB37" s="82"/>
      <c r="AC37" s="82"/>
      <c r="AD37" s="82"/>
      <c r="AG37" s="175"/>
      <c r="AH37" s="175"/>
      <c r="AI37" s="175"/>
      <c r="AJ37" s="175"/>
      <c r="AK37" s="175"/>
      <c r="AL37" s="175"/>
      <c r="AM37" s="175"/>
      <c r="AN37" s="175"/>
      <c r="AO37" s="175"/>
      <c r="AP37" s="175"/>
      <c r="AQ37" s="175"/>
      <c r="AR37" s="175"/>
      <c r="AS37" s="175"/>
      <c r="AT37" s="175"/>
      <c r="AU37" s="175"/>
      <c r="AV37" s="175"/>
      <c r="AW37" s="175"/>
      <c r="AX37" s="175"/>
      <c r="AY37" s="175"/>
    </row>
    <row r="38">
      <c r="A38" s="77" t="s">
        <v>269</v>
      </c>
      <c r="B38" s="177" t="s">
        <v>584</v>
      </c>
      <c r="C38" s="177" t="s">
        <v>2986</v>
      </c>
      <c r="D38" s="284" t="s">
        <v>3017</v>
      </c>
      <c r="E38" s="42" t="s">
        <v>1457</v>
      </c>
      <c r="F38" s="175"/>
      <c r="G38" s="175"/>
      <c r="H38" s="175"/>
      <c r="I38" s="82"/>
      <c r="J38" s="82"/>
      <c r="K38" s="82"/>
      <c r="L38" s="82"/>
      <c r="M38" s="82"/>
      <c r="N38" s="82"/>
      <c r="O38" s="82"/>
      <c r="P38" s="175"/>
      <c r="Q38" s="175"/>
      <c r="R38" s="175"/>
      <c r="S38" s="175"/>
      <c r="T38" s="82"/>
      <c r="U38" s="82"/>
      <c r="V38" s="175"/>
      <c r="W38" s="82"/>
      <c r="X38" s="175"/>
      <c r="Y38" s="175"/>
      <c r="Z38" s="175"/>
      <c r="AA38" s="175"/>
      <c r="AB38" s="175"/>
      <c r="AC38" s="82"/>
      <c r="AD38" s="82"/>
      <c r="AE38" s="82"/>
      <c r="AG38" s="175"/>
      <c r="AH38" s="175"/>
      <c r="AI38" s="175"/>
      <c r="AJ38" s="175"/>
      <c r="AK38" s="175"/>
      <c r="AL38" s="175"/>
      <c r="AM38" s="175"/>
      <c r="AN38" s="175"/>
      <c r="AO38" s="175"/>
      <c r="AP38" s="175"/>
      <c r="AQ38" s="175"/>
      <c r="AR38" s="175"/>
      <c r="AS38" s="175"/>
      <c r="AT38" s="175"/>
      <c r="AU38" s="175"/>
      <c r="AV38" s="175"/>
      <c r="AW38" s="175"/>
      <c r="AX38" s="175"/>
      <c r="AY38" s="175"/>
    </row>
    <row r="39">
      <c r="A39" s="77" t="s">
        <v>269</v>
      </c>
      <c r="B39" s="177" t="s">
        <v>590</v>
      </c>
      <c r="C39" s="177" t="s">
        <v>2986</v>
      </c>
      <c r="D39" s="279" t="s">
        <v>3018</v>
      </c>
      <c r="E39" s="28" t="s">
        <v>1457</v>
      </c>
      <c r="F39" s="175"/>
      <c r="G39" s="175"/>
      <c r="H39" s="175"/>
      <c r="I39" s="82"/>
      <c r="J39" s="82"/>
      <c r="K39" s="82"/>
      <c r="L39" s="82"/>
      <c r="O39" s="82"/>
      <c r="P39" s="175"/>
      <c r="Q39" s="175"/>
      <c r="R39" s="175"/>
      <c r="S39" s="175"/>
      <c r="T39" s="82"/>
      <c r="U39" s="82"/>
      <c r="V39" s="82"/>
      <c r="W39" s="82"/>
      <c r="AA39" s="175"/>
      <c r="AB39" s="175"/>
      <c r="AC39" s="82"/>
      <c r="AD39" s="82"/>
      <c r="AE39" s="82"/>
      <c r="AG39" s="175"/>
      <c r="AH39" s="175"/>
      <c r="AI39" s="175"/>
      <c r="AJ39" s="175"/>
      <c r="AK39" s="175"/>
      <c r="AL39" s="175"/>
      <c r="AM39" s="175"/>
      <c r="AN39" s="175"/>
      <c r="AO39" s="175"/>
      <c r="AP39" s="175"/>
      <c r="AQ39" s="175"/>
      <c r="AR39" s="175"/>
      <c r="AS39" s="175"/>
      <c r="AT39" s="175"/>
      <c r="AU39" s="175"/>
      <c r="AV39" s="175"/>
      <c r="AW39" s="175"/>
      <c r="AX39" s="175"/>
      <c r="AY39" s="175"/>
    </row>
    <row r="40">
      <c r="A40" s="77" t="s">
        <v>269</v>
      </c>
      <c r="B40" s="177" t="s">
        <v>593</v>
      </c>
      <c r="C40" s="177" t="s">
        <v>2979</v>
      </c>
      <c r="D40" s="279" t="s">
        <v>3009</v>
      </c>
      <c r="E40" s="42" t="s">
        <v>1457</v>
      </c>
      <c r="F40" s="175"/>
      <c r="G40" s="175"/>
      <c r="H40" s="175"/>
      <c r="I40" s="175"/>
      <c r="J40" s="175"/>
      <c r="K40" s="175"/>
      <c r="L40" s="175"/>
      <c r="M40" s="175"/>
      <c r="N40" s="175"/>
      <c r="O40" s="82"/>
      <c r="P40" s="175"/>
      <c r="Q40" s="175"/>
      <c r="R40" s="175"/>
      <c r="S40" s="175"/>
      <c r="T40" s="175"/>
      <c r="U40" s="82"/>
      <c r="Y40" s="175"/>
      <c r="Z40" s="175"/>
      <c r="AA40" s="175"/>
      <c r="AB40" s="175"/>
      <c r="AC40" s="175"/>
      <c r="AD40" s="175"/>
      <c r="AE40" s="82"/>
      <c r="AG40" s="175"/>
      <c r="AH40" s="175"/>
      <c r="AI40" s="175"/>
      <c r="AJ40" s="175"/>
      <c r="AK40" s="175"/>
      <c r="AL40" s="175"/>
      <c r="AM40" s="175"/>
      <c r="AN40" s="175"/>
      <c r="AO40" s="175"/>
      <c r="AP40" s="175"/>
      <c r="AQ40" s="175"/>
      <c r="AR40" s="175"/>
      <c r="AS40" s="175"/>
      <c r="AT40" s="175"/>
      <c r="AU40" s="175"/>
      <c r="AV40" s="175"/>
      <c r="AW40" s="175"/>
      <c r="AX40" s="175"/>
      <c r="AY40" s="175"/>
    </row>
    <row r="41">
      <c r="A41" s="77" t="s">
        <v>269</v>
      </c>
      <c r="B41" s="177" t="s">
        <v>596</v>
      </c>
      <c r="C41" s="177" t="s">
        <v>2986</v>
      </c>
      <c r="D41" s="279" t="s">
        <v>3018</v>
      </c>
      <c r="E41" s="28" t="s">
        <v>1457</v>
      </c>
      <c r="F41" s="175"/>
      <c r="G41" s="175"/>
      <c r="H41" s="175"/>
      <c r="I41" s="82"/>
      <c r="J41" s="82"/>
      <c r="K41" s="82"/>
      <c r="L41" s="175"/>
      <c r="M41" s="175"/>
      <c r="N41" s="175"/>
      <c r="O41" s="82"/>
      <c r="P41" s="175"/>
      <c r="Q41" s="175"/>
      <c r="R41" s="175"/>
      <c r="S41" s="175"/>
      <c r="T41" s="82"/>
      <c r="U41" s="82"/>
      <c r="X41" s="175"/>
      <c r="Y41" s="175"/>
      <c r="Z41" s="175"/>
      <c r="AA41" s="175"/>
      <c r="AB41" s="175"/>
      <c r="AC41" s="82"/>
      <c r="AD41" s="82"/>
      <c r="AG41" s="175"/>
      <c r="AH41" s="175"/>
      <c r="AI41" s="175"/>
      <c r="AJ41" s="175"/>
      <c r="AK41" s="175"/>
      <c r="AL41" s="175"/>
      <c r="AM41" s="175"/>
      <c r="AN41" s="175"/>
      <c r="AO41" s="175"/>
      <c r="AP41" s="175"/>
      <c r="AQ41" s="175"/>
      <c r="AR41" s="175"/>
      <c r="AS41" s="175"/>
      <c r="AT41" s="175"/>
      <c r="AU41" s="175"/>
      <c r="AV41" s="175"/>
      <c r="AW41" s="175"/>
      <c r="AX41" s="175"/>
      <c r="AY41" s="175"/>
    </row>
    <row r="42">
      <c r="A42" s="77" t="s">
        <v>269</v>
      </c>
      <c r="B42" s="177" t="s">
        <v>598</v>
      </c>
      <c r="C42" s="177" t="s">
        <v>2979</v>
      </c>
      <c r="D42" s="279" t="s">
        <v>3019</v>
      </c>
      <c r="E42" s="42" t="s">
        <v>1457</v>
      </c>
      <c r="F42" s="175"/>
      <c r="G42" s="175"/>
      <c r="H42" s="175"/>
      <c r="I42" s="175"/>
      <c r="J42" s="175"/>
      <c r="K42" s="175"/>
      <c r="L42" s="175"/>
      <c r="M42" s="175"/>
      <c r="N42" s="175"/>
      <c r="O42" s="175"/>
      <c r="P42" s="175"/>
      <c r="Q42" s="175"/>
      <c r="R42" s="175"/>
      <c r="S42" s="175"/>
      <c r="T42" s="175"/>
      <c r="U42" s="175"/>
      <c r="V42" s="175"/>
      <c r="W42" s="175"/>
      <c r="X42" s="175"/>
      <c r="Y42" s="175"/>
      <c r="Z42" s="175"/>
      <c r="AA42" s="175"/>
      <c r="AB42" s="175"/>
      <c r="AC42" s="175"/>
      <c r="AD42" s="175"/>
      <c r="AE42" s="175"/>
      <c r="AF42" s="175"/>
      <c r="AG42" s="175"/>
      <c r="AH42" s="175"/>
      <c r="AI42" s="175"/>
      <c r="AJ42" s="175"/>
      <c r="AK42" s="175"/>
      <c r="AL42" s="175"/>
      <c r="AM42" s="175"/>
      <c r="AN42" s="175"/>
      <c r="AO42" s="175"/>
      <c r="AP42" s="175"/>
      <c r="AQ42" s="175"/>
      <c r="AR42" s="175"/>
      <c r="AS42" s="175"/>
      <c r="AT42" s="175"/>
      <c r="AU42" s="175"/>
      <c r="AV42" s="175"/>
      <c r="AW42" s="175"/>
      <c r="AX42" s="175"/>
      <c r="AY42" s="175"/>
    </row>
    <row r="43">
      <c r="A43" s="77" t="s">
        <v>269</v>
      </c>
      <c r="B43" s="177" t="s">
        <v>602</v>
      </c>
      <c r="C43" s="177" t="s">
        <v>2980</v>
      </c>
      <c r="D43" s="89" t="s">
        <v>3007</v>
      </c>
      <c r="E43" s="28" t="s">
        <v>1457</v>
      </c>
      <c r="F43" s="175"/>
      <c r="G43" s="175"/>
      <c r="H43" s="175"/>
      <c r="I43" s="82"/>
      <c r="J43" s="82"/>
      <c r="K43" s="82"/>
      <c r="L43" s="82"/>
      <c r="M43" s="82"/>
      <c r="N43" s="175"/>
      <c r="O43" s="82"/>
      <c r="P43" s="175"/>
      <c r="Q43" s="175"/>
      <c r="R43" s="175"/>
      <c r="S43" s="175"/>
      <c r="T43" s="82"/>
      <c r="U43" s="82"/>
      <c r="V43" s="82"/>
      <c r="W43" s="82"/>
      <c r="X43" s="82"/>
      <c r="AA43" s="82"/>
      <c r="AC43" s="82"/>
      <c r="AD43" s="175"/>
      <c r="AE43" s="175"/>
      <c r="AF43" s="175"/>
      <c r="AG43" s="175"/>
      <c r="AH43" s="175"/>
      <c r="AI43" s="175"/>
      <c r="AJ43" s="175"/>
      <c r="AK43" s="175"/>
      <c r="AL43" s="175"/>
      <c r="AM43" s="175"/>
      <c r="AN43" s="175"/>
      <c r="AO43" s="175"/>
      <c r="AP43" s="175"/>
      <c r="AQ43" s="175"/>
      <c r="AR43" s="175"/>
      <c r="AS43" s="175"/>
      <c r="AT43" s="175"/>
      <c r="AU43" s="175"/>
      <c r="AV43" s="175"/>
      <c r="AW43" s="175"/>
      <c r="AX43" s="175"/>
      <c r="AY43" s="175"/>
    </row>
    <row r="44">
      <c r="A44" s="77" t="s">
        <v>269</v>
      </c>
      <c r="B44" s="177" t="s">
        <v>605</v>
      </c>
      <c r="C44" s="177" t="s">
        <v>2986</v>
      </c>
      <c r="D44" s="279" t="s">
        <v>3020</v>
      </c>
      <c r="E44" s="42" t="s">
        <v>1457</v>
      </c>
      <c r="F44" s="82"/>
      <c r="G44" s="82"/>
      <c r="H44" s="175"/>
      <c r="I44" s="175"/>
      <c r="J44" s="175"/>
      <c r="K44" s="175"/>
      <c r="L44" s="175"/>
      <c r="M44" s="175"/>
      <c r="N44" s="175"/>
      <c r="O44" s="175"/>
      <c r="P44" s="175"/>
      <c r="Q44" s="175"/>
      <c r="R44" s="175"/>
      <c r="S44" s="175"/>
      <c r="T44" s="175"/>
      <c r="U44" s="175"/>
      <c r="V44" s="175"/>
      <c r="W44" s="175"/>
      <c r="X44" s="175"/>
      <c r="Y44" s="175"/>
      <c r="Z44" s="175"/>
      <c r="AA44" s="175"/>
      <c r="AB44" s="175"/>
      <c r="AC44" s="175"/>
      <c r="AD44" s="175"/>
      <c r="AE44" s="175"/>
      <c r="AF44" s="175"/>
      <c r="AG44" s="175"/>
      <c r="AH44" s="175"/>
      <c r="AI44" s="175"/>
      <c r="AJ44" s="175"/>
      <c r="AK44" s="175"/>
      <c r="AL44" s="175"/>
      <c r="AM44" s="175"/>
      <c r="AN44" s="175"/>
      <c r="AO44" s="175"/>
      <c r="AP44" s="175"/>
      <c r="AQ44" s="175"/>
      <c r="AR44" s="175"/>
      <c r="AS44" s="175"/>
      <c r="AT44" s="175"/>
      <c r="AU44" s="175"/>
      <c r="AV44" s="175"/>
      <c r="AW44" s="175"/>
      <c r="AX44" s="175"/>
      <c r="AY44" s="175"/>
    </row>
    <row r="45">
      <c r="A45" s="77" t="s">
        <v>93</v>
      </c>
      <c r="B45" s="177" t="s">
        <v>108</v>
      </c>
      <c r="C45" s="177" t="s">
        <v>2979</v>
      </c>
      <c r="D45" s="279" t="s">
        <v>3021</v>
      </c>
      <c r="E45" s="28" t="s">
        <v>1457</v>
      </c>
      <c r="F45" s="175"/>
      <c r="G45" s="82"/>
      <c r="H45" s="175"/>
      <c r="I45" s="175"/>
      <c r="J45" s="175"/>
      <c r="K45" s="175"/>
      <c r="L45" s="175"/>
      <c r="M45" s="175"/>
      <c r="N45" s="175"/>
      <c r="O45" s="175"/>
      <c r="P45" s="175"/>
      <c r="Q45" s="175"/>
      <c r="R45" s="175"/>
      <c r="S45" s="175"/>
      <c r="T45" s="175"/>
      <c r="U45" s="175"/>
      <c r="V45" s="175"/>
      <c r="W45" s="175"/>
      <c r="X45" s="175"/>
      <c r="Y45" s="175"/>
      <c r="Z45" s="175"/>
      <c r="AA45" s="175"/>
      <c r="AB45" s="175"/>
      <c r="AC45" s="175"/>
      <c r="AD45" s="175"/>
      <c r="AE45" s="175"/>
      <c r="AF45" s="175"/>
      <c r="AG45" s="175"/>
      <c r="AH45" s="175"/>
      <c r="AI45" s="175"/>
      <c r="AJ45" s="175"/>
      <c r="AK45" s="175"/>
      <c r="AL45" s="175"/>
      <c r="AM45" s="175"/>
      <c r="AN45" s="175"/>
      <c r="AO45" s="175"/>
      <c r="AP45" s="175"/>
      <c r="AQ45" s="175"/>
      <c r="AR45" s="175"/>
      <c r="AS45" s="175"/>
      <c r="AT45" s="175"/>
      <c r="AU45" s="175"/>
      <c r="AV45" s="175"/>
      <c r="AW45" s="175"/>
      <c r="AX45" s="175"/>
      <c r="AY45" s="175"/>
    </row>
    <row r="46">
      <c r="B46" s="39"/>
      <c r="C46" s="177"/>
      <c r="D46" s="279"/>
      <c r="E46" s="28"/>
      <c r="F46" s="87" t="s">
        <v>1457</v>
      </c>
      <c r="G46" s="82"/>
      <c r="H46" s="175"/>
      <c r="I46" s="175"/>
      <c r="J46" s="175"/>
      <c r="K46" s="175"/>
      <c r="L46" s="175"/>
      <c r="M46" s="175"/>
      <c r="N46" s="175"/>
      <c r="O46" s="175"/>
      <c r="P46" s="175"/>
      <c r="Q46" s="175"/>
      <c r="R46" s="175"/>
      <c r="S46" s="175"/>
      <c r="T46" s="175"/>
      <c r="U46" s="175"/>
      <c r="V46" s="175"/>
      <c r="W46" s="175"/>
      <c r="X46" s="175"/>
      <c r="Y46" s="175"/>
      <c r="Z46" s="175"/>
      <c r="AA46" s="175"/>
      <c r="AB46" s="175"/>
      <c r="AC46" s="175"/>
      <c r="AD46" s="175"/>
      <c r="AE46" s="175"/>
      <c r="AF46" s="175"/>
      <c r="AG46" s="175"/>
      <c r="AH46" s="175"/>
      <c r="AI46" s="175"/>
      <c r="AJ46" s="175"/>
      <c r="AK46" s="175"/>
      <c r="AL46" s="175"/>
      <c r="AM46" s="175"/>
      <c r="AN46" s="175"/>
      <c r="AO46" s="175"/>
      <c r="AP46" s="175"/>
      <c r="AQ46" s="175"/>
      <c r="AR46" s="175"/>
      <c r="AS46" s="175"/>
      <c r="AT46" s="175"/>
      <c r="AU46" s="175"/>
      <c r="AV46" s="175"/>
      <c r="AW46" s="175"/>
      <c r="AX46" s="175"/>
      <c r="AY46" s="175"/>
    </row>
    <row r="47">
      <c r="A47" s="77" t="s">
        <v>93</v>
      </c>
      <c r="B47" s="177" t="s">
        <v>121</v>
      </c>
      <c r="C47" s="177" t="s">
        <v>2979</v>
      </c>
      <c r="D47" s="279" t="s">
        <v>3021</v>
      </c>
      <c r="E47" s="42" t="s">
        <v>1457</v>
      </c>
      <c r="F47" s="82"/>
      <c r="G47" s="82"/>
      <c r="H47" s="175"/>
      <c r="I47" s="175"/>
      <c r="J47" s="175"/>
      <c r="K47" s="175"/>
      <c r="L47" s="175"/>
      <c r="M47" s="175"/>
      <c r="N47" s="175"/>
      <c r="O47" s="175"/>
      <c r="P47" s="175"/>
      <c r="Q47" s="175"/>
      <c r="R47" s="175"/>
      <c r="S47" s="175"/>
      <c r="T47" s="175"/>
      <c r="U47" s="175"/>
      <c r="V47" s="175"/>
      <c r="W47" s="175"/>
      <c r="X47" s="175"/>
      <c r="Y47" s="175"/>
      <c r="Z47" s="175"/>
      <c r="AA47" s="175"/>
      <c r="AB47" s="175"/>
      <c r="AC47" s="175"/>
      <c r="AD47" s="175"/>
      <c r="AE47" s="175"/>
      <c r="AF47" s="175"/>
      <c r="AG47" s="175"/>
      <c r="AH47" s="175"/>
      <c r="AI47" s="175"/>
      <c r="AJ47" s="175"/>
      <c r="AK47" s="175"/>
      <c r="AL47" s="175"/>
      <c r="AM47" s="175"/>
      <c r="AN47" s="175"/>
      <c r="AO47" s="175"/>
      <c r="AP47" s="175"/>
      <c r="AQ47" s="175"/>
      <c r="AR47" s="175"/>
      <c r="AS47" s="175"/>
      <c r="AT47" s="175"/>
      <c r="AU47" s="175"/>
      <c r="AV47" s="175"/>
      <c r="AW47" s="175"/>
      <c r="AX47" s="175"/>
      <c r="AY47" s="175"/>
    </row>
    <row r="48">
      <c r="A48" s="77" t="s">
        <v>93</v>
      </c>
      <c r="B48" s="177" t="s">
        <v>145</v>
      </c>
      <c r="C48" s="177" t="s">
        <v>2979</v>
      </c>
      <c r="D48" s="279" t="s">
        <v>3022</v>
      </c>
      <c r="E48" s="28" t="s">
        <v>1457</v>
      </c>
      <c r="F48" s="175"/>
      <c r="G48" s="82"/>
      <c r="H48" s="175"/>
      <c r="I48" s="175"/>
      <c r="J48" s="175"/>
      <c r="K48" s="175"/>
      <c r="L48" s="175"/>
      <c r="M48" s="175"/>
      <c r="N48" s="175"/>
      <c r="O48" s="175"/>
      <c r="P48" s="175"/>
      <c r="Q48" s="175"/>
      <c r="R48" s="175"/>
      <c r="S48" s="175"/>
      <c r="T48" s="175"/>
      <c r="U48" s="175"/>
      <c r="V48" s="175"/>
      <c r="W48" s="175"/>
      <c r="X48" s="175"/>
      <c r="Y48" s="175"/>
      <c r="Z48" s="175"/>
      <c r="AA48" s="175"/>
      <c r="AB48" s="175"/>
      <c r="AC48" s="175"/>
      <c r="AD48" s="175"/>
      <c r="AE48" s="175"/>
      <c r="AF48" s="175"/>
      <c r="AG48" s="175"/>
      <c r="AH48" s="175"/>
      <c r="AI48" s="175"/>
      <c r="AJ48" s="175"/>
      <c r="AK48" s="175"/>
      <c r="AL48" s="175"/>
      <c r="AM48" s="175"/>
      <c r="AN48" s="175"/>
      <c r="AO48" s="175"/>
      <c r="AP48" s="175"/>
      <c r="AQ48" s="175"/>
      <c r="AR48" s="175"/>
      <c r="AS48" s="175"/>
      <c r="AT48" s="175"/>
      <c r="AU48" s="175"/>
      <c r="AV48" s="175"/>
      <c r="AW48" s="175"/>
      <c r="AX48" s="175"/>
      <c r="AY48" s="175"/>
    </row>
    <row r="49">
      <c r="A49" s="77" t="s">
        <v>93</v>
      </c>
      <c r="B49" s="177" t="s">
        <v>153</v>
      </c>
      <c r="C49" s="177" t="s">
        <v>2980</v>
      </c>
      <c r="D49" s="89" t="s">
        <v>3023</v>
      </c>
      <c r="E49" s="42" t="s">
        <v>1457</v>
      </c>
      <c r="F49" s="82"/>
      <c r="G49" s="82"/>
      <c r="H49" s="175"/>
      <c r="I49" s="175"/>
      <c r="J49" s="175"/>
      <c r="K49" s="175"/>
      <c r="L49" s="175"/>
      <c r="M49" s="175"/>
      <c r="N49" s="175"/>
      <c r="O49" s="175"/>
      <c r="P49" s="175"/>
      <c r="Q49" s="175"/>
      <c r="R49" s="175"/>
      <c r="S49" s="175"/>
      <c r="T49" s="175"/>
      <c r="U49" s="175"/>
      <c r="V49" s="175"/>
      <c r="W49" s="175"/>
      <c r="X49" s="175"/>
      <c r="Y49" s="175"/>
      <c r="Z49" s="175"/>
      <c r="AA49" s="175"/>
      <c r="AB49" s="175"/>
      <c r="AC49" s="175"/>
      <c r="AD49" s="175"/>
      <c r="AE49" s="175"/>
      <c r="AF49" s="175"/>
      <c r="AG49" s="175"/>
      <c r="AH49" s="175"/>
      <c r="AI49" s="175"/>
      <c r="AJ49" s="175"/>
      <c r="AK49" s="175"/>
      <c r="AL49" s="175"/>
      <c r="AM49" s="175"/>
      <c r="AN49" s="175"/>
      <c r="AO49" s="175"/>
      <c r="AP49" s="175"/>
      <c r="AQ49" s="175"/>
      <c r="AR49" s="175"/>
      <c r="AS49" s="175"/>
      <c r="AT49" s="175"/>
      <c r="AU49" s="175"/>
      <c r="AV49" s="175"/>
      <c r="AW49" s="175"/>
      <c r="AX49" s="175"/>
      <c r="AY49" s="175"/>
    </row>
    <row r="50">
      <c r="A50" s="77" t="s">
        <v>93</v>
      </c>
      <c r="B50" s="177" t="s">
        <v>165</v>
      </c>
      <c r="C50" s="177" t="s">
        <v>2979</v>
      </c>
      <c r="D50" s="89" t="s">
        <v>3024</v>
      </c>
      <c r="E50" s="28" t="s">
        <v>1457</v>
      </c>
      <c r="F50" s="175"/>
      <c r="G50" s="82"/>
      <c r="H50" s="175"/>
      <c r="I50" s="175"/>
      <c r="J50" s="175"/>
      <c r="K50" s="175"/>
      <c r="L50" s="175"/>
      <c r="M50" s="175"/>
      <c r="N50" s="175"/>
      <c r="O50" s="175"/>
      <c r="P50" s="175"/>
      <c r="Q50" s="175"/>
      <c r="R50" s="175"/>
      <c r="S50" s="175"/>
      <c r="T50" s="175"/>
      <c r="U50" s="175"/>
      <c r="V50" s="175"/>
      <c r="W50" s="175"/>
      <c r="X50" s="175"/>
      <c r="Y50" s="175"/>
      <c r="Z50" s="175"/>
      <c r="AA50" s="175"/>
      <c r="AB50" s="175"/>
      <c r="AC50" s="175"/>
      <c r="AD50" s="175"/>
      <c r="AE50" s="175"/>
      <c r="AF50" s="175"/>
      <c r="AG50" s="175"/>
      <c r="AH50" s="175"/>
      <c r="AI50" s="175"/>
      <c r="AJ50" s="175"/>
      <c r="AK50" s="175"/>
      <c r="AL50" s="175"/>
      <c r="AM50" s="175"/>
      <c r="AN50" s="175"/>
      <c r="AO50" s="175"/>
      <c r="AP50" s="175"/>
      <c r="AQ50" s="175"/>
      <c r="AR50" s="175"/>
      <c r="AS50" s="175"/>
      <c r="AT50" s="175"/>
      <c r="AU50" s="175"/>
      <c r="AV50" s="175"/>
      <c r="AW50" s="175"/>
      <c r="AX50" s="175"/>
      <c r="AY50" s="175"/>
    </row>
    <row r="51">
      <c r="A51" s="77" t="s">
        <v>93</v>
      </c>
      <c r="B51" s="177" t="s">
        <v>169</v>
      </c>
      <c r="C51" s="177" t="s">
        <v>2980</v>
      </c>
      <c r="D51" s="89" t="s">
        <v>3025</v>
      </c>
      <c r="E51" s="42" t="s">
        <v>1457</v>
      </c>
      <c r="F51" s="175"/>
      <c r="G51" s="82"/>
      <c r="H51" s="175"/>
      <c r="I51" s="175"/>
      <c r="J51" s="175"/>
      <c r="K51" s="175"/>
      <c r="L51" s="175"/>
      <c r="M51" s="175"/>
      <c r="N51" s="175"/>
      <c r="O51" s="175"/>
      <c r="P51" s="175"/>
      <c r="Q51" s="175"/>
      <c r="R51" s="175"/>
      <c r="S51" s="175"/>
      <c r="T51" s="175"/>
      <c r="U51" s="175"/>
      <c r="V51" s="175"/>
      <c r="W51" s="175"/>
      <c r="X51" s="175"/>
      <c r="Y51" s="175"/>
      <c r="Z51" s="175"/>
      <c r="AA51" s="175"/>
      <c r="AB51" s="175"/>
      <c r="AC51" s="175"/>
      <c r="AD51" s="175"/>
      <c r="AE51" s="175"/>
      <c r="AF51" s="175"/>
      <c r="AG51" s="175"/>
      <c r="AH51" s="175"/>
      <c r="AI51" s="175"/>
      <c r="AJ51" s="175"/>
      <c r="AK51" s="175"/>
      <c r="AL51" s="175"/>
      <c r="AM51" s="175"/>
      <c r="AN51" s="175"/>
      <c r="AO51" s="175"/>
      <c r="AP51" s="175"/>
      <c r="AQ51" s="175"/>
      <c r="AR51" s="175"/>
      <c r="AS51" s="175"/>
      <c r="AT51" s="175"/>
      <c r="AU51" s="175"/>
      <c r="AV51" s="175"/>
      <c r="AW51" s="175"/>
      <c r="AX51" s="175"/>
      <c r="AY51" s="175"/>
    </row>
    <row r="52">
      <c r="A52" s="77" t="s">
        <v>93</v>
      </c>
      <c r="B52" s="177" t="s">
        <v>717</v>
      </c>
      <c r="C52" s="177" t="s">
        <v>2979</v>
      </c>
      <c r="D52" s="89" t="s">
        <v>3026</v>
      </c>
      <c r="E52" s="28" t="s">
        <v>1457</v>
      </c>
      <c r="F52" s="82"/>
      <c r="G52" s="82"/>
      <c r="H52" s="175"/>
      <c r="I52" s="175"/>
      <c r="J52" s="175"/>
      <c r="K52" s="175"/>
      <c r="L52" s="175"/>
      <c r="M52" s="175"/>
      <c r="N52" s="175"/>
      <c r="O52" s="175"/>
      <c r="P52" s="175"/>
      <c r="Q52" s="175"/>
      <c r="R52" s="175"/>
      <c r="S52" s="175"/>
      <c r="T52" s="175"/>
      <c r="U52" s="175"/>
      <c r="V52" s="175"/>
      <c r="W52" s="175"/>
      <c r="X52" s="175"/>
      <c r="Y52" s="175"/>
      <c r="Z52" s="175"/>
      <c r="AA52" s="175"/>
      <c r="AB52" s="175"/>
      <c r="AC52" s="175"/>
      <c r="AD52" s="175"/>
      <c r="AE52" s="175"/>
      <c r="AF52" s="175"/>
      <c r="AG52" s="175"/>
      <c r="AH52" s="175"/>
      <c r="AI52" s="175"/>
      <c r="AJ52" s="175"/>
      <c r="AK52" s="175"/>
      <c r="AL52" s="175"/>
      <c r="AM52" s="175"/>
      <c r="AN52" s="175"/>
      <c r="AO52" s="175"/>
      <c r="AP52" s="175"/>
      <c r="AQ52" s="175"/>
      <c r="AR52" s="175"/>
      <c r="AS52" s="175"/>
      <c r="AT52" s="175"/>
      <c r="AU52" s="175"/>
      <c r="AV52" s="175"/>
      <c r="AW52" s="175"/>
      <c r="AX52" s="175"/>
      <c r="AY52" s="175"/>
    </row>
    <row r="53">
      <c r="A53" s="77" t="s">
        <v>93</v>
      </c>
      <c r="B53" s="285" t="s">
        <v>720</v>
      </c>
      <c r="C53" s="177" t="s">
        <v>2986</v>
      </c>
      <c r="D53" s="89" t="s">
        <v>3026</v>
      </c>
      <c r="E53" s="42" t="s">
        <v>1457</v>
      </c>
      <c r="F53" s="175"/>
      <c r="G53" s="286"/>
      <c r="H53" s="286"/>
      <c r="I53" s="175"/>
      <c r="J53" s="175"/>
      <c r="K53" s="175"/>
      <c r="L53" s="175"/>
      <c r="M53" s="175"/>
      <c r="N53" s="175"/>
      <c r="O53" s="286"/>
      <c r="P53" s="286"/>
      <c r="Q53" s="286"/>
      <c r="R53" s="175"/>
      <c r="S53" s="286"/>
      <c r="T53" s="286"/>
      <c r="U53" s="175"/>
      <c r="V53" s="175"/>
      <c r="W53" s="175"/>
      <c r="X53" s="175"/>
      <c r="Y53" s="175"/>
      <c r="Z53" s="175"/>
      <c r="AA53" s="175"/>
      <c r="AB53" s="175"/>
      <c r="AC53" s="175"/>
      <c r="AD53" s="175"/>
      <c r="AE53" s="175"/>
      <c r="AF53" s="175"/>
      <c r="AG53" s="215"/>
      <c r="AH53" s="215"/>
      <c r="AI53" s="215"/>
      <c r="AJ53" s="215"/>
      <c r="AK53" s="215"/>
      <c r="AL53" s="215"/>
      <c r="AM53" s="215"/>
      <c r="AN53" s="215"/>
      <c r="AO53" s="215"/>
      <c r="AP53" s="215"/>
      <c r="AQ53" s="215"/>
      <c r="AR53" s="215"/>
      <c r="AS53" s="215"/>
      <c r="AT53" s="215"/>
      <c r="AU53" s="215"/>
      <c r="AV53" s="215"/>
      <c r="AW53" s="215"/>
      <c r="AX53" s="215"/>
      <c r="AY53" s="215"/>
    </row>
    <row r="54">
      <c r="A54" s="77" t="s">
        <v>93</v>
      </c>
      <c r="B54" s="285" t="s">
        <v>824</v>
      </c>
      <c r="C54" s="177" t="s">
        <v>2979</v>
      </c>
      <c r="D54" s="89" t="s">
        <v>3026</v>
      </c>
      <c r="E54" s="28" t="s">
        <v>1457</v>
      </c>
      <c r="F54" s="175"/>
      <c r="G54" s="286"/>
      <c r="H54" s="286"/>
      <c r="I54" s="175"/>
      <c r="J54" s="286"/>
      <c r="K54" s="286"/>
      <c r="L54" s="175"/>
      <c r="M54" s="286"/>
      <c r="N54" s="175"/>
      <c r="O54" s="286"/>
      <c r="P54" s="286"/>
      <c r="Q54" s="286"/>
      <c r="R54" s="175"/>
      <c r="S54" s="286"/>
      <c r="T54" s="286"/>
      <c r="U54" s="175"/>
      <c r="V54" s="286"/>
      <c r="W54" s="175"/>
      <c r="X54" s="175"/>
      <c r="Y54" s="175"/>
      <c r="Z54" s="175"/>
      <c r="AA54" s="175"/>
      <c r="AB54" s="175"/>
      <c r="AC54" s="175"/>
      <c r="AD54" s="175"/>
      <c r="AE54" s="175"/>
      <c r="AF54" s="175"/>
      <c r="AG54" s="215"/>
      <c r="AH54" s="215"/>
      <c r="AI54" s="215"/>
      <c r="AJ54" s="215"/>
      <c r="AK54" s="215"/>
      <c r="AL54" s="215"/>
      <c r="AM54" s="215"/>
      <c r="AN54" s="215"/>
      <c r="AO54" s="215"/>
      <c r="AP54" s="215"/>
      <c r="AQ54" s="215"/>
      <c r="AR54" s="215"/>
      <c r="AS54" s="215"/>
      <c r="AT54" s="215"/>
      <c r="AU54" s="215"/>
      <c r="AV54" s="215"/>
      <c r="AW54" s="215"/>
      <c r="AX54" s="215"/>
      <c r="AY54" s="215"/>
    </row>
    <row r="55">
      <c r="A55" s="77" t="s">
        <v>93</v>
      </c>
      <c r="B55" s="285" t="s">
        <v>827</v>
      </c>
      <c r="C55" s="177" t="s">
        <v>2986</v>
      </c>
      <c r="D55" s="89" t="s">
        <v>3026</v>
      </c>
      <c r="E55" s="42" t="s">
        <v>1457</v>
      </c>
      <c r="F55" s="286"/>
      <c r="G55" s="286"/>
      <c r="H55" s="286"/>
      <c r="I55" s="175"/>
      <c r="J55" s="175"/>
      <c r="K55" s="175"/>
      <c r="L55" s="175"/>
      <c r="M55" s="175"/>
      <c r="N55" s="175"/>
      <c r="O55" s="286"/>
      <c r="P55" s="286"/>
      <c r="Q55" s="286"/>
      <c r="R55" s="175"/>
      <c r="S55" s="286"/>
      <c r="T55" s="175"/>
      <c r="U55" s="175"/>
      <c r="V55" s="175"/>
      <c r="W55" s="175"/>
      <c r="X55" s="175"/>
      <c r="Y55" s="175"/>
      <c r="Z55" s="175"/>
      <c r="AA55" s="175"/>
      <c r="AB55" s="175"/>
      <c r="AC55" s="175"/>
      <c r="AD55" s="175"/>
      <c r="AE55" s="175"/>
      <c r="AF55" s="175"/>
      <c r="AG55" s="215"/>
      <c r="AH55" s="215"/>
      <c r="AI55" s="215"/>
      <c r="AJ55" s="215"/>
      <c r="AK55" s="215"/>
      <c r="AL55" s="215"/>
      <c r="AM55" s="215"/>
      <c r="AN55" s="215"/>
      <c r="AO55" s="215"/>
      <c r="AP55" s="215"/>
      <c r="AQ55" s="215"/>
      <c r="AR55" s="215"/>
      <c r="AS55" s="215"/>
      <c r="AT55" s="215"/>
      <c r="AU55" s="215"/>
      <c r="AV55" s="215"/>
      <c r="AW55" s="215"/>
      <c r="AX55" s="215"/>
      <c r="AY55" s="215"/>
    </row>
    <row r="56">
      <c r="A56" s="77" t="s">
        <v>93</v>
      </c>
      <c r="B56" s="285" t="s">
        <v>922</v>
      </c>
      <c r="C56" s="177" t="s">
        <v>2979</v>
      </c>
      <c r="D56" s="89" t="s">
        <v>3027</v>
      </c>
      <c r="E56" s="28" t="s">
        <v>1457</v>
      </c>
      <c r="F56" s="175"/>
      <c r="G56" s="286"/>
      <c r="H56" s="286"/>
      <c r="I56" s="175"/>
      <c r="J56" s="175"/>
      <c r="K56" s="175"/>
      <c r="L56" s="175"/>
      <c r="M56" s="175"/>
      <c r="N56" s="175"/>
      <c r="O56" s="286"/>
      <c r="P56" s="286"/>
      <c r="Q56" s="175"/>
      <c r="R56" s="175"/>
      <c r="S56" s="286"/>
      <c r="T56" s="175"/>
      <c r="U56" s="175"/>
      <c r="V56" s="175"/>
      <c r="W56" s="175"/>
      <c r="X56" s="175"/>
      <c r="Y56" s="175"/>
      <c r="Z56" s="175"/>
      <c r="AA56" s="175"/>
      <c r="AB56" s="175"/>
      <c r="AC56" s="175"/>
      <c r="AD56" s="175"/>
      <c r="AE56" s="175"/>
      <c r="AF56" s="175"/>
      <c r="AG56" s="215"/>
      <c r="AH56" s="215"/>
      <c r="AI56" s="215"/>
      <c r="AJ56" s="215"/>
      <c r="AK56" s="215"/>
      <c r="AL56" s="215"/>
      <c r="AM56" s="215"/>
      <c r="AN56" s="215"/>
      <c r="AO56" s="215"/>
      <c r="AP56" s="215"/>
      <c r="AQ56" s="215"/>
      <c r="AR56" s="215"/>
      <c r="AS56" s="215"/>
      <c r="AT56" s="215"/>
      <c r="AU56" s="215"/>
      <c r="AV56" s="215"/>
      <c r="AW56" s="215"/>
      <c r="AX56" s="215"/>
      <c r="AY56" s="215"/>
    </row>
    <row r="57">
      <c r="A57" s="77" t="s">
        <v>93</v>
      </c>
      <c r="B57" s="285" t="s">
        <v>927</v>
      </c>
      <c r="C57" s="177" t="s">
        <v>2979</v>
      </c>
      <c r="D57" s="89" t="s">
        <v>3026</v>
      </c>
      <c r="E57" s="42" t="s">
        <v>1457</v>
      </c>
      <c r="F57" s="175"/>
      <c r="G57" s="286"/>
      <c r="H57" s="286"/>
      <c r="I57" s="175"/>
      <c r="J57" s="175"/>
      <c r="K57" s="175"/>
      <c r="L57" s="175"/>
      <c r="M57" s="175"/>
      <c r="N57" s="175"/>
      <c r="O57" s="286"/>
      <c r="P57" s="286"/>
      <c r="Q57" s="286"/>
      <c r="R57" s="175"/>
      <c r="S57" s="286"/>
      <c r="T57" s="175"/>
      <c r="U57" s="175"/>
      <c r="V57" s="175"/>
      <c r="W57" s="175"/>
      <c r="X57" s="175"/>
      <c r="Y57" s="286"/>
      <c r="Z57" s="175"/>
      <c r="AA57" s="286"/>
      <c r="AB57" s="175"/>
      <c r="AC57" s="175"/>
      <c r="AD57" s="175"/>
      <c r="AE57" s="175"/>
      <c r="AF57" s="175"/>
      <c r="AG57" s="215"/>
      <c r="AH57" s="215"/>
      <c r="AI57" s="215"/>
      <c r="AJ57" s="215"/>
      <c r="AK57" s="215"/>
      <c r="AL57" s="215"/>
      <c r="AM57" s="215"/>
      <c r="AN57" s="215"/>
      <c r="AO57" s="215"/>
      <c r="AP57" s="215"/>
      <c r="AQ57" s="215"/>
      <c r="AR57" s="215"/>
      <c r="AS57" s="215"/>
      <c r="AT57" s="215"/>
      <c r="AU57" s="215"/>
      <c r="AV57" s="215"/>
      <c r="AW57" s="215"/>
      <c r="AX57" s="215"/>
      <c r="AY57" s="215"/>
    </row>
    <row r="58">
      <c r="A58" s="77" t="s">
        <v>507</v>
      </c>
      <c r="B58" s="285" t="s">
        <v>528</v>
      </c>
      <c r="C58" s="177" t="s">
        <v>2979</v>
      </c>
      <c r="D58" s="89" t="s">
        <v>3028</v>
      </c>
      <c r="E58" s="28" t="s">
        <v>1457</v>
      </c>
      <c r="F58" s="286"/>
      <c r="G58" s="286"/>
      <c r="H58" s="286"/>
      <c r="I58" s="175"/>
      <c r="J58" s="175"/>
      <c r="K58" s="175"/>
      <c r="L58" s="175"/>
      <c r="M58" s="175"/>
      <c r="N58" s="175"/>
      <c r="O58" s="286"/>
      <c r="P58" s="286"/>
      <c r="Q58" s="175"/>
      <c r="R58" s="175"/>
      <c r="S58" s="286"/>
      <c r="T58" s="175"/>
      <c r="U58" s="175"/>
      <c r="V58" s="175"/>
      <c r="W58" s="175"/>
      <c r="X58" s="175"/>
      <c r="Y58" s="175"/>
      <c r="Z58" s="175"/>
      <c r="AA58" s="175"/>
      <c r="AB58" s="175"/>
      <c r="AC58" s="175"/>
      <c r="AD58" s="175"/>
      <c r="AE58" s="175"/>
      <c r="AF58" s="175"/>
      <c r="AG58" s="215"/>
      <c r="AH58" s="215"/>
      <c r="AI58" s="215"/>
      <c r="AJ58" s="215"/>
      <c r="AK58" s="215"/>
      <c r="AL58" s="215"/>
      <c r="AM58" s="215"/>
      <c r="AN58" s="215"/>
      <c r="AO58" s="215"/>
      <c r="AP58" s="215"/>
      <c r="AQ58" s="215"/>
      <c r="AR58" s="215"/>
      <c r="AS58" s="215"/>
      <c r="AT58" s="215"/>
      <c r="AU58" s="215"/>
      <c r="AV58" s="215"/>
      <c r="AW58" s="215"/>
      <c r="AX58" s="215"/>
      <c r="AY58" s="215"/>
    </row>
    <row r="59">
      <c r="A59" s="77" t="s">
        <v>507</v>
      </c>
      <c r="B59" s="285" t="s">
        <v>543</v>
      </c>
      <c r="C59" s="177" t="s">
        <v>2979</v>
      </c>
      <c r="D59" s="287" t="s">
        <v>3029</v>
      </c>
      <c r="E59" s="42" t="s">
        <v>1457</v>
      </c>
      <c r="F59" s="286"/>
      <c r="G59" s="286"/>
      <c r="H59" s="286"/>
      <c r="I59" s="175"/>
      <c r="J59" s="175"/>
      <c r="K59" s="175"/>
      <c r="L59" s="175"/>
      <c r="M59" s="175"/>
      <c r="N59" s="175"/>
      <c r="O59" s="286"/>
      <c r="P59" s="286"/>
      <c r="Q59" s="286"/>
      <c r="R59" s="175"/>
      <c r="S59" s="286"/>
      <c r="T59" s="175"/>
      <c r="U59" s="175"/>
      <c r="V59" s="175"/>
      <c r="W59" s="175"/>
      <c r="X59" s="175"/>
      <c r="Y59" s="286"/>
      <c r="Z59" s="175"/>
      <c r="AA59" s="175"/>
      <c r="AB59" s="175"/>
      <c r="AC59" s="175"/>
      <c r="AD59" s="175"/>
      <c r="AE59" s="175"/>
      <c r="AF59" s="175"/>
      <c r="AG59" s="215"/>
      <c r="AH59" s="215"/>
      <c r="AI59" s="215"/>
      <c r="AJ59" s="215"/>
      <c r="AK59" s="215"/>
      <c r="AL59" s="215"/>
      <c r="AM59" s="215"/>
      <c r="AN59" s="215"/>
      <c r="AO59" s="215"/>
      <c r="AP59" s="215"/>
      <c r="AQ59" s="215"/>
      <c r="AR59" s="215"/>
      <c r="AS59" s="215"/>
      <c r="AT59" s="215"/>
      <c r="AU59" s="215"/>
      <c r="AV59" s="215"/>
      <c r="AW59" s="215"/>
      <c r="AX59" s="215"/>
      <c r="AY59" s="215"/>
    </row>
    <row r="60">
      <c r="A60" s="77" t="s">
        <v>507</v>
      </c>
      <c r="B60" s="285" t="s">
        <v>547</v>
      </c>
      <c r="C60" s="177" t="s">
        <v>2980</v>
      </c>
      <c r="D60" s="287" t="s">
        <v>3030</v>
      </c>
      <c r="E60" s="28" t="s">
        <v>1457</v>
      </c>
      <c r="F60" s="286"/>
      <c r="G60" s="286"/>
      <c r="H60" s="286"/>
      <c r="I60" s="175"/>
      <c r="J60" s="175"/>
      <c r="K60" s="175"/>
      <c r="L60" s="175"/>
      <c r="M60" s="175"/>
      <c r="N60" s="175"/>
      <c r="O60" s="286"/>
      <c r="P60" s="286"/>
      <c r="Q60" s="286"/>
      <c r="R60" s="175"/>
      <c r="S60" s="286"/>
      <c r="T60" s="175"/>
      <c r="U60" s="175"/>
      <c r="V60" s="175"/>
      <c r="W60" s="175"/>
      <c r="X60" s="175"/>
      <c r="Y60" s="286"/>
      <c r="Z60" s="175"/>
      <c r="AA60" s="175"/>
      <c r="AB60" s="175"/>
      <c r="AC60" s="175"/>
      <c r="AD60" s="175"/>
      <c r="AE60" s="175"/>
      <c r="AF60" s="175"/>
      <c r="AG60" s="215"/>
      <c r="AH60" s="215"/>
      <c r="AI60" s="215"/>
      <c r="AJ60" s="215"/>
      <c r="AK60" s="215"/>
      <c r="AL60" s="215"/>
      <c r="AM60" s="215"/>
      <c r="AN60" s="215"/>
      <c r="AO60" s="215"/>
      <c r="AP60" s="215"/>
      <c r="AQ60" s="215"/>
      <c r="AR60" s="215"/>
      <c r="AS60" s="215"/>
      <c r="AT60" s="215"/>
      <c r="AU60" s="215"/>
      <c r="AV60" s="215"/>
      <c r="AW60" s="215"/>
      <c r="AX60" s="215"/>
      <c r="AY60" s="215"/>
    </row>
    <row r="61">
      <c r="A61" s="77" t="s">
        <v>507</v>
      </c>
      <c r="B61" s="37" t="s">
        <v>547</v>
      </c>
      <c r="C61" s="177" t="s">
        <v>2986</v>
      </c>
      <c r="D61" s="177" t="s">
        <v>611</v>
      </c>
      <c r="E61" s="28" t="s">
        <v>1457</v>
      </c>
      <c r="F61" s="286"/>
      <c r="G61" s="286"/>
      <c r="H61" s="286"/>
      <c r="I61" s="175"/>
      <c r="J61" s="175"/>
      <c r="K61" s="175"/>
      <c r="L61" s="175"/>
      <c r="M61" s="175"/>
      <c r="N61" s="175"/>
      <c r="O61" s="286"/>
      <c r="P61" s="286"/>
      <c r="Q61" s="286"/>
      <c r="R61" s="175"/>
      <c r="S61" s="286"/>
      <c r="T61" s="175"/>
      <c r="U61" s="175"/>
      <c r="V61" s="175"/>
      <c r="W61" s="175"/>
      <c r="X61" s="175"/>
      <c r="Y61" s="286"/>
      <c r="Z61" s="175"/>
      <c r="AA61" s="175"/>
      <c r="AB61" s="175"/>
      <c r="AC61" s="175"/>
      <c r="AD61" s="175"/>
      <c r="AE61" s="175"/>
      <c r="AF61" s="175"/>
      <c r="AG61" s="215"/>
      <c r="AH61" s="215"/>
      <c r="AI61" s="215"/>
      <c r="AJ61" s="215"/>
      <c r="AK61" s="215"/>
      <c r="AL61" s="215"/>
      <c r="AM61" s="215"/>
      <c r="AN61" s="215"/>
      <c r="AO61" s="215"/>
      <c r="AP61" s="215"/>
      <c r="AQ61" s="215"/>
      <c r="AR61" s="215"/>
      <c r="AS61" s="215"/>
      <c r="AT61" s="215"/>
      <c r="AU61" s="215"/>
      <c r="AV61" s="215"/>
      <c r="AW61" s="215"/>
      <c r="AX61" s="215"/>
      <c r="AY61" s="215"/>
    </row>
    <row r="62">
      <c r="A62" s="77" t="s">
        <v>507</v>
      </c>
      <c r="B62" s="285" t="s">
        <v>554</v>
      </c>
      <c r="C62" s="177" t="s">
        <v>2979</v>
      </c>
      <c r="D62" s="287" t="s">
        <v>3031</v>
      </c>
      <c r="E62" s="42" t="s">
        <v>1457</v>
      </c>
      <c r="F62" s="286"/>
      <c r="G62" s="286"/>
      <c r="H62" s="286"/>
      <c r="I62" s="175"/>
      <c r="J62" s="175"/>
      <c r="K62" s="175"/>
      <c r="L62" s="175"/>
      <c r="M62" s="175"/>
      <c r="N62" s="175"/>
      <c r="O62" s="286"/>
      <c r="P62" s="286"/>
      <c r="Q62" s="286"/>
      <c r="R62" s="175"/>
      <c r="S62" s="286"/>
      <c r="T62" s="175"/>
      <c r="U62" s="175"/>
      <c r="V62" s="175"/>
      <c r="W62" s="175"/>
      <c r="X62" s="175"/>
      <c r="Y62" s="286"/>
      <c r="Z62" s="175"/>
      <c r="AA62" s="286"/>
      <c r="AB62" s="175"/>
      <c r="AC62" s="175"/>
      <c r="AD62" s="175"/>
      <c r="AE62" s="175"/>
      <c r="AF62" s="175"/>
      <c r="AG62" s="215"/>
      <c r="AH62" s="215"/>
      <c r="AI62" s="215"/>
      <c r="AJ62" s="215"/>
      <c r="AK62" s="215"/>
      <c r="AL62" s="215"/>
      <c r="AM62" s="215"/>
      <c r="AN62" s="215"/>
      <c r="AO62" s="215"/>
      <c r="AP62" s="215"/>
      <c r="AQ62" s="215"/>
      <c r="AR62" s="215"/>
      <c r="AS62" s="215"/>
      <c r="AT62" s="215"/>
      <c r="AU62" s="215"/>
      <c r="AV62" s="215"/>
      <c r="AW62" s="215"/>
      <c r="AX62" s="215"/>
      <c r="AY62" s="215"/>
    </row>
    <row r="63">
      <c r="A63" s="77" t="s">
        <v>507</v>
      </c>
      <c r="B63" s="285" t="s">
        <v>697</v>
      </c>
      <c r="C63" s="177" t="s">
        <v>2979</v>
      </c>
      <c r="D63" s="287" t="s">
        <v>3032</v>
      </c>
      <c r="E63" s="28" t="s">
        <v>1457</v>
      </c>
      <c r="F63" s="286"/>
      <c r="G63" s="286"/>
      <c r="H63" s="286"/>
      <c r="I63" s="175"/>
      <c r="J63" s="175"/>
      <c r="K63" s="175"/>
      <c r="L63" s="175"/>
      <c r="M63" s="175"/>
      <c r="N63" s="175"/>
      <c r="O63" s="286"/>
      <c r="P63" s="286"/>
      <c r="Q63" s="286"/>
      <c r="R63" s="175"/>
      <c r="S63" s="286"/>
      <c r="T63" s="175"/>
      <c r="U63" s="175"/>
      <c r="V63" s="175"/>
      <c r="W63" s="175"/>
      <c r="X63" s="175"/>
      <c r="Y63" s="286"/>
      <c r="Z63" s="175"/>
      <c r="AA63" s="286"/>
      <c r="AB63" s="175"/>
      <c r="AC63" s="175"/>
      <c r="AD63" s="175"/>
      <c r="AE63" s="175"/>
      <c r="AF63" s="175"/>
      <c r="AG63" s="215"/>
      <c r="AH63" s="215"/>
      <c r="AI63" s="215"/>
      <c r="AJ63" s="215"/>
      <c r="AK63" s="215"/>
      <c r="AL63" s="215"/>
      <c r="AM63" s="215"/>
      <c r="AN63" s="215"/>
      <c r="AO63" s="215"/>
      <c r="AP63" s="215"/>
      <c r="AQ63" s="215"/>
      <c r="AR63" s="215"/>
      <c r="AS63" s="215"/>
      <c r="AT63" s="215"/>
      <c r="AU63" s="215"/>
      <c r="AV63" s="215"/>
      <c r="AW63" s="215"/>
      <c r="AX63" s="215"/>
      <c r="AY63" s="215"/>
    </row>
    <row r="64">
      <c r="A64" s="77" t="s">
        <v>507</v>
      </c>
      <c r="B64" s="285" t="s">
        <v>916</v>
      </c>
      <c r="C64" s="177" t="s">
        <v>2979</v>
      </c>
      <c r="D64" s="287" t="s">
        <v>3033</v>
      </c>
      <c r="E64" s="42" t="s">
        <v>1457</v>
      </c>
      <c r="F64" s="175"/>
      <c r="G64" s="286"/>
      <c r="H64" s="286"/>
      <c r="I64" s="175"/>
      <c r="J64" s="175"/>
      <c r="K64" s="175"/>
      <c r="L64" s="175"/>
      <c r="M64" s="286"/>
      <c r="N64" s="175"/>
      <c r="O64" s="286"/>
      <c r="P64" s="286"/>
      <c r="Q64" s="286"/>
      <c r="R64" s="175"/>
      <c r="S64" s="286"/>
      <c r="T64" s="175"/>
      <c r="U64" s="175"/>
      <c r="V64" s="175"/>
      <c r="W64" s="175"/>
      <c r="X64" s="175"/>
      <c r="Y64" s="286"/>
      <c r="Z64" s="175"/>
      <c r="AA64" s="286"/>
      <c r="AB64" s="175"/>
      <c r="AC64" s="175"/>
      <c r="AD64" s="175"/>
      <c r="AE64" s="175"/>
      <c r="AF64" s="175"/>
      <c r="AG64" s="215"/>
      <c r="AH64" s="215"/>
      <c r="AI64" s="215"/>
      <c r="AJ64" s="215"/>
      <c r="AK64" s="215"/>
      <c r="AL64" s="215"/>
      <c r="AM64" s="215"/>
      <c r="AN64" s="215"/>
      <c r="AO64" s="215"/>
      <c r="AP64" s="215"/>
      <c r="AQ64" s="215"/>
      <c r="AR64" s="215"/>
      <c r="AS64" s="215"/>
      <c r="AT64" s="215"/>
      <c r="AU64" s="215"/>
      <c r="AV64" s="215"/>
      <c r="AW64" s="215"/>
      <c r="AX64" s="215"/>
      <c r="AY64" s="215"/>
    </row>
    <row r="65">
      <c r="A65" s="77" t="s">
        <v>507</v>
      </c>
      <c r="B65" s="177" t="s">
        <v>570</v>
      </c>
      <c r="C65" s="177" t="s">
        <v>2979</v>
      </c>
      <c r="D65" s="288" t="s">
        <v>3034</v>
      </c>
      <c r="E65" s="28" t="s">
        <v>1457</v>
      </c>
      <c r="F65" s="175"/>
      <c r="G65" s="175"/>
      <c r="H65" s="175"/>
      <c r="I65" s="175"/>
      <c r="J65" s="175"/>
      <c r="K65" s="175"/>
      <c r="L65" s="175"/>
      <c r="M65" s="175"/>
      <c r="N65" s="175"/>
      <c r="O65" s="175"/>
      <c r="P65" s="175"/>
      <c r="Q65" s="175"/>
      <c r="R65" s="175"/>
      <c r="S65" s="175"/>
      <c r="T65" s="175"/>
      <c r="U65" s="175"/>
      <c r="V65" s="175"/>
      <c r="W65" s="175"/>
      <c r="X65" s="175"/>
      <c r="Y65" s="175"/>
      <c r="Z65" s="175"/>
      <c r="AA65" s="175"/>
      <c r="AB65" s="175"/>
      <c r="AC65" s="175"/>
      <c r="AD65" s="175"/>
      <c r="AE65" s="175"/>
      <c r="AF65" s="175"/>
      <c r="AG65" s="215"/>
      <c r="AH65" s="215"/>
      <c r="AI65" s="215"/>
      <c r="AJ65" s="215"/>
      <c r="AK65" s="215"/>
      <c r="AL65" s="215"/>
      <c r="AM65" s="215"/>
      <c r="AN65" s="215"/>
      <c r="AO65" s="215"/>
      <c r="AP65" s="215"/>
      <c r="AQ65" s="215"/>
      <c r="AR65" s="215"/>
      <c r="AS65" s="215"/>
      <c r="AT65" s="215"/>
      <c r="AU65" s="215"/>
      <c r="AV65" s="215"/>
      <c r="AW65" s="215"/>
      <c r="AX65" s="215"/>
      <c r="AY65" s="215"/>
    </row>
    <row r="66">
      <c r="A66" s="77" t="s">
        <v>507</v>
      </c>
      <c r="B66" s="285" t="s">
        <v>884</v>
      </c>
      <c r="C66" s="177" t="s">
        <v>2979</v>
      </c>
      <c r="D66" s="287" t="s">
        <v>3035</v>
      </c>
      <c r="E66" s="42" t="s">
        <v>1457</v>
      </c>
      <c r="F66" s="286"/>
      <c r="G66" s="286"/>
      <c r="H66" s="286"/>
      <c r="I66" s="286"/>
      <c r="J66" s="175"/>
      <c r="K66" s="286"/>
      <c r="L66" s="175"/>
      <c r="M66" s="286"/>
      <c r="N66" s="175"/>
      <c r="O66" s="286"/>
      <c r="P66" s="286"/>
      <c r="Q66" s="286"/>
      <c r="R66" s="175"/>
      <c r="S66" s="286"/>
      <c r="T66" s="175"/>
      <c r="U66" s="175"/>
      <c r="V66" s="175"/>
      <c r="W66" s="175"/>
      <c r="X66" s="175"/>
      <c r="Y66" s="286"/>
      <c r="Z66" s="175"/>
      <c r="AA66" s="286"/>
      <c r="AB66" s="175"/>
      <c r="AC66" s="175"/>
      <c r="AD66" s="175"/>
      <c r="AE66" s="175"/>
      <c r="AF66" s="175"/>
      <c r="AG66" s="215"/>
      <c r="AH66" s="215"/>
      <c r="AI66" s="215"/>
      <c r="AJ66" s="215"/>
      <c r="AK66" s="215"/>
      <c r="AL66" s="215"/>
      <c r="AM66" s="215"/>
      <c r="AN66" s="215"/>
      <c r="AO66" s="215"/>
      <c r="AP66" s="215"/>
      <c r="AQ66" s="215"/>
      <c r="AR66" s="215"/>
      <c r="AS66" s="215"/>
      <c r="AT66" s="215"/>
      <c r="AU66" s="215"/>
      <c r="AV66" s="215"/>
      <c r="AW66" s="215"/>
      <c r="AX66" s="215"/>
      <c r="AY66" s="215"/>
    </row>
    <row r="67">
      <c r="A67" s="77" t="s">
        <v>261</v>
      </c>
      <c r="B67" s="177" t="s">
        <v>811</v>
      </c>
      <c r="C67" s="177" t="s">
        <v>2980</v>
      </c>
      <c r="D67" s="177" t="s">
        <v>3036</v>
      </c>
      <c r="E67" s="28" t="s">
        <v>1457</v>
      </c>
      <c r="F67" s="175"/>
      <c r="G67" s="175"/>
      <c r="H67" s="175"/>
      <c r="I67" s="175"/>
      <c r="J67" s="175"/>
      <c r="K67" s="175"/>
      <c r="L67" s="175"/>
      <c r="M67" s="175"/>
      <c r="N67" s="175"/>
      <c r="O67" s="175"/>
      <c r="P67" s="175"/>
      <c r="Q67" s="175"/>
      <c r="R67" s="175"/>
      <c r="S67" s="175"/>
      <c r="T67" s="175"/>
      <c r="U67" s="175"/>
      <c r="V67" s="175"/>
      <c r="W67" s="175"/>
      <c r="X67" s="175"/>
      <c r="Y67" s="175"/>
      <c r="Z67" s="175"/>
      <c r="AA67" s="175"/>
      <c r="AB67" s="175"/>
      <c r="AC67" s="175"/>
      <c r="AD67" s="175"/>
      <c r="AE67" s="175"/>
      <c r="AF67" s="215"/>
      <c r="AG67" s="215"/>
      <c r="AH67" s="215"/>
      <c r="AI67" s="215"/>
      <c r="AJ67" s="215"/>
      <c r="AK67" s="215"/>
      <c r="AL67" s="215"/>
      <c r="AM67" s="215"/>
      <c r="AN67" s="215"/>
      <c r="AO67" s="215"/>
      <c r="AP67" s="215"/>
      <c r="AQ67" s="215"/>
      <c r="AR67" s="215"/>
      <c r="AS67" s="215"/>
      <c r="AT67" s="215"/>
      <c r="AU67" s="215"/>
      <c r="AV67" s="215"/>
      <c r="AW67" s="215"/>
      <c r="AX67" s="215"/>
      <c r="AY67" s="215"/>
    </row>
    <row r="68">
      <c r="A68" s="77" t="s">
        <v>261</v>
      </c>
      <c r="B68" s="177" t="s">
        <v>838</v>
      </c>
      <c r="C68" s="177" t="s">
        <v>2980</v>
      </c>
      <c r="D68" s="177" t="s">
        <v>3036</v>
      </c>
      <c r="E68" s="42" t="s">
        <v>1457</v>
      </c>
      <c r="F68" s="175"/>
      <c r="G68" s="175"/>
      <c r="H68" s="175"/>
      <c r="I68" s="175"/>
      <c r="J68" s="175"/>
      <c r="K68" s="175"/>
      <c r="L68" s="175"/>
      <c r="M68" s="175"/>
      <c r="N68" s="175"/>
      <c r="O68" s="175"/>
      <c r="P68" s="175"/>
      <c r="Q68" s="175"/>
      <c r="R68" s="175"/>
      <c r="S68" s="175"/>
      <c r="T68" s="175"/>
      <c r="U68" s="175"/>
      <c r="V68" s="175"/>
      <c r="W68" s="175"/>
      <c r="X68" s="175"/>
      <c r="Y68" s="175"/>
      <c r="Z68" s="175"/>
      <c r="AA68" s="175"/>
      <c r="AB68" s="175"/>
      <c r="AC68" s="175"/>
      <c r="AD68" s="175"/>
      <c r="AE68" s="175"/>
      <c r="AF68" s="215"/>
      <c r="AG68" s="215"/>
      <c r="AH68" s="215"/>
      <c r="AI68" s="215"/>
      <c r="AJ68" s="215"/>
      <c r="AK68" s="215"/>
      <c r="AL68" s="215"/>
      <c r="AM68" s="215"/>
      <c r="AN68" s="215"/>
      <c r="AO68" s="215"/>
      <c r="AP68" s="215"/>
      <c r="AQ68" s="215"/>
      <c r="AR68" s="215"/>
      <c r="AS68" s="215"/>
      <c r="AT68" s="215"/>
      <c r="AU68" s="215"/>
      <c r="AV68" s="215"/>
      <c r="AW68" s="215"/>
      <c r="AX68" s="215"/>
      <c r="AY68" s="215"/>
    </row>
    <row r="69">
      <c r="A69" s="77" t="s">
        <v>269</v>
      </c>
      <c r="B69" s="177" t="s">
        <v>3037</v>
      </c>
      <c r="C69" s="177" t="s">
        <v>2979</v>
      </c>
      <c r="D69" s="177" t="s">
        <v>3038</v>
      </c>
      <c r="E69" s="28" t="s">
        <v>1210</v>
      </c>
      <c r="F69" s="175"/>
      <c r="G69" s="175"/>
      <c r="H69" s="175"/>
      <c r="I69" s="175"/>
      <c r="J69" s="175"/>
      <c r="K69" s="175"/>
      <c r="L69" s="175"/>
      <c r="M69" s="175"/>
      <c r="N69" s="175"/>
      <c r="O69" s="175"/>
      <c r="P69" s="175"/>
      <c r="Q69" s="175"/>
      <c r="R69" s="175"/>
      <c r="S69" s="175"/>
      <c r="T69" s="175"/>
      <c r="U69" s="175"/>
      <c r="V69" s="175"/>
      <c r="W69" s="175"/>
      <c r="X69" s="175"/>
      <c r="Y69" s="175"/>
      <c r="Z69" s="175"/>
      <c r="AA69" s="175"/>
      <c r="AB69" s="175"/>
      <c r="AC69" s="175"/>
      <c r="AD69" s="175"/>
      <c r="AE69" s="175"/>
      <c r="AF69" s="215"/>
      <c r="AG69" s="215"/>
      <c r="AH69" s="215"/>
      <c r="AI69" s="215"/>
      <c r="AJ69" s="215"/>
      <c r="AK69" s="215"/>
      <c r="AL69" s="215"/>
      <c r="AM69" s="215"/>
      <c r="AN69" s="215"/>
      <c r="AO69" s="215"/>
      <c r="AP69" s="215"/>
      <c r="AQ69" s="215"/>
      <c r="AR69" s="215"/>
      <c r="AS69" s="215"/>
      <c r="AT69" s="215"/>
      <c r="AU69" s="215"/>
      <c r="AV69" s="215"/>
      <c r="AW69" s="215"/>
      <c r="AX69" s="215"/>
      <c r="AY69" s="215"/>
    </row>
    <row r="70">
      <c r="A70" s="77" t="s">
        <v>269</v>
      </c>
      <c r="B70" s="177" t="s">
        <v>3039</v>
      </c>
      <c r="C70" s="177" t="s">
        <v>2979</v>
      </c>
      <c r="D70" s="177" t="s">
        <v>3038</v>
      </c>
      <c r="E70" s="28" t="s">
        <v>1210</v>
      </c>
      <c r="F70" s="175"/>
      <c r="G70" s="175"/>
      <c r="H70" s="175"/>
      <c r="I70" s="175"/>
      <c r="J70" s="175"/>
      <c r="K70" s="175"/>
      <c r="L70" s="175"/>
      <c r="M70" s="175"/>
      <c r="N70" s="175"/>
      <c r="O70" s="175"/>
      <c r="P70" s="175"/>
      <c r="Q70" s="175"/>
      <c r="R70" s="175"/>
      <c r="S70" s="175"/>
      <c r="T70" s="175"/>
      <c r="U70" s="175"/>
      <c r="V70" s="175"/>
      <c r="W70" s="175"/>
      <c r="X70" s="175"/>
      <c r="Y70" s="175"/>
      <c r="Z70" s="175"/>
      <c r="AA70" s="175"/>
      <c r="AB70" s="175"/>
      <c r="AC70" s="175"/>
      <c r="AD70" s="175"/>
      <c r="AE70" s="175"/>
      <c r="AF70" s="215"/>
      <c r="AG70" s="215"/>
      <c r="AH70" s="215"/>
      <c r="AI70" s="215"/>
      <c r="AJ70" s="215"/>
      <c r="AK70" s="215"/>
      <c r="AL70" s="215"/>
      <c r="AM70" s="215"/>
      <c r="AN70" s="215"/>
      <c r="AO70" s="215"/>
      <c r="AP70" s="215"/>
      <c r="AQ70" s="215"/>
      <c r="AR70" s="215"/>
      <c r="AS70" s="215"/>
      <c r="AT70" s="215"/>
      <c r="AU70" s="215"/>
      <c r="AV70" s="215"/>
      <c r="AW70" s="215"/>
      <c r="AX70" s="215"/>
      <c r="AY70" s="215"/>
    </row>
    <row r="71">
      <c r="A71" s="77" t="s">
        <v>269</v>
      </c>
      <c r="B71" s="177" t="s">
        <v>3040</v>
      </c>
      <c r="C71" s="177" t="s">
        <v>2979</v>
      </c>
      <c r="D71" s="177" t="s">
        <v>3038</v>
      </c>
      <c r="E71" s="28" t="s">
        <v>1210</v>
      </c>
      <c r="F71" s="175"/>
      <c r="G71" s="175"/>
      <c r="H71" s="175"/>
      <c r="I71" s="175"/>
      <c r="J71" s="175"/>
      <c r="K71" s="175"/>
      <c r="L71" s="175"/>
      <c r="M71" s="175"/>
      <c r="N71" s="175"/>
      <c r="O71" s="175"/>
      <c r="P71" s="175"/>
      <c r="Q71" s="175"/>
      <c r="R71" s="175"/>
      <c r="S71" s="175"/>
      <c r="T71" s="175"/>
      <c r="U71" s="175"/>
      <c r="V71" s="175"/>
      <c r="W71" s="175"/>
      <c r="X71" s="175"/>
      <c r="Y71" s="175"/>
      <c r="Z71" s="175"/>
      <c r="AA71" s="175"/>
      <c r="AB71" s="175"/>
      <c r="AC71" s="175"/>
      <c r="AD71" s="175"/>
      <c r="AE71" s="175"/>
      <c r="AF71" s="215"/>
      <c r="AG71" s="215"/>
      <c r="AH71" s="215"/>
      <c r="AI71" s="215"/>
      <c r="AJ71" s="215"/>
      <c r="AK71" s="215"/>
      <c r="AL71" s="215"/>
      <c r="AM71" s="215"/>
      <c r="AN71" s="215"/>
      <c r="AO71" s="215"/>
      <c r="AP71" s="215"/>
      <c r="AQ71" s="215"/>
      <c r="AR71" s="215"/>
      <c r="AS71" s="215"/>
      <c r="AT71" s="215"/>
      <c r="AU71" s="215"/>
      <c r="AV71" s="215"/>
      <c r="AW71" s="215"/>
      <c r="AX71" s="215"/>
      <c r="AY71" s="215"/>
    </row>
    <row r="72">
      <c r="A72" s="77" t="s">
        <v>269</v>
      </c>
      <c r="B72" s="177" t="s">
        <v>3041</v>
      </c>
      <c r="C72" s="177" t="s">
        <v>2979</v>
      </c>
      <c r="D72" s="177" t="s">
        <v>3038</v>
      </c>
      <c r="E72" s="28" t="s">
        <v>1210</v>
      </c>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215"/>
      <c r="AG72" s="215"/>
      <c r="AH72" s="215"/>
      <c r="AI72" s="215"/>
      <c r="AJ72" s="215"/>
      <c r="AK72" s="215"/>
      <c r="AL72" s="215"/>
      <c r="AM72" s="215"/>
      <c r="AN72" s="215"/>
      <c r="AO72" s="215"/>
      <c r="AP72" s="215"/>
      <c r="AQ72" s="215"/>
      <c r="AR72" s="215"/>
      <c r="AS72" s="215"/>
      <c r="AT72" s="215"/>
      <c r="AU72" s="215"/>
      <c r="AV72" s="215"/>
      <c r="AW72" s="215"/>
      <c r="AX72" s="215"/>
      <c r="AY72" s="215"/>
    </row>
    <row r="73">
      <c r="A73" s="77" t="s">
        <v>269</v>
      </c>
      <c r="B73" s="177" t="s">
        <v>3042</v>
      </c>
      <c r="C73" s="177" t="s">
        <v>2979</v>
      </c>
      <c r="D73" s="177" t="s">
        <v>3038</v>
      </c>
      <c r="E73" s="28" t="s">
        <v>1210</v>
      </c>
      <c r="F73" s="175"/>
      <c r="G73" s="175"/>
      <c r="H73" s="175"/>
      <c r="I73" s="175"/>
      <c r="J73" s="175"/>
      <c r="K73" s="175"/>
      <c r="L73" s="175"/>
      <c r="M73" s="175"/>
      <c r="N73" s="175"/>
      <c r="O73" s="175"/>
      <c r="P73" s="175"/>
      <c r="Q73" s="175"/>
      <c r="R73" s="175"/>
      <c r="S73" s="175"/>
      <c r="T73" s="175"/>
      <c r="U73" s="175"/>
      <c r="V73" s="175"/>
      <c r="W73" s="175"/>
      <c r="X73" s="175"/>
      <c r="Y73" s="175"/>
      <c r="Z73" s="175"/>
      <c r="AA73" s="175"/>
      <c r="AB73" s="175"/>
      <c r="AC73" s="175"/>
      <c r="AD73" s="175"/>
      <c r="AE73" s="175"/>
      <c r="AF73" s="215"/>
      <c r="AG73" s="215"/>
      <c r="AH73" s="215"/>
      <c r="AI73" s="215"/>
      <c r="AJ73" s="215"/>
      <c r="AK73" s="215"/>
      <c r="AL73" s="215"/>
      <c r="AM73" s="215"/>
      <c r="AN73" s="215"/>
      <c r="AO73" s="215"/>
      <c r="AP73" s="215"/>
      <c r="AQ73" s="215"/>
      <c r="AR73" s="215"/>
      <c r="AS73" s="215"/>
      <c r="AT73" s="215"/>
      <c r="AU73" s="215"/>
      <c r="AV73" s="215"/>
      <c r="AW73" s="215"/>
      <c r="AX73" s="215"/>
      <c r="AY73" s="215"/>
    </row>
    <row r="74">
      <c r="A74" s="77" t="s">
        <v>269</v>
      </c>
      <c r="B74" s="177" t="s">
        <v>3043</v>
      </c>
      <c r="C74" s="177" t="s">
        <v>2979</v>
      </c>
      <c r="D74" s="177" t="s">
        <v>3038</v>
      </c>
      <c r="E74" s="28" t="s">
        <v>1210</v>
      </c>
      <c r="F74" s="175"/>
      <c r="G74" s="175"/>
      <c r="H74" s="175"/>
      <c r="I74" s="175"/>
      <c r="J74" s="175"/>
      <c r="K74" s="175"/>
      <c r="L74" s="175"/>
      <c r="M74" s="175"/>
      <c r="N74" s="175"/>
      <c r="O74" s="175"/>
      <c r="P74" s="175"/>
      <c r="Q74" s="175"/>
      <c r="R74" s="175"/>
      <c r="S74" s="175"/>
      <c r="T74" s="175"/>
      <c r="U74" s="175"/>
      <c r="V74" s="175"/>
      <c r="W74" s="175"/>
      <c r="X74" s="175"/>
      <c r="Y74" s="175"/>
      <c r="Z74" s="175"/>
      <c r="AA74" s="175"/>
      <c r="AB74" s="175"/>
      <c r="AC74" s="175"/>
      <c r="AD74" s="175"/>
      <c r="AE74" s="175"/>
      <c r="AF74" s="215"/>
      <c r="AG74" s="215"/>
      <c r="AH74" s="215"/>
      <c r="AI74" s="215"/>
      <c r="AJ74" s="215"/>
      <c r="AK74" s="215"/>
      <c r="AL74" s="215"/>
      <c r="AM74" s="215"/>
      <c r="AN74" s="215"/>
      <c r="AO74" s="215"/>
      <c r="AP74" s="215"/>
      <c r="AQ74" s="215"/>
      <c r="AR74" s="215"/>
      <c r="AS74" s="215"/>
      <c r="AT74" s="215"/>
      <c r="AU74" s="215"/>
      <c r="AV74" s="215"/>
      <c r="AW74" s="215"/>
      <c r="AX74" s="215"/>
      <c r="AY74" s="215"/>
    </row>
    <row r="75">
      <c r="A75" s="77" t="s">
        <v>269</v>
      </c>
      <c r="B75" s="177" t="s">
        <v>3044</v>
      </c>
      <c r="C75" s="177" t="s">
        <v>2979</v>
      </c>
      <c r="D75" s="177" t="s">
        <v>3038</v>
      </c>
      <c r="E75" s="28" t="s">
        <v>1210</v>
      </c>
      <c r="F75" s="175"/>
      <c r="G75" s="175"/>
      <c r="H75" s="175"/>
      <c r="I75" s="175"/>
      <c r="J75" s="175"/>
      <c r="K75" s="175"/>
      <c r="L75" s="175"/>
      <c r="M75" s="175"/>
      <c r="N75" s="175"/>
      <c r="O75" s="175"/>
      <c r="P75" s="175"/>
      <c r="Q75" s="175"/>
      <c r="R75" s="175"/>
      <c r="S75" s="175"/>
      <c r="T75" s="175"/>
      <c r="U75" s="175"/>
      <c r="V75" s="175"/>
      <c r="W75" s="175"/>
      <c r="X75" s="175"/>
      <c r="Y75" s="175"/>
      <c r="Z75" s="175"/>
      <c r="AA75" s="175"/>
      <c r="AB75" s="175"/>
      <c r="AC75" s="175"/>
      <c r="AD75" s="175"/>
      <c r="AE75" s="175"/>
      <c r="AF75" s="175"/>
      <c r="AG75" s="175"/>
      <c r="AH75" s="175"/>
      <c r="AI75" s="175"/>
      <c r="AJ75" s="175"/>
      <c r="AK75" s="175"/>
      <c r="AL75" s="175"/>
      <c r="AM75" s="175"/>
      <c r="AN75" s="175"/>
      <c r="AO75" s="175"/>
      <c r="AP75" s="175"/>
      <c r="AQ75" s="175"/>
      <c r="AR75" s="175"/>
      <c r="AS75" s="175"/>
      <c r="AT75" s="175"/>
      <c r="AU75" s="175"/>
      <c r="AV75" s="175"/>
      <c r="AW75" s="175"/>
      <c r="AX75" s="175"/>
      <c r="AY75" s="175"/>
    </row>
    <row r="76">
      <c r="A76" s="77" t="s">
        <v>269</v>
      </c>
      <c r="B76" s="177" t="s">
        <v>3045</v>
      </c>
      <c r="C76" s="177" t="s">
        <v>2979</v>
      </c>
      <c r="D76" s="177" t="s">
        <v>3038</v>
      </c>
      <c r="E76" s="28" t="s">
        <v>1210</v>
      </c>
      <c r="F76" s="175"/>
      <c r="G76" s="175"/>
      <c r="H76" s="175"/>
      <c r="I76" s="175"/>
      <c r="J76" s="175"/>
      <c r="K76" s="175"/>
      <c r="L76" s="175"/>
      <c r="M76" s="175"/>
      <c r="N76" s="175"/>
      <c r="O76" s="175"/>
      <c r="P76" s="175"/>
      <c r="Q76" s="175"/>
      <c r="R76" s="175"/>
      <c r="S76" s="175"/>
      <c r="T76" s="175"/>
      <c r="U76" s="175"/>
      <c r="V76" s="175"/>
      <c r="W76" s="175"/>
      <c r="X76" s="175"/>
      <c r="Y76" s="175"/>
      <c r="Z76" s="175"/>
      <c r="AA76" s="175"/>
      <c r="AB76" s="175"/>
      <c r="AC76" s="175"/>
      <c r="AD76" s="175"/>
      <c r="AE76" s="175"/>
      <c r="AF76" s="175"/>
      <c r="AG76" s="175"/>
      <c r="AH76" s="175"/>
      <c r="AI76" s="175"/>
      <c r="AJ76" s="175"/>
      <c r="AK76" s="175"/>
      <c r="AL76" s="175"/>
      <c r="AM76" s="175"/>
      <c r="AN76" s="175"/>
      <c r="AO76" s="175"/>
      <c r="AP76" s="175"/>
      <c r="AQ76" s="175"/>
      <c r="AR76" s="175"/>
      <c r="AS76" s="175"/>
      <c r="AT76" s="175"/>
      <c r="AU76" s="175"/>
      <c r="AV76" s="175"/>
      <c r="AW76" s="175"/>
      <c r="AX76" s="175"/>
      <c r="AY76" s="175"/>
    </row>
    <row r="77">
      <c r="A77" s="77" t="s">
        <v>269</v>
      </c>
      <c r="B77" s="289" t="s">
        <v>3046</v>
      </c>
      <c r="C77" s="177" t="s">
        <v>2979</v>
      </c>
      <c r="D77" s="177" t="s">
        <v>3038</v>
      </c>
      <c r="E77" s="28" t="s">
        <v>1210</v>
      </c>
      <c r="F77" s="175"/>
      <c r="G77" s="175"/>
      <c r="H77" s="175"/>
      <c r="I77" s="175"/>
      <c r="J77" s="175"/>
      <c r="K77" s="175"/>
      <c r="L77" s="175"/>
      <c r="M77" s="175"/>
      <c r="N77" s="175"/>
      <c r="O77" s="175"/>
      <c r="P77" s="286"/>
      <c r="Q77" s="286"/>
      <c r="R77" s="286"/>
      <c r="S77" s="175"/>
      <c r="T77" s="290"/>
      <c r="U77" s="175"/>
      <c r="V77" s="175"/>
      <c r="W77" s="175"/>
      <c r="X77" s="175"/>
      <c r="Y77" s="175"/>
      <c r="Z77" s="175"/>
      <c r="AA77" s="175"/>
      <c r="AB77" s="175"/>
      <c r="AC77" s="175"/>
      <c r="AD77" s="175"/>
      <c r="AE77" s="175"/>
      <c r="AF77" s="175"/>
      <c r="AG77" s="215"/>
      <c r="AH77" s="215"/>
      <c r="AI77" s="215"/>
      <c r="AJ77" s="215"/>
      <c r="AK77" s="215"/>
      <c r="AL77" s="215"/>
      <c r="AM77" s="215"/>
      <c r="AN77" s="215"/>
      <c r="AO77" s="215"/>
      <c r="AP77" s="215"/>
      <c r="AQ77" s="215"/>
      <c r="AR77" s="215"/>
      <c r="AS77" s="215"/>
      <c r="AT77" s="215"/>
      <c r="AU77" s="215"/>
      <c r="AV77" s="215"/>
      <c r="AW77" s="215"/>
      <c r="AX77" s="215"/>
      <c r="AY77" s="215"/>
    </row>
    <row r="78">
      <c r="A78" s="77" t="s">
        <v>269</v>
      </c>
      <c r="B78" s="289" t="s">
        <v>3047</v>
      </c>
      <c r="C78" s="177" t="s">
        <v>2979</v>
      </c>
      <c r="D78" s="177" t="s">
        <v>3038</v>
      </c>
      <c r="E78" s="28" t="s">
        <v>1210</v>
      </c>
      <c r="F78" s="175"/>
      <c r="G78" s="175"/>
      <c r="H78" s="175"/>
      <c r="I78" s="286"/>
      <c r="J78" s="286"/>
      <c r="K78" s="286"/>
      <c r="L78" s="286"/>
      <c r="M78" s="286"/>
      <c r="N78" s="286"/>
      <c r="O78" s="175"/>
      <c r="P78" s="286"/>
      <c r="Q78" s="175"/>
      <c r="R78" s="286"/>
      <c r="S78" s="286"/>
      <c r="T78" s="290"/>
      <c r="U78" s="175"/>
      <c r="V78" s="175"/>
      <c r="W78" s="175"/>
      <c r="X78" s="175"/>
      <c r="Y78" s="175"/>
      <c r="Z78" s="175"/>
      <c r="AA78" s="175"/>
      <c r="AB78" s="175"/>
      <c r="AC78" s="175"/>
      <c r="AD78" s="175"/>
      <c r="AE78" s="175"/>
      <c r="AF78" s="175"/>
      <c r="AG78" s="215"/>
      <c r="AH78" s="215"/>
      <c r="AI78" s="215"/>
      <c r="AJ78" s="215"/>
      <c r="AK78" s="215"/>
      <c r="AL78" s="215"/>
      <c r="AM78" s="215"/>
      <c r="AN78" s="215"/>
      <c r="AO78" s="215"/>
      <c r="AP78" s="215"/>
      <c r="AQ78" s="215"/>
      <c r="AR78" s="215"/>
      <c r="AS78" s="215"/>
      <c r="AT78" s="215"/>
      <c r="AU78" s="215"/>
      <c r="AV78" s="215"/>
      <c r="AW78" s="215"/>
      <c r="AX78" s="215"/>
      <c r="AY78" s="215"/>
    </row>
    <row r="79">
      <c r="A79" s="77" t="s">
        <v>93</v>
      </c>
      <c r="B79" s="289" t="s">
        <v>3048</v>
      </c>
      <c r="C79" s="177" t="s">
        <v>2979</v>
      </c>
      <c r="D79" s="177" t="s">
        <v>3038</v>
      </c>
      <c r="E79" s="28" t="s">
        <v>1210</v>
      </c>
      <c r="F79" s="175"/>
      <c r="G79" s="175"/>
      <c r="H79" s="175"/>
      <c r="I79" s="175"/>
      <c r="J79" s="175"/>
      <c r="K79" s="175"/>
      <c r="L79" s="175"/>
      <c r="M79" s="175"/>
      <c r="N79" s="175"/>
      <c r="O79" s="175"/>
      <c r="P79" s="286"/>
      <c r="Q79" s="286"/>
      <c r="R79" s="286"/>
      <c r="S79" s="286"/>
      <c r="T79" s="290"/>
      <c r="U79" s="175"/>
      <c r="V79" s="175"/>
      <c r="W79" s="175"/>
      <c r="X79" s="175"/>
      <c r="Y79" s="175"/>
      <c r="Z79" s="175"/>
      <c r="AA79" s="175"/>
      <c r="AB79" s="175"/>
      <c r="AC79" s="175"/>
      <c r="AD79" s="175"/>
      <c r="AE79" s="175"/>
      <c r="AF79" s="175"/>
      <c r="AG79" s="215"/>
      <c r="AH79" s="215"/>
      <c r="AI79" s="215"/>
      <c r="AJ79" s="215"/>
      <c r="AK79" s="215"/>
      <c r="AL79" s="215"/>
      <c r="AM79" s="215"/>
      <c r="AN79" s="215"/>
      <c r="AO79" s="215"/>
      <c r="AP79" s="215"/>
      <c r="AQ79" s="215"/>
      <c r="AR79" s="215"/>
      <c r="AS79" s="215"/>
      <c r="AT79" s="215"/>
      <c r="AU79" s="215"/>
      <c r="AV79" s="215"/>
      <c r="AW79" s="215"/>
      <c r="AX79" s="215"/>
      <c r="AY79" s="215"/>
    </row>
    <row r="80">
      <c r="A80" s="77" t="s">
        <v>93</v>
      </c>
      <c r="B80" s="289" t="s">
        <v>3049</v>
      </c>
      <c r="C80" s="177" t="s">
        <v>2979</v>
      </c>
      <c r="D80" s="177" t="s">
        <v>3038</v>
      </c>
      <c r="E80" s="28" t="s">
        <v>1210</v>
      </c>
      <c r="F80" s="175"/>
      <c r="G80" s="175"/>
      <c r="H80" s="175"/>
      <c r="I80" s="175"/>
      <c r="J80" s="175"/>
      <c r="K80" s="175"/>
      <c r="L80" s="175"/>
      <c r="M80" s="175"/>
      <c r="N80" s="175"/>
      <c r="O80" s="175"/>
      <c r="P80" s="286"/>
      <c r="Q80" s="286"/>
      <c r="R80" s="286"/>
      <c r="S80" s="175"/>
      <c r="T80" s="290"/>
      <c r="U80" s="175"/>
      <c r="V80" s="175"/>
      <c r="W80" s="175"/>
      <c r="X80" s="175"/>
      <c r="Y80" s="175"/>
      <c r="Z80" s="175"/>
      <c r="AA80" s="175"/>
      <c r="AB80" s="175"/>
      <c r="AC80" s="175"/>
      <c r="AD80" s="175"/>
      <c r="AE80" s="175"/>
      <c r="AF80" s="175"/>
      <c r="AG80" s="215"/>
      <c r="AH80" s="215"/>
      <c r="AI80" s="215"/>
      <c r="AJ80" s="215"/>
      <c r="AK80" s="215"/>
      <c r="AL80" s="215"/>
      <c r="AM80" s="215"/>
      <c r="AN80" s="215"/>
      <c r="AO80" s="215"/>
      <c r="AP80" s="215"/>
      <c r="AQ80" s="215"/>
      <c r="AR80" s="215"/>
      <c r="AS80" s="215"/>
      <c r="AT80" s="215"/>
      <c r="AU80" s="215"/>
      <c r="AV80" s="215"/>
      <c r="AW80" s="215"/>
      <c r="AX80" s="215"/>
      <c r="AY80" s="215"/>
    </row>
    <row r="81">
      <c r="A81" s="77" t="s">
        <v>93</v>
      </c>
      <c r="B81" s="289" t="s">
        <v>3050</v>
      </c>
      <c r="C81" s="177" t="s">
        <v>2979</v>
      </c>
      <c r="D81" s="177" t="s">
        <v>3038</v>
      </c>
      <c r="E81" s="28" t="s">
        <v>1210</v>
      </c>
      <c r="F81" s="175"/>
      <c r="G81" s="175"/>
      <c r="H81" s="175"/>
      <c r="I81" s="286"/>
      <c r="J81" s="175"/>
      <c r="K81" s="175"/>
      <c r="L81" s="175"/>
      <c r="M81" s="175"/>
      <c r="N81" s="175"/>
      <c r="O81" s="175"/>
      <c r="P81" s="286"/>
      <c r="Q81" s="286"/>
      <c r="R81" s="286"/>
      <c r="S81" s="175"/>
      <c r="T81" s="290"/>
      <c r="U81" s="175"/>
      <c r="V81" s="175"/>
      <c r="W81" s="175"/>
      <c r="X81" s="175"/>
      <c r="Y81" s="175"/>
      <c r="Z81" s="175"/>
      <c r="AA81" s="175"/>
      <c r="AB81" s="175"/>
      <c r="AC81" s="175"/>
      <c r="AD81" s="175"/>
      <c r="AE81" s="175"/>
      <c r="AF81" s="175"/>
      <c r="AG81" s="215"/>
      <c r="AH81" s="215"/>
      <c r="AI81" s="215"/>
      <c r="AJ81" s="215"/>
      <c r="AK81" s="215"/>
      <c r="AL81" s="215"/>
      <c r="AM81" s="215"/>
      <c r="AN81" s="215"/>
      <c r="AO81" s="215"/>
      <c r="AP81" s="215"/>
      <c r="AQ81" s="215"/>
      <c r="AR81" s="215"/>
      <c r="AS81" s="215"/>
      <c r="AT81" s="215"/>
      <c r="AU81" s="215"/>
      <c r="AV81" s="215"/>
      <c r="AW81" s="215"/>
      <c r="AX81" s="215"/>
      <c r="AY81" s="215"/>
    </row>
    <row r="82">
      <c r="A82" s="77" t="s">
        <v>93</v>
      </c>
      <c r="B82" s="289" t="s">
        <v>3051</v>
      </c>
      <c r="C82" s="177" t="s">
        <v>2979</v>
      </c>
      <c r="D82" s="177" t="s">
        <v>3038</v>
      </c>
      <c r="E82" s="28" t="s">
        <v>1210</v>
      </c>
      <c r="F82" s="175"/>
      <c r="G82" s="175"/>
      <c r="H82" s="175"/>
      <c r="I82" s="175"/>
      <c r="J82" s="175"/>
      <c r="K82" s="175"/>
      <c r="L82" s="175"/>
      <c r="M82" s="175"/>
      <c r="N82" s="175"/>
      <c r="O82" s="175"/>
      <c r="P82" s="286"/>
      <c r="Q82" s="286"/>
      <c r="R82" s="286"/>
      <c r="S82" s="286"/>
      <c r="T82" s="290"/>
      <c r="U82" s="175"/>
      <c r="V82" s="175"/>
      <c r="W82" s="175"/>
      <c r="X82" s="175"/>
      <c r="Y82" s="175"/>
      <c r="Z82" s="175"/>
      <c r="AA82" s="175"/>
      <c r="AB82" s="175"/>
      <c r="AC82" s="175"/>
      <c r="AD82" s="175"/>
      <c r="AE82" s="175"/>
      <c r="AF82" s="175"/>
      <c r="AG82" s="215"/>
      <c r="AH82" s="215"/>
      <c r="AI82" s="215"/>
      <c r="AJ82" s="215"/>
      <c r="AK82" s="215"/>
      <c r="AL82" s="215"/>
      <c r="AM82" s="215"/>
      <c r="AN82" s="215"/>
      <c r="AO82" s="215"/>
      <c r="AP82" s="215"/>
      <c r="AQ82" s="215"/>
      <c r="AR82" s="215"/>
      <c r="AS82" s="215"/>
      <c r="AT82" s="215"/>
      <c r="AU82" s="215"/>
      <c r="AV82" s="215"/>
      <c r="AW82" s="215"/>
      <c r="AX82" s="215"/>
      <c r="AY82" s="215"/>
    </row>
    <row r="83">
      <c r="A83" s="77" t="s">
        <v>93</v>
      </c>
      <c r="B83" s="289" t="s">
        <v>3052</v>
      </c>
      <c r="C83" s="177" t="s">
        <v>2979</v>
      </c>
      <c r="D83" s="177" t="s">
        <v>3038</v>
      </c>
      <c r="E83" s="28" t="s">
        <v>1210</v>
      </c>
      <c r="F83" s="175"/>
      <c r="G83" s="175"/>
      <c r="H83" s="175"/>
      <c r="I83" s="175"/>
      <c r="J83" s="175"/>
      <c r="K83" s="175"/>
      <c r="L83" s="175"/>
      <c r="M83" s="175"/>
      <c r="N83" s="175"/>
      <c r="O83" s="175"/>
      <c r="P83" s="286"/>
      <c r="Q83" s="286"/>
      <c r="R83" s="286"/>
      <c r="S83" s="175"/>
      <c r="T83" s="175"/>
      <c r="U83" s="175"/>
      <c r="V83" s="175"/>
      <c r="W83" s="175"/>
      <c r="X83" s="175"/>
      <c r="Y83" s="175"/>
      <c r="Z83" s="175"/>
      <c r="AA83" s="175"/>
      <c r="AB83" s="175"/>
      <c r="AC83" s="175"/>
      <c r="AD83" s="175"/>
      <c r="AE83" s="175"/>
      <c r="AF83" s="175"/>
      <c r="AG83" s="215"/>
      <c r="AH83" s="215"/>
      <c r="AI83" s="215"/>
      <c r="AJ83" s="215"/>
      <c r="AK83" s="215"/>
      <c r="AL83" s="215"/>
      <c r="AM83" s="215"/>
      <c r="AN83" s="215"/>
      <c r="AO83" s="215"/>
      <c r="AP83" s="215"/>
      <c r="AQ83" s="215"/>
      <c r="AR83" s="215"/>
      <c r="AS83" s="215"/>
      <c r="AT83" s="215"/>
      <c r="AU83" s="215"/>
      <c r="AV83" s="215"/>
      <c r="AW83" s="215"/>
      <c r="AX83" s="215"/>
      <c r="AY83" s="215"/>
    </row>
    <row r="84">
      <c r="A84" s="77" t="s">
        <v>93</v>
      </c>
      <c r="B84" s="177" t="s">
        <v>3053</v>
      </c>
      <c r="C84" s="177" t="s">
        <v>2979</v>
      </c>
      <c r="D84" s="177" t="s">
        <v>3038</v>
      </c>
      <c r="E84" s="28" t="s">
        <v>1210</v>
      </c>
      <c r="F84" s="175"/>
      <c r="G84" s="175"/>
      <c r="H84" s="175"/>
      <c r="I84" s="175"/>
      <c r="J84" s="175"/>
      <c r="K84" s="175"/>
      <c r="L84" s="175"/>
      <c r="M84" s="175"/>
      <c r="N84" s="175"/>
      <c r="O84" s="175"/>
      <c r="P84" s="286"/>
      <c r="Q84" s="286"/>
      <c r="R84" s="286"/>
      <c r="S84" s="175"/>
      <c r="T84" s="175"/>
      <c r="U84" s="175"/>
      <c r="V84" s="175"/>
      <c r="W84" s="175"/>
      <c r="X84" s="175"/>
      <c r="Y84" s="175"/>
      <c r="Z84" s="175"/>
      <c r="AA84" s="175"/>
      <c r="AB84" s="175"/>
      <c r="AC84" s="175"/>
      <c r="AD84" s="175"/>
      <c r="AE84" s="175"/>
      <c r="AF84" s="175"/>
      <c r="AG84" s="215"/>
      <c r="AH84" s="215"/>
      <c r="AI84" s="215"/>
      <c r="AJ84" s="215"/>
      <c r="AK84" s="215"/>
      <c r="AL84" s="215"/>
      <c r="AM84" s="215"/>
      <c r="AN84" s="215"/>
      <c r="AO84" s="215"/>
      <c r="AP84" s="215"/>
      <c r="AQ84" s="215"/>
      <c r="AR84" s="215"/>
      <c r="AS84" s="215"/>
      <c r="AT84" s="215"/>
      <c r="AU84" s="215"/>
      <c r="AV84" s="215"/>
      <c r="AW84" s="215"/>
      <c r="AX84" s="215"/>
      <c r="AY84" s="215"/>
    </row>
    <row r="85">
      <c r="A85" s="77" t="s">
        <v>93</v>
      </c>
      <c r="B85" s="177" t="s">
        <v>3054</v>
      </c>
      <c r="C85" s="177" t="s">
        <v>2979</v>
      </c>
      <c r="D85" s="177" t="s">
        <v>3038</v>
      </c>
      <c r="E85" s="28" t="s">
        <v>1210</v>
      </c>
      <c r="F85" s="175"/>
      <c r="G85" s="175"/>
      <c r="H85" s="175"/>
      <c r="I85" s="175"/>
      <c r="J85" s="175"/>
      <c r="K85" s="175"/>
      <c r="L85" s="175"/>
      <c r="M85" s="175"/>
      <c r="N85" s="175"/>
      <c r="O85" s="175"/>
      <c r="P85" s="286"/>
      <c r="Q85" s="286"/>
      <c r="R85" s="286"/>
      <c r="S85" s="175"/>
      <c r="T85" s="175"/>
      <c r="U85" s="175"/>
      <c r="V85" s="175"/>
      <c r="W85" s="175"/>
      <c r="X85" s="175"/>
      <c r="Y85" s="175"/>
      <c r="Z85" s="175"/>
      <c r="AA85" s="175"/>
      <c r="AB85" s="175"/>
      <c r="AC85" s="175"/>
      <c r="AD85" s="175"/>
      <c r="AE85" s="175"/>
      <c r="AF85" s="175"/>
      <c r="AG85" s="215"/>
      <c r="AH85" s="215"/>
      <c r="AI85" s="215"/>
      <c r="AJ85" s="215"/>
      <c r="AK85" s="215"/>
      <c r="AL85" s="215"/>
      <c r="AM85" s="215"/>
      <c r="AN85" s="215"/>
      <c r="AO85" s="215"/>
      <c r="AP85" s="215"/>
      <c r="AQ85" s="215"/>
      <c r="AR85" s="215"/>
      <c r="AS85" s="215"/>
      <c r="AT85" s="215"/>
      <c r="AU85" s="215"/>
      <c r="AV85" s="215"/>
      <c r="AW85" s="215"/>
      <c r="AX85" s="215"/>
      <c r="AY85" s="215"/>
    </row>
    <row r="86">
      <c r="A86" s="77" t="s">
        <v>93</v>
      </c>
      <c r="B86" s="177" t="s">
        <v>3055</v>
      </c>
      <c r="C86" s="177" t="s">
        <v>2979</v>
      </c>
      <c r="D86" s="177" t="s">
        <v>3038</v>
      </c>
      <c r="E86" s="28" t="s">
        <v>1210</v>
      </c>
      <c r="F86" s="175"/>
      <c r="G86" s="175"/>
      <c r="H86" s="175"/>
      <c r="I86" s="175"/>
      <c r="J86" s="175"/>
      <c r="K86" s="175"/>
      <c r="L86" s="175"/>
      <c r="M86" s="175"/>
      <c r="N86" s="175"/>
      <c r="O86" s="175"/>
      <c r="P86" s="286"/>
      <c r="Q86" s="286"/>
      <c r="R86" s="286"/>
      <c r="S86" s="175"/>
      <c r="T86" s="175"/>
      <c r="U86" s="175"/>
      <c r="V86" s="175"/>
      <c r="W86" s="175"/>
      <c r="X86" s="175"/>
      <c r="Y86" s="175"/>
      <c r="Z86" s="175"/>
      <c r="AA86" s="175"/>
      <c r="AB86" s="175"/>
      <c r="AC86" s="175"/>
      <c r="AD86" s="175"/>
      <c r="AE86" s="175"/>
      <c r="AF86" s="175"/>
      <c r="AG86" s="215"/>
      <c r="AH86" s="215"/>
      <c r="AI86" s="215"/>
      <c r="AJ86" s="215"/>
      <c r="AK86" s="215"/>
      <c r="AL86" s="215"/>
      <c r="AM86" s="215"/>
      <c r="AN86" s="215"/>
      <c r="AO86" s="215"/>
      <c r="AP86" s="215"/>
      <c r="AQ86" s="215"/>
      <c r="AR86" s="215"/>
      <c r="AS86" s="215"/>
      <c r="AT86" s="215"/>
      <c r="AU86" s="215"/>
      <c r="AV86" s="215"/>
      <c r="AW86" s="215"/>
      <c r="AX86" s="215"/>
      <c r="AY86" s="215"/>
    </row>
    <row r="87">
      <c r="A87" s="77" t="s">
        <v>93</v>
      </c>
      <c r="B87" s="177" t="s">
        <v>3056</v>
      </c>
      <c r="C87" s="177" t="s">
        <v>2979</v>
      </c>
      <c r="D87" s="177" t="s">
        <v>3038</v>
      </c>
      <c r="E87" s="28" t="s">
        <v>1210</v>
      </c>
      <c r="F87" s="175"/>
      <c r="G87" s="175"/>
      <c r="H87" s="175"/>
      <c r="I87" s="286"/>
      <c r="J87" s="175"/>
      <c r="K87" s="175"/>
      <c r="L87" s="175"/>
      <c r="M87" s="175"/>
      <c r="N87" s="175"/>
      <c r="O87" s="175"/>
      <c r="P87" s="286"/>
      <c r="Q87" s="286"/>
      <c r="R87" s="286"/>
      <c r="S87" s="175"/>
      <c r="T87" s="175"/>
      <c r="U87" s="175"/>
      <c r="V87" s="175"/>
      <c r="W87" s="175"/>
      <c r="X87" s="175"/>
      <c r="Y87" s="175"/>
      <c r="Z87" s="175"/>
      <c r="AA87" s="175"/>
      <c r="AB87" s="175"/>
      <c r="AC87" s="175"/>
      <c r="AD87" s="175"/>
      <c r="AE87" s="175"/>
      <c r="AF87" s="175"/>
      <c r="AG87" s="215"/>
      <c r="AH87" s="215"/>
      <c r="AI87" s="215"/>
      <c r="AJ87" s="215"/>
      <c r="AK87" s="215"/>
      <c r="AL87" s="215"/>
      <c r="AM87" s="215"/>
      <c r="AN87" s="215"/>
      <c r="AO87" s="215"/>
      <c r="AP87" s="215"/>
      <c r="AQ87" s="215"/>
      <c r="AR87" s="215"/>
      <c r="AS87" s="215"/>
      <c r="AT87" s="215"/>
      <c r="AU87" s="215"/>
      <c r="AV87" s="215"/>
      <c r="AW87" s="215"/>
      <c r="AX87" s="215"/>
      <c r="AY87" s="215"/>
    </row>
    <row r="88">
      <c r="A88" s="77" t="s">
        <v>93</v>
      </c>
      <c r="B88" s="177" t="s">
        <v>3057</v>
      </c>
      <c r="C88" s="177" t="s">
        <v>2979</v>
      </c>
      <c r="D88" s="177" t="s">
        <v>3038</v>
      </c>
      <c r="E88" s="28" t="s">
        <v>1210</v>
      </c>
      <c r="F88" s="175"/>
      <c r="G88" s="175"/>
      <c r="H88" s="175"/>
      <c r="I88" s="286"/>
      <c r="J88" s="175"/>
      <c r="K88" s="175"/>
      <c r="L88" s="175"/>
      <c r="M88" s="175"/>
      <c r="N88" s="175"/>
      <c r="O88" s="175"/>
      <c r="P88" s="286"/>
      <c r="Q88" s="286"/>
      <c r="R88" s="286"/>
      <c r="S88" s="175"/>
      <c r="T88" s="175"/>
      <c r="U88" s="175"/>
      <c r="V88" s="175"/>
      <c r="W88" s="175"/>
      <c r="X88" s="175"/>
      <c r="Y88" s="175"/>
      <c r="Z88" s="175"/>
      <c r="AA88" s="175"/>
      <c r="AB88" s="175"/>
      <c r="AC88" s="175"/>
      <c r="AD88" s="175"/>
      <c r="AE88" s="175"/>
      <c r="AF88" s="175"/>
      <c r="AG88" s="215"/>
      <c r="AH88" s="215"/>
      <c r="AI88" s="215"/>
      <c r="AJ88" s="215"/>
      <c r="AK88" s="215"/>
      <c r="AL88" s="215"/>
      <c r="AM88" s="215"/>
      <c r="AN88" s="215"/>
      <c r="AO88" s="215"/>
      <c r="AP88" s="215"/>
      <c r="AQ88" s="215"/>
      <c r="AR88" s="215"/>
      <c r="AS88" s="215"/>
      <c r="AT88" s="215"/>
      <c r="AU88" s="215"/>
      <c r="AV88" s="215"/>
      <c r="AW88" s="215"/>
      <c r="AX88" s="215"/>
      <c r="AY88" s="215"/>
    </row>
    <row r="89">
      <c r="A89" s="77" t="s">
        <v>347</v>
      </c>
      <c r="B89" s="77" t="s">
        <v>408</v>
      </c>
      <c r="C89" s="177" t="s">
        <v>2979</v>
      </c>
      <c r="D89" s="77" t="s">
        <v>2987</v>
      </c>
      <c r="E89" s="28" t="s">
        <v>1457</v>
      </c>
      <c r="F89" s="215"/>
      <c r="G89" s="215"/>
      <c r="H89" s="215"/>
      <c r="I89" s="215"/>
      <c r="J89" s="215"/>
      <c r="K89" s="215"/>
      <c r="L89" s="215"/>
      <c r="M89" s="215"/>
      <c r="N89" s="215"/>
      <c r="O89" s="215"/>
      <c r="P89" s="215"/>
      <c r="Q89" s="215"/>
      <c r="R89" s="215"/>
      <c r="S89" s="215"/>
      <c r="T89" s="215"/>
      <c r="U89" s="215"/>
      <c r="V89" s="215"/>
      <c r="W89" s="215"/>
      <c r="X89" s="215"/>
      <c r="Y89" s="215"/>
      <c r="Z89" s="215"/>
      <c r="AA89" s="215"/>
      <c r="AB89" s="215"/>
      <c r="AC89" s="215"/>
      <c r="AD89" s="215"/>
      <c r="AE89" s="215"/>
      <c r="AF89" s="215"/>
      <c r="AG89" s="215"/>
      <c r="AH89" s="215"/>
      <c r="AI89" s="215"/>
      <c r="AJ89" s="215"/>
      <c r="AK89" s="215"/>
      <c r="AL89" s="215"/>
      <c r="AM89" s="215"/>
      <c r="AN89" s="215"/>
      <c r="AO89" s="215"/>
      <c r="AP89" s="215"/>
      <c r="AQ89" s="215"/>
      <c r="AR89" s="215"/>
      <c r="AS89" s="215"/>
      <c r="AT89" s="215"/>
      <c r="AU89" s="215"/>
      <c r="AV89" s="215"/>
      <c r="AW89" s="215"/>
      <c r="AX89" s="215"/>
      <c r="AY89" s="215"/>
    </row>
    <row r="90">
      <c r="A90" s="77" t="s">
        <v>347</v>
      </c>
      <c r="B90" s="252" t="s">
        <v>345</v>
      </c>
      <c r="C90" s="177" t="s">
        <v>2979</v>
      </c>
      <c r="D90" s="77" t="s">
        <v>3058</v>
      </c>
      <c r="E90" s="28" t="s">
        <v>1457</v>
      </c>
      <c r="F90" s="215"/>
      <c r="G90" s="215"/>
      <c r="H90" s="215"/>
      <c r="I90" s="215"/>
      <c r="J90" s="215"/>
      <c r="K90" s="215"/>
      <c r="L90" s="215"/>
      <c r="M90" s="215"/>
      <c r="N90" s="215"/>
      <c r="O90" s="215"/>
      <c r="P90" s="215"/>
      <c r="Q90" s="215"/>
      <c r="R90" s="215"/>
      <c r="S90" s="215"/>
      <c r="T90" s="215"/>
      <c r="U90" s="215"/>
      <c r="V90" s="215"/>
      <c r="W90" s="215"/>
      <c r="X90" s="215"/>
      <c r="Y90" s="215"/>
      <c r="Z90" s="215"/>
      <c r="AA90" s="215"/>
      <c r="AB90" s="215"/>
      <c r="AC90" s="215"/>
      <c r="AD90" s="215"/>
      <c r="AE90" s="215"/>
      <c r="AF90" s="215"/>
      <c r="AG90" s="215"/>
      <c r="AH90" s="215"/>
      <c r="AI90" s="215"/>
      <c r="AJ90" s="215"/>
      <c r="AK90" s="215"/>
      <c r="AL90" s="215"/>
      <c r="AM90" s="215"/>
      <c r="AN90" s="215"/>
      <c r="AO90" s="215"/>
      <c r="AP90" s="215"/>
      <c r="AQ90" s="215"/>
      <c r="AR90" s="215"/>
      <c r="AS90" s="215"/>
      <c r="AT90" s="215"/>
      <c r="AU90" s="215"/>
      <c r="AV90" s="215"/>
      <c r="AW90" s="215"/>
      <c r="AX90" s="215"/>
      <c r="AY90" s="215"/>
    </row>
    <row r="91">
      <c r="A91" s="77" t="s">
        <v>347</v>
      </c>
      <c r="B91" s="252" t="s">
        <v>362</v>
      </c>
      <c r="C91" s="177" t="s">
        <v>2980</v>
      </c>
      <c r="D91" s="26" t="s">
        <v>3059</v>
      </c>
      <c r="E91" s="28" t="s">
        <v>1457</v>
      </c>
      <c r="F91" s="215"/>
      <c r="G91" s="215"/>
      <c r="H91" s="215"/>
      <c r="I91" s="215"/>
      <c r="J91" s="215"/>
      <c r="K91" s="215"/>
      <c r="L91" s="215"/>
      <c r="M91" s="215"/>
      <c r="N91" s="215"/>
      <c r="O91" s="215"/>
      <c r="P91" s="215"/>
      <c r="Q91" s="215"/>
      <c r="R91" s="215"/>
      <c r="S91" s="215"/>
      <c r="T91" s="215"/>
      <c r="U91" s="215"/>
      <c r="V91" s="215"/>
      <c r="W91" s="215"/>
      <c r="X91" s="215"/>
      <c r="Y91" s="215"/>
      <c r="Z91" s="215"/>
      <c r="AA91" s="215"/>
      <c r="AB91" s="215"/>
      <c r="AC91" s="215"/>
      <c r="AD91" s="215"/>
      <c r="AE91" s="215"/>
      <c r="AF91" s="215"/>
      <c r="AG91" s="215"/>
      <c r="AH91" s="215"/>
      <c r="AI91" s="215"/>
      <c r="AJ91" s="215"/>
      <c r="AK91" s="215"/>
      <c r="AL91" s="215"/>
      <c r="AM91" s="215"/>
      <c r="AN91" s="215"/>
      <c r="AO91" s="215"/>
      <c r="AP91" s="215"/>
      <c r="AQ91" s="215"/>
      <c r="AR91" s="215"/>
      <c r="AS91" s="215"/>
      <c r="AT91" s="215"/>
      <c r="AU91" s="215"/>
      <c r="AV91" s="215"/>
      <c r="AW91" s="215"/>
      <c r="AX91" s="215"/>
      <c r="AY91" s="215"/>
    </row>
    <row r="92">
      <c r="A92" s="77" t="s">
        <v>347</v>
      </c>
      <c r="B92" s="252" t="s">
        <v>375</v>
      </c>
      <c r="C92" s="177" t="s">
        <v>2979</v>
      </c>
      <c r="D92" s="77" t="s">
        <v>3058</v>
      </c>
      <c r="E92" s="28" t="s">
        <v>1457</v>
      </c>
      <c r="F92" s="215"/>
      <c r="G92" s="215"/>
      <c r="H92" s="215"/>
      <c r="I92" s="215"/>
      <c r="J92" s="215"/>
      <c r="K92" s="215"/>
      <c r="L92" s="215"/>
      <c r="M92" s="215"/>
      <c r="N92" s="215"/>
      <c r="O92" s="215"/>
      <c r="P92" s="215"/>
      <c r="Q92" s="215"/>
      <c r="R92" s="215"/>
      <c r="S92" s="215"/>
      <c r="T92" s="215"/>
      <c r="U92" s="215"/>
      <c r="V92" s="215"/>
      <c r="W92" s="215"/>
      <c r="X92" s="215"/>
      <c r="Y92" s="215"/>
      <c r="Z92" s="215"/>
      <c r="AA92" s="215"/>
      <c r="AB92" s="215"/>
      <c r="AC92" s="215"/>
      <c r="AD92" s="215"/>
      <c r="AE92" s="215"/>
      <c r="AF92" s="215"/>
      <c r="AG92" s="215"/>
      <c r="AH92" s="215"/>
      <c r="AI92" s="215"/>
      <c r="AJ92" s="215"/>
      <c r="AK92" s="215"/>
      <c r="AL92" s="215"/>
      <c r="AM92" s="215"/>
      <c r="AN92" s="215"/>
      <c r="AO92" s="215"/>
      <c r="AP92" s="215"/>
      <c r="AQ92" s="215"/>
      <c r="AR92" s="215"/>
      <c r="AS92" s="215"/>
      <c r="AT92" s="215"/>
      <c r="AU92" s="215"/>
      <c r="AV92" s="215"/>
      <c r="AW92" s="215"/>
      <c r="AX92" s="215"/>
      <c r="AY92" s="215"/>
    </row>
    <row r="93">
      <c r="A93" s="77" t="s">
        <v>347</v>
      </c>
      <c r="B93" s="39" t="s">
        <v>636</v>
      </c>
      <c r="C93" s="177" t="s">
        <v>2979</v>
      </c>
      <c r="D93" s="77" t="s">
        <v>3058</v>
      </c>
      <c r="E93" s="28" t="s">
        <v>1457</v>
      </c>
      <c r="F93" s="215"/>
      <c r="G93" s="215"/>
      <c r="H93" s="215"/>
      <c r="I93" s="215"/>
      <c r="J93" s="215"/>
      <c r="K93" s="215"/>
      <c r="L93" s="215"/>
      <c r="M93" s="215"/>
      <c r="N93" s="215"/>
      <c r="O93" s="215"/>
      <c r="P93" s="215"/>
      <c r="Q93" s="215"/>
      <c r="R93" s="215"/>
      <c r="S93" s="215"/>
      <c r="T93" s="215"/>
      <c r="U93" s="215"/>
      <c r="V93" s="215"/>
      <c r="W93" s="215"/>
      <c r="X93" s="215"/>
      <c r="Y93" s="215"/>
      <c r="Z93" s="215"/>
      <c r="AA93" s="215"/>
      <c r="AB93" s="215"/>
      <c r="AC93" s="215"/>
      <c r="AD93" s="215"/>
      <c r="AE93" s="215"/>
      <c r="AF93" s="215"/>
      <c r="AG93" s="215"/>
      <c r="AH93" s="215"/>
      <c r="AI93" s="215"/>
      <c r="AJ93" s="215"/>
      <c r="AK93" s="215"/>
      <c r="AL93" s="215"/>
      <c r="AM93" s="215"/>
      <c r="AN93" s="215"/>
      <c r="AO93" s="215"/>
      <c r="AP93" s="215"/>
      <c r="AQ93" s="215"/>
      <c r="AR93" s="215"/>
      <c r="AS93" s="215"/>
      <c r="AT93" s="215"/>
      <c r="AU93" s="215"/>
      <c r="AV93" s="215"/>
      <c r="AW93" s="215"/>
      <c r="AX93" s="215"/>
      <c r="AY93" s="215"/>
    </row>
    <row r="94">
      <c r="A94" s="77" t="s">
        <v>347</v>
      </c>
      <c r="B94" s="39" t="s">
        <v>644</v>
      </c>
      <c r="C94" s="177" t="s">
        <v>2979</v>
      </c>
      <c r="D94" s="89" t="s">
        <v>3060</v>
      </c>
      <c r="E94" s="28" t="s">
        <v>1457</v>
      </c>
      <c r="F94" s="215"/>
      <c r="G94" s="215"/>
      <c r="H94" s="215"/>
      <c r="I94" s="215"/>
      <c r="J94" s="215"/>
      <c r="K94" s="215"/>
      <c r="L94" s="215"/>
      <c r="M94" s="215"/>
      <c r="N94" s="215"/>
      <c r="O94" s="215"/>
      <c r="P94" s="215"/>
      <c r="Q94" s="215"/>
      <c r="R94" s="215"/>
      <c r="S94" s="215"/>
      <c r="T94" s="215"/>
      <c r="U94" s="215"/>
      <c r="V94" s="215"/>
      <c r="W94" s="215"/>
      <c r="X94" s="215"/>
      <c r="Y94" s="215"/>
      <c r="Z94" s="215"/>
      <c r="AA94" s="215"/>
      <c r="AB94" s="215"/>
      <c r="AC94" s="215"/>
      <c r="AD94" s="215"/>
      <c r="AE94" s="215"/>
      <c r="AF94" s="215"/>
      <c r="AG94" s="215"/>
      <c r="AH94" s="215"/>
      <c r="AI94" s="215"/>
      <c r="AJ94" s="215"/>
      <c r="AK94" s="215"/>
      <c r="AL94" s="215"/>
      <c r="AM94" s="215"/>
      <c r="AN94" s="215"/>
      <c r="AO94" s="215"/>
      <c r="AP94" s="215"/>
      <c r="AQ94" s="215"/>
      <c r="AR94" s="215"/>
      <c r="AS94" s="215"/>
      <c r="AT94" s="215"/>
      <c r="AU94" s="215"/>
      <c r="AV94" s="215"/>
      <c r="AW94" s="215"/>
      <c r="AX94" s="215"/>
      <c r="AY94" s="215"/>
    </row>
    <row r="95">
      <c r="A95" s="77" t="s">
        <v>347</v>
      </c>
      <c r="B95" s="39" t="s">
        <v>725</v>
      </c>
      <c r="C95" s="77" t="s">
        <v>2979</v>
      </c>
      <c r="D95" s="77" t="s">
        <v>3058</v>
      </c>
      <c r="E95" s="28" t="s">
        <v>1457</v>
      </c>
      <c r="F95" s="215"/>
      <c r="G95" s="215"/>
      <c r="H95" s="215"/>
      <c r="I95" s="215"/>
      <c r="J95" s="215"/>
      <c r="K95" s="215"/>
      <c r="L95" s="215"/>
      <c r="M95" s="215"/>
      <c r="N95" s="215"/>
      <c r="O95" s="215"/>
      <c r="P95" s="215"/>
      <c r="Q95" s="215"/>
      <c r="R95" s="215"/>
      <c r="S95" s="215"/>
      <c r="T95" s="215"/>
      <c r="U95" s="215"/>
      <c r="V95" s="215"/>
      <c r="W95" s="215"/>
      <c r="X95" s="215"/>
      <c r="Y95" s="215"/>
      <c r="Z95" s="215"/>
      <c r="AA95" s="215"/>
      <c r="AB95" s="215"/>
      <c r="AC95" s="215"/>
      <c r="AD95" s="215"/>
      <c r="AE95" s="215"/>
      <c r="AF95" s="215"/>
      <c r="AG95" s="215"/>
      <c r="AH95" s="215"/>
      <c r="AI95" s="215"/>
      <c r="AJ95" s="215"/>
      <c r="AK95" s="215"/>
      <c r="AL95" s="215"/>
      <c r="AM95" s="215"/>
      <c r="AN95" s="215"/>
      <c r="AO95" s="215"/>
      <c r="AP95" s="215"/>
      <c r="AQ95" s="215"/>
      <c r="AR95" s="215"/>
      <c r="AS95" s="215"/>
      <c r="AT95" s="215"/>
      <c r="AU95" s="215"/>
      <c r="AV95" s="215"/>
      <c r="AW95" s="215"/>
      <c r="AX95" s="215"/>
      <c r="AY95" s="215"/>
    </row>
    <row r="96">
      <c r="A96" s="77" t="s">
        <v>347</v>
      </c>
      <c r="B96" s="39" t="s">
        <v>749</v>
      </c>
      <c r="C96" s="177" t="s">
        <v>2980</v>
      </c>
      <c r="D96" s="77" t="s">
        <v>3059</v>
      </c>
      <c r="E96" s="28" t="s">
        <v>1457</v>
      </c>
      <c r="F96" s="215"/>
      <c r="G96" s="215"/>
      <c r="H96" s="215"/>
      <c r="I96" s="215"/>
      <c r="J96" s="215"/>
      <c r="K96" s="215"/>
      <c r="L96" s="215"/>
      <c r="M96" s="215"/>
      <c r="N96" s="215"/>
      <c r="O96" s="215"/>
      <c r="P96" s="215"/>
      <c r="Q96" s="215"/>
      <c r="R96" s="215"/>
      <c r="S96" s="215"/>
      <c r="T96" s="215"/>
      <c r="U96" s="215"/>
      <c r="V96" s="215"/>
      <c r="W96" s="215"/>
      <c r="X96" s="215"/>
      <c r="Y96" s="215"/>
      <c r="Z96" s="215"/>
      <c r="AA96" s="215"/>
      <c r="AB96" s="215"/>
      <c r="AC96" s="215"/>
      <c r="AD96" s="215"/>
      <c r="AE96" s="215"/>
      <c r="AF96" s="215"/>
      <c r="AG96" s="215"/>
      <c r="AH96" s="215"/>
      <c r="AI96" s="215"/>
      <c r="AJ96" s="215"/>
      <c r="AK96" s="215"/>
      <c r="AL96" s="215"/>
      <c r="AM96" s="215"/>
      <c r="AN96" s="215"/>
      <c r="AO96" s="215"/>
      <c r="AP96" s="215"/>
      <c r="AQ96" s="215"/>
      <c r="AR96" s="215"/>
      <c r="AS96" s="215"/>
      <c r="AT96" s="215"/>
      <c r="AU96" s="215"/>
      <c r="AV96" s="215"/>
      <c r="AW96" s="215"/>
      <c r="AX96" s="215"/>
      <c r="AY96" s="215"/>
    </row>
    <row r="97">
      <c r="A97" s="77" t="s">
        <v>347</v>
      </c>
      <c r="B97" s="39" t="s">
        <v>755</v>
      </c>
      <c r="C97" s="77" t="s">
        <v>2979</v>
      </c>
      <c r="D97" s="77" t="s">
        <v>3061</v>
      </c>
      <c r="E97" s="28" t="s">
        <v>1457</v>
      </c>
      <c r="F97" s="215"/>
      <c r="G97" s="215"/>
      <c r="H97" s="215"/>
      <c r="I97" s="215"/>
      <c r="J97" s="215"/>
      <c r="K97" s="215"/>
      <c r="L97" s="215"/>
      <c r="M97" s="215"/>
      <c r="N97" s="215"/>
      <c r="O97" s="215"/>
      <c r="P97" s="215"/>
      <c r="Q97" s="215"/>
      <c r="R97" s="215"/>
      <c r="S97" s="215"/>
      <c r="T97" s="215"/>
      <c r="U97" s="215"/>
      <c r="V97" s="215"/>
      <c r="W97" s="215"/>
      <c r="X97" s="215"/>
      <c r="Y97" s="215"/>
      <c r="Z97" s="215"/>
      <c r="AA97" s="215"/>
      <c r="AB97" s="215"/>
      <c r="AC97" s="215"/>
      <c r="AD97" s="215"/>
      <c r="AE97" s="215"/>
      <c r="AF97" s="215"/>
      <c r="AG97" s="215"/>
      <c r="AH97" s="215"/>
      <c r="AI97" s="215"/>
      <c r="AJ97" s="215"/>
      <c r="AK97" s="215"/>
      <c r="AL97" s="215"/>
      <c r="AM97" s="215"/>
      <c r="AN97" s="215"/>
      <c r="AO97" s="215"/>
      <c r="AP97" s="215"/>
      <c r="AQ97" s="215"/>
      <c r="AR97" s="215"/>
      <c r="AS97" s="215"/>
      <c r="AT97" s="215"/>
      <c r="AU97" s="215"/>
      <c r="AV97" s="215"/>
      <c r="AW97" s="215"/>
      <c r="AX97" s="215"/>
      <c r="AY97" s="215"/>
    </row>
    <row r="98">
      <c r="A98" s="77" t="s">
        <v>347</v>
      </c>
      <c r="B98" s="39" t="s">
        <v>693</v>
      </c>
      <c r="C98" s="77" t="s">
        <v>2979</v>
      </c>
      <c r="D98" s="77" t="s">
        <v>3062</v>
      </c>
      <c r="E98" s="28" t="s">
        <v>1457</v>
      </c>
      <c r="F98" s="215"/>
      <c r="G98" s="215"/>
      <c r="H98" s="215"/>
      <c r="I98" s="215"/>
      <c r="J98" s="215"/>
      <c r="K98" s="215"/>
      <c r="L98" s="215"/>
      <c r="M98" s="215"/>
      <c r="N98" s="215"/>
      <c r="O98" s="215"/>
      <c r="P98" s="215"/>
      <c r="Q98" s="215"/>
      <c r="R98" s="215"/>
      <c r="S98" s="215"/>
      <c r="T98" s="215"/>
      <c r="U98" s="215"/>
      <c r="V98" s="215"/>
      <c r="W98" s="215"/>
      <c r="X98" s="215"/>
      <c r="Y98" s="215"/>
      <c r="Z98" s="215"/>
      <c r="AA98" s="215"/>
      <c r="AB98" s="215"/>
      <c r="AC98" s="215"/>
      <c r="AD98" s="215"/>
      <c r="AE98" s="215"/>
      <c r="AF98" s="215"/>
      <c r="AG98" s="215"/>
      <c r="AH98" s="215"/>
      <c r="AI98" s="215"/>
      <c r="AJ98" s="215"/>
      <c r="AK98" s="215"/>
      <c r="AL98" s="215"/>
      <c r="AM98" s="215"/>
      <c r="AN98" s="215"/>
      <c r="AO98" s="215"/>
      <c r="AP98" s="215"/>
      <c r="AQ98" s="215"/>
      <c r="AR98" s="215"/>
      <c r="AS98" s="215"/>
      <c r="AT98" s="215"/>
      <c r="AU98" s="215"/>
      <c r="AV98" s="215"/>
      <c r="AW98" s="215"/>
      <c r="AX98" s="215"/>
      <c r="AY98" s="215"/>
    </row>
    <row r="99">
      <c r="A99" s="77" t="s">
        <v>347</v>
      </c>
      <c r="B99" s="26" t="s">
        <v>788</v>
      </c>
      <c r="C99" s="177" t="s">
        <v>2986</v>
      </c>
      <c r="D99" s="77" t="s">
        <v>3063</v>
      </c>
      <c r="E99" s="28" t="s">
        <v>1210</v>
      </c>
      <c r="F99" s="215"/>
      <c r="G99" s="215"/>
      <c r="H99" s="215"/>
      <c r="I99" s="215"/>
      <c r="J99" s="215"/>
      <c r="K99" s="215"/>
      <c r="L99" s="215"/>
      <c r="M99" s="215"/>
      <c r="N99" s="215"/>
      <c r="O99" s="215"/>
      <c r="P99" s="215"/>
      <c r="Q99" s="215"/>
      <c r="R99" s="215"/>
      <c r="S99" s="215"/>
      <c r="T99" s="215"/>
      <c r="U99" s="215"/>
      <c r="V99" s="215"/>
      <c r="W99" s="215"/>
      <c r="X99" s="215"/>
      <c r="Y99" s="215"/>
      <c r="Z99" s="215"/>
      <c r="AA99" s="215"/>
      <c r="AB99" s="215"/>
      <c r="AC99" s="215"/>
      <c r="AD99" s="215"/>
      <c r="AE99" s="215"/>
      <c r="AF99" s="215"/>
      <c r="AG99" s="215"/>
      <c r="AH99" s="215"/>
      <c r="AI99" s="215"/>
      <c r="AJ99" s="215"/>
      <c r="AK99" s="215"/>
      <c r="AL99" s="215"/>
      <c r="AM99" s="215"/>
      <c r="AN99" s="215"/>
      <c r="AO99" s="215"/>
      <c r="AP99" s="215"/>
      <c r="AQ99" s="215"/>
      <c r="AR99" s="215"/>
      <c r="AS99" s="215"/>
      <c r="AT99" s="215"/>
      <c r="AU99" s="215"/>
      <c r="AV99" s="215"/>
      <c r="AW99" s="215"/>
      <c r="AX99" s="215"/>
      <c r="AY99" s="215"/>
    </row>
    <row r="100">
      <c r="A100" s="77" t="s">
        <v>347</v>
      </c>
      <c r="B100" s="26" t="s">
        <v>3064</v>
      </c>
      <c r="C100" s="177" t="s">
        <v>2980</v>
      </c>
      <c r="D100" s="77" t="s">
        <v>3059</v>
      </c>
      <c r="E100" s="28" t="s">
        <v>1210</v>
      </c>
      <c r="F100" s="215"/>
      <c r="G100" s="215"/>
      <c r="H100" s="215"/>
      <c r="I100" s="215"/>
      <c r="J100" s="215"/>
      <c r="K100" s="215"/>
      <c r="L100" s="215"/>
      <c r="M100" s="215"/>
      <c r="N100" s="215"/>
      <c r="O100" s="215"/>
      <c r="P100" s="215"/>
      <c r="Q100" s="215"/>
      <c r="R100" s="215"/>
      <c r="S100" s="215"/>
      <c r="T100" s="215"/>
      <c r="U100" s="215"/>
      <c r="V100" s="215"/>
      <c r="W100" s="215"/>
      <c r="X100" s="215"/>
      <c r="Y100" s="215"/>
      <c r="Z100" s="215"/>
      <c r="AA100" s="215"/>
      <c r="AB100" s="215"/>
      <c r="AC100" s="215"/>
      <c r="AD100" s="215"/>
      <c r="AE100" s="215"/>
      <c r="AF100" s="215"/>
      <c r="AG100" s="215"/>
      <c r="AH100" s="215"/>
      <c r="AI100" s="215"/>
      <c r="AJ100" s="215"/>
      <c r="AK100" s="215"/>
      <c r="AL100" s="215"/>
      <c r="AM100" s="215"/>
      <c r="AN100" s="215"/>
      <c r="AO100" s="215"/>
      <c r="AP100" s="215"/>
      <c r="AQ100" s="215"/>
      <c r="AR100" s="215"/>
      <c r="AS100" s="215"/>
      <c r="AT100" s="215"/>
      <c r="AU100" s="215"/>
      <c r="AV100" s="215"/>
      <c r="AW100" s="215"/>
      <c r="AX100" s="215"/>
      <c r="AY100" s="215"/>
    </row>
    <row r="101">
      <c r="A101" s="77" t="s">
        <v>261</v>
      </c>
      <c r="B101" s="177" t="s">
        <v>3065</v>
      </c>
      <c r="C101" s="77" t="s">
        <v>2979</v>
      </c>
      <c r="D101" s="177" t="s">
        <v>3066</v>
      </c>
      <c r="E101" s="28" t="s">
        <v>1210</v>
      </c>
      <c r="F101" s="175"/>
      <c r="G101" s="175"/>
      <c r="H101" s="175"/>
      <c r="I101" s="286"/>
      <c r="J101" s="175"/>
      <c r="K101" s="175"/>
      <c r="L101" s="175"/>
      <c r="M101" s="175"/>
      <c r="N101" s="175"/>
      <c r="O101" s="175"/>
      <c r="P101" s="286"/>
      <c r="Q101" s="286"/>
      <c r="R101" s="286"/>
      <c r="S101" s="175"/>
      <c r="T101" s="175"/>
      <c r="U101" s="175"/>
      <c r="V101" s="175"/>
      <c r="W101" s="175"/>
      <c r="X101" s="175"/>
      <c r="Y101" s="175"/>
      <c r="Z101" s="175"/>
      <c r="AA101" s="175"/>
      <c r="AB101" s="175"/>
      <c r="AC101" s="175"/>
      <c r="AD101" s="175"/>
      <c r="AE101" s="175"/>
      <c r="AF101" s="175"/>
      <c r="AG101" s="215"/>
      <c r="AH101" s="215"/>
      <c r="AI101" s="215"/>
      <c r="AJ101" s="215"/>
      <c r="AK101" s="215"/>
      <c r="AL101" s="215"/>
      <c r="AM101" s="215"/>
      <c r="AN101" s="215"/>
      <c r="AO101" s="215"/>
      <c r="AP101" s="215"/>
      <c r="AQ101" s="215"/>
      <c r="AR101" s="215"/>
      <c r="AS101" s="215"/>
      <c r="AT101" s="215"/>
      <c r="AU101" s="215"/>
      <c r="AV101" s="215"/>
      <c r="AW101" s="215"/>
      <c r="AX101" s="215"/>
      <c r="AY101" s="215"/>
    </row>
    <row r="102">
      <c r="A102" s="77" t="s">
        <v>261</v>
      </c>
      <c r="B102" s="177" t="s">
        <v>3067</v>
      </c>
      <c r="C102" s="77" t="s">
        <v>2979</v>
      </c>
      <c r="D102" s="177" t="s">
        <v>3068</v>
      </c>
      <c r="E102" s="28" t="s">
        <v>1210</v>
      </c>
      <c r="F102" s="175"/>
      <c r="G102" s="175"/>
      <c r="H102" s="175"/>
      <c r="I102" s="286"/>
      <c r="J102" s="175"/>
      <c r="K102" s="175"/>
      <c r="L102" s="175"/>
      <c r="M102" s="175"/>
      <c r="N102" s="175"/>
      <c r="O102" s="175"/>
      <c r="P102" s="286"/>
      <c r="Q102" s="286"/>
      <c r="R102" s="286"/>
      <c r="S102" s="175"/>
      <c r="T102" s="175"/>
      <c r="U102" s="175"/>
      <c r="V102" s="175"/>
      <c r="W102" s="175"/>
      <c r="X102" s="175"/>
      <c r="Y102" s="175"/>
      <c r="Z102" s="175"/>
      <c r="AA102" s="175"/>
      <c r="AB102" s="175"/>
      <c r="AC102" s="175"/>
      <c r="AD102" s="175"/>
      <c r="AE102" s="175"/>
      <c r="AF102" s="175"/>
      <c r="AG102" s="215"/>
      <c r="AH102" s="215"/>
      <c r="AI102" s="215"/>
      <c r="AJ102" s="215"/>
      <c r="AK102" s="215"/>
      <c r="AL102" s="215"/>
      <c r="AM102" s="215"/>
      <c r="AN102" s="215"/>
      <c r="AO102" s="215"/>
      <c r="AP102" s="215"/>
      <c r="AQ102" s="215"/>
      <c r="AR102" s="215"/>
      <c r="AS102" s="215"/>
      <c r="AT102" s="215"/>
      <c r="AU102" s="215"/>
      <c r="AV102" s="215"/>
      <c r="AW102" s="215"/>
      <c r="AX102" s="215"/>
      <c r="AY102" s="215"/>
    </row>
    <row r="103">
      <c r="A103" s="77" t="s">
        <v>261</v>
      </c>
      <c r="B103" s="177" t="s">
        <v>3069</v>
      </c>
      <c r="C103" s="77" t="s">
        <v>2979</v>
      </c>
      <c r="D103" s="177" t="s">
        <v>3038</v>
      </c>
      <c r="E103" s="28" t="s">
        <v>1210</v>
      </c>
      <c r="F103" s="175"/>
      <c r="G103" s="175"/>
      <c r="H103" s="175"/>
      <c r="I103" s="286"/>
      <c r="J103" s="175"/>
      <c r="K103" s="175"/>
      <c r="L103" s="175"/>
      <c r="M103" s="175"/>
      <c r="N103" s="175"/>
      <c r="O103" s="175"/>
      <c r="P103" s="286"/>
      <c r="Q103" s="286"/>
      <c r="R103" s="286"/>
      <c r="S103" s="175"/>
      <c r="T103" s="175"/>
      <c r="U103" s="175"/>
      <c r="V103" s="175"/>
      <c r="W103" s="175"/>
      <c r="X103" s="175"/>
      <c r="Y103" s="175"/>
      <c r="Z103" s="175"/>
      <c r="AA103" s="175"/>
      <c r="AB103" s="175"/>
      <c r="AC103" s="175"/>
      <c r="AD103" s="175"/>
      <c r="AE103" s="175"/>
      <c r="AF103" s="175"/>
      <c r="AG103" s="215"/>
      <c r="AH103" s="215"/>
      <c r="AI103" s="215"/>
      <c r="AJ103" s="215"/>
      <c r="AK103" s="215"/>
      <c r="AL103" s="215"/>
      <c r="AM103" s="215"/>
      <c r="AN103" s="215"/>
      <c r="AO103" s="215"/>
      <c r="AP103" s="215"/>
      <c r="AQ103" s="215"/>
      <c r="AR103" s="215"/>
      <c r="AS103" s="215"/>
      <c r="AT103" s="215"/>
      <c r="AU103" s="215"/>
      <c r="AV103" s="215"/>
      <c r="AW103" s="215"/>
      <c r="AX103" s="215"/>
      <c r="AY103" s="215"/>
    </row>
    <row r="104">
      <c r="A104" s="77" t="s">
        <v>261</v>
      </c>
      <c r="B104" s="177" t="s">
        <v>3070</v>
      </c>
      <c r="C104" s="77" t="s">
        <v>2979</v>
      </c>
      <c r="D104" s="177" t="s">
        <v>3071</v>
      </c>
      <c r="E104" s="28" t="s">
        <v>1210</v>
      </c>
      <c r="F104" s="175"/>
      <c r="G104" s="175"/>
      <c r="H104" s="175"/>
      <c r="I104" s="286"/>
      <c r="J104" s="175"/>
      <c r="K104" s="175"/>
      <c r="L104" s="175"/>
      <c r="M104" s="175"/>
      <c r="N104" s="175"/>
      <c r="O104" s="175"/>
      <c r="P104" s="286"/>
      <c r="Q104" s="286"/>
      <c r="R104" s="286"/>
      <c r="S104" s="175"/>
      <c r="T104" s="175"/>
      <c r="U104" s="175"/>
      <c r="V104" s="175"/>
      <c r="W104" s="175"/>
      <c r="X104" s="175"/>
      <c r="Y104" s="175"/>
      <c r="Z104" s="175"/>
      <c r="AA104" s="175"/>
      <c r="AB104" s="175"/>
      <c r="AC104" s="175"/>
      <c r="AD104" s="175"/>
      <c r="AE104" s="175"/>
      <c r="AF104" s="175"/>
      <c r="AG104" s="215"/>
      <c r="AH104" s="215"/>
      <c r="AI104" s="215"/>
      <c r="AJ104" s="215"/>
      <c r="AK104" s="215"/>
      <c r="AL104" s="215"/>
      <c r="AM104" s="215"/>
      <c r="AN104" s="215"/>
      <c r="AO104" s="215"/>
      <c r="AP104" s="215"/>
      <c r="AQ104" s="215"/>
      <c r="AR104" s="215"/>
      <c r="AS104" s="215"/>
      <c r="AT104" s="215"/>
      <c r="AU104" s="215"/>
      <c r="AV104" s="215"/>
      <c r="AW104" s="215"/>
      <c r="AX104" s="215"/>
      <c r="AY104" s="215"/>
    </row>
    <row r="105">
      <c r="A105" s="77" t="s">
        <v>261</v>
      </c>
      <c r="B105" s="177" t="s">
        <v>3072</v>
      </c>
      <c r="C105" s="77" t="s">
        <v>2979</v>
      </c>
      <c r="D105" s="177" t="s">
        <v>3073</v>
      </c>
      <c r="E105" s="28" t="s">
        <v>1210</v>
      </c>
      <c r="F105" s="175"/>
      <c r="G105" s="175"/>
      <c r="H105" s="175"/>
      <c r="I105" s="286"/>
      <c r="J105" s="175"/>
      <c r="K105" s="175"/>
      <c r="L105" s="175"/>
      <c r="M105" s="175"/>
      <c r="N105" s="175"/>
      <c r="O105" s="175"/>
      <c r="P105" s="286"/>
      <c r="Q105" s="286"/>
      <c r="R105" s="286"/>
      <c r="S105" s="175"/>
      <c r="T105" s="175"/>
      <c r="U105" s="175"/>
      <c r="V105" s="175"/>
      <c r="W105" s="175"/>
      <c r="X105" s="175"/>
      <c r="Y105" s="175"/>
      <c r="Z105" s="175"/>
      <c r="AA105" s="175"/>
      <c r="AB105" s="175"/>
      <c r="AC105" s="175"/>
      <c r="AD105" s="175"/>
      <c r="AE105" s="175"/>
      <c r="AF105" s="175"/>
      <c r="AG105" s="215"/>
      <c r="AH105" s="215"/>
      <c r="AI105" s="215"/>
      <c r="AJ105" s="215"/>
      <c r="AK105" s="215"/>
      <c r="AL105" s="215"/>
      <c r="AM105" s="215"/>
      <c r="AN105" s="215"/>
      <c r="AO105" s="215"/>
      <c r="AP105" s="215"/>
      <c r="AQ105" s="215"/>
      <c r="AR105" s="215"/>
      <c r="AS105" s="215"/>
      <c r="AT105" s="215"/>
      <c r="AU105" s="215"/>
      <c r="AV105" s="215"/>
      <c r="AW105" s="215"/>
      <c r="AX105" s="215"/>
      <c r="AY105" s="215"/>
    </row>
    <row r="106">
      <c r="A106" s="77" t="s">
        <v>261</v>
      </c>
      <c r="B106" s="177" t="s">
        <v>3074</v>
      </c>
      <c r="C106" s="77" t="s">
        <v>2979</v>
      </c>
      <c r="D106" s="177" t="s">
        <v>3075</v>
      </c>
      <c r="E106" s="28" t="s">
        <v>1210</v>
      </c>
      <c r="F106" s="175"/>
      <c r="G106" s="175"/>
      <c r="H106" s="175"/>
      <c r="I106" s="286"/>
      <c r="J106" s="175"/>
      <c r="K106" s="175"/>
      <c r="L106" s="175"/>
      <c r="M106" s="175"/>
      <c r="N106" s="175"/>
      <c r="O106" s="175"/>
      <c r="P106" s="286"/>
      <c r="Q106" s="286"/>
      <c r="R106" s="286"/>
      <c r="S106" s="175"/>
      <c r="T106" s="175"/>
      <c r="U106" s="175"/>
      <c r="V106" s="175"/>
      <c r="W106" s="175"/>
      <c r="X106" s="175"/>
      <c r="Y106" s="175"/>
      <c r="Z106" s="175"/>
      <c r="AA106" s="175"/>
      <c r="AB106" s="175"/>
      <c r="AC106" s="175"/>
      <c r="AD106" s="175"/>
      <c r="AE106" s="175"/>
      <c r="AF106" s="175"/>
      <c r="AG106" s="215"/>
      <c r="AH106" s="215"/>
      <c r="AI106" s="215"/>
      <c r="AJ106" s="215"/>
      <c r="AK106" s="215"/>
      <c r="AL106" s="215"/>
      <c r="AM106" s="215"/>
      <c r="AN106" s="215"/>
      <c r="AO106" s="215"/>
      <c r="AP106" s="215"/>
      <c r="AQ106" s="215"/>
      <c r="AR106" s="215"/>
      <c r="AS106" s="215"/>
      <c r="AT106" s="215"/>
      <c r="AU106" s="215"/>
      <c r="AV106" s="215"/>
      <c r="AW106" s="215"/>
      <c r="AX106" s="215"/>
      <c r="AY106" s="215"/>
    </row>
    <row r="107">
      <c r="A107" s="77" t="s">
        <v>261</v>
      </c>
      <c r="B107" s="177" t="s">
        <v>3076</v>
      </c>
      <c r="C107" s="77" t="s">
        <v>2979</v>
      </c>
      <c r="D107" s="177" t="s">
        <v>3077</v>
      </c>
      <c r="E107" s="28" t="s">
        <v>1210</v>
      </c>
      <c r="F107" s="175"/>
      <c r="G107" s="175"/>
      <c r="H107" s="175"/>
      <c r="I107" s="286"/>
      <c r="J107" s="175"/>
      <c r="K107" s="175"/>
      <c r="L107" s="175"/>
      <c r="M107" s="175"/>
      <c r="N107" s="175"/>
      <c r="O107" s="175"/>
      <c r="P107" s="286"/>
      <c r="Q107" s="286"/>
      <c r="R107" s="286"/>
      <c r="S107" s="175"/>
      <c r="T107" s="175"/>
      <c r="U107" s="175"/>
      <c r="V107" s="175"/>
      <c r="W107" s="175"/>
      <c r="X107" s="175"/>
      <c r="Y107" s="175"/>
      <c r="Z107" s="175"/>
      <c r="AA107" s="175"/>
      <c r="AB107" s="175"/>
      <c r="AC107" s="175"/>
      <c r="AD107" s="175"/>
      <c r="AE107" s="175"/>
      <c r="AF107" s="175"/>
      <c r="AG107" s="215"/>
      <c r="AH107" s="215"/>
      <c r="AI107" s="215"/>
      <c r="AJ107" s="215"/>
      <c r="AK107" s="215"/>
      <c r="AL107" s="215"/>
      <c r="AM107" s="215"/>
      <c r="AN107" s="215"/>
      <c r="AO107" s="215"/>
      <c r="AP107" s="215"/>
      <c r="AQ107" s="215"/>
      <c r="AR107" s="215"/>
      <c r="AS107" s="215"/>
      <c r="AT107" s="215"/>
      <c r="AU107" s="215"/>
      <c r="AV107" s="215"/>
      <c r="AW107" s="215"/>
      <c r="AX107" s="215"/>
      <c r="AY107" s="215"/>
    </row>
    <row r="108">
      <c r="A108" s="77" t="s">
        <v>261</v>
      </c>
      <c r="B108" s="177" t="s">
        <v>3078</v>
      </c>
      <c r="C108" s="77" t="s">
        <v>2979</v>
      </c>
      <c r="D108" s="177" t="s">
        <v>3079</v>
      </c>
      <c r="E108" s="28" t="s">
        <v>1210</v>
      </c>
      <c r="F108" s="175"/>
      <c r="G108" s="175"/>
      <c r="H108" s="175"/>
      <c r="I108" s="286"/>
      <c r="J108" s="175"/>
      <c r="K108" s="286"/>
      <c r="L108" s="175"/>
      <c r="M108" s="175"/>
      <c r="N108" s="175"/>
      <c r="O108" s="175"/>
      <c r="P108" s="286"/>
      <c r="Q108" s="175"/>
      <c r="R108" s="286"/>
      <c r="S108" s="175"/>
      <c r="T108" s="175"/>
      <c r="U108" s="175"/>
      <c r="V108" s="175"/>
      <c r="W108" s="175"/>
      <c r="X108" s="175"/>
      <c r="Y108" s="175"/>
      <c r="Z108" s="175"/>
      <c r="AA108" s="175"/>
      <c r="AB108" s="175"/>
      <c r="AC108" s="175"/>
      <c r="AD108" s="175"/>
      <c r="AE108" s="175"/>
      <c r="AF108" s="175"/>
      <c r="AG108" s="215"/>
      <c r="AH108" s="215"/>
      <c r="AI108" s="215"/>
      <c r="AJ108" s="215"/>
      <c r="AK108" s="215"/>
      <c r="AL108" s="215"/>
      <c r="AM108" s="215"/>
      <c r="AN108" s="215"/>
      <c r="AO108" s="215"/>
      <c r="AP108" s="215"/>
      <c r="AQ108" s="215"/>
      <c r="AR108" s="215"/>
      <c r="AS108" s="215"/>
      <c r="AT108" s="215"/>
      <c r="AU108" s="215"/>
      <c r="AV108" s="215"/>
      <c r="AW108" s="215"/>
      <c r="AX108" s="215"/>
      <c r="AY108" s="215"/>
    </row>
    <row r="109">
      <c r="A109" s="77" t="s">
        <v>93</v>
      </c>
      <c r="B109" s="77" t="s">
        <v>3080</v>
      </c>
      <c r="C109" s="77" t="s">
        <v>2979</v>
      </c>
      <c r="D109" s="177" t="s">
        <v>3038</v>
      </c>
      <c r="E109" s="28" t="s">
        <v>1210</v>
      </c>
      <c r="F109" s="215"/>
      <c r="G109" s="215"/>
      <c r="H109" s="215"/>
      <c r="I109" s="215"/>
      <c r="J109" s="215"/>
      <c r="K109" s="215"/>
      <c r="L109" s="215"/>
      <c r="M109" s="215"/>
      <c r="N109" s="215"/>
      <c r="O109" s="215"/>
      <c r="P109" s="215"/>
      <c r="Q109" s="215"/>
      <c r="R109" s="215"/>
      <c r="S109" s="215"/>
      <c r="T109" s="215"/>
      <c r="U109" s="215"/>
      <c r="V109" s="215"/>
      <c r="W109" s="215"/>
      <c r="X109" s="215"/>
      <c r="Y109" s="215"/>
      <c r="Z109" s="215"/>
      <c r="AA109" s="215"/>
      <c r="AB109" s="215"/>
      <c r="AC109" s="215"/>
      <c r="AD109" s="215"/>
      <c r="AE109" s="215"/>
      <c r="AF109" s="215"/>
      <c r="AG109" s="215"/>
      <c r="AH109" s="215"/>
      <c r="AI109" s="215"/>
      <c r="AJ109" s="215"/>
      <c r="AK109" s="215"/>
      <c r="AL109" s="215"/>
      <c r="AM109" s="215"/>
      <c r="AN109" s="215"/>
      <c r="AO109" s="215"/>
      <c r="AP109" s="215"/>
      <c r="AQ109" s="215"/>
      <c r="AR109" s="215"/>
      <c r="AS109" s="215"/>
      <c r="AT109" s="215"/>
      <c r="AU109" s="215"/>
      <c r="AV109" s="215"/>
      <c r="AW109" s="215"/>
      <c r="AX109" s="215"/>
      <c r="AY109" s="215"/>
    </row>
    <row r="110">
      <c r="A110" s="77" t="s">
        <v>93</v>
      </c>
      <c r="B110" s="77" t="s">
        <v>3081</v>
      </c>
      <c r="C110" s="77" t="s">
        <v>2979</v>
      </c>
      <c r="D110" s="177" t="s">
        <v>3038</v>
      </c>
      <c r="E110" s="28" t="s">
        <v>1210</v>
      </c>
      <c r="F110" s="215"/>
      <c r="G110" s="215"/>
      <c r="H110" s="215"/>
      <c r="I110" s="215"/>
      <c r="J110" s="215"/>
      <c r="K110" s="215"/>
      <c r="L110" s="215"/>
      <c r="M110" s="215"/>
      <c r="N110" s="215"/>
      <c r="O110" s="215"/>
      <c r="P110" s="215"/>
      <c r="Q110" s="215"/>
      <c r="R110" s="215"/>
      <c r="S110" s="215"/>
      <c r="T110" s="215"/>
      <c r="U110" s="215"/>
      <c r="V110" s="215"/>
      <c r="W110" s="215"/>
      <c r="X110" s="215"/>
      <c r="Y110" s="215"/>
      <c r="Z110" s="215"/>
      <c r="AA110" s="215"/>
      <c r="AB110" s="215"/>
      <c r="AC110" s="215"/>
      <c r="AD110" s="215"/>
      <c r="AE110" s="215"/>
      <c r="AF110" s="215"/>
      <c r="AG110" s="215"/>
      <c r="AH110" s="215"/>
      <c r="AI110" s="215"/>
      <c r="AJ110" s="215"/>
      <c r="AK110" s="215"/>
      <c r="AL110" s="215"/>
      <c r="AM110" s="215"/>
      <c r="AN110" s="215"/>
      <c r="AO110" s="215"/>
      <c r="AP110" s="215"/>
      <c r="AQ110" s="215"/>
      <c r="AR110" s="215"/>
      <c r="AS110" s="215"/>
      <c r="AT110" s="215"/>
      <c r="AU110" s="215"/>
      <c r="AV110" s="215"/>
      <c r="AW110" s="215"/>
      <c r="AX110" s="215"/>
      <c r="AY110" s="215"/>
    </row>
    <row r="111">
      <c r="A111" s="77" t="s">
        <v>93</v>
      </c>
      <c r="B111" s="77" t="s">
        <v>3082</v>
      </c>
      <c r="C111" s="77" t="s">
        <v>2979</v>
      </c>
      <c r="D111" s="177" t="s">
        <v>3038</v>
      </c>
      <c r="E111" s="28" t="s">
        <v>1210</v>
      </c>
      <c r="F111" s="215"/>
      <c r="G111" s="215"/>
      <c r="H111" s="215"/>
      <c r="I111" s="215"/>
      <c r="J111" s="215"/>
      <c r="K111" s="215"/>
      <c r="L111" s="215"/>
      <c r="M111" s="215"/>
      <c r="N111" s="215"/>
      <c r="O111" s="215"/>
      <c r="P111" s="215"/>
      <c r="Q111" s="215"/>
      <c r="R111" s="215"/>
      <c r="S111" s="215"/>
      <c r="T111" s="215"/>
      <c r="U111" s="215"/>
      <c r="V111" s="215"/>
      <c r="W111" s="215"/>
      <c r="X111" s="215"/>
      <c r="Y111" s="215"/>
      <c r="Z111" s="215"/>
      <c r="AA111" s="215"/>
      <c r="AB111" s="215"/>
      <c r="AC111" s="215"/>
      <c r="AD111" s="215"/>
      <c r="AE111" s="215"/>
      <c r="AF111" s="215"/>
      <c r="AG111" s="215"/>
      <c r="AH111" s="215"/>
      <c r="AI111" s="215"/>
      <c r="AJ111" s="215"/>
      <c r="AK111" s="215"/>
      <c r="AL111" s="215"/>
      <c r="AM111" s="215"/>
      <c r="AN111" s="215"/>
      <c r="AO111" s="215"/>
      <c r="AP111" s="215"/>
      <c r="AQ111" s="215"/>
      <c r="AR111" s="215"/>
      <c r="AS111" s="215"/>
      <c r="AT111" s="215"/>
      <c r="AU111" s="215"/>
      <c r="AV111" s="215"/>
      <c r="AW111" s="215"/>
      <c r="AX111" s="215"/>
      <c r="AY111" s="215"/>
    </row>
    <row r="112">
      <c r="A112" s="77" t="s">
        <v>93</v>
      </c>
      <c r="B112" s="77" t="s">
        <v>3083</v>
      </c>
      <c r="C112" s="77" t="s">
        <v>2979</v>
      </c>
      <c r="D112" s="177" t="s">
        <v>3038</v>
      </c>
      <c r="E112" s="28" t="s">
        <v>1210</v>
      </c>
      <c r="F112" s="215"/>
      <c r="G112" s="215"/>
      <c r="H112" s="215"/>
      <c r="I112" s="215"/>
      <c r="J112" s="215"/>
      <c r="K112" s="215"/>
      <c r="L112" s="215"/>
      <c r="M112" s="215"/>
      <c r="N112" s="215"/>
      <c r="O112" s="215"/>
      <c r="P112" s="215"/>
      <c r="Q112" s="215"/>
      <c r="R112" s="215"/>
      <c r="S112" s="215"/>
      <c r="T112" s="215"/>
      <c r="U112" s="215"/>
      <c r="V112" s="215"/>
      <c r="W112" s="215"/>
      <c r="X112" s="215"/>
      <c r="Y112" s="215"/>
      <c r="Z112" s="215"/>
      <c r="AA112" s="215"/>
      <c r="AB112" s="215"/>
      <c r="AC112" s="215"/>
      <c r="AD112" s="215"/>
      <c r="AE112" s="215"/>
      <c r="AF112" s="215"/>
      <c r="AG112" s="215"/>
      <c r="AH112" s="215"/>
      <c r="AI112" s="215"/>
      <c r="AJ112" s="215"/>
      <c r="AK112" s="215"/>
      <c r="AL112" s="215"/>
      <c r="AM112" s="215"/>
      <c r="AN112" s="215"/>
      <c r="AO112" s="215"/>
      <c r="AP112" s="215"/>
      <c r="AQ112" s="215"/>
      <c r="AR112" s="215"/>
      <c r="AS112" s="215"/>
      <c r="AT112" s="215"/>
      <c r="AU112" s="215"/>
      <c r="AV112" s="215"/>
      <c r="AW112" s="215"/>
      <c r="AX112" s="215"/>
      <c r="AY112" s="215"/>
    </row>
    <row r="113">
      <c r="A113" s="77" t="s">
        <v>93</v>
      </c>
      <c r="B113" s="77" t="s">
        <v>3084</v>
      </c>
      <c r="C113" s="77" t="s">
        <v>2979</v>
      </c>
      <c r="D113" s="177" t="s">
        <v>3038</v>
      </c>
      <c r="E113" s="28" t="s">
        <v>1210</v>
      </c>
      <c r="F113" s="215"/>
      <c r="G113" s="215"/>
      <c r="H113" s="215"/>
      <c r="I113" s="215"/>
      <c r="J113" s="215"/>
      <c r="K113" s="215"/>
      <c r="L113" s="215"/>
      <c r="M113" s="215"/>
      <c r="N113" s="215"/>
      <c r="O113" s="215"/>
      <c r="P113" s="215"/>
      <c r="Q113" s="215"/>
      <c r="R113" s="215"/>
      <c r="S113" s="215"/>
      <c r="T113" s="215"/>
      <c r="U113" s="215"/>
      <c r="V113" s="215"/>
      <c r="W113" s="215"/>
      <c r="X113" s="215"/>
      <c r="Y113" s="215"/>
      <c r="Z113" s="215"/>
      <c r="AA113" s="215"/>
      <c r="AB113" s="215"/>
      <c r="AC113" s="215"/>
      <c r="AD113" s="215"/>
      <c r="AE113" s="215"/>
      <c r="AF113" s="215"/>
      <c r="AG113" s="215"/>
      <c r="AH113" s="215"/>
      <c r="AI113" s="215"/>
      <c r="AJ113" s="215"/>
      <c r="AK113" s="215"/>
      <c r="AL113" s="215"/>
      <c r="AM113" s="215"/>
      <c r="AN113" s="215"/>
      <c r="AO113" s="215"/>
      <c r="AP113" s="215"/>
      <c r="AQ113" s="215"/>
      <c r="AR113" s="215"/>
      <c r="AS113" s="215"/>
      <c r="AT113" s="215"/>
      <c r="AU113" s="215"/>
      <c r="AV113" s="215"/>
      <c r="AW113" s="215"/>
      <c r="AX113" s="215"/>
      <c r="AY113" s="215"/>
    </row>
    <row r="114">
      <c r="A114" s="77" t="s">
        <v>93</v>
      </c>
      <c r="B114" s="77" t="s">
        <v>3085</v>
      </c>
      <c r="C114" s="77" t="s">
        <v>2979</v>
      </c>
      <c r="D114" s="177" t="s">
        <v>3038</v>
      </c>
      <c r="E114" s="28" t="s">
        <v>1210</v>
      </c>
      <c r="F114" s="215"/>
      <c r="G114" s="215"/>
      <c r="H114" s="215"/>
      <c r="I114" s="215"/>
      <c r="J114" s="215"/>
      <c r="K114" s="215"/>
      <c r="L114" s="215"/>
      <c r="M114" s="215"/>
      <c r="N114" s="215"/>
      <c r="O114" s="215"/>
      <c r="P114" s="215"/>
      <c r="Q114" s="215"/>
      <c r="R114" s="215"/>
      <c r="S114" s="215"/>
      <c r="T114" s="215"/>
      <c r="U114" s="215"/>
      <c r="V114" s="215"/>
      <c r="W114" s="215"/>
      <c r="X114" s="215"/>
      <c r="Y114" s="215"/>
      <c r="Z114" s="215"/>
      <c r="AA114" s="215"/>
      <c r="AB114" s="215"/>
      <c r="AC114" s="215"/>
      <c r="AD114" s="215"/>
      <c r="AE114" s="215"/>
      <c r="AF114" s="215"/>
      <c r="AG114" s="215"/>
      <c r="AH114" s="215"/>
      <c r="AI114" s="215"/>
      <c r="AJ114" s="215"/>
      <c r="AK114" s="215"/>
      <c r="AL114" s="215"/>
      <c r="AM114" s="215"/>
      <c r="AN114" s="215"/>
      <c r="AO114" s="215"/>
      <c r="AP114" s="215"/>
      <c r="AQ114" s="215"/>
      <c r="AR114" s="215"/>
      <c r="AS114" s="215"/>
      <c r="AT114" s="215"/>
      <c r="AU114" s="215"/>
      <c r="AV114" s="215"/>
      <c r="AW114" s="215"/>
      <c r="AX114" s="215"/>
      <c r="AY114" s="215"/>
    </row>
    <row r="115">
      <c r="A115" s="77" t="s">
        <v>93</v>
      </c>
      <c r="B115" s="77" t="s">
        <v>1407</v>
      </c>
      <c r="C115" s="77" t="s">
        <v>2979</v>
      </c>
      <c r="D115" s="177" t="s">
        <v>3038</v>
      </c>
      <c r="E115" s="28" t="s">
        <v>1210</v>
      </c>
      <c r="F115" s="215"/>
      <c r="G115" s="215"/>
      <c r="H115" s="215"/>
      <c r="I115" s="215"/>
      <c r="J115" s="215"/>
      <c r="K115" s="215"/>
      <c r="L115" s="215"/>
      <c r="M115" s="215"/>
      <c r="N115" s="215"/>
      <c r="O115" s="215"/>
      <c r="P115" s="215"/>
      <c r="Q115" s="215"/>
      <c r="R115" s="215"/>
      <c r="S115" s="215"/>
      <c r="T115" s="215"/>
      <c r="U115" s="215"/>
      <c r="V115" s="215"/>
      <c r="W115" s="215"/>
      <c r="X115" s="215"/>
      <c r="Y115" s="215"/>
      <c r="Z115" s="215"/>
      <c r="AA115" s="215"/>
      <c r="AB115" s="215"/>
      <c r="AC115" s="215"/>
      <c r="AD115" s="215"/>
      <c r="AE115" s="215"/>
      <c r="AF115" s="215"/>
      <c r="AG115" s="215"/>
      <c r="AH115" s="215"/>
      <c r="AI115" s="215"/>
      <c r="AJ115" s="215"/>
      <c r="AK115" s="215"/>
      <c r="AL115" s="215"/>
      <c r="AM115" s="215"/>
      <c r="AN115" s="215"/>
      <c r="AO115" s="215"/>
      <c r="AP115" s="215"/>
      <c r="AQ115" s="215"/>
      <c r="AR115" s="215"/>
      <c r="AS115" s="215"/>
      <c r="AT115" s="215"/>
      <c r="AU115" s="215"/>
      <c r="AV115" s="215"/>
      <c r="AW115" s="215"/>
      <c r="AX115" s="215"/>
      <c r="AY115" s="215"/>
    </row>
    <row r="116">
      <c r="A116" s="77" t="s">
        <v>93</v>
      </c>
      <c r="B116" s="77" t="s">
        <v>3086</v>
      </c>
      <c r="C116" s="77" t="s">
        <v>2979</v>
      </c>
      <c r="D116" s="177" t="s">
        <v>3038</v>
      </c>
      <c r="E116" s="28" t="s">
        <v>1210</v>
      </c>
      <c r="F116" s="215"/>
      <c r="G116" s="215"/>
      <c r="H116" s="215"/>
      <c r="I116" s="215"/>
      <c r="J116" s="215"/>
      <c r="K116" s="215"/>
      <c r="L116" s="215"/>
      <c r="M116" s="215"/>
      <c r="N116" s="215"/>
      <c r="O116" s="215"/>
      <c r="P116" s="215"/>
      <c r="Q116" s="215"/>
      <c r="R116" s="215"/>
      <c r="S116" s="215"/>
      <c r="T116" s="215"/>
      <c r="U116" s="215"/>
      <c r="V116" s="215"/>
      <c r="W116" s="215"/>
      <c r="X116" s="215"/>
      <c r="Y116" s="215"/>
      <c r="Z116" s="215"/>
      <c r="AA116" s="215"/>
      <c r="AB116" s="215"/>
      <c r="AC116" s="215"/>
      <c r="AD116" s="215"/>
      <c r="AE116" s="215"/>
      <c r="AF116" s="215"/>
      <c r="AG116" s="215"/>
      <c r="AH116" s="215"/>
      <c r="AI116" s="215"/>
      <c r="AJ116" s="215"/>
      <c r="AK116" s="215"/>
      <c r="AL116" s="215"/>
      <c r="AM116" s="215"/>
      <c r="AN116" s="215"/>
      <c r="AO116" s="215"/>
      <c r="AP116" s="215"/>
      <c r="AQ116" s="215"/>
      <c r="AR116" s="215"/>
      <c r="AS116" s="215"/>
      <c r="AT116" s="215"/>
      <c r="AU116" s="215"/>
      <c r="AV116" s="215"/>
      <c r="AW116" s="215"/>
      <c r="AX116" s="215"/>
      <c r="AY116" s="215"/>
    </row>
    <row r="117">
      <c r="A117" s="77" t="s">
        <v>93</v>
      </c>
      <c r="B117" s="77" t="s">
        <v>3087</v>
      </c>
      <c r="C117" s="77" t="s">
        <v>2979</v>
      </c>
      <c r="D117" s="177" t="s">
        <v>3038</v>
      </c>
      <c r="E117" s="28" t="s">
        <v>1210</v>
      </c>
      <c r="F117" s="215"/>
      <c r="G117" s="215"/>
      <c r="H117" s="215"/>
      <c r="I117" s="215"/>
      <c r="J117" s="215"/>
      <c r="K117" s="215"/>
      <c r="L117" s="215"/>
      <c r="M117" s="215"/>
      <c r="N117" s="215"/>
      <c r="O117" s="215"/>
      <c r="P117" s="215"/>
      <c r="Q117" s="215"/>
      <c r="R117" s="215"/>
      <c r="S117" s="215"/>
      <c r="T117" s="215"/>
      <c r="U117" s="215"/>
      <c r="V117" s="215"/>
      <c r="W117" s="215"/>
      <c r="X117" s="215"/>
      <c r="Y117" s="215"/>
      <c r="Z117" s="215"/>
      <c r="AA117" s="215"/>
      <c r="AB117" s="215"/>
      <c r="AC117" s="215"/>
      <c r="AD117" s="215"/>
      <c r="AE117" s="215"/>
      <c r="AF117" s="215"/>
      <c r="AG117" s="215"/>
      <c r="AH117" s="215"/>
      <c r="AI117" s="215"/>
      <c r="AJ117" s="215"/>
      <c r="AK117" s="215"/>
      <c r="AL117" s="215"/>
      <c r="AM117" s="215"/>
      <c r="AN117" s="215"/>
      <c r="AO117" s="215"/>
      <c r="AP117" s="215"/>
      <c r="AQ117" s="215"/>
      <c r="AR117" s="215"/>
      <c r="AS117" s="215"/>
      <c r="AT117" s="215"/>
      <c r="AU117" s="215"/>
      <c r="AV117" s="215"/>
      <c r="AW117" s="215"/>
      <c r="AX117" s="215"/>
      <c r="AY117" s="215"/>
    </row>
    <row r="118">
      <c r="A118" s="77" t="s">
        <v>93</v>
      </c>
      <c r="B118" s="77" t="s">
        <v>3088</v>
      </c>
      <c r="C118" s="77" t="s">
        <v>2979</v>
      </c>
      <c r="D118" s="177" t="s">
        <v>3038</v>
      </c>
      <c r="E118" s="28" t="s">
        <v>1210</v>
      </c>
      <c r="F118" s="215"/>
      <c r="G118" s="215"/>
      <c r="H118" s="215"/>
      <c r="I118" s="215"/>
      <c r="J118" s="215"/>
      <c r="K118" s="215"/>
      <c r="L118" s="215"/>
      <c r="M118" s="215"/>
      <c r="N118" s="215"/>
      <c r="O118" s="215"/>
      <c r="P118" s="215"/>
      <c r="Q118" s="215"/>
      <c r="R118" s="215"/>
      <c r="S118" s="215"/>
      <c r="T118" s="215"/>
      <c r="U118" s="215"/>
      <c r="V118" s="215"/>
      <c r="W118" s="215"/>
      <c r="X118" s="215"/>
      <c r="Y118" s="215"/>
      <c r="Z118" s="215"/>
      <c r="AA118" s="215"/>
      <c r="AB118" s="215"/>
      <c r="AC118" s="215"/>
      <c r="AD118" s="215"/>
      <c r="AE118" s="215"/>
      <c r="AF118" s="215"/>
      <c r="AG118" s="215"/>
      <c r="AH118" s="215"/>
      <c r="AI118" s="215"/>
      <c r="AJ118" s="215"/>
      <c r="AK118" s="215"/>
      <c r="AL118" s="215"/>
      <c r="AM118" s="215"/>
      <c r="AN118" s="215"/>
      <c r="AO118" s="215"/>
      <c r="AP118" s="215"/>
      <c r="AQ118" s="215"/>
      <c r="AR118" s="215"/>
      <c r="AS118" s="215"/>
      <c r="AT118" s="215"/>
      <c r="AU118" s="215"/>
      <c r="AV118" s="215"/>
      <c r="AW118" s="215"/>
      <c r="AX118" s="215"/>
      <c r="AY118" s="215"/>
    </row>
    <row r="119">
      <c r="A119" s="77" t="s">
        <v>93</v>
      </c>
      <c r="B119" s="177" t="s">
        <v>3089</v>
      </c>
      <c r="C119" s="77" t="s">
        <v>2979</v>
      </c>
      <c r="D119" s="177" t="s">
        <v>3038</v>
      </c>
      <c r="E119" s="28" t="s">
        <v>1210</v>
      </c>
      <c r="F119" s="175"/>
      <c r="G119" s="175"/>
      <c r="H119" s="175"/>
      <c r="I119" s="175"/>
      <c r="J119" s="175"/>
      <c r="K119" s="175"/>
      <c r="L119" s="175"/>
      <c r="M119" s="175"/>
      <c r="N119" s="175"/>
      <c r="O119" s="175"/>
      <c r="P119" s="175"/>
      <c r="Q119" s="175"/>
      <c r="R119" s="175"/>
      <c r="S119" s="82"/>
      <c r="T119" s="175"/>
      <c r="U119" s="175"/>
      <c r="V119" s="175"/>
      <c r="W119" s="175"/>
      <c r="X119" s="175"/>
      <c r="Y119" s="175"/>
      <c r="Z119" s="215"/>
      <c r="AA119" s="215"/>
      <c r="AB119" s="215"/>
      <c r="AC119" s="215"/>
      <c r="AD119" s="215"/>
      <c r="AE119" s="215"/>
      <c r="AF119" s="215"/>
      <c r="AG119" s="215"/>
      <c r="AH119" s="215"/>
      <c r="AI119" s="215"/>
      <c r="AJ119" s="215"/>
      <c r="AK119" s="215"/>
      <c r="AL119" s="215"/>
      <c r="AM119" s="215"/>
      <c r="AN119" s="215"/>
      <c r="AO119" s="215"/>
      <c r="AP119" s="215"/>
      <c r="AQ119" s="215"/>
      <c r="AR119" s="215"/>
      <c r="AS119" s="215"/>
      <c r="AT119" s="215"/>
      <c r="AU119" s="215"/>
      <c r="AV119" s="215"/>
      <c r="AW119" s="215"/>
      <c r="AX119" s="215"/>
      <c r="AY119" s="215"/>
    </row>
    <row r="120">
      <c r="A120" s="77" t="s">
        <v>93</v>
      </c>
      <c r="B120" s="177" t="s">
        <v>3090</v>
      </c>
      <c r="C120" s="77" t="s">
        <v>2979</v>
      </c>
      <c r="D120" s="177" t="s">
        <v>3038</v>
      </c>
      <c r="E120" s="28" t="s">
        <v>1210</v>
      </c>
      <c r="F120" s="175"/>
      <c r="G120" s="175"/>
      <c r="H120" s="175"/>
      <c r="I120" s="175"/>
      <c r="J120" s="175"/>
      <c r="K120" s="175"/>
      <c r="L120" s="175"/>
      <c r="M120" s="175"/>
      <c r="N120" s="175"/>
      <c r="O120" s="175"/>
      <c r="P120" s="175"/>
      <c r="Q120" s="175"/>
      <c r="R120" s="175"/>
      <c r="S120" s="82"/>
      <c r="T120" s="175"/>
      <c r="U120" s="175"/>
      <c r="V120" s="175"/>
      <c r="W120" s="175"/>
      <c r="X120" s="175"/>
      <c r="Y120" s="175"/>
      <c r="Z120" s="215"/>
      <c r="AA120" s="215"/>
      <c r="AB120" s="215"/>
      <c r="AC120" s="215"/>
      <c r="AD120" s="215"/>
      <c r="AE120" s="215"/>
      <c r="AF120" s="215"/>
      <c r="AG120" s="215"/>
      <c r="AH120" s="215"/>
      <c r="AI120" s="215"/>
      <c r="AJ120" s="215"/>
      <c r="AK120" s="215"/>
      <c r="AL120" s="215"/>
      <c r="AM120" s="215"/>
      <c r="AN120" s="215"/>
      <c r="AO120" s="215"/>
      <c r="AP120" s="215"/>
      <c r="AQ120" s="215"/>
      <c r="AR120" s="215"/>
      <c r="AS120" s="215"/>
      <c r="AT120" s="215"/>
      <c r="AU120" s="215"/>
      <c r="AV120" s="215"/>
      <c r="AW120" s="215"/>
      <c r="AX120" s="215"/>
      <c r="AY120" s="215"/>
    </row>
    <row r="121">
      <c r="A121" s="77" t="s">
        <v>93</v>
      </c>
      <c r="B121" s="177" t="s">
        <v>3091</v>
      </c>
      <c r="C121" s="77" t="s">
        <v>2979</v>
      </c>
      <c r="D121" s="177" t="s">
        <v>3038</v>
      </c>
      <c r="E121" s="28" t="s">
        <v>1210</v>
      </c>
      <c r="F121" s="175"/>
      <c r="G121" s="175"/>
      <c r="H121" s="175"/>
      <c r="I121" s="175"/>
      <c r="J121" s="175"/>
      <c r="K121" s="175"/>
      <c r="L121" s="175"/>
      <c r="M121" s="175"/>
      <c r="N121" s="175"/>
      <c r="O121" s="175"/>
      <c r="P121" s="175"/>
      <c r="Q121" s="175"/>
      <c r="R121" s="175"/>
      <c r="S121" s="82"/>
      <c r="T121" s="175"/>
      <c r="U121" s="175"/>
      <c r="V121" s="175"/>
      <c r="W121" s="175"/>
      <c r="X121" s="175"/>
      <c r="Y121" s="175"/>
      <c r="Z121" s="215"/>
      <c r="AA121" s="215"/>
      <c r="AB121" s="215"/>
      <c r="AC121" s="215"/>
      <c r="AD121" s="215"/>
      <c r="AE121" s="215"/>
      <c r="AF121" s="215"/>
      <c r="AG121" s="215"/>
      <c r="AH121" s="215"/>
      <c r="AI121" s="215"/>
      <c r="AJ121" s="215"/>
      <c r="AK121" s="215"/>
      <c r="AL121" s="215"/>
      <c r="AM121" s="215"/>
      <c r="AN121" s="215"/>
      <c r="AO121" s="215"/>
      <c r="AP121" s="215"/>
      <c r="AQ121" s="215"/>
      <c r="AR121" s="215"/>
      <c r="AS121" s="215"/>
      <c r="AT121" s="215"/>
      <c r="AU121" s="215"/>
      <c r="AV121" s="215"/>
      <c r="AW121" s="215"/>
      <c r="AX121" s="215"/>
      <c r="AY121" s="215"/>
    </row>
    <row r="122">
      <c r="A122" s="77" t="s">
        <v>93</v>
      </c>
      <c r="B122" s="177" t="s">
        <v>3092</v>
      </c>
      <c r="C122" s="77" t="s">
        <v>2979</v>
      </c>
      <c r="D122" s="177" t="s">
        <v>3038</v>
      </c>
      <c r="E122" s="28" t="s">
        <v>1210</v>
      </c>
      <c r="F122" s="175"/>
      <c r="G122" s="175"/>
      <c r="H122" s="175"/>
      <c r="I122" s="175"/>
      <c r="J122" s="175"/>
      <c r="K122" s="175"/>
      <c r="L122" s="175"/>
      <c r="M122" s="175"/>
      <c r="N122" s="175"/>
      <c r="O122" s="175"/>
      <c r="P122" s="175"/>
      <c r="Q122" s="175"/>
      <c r="R122" s="175"/>
      <c r="S122" s="82"/>
      <c r="T122" s="175"/>
      <c r="U122" s="175"/>
      <c r="V122" s="175"/>
      <c r="W122" s="175"/>
      <c r="X122" s="175"/>
      <c r="Y122" s="175"/>
      <c r="Z122" s="215"/>
      <c r="AA122" s="215"/>
      <c r="AB122" s="215"/>
      <c r="AC122" s="215"/>
      <c r="AD122" s="215"/>
      <c r="AE122" s="215"/>
      <c r="AF122" s="215"/>
      <c r="AG122" s="215"/>
      <c r="AH122" s="215"/>
      <c r="AI122" s="215"/>
      <c r="AJ122" s="215"/>
      <c r="AK122" s="215"/>
      <c r="AL122" s="215"/>
      <c r="AM122" s="215"/>
      <c r="AN122" s="215"/>
      <c r="AO122" s="215"/>
      <c r="AP122" s="215"/>
      <c r="AQ122" s="215"/>
      <c r="AR122" s="215"/>
      <c r="AS122" s="215"/>
      <c r="AT122" s="215"/>
      <c r="AU122" s="215"/>
      <c r="AV122" s="215"/>
      <c r="AW122" s="215"/>
      <c r="AX122" s="215"/>
      <c r="AY122" s="215"/>
    </row>
    <row r="123">
      <c r="A123" s="77" t="s">
        <v>93</v>
      </c>
      <c r="B123" s="177" t="s">
        <v>3093</v>
      </c>
      <c r="C123" s="77" t="s">
        <v>2979</v>
      </c>
      <c r="D123" s="177" t="s">
        <v>3038</v>
      </c>
      <c r="E123" s="28" t="s">
        <v>1210</v>
      </c>
      <c r="F123" s="175"/>
      <c r="G123" s="175"/>
      <c r="H123" s="175"/>
      <c r="I123" s="175"/>
      <c r="J123" s="175"/>
      <c r="K123" s="175"/>
      <c r="L123" s="175"/>
      <c r="M123" s="175"/>
      <c r="N123" s="175"/>
      <c r="O123" s="175"/>
      <c r="P123" s="175"/>
      <c r="Q123" s="175"/>
      <c r="R123" s="175"/>
      <c r="S123" s="82"/>
      <c r="T123" s="175"/>
      <c r="U123" s="175"/>
      <c r="V123" s="175"/>
      <c r="W123" s="175"/>
      <c r="X123" s="175"/>
      <c r="Y123" s="175"/>
      <c r="Z123" s="215"/>
      <c r="AA123" s="215"/>
      <c r="AB123" s="215"/>
      <c r="AC123" s="215"/>
      <c r="AD123" s="215"/>
      <c r="AE123" s="215"/>
      <c r="AF123" s="215"/>
      <c r="AG123" s="215"/>
      <c r="AH123" s="215"/>
      <c r="AI123" s="215"/>
      <c r="AJ123" s="215"/>
      <c r="AK123" s="215"/>
      <c r="AL123" s="215"/>
      <c r="AM123" s="215"/>
      <c r="AN123" s="215"/>
      <c r="AO123" s="215"/>
      <c r="AP123" s="215"/>
      <c r="AQ123" s="215"/>
      <c r="AR123" s="215"/>
      <c r="AS123" s="215"/>
      <c r="AT123" s="215"/>
      <c r="AU123" s="215"/>
      <c r="AV123" s="215"/>
      <c r="AW123" s="215"/>
      <c r="AX123" s="215"/>
      <c r="AY123" s="215"/>
    </row>
    <row r="124">
      <c r="A124" s="77" t="s">
        <v>93</v>
      </c>
      <c r="B124" s="177" t="s">
        <v>3094</v>
      </c>
      <c r="C124" s="77" t="s">
        <v>2979</v>
      </c>
      <c r="D124" s="177" t="s">
        <v>3038</v>
      </c>
      <c r="E124" s="28" t="s">
        <v>1210</v>
      </c>
      <c r="F124" s="175"/>
      <c r="G124" s="175"/>
      <c r="H124" s="175"/>
      <c r="I124" s="175"/>
      <c r="J124" s="175"/>
      <c r="K124" s="175"/>
      <c r="L124" s="175"/>
      <c r="M124" s="175"/>
      <c r="N124" s="175"/>
      <c r="O124" s="175"/>
      <c r="P124" s="175"/>
      <c r="Q124" s="175"/>
      <c r="R124" s="175"/>
      <c r="S124" s="82"/>
      <c r="T124" s="175"/>
      <c r="U124" s="175"/>
      <c r="V124" s="175"/>
      <c r="W124" s="175"/>
      <c r="X124" s="175"/>
      <c r="Y124" s="175"/>
      <c r="Z124" s="215"/>
      <c r="AA124" s="215"/>
      <c r="AB124" s="215"/>
      <c r="AC124" s="215"/>
      <c r="AD124" s="215"/>
      <c r="AE124" s="215"/>
      <c r="AF124" s="215"/>
      <c r="AG124" s="215"/>
      <c r="AH124" s="215"/>
      <c r="AI124" s="215"/>
      <c r="AJ124" s="215"/>
      <c r="AK124" s="215"/>
      <c r="AL124" s="215"/>
      <c r="AM124" s="215"/>
      <c r="AN124" s="215"/>
      <c r="AO124" s="215"/>
      <c r="AP124" s="215"/>
      <c r="AQ124" s="215"/>
      <c r="AR124" s="215"/>
      <c r="AS124" s="215"/>
      <c r="AT124" s="215"/>
      <c r="AU124" s="215"/>
      <c r="AV124" s="215"/>
      <c r="AW124" s="215"/>
      <c r="AX124" s="215"/>
      <c r="AY124" s="215"/>
    </row>
    <row r="125">
      <c r="A125" s="77" t="s">
        <v>93</v>
      </c>
      <c r="B125" s="177" t="s">
        <v>3095</v>
      </c>
      <c r="C125" s="77" t="s">
        <v>2979</v>
      </c>
      <c r="D125" s="177" t="s">
        <v>3038</v>
      </c>
      <c r="E125" s="28" t="s">
        <v>1210</v>
      </c>
      <c r="F125" s="175"/>
      <c r="G125" s="175"/>
      <c r="H125" s="175"/>
      <c r="I125" s="175"/>
      <c r="J125" s="175"/>
      <c r="K125" s="175"/>
      <c r="L125" s="175"/>
      <c r="M125" s="175"/>
      <c r="N125" s="175"/>
      <c r="O125" s="175"/>
      <c r="P125" s="175"/>
      <c r="Q125" s="175"/>
      <c r="R125" s="175"/>
      <c r="S125" s="82"/>
      <c r="T125" s="175"/>
      <c r="U125" s="175"/>
      <c r="V125" s="175"/>
      <c r="W125" s="175"/>
      <c r="X125" s="175"/>
      <c r="Y125" s="175"/>
      <c r="Z125" s="215"/>
      <c r="AA125" s="215"/>
      <c r="AB125" s="215"/>
      <c r="AC125" s="215"/>
      <c r="AD125" s="215"/>
      <c r="AE125" s="215"/>
      <c r="AF125" s="215"/>
      <c r="AG125" s="215"/>
      <c r="AH125" s="215"/>
      <c r="AI125" s="215"/>
      <c r="AJ125" s="215"/>
      <c r="AK125" s="215"/>
      <c r="AL125" s="215"/>
      <c r="AM125" s="215"/>
      <c r="AN125" s="215"/>
      <c r="AO125" s="215"/>
      <c r="AP125" s="215"/>
      <c r="AQ125" s="215"/>
      <c r="AR125" s="215"/>
      <c r="AS125" s="215"/>
      <c r="AT125" s="215"/>
      <c r="AU125" s="215"/>
      <c r="AV125" s="215"/>
      <c r="AW125" s="215"/>
      <c r="AX125" s="215"/>
      <c r="AY125" s="215"/>
    </row>
    <row r="126">
      <c r="A126" s="77" t="s">
        <v>93</v>
      </c>
      <c r="B126" s="177" t="s">
        <v>3096</v>
      </c>
      <c r="C126" s="77" t="s">
        <v>2979</v>
      </c>
      <c r="D126" s="177" t="s">
        <v>3038</v>
      </c>
      <c r="E126" s="28" t="s">
        <v>1210</v>
      </c>
      <c r="F126" s="175"/>
      <c r="G126" s="175"/>
      <c r="H126" s="175"/>
      <c r="I126" s="175"/>
      <c r="J126" s="175"/>
      <c r="K126" s="175"/>
      <c r="L126" s="175"/>
      <c r="M126" s="175"/>
      <c r="N126" s="175"/>
      <c r="O126" s="175"/>
      <c r="P126" s="175"/>
      <c r="Q126" s="175"/>
      <c r="R126" s="175"/>
      <c r="S126" s="82"/>
      <c r="T126" s="175"/>
      <c r="U126" s="175"/>
      <c r="V126" s="175"/>
      <c r="W126" s="175"/>
      <c r="X126" s="175"/>
      <c r="Y126" s="175"/>
      <c r="Z126" s="215"/>
      <c r="AA126" s="215"/>
      <c r="AB126" s="215"/>
      <c r="AC126" s="215"/>
      <c r="AD126" s="215"/>
      <c r="AE126" s="215"/>
      <c r="AF126" s="215"/>
      <c r="AG126" s="215"/>
      <c r="AH126" s="215"/>
      <c r="AI126" s="215"/>
      <c r="AJ126" s="215"/>
      <c r="AK126" s="215"/>
      <c r="AL126" s="215"/>
      <c r="AM126" s="215"/>
      <c r="AN126" s="215"/>
      <c r="AO126" s="215"/>
      <c r="AP126" s="215"/>
      <c r="AQ126" s="215"/>
      <c r="AR126" s="215"/>
      <c r="AS126" s="215"/>
      <c r="AT126" s="215"/>
      <c r="AU126" s="215"/>
      <c r="AV126" s="215"/>
      <c r="AW126" s="215"/>
      <c r="AX126" s="215"/>
      <c r="AY126" s="215"/>
    </row>
    <row r="127">
      <c r="A127" s="77" t="s">
        <v>93</v>
      </c>
      <c r="B127" s="177" t="s">
        <v>3097</v>
      </c>
      <c r="C127" s="77" t="s">
        <v>2979</v>
      </c>
      <c r="D127" s="177" t="s">
        <v>3038</v>
      </c>
      <c r="E127" s="28" t="s">
        <v>1210</v>
      </c>
      <c r="F127" s="175"/>
      <c r="G127" s="175"/>
      <c r="H127" s="175"/>
      <c r="I127" s="175"/>
      <c r="J127" s="175"/>
      <c r="K127" s="175"/>
      <c r="L127" s="175"/>
      <c r="M127" s="175"/>
      <c r="N127" s="175"/>
      <c r="O127" s="175"/>
      <c r="P127" s="175"/>
      <c r="Q127" s="175"/>
      <c r="R127" s="175"/>
      <c r="S127" s="82"/>
      <c r="T127" s="175"/>
      <c r="U127" s="175"/>
      <c r="V127" s="175"/>
      <c r="W127" s="175"/>
      <c r="X127" s="175"/>
      <c r="Y127" s="175"/>
      <c r="Z127" s="215"/>
      <c r="AA127" s="215"/>
      <c r="AB127" s="215"/>
      <c r="AC127" s="215"/>
      <c r="AD127" s="215"/>
      <c r="AE127" s="215"/>
      <c r="AF127" s="215"/>
      <c r="AG127" s="215"/>
      <c r="AH127" s="215"/>
      <c r="AI127" s="215"/>
      <c r="AJ127" s="215"/>
      <c r="AK127" s="215"/>
      <c r="AL127" s="215"/>
      <c r="AM127" s="215"/>
      <c r="AN127" s="215"/>
      <c r="AO127" s="215"/>
      <c r="AP127" s="215"/>
      <c r="AQ127" s="215"/>
      <c r="AR127" s="215"/>
      <c r="AS127" s="215"/>
      <c r="AT127" s="215"/>
      <c r="AU127" s="215"/>
      <c r="AV127" s="215"/>
      <c r="AW127" s="215"/>
      <c r="AX127" s="215"/>
      <c r="AY127" s="215"/>
    </row>
    <row r="128">
      <c r="A128" s="77" t="s">
        <v>93</v>
      </c>
      <c r="B128" s="177" t="s">
        <v>3098</v>
      </c>
      <c r="C128" s="77" t="s">
        <v>2979</v>
      </c>
      <c r="D128" s="177" t="s">
        <v>3038</v>
      </c>
      <c r="E128" s="28" t="s">
        <v>1210</v>
      </c>
      <c r="F128" s="175"/>
      <c r="G128" s="175"/>
      <c r="H128" s="175"/>
      <c r="I128" s="175"/>
      <c r="J128" s="175"/>
      <c r="K128" s="175"/>
      <c r="L128" s="175"/>
      <c r="M128" s="175"/>
      <c r="N128" s="175"/>
      <c r="O128" s="175"/>
      <c r="P128" s="175"/>
      <c r="Q128" s="175"/>
      <c r="R128" s="175"/>
      <c r="S128" s="82"/>
      <c r="T128" s="175"/>
      <c r="U128" s="175"/>
      <c r="V128" s="175"/>
      <c r="W128" s="175"/>
      <c r="X128" s="175"/>
      <c r="Y128" s="175"/>
      <c r="Z128" s="215"/>
      <c r="AA128" s="215"/>
      <c r="AB128" s="215"/>
      <c r="AC128" s="215"/>
      <c r="AD128" s="215"/>
      <c r="AE128" s="215"/>
      <c r="AF128" s="215"/>
      <c r="AG128" s="215"/>
      <c r="AH128" s="215"/>
      <c r="AI128" s="215"/>
      <c r="AJ128" s="215"/>
      <c r="AK128" s="215"/>
      <c r="AL128" s="215"/>
      <c r="AM128" s="215"/>
      <c r="AN128" s="215"/>
      <c r="AO128" s="215"/>
      <c r="AP128" s="215"/>
      <c r="AQ128" s="215"/>
      <c r="AR128" s="215"/>
      <c r="AS128" s="215"/>
      <c r="AT128" s="215"/>
      <c r="AU128" s="215"/>
      <c r="AV128" s="215"/>
      <c r="AW128" s="215"/>
      <c r="AX128" s="215"/>
      <c r="AY128" s="215"/>
    </row>
    <row r="129">
      <c r="A129" s="77" t="s">
        <v>181</v>
      </c>
      <c r="B129" s="177" t="s">
        <v>3099</v>
      </c>
      <c r="C129" s="77" t="s">
        <v>2979</v>
      </c>
      <c r="D129" s="177" t="s">
        <v>3038</v>
      </c>
      <c r="E129" s="28" t="s">
        <v>1210</v>
      </c>
      <c r="F129" s="175"/>
      <c r="G129" s="175"/>
      <c r="H129" s="175"/>
      <c r="I129" s="175"/>
      <c r="J129" s="175"/>
      <c r="K129" s="175"/>
      <c r="L129" s="175"/>
      <c r="M129" s="175"/>
      <c r="N129" s="175"/>
      <c r="O129" s="175"/>
      <c r="P129" s="175"/>
      <c r="Q129" s="175"/>
      <c r="R129" s="175"/>
      <c r="S129" s="82"/>
      <c r="T129" s="175"/>
      <c r="U129" s="175"/>
      <c r="V129" s="175"/>
      <c r="W129" s="175"/>
      <c r="X129" s="175"/>
      <c r="Y129" s="175"/>
      <c r="Z129" s="215"/>
      <c r="AA129" s="215"/>
      <c r="AB129" s="215"/>
      <c r="AC129" s="215"/>
      <c r="AD129" s="215"/>
      <c r="AE129" s="215"/>
      <c r="AF129" s="215"/>
      <c r="AG129" s="215"/>
      <c r="AH129" s="215"/>
      <c r="AI129" s="215"/>
      <c r="AJ129" s="215"/>
      <c r="AK129" s="215"/>
      <c r="AL129" s="215"/>
      <c r="AM129" s="215"/>
      <c r="AN129" s="215"/>
      <c r="AO129" s="215"/>
      <c r="AP129" s="215"/>
      <c r="AQ129" s="215"/>
      <c r="AR129" s="215"/>
      <c r="AS129" s="215"/>
      <c r="AT129" s="215"/>
      <c r="AU129" s="215"/>
      <c r="AV129" s="215"/>
      <c r="AW129" s="215"/>
      <c r="AX129" s="215"/>
      <c r="AY129" s="215"/>
    </row>
    <row r="130">
      <c r="A130" s="77" t="s">
        <v>181</v>
      </c>
      <c r="B130" s="177" t="s">
        <v>3100</v>
      </c>
      <c r="C130" s="77" t="s">
        <v>2979</v>
      </c>
      <c r="D130" s="177" t="s">
        <v>3038</v>
      </c>
      <c r="E130" s="28" t="s">
        <v>1210</v>
      </c>
      <c r="F130" s="175"/>
      <c r="G130" s="175"/>
      <c r="H130" s="175"/>
      <c r="I130" s="175"/>
      <c r="J130" s="175"/>
      <c r="K130" s="175"/>
      <c r="L130" s="175"/>
      <c r="M130" s="175"/>
      <c r="N130" s="175"/>
      <c r="O130" s="175"/>
      <c r="P130" s="175"/>
      <c r="Q130" s="175"/>
      <c r="R130" s="175"/>
      <c r="S130" s="82"/>
      <c r="T130" s="175"/>
      <c r="U130" s="175"/>
      <c r="V130" s="175"/>
      <c r="W130" s="175"/>
      <c r="X130" s="175"/>
      <c r="Y130" s="175"/>
      <c r="Z130" s="215"/>
      <c r="AA130" s="215"/>
      <c r="AB130" s="215"/>
      <c r="AC130" s="215"/>
      <c r="AD130" s="215"/>
      <c r="AE130" s="215"/>
      <c r="AF130" s="215"/>
      <c r="AG130" s="215"/>
      <c r="AH130" s="215"/>
      <c r="AI130" s="215"/>
      <c r="AJ130" s="215"/>
      <c r="AK130" s="215"/>
      <c r="AL130" s="215"/>
      <c r="AM130" s="215"/>
      <c r="AN130" s="215"/>
      <c r="AO130" s="215"/>
      <c r="AP130" s="215"/>
      <c r="AQ130" s="215"/>
      <c r="AR130" s="215"/>
      <c r="AS130" s="215"/>
      <c r="AT130" s="215"/>
      <c r="AU130" s="215"/>
      <c r="AV130" s="215"/>
      <c r="AW130" s="215"/>
      <c r="AX130" s="215"/>
      <c r="AY130" s="215"/>
    </row>
    <row r="131">
      <c r="A131" s="77" t="s">
        <v>181</v>
      </c>
      <c r="B131" s="177" t="s">
        <v>3101</v>
      </c>
      <c r="C131" s="77" t="s">
        <v>2979</v>
      </c>
      <c r="D131" s="177" t="s">
        <v>3038</v>
      </c>
      <c r="E131" s="28" t="s">
        <v>1210</v>
      </c>
      <c r="F131" s="175"/>
      <c r="G131" s="175"/>
      <c r="H131" s="175"/>
      <c r="I131" s="175"/>
      <c r="J131" s="175"/>
      <c r="K131" s="175"/>
      <c r="L131" s="175"/>
      <c r="M131" s="175"/>
      <c r="N131" s="175"/>
      <c r="O131" s="175"/>
      <c r="P131" s="175"/>
      <c r="Q131" s="175"/>
      <c r="R131" s="175"/>
      <c r="S131" s="82"/>
      <c r="T131" s="175"/>
      <c r="U131" s="175"/>
      <c r="V131" s="175"/>
      <c r="W131" s="175"/>
      <c r="X131" s="175"/>
      <c r="Y131" s="175"/>
      <c r="Z131" s="215"/>
      <c r="AA131" s="215"/>
      <c r="AB131" s="215"/>
      <c r="AC131" s="215"/>
      <c r="AD131" s="215"/>
      <c r="AE131" s="215"/>
      <c r="AF131" s="215"/>
      <c r="AG131" s="215"/>
      <c r="AH131" s="215"/>
      <c r="AI131" s="215"/>
      <c r="AJ131" s="215"/>
      <c r="AK131" s="215"/>
      <c r="AL131" s="215"/>
      <c r="AM131" s="215"/>
      <c r="AN131" s="215"/>
      <c r="AO131" s="215"/>
      <c r="AP131" s="215"/>
      <c r="AQ131" s="215"/>
      <c r="AR131" s="215"/>
      <c r="AS131" s="215"/>
      <c r="AT131" s="215"/>
      <c r="AU131" s="215"/>
      <c r="AV131" s="215"/>
      <c r="AW131" s="215"/>
      <c r="AX131" s="215"/>
      <c r="AY131" s="215"/>
    </row>
    <row r="132">
      <c r="A132" s="77" t="s">
        <v>181</v>
      </c>
      <c r="B132" s="177" t="s">
        <v>3102</v>
      </c>
      <c r="C132" s="77" t="s">
        <v>2979</v>
      </c>
      <c r="D132" s="177" t="s">
        <v>3038</v>
      </c>
      <c r="E132" s="28" t="s">
        <v>1210</v>
      </c>
      <c r="F132" s="175"/>
      <c r="G132" s="175"/>
      <c r="H132" s="175"/>
      <c r="I132" s="175"/>
      <c r="J132" s="175"/>
      <c r="K132" s="175"/>
      <c r="L132" s="175"/>
      <c r="M132" s="175"/>
      <c r="N132" s="175"/>
      <c r="O132" s="175"/>
      <c r="P132" s="175"/>
      <c r="Q132" s="175"/>
      <c r="R132" s="175"/>
      <c r="S132" s="82"/>
      <c r="T132" s="175"/>
      <c r="U132" s="175"/>
      <c r="V132" s="175"/>
      <c r="W132" s="175"/>
      <c r="X132" s="175"/>
      <c r="Y132" s="175"/>
      <c r="Z132" s="215"/>
      <c r="AA132" s="215"/>
      <c r="AB132" s="215"/>
      <c r="AC132" s="215"/>
      <c r="AD132" s="215"/>
      <c r="AE132" s="215"/>
      <c r="AF132" s="215"/>
      <c r="AG132" s="215"/>
      <c r="AH132" s="215"/>
      <c r="AI132" s="215"/>
      <c r="AJ132" s="215"/>
      <c r="AK132" s="215"/>
      <c r="AL132" s="215"/>
      <c r="AM132" s="215"/>
      <c r="AN132" s="215"/>
      <c r="AO132" s="215"/>
      <c r="AP132" s="215"/>
      <c r="AQ132" s="215"/>
      <c r="AR132" s="215"/>
      <c r="AS132" s="215"/>
      <c r="AT132" s="215"/>
      <c r="AU132" s="215"/>
      <c r="AV132" s="215"/>
      <c r="AW132" s="215"/>
      <c r="AX132" s="215"/>
      <c r="AY132" s="215"/>
    </row>
    <row r="133">
      <c r="A133" s="77" t="s">
        <v>181</v>
      </c>
      <c r="B133" s="177" t="s">
        <v>3103</v>
      </c>
      <c r="C133" s="77" t="s">
        <v>2979</v>
      </c>
      <c r="D133" s="177" t="s">
        <v>3038</v>
      </c>
      <c r="E133" s="28" t="s">
        <v>1210</v>
      </c>
      <c r="F133" s="175"/>
      <c r="G133" s="175"/>
      <c r="H133" s="175"/>
      <c r="I133" s="175"/>
      <c r="J133" s="175"/>
      <c r="K133" s="175"/>
      <c r="L133" s="175"/>
      <c r="M133" s="175"/>
      <c r="N133" s="175"/>
      <c r="O133" s="175"/>
      <c r="P133" s="175"/>
      <c r="Q133" s="175"/>
      <c r="R133" s="175"/>
      <c r="S133" s="82"/>
      <c r="T133" s="175"/>
      <c r="U133" s="175"/>
      <c r="V133" s="175"/>
      <c r="W133" s="175"/>
      <c r="X133" s="175"/>
      <c r="Y133" s="175"/>
      <c r="Z133" s="215"/>
      <c r="AA133" s="215"/>
      <c r="AB133" s="215"/>
      <c r="AC133" s="215"/>
      <c r="AD133" s="215"/>
      <c r="AE133" s="215"/>
      <c r="AF133" s="215"/>
      <c r="AG133" s="215"/>
      <c r="AH133" s="215"/>
      <c r="AI133" s="215"/>
      <c r="AJ133" s="215"/>
      <c r="AK133" s="215"/>
      <c r="AL133" s="215"/>
      <c r="AM133" s="215"/>
      <c r="AN133" s="215"/>
      <c r="AO133" s="215"/>
      <c r="AP133" s="215"/>
      <c r="AQ133" s="215"/>
      <c r="AR133" s="215"/>
      <c r="AS133" s="215"/>
      <c r="AT133" s="215"/>
      <c r="AU133" s="215"/>
      <c r="AV133" s="215"/>
      <c r="AW133" s="215"/>
      <c r="AX133" s="215"/>
      <c r="AY133" s="215"/>
    </row>
    <row r="134">
      <c r="A134" s="77" t="s">
        <v>181</v>
      </c>
      <c r="B134" s="177" t="s">
        <v>3104</v>
      </c>
      <c r="C134" s="77" t="s">
        <v>2979</v>
      </c>
      <c r="D134" s="177" t="s">
        <v>3038</v>
      </c>
      <c r="E134" s="28" t="s">
        <v>1210</v>
      </c>
      <c r="F134" s="175"/>
      <c r="G134" s="175"/>
      <c r="H134" s="175"/>
      <c r="I134" s="175"/>
      <c r="J134" s="175"/>
      <c r="K134" s="175"/>
      <c r="L134" s="175"/>
      <c r="M134" s="175"/>
      <c r="N134" s="175"/>
      <c r="O134" s="175"/>
      <c r="P134" s="175"/>
      <c r="Q134" s="175"/>
      <c r="R134" s="175"/>
      <c r="S134" s="82"/>
      <c r="T134" s="175"/>
      <c r="U134" s="175"/>
      <c r="V134" s="175"/>
      <c r="W134" s="175"/>
      <c r="X134" s="175"/>
      <c r="Y134" s="175"/>
      <c r="Z134" s="215"/>
      <c r="AA134" s="215"/>
      <c r="AB134" s="215"/>
      <c r="AC134" s="215"/>
      <c r="AD134" s="215"/>
      <c r="AE134" s="215"/>
      <c r="AF134" s="215"/>
      <c r="AG134" s="215"/>
      <c r="AH134" s="215"/>
      <c r="AI134" s="215"/>
      <c r="AJ134" s="215"/>
      <c r="AK134" s="215"/>
      <c r="AL134" s="215"/>
      <c r="AM134" s="215"/>
      <c r="AN134" s="215"/>
      <c r="AO134" s="215"/>
      <c r="AP134" s="215"/>
      <c r="AQ134" s="215"/>
      <c r="AR134" s="215"/>
      <c r="AS134" s="215"/>
      <c r="AT134" s="215"/>
      <c r="AU134" s="215"/>
      <c r="AV134" s="215"/>
      <c r="AW134" s="215"/>
      <c r="AX134" s="215"/>
      <c r="AY134" s="215"/>
    </row>
    <row r="135">
      <c r="A135" s="77" t="s">
        <v>181</v>
      </c>
      <c r="B135" s="177" t="s">
        <v>3105</v>
      </c>
      <c r="C135" s="77" t="s">
        <v>2979</v>
      </c>
      <c r="D135" s="177" t="s">
        <v>3038</v>
      </c>
      <c r="E135" s="28" t="s">
        <v>1210</v>
      </c>
      <c r="F135" s="175"/>
      <c r="G135" s="175"/>
      <c r="H135" s="175"/>
      <c r="I135" s="175"/>
      <c r="J135" s="175"/>
      <c r="K135" s="175"/>
      <c r="L135" s="175"/>
      <c r="M135" s="175"/>
      <c r="N135" s="175"/>
      <c r="O135" s="175"/>
      <c r="P135" s="175"/>
      <c r="Q135" s="175"/>
      <c r="R135" s="175"/>
      <c r="S135" s="82"/>
      <c r="T135" s="175"/>
      <c r="U135" s="175"/>
      <c r="V135" s="175"/>
      <c r="W135" s="175"/>
      <c r="X135" s="175"/>
      <c r="Y135" s="175"/>
      <c r="Z135" s="215"/>
      <c r="AA135" s="215"/>
      <c r="AB135" s="215"/>
      <c r="AC135" s="215"/>
      <c r="AD135" s="215"/>
      <c r="AE135" s="215"/>
      <c r="AF135" s="215"/>
      <c r="AG135" s="215"/>
      <c r="AH135" s="215"/>
      <c r="AI135" s="215"/>
      <c r="AJ135" s="215"/>
      <c r="AK135" s="215"/>
      <c r="AL135" s="215"/>
      <c r="AM135" s="215"/>
      <c r="AN135" s="215"/>
      <c r="AO135" s="215"/>
      <c r="AP135" s="215"/>
      <c r="AQ135" s="215"/>
      <c r="AR135" s="215"/>
      <c r="AS135" s="215"/>
      <c r="AT135" s="215"/>
      <c r="AU135" s="215"/>
      <c r="AV135" s="215"/>
      <c r="AW135" s="215"/>
      <c r="AX135" s="215"/>
      <c r="AY135" s="215"/>
    </row>
    <row r="136">
      <c r="A136" s="77" t="s">
        <v>181</v>
      </c>
      <c r="B136" s="177" t="s">
        <v>3106</v>
      </c>
      <c r="C136" s="77" t="s">
        <v>2979</v>
      </c>
      <c r="D136" s="177" t="s">
        <v>3038</v>
      </c>
      <c r="E136" s="28" t="s">
        <v>1210</v>
      </c>
      <c r="F136" s="175"/>
      <c r="G136" s="175"/>
      <c r="H136" s="175"/>
      <c r="I136" s="175"/>
      <c r="J136" s="175"/>
      <c r="K136" s="175"/>
      <c r="L136" s="175"/>
      <c r="M136" s="175"/>
      <c r="N136" s="175"/>
      <c r="O136" s="175"/>
      <c r="P136" s="175"/>
      <c r="Q136" s="175"/>
      <c r="R136" s="175"/>
      <c r="S136" s="82"/>
      <c r="T136" s="175"/>
      <c r="U136" s="175"/>
      <c r="V136" s="175"/>
      <c r="W136" s="175"/>
      <c r="X136" s="175"/>
      <c r="Y136" s="175"/>
      <c r="Z136" s="215"/>
      <c r="AA136" s="215"/>
      <c r="AB136" s="215"/>
      <c r="AC136" s="215"/>
      <c r="AD136" s="215"/>
      <c r="AE136" s="215"/>
      <c r="AF136" s="215"/>
      <c r="AG136" s="215"/>
      <c r="AH136" s="215"/>
      <c r="AI136" s="215"/>
      <c r="AJ136" s="215"/>
      <c r="AK136" s="215"/>
      <c r="AL136" s="215"/>
      <c r="AM136" s="215"/>
      <c r="AN136" s="215"/>
      <c r="AO136" s="215"/>
      <c r="AP136" s="215"/>
      <c r="AQ136" s="215"/>
      <c r="AR136" s="215"/>
      <c r="AS136" s="215"/>
      <c r="AT136" s="215"/>
      <c r="AU136" s="215"/>
      <c r="AV136" s="215"/>
      <c r="AW136" s="215"/>
      <c r="AX136" s="215"/>
      <c r="AY136" s="215"/>
    </row>
    <row r="137">
      <c r="A137" s="77" t="s">
        <v>181</v>
      </c>
      <c r="B137" s="177" t="s">
        <v>3107</v>
      </c>
      <c r="C137" s="77" t="s">
        <v>2979</v>
      </c>
      <c r="D137" s="177" t="s">
        <v>3038</v>
      </c>
      <c r="E137" s="28" t="s">
        <v>1210</v>
      </c>
      <c r="F137" s="175"/>
      <c r="G137" s="175"/>
      <c r="H137" s="175"/>
      <c r="I137" s="175"/>
      <c r="J137" s="175"/>
      <c r="K137" s="175"/>
      <c r="L137" s="175"/>
      <c r="M137" s="175"/>
      <c r="N137" s="175"/>
      <c r="O137" s="175"/>
      <c r="P137" s="175"/>
      <c r="Q137" s="175"/>
      <c r="R137" s="175"/>
      <c r="S137" s="82"/>
      <c r="T137" s="175"/>
      <c r="U137" s="175"/>
      <c r="V137" s="175"/>
      <c r="W137" s="175"/>
      <c r="X137" s="175"/>
      <c r="Y137" s="175"/>
      <c r="Z137" s="215"/>
      <c r="AA137" s="215"/>
      <c r="AB137" s="215"/>
      <c r="AC137" s="215"/>
      <c r="AD137" s="215"/>
      <c r="AE137" s="215"/>
      <c r="AF137" s="215"/>
      <c r="AG137" s="215"/>
      <c r="AH137" s="215"/>
      <c r="AI137" s="215"/>
      <c r="AJ137" s="215"/>
      <c r="AK137" s="215"/>
      <c r="AL137" s="215"/>
      <c r="AM137" s="215"/>
      <c r="AN137" s="215"/>
      <c r="AO137" s="215"/>
      <c r="AP137" s="215"/>
      <c r="AQ137" s="215"/>
      <c r="AR137" s="215"/>
      <c r="AS137" s="215"/>
      <c r="AT137" s="215"/>
      <c r="AU137" s="215"/>
      <c r="AV137" s="215"/>
      <c r="AW137" s="215"/>
      <c r="AX137" s="215"/>
      <c r="AY137" s="215"/>
    </row>
    <row r="138">
      <c r="A138" s="77" t="s">
        <v>181</v>
      </c>
      <c r="B138" s="177" t="s">
        <v>3108</v>
      </c>
      <c r="C138" s="77" t="s">
        <v>2979</v>
      </c>
      <c r="D138" s="177" t="s">
        <v>3038</v>
      </c>
      <c r="E138" s="28" t="s">
        <v>1210</v>
      </c>
      <c r="F138" s="175"/>
      <c r="G138" s="175"/>
      <c r="H138" s="175"/>
      <c r="I138" s="175"/>
      <c r="J138" s="175"/>
      <c r="K138" s="175"/>
      <c r="L138" s="175"/>
      <c r="M138" s="175"/>
      <c r="N138" s="175"/>
      <c r="O138" s="175"/>
      <c r="P138" s="175"/>
      <c r="Q138" s="175"/>
      <c r="R138" s="175"/>
      <c r="S138" s="82"/>
      <c r="T138" s="175"/>
      <c r="U138" s="175"/>
      <c r="V138" s="175"/>
      <c r="W138" s="175"/>
      <c r="X138" s="175"/>
      <c r="Y138" s="175"/>
      <c r="Z138" s="215"/>
      <c r="AA138" s="215"/>
      <c r="AB138" s="215"/>
      <c r="AC138" s="215"/>
      <c r="AD138" s="215"/>
      <c r="AE138" s="215"/>
      <c r="AF138" s="215"/>
      <c r="AG138" s="215"/>
      <c r="AH138" s="215"/>
      <c r="AI138" s="215"/>
      <c r="AJ138" s="215"/>
      <c r="AK138" s="215"/>
      <c r="AL138" s="215"/>
      <c r="AM138" s="215"/>
      <c r="AN138" s="215"/>
      <c r="AO138" s="215"/>
      <c r="AP138" s="215"/>
      <c r="AQ138" s="215"/>
      <c r="AR138" s="215"/>
      <c r="AS138" s="215"/>
      <c r="AT138" s="215"/>
      <c r="AU138" s="215"/>
      <c r="AV138" s="215"/>
      <c r="AW138" s="215"/>
      <c r="AX138" s="215"/>
      <c r="AY138" s="215"/>
    </row>
    <row r="139">
      <c r="A139" s="77" t="s">
        <v>181</v>
      </c>
      <c r="B139" s="77" t="s">
        <v>3109</v>
      </c>
      <c r="C139" s="77" t="s">
        <v>2979</v>
      </c>
      <c r="D139" s="177" t="s">
        <v>3038</v>
      </c>
      <c r="E139" s="28" t="s">
        <v>1210</v>
      </c>
      <c r="F139" s="215"/>
      <c r="G139" s="215"/>
      <c r="H139" s="215"/>
      <c r="I139" s="215"/>
      <c r="J139" s="215"/>
      <c r="K139" s="215"/>
      <c r="L139" s="215"/>
      <c r="M139" s="215"/>
      <c r="N139" s="215"/>
      <c r="O139" s="215"/>
      <c r="P139" s="215"/>
      <c r="Q139" s="215"/>
      <c r="R139" s="215"/>
      <c r="S139" s="215"/>
      <c r="T139" s="215"/>
      <c r="U139" s="215"/>
      <c r="V139" s="215"/>
      <c r="W139" s="215"/>
      <c r="X139" s="215"/>
      <c r="Y139" s="215"/>
      <c r="Z139" s="215"/>
      <c r="AA139" s="215"/>
      <c r="AB139" s="215"/>
      <c r="AC139" s="215"/>
      <c r="AD139" s="215"/>
      <c r="AE139" s="215"/>
      <c r="AF139" s="215"/>
      <c r="AG139" s="215"/>
      <c r="AH139" s="215"/>
      <c r="AI139" s="215"/>
      <c r="AJ139" s="215"/>
      <c r="AK139" s="215"/>
      <c r="AL139" s="215"/>
      <c r="AM139" s="215"/>
      <c r="AN139" s="215"/>
      <c r="AO139" s="215"/>
      <c r="AP139" s="215"/>
      <c r="AQ139" s="215"/>
      <c r="AR139" s="215"/>
      <c r="AS139" s="215"/>
      <c r="AT139" s="215"/>
      <c r="AU139" s="215"/>
      <c r="AV139" s="215"/>
      <c r="AW139" s="215"/>
      <c r="AX139" s="215"/>
      <c r="AY139" s="215"/>
    </row>
    <row r="140">
      <c r="A140" s="77" t="s">
        <v>181</v>
      </c>
      <c r="B140" s="77" t="s">
        <v>3110</v>
      </c>
      <c r="C140" s="77" t="s">
        <v>2979</v>
      </c>
      <c r="D140" s="177" t="s">
        <v>3038</v>
      </c>
      <c r="E140" s="28" t="s">
        <v>1210</v>
      </c>
      <c r="F140" s="215"/>
      <c r="G140" s="215"/>
      <c r="H140" s="215"/>
      <c r="I140" s="215"/>
      <c r="J140" s="215"/>
      <c r="K140" s="215"/>
      <c r="L140" s="215"/>
      <c r="M140" s="215"/>
      <c r="N140" s="215"/>
      <c r="O140" s="215"/>
      <c r="P140" s="215"/>
      <c r="Q140" s="215"/>
      <c r="R140" s="215"/>
      <c r="S140" s="215"/>
      <c r="T140" s="215"/>
      <c r="U140" s="215"/>
      <c r="V140" s="215"/>
      <c r="W140" s="215"/>
      <c r="X140" s="215"/>
      <c r="Y140" s="215"/>
      <c r="Z140" s="215"/>
      <c r="AA140" s="215"/>
      <c r="AB140" s="215"/>
      <c r="AC140" s="215"/>
      <c r="AD140" s="215"/>
      <c r="AE140" s="215"/>
      <c r="AF140" s="215"/>
      <c r="AG140" s="215"/>
      <c r="AH140" s="215"/>
      <c r="AI140" s="215"/>
      <c r="AJ140" s="215"/>
      <c r="AK140" s="215"/>
      <c r="AL140" s="215"/>
      <c r="AM140" s="215"/>
      <c r="AN140" s="215"/>
      <c r="AO140" s="215"/>
      <c r="AP140" s="215"/>
      <c r="AQ140" s="215"/>
      <c r="AR140" s="215"/>
      <c r="AS140" s="215"/>
      <c r="AT140" s="215"/>
      <c r="AU140" s="215"/>
      <c r="AV140" s="215"/>
      <c r="AW140" s="215"/>
      <c r="AX140" s="215"/>
      <c r="AY140" s="215"/>
    </row>
    <row r="141">
      <c r="A141" s="77" t="s">
        <v>181</v>
      </c>
      <c r="B141" s="77" t="s">
        <v>3111</v>
      </c>
      <c r="C141" s="77" t="s">
        <v>2979</v>
      </c>
      <c r="D141" s="177" t="s">
        <v>3038</v>
      </c>
      <c r="E141" s="28" t="s">
        <v>1210</v>
      </c>
      <c r="F141" s="215"/>
      <c r="G141" s="215"/>
      <c r="H141" s="215"/>
      <c r="I141" s="215"/>
      <c r="J141" s="215"/>
      <c r="K141" s="215"/>
      <c r="L141" s="215"/>
      <c r="M141" s="215"/>
      <c r="N141" s="215"/>
      <c r="O141" s="215"/>
      <c r="P141" s="215"/>
      <c r="Q141" s="215"/>
      <c r="R141" s="215"/>
      <c r="S141" s="215"/>
      <c r="T141" s="215"/>
      <c r="U141" s="215"/>
      <c r="V141" s="215"/>
      <c r="W141" s="215"/>
      <c r="X141" s="215"/>
      <c r="Y141" s="215"/>
      <c r="Z141" s="215"/>
      <c r="AA141" s="215"/>
      <c r="AB141" s="215"/>
      <c r="AC141" s="215"/>
      <c r="AD141" s="215"/>
      <c r="AE141" s="215"/>
      <c r="AF141" s="215"/>
      <c r="AG141" s="215"/>
      <c r="AH141" s="215"/>
      <c r="AI141" s="215"/>
      <c r="AJ141" s="215"/>
      <c r="AK141" s="215"/>
      <c r="AL141" s="215"/>
      <c r="AM141" s="215"/>
      <c r="AN141" s="215"/>
      <c r="AO141" s="215"/>
      <c r="AP141" s="215"/>
      <c r="AQ141" s="215"/>
      <c r="AR141" s="215"/>
      <c r="AS141" s="215"/>
      <c r="AT141" s="215"/>
      <c r="AU141" s="215"/>
      <c r="AV141" s="215"/>
      <c r="AW141" s="215"/>
      <c r="AX141" s="215"/>
      <c r="AY141" s="215"/>
    </row>
    <row r="142">
      <c r="A142" s="77" t="s">
        <v>181</v>
      </c>
      <c r="B142" s="77" t="s">
        <v>3112</v>
      </c>
      <c r="C142" s="77" t="s">
        <v>2979</v>
      </c>
      <c r="D142" s="177" t="s">
        <v>3038</v>
      </c>
      <c r="E142" s="28" t="s">
        <v>1210</v>
      </c>
      <c r="F142" s="215"/>
      <c r="G142" s="215"/>
      <c r="H142" s="215"/>
      <c r="I142" s="215"/>
      <c r="J142" s="215"/>
      <c r="K142" s="215"/>
      <c r="L142" s="215"/>
      <c r="M142" s="215"/>
      <c r="N142" s="215"/>
      <c r="O142" s="215"/>
      <c r="P142" s="215"/>
      <c r="Q142" s="215"/>
      <c r="R142" s="215"/>
      <c r="S142" s="215"/>
      <c r="T142" s="215"/>
      <c r="U142" s="215"/>
      <c r="V142" s="215"/>
      <c r="W142" s="215"/>
      <c r="X142" s="215"/>
      <c r="Y142" s="215"/>
      <c r="Z142" s="215"/>
      <c r="AA142" s="215"/>
      <c r="AB142" s="215"/>
      <c r="AC142" s="215"/>
      <c r="AD142" s="215"/>
      <c r="AE142" s="215"/>
      <c r="AF142" s="215"/>
      <c r="AG142" s="215"/>
      <c r="AH142" s="215"/>
      <c r="AI142" s="215"/>
      <c r="AJ142" s="215"/>
      <c r="AK142" s="215"/>
      <c r="AL142" s="215"/>
      <c r="AM142" s="215"/>
      <c r="AN142" s="215"/>
      <c r="AO142" s="215"/>
      <c r="AP142" s="215"/>
      <c r="AQ142" s="215"/>
      <c r="AR142" s="215"/>
      <c r="AS142" s="215"/>
      <c r="AT142" s="215"/>
      <c r="AU142" s="215"/>
      <c r="AV142" s="215"/>
      <c r="AW142" s="215"/>
      <c r="AX142" s="215"/>
      <c r="AY142" s="215"/>
    </row>
    <row r="143">
      <c r="A143" s="77" t="s">
        <v>181</v>
      </c>
      <c r="B143" s="77" t="s">
        <v>3113</v>
      </c>
      <c r="C143" s="77" t="s">
        <v>2979</v>
      </c>
      <c r="D143" s="177" t="s">
        <v>3038</v>
      </c>
      <c r="E143" s="28" t="s">
        <v>1210</v>
      </c>
      <c r="F143" s="215"/>
      <c r="G143" s="215"/>
      <c r="H143" s="215"/>
      <c r="I143" s="215"/>
      <c r="J143" s="215"/>
      <c r="K143" s="215"/>
      <c r="L143" s="215"/>
      <c r="M143" s="215"/>
      <c r="N143" s="215"/>
      <c r="O143" s="215"/>
      <c r="P143" s="215"/>
      <c r="Q143" s="215"/>
      <c r="R143" s="215"/>
      <c r="S143" s="215"/>
      <c r="T143" s="215"/>
      <c r="U143" s="215"/>
      <c r="V143" s="215"/>
      <c r="W143" s="215"/>
      <c r="X143" s="215"/>
      <c r="Y143" s="215"/>
      <c r="Z143" s="215"/>
      <c r="AA143" s="215"/>
      <c r="AB143" s="215"/>
      <c r="AC143" s="215"/>
      <c r="AD143" s="215"/>
      <c r="AE143" s="215"/>
      <c r="AF143" s="215"/>
      <c r="AG143" s="215"/>
      <c r="AH143" s="215"/>
      <c r="AI143" s="215"/>
      <c r="AJ143" s="215"/>
      <c r="AK143" s="215"/>
      <c r="AL143" s="215"/>
      <c r="AM143" s="215"/>
      <c r="AN143" s="215"/>
      <c r="AO143" s="215"/>
      <c r="AP143" s="215"/>
      <c r="AQ143" s="215"/>
      <c r="AR143" s="215"/>
      <c r="AS143" s="215"/>
      <c r="AT143" s="215"/>
      <c r="AU143" s="215"/>
      <c r="AV143" s="215"/>
      <c r="AW143" s="215"/>
      <c r="AX143" s="215"/>
      <c r="AY143" s="215"/>
    </row>
    <row r="144">
      <c r="A144" s="77" t="s">
        <v>181</v>
      </c>
      <c r="B144" s="77" t="s">
        <v>3114</v>
      </c>
      <c r="C144" s="77" t="s">
        <v>2979</v>
      </c>
      <c r="D144" s="177" t="s">
        <v>3038</v>
      </c>
      <c r="E144" s="28" t="s">
        <v>1210</v>
      </c>
      <c r="F144" s="215"/>
      <c r="G144" s="215"/>
      <c r="H144" s="215"/>
      <c r="I144" s="215"/>
      <c r="J144" s="215"/>
      <c r="K144" s="215"/>
      <c r="L144" s="215"/>
      <c r="M144" s="215"/>
      <c r="N144" s="215"/>
      <c r="O144" s="215"/>
      <c r="P144" s="215"/>
      <c r="Q144" s="215"/>
      <c r="R144" s="215"/>
      <c r="S144" s="215"/>
      <c r="T144" s="215"/>
      <c r="U144" s="215"/>
      <c r="V144" s="215"/>
      <c r="W144" s="215"/>
      <c r="X144" s="215"/>
      <c r="Y144" s="215"/>
      <c r="Z144" s="215"/>
      <c r="AA144" s="215"/>
      <c r="AB144" s="215"/>
      <c r="AC144" s="215"/>
      <c r="AD144" s="215"/>
      <c r="AE144" s="215"/>
      <c r="AF144" s="215"/>
      <c r="AG144" s="215"/>
      <c r="AH144" s="215"/>
      <c r="AI144" s="215"/>
      <c r="AJ144" s="215"/>
      <c r="AK144" s="215"/>
      <c r="AL144" s="215"/>
      <c r="AM144" s="215"/>
      <c r="AN144" s="215"/>
      <c r="AO144" s="215"/>
      <c r="AP144" s="215"/>
      <c r="AQ144" s="215"/>
      <c r="AR144" s="215"/>
      <c r="AS144" s="215"/>
      <c r="AT144" s="215"/>
      <c r="AU144" s="215"/>
      <c r="AV144" s="215"/>
      <c r="AW144" s="215"/>
      <c r="AX144" s="215"/>
      <c r="AY144" s="215"/>
    </row>
    <row r="145">
      <c r="A145" s="77" t="s">
        <v>181</v>
      </c>
      <c r="B145" s="77" t="s">
        <v>3115</v>
      </c>
      <c r="C145" s="77" t="s">
        <v>2979</v>
      </c>
      <c r="D145" s="177" t="s">
        <v>3038</v>
      </c>
      <c r="E145" s="28" t="s">
        <v>1210</v>
      </c>
      <c r="F145" s="215"/>
      <c r="G145" s="215"/>
      <c r="H145" s="215"/>
      <c r="I145" s="215"/>
      <c r="J145" s="215"/>
      <c r="K145" s="215"/>
      <c r="L145" s="215"/>
      <c r="M145" s="215"/>
      <c r="N145" s="215"/>
      <c r="O145" s="215"/>
      <c r="P145" s="215"/>
      <c r="Q145" s="215"/>
      <c r="R145" s="215"/>
      <c r="S145" s="215"/>
      <c r="T145" s="215"/>
      <c r="U145" s="215"/>
      <c r="V145" s="215"/>
      <c r="W145" s="215"/>
      <c r="X145" s="215"/>
      <c r="Y145" s="215"/>
      <c r="Z145" s="215"/>
      <c r="AA145" s="215"/>
      <c r="AB145" s="215"/>
      <c r="AC145" s="215"/>
      <c r="AD145" s="215"/>
      <c r="AE145" s="215"/>
      <c r="AF145" s="215"/>
      <c r="AG145" s="215"/>
      <c r="AH145" s="215"/>
      <c r="AI145" s="215"/>
      <c r="AJ145" s="215"/>
      <c r="AK145" s="215"/>
      <c r="AL145" s="215"/>
      <c r="AM145" s="215"/>
      <c r="AN145" s="215"/>
      <c r="AO145" s="215"/>
      <c r="AP145" s="215"/>
      <c r="AQ145" s="215"/>
      <c r="AR145" s="215"/>
      <c r="AS145" s="215"/>
      <c r="AT145" s="215"/>
      <c r="AU145" s="215"/>
      <c r="AV145" s="215"/>
      <c r="AW145" s="215"/>
      <c r="AX145" s="215"/>
      <c r="AY145" s="215"/>
    </row>
    <row r="146">
      <c r="A146" s="77" t="s">
        <v>181</v>
      </c>
      <c r="B146" s="77" t="s">
        <v>3116</v>
      </c>
      <c r="C146" s="77" t="s">
        <v>2979</v>
      </c>
      <c r="D146" s="177" t="s">
        <v>3038</v>
      </c>
      <c r="E146" s="28" t="s">
        <v>1210</v>
      </c>
      <c r="F146" s="215"/>
      <c r="G146" s="215"/>
      <c r="H146" s="215"/>
      <c r="I146" s="215"/>
      <c r="J146" s="215"/>
      <c r="K146" s="215"/>
      <c r="L146" s="215"/>
      <c r="M146" s="215"/>
      <c r="N146" s="215"/>
      <c r="O146" s="215"/>
      <c r="P146" s="215"/>
      <c r="Q146" s="215"/>
      <c r="R146" s="215"/>
      <c r="S146" s="215"/>
      <c r="T146" s="215"/>
      <c r="U146" s="215"/>
      <c r="V146" s="215"/>
      <c r="W146" s="215"/>
      <c r="X146" s="215"/>
      <c r="Y146" s="215"/>
      <c r="Z146" s="215"/>
      <c r="AA146" s="215"/>
      <c r="AB146" s="215"/>
      <c r="AC146" s="215"/>
      <c r="AD146" s="215"/>
      <c r="AE146" s="215"/>
      <c r="AF146" s="215"/>
      <c r="AG146" s="215"/>
      <c r="AH146" s="215"/>
      <c r="AI146" s="215"/>
      <c r="AJ146" s="215"/>
      <c r="AK146" s="215"/>
      <c r="AL146" s="215"/>
      <c r="AM146" s="215"/>
      <c r="AN146" s="215"/>
      <c r="AO146" s="215"/>
      <c r="AP146" s="215"/>
      <c r="AQ146" s="215"/>
      <c r="AR146" s="215"/>
      <c r="AS146" s="215"/>
      <c r="AT146" s="215"/>
      <c r="AU146" s="215"/>
      <c r="AV146" s="215"/>
      <c r="AW146" s="215"/>
      <c r="AX146" s="215"/>
      <c r="AY146" s="215"/>
    </row>
    <row r="147">
      <c r="A147" s="77" t="s">
        <v>181</v>
      </c>
      <c r="B147" s="77" t="s">
        <v>3117</v>
      </c>
      <c r="C147" s="77" t="s">
        <v>2979</v>
      </c>
      <c r="D147" s="177" t="s">
        <v>3038</v>
      </c>
      <c r="E147" s="28" t="s">
        <v>1210</v>
      </c>
      <c r="F147" s="215"/>
      <c r="G147" s="215"/>
      <c r="H147" s="215"/>
      <c r="I147" s="215"/>
      <c r="J147" s="215"/>
      <c r="K147" s="215"/>
      <c r="L147" s="215"/>
      <c r="M147" s="215"/>
      <c r="N147" s="215"/>
      <c r="O147" s="215"/>
      <c r="P147" s="215"/>
      <c r="Q147" s="215"/>
      <c r="R147" s="215"/>
      <c r="S147" s="215"/>
      <c r="T147" s="215"/>
      <c r="U147" s="215"/>
      <c r="V147" s="215"/>
      <c r="W147" s="215"/>
      <c r="X147" s="215"/>
      <c r="Y147" s="215"/>
      <c r="Z147" s="215"/>
      <c r="AA147" s="215"/>
      <c r="AB147" s="215"/>
      <c r="AC147" s="215"/>
      <c r="AD147" s="215"/>
      <c r="AE147" s="215"/>
      <c r="AF147" s="215"/>
      <c r="AG147" s="215"/>
      <c r="AH147" s="215"/>
      <c r="AI147" s="215"/>
      <c r="AJ147" s="215"/>
      <c r="AK147" s="215"/>
      <c r="AL147" s="215"/>
      <c r="AM147" s="215"/>
      <c r="AN147" s="215"/>
      <c r="AO147" s="215"/>
      <c r="AP147" s="215"/>
      <c r="AQ147" s="215"/>
      <c r="AR147" s="215"/>
      <c r="AS147" s="215"/>
      <c r="AT147" s="215"/>
      <c r="AU147" s="215"/>
      <c r="AV147" s="215"/>
      <c r="AW147" s="215"/>
      <c r="AX147" s="215"/>
      <c r="AY147" s="215"/>
    </row>
    <row r="148">
      <c r="A148" s="77" t="s">
        <v>181</v>
      </c>
      <c r="B148" s="77" t="s">
        <v>3118</v>
      </c>
      <c r="C148" s="77" t="s">
        <v>2979</v>
      </c>
      <c r="D148" s="177" t="s">
        <v>3038</v>
      </c>
      <c r="E148" s="28" t="s">
        <v>1210</v>
      </c>
      <c r="F148" s="215"/>
      <c r="G148" s="215"/>
      <c r="H148" s="215"/>
      <c r="I148" s="215"/>
      <c r="J148" s="215"/>
      <c r="K148" s="215"/>
      <c r="L148" s="215"/>
      <c r="M148" s="215"/>
      <c r="N148" s="215"/>
      <c r="O148" s="215"/>
      <c r="P148" s="215"/>
      <c r="Q148" s="215"/>
      <c r="R148" s="215"/>
      <c r="S148" s="215"/>
      <c r="T148" s="215"/>
      <c r="U148" s="215"/>
      <c r="V148" s="215"/>
      <c r="W148" s="215"/>
      <c r="X148" s="215"/>
      <c r="Y148" s="215"/>
      <c r="Z148" s="215"/>
      <c r="AA148" s="215"/>
      <c r="AB148" s="215"/>
      <c r="AC148" s="215"/>
      <c r="AD148" s="215"/>
      <c r="AE148" s="215"/>
      <c r="AF148" s="215"/>
      <c r="AG148" s="215"/>
      <c r="AH148" s="215"/>
      <c r="AI148" s="215"/>
      <c r="AJ148" s="215"/>
      <c r="AK148" s="215"/>
      <c r="AL148" s="215"/>
      <c r="AM148" s="215"/>
      <c r="AN148" s="215"/>
      <c r="AO148" s="215"/>
      <c r="AP148" s="215"/>
      <c r="AQ148" s="215"/>
      <c r="AR148" s="215"/>
      <c r="AS148" s="215"/>
      <c r="AT148" s="215"/>
      <c r="AU148" s="215"/>
      <c r="AV148" s="215"/>
      <c r="AW148" s="215"/>
      <c r="AX148" s="215"/>
      <c r="AY148" s="215"/>
    </row>
    <row r="149">
      <c r="A149" s="77" t="s">
        <v>181</v>
      </c>
      <c r="B149" s="77" t="s">
        <v>3119</v>
      </c>
      <c r="C149" s="77" t="s">
        <v>2979</v>
      </c>
      <c r="D149" s="177" t="s">
        <v>3038</v>
      </c>
      <c r="E149" s="28" t="s">
        <v>1210</v>
      </c>
      <c r="F149" s="215"/>
      <c r="G149" s="215"/>
      <c r="H149" s="215"/>
      <c r="I149" s="215"/>
      <c r="J149" s="215"/>
      <c r="K149" s="215"/>
      <c r="L149" s="215"/>
      <c r="M149" s="215"/>
      <c r="N149" s="215"/>
      <c r="O149" s="215"/>
      <c r="P149" s="215"/>
      <c r="Q149" s="215"/>
      <c r="R149" s="215"/>
      <c r="S149" s="215"/>
      <c r="T149" s="215"/>
      <c r="U149" s="215"/>
      <c r="V149" s="215"/>
      <c r="W149" s="215"/>
      <c r="X149" s="215"/>
      <c r="Y149" s="215"/>
      <c r="Z149" s="215"/>
      <c r="AA149" s="215"/>
      <c r="AB149" s="215"/>
      <c r="AC149" s="215"/>
      <c r="AD149" s="215"/>
      <c r="AE149" s="215"/>
      <c r="AF149" s="215"/>
      <c r="AG149" s="215"/>
      <c r="AH149" s="215"/>
      <c r="AI149" s="215"/>
      <c r="AJ149" s="215"/>
      <c r="AK149" s="215"/>
      <c r="AL149" s="215"/>
      <c r="AM149" s="215"/>
      <c r="AN149" s="215"/>
      <c r="AO149" s="215"/>
      <c r="AP149" s="215"/>
      <c r="AQ149" s="215"/>
      <c r="AR149" s="215"/>
      <c r="AS149" s="215"/>
      <c r="AT149" s="215"/>
      <c r="AU149" s="215"/>
      <c r="AV149" s="215"/>
      <c r="AW149" s="215"/>
      <c r="AX149" s="215"/>
      <c r="AY149" s="215"/>
    </row>
    <row r="150">
      <c r="A150" s="77" t="s">
        <v>181</v>
      </c>
      <c r="B150" s="77" t="s">
        <v>3120</v>
      </c>
      <c r="C150" s="77" t="s">
        <v>2979</v>
      </c>
      <c r="D150" s="177" t="s">
        <v>3038</v>
      </c>
      <c r="E150" s="28" t="s">
        <v>1210</v>
      </c>
      <c r="F150" s="215"/>
      <c r="G150" s="215"/>
      <c r="H150" s="215"/>
      <c r="I150" s="215"/>
      <c r="J150" s="215"/>
      <c r="K150" s="215"/>
      <c r="L150" s="215"/>
      <c r="M150" s="215"/>
      <c r="N150" s="215"/>
      <c r="O150" s="215"/>
      <c r="P150" s="215"/>
      <c r="Q150" s="215"/>
      <c r="R150" s="215"/>
      <c r="S150" s="215"/>
      <c r="T150" s="215"/>
      <c r="U150" s="215"/>
      <c r="V150" s="215"/>
      <c r="W150" s="215"/>
      <c r="X150" s="215"/>
      <c r="Y150" s="215"/>
      <c r="Z150" s="215"/>
      <c r="AA150" s="215"/>
      <c r="AB150" s="215"/>
      <c r="AC150" s="215"/>
      <c r="AD150" s="215"/>
      <c r="AE150" s="215"/>
      <c r="AF150" s="215"/>
      <c r="AG150" s="215"/>
      <c r="AH150" s="215"/>
      <c r="AI150" s="215"/>
      <c r="AJ150" s="215"/>
      <c r="AK150" s="215"/>
      <c r="AL150" s="215"/>
      <c r="AM150" s="215"/>
      <c r="AN150" s="215"/>
      <c r="AO150" s="215"/>
      <c r="AP150" s="215"/>
      <c r="AQ150" s="215"/>
      <c r="AR150" s="215"/>
      <c r="AS150" s="215"/>
      <c r="AT150" s="215"/>
      <c r="AU150" s="215"/>
      <c r="AV150" s="215"/>
      <c r="AW150" s="215"/>
      <c r="AX150" s="215"/>
      <c r="AY150" s="215"/>
    </row>
    <row r="151">
      <c r="A151" s="77" t="s">
        <v>181</v>
      </c>
      <c r="B151" s="77" t="s">
        <v>3121</v>
      </c>
      <c r="C151" s="77" t="s">
        <v>2979</v>
      </c>
      <c r="D151" s="177" t="s">
        <v>3038</v>
      </c>
      <c r="E151" s="28" t="s">
        <v>1210</v>
      </c>
      <c r="F151" s="215"/>
      <c r="G151" s="215"/>
      <c r="H151" s="215"/>
      <c r="I151" s="215"/>
      <c r="J151" s="215"/>
      <c r="K151" s="215"/>
      <c r="L151" s="215"/>
      <c r="M151" s="215"/>
      <c r="N151" s="215"/>
      <c r="O151" s="215"/>
      <c r="P151" s="215"/>
      <c r="Q151" s="215"/>
      <c r="R151" s="215"/>
      <c r="S151" s="215"/>
      <c r="T151" s="215"/>
      <c r="U151" s="215"/>
      <c r="V151" s="215"/>
      <c r="W151" s="215"/>
      <c r="X151" s="215"/>
      <c r="Y151" s="215"/>
      <c r="Z151" s="215"/>
      <c r="AA151" s="215"/>
      <c r="AB151" s="215"/>
      <c r="AC151" s="215"/>
      <c r="AD151" s="215"/>
      <c r="AE151" s="215"/>
      <c r="AF151" s="215"/>
      <c r="AG151" s="215"/>
      <c r="AH151" s="215"/>
      <c r="AI151" s="215"/>
      <c r="AJ151" s="215"/>
      <c r="AK151" s="215"/>
      <c r="AL151" s="215"/>
      <c r="AM151" s="215"/>
      <c r="AN151" s="215"/>
      <c r="AO151" s="215"/>
      <c r="AP151" s="215"/>
      <c r="AQ151" s="215"/>
      <c r="AR151" s="215"/>
      <c r="AS151" s="215"/>
      <c r="AT151" s="215"/>
      <c r="AU151" s="215"/>
      <c r="AV151" s="215"/>
      <c r="AW151" s="215"/>
      <c r="AX151" s="215"/>
      <c r="AY151" s="215"/>
    </row>
    <row r="152">
      <c r="A152" s="77" t="s">
        <v>181</v>
      </c>
      <c r="B152" s="77" t="s">
        <v>3122</v>
      </c>
      <c r="C152" s="77" t="s">
        <v>2979</v>
      </c>
      <c r="D152" s="177" t="s">
        <v>3038</v>
      </c>
      <c r="E152" s="28" t="s">
        <v>1210</v>
      </c>
      <c r="F152" s="215"/>
      <c r="G152" s="215"/>
      <c r="H152" s="215"/>
      <c r="I152" s="215"/>
      <c r="J152" s="215"/>
      <c r="K152" s="215"/>
      <c r="L152" s="215"/>
      <c r="M152" s="215"/>
      <c r="N152" s="215"/>
      <c r="O152" s="215"/>
      <c r="P152" s="215"/>
      <c r="Q152" s="215"/>
      <c r="R152" s="215"/>
      <c r="S152" s="215"/>
      <c r="T152" s="215"/>
      <c r="U152" s="215"/>
      <c r="V152" s="215"/>
      <c r="W152" s="215"/>
      <c r="X152" s="215"/>
      <c r="Y152" s="215"/>
      <c r="Z152" s="215"/>
      <c r="AA152" s="215"/>
      <c r="AB152" s="215"/>
      <c r="AC152" s="215"/>
      <c r="AD152" s="215"/>
      <c r="AE152" s="215"/>
      <c r="AF152" s="215"/>
      <c r="AG152" s="215"/>
      <c r="AH152" s="215"/>
      <c r="AI152" s="215"/>
      <c r="AJ152" s="215"/>
      <c r="AK152" s="215"/>
      <c r="AL152" s="215"/>
      <c r="AM152" s="215"/>
      <c r="AN152" s="215"/>
      <c r="AO152" s="215"/>
      <c r="AP152" s="215"/>
      <c r="AQ152" s="215"/>
      <c r="AR152" s="215"/>
      <c r="AS152" s="215"/>
      <c r="AT152" s="215"/>
      <c r="AU152" s="215"/>
      <c r="AV152" s="215"/>
      <c r="AW152" s="215"/>
      <c r="AX152" s="215"/>
      <c r="AY152" s="215"/>
    </row>
    <row r="153">
      <c r="A153" s="77" t="s">
        <v>181</v>
      </c>
      <c r="B153" s="77" t="s">
        <v>3123</v>
      </c>
      <c r="C153" s="77" t="s">
        <v>2979</v>
      </c>
      <c r="D153" s="177" t="s">
        <v>3038</v>
      </c>
      <c r="E153" s="28" t="s">
        <v>1210</v>
      </c>
      <c r="F153" s="215"/>
      <c r="G153" s="215"/>
      <c r="H153" s="215"/>
      <c r="I153" s="215"/>
      <c r="J153" s="215"/>
      <c r="K153" s="215"/>
      <c r="L153" s="215"/>
      <c r="M153" s="215"/>
      <c r="N153" s="215"/>
      <c r="O153" s="215"/>
      <c r="P153" s="215"/>
      <c r="Q153" s="215"/>
      <c r="R153" s="215"/>
      <c r="S153" s="215"/>
      <c r="T153" s="215"/>
      <c r="U153" s="215"/>
      <c r="V153" s="215"/>
      <c r="W153" s="215"/>
      <c r="X153" s="215"/>
      <c r="Y153" s="215"/>
      <c r="Z153" s="215"/>
      <c r="AA153" s="215"/>
      <c r="AB153" s="215"/>
      <c r="AC153" s="215"/>
      <c r="AD153" s="215"/>
      <c r="AE153" s="215"/>
      <c r="AF153" s="215"/>
      <c r="AG153" s="215"/>
      <c r="AH153" s="215"/>
      <c r="AI153" s="215"/>
      <c r="AJ153" s="215"/>
      <c r="AK153" s="215"/>
      <c r="AL153" s="215"/>
      <c r="AM153" s="215"/>
      <c r="AN153" s="215"/>
      <c r="AO153" s="215"/>
      <c r="AP153" s="215"/>
      <c r="AQ153" s="215"/>
      <c r="AR153" s="215"/>
      <c r="AS153" s="215"/>
      <c r="AT153" s="215"/>
      <c r="AU153" s="215"/>
      <c r="AV153" s="215"/>
      <c r="AW153" s="215"/>
      <c r="AX153" s="215"/>
      <c r="AY153" s="215"/>
    </row>
    <row r="154">
      <c r="A154" s="77" t="s">
        <v>181</v>
      </c>
      <c r="B154" s="77" t="s">
        <v>3124</v>
      </c>
      <c r="C154" s="77" t="s">
        <v>2979</v>
      </c>
      <c r="D154" s="177" t="s">
        <v>3038</v>
      </c>
      <c r="E154" s="28" t="s">
        <v>1210</v>
      </c>
      <c r="F154" s="215"/>
      <c r="G154" s="215"/>
      <c r="H154" s="215"/>
      <c r="I154" s="215"/>
      <c r="J154" s="215"/>
      <c r="K154" s="215"/>
      <c r="L154" s="215"/>
      <c r="M154" s="215"/>
      <c r="N154" s="215"/>
      <c r="O154" s="215"/>
      <c r="P154" s="215"/>
      <c r="Q154" s="215"/>
      <c r="R154" s="215"/>
      <c r="S154" s="215"/>
      <c r="T154" s="215"/>
      <c r="U154" s="215"/>
      <c r="V154" s="215"/>
      <c r="W154" s="215"/>
      <c r="X154" s="215"/>
      <c r="Y154" s="215"/>
      <c r="Z154" s="215"/>
      <c r="AA154" s="215"/>
      <c r="AB154" s="215"/>
      <c r="AC154" s="215"/>
      <c r="AD154" s="215"/>
      <c r="AE154" s="215"/>
      <c r="AF154" s="215"/>
      <c r="AG154" s="215"/>
      <c r="AH154" s="215"/>
      <c r="AI154" s="215"/>
      <c r="AJ154" s="215"/>
      <c r="AK154" s="215"/>
      <c r="AL154" s="215"/>
      <c r="AM154" s="215"/>
      <c r="AN154" s="215"/>
      <c r="AO154" s="215"/>
      <c r="AP154" s="215"/>
      <c r="AQ154" s="215"/>
      <c r="AR154" s="215"/>
      <c r="AS154" s="215"/>
      <c r="AT154" s="215"/>
      <c r="AU154" s="215"/>
      <c r="AV154" s="215"/>
      <c r="AW154" s="215"/>
      <c r="AX154" s="215"/>
      <c r="AY154" s="215"/>
    </row>
    <row r="155">
      <c r="A155" s="77" t="s">
        <v>181</v>
      </c>
      <c r="B155" s="77" t="s">
        <v>3125</v>
      </c>
      <c r="C155" s="77" t="s">
        <v>2979</v>
      </c>
      <c r="D155" s="177" t="s">
        <v>3038</v>
      </c>
      <c r="E155" s="28" t="s">
        <v>1210</v>
      </c>
      <c r="F155" s="215"/>
      <c r="G155" s="215"/>
      <c r="H155" s="215"/>
      <c r="I155" s="215"/>
      <c r="J155" s="215"/>
      <c r="K155" s="215"/>
      <c r="L155" s="215"/>
      <c r="M155" s="215"/>
      <c r="N155" s="215"/>
      <c r="O155" s="215"/>
      <c r="P155" s="215"/>
      <c r="Q155" s="215"/>
      <c r="R155" s="215"/>
      <c r="S155" s="215"/>
      <c r="T155" s="215"/>
      <c r="U155" s="215"/>
      <c r="V155" s="215"/>
      <c r="W155" s="215"/>
      <c r="X155" s="215"/>
      <c r="Y155" s="215"/>
      <c r="Z155" s="215"/>
      <c r="AA155" s="215"/>
      <c r="AB155" s="215"/>
      <c r="AC155" s="215"/>
      <c r="AD155" s="215"/>
      <c r="AE155" s="215"/>
      <c r="AF155" s="215"/>
      <c r="AG155" s="215"/>
      <c r="AH155" s="215"/>
      <c r="AI155" s="215"/>
      <c r="AJ155" s="215"/>
      <c r="AK155" s="215"/>
      <c r="AL155" s="215"/>
      <c r="AM155" s="215"/>
      <c r="AN155" s="215"/>
      <c r="AO155" s="215"/>
      <c r="AP155" s="215"/>
      <c r="AQ155" s="215"/>
      <c r="AR155" s="215"/>
      <c r="AS155" s="215"/>
      <c r="AT155" s="215"/>
      <c r="AU155" s="215"/>
      <c r="AV155" s="215"/>
      <c r="AW155" s="215"/>
      <c r="AX155" s="215"/>
      <c r="AY155" s="215"/>
    </row>
    <row r="156">
      <c r="A156" s="77" t="s">
        <v>181</v>
      </c>
      <c r="B156" s="77" t="s">
        <v>3126</v>
      </c>
      <c r="C156" s="77" t="s">
        <v>2979</v>
      </c>
      <c r="D156" s="177" t="s">
        <v>3038</v>
      </c>
      <c r="E156" s="28" t="s">
        <v>1210</v>
      </c>
      <c r="F156" s="215"/>
      <c r="G156" s="215"/>
      <c r="H156" s="215"/>
      <c r="I156" s="215"/>
      <c r="J156" s="215"/>
      <c r="K156" s="215"/>
      <c r="L156" s="215"/>
      <c r="M156" s="215"/>
      <c r="N156" s="215"/>
      <c r="O156" s="215"/>
      <c r="P156" s="215"/>
      <c r="Q156" s="215"/>
      <c r="R156" s="215"/>
      <c r="S156" s="215"/>
      <c r="T156" s="215"/>
      <c r="U156" s="215"/>
      <c r="V156" s="215"/>
      <c r="W156" s="215"/>
      <c r="X156" s="215"/>
      <c r="Y156" s="215"/>
      <c r="Z156" s="215"/>
      <c r="AA156" s="215"/>
      <c r="AB156" s="215"/>
      <c r="AC156" s="215"/>
      <c r="AD156" s="215"/>
      <c r="AE156" s="215"/>
      <c r="AF156" s="215"/>
      <c r="AG156" s="215"/>
      <c r="AH156" s="215"/>
      <c r="AI156" s="215"/>
      <c r="AJ156" s="215"/>
      <c r="AK156" s="215"/>
      <c r="AL156" s="215"/>
      <c r="AM156" s="215"/>
      <c r="AN156" s="215"/>
      <c r="AO156" s="215"/>
      <c r="AP156" s="215"/>
      <c r="AQ156" s="215"/>
      <c r="AR156" s="215"/>
      <c r="AS156" s="215"/>
      <c r="AT156" s="215"/>
      <c r="AU156" s="215"/>
      <c r="AV156" s="215"/>
      <c r="AW156" s="215"/>
      <c r="AX156" s="215"/>
      <c r="AY156" s="215"/>
    </row>
    <row r="157">
      <c r="A157" s="77" t="s">
        <v>181</v>
      </c>
      <c r="B157" s="77" t="s">
        <v>3127</v>
      </c>
      <c r="C157" s="77" t="s">
        <v>2979</v>
      </c>
      <c r="D157" s="177" t="s">
        <v>3038</v>
      </c>
      <c r="E157" s="28" t="s">
        <v>1210</v>
      </c>
      <c r="F157" s="215"/>
      <c r="G157" s="215"/>
      <c r="H157" s="215"/>
      <c r="I157" s="215"/>
      <c r="J157" s="215"/>
      <c r="K157" s="215"/>
      <c r="L157" s="215"/>
      <c r="M157" s="215"/>
      <c r="N157" s="215"/>
      <c r="O157" s="215"/>
      <c r="P157" s="215"/>
      <c r="Q157" s="215"/>
      <c r="R157" s="215"/>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215"/>
      <c r="AN157" s="215"/>
      <c r="AO157" s="215"/>
      <c r="AP157" s="215"/>
      <c r="AQ157" s="215"/>
      <c r="AR157" s="215"/>
      <c r="AS157" s="215"/>
      <c r="AT157" s="215"/>
      <c r="AU157" s="215"/>
      <c r="AV157" s="215"/>
      <c r="AW157" s="215"/>
      <c r="AX157" s="215"/>
      <c r="AY157" s="215"/>
    </row>
    <row r="158">
      <c r="A158" s="77" t="s">
        <v>181</v>
      </c>
      <c r="B158" s="77" t="s">
        <v>3128</v>
      </c>
      <c r="C158" s="77" t="s">
        <v>2979</v>
      </c>
      <c r="D158" s="177" t="s">
        <v>3038</v>
      </c>
      <c r="E158" s="28" t="s">
        <v>1210</v>
      </c>
      <c r="F158" s="215"/>
      <c r="G158" s="215"/>
      <c r="H158" s="215"/>
      <c r="I158" s="215"/>
      <c r="J158" s="215"/>
      <c r="K158" s="215"/>
      <c r="L158" s="215"/>
      <c r="M158" s="215"/>
      <c r="N158" s="215"/>
      <c r="O158" s="215"/>
      <c r="P158" s="215"/>
      <c r="Q158" s="215"/>
      <c r="R158" s="215"/>
      <c r="S158" s="215"/>
      <c r="T158" s="215"/>
      <c r="U158" s="215"/>
      <c r="V158" s="215"/>
      <c r="W158" s="215"/>
      <c r="X158" s="215"/>
      <c r="Y158" s="215"/>
      <c r="Z158" s="215"/>
      <c r="AA158" s="215"/>
      <c r="AB158" s="215"/>
      <c r="AC158" s="215"/>
      <c r="AD158" s="215"/>
      <c r="AE158" s="215"/>
      <c r="AF158" s="215"/>
      <c r="AG158" s="215"/>
      <c r="AH158" s="215"/>
      <c r="AI158" s="215"/>
      <c r="AJ158" s="215"/>
      <c r="AK158" s="215"/>
      <c r="AL158" s="215"/>
      <c r="AM158" s="215"/>
      <c r="AN158" s="215"/>
      <c r="AO158" s="215"/>
      <c r="AP158" s="215"/>
      <c r="AQ158" s="215"/>
      <c r="AR158" s="215"/>
      <c r="AS158" s="215"/>
      <c r="AT158" s="215"/>
      <c r="AU158" s="215"/>
      <c r="AV158" s="215"/>
      <c r="AW158" s="215"/>
      <c r="AX158" s="215"/>
      <c r="AY158" s="215"/>
    </row>
    <row r="159">
      <c r="A159" s="77" t="s">
        <v>181</v>
      </c>
      <c r="B159" s="77" t="s">
        <v>3129</v>
      </c>
      <c r="C159" s="77" t="s">
        <v>2979</v>
      </c>
      <c r="D159" s="177" t="s">
        <v>3038</v>
      </c>
      <c r="E159" s="28" t="s">
        <v>1210</v>
      </c>
      <c r="F159" s="215"/>
      <c r="G159" s="215"/>
      <c r="H159" s="215"/>
      <c r="I159" s="215"/>
      <c r="J159" s="215"/>
      <c r="K159" s="215"/>
      <c r="L159" s="215"/>
      <c r="M159" s="215"/>
      <c r="N159" s="215"/>
      <c r="O159" s="215"/>
      <c r="P159" s="215"/>
      <c r="Q159" s="215"/>
      <c r="R159" s="215"/>
      <c r="S159" s="215"/>
      <c r="T159" s="215"/>
      <c r="U159" s="215"/>
      <c r="V159" s="215"/>
      <c r="W159" s="215"/>
      <c r="X159" s="215"/>
      <c r="Y159" s="215"/>
      <c r="Z159" s="215"/>
      <c r="AA159" s="215"/>
      <c r="AB159" s="215"/>
      <c r="AC159" s="215"/>
      <c r="AD159" s="215"/>
      <c r="AE159" s="215"/>
      <c r="AF159" s="215"/>
      <c r="AG159" s="215"/>
      <c r="AH159" s="215"/>
      <c r="AI159" s="215"/>
      <c r="AJ159" s="215"/>
      <c r="AK159" s="215"/>
      <c r="AL159" s="215"/>
      <c r="AM159" s="215"/>
      <c r="AN159" s="215"/>
      <c r="AO159" s="215"/>
      <c r="AP159" s="215"/>
      <c r="AQ159" s="215"/>
      <c r="AR159" s="215"/>
      <c r="AS159" s="215"/>
      <c r="AT159" s="215"/>
      <c r="AU159" s="215"/>
      <c r="AV159" s="215"/>
      <c r="AW159" s="215"/>
      <c r="AX159" s="215"/>
      <c r="AY159" s="215"/>
    </row>
    <row r="160">
      <c r="A160" s="77" t="s">
        <v>181</v>
      </c>
      <c r="B160" s="77" t="s">
        <v>3130</v>
      </c>
      <c r="C160" s="77" t="s">
        <v>2979</v>
      </c>
      <c r="D160" s="177" t="s">
        <v>3038</v>
      </c>
      <c r="E160" s="28" t="s">
        <v>1210</v>
      </c>
      <c r="F160" s="215"/>
      <c r="G160" s="215"/>
      <c r="H160" s="215"/>
      <c r="I160" s="215"/>
      <c r="J160" s="215"/>
      <c r="K160" s="215"/>
      <c r="L160" s="215"/>
      <c r="M160" s="215"/>
      <c r="N160" s="215"/>
      <c r="O160" s="215"/>
      <c r="P160" s="215"/>
      <c r="Q160" s="215"/>
      <c r="R160" s="215"/>
      <c r="S160" s="215"/>
      <c r="T160" s="215"/>
      <c r="U160" s="215"/>
      <c r="V160" s="215"/>
      <c r="W160" s="215"/>
      <c r="X160" s="215"/>
      <c r="Y160" s="215"/>
      <c r="Z160" s="215"/>
      <c r="AA160" s="215"/>
      <c r="AB160" s="215"/>
      <c r="AC160" s="215"/>
      <c r="AD160" s="215"/>
      <c r="AE160" s="215"/>
      <c r="AF160" s="215"/>
      <c r="AG160" s="215"/>
      <c r="AH160" s="215"/>
      <c r="AI160" s="215"/>
      <c r="AJ160" s="215"/>
      <c r="AK160" s="215"/>
      <c r="AL160" s="215"/>
      <c r="AM160" s="215"/>
      <c r="AN160" s="215"/>
      <c r="AO160" s="215"/>
      <c r="AP160" s="215"/>
      <c r="AQ160" s="215"/>
      <c r="AR160" s="215"/>
      <c r="AS160" s="215"/>
      <c r="AT160" s="215"/>
      <c r="AU160" s="215"/>
      <c r="AV160" s="215"/>
      <c r="AW160" s="215"/>
      <c r="AX160" s="215"/>
      <c r="AY160" s="215"/>
    </row>
    <row r="161">
      <c r="A161" s="77" t="s">
        <v>181</v>
      </c>
      <c r="B161" s="77" t="s">
        <v>3131</v>
      </c>
      <c r="C161" s="77" t="s">
        <v>2979</v>
      </c>
      <c r="D161" s="177" t="s">
        <v>3038</v>
      </c>
      <c r="E161" s="28" t="s">
        <v>1210</v>
      </c>
      <c r="F161" s="215"/>
      <c r="G161" s="215"/>
      <c r="H161" s="215"/>
      <c r="I161" s="215"/>
      <c r="J161" s="215"/>
      <c r="K161" s="215"/>
      <c r="L161" s="215"/>
      <c r="M161" s="215"/>
      <c r="N161" s="215"/>
      <c r="O161" s="215"/>
      <c r="P161" s="215"/>
      <c r="Q161" s="215"/>
      <c r="R161" s="215"/>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215"/>
      <c r="AN161" s="215"/>
      <c r="AO161" s="215"/>
      <c r="AP161" s="215"/>
      <c r="AQ161" s="215"/>
      <c r="AR161" s="215"/>
      <c r="AS161" s="215"/>
      <c r="AT161" s="215"/>
      <c r="AU161" s="215"/>
      <c r="AV161" s="215"/>
      <c r="AW161" s="215"/>
      <c r="AX161" s="215"/>
      <c r="AY161" s="215"/>
    </row>
    <row r="162">
      <c r="A162" s="77" t="s">
        <v>181</v>
      </c>
      <c r="B162" s="77" t="s">
        <v>408</v>
      </c>
      <c r="C162" s="77" t="s">
        <v>2986</v>
      </c>
      <c r="D162" s="77" t="s">
        <v>3063</v>
      </c>
      <c r="E162" s="28" t="s">
        <v>1210</v>
      </c>
      <c r="F162" s="215"/>
      <c r="G162" s="215"/>
      <c r="H162" s="215"/>
      <c r="I162" s="215"/>
      <c r="J162" s="215"/>
      <c r="K162" s="215"/>
      <c r="L162" s="215"/>
      <c r="M162" s="215"/>
      <c r="N162" s="215"/>
      <c r="O162" s="215"/>
      <c r="P162" s="215"/>
      <c r="Q162" s="215"/>
      <c r="R162" s="215"/>
      <c r="S162" s="215"/>
      <c r="T162" s="215"/>
      <c r="U162" s="215"/>
      <c r="V162" s="215"/>
      <c r="W162" s="215"/>
      <c r="X162" s="215"/>
      <c r="Y162" s="215"/>
      <c r="Z162" s="215"/>
      <c r="AA162" s="215"/>
      <c r="AB162" s="215"/>
      <c r="AC162" s="215"/>
      <c r="AD162" s="215"/>
      <c r="AE162" s="215"/>
      <c r="AF162" s="215"/>
      <c r="AG162" s="215"/>
      <c r="AH162" s="215"/>
      <c r="AI162" s="215"/>
      <c r="AJ162" s="215"/>
      <c r="AK162" s="215"/>
      <c r="AL162" s="215"/>
      <c r="AM162" s="215"/>
      <c r="AN162" s="215"/>
      <c r="AO162" s="215"/>
      <c r="AP162" s="215"/>
      <c r="AQ162" s="215"/>
      <c r="AR162" s="215"/>
      <c r="AS162" s="215"/>
      <c r="AT162" s="215"/>
      <c r="AU162" s="215"/>
      <c r="AV162" s="215"/>
      <c r="AW162" s="215"/>
      <c r="AX162" s="215"/>
      <c r="AY162" s="215"/>
    </row>
    <row r="163">
      <c r="A163" s="77" t="s">
        <v>181</v>
      </c>
      <c r="B163" s="77" t="s">
        <v>3132</v>
      </c>
      <c r="C163" s="77" t="s">
        <v>2979</v>
      </c>
      <c r="D163" s="177" t="s">
        <v>3038</v>
      </c>
      <c r="E163" s="28" t="s">
        <v>1210</v>
      </c>
      <c r="F163" s="215"/>
      <c r="G163" s="215"/>
      <c r="H163" s="215"/>
      <c r="I163" s="215"/>
      <c r="J163" s="215"/>
      <c r="K163" s="215"/>
      <c r="L163" s="215"/>
      <c r="M163" s="215"/>
      <c r="N163" s="215"/>
      <c r="O163" s="215"/>
      <c r="P163" s="215"/>
      <c r="Q163" s="215"/>
      <c r="R163" s="215"/>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215"/>
      <c r="AN163" s="215"/>
      <c r="AO163" s="215"/>
      <c r="AP163" s="215"/>
      <c r="AQ163" s="215"/>
      <c r="AR163" s="215"/>
      <c r="AS163" s="215"/>
      <c r="AT163" s="215"/>
      <c r="AU163" s="215"/>
      <c r="AV163" s="215"/>
      <c r="AW163" s="215"/>
      <c r="AX163" s="215"/>
      <c r="AY163" s="215"/>
    </row>
    <row r="164">
      <c r="A164" s="77" t="s">
        <v>181</v>
      </c>
      <c r="B164" s="77" t="s">
        <v>3133</v>
      </c>
      <c r="C164" s="77" t="s">
        <v>2979</v>
      </c>
      <c r="D164" s="177" t="s">
        <v>3038</v>
      </c>
      <c r="E164" s="28" t="s">
        <v>1210</v>
      </c>
      <c r="F164" s="215"/>
      <c r="G164" s="215"/>
      <c r="H164" s="215"/>
      <c r="I164" s="215"/>
      <c r="J164" s="215"/>
      <c r="K164" s="215"/>
      <c r="L164" s="215"/>
      <c r="M164" s="215"/>
      <c r="N164" s="215"/>
      <c r="O164" s="215"/>
      <c r="P164" s="215"/>
      <c r="Q164" s="215"/>
      <c r="R164" s="215"/>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215"/>
      <c r="AN164" s="215"/>
      <c r="AO164" s="215"/>
      <c r="AP164" s="215"/>
      <c r="AQ164" s="215"/>
      <c r="AR164" s="215"/>
      <c r="AS164" s="215"/>
      <c r="AT164" s="215"/>
      <c r="AU164" s="215"/>
      <c r="AV164" s="215"/>
      <c r="AW164" s="215"/>
      <c r="AX164" s="215"/>
      <c r="AY164" s="215"/>
    </row>
    <row r="165">
      <c r="A165" s="77" t="s">
        <v>181</v>
      </c>
      <c r="B165" s="77" t="s">
        <v>3134</v>
      </c>
      <c r="C165" s="77" t="s">
        <v>2979</v>
      </c>
      <c r="D165" s="177" t="s">
        <v>3038</v>
      </c>
      <c r="E165" s="28" t="s">
        <v>1210</v>
      </c>
      <c r="F165" s="215"/>
      <c r="G165" s="215"/>
      <c r="H165" s="215"/>
      <c r="I165" s="215"/>
      <c r="J165" s="215"/>
      <c r="K165" s="215"/>
      <c r="L165" s="215"/>
      <c r="M165" s="215"/>
      <c r="N165" s="215"/>
      <c r="O165" s="215"/>
      <c r="P165" s="215"/>
      <c r="Q165" s="215"/>
      <c r="R165" s="215"/>
      <c r="S165" s="215"/>
      <c r="T165" s="215"/>
      <c r="U165" s="215"/>
      <c r="V165" s="215"/>
      <c r="W165" s="215"/>
      <c r="X165" s="215"/>
      <c r="Y165" s="215"/>
      <c r="Z165" s="215"/>
      <c r="AA165" s="215"/>
      <c r="AB165" s="215"/>
      <c r="AC165" s="215"/>
      <c r="AD165" s="215"/>
      <c r="AE165" s="215"/>
      <c r="AF165" s="215"/>
      <c r="AG165" s="215"/>
      <c r="AH165" s="215"/>
      <c r="AI165" s="215"/>
      <c r="AJ165" s="215"/>
      <c r="AK165" s="215"/>
      <c r="AL165" s="215"/>
      <c r="AM165" s="215"/>
      <c r="AN165" s="215"/>
      <c r="AO165" s="215"/>
      <c r="AP165" s="215"/>
      <c r="AQ165" s="215"/>
      <c r="AR165" s="215"/>
      <c r="AS165" s="215"/>
      <c r="AT165" s="215"/>
      <c r="AU165" s="215"/>
      <c r="AV165" s="215"/>
      <c r="AW165" s="215"/>
      <c r="AX165" s="215"/>
      <c r="AY165" s="215"/>
    </row>
    <row r="166">
      <c r="A166" s="77" t="s">
        <v>181</v>
      </c>
      <c r="B166" s="77" t="s">
        <v>3135</v>
      </c>
      <c r="C166" s="77" t="s">
        <v>2979</v>
      </c>
      <c r="D166" s="177" t="s">
        <v>3038</v>
      </c>
      <c r="E166" s="28" t="s">
        <v>1210</v>
      </c>
      <c r="F166" s="215"/>
      <c r="G166" s="215"/>
      <c r="H166" s="215"/>
      <c r="I166" s="215"/>
      <c r="J166" s="215"/>
      <c r="K166" s="215"/>
      <c r="L166" s="215"/>
      <c r="M166" s="215"/>
      <c r="N166" s="215"/>
      <c r="O166" s="215"/>
      <c r="P166" s="215"/>
      <c r="Q166" s="215"/>
      <c r="R166" s="215"/>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215"/>
      <c r="AN166" s="215"/>
      <c r="AO166" s="215"/>
      <c r="AP166" s="215"/>
      <c r="AQ166" s="215"/>
      <c r="AR166" s="215"/>
      <c r="AS166" s="215"/>
      <c r="AT166" s="215"/>
      <c r="AU166" s="215"/>
      <c r="AV166" s="215"/>
      <c r="AW166" s="215"/>
      <c r="AX166" s="215"/>
      <c r="AY166" s="215"/>
    </row>
    <row r="167">
      <c r="A167" s="77" t="s">
        <v>181</v>
      </c>
      <c r="B167" s="77" t="s">
        <v>3136</v>
      </c>
      <c r="C167" s="77" t="s">
        <v>2979</v>
      </c>
      <c r="D167" s="177" t="s">
        <v>3038</v>
      </c>
      <c r="E167" s="28" t="s">
        <v>1210</v>
      </c>
      <c r="F167" s="215"/>
      <c r="G167" s="215"/>
      <c r="H167" s="215"/>
      <c r="I167" s="215"/>
      <c r="J167" s="215"/>
      <c r="K167" s="215"/>
      <c r="L167" s="215"/>
      <c r="M167" s="215"/>
      <c r="N167" s="215"/>
      <c r="O167" s="215"/>
      <c r="P167" s="215"/>
      <c r="Q167" s="215"/>
      <c r="R167" s="215"/>
      <c r="S167" s="215"/>
      <c r="T167" s="215"/>
      <c r="U167" s="215"/>
      <c r="V167" s="215"/>
      <c r="W167" s="215"/>
      <c r="X167" s="215"/>
      <c r="Y167" s="215"/>
      <c r="Z167" s="215"/>
      <c r="AA167" s="215"/>
      <c r="AB167" s="215"/>
      <c r="AC167" s="215"/>
      <c r="AD167" s="215"/>
      <c r="AE167" s="215"/>
      <c r="AF167" s="215"/>
      <c r="AG167" s="215"/>
      <c r="AH167" s="215"/>
      <c r="AI167" s="215"/>
      <c r="AJ167" s="215"/>
      <c r="AK167" s="215"/>
      <c r="AL167" s="215"/>
      <c r="AM167" s="215"/>
      <c r="AN167" s="215"/>
      <c r="AO167" s="215"/>
      <c r="AP167" s="215"/>
      <c r="AQ167" s="215"/>
      <c r="AR167" s="215"/>
      <c r="AS167" s="215"/>
      <c r="AT167" s="215"/>
      <c r="AU167" s="215"/>
      <c r="AV167" s="215"/>
      <c r="AW167" s="215"/>
      <c r="AX167" s="215"/>
      <c r="AY167" s="215"/>
    </row>
    <row r="168">
      <c r="A168" s="77" t="s">
        <v>181</v>
      </c>
      <c r="B168" s="77" t="s">
        <v>3137</v>
      </c>
      <c r="C168" s="77" t="s">
        <v>2979</v>
      </c>
      <c r="D168" s="177" t="s">
        <v>3038</v>
      </c>
      <c r="E168" s="28" t="s">
        <v>1210</v>
      </c>
      <c r="F168" s="215"/>
      <c r="G168" s="215"/>
      <c r="H168" s="215"/>
      <c r="I168" s="215"/>
      <c r="J168" s="215"/>
      <c r="K168" s="215"/>
      <c r="L168" s="215"/>
      <c r="M168" s="215"/>
      <c r="N168" s="215"/>
      <c r="O168" s="215"/>
      <c r="P168" s="215"/>
      <c r="Q168" s="215"/>
      <c r="R168" s="215"/>
      <c r="S168" s="215"/>
      <c r="T168" s="215"/>
      <c r="U168" s="215"/>
      <c r="V168" s="215"/>
      <c r="W168" s="215"/>
      <c r="X168" s="215"/>
      <c r="Y168" s="215"/>
      <c r="Z168" s="215"/>
      <c r="AA168" s="215"/>
      <c r="AB168" s="215"/>
      <c r="AC168" s="215"/>
      <c r="AD168" s="215"/>
      <c r="AE168" s="215"/>
      <c r="AF168" s="215"/>
      <c r="AG168" s="215"/>
      <c r="AH168" s="215"/>
      <c r="AI168" s="215"/>
      <c r="AJ168" s="215"/>
      <c r="AK168" s="215"/>
      <c r="AL168" s="215"/>
      <c r="AM168" s="215"/>
      <c r="AN168" s="215"/>
      <c r="AO168" s="215"/>
      <c r="AP168" s="215"/>
      <c r="AQ168" s="215"/>
      <c r="AR168" s="215"/>
      <c r="AS168" s="215"/>
      <c r="AT168" s="215"/>
      <c r="AU168" s="215"/>
      <c r="AV168" s="215"/>
      <c r="AW168" s="215"/>
      <c r="AX168" s="215"/>
      <c r="AY168" s="215"/>
    </row>
    <row r="169">
      <c r="A169" s="77" t="s">
        <v>181</v>
      </c>
      <c r="B169" s="77" t="s">
        <v>3138</v>
      </c>
      <c r="C169" s="77" t="s">
        <v>2979</v>
      </c>
      <c r="D169" s="177" t="s">
        <v>3038</v>
      </c>
      <c r="E169" s="28" t="s">
        <v>1210</v>
      </c>
      <c r="F169" s="215"/>
      <c r="G169" s="215"/>
      <c r="H169" s="215"/>
      <c r="I169" s="215"/>
      <c r="J169" s="215"/>
      <c r="K169" s="215"/>
      <c r="L169" s="215"/>
      <c r="M169" s="215"/>
      <c r="N169" s="215"/>
      <c r="O169" s="215"/>
      <c r="P169" s="215"/>
      <c r="Q169" s="215"/>
      <c r="R169" s="215"/>
      <c r="S169" s="215"/>
      <c r="T169" s="215"/>
      <c r="U169" s="215"/>
      <c r="V169" s="215"/>
      <c r="W169" s="215"/>
      <c r="X169" s="215"/>
      <c r="Y169" s="215"/>
      <c r="Z169" s="215"/>
      <c r="AA169" s="215"/>
      <c r="AB169" s="215"/>
      <c r="AC169" s="215"/>
      <c r="AD169" s="215"/>
      <c r="AE169" s="215"/>
      <c r="AF169" s="215"/>
      <c r="AG169" s="215"/>
      <c r="AH169" s="215"/>
      <c r="AI169" s="215"/>
      <c r="AJ169" s="215"/>
      <c r="AK169" s="215"/>
      <c r="AL169" s="215"/>
      <c r="AM169" s="215"/>
      <c r="AN169" s="215"/>
      <c r="AO169" s="215"/>
      <c r="AP169" s="215"/>
      <c r="AQ169" s="215"/>
      <c r="AR169" s="215"/>
      <c r="AS169" s="215"/>
      <c r="AT169" s="215"/>
      <c r="AU169" s="215"/>
      <c r="AV169" s="215"/>
      <c r="AW169" s="215"/>
      <c r="AX169" s="215"/>
      <c r="AY169" s="215"/>
    </row>
    <row r="170">
      <c r="A170" s="77" t="s">
        <v>181</v>
      </c>
      <c r="B170" s="77" t="s">
        <v>3139</v>
      </c>
      <c r="C170" s="77" t="s">
        <v>2979</v>
      </c>
      <c r="D170" s="177" t="s">
        <v>3038</v>
      </c>
      <c r="E170" s="28" t="s">
        <v>1210</v>
      </c>
      <c r="F170" s="215"/>
      <c r="G170" s="215"/>
      <c r="H170" s="215"/>
      <c r="I170" s="215"/>
      <c r="J170" s="215"/>
      <c r="K170" s="215"/>
      <c r="L170" s="215"/>
      <c r="M170" s="215"/>
      <c r="N170" s="215"/>
      <c r="O170" s="215"/>
      <c r="P170" s="215"/>
      <c r="Q170" s="215"/>
      <c r="R170" s="215"/>
      <c r="S170" s="215"/>
      <c r="T170" s="215"/>
      <c r="U170" s="215"/>
      <c r="V170" s="215"/>
      <c r="W170" s="215"/>
      <c r="X170" s="215"/>
      <c r="Y170" s="215"/>
      <c r="Z170" s="215"/>
      <c r="AA170" s="215"/>
      <c r="AB170" s="215"/>
      <c r="AC170" s="215"/>
      <c r="AD170" s="215"/>
      <c r="AE170" s="215"/>
      <c r="AF170" s="215"/>
      <c r="AG170" s="215"/>
      <c r="AH170" s="215"/>
      <c r="AI170" s="215"/>
      <c r="AJ170" s="215"/>
      <c r="AK170" s="215"/>
      <c r="AL170" s="215"/>
      <c r="AM170" s="215"/>
      <c r="AN170" s="215"/>
      <c r="AO170" s="215"/>
      <c r="AP170" s="215"/>
      <c r="AQ170" s="215"/>
      <c r="AR170" s="215"/>
      <c r="AS170" s="215"/>
      <c r="AT170" s="215"/>
      <c r="AU170" s="215"/>
      <c r="AV170" s="215"/>
      <c r="AW170" s="215"/>
      <c r="AX170" s="215"/>
      <c r="AY170" s="215"/>
    </row>
    <row r="171">
      <c r="A171" s="77" t="s">
        <v>181</v>
      </c>
      <c r="B171" s="77" t="s">
        <v>3140</v>
      </c>
      <c r="C171" s="77" t="s">
        <v>2979</v>
      </c>
      <c r="D171" s="177" t="s">
        <v>3038</v>
      </c>
      <c r="E171" s="28" t="s">
        <v>1210</v>
      </c>
      <c r="F171" s="215"/>
      <c r="G171" s="215"/>
      <c r="H171" s="215"/>
      <c r="I171" s="215"/>
      <c r="J171" s="215"/>
      <c r="K171" s="215"/>
      <c r="L171" s="215"/>
      <c r="M171" s="215"/>
      <c r="N171" s="215"/>
      <c r="O171" s="215"/>
      <c r="P171" s="215"/>
      <c r="Q171" s="215"/>
      <c r="R171" s="215"/>
      <c r="S171" s="215"/>
      <c r="T171" s="215"/>
      <c r="U171" s="215"/>
      <c r="V171" s="215"/>
      <c r="W171" s="215"/>
      <c r="X171" s="215"/>
      <c r="Y171" s="215"/>
      <c r="Z171" s="215"/>
      <c r="AA171" s="215"/>
      <c r="AB171" s="215"/>
      <c r="AC171" s="215"/>
      <c r="AD171" s="215"/>
      <c r="AE171" s="215"/>
      <c r="AF171" s="215"/>
      <c r="AG171" s="215"/>
      <c r="AH171" s="215"/>
      <c r="AI171" s="215"/>
      <c r="AJ171" s="215"/>
      <c r="AK171" s="215"/>
      <c r="AL171" s="215"/>
      <c r="AM171" s="215"/>
      <c r="AN171" s="215"/>
      <c r="AO171" s="215"/>
      <c r="AP171" s="215"/>
      <c r="AQ171" s="215"/>
      <c r="AR171" s="215"/>
      <c r="AS171" s="215"/>
      <c r="AT171" s="215"/>
      <c r="AU171" s="215"/>
      <c r="AV171" s="215"/>
      <c r="AW171" s="215"/>
      <c r="AX171" s="215"/>
      <c r="AY171" s="215"/>
    </row>
    <row r="172">
      <c r="A172" s="77" t="s">
        <v>181</v>
      </c>
      <c r="B172" s="77" t="s">
        <v>3141</v>
      </c>
      <c r="C172" s="77" t="s">
        <v>2979</v>
      </c>
      <c r="D172" s="177" t="s">
        <v>3038</v>
      </c>
      <c r="E172" s="28" t="s">
        <v>1210</v>
      </c>
      <c r="F172" s="215"/>
      <c r="G172" s="215"/>
      <c r="H172" s="215"/>
      <c r="I172" s="215"/>
      <c r="J172" s="215"/>
      <c r="K172" s="215"/>
      <c r="L172" s="215"/>
      <c r="M172" s="215"/>
      <c r="N172" s="215"/>
      <c r="O172" s="215"/>
      <c r="P172" s="215"/>
      <c r="Q172" s="215"/>
      <c r="R172" s="215"/>
      <c r="S172" s="215"/>
      <c r="T172" s="215"/>
      <c r="U172" s="215"/>
      <c r="V172" s="215"/>
      <c r="W172" s="215"/>
      <c r="X172" s="215"/>
      <c r="Y172" s="215"/>
      <c r="Z172" s="215"/>
      <c r="AA172" s="215"/>
      <c r="AB172" s="215"/>
      <c r="AC172" s="215"/>
      <c r="AD172" s="215"/>
      <c r="AE172" s="215"/>
      <c r="AF172" s="215"/>
      <c r="AG172" s="215"/>
      <c r="AH172" s="215"/>
      <c r="AI172" s="215"/>
      <c r="AJ172" s="215"/>
      <c r="AK172" s="215"/>
      <c r="AL172" s="215"/>
      <c r="AM172" s="215"/>
      <c r="AN172" s="215"/>
      <c r="AO172" s="215"/>
      <c r="AP172" s="215"/>
      <c r="AQ172" s="215"/>
      <c r="AR172" s="215"/>
      <c r="AS172" s="215"/>
      <c r="AT172" s="215"/>
      <c r="AU172" s="215"/>
      <c r="AV172" s="215"/>
      <c r="AW172" s="215"/>
      <c r="AX172" s="215"/>
      <c r="AY172" s="215"/>
    </row>
    <row r="173">
      <c r="A173" s="77" t="s">
        <v>181</v>
      </c>
      <c r="B173" s="77" t="s">
        <v>3142</v>
      </c>
      <c r="C173" s="77" t="s">
        <v>2979</v>
      </c>
      <c r="D173" s="177" t="s">
        <v>3038</v>
      </c>
      <c r="E173" s="28" t="s">
        <v>1210</v>
      </c>
      <c r="F173" s="215"/>
      <c r="G173" s="215"/>
      <c r="H173" s="215"/>
      <c r="I173" s="215"/>
      <c r="J173" s="215"/>
      <c r="K173" s="215"/>
      <c r="L173" s="215"/>
      <c r="M173" s="215"/>
      <c r="N173" s="215"/>
      <c r="O173" s="215"/>
      <c r="P173" s="215"/>
      <c r="Q173" s="215"/>
      <c r="R173" s="215"/>
      <c r="S173" s="215"/>
      <c r="T173" s="215"/>
      <c r="U173" s="215"/>
      <c r="V173" s="215"/>
      <c r="W173" s="215"/>
      <c r="X173" s="215"/>
      <c r="Y173" s="215"/>
      <c r="Z173" s="215"/>
      <c r="AA173" s="215"/>
      <c r="AB173" s="215"/>
      <c r="AC173" s="215"/>
      <c r="AD173" s="215"/>
      <c r="AE173" s="215"/>
      <c r="AF173" s="215"/>
      <c r="AG173" s="215"/>
      <c r="AH173" s="215"/>
      <c r="AI173" s="215"/>
      <c r="AJ173" s="215"/>
      <c r="AK173" s="215"/>
      <c r="AL173" s="215"/>
      <c r="AM173" s="215"/>
      <c r="AN173" s="215"/>
      <c r="AO173" s="215"/>
      <c r="AP173" s="215"/>
      <c r="AQ173" s="215"/>
      <c r="AR173" s="215"/>
      <c r="AS173" s="215"/>
      <c r="AT173" s="215"/>
      <c r="AU173" s="215"/>
      <c r="AV173" s="215"/>
      <c r="AW173" s="215"/>
      <c r="AX173" s="215"/>
      <c r="AY173" s="215"/>
    </row>
    <row r="174">
      <c r="A174" s="77" t="s">
        <v>181</v>
      </c>
      <c r="B174" s="77" t="s">
        <v>3143</v>
      </c>
      <c r="C174" s="77" t="s">
        <v>2979</v>
      </c>
      <c r="D174" s="177" t="s">
        <v>3038</v>
      </c>
      <c r="E174" s="28" t="s">
        <v>1210</v>
      </c>
      <c r="F174" s="215"/>
      <c r="G174" s="215"/>
      <c r="H174" s="215"/>
      <c r="I174" s="215"/>
      <c r="J174" s="215"/>
      <c r="K174" s="215"/>
      <c r="L174" s="215"/>
      <c r="M174" s="215"/>
      <c r="N174" s="215"/>
      <c r="O174" s="215"/>
      <c r="P174" s="215"/>
      <c r="Q174" s="215"/>
      <c r="R174" s="215"/>
      <c r="S174" s="215"/>
      <c r="T174" s="215"/>
      <c r="U174" s="215"/>
      <c r="V174" s="215"/>
      <c r="W174" s="215"/>
      <c r="X174" s="215"/>
      <c r="Y174" s="215"/>
      <c r="Z174" s="215"/>
      <c r="AA174" s="215"/>
      <c r="AB174" s="215"/>
      <c r="AC174" s="215"/>
      <c r="AD174" s="215"/>
      <c r="AE174" s="215"/>
      <c r="AF174" s="215"/>
      <c r="AG174" s="215"/>
      <c r="AH174" s="215"/>
      <c r="AI174" s="215"/>
      <c r="AJ174" s="215"/>
      <c r="AK174" s="215"/>
      <c r="AL174" s="215"/>
      <c r="AM174" s="215"/>
      <c r="AN174" s="215"/>
      <c r="AO174" s="215"/>
      <c r="AP174" s="215"/>
      <c r="AQ174" s="215"/>
      <c r="AR174" s="215"/>
      <c r="AS174" s="215"/>
      <c r="AT174" s="215"/>
      <c r="AU174" s="215"/>
      <c r="AV174" s="215"/>
      <c r="AW174" s="215"/>
      <c r="AX174" s="215"/>
      <c r="AY174" s="215"/>
    </row>
    <row r="175">
      <c r="A175" s="77" t="s">
        <v>181</v>
      </c>
      <c r="B175" s="77" t="s">
        <v>3144</v>
      </c>
      <c r="C175" s="77" t="s">
        <v>2979</v>
      </c>
      <c r="D175" s="177" t="s">
        <v>3038</v>
      </c>
      <c r="E175" s="28" t="s">
        <v>1210</v>
      </c>
      <c r="F175" s="215"/>
      <c r="G175" s="215"/>
      <c r="H175" s="215"/>
      <c r="I175" s="215"/>
      <c r="J175" s="215"/>
      <c r="K175" s="215"/>
      <c r="L175" s="215"/>
      <c r="M175" s="215"/>
      <c r="N175" s="215"/>
      <c r="O175" s="215"/>
      <c r="P175" s="215"/>
      <c r="Q175" s="215"/>
      <c r="R175" s="215"/>
      <c r="S175" s="215"/>
      <c r="T175" s="215"/>
      <c r="U175" s="215"/>
      <c r="V175" s="215"/>
      <c r="W175" s="215"/>
      <c r="X175" s="215"/>
      <c r="Y175" s="215"/>
      <c r="Z175" s="215"/>
      <c r="AA175" s="215"/>
      <c r="AB175" s="215"/>
      <c r="AC175" s="215"/>
      <c r="AD175" s="215"/>
      <c r="AE175" s="215"/>
      <c r="AF175" s="215"/>
      <c r="AG175" s="215"/>
      <c r="AH175" s="215"/>
      <c r="AI175" s="215"/>
      <c r="AJ175" s="215"/>
      <c r="AK175" s="215"/>
      <c r="AL175" s="215"/>
      <c r="AM175" s="215"/>
      <c r="AN175" s="215"/>
      <c r="AO175" s="215"/>
      <c r="AP175" s="215"/>
      <c r="AQ175" s="215"/>
      <c r="AR175" s="215"/>
      <c r="AS175" s="215"/>
      <c r="AT175" s="215"/>
      <c r="AU175" s="215"/>
      <c r="AV175" s="215"/>
      <c r="AW175" s="215"/>
      <c r="AX175" s="215"/>
      <c r="AY175" s="215"/>
    </row>
    <row r="176">
      <c r="A176" s="88" t="s">
        <v>181</v>
      </c>
      <c r="B176" s="89" t="s">
        <v>206</v>
      </c>
      <c r="C176" s="177" t="s">
        <v>2986</v>
      </c>
      <c r="D176" s="28" t="s">
        <v>3145</v>
      </c>
      <c r="E176" s="28" t="s">
        <v>1457</v>
      </c>
      <c r="F176" s="163"/>
      <c r="G176" s="88"/>
      <c r="H176" s="88"/>
      <c r="I176" s="88"/>
      <c r="J176" s="88"/>
      <c r="K176" s="87"/>
      <c r="L176" s="87"/>
      <c r="M176" s="175"/>
      <c r="N176" s="291"/>
      <c r="O176" s="175"/>
      <c r="P176" s="175"/>
      <c r="Q176" s="215"/>
      <c r="R176" s="28"/>
      <c r="S176" s="215"/>
      <c r="T176" s="215"/>
      <c r="U176" s="215"/>
      <c r="V176" s="215"/>
      <c r="W176" s="215"/>
      <c r="X176" s="215"/>
      <c r="Y176" s="215"/>
      <c r="Z176" s="215"/>
      <c r="AA176" s="215"/>
      <c r="AB176" s="215"/>
      <c r="AC176" s="215"/>
      <c r="AD176" s="215"/>
      <c r="AE176" s="215"/>
      <c r="AF176" s="215"/>
      <c r="AG176" s="215"/>
      <c r="AH176" s="215"/>
      <c r="AI176" s="215"/>
      <c r="AJ176" s="215"/>
      <c r="AK176" s="215"/>
      <c r="AL176" s="215"/>
      <c r="AM176" s="215"/>
      <c r="AN176" s="215"/>
      <c r="AO176" s="215"/>
      <c r="AP176" s="215"/>
      <c r="AQ176" s="215"/>
      <c r="AR176" s="215"/>
      <c r="AS176" s="215"/>
      <c r="AT176" s="215"/>
      <c r="AU176" s="215"/>
      <c r="AV176" s="215"/>
      <c r="AW176" s="215"/>
      <c r="AX176" s="215"/>
      <c r="AY176" s="215"/>
    </row>
    <row r="177">
      <c r="A177" s="215" t="s">
        <v>261</v>
      </c>
      <c r="B177" s="80" t="s">
        <v>3146</v>
      </c>
      <c r="C177" s="77" t="s">
        <v>2979</v>
      </c>
      <c r="D177" s="215" t="s">
        <v>3147</v>
      </c>
      <c r="E177" s="28" t="s">
        <v>1210</v>
      </c>
      <c r="F177" s="215"/>
      <c r="G177" s="215"/>
      <c r="H177" s="215"/>
      <c r="I177" s="215"/>
      <c r="J177" s="215"/>
      <c r="K177" s="215"/>
      <c r="L177" s="215"/>
      <c r="M177" s="215"/>
      <c r="N177" s="215"/>
      <c r="O177" s="215"/>
      <c r="P177" s="215"/>
      <c r="Q177" s="215"/>
      <c r="R177" s="215"/>
      <c r="S177" s="215"/>
      <c r="T177" s="215"/>
      <c r="U177" s="215"/>
      <c r="V177" s="215"/>
      <c r="W177" s="215"/>
      <c r="X177" s="215"/>
      <c r="Y177" s="215"/>
      <c r="Z177" s="215"/>
      <c r="AA177" s="215"/>
      <c r="AB177" s="215"/>
      <c r="AC177" s="215"/>
      <c r="AD177" s="215"/>
      <c r="AE177" s="215"/>
      <c r="AF177" s="215"/>
      <c r="AG177" s="215"/>
      <c r="AH177" s="215"/>
      <c r="AI177" s="215"/>
      <c r="AJ177" s="215"/>
      <c r="AK177" s="215"/>
      <c r="AL177" s="215"/>
      <c r="AM177" s="215"/>
      <c r="AN177" s="215"/>
      <c r="AO177" s="215"/>
      <c r="AP177" s="215"/>
      <c r="AQ177" s="215"/>
      <c r="AR177" s="215"/>
      <c r="AS177" s="215"/>
      <c r="AT177" s="215"/>
      <c r="AU177" s="215"/>
      <c r="AV177" s="215"/>
      <c r="AW177" s="215"/>
      <c r="AX177" s="215"/>
      <c r="AY177" s="215"/>
    </row>
    <row r="178" ht="15.0" customHeight="1">
      <c r="A178" s="26" t="s">
        <v>261</v>
      </c>
      <c r="B178" s="195" t="s">
        <v>3148</v>
      </c>
      <c r="C178" s="77" t="s">
        <v>2979</v>
      </c>
      <c r="D178" s="72" t="s">
        <v>3149</v>
      </c>
      <c r="E178" s="28" t="s">
        <v>1210</v>
      </c>
      <c r="F178" s="72"/>
      <c r="G178" s="27"/>
      <c r="H178" s="27"/>
      <c r="I178" s="27"/>
      <c r="J178" s="72"/>
      <c r="K178" s="124"/>
      <c r="L178" s="27"/>
      <c r="M178" s="72"/>
      <c r="N178" s="195"/>
      <c r="O178" s="72"/>
      <c r="P178" s="27"/>
      <c r="Q178" s="72"/>
      <c r="R178" s="72"/>
      <c r="S178" s="123"/>
      <c r="T178" s="72"/>
      <c r="U178" s="27"/>
      <c r="V178" s="72"/>
      <c r="W178" s="195"/>
      <c r="X178" s="72"/>
      <c r="Y178" s="27"/>
      <c r="Z178" s="27"/>
      <c r="AA178" s="27"/>
      <c r="AI178" s="215"/>
      <c r="AJ178" s="215"/>
      <c r="AK178" s="215"/>
      <c r="AL178" s="215"/>
      <c r="AM178" s="215"/>
      <c r="AN178" s="215"/>
      <c r="AO178" s="215"/>
      <c r="AP178" s="215"/>
      <c r="AQ178" s="215"/>
      <c r="AR178" s="215"/>
      <c r="AS178" s="215"/>
      <c r="AT178" s="215"/>
      <c r="AU178" s="215"/>
      <c r="AV178" s="215"/>
      <c r="AW178" s="215"/>
      <c r="AX178" s="215"/>
      <c r="AY178" s="215"/>
    </row>
    <row r="179">
      <c r="A179" s="80" t="s">
        <v>261</v>
      </c>
      <c r="B179" s="80" t="s">
        <v>3150</v>
      </c>
      <c r="C179" s="77" t="s">
        <v>2979</v>
      </c>
      <c r="D179" s="77" t="s">
        <v>3151</v>
      </c>
      <c r="E179" s="28" t="s">
        <v>1210</v>
      </c>
      <c r="F179" s="215"/>
      <c r="G179" s="215"/>
      <c r="H179" s="215"/>
      <c r="I179" s="215"/>
      <c r="J179" s="215"/>
      <c r="K179" s="215"/>
      <c r="L179" s="215"/>
      <c r="M179" s="215"/>
      <c r="N179" s="215"/>
      <c r="O179" s="215"/>
      <c r="P179" s="215"/>
      <c r="Q179" s="215"/>
      <c r="R179" s="215"/>
      <c r="S179" s="215"/>
      <c r="T179" s="215"/>
      <c r="U179" s="215"/>
      <c r="V179" s="215"/>
      <c r="W179" s="215"/>
      <c r="X179" s="215"/>
      <c r="Y179" s="215"/>
      <c r="Z179" s="215"/>
      <c r="AA179" s="215"/>
      <c r="AB179" s="215"/>
      <c r="AC179" s="215"/>
      <c r="AD179" s="215"/>
      <c r="AE179" s="215"/>
      <c r="AF179" s="215"/>
      <c r="AG179" s="215"/>
      <c r="AH179" s="215"/>
      <c r="AI179" s="215"/>
      <c r="AJ179" s="215"/>
      <c r="AK179" s="215"/>
      <c r="AL179" s="215"/>
      <c r="AM179" s="215"/>
      <c r="AN179" s="215"/>
      <c r="AO179" s="215"/>
      <c r="AP179" s="215"/>
      <c r="AQ179" s="215"/>
      <c r="AR179" s="215"/>
      <c r="AS179" s="215"/>
      <c r="AT179" s="215"/>
      <c r="AU179" s="215"/>
      <c r="AV179" s="215"/>
      <c r="AW179" s="215"/>
      <c r="AX179" s="215"/>
      <c r="AY179" s="215"/>
    </row>
    <row r="180">
      <c r="A180" s="123" t="s">
        <v>181</v>
      </c>
      <c r="B180" s="195" t="s">
        <v>214</v>
      </c>
      <c r="C180" s="177" t="s">
        <v>2979</v>
      </c>
      <c r="D180" s="292" t="s">
        <v>3152</v>
      </c>
      <c r="E180" s="28" t="s">
        <v>1457</v>
      </c>
      <c r="F180" s="123"/>
      <c r="G180" s="123"/>
      <c r="H180" s="123"/>
      <c r="I180" s="123"/>
      <c r="J180" s="123"/>
      <c r="K180" s="123"/>
      <c r="L180" s="123"/>
      <c r="M180" s="123"/>
      <c r="N180" s="123"/>
      <c r="O180" s="123"/>
      <c r="P180" s="123"/>
      <c r="Q180" s="123"/>
      <c r="R180" s="123"/>
      <c r="S180" s="123"/>
      <c r="T180" s="123"/>
      <c r="U180" s="123"/>
      <c r="V180" s="123"/>
      <c r="W180" s="123"/>
      <c r="X180" s="123"/>
      <c r="Y180" s="123"/>
      <c r="Z180" s="123"/>
      <c r="AA180" s="123"/>
      <c r="AB180" s="123"/>
      <c r="AC180" s="123"/>
      <c r="AD180" s="123"/>
      <c r="AE180" s="123"/>
      <c r="AF180" s="123"/>
      <c r="AG180" s="123"/>
      <c r="AH180" s="123"/>
      <c r="AI180" s="215"/>
      <c r="AJ180" s="215"/>
      <c r="AK180" s="215"/>
      <c r="AL180" s="215"/>
      <c r="AM180" s="215"/>
      <c r="AN180" s="215"/>
      <c r="AO180" s="215"/>
      <c r="AP180" s="215"/>
      <c r="AQ180" s="215"/>
      <c r="AR180" s="215"/>
      <c r="AS180" s="215"/>
      <c r="AT180" s="215"/>
      <c r="AU180" s="215"/>
      <c r="AV180" s="215"/>
      <c r="AW180" s="215"/>
      <c r="AX180" s="215"/>
      <c r="AY180" s="215"/>
    </row>
    <row r="181">
      <c r="A181" s="28" t="s">
        <v>93</v>
      </c>
      <c r="B181" s="85" t="s">
        <v>830</v>
      </c>
      <c r="C181" s="177" t="s">
        <v>2986</v>
      </c>
      <c r="D181" s="293" t="s">
        <v>3153</v>
      </c>
      <c r="E181" s="28" t="s">
        <v>1457</v>
      </c>
      <c r="F181" s="42"/>
      <c r="G181" s="28"/>
      <c r="H181" s="28"/>
      <c r="I181" s="28"/>
      <c r="J181" s="28"/>
      <c r="K181" s="42"/>
      <c r="L181" s="42"/>
      <c r="M181" s="88"/>
      <c r="N181" s="92"/>
      <c r="O181" s="88"/>
      <c r="P181" s="88"/>
      <c r="Q181" s="77"/>
      <c r="R181" s="215"/>
      <c r="S181" s="215"/>
      <c r="T181" s="215"/>
      <c r="U181" s="215"/>
      <c r="V181" s="215"/>
      <c r="W181" s="215"/>
      <c r="X181" s="215"/>
      <c r="Y181" s="215"/>
      <c r="Z181" s="215"/>
      <c r="AA181" s="215"/>
      <c r="AB181" s="215"/>
      <c r="AC181" s="215"/>
      <c r="AD181" s="215"/>
      <c r="AE181" s="215"/>
      <c r="AF181" s="215"/>
      <c r="AG181" s="215"/>
      <c r="AH181" s="215"/>
      <c r="AI181" s="215"/>
      <c r="AJ181" s="215"/>
      <c r="AK181" s="215"/>
      <c r="AL181" s="215"/>
      <c r="AM181" s="215"/>
      <c r="AN181" s="215"/>
      <c r="AO181" s="215"/>
      <c r="AP181" s="215"/>
      <c r="AQ181" s="215"/>
      <c r="AR181" s="215"/>
      <c r="AS181" s="215"/>
      <c r="AT181" s="215"/>
      <c r="AU181" s="215"/>
      <c r="AV181" s="215"/>
      <c r="AW181" s="215"/>
      <c r="AX181" s="215"/>
      <c r="AY181" s="215"/>
    </row>
    <row r="182">
      <c r="A182" s="28" t="s">
        <v>261</v>
      </c>
      <c r="B182" s="80" t="s">
        <v>421</v>
      </c>
      <c r="C182" s="177" t="s">
        <v>2986</v>
      </c>
      <c r="D182" s="294" t="s">
        <v>3153</v>
      </c>
      <c r="E182" s="28" t="s">
        <v>1457</v>
      </c>
      <c r="F182" s="215"/>
      <c r="G182" s="28"/>
      <c r="H182" s="28"/>
      <c r="I182" s="28"/>
      <c r="J182" s="295"/>
      <c r="K182" s="28"/>
      <c r="L182" s="28"/>
      <c r="M182" s="88"/>
      <c r="N182" s="92"/>
      <c r="O182" s="88"/>
      <c r="P182" s="88"/>
      <c r="Q182" s="77"/>
      <c r="R182" s="215"/>
      <c r="S182" s="215"/>
      <c r="T182" s="215"/>
      <c r="U182" s="215"/>
      <c r="V182" s="215"/>
      <c r="W182" s="215"/>
      <c r="X182" s="215"/>
      <c r="Y182" s="215"/>
      <c r="Z182" s="215"/>
      <c r="AA182" s="215"/>
      <c r="AB182" s="215"/>
      <c r="AC182" s="215"/>
      <c r="AD182" s="215"/>
      <c r="AE182" s="215"/>
      <c r="AF182" s="215"/>
      <c r="AG182" s="215"/>
      <c r="AH182" s="215"/>
      <c r="AI182" s="215"/>
      <c r="AJ182" s="215"/>
      <c r="AK182" s="215"/>
      <c r="AL182" s="215"/>
      <c r="AM182" s="215"/>
      <c r="AN182" s="215"/>
      <c r="AO182" s="215"/>
      <c r="AP182" s="215"/>
      <c r="AQ182" s="215"/>
      <c r="AR182" s="215"/>
      <c r="AS182" s="215"/>
      <c r="AT182" s="215"/>
      <c r="AU182" s="215"/>
      <c r="AV182" s="215"/>
      <c r="AW182" s="215"/>
      <c r="AX182" s="215"/>
      <c r="AY182" s="215"/>
    </row>
    <row r="183" ht="15.0" customHeight="1">
      <c r="A183" s="26" t="s">
        <v>261</v>
      </c>
      <c r="B183" s="195" t="s">
        <v>3154</v>
      </c>
      <c r="C183" s="177" t="s">
        <v>2979</v>
      </c>
      <c r="D183" s="292" t="s">
        <v>3155</v>
      </c>
      <c r="E183" s="28" t="s">
        <v>1210</v>
      </c>
      <c r="F183" s="72" t="s">
        <v>559</v>
      </c>
      <c r="G183" s="27" t="s">
        <v>3156</v>
      </c>
      <c r="H183" s="27"/>
      <c r="I183" s="27" t="s">
        <v>620</v>
      </c>
      <c r="J183" s="72" t="s">
        <v>620</v>
      </c>
      <c r="K183" s="27" t="s">
        <v>3157</v>
      </c>
      <c r="L183" s="27" t="s">
        <v>3158</v>
      </c>
      <c r="M183" s="71" t="s">
        <v>3159</v>
      </c>
      <c r="N183" s="75">
        <v>2025.0</v>
      </c>
      <c r="O183" s="157" t="s">
        <v>992</v>
      </c>
      <c r="P183" s="157" t="s">
        <v>972</v>
      </c>
      <c r="Q183" s="138" t="s">
        <v>963</v>
      </c>
      <c r="R183" s="123"/>
      <c r="S183" s="123"/>
      <c r="T183" s="72"/>
      <c r="U183" s="27"/>
      <c r="V183" s="72"/>
      <c r="W183" s="195"/>
      <c r="X183" s="124"/>
      <c r="Y183" s="27"/>
      <c r="Z183" s="27"/>
      <c r="AA183" s="27"/>
      <c r="AK183" s="215"/>
      <c r="AL183" s="215"/>
      <c r="AM183" s="215"/>
      <c r="AN183" s="215"/>
      <c r="AO183" s="215"/>
      <c r="AP183" s="215"/>
      <c r="AQ183" s="215"/>
      <c r="AR183" s="215"/>
      <c r="AS183" s="215"/>
      <c r="AT183" s="215"/>
      <c r="AU183" s="215"/>
      <c r="AV183" s="215"/>
      <c r="AW183" s="215"/>
      <c r="AX183" s="215"/>
      <c r="AY183" s="215"/>
    </row>
    <row r="184">
      <c r="A184" s="71" t="s">
        <v>181</v>
      </c>
      <c r="B184" s="73" t="s">
        <v>707</v>
      </c>
      <c r="C184" s="177" t="s">
        <v>2986</v>
      </c>
      <c r="D184" s="71" t="s">
        <v>3153</v>
      </c>
      <c r="E184" s="28" t="s">
        <v>1457</v>
      </c>
      <c r="F184" s="70"/>
      <c r="G184" s="71"/>
      <c r="H184" s="71"/>
      <c r="I184" s="72"/>
      <c r="J184" s="296"/>
      <c r="K184" s="72"/>
      <c r="L184" s="72"/>
      <c r="M184" s="71"/>
      <c r="N184" s="75"/>
      <c r="O184" s="71"/>
      <c r="P184" s="71"/>
      <c r="Q184" s="67"/>
      <c r="AK184" s="215"/>
      <c r="AL184" s="215"/>
      <c r="AM184" s="215"/>
      <c r="AN184" s="215"/>
      <c r="AO184" s="215"/>
      <c r="AP184" s="215"/>
      <c r="AQ184" s="215"/>
      <c r="AR184" s="215"/>
      <c r="AS184" s="215"/>
      <c r="AT184" s="215"/>
      <c r="AU184" s="215"/>
      <c r="AV184" s="215"/>
      <c r="AW184" s="215"/>
      <c r="AX184" s="215"/>
      <c r="AY184" s="215"/>
    </row>
    <row r="185">
      <c r="A185" s="72" t="s">
        <v>347</v>
      </c>
      <c r="B185" s="195" t="s">
        <v>752</v>
      </c>
      <c r="C185" s="177" t="s">
        <v>2986</v>
      </c>
      <c r="D185" s="297" t="s">
        <v>3153</v>
      </c>
      <c r="E185" s="28" t="s">
        <v>1457</v>
      </c>
      <c r="F185" s="123"/>
      <c r="I185" s="70"/>
      <c r="J185" s="298"/>
      <c r="L185" s="123"/>
      <c r="M185" s="71"/>
      <c r="N185" s="75"/>
      <c r="O185" s="71"/>
      <c r="P185" s="71"/>
      <c r="Q185" s="67"/>
      <c r="AK185" s="215"/>
      <c r="AL185" s="215"/>
      <c r="AM185" s="215"/>
      <c r="AN185" s="215"/>
      <c r="AO185" s="215"/>
      <c r="AP185" s="215"/>
      <c r="AQ185" s="215"/>
      <c r="AR185" s="215"/>
      <c r="AS185" s="215"/>
      <c r="AT185" s="215"/>
      <c r="AU185" s="215"/>
      <c r="AV185" s="215"/>
      <c r="AW185" s="215"/>
      <c r="AX185" s="215"/>
      <c r="AY185" s="215"/>
    </row>
    <row r="186">
      <c r="A186" s="26" t="s">
        <v>507</v>
      </c>
      <c r="B186" s="195" t="s">
        <v>633</v>
      </c>
      <c r="C186" s="177" t="s">
        <v>2986</v>
      </c>
      <c r="D186" s="299" t="s">
        <v>3153</v>
      </c>
      <c r="E186" s="28" t="s">
        <v>1457</v>
      </c>
      <c r="F186" s="123"/>
      <c r="G186" s="72"/>
      <c r="H186" s="72"/>
      <c r="I186" s="72"/>
      <c r="K186" s="72"/>
      <c r="L186" s="72"/>
      <c r="M186" s="71"/>
      <c r="N186" s="75"/>
      <c r="O186" s="71"/>
      <c r="P186" s="71"/>
      <c r="Q186" s="195"/>
      <c r="R186" s="123"/>
      <c r="S186" s="123"/>
      <c r="T186" s="123"/>
      <c r="U186" s="123"/>
      <c r="V186" s="123"/>
      <c r="W186" s="123"/>
      <c r="X186" s="123"/>
      <c r="Y186" s="123"/>
      <c r="Z186" s="123"/>
      <c r="AA186" s="123"/>
      <c r="AC186" s="123"/>
      <c r="AD186" s="123"/>
      <c r="AE186" s="123"/>
      <c r="AF186" s="123"/>
      <c r="AG186" s="123"/>
      <c r="AH186" s="123"/>
      <c r="AI186" s="123"/>
      <c r="AJ186" s="123"/>
      <c r="AK186" s="215"/>
      <c r="AL186" s="215"/>
      <c r="AM186" s="215"/>
      <c r="AN186" s="215"/>
      <c r="AO186" s="215"/>
      <c r="AP186" s="215"/>
      <c r="AQ186" s="215"/>
      <c r="AR186" s="215"/>
      <c r="AS186" s="215"/>
      <c r="AT186" s="215"/>
      <c r="AU186" s="215"/>
      <c r="AV186" s="215"/>
      <c r="AW186" s="215"/>
      <c r="AX186" s="215"/>
      <c r="AY186" s="215"/>
    </row>
    <row r="187">
      <c r="A187" s="89" t="s">
        <v>431</v>
      </c>
      <c r="B187" s="39" t="s">
        <v>540</v>
      </c>
      <c r="C187" s="177" t="s">
        <v>2986</v>
      </c>
      <c r="D187" s="177" t="s">
        <v>3063</v>
      </c>
      <c r="E187" s="88" t="s">
        <v>1210</v>
      </c>
      <c r="F187" s="88"/>
      <c r="G187" s="88"/>
      <c r="H187" s="88"/>
      <c r="I187" s="87"/>
      <c r="J187" s="87"/>
      <c r="K187" s="175"/>
      <c r="L187" s="291"/>
      <c r="M187" s="175"/>
      <c r="N187" s="175"/>
      <c r="O187" s="28"/>
      <c r="P187" s="28"/>
      <c r="Q187" s="215"/>
      <c r="R187" s="215"/>
      <c r="S187" s="215"/>
      <c r="T187" s="215"/>
      <c r="U187" s="215"/>
      <c r="V187" s="215"/>
      <c r="W187" s="215"/>
      <c r="X187" s="215"/>
      <c r="Y187" s="215"/>
      <c r="Z187" s="215"/>
      <c r="AA187" s="215"/>
      <c r="AB187" s="215"/>
      <c r="AC187" s="215"/>
      <c r="AD187" s="215"/>
      <c r="AE187" s="215"/>
      <c r="AF187" s="215"/>
      <c r="AG187" s="215"/>
      <c r="AH187" s="215"/>
      <c r="AI187" s="215"/>
      <c r="AJ187" s="215"/>
      <c r="AK187" s="215"/>
      <c r="AL187" s="215"/>
      <c r="AM187" s="215"/>
      <c r="AN187" s="215"/>
      <c r="AO187" s="215"/>
      <c r="AP187" s="215"/>
      <c r="AQ187" s="215"/>
      <c r="AR187" s="215"/>
      <c r="AS187" s="215"/>
      <c r="AT187" s="215"/>
      <c r="AU187" s="215"/>
      <c r="AV187" s="215"/>
      <c r="AW187" s="215"/>
      <c r="AX187" s="215"/>
      <c r="AY187" s="215"/>
    </row>
    <row r="188">
      <c r="A188" s="77" t="s">
        <v>261</v>
      </c>
      <c r="B188" s="37" t="s">
        <v>607</v>
      </c>
      <c r="C188" s="177" t="s">
        <v>2979</v>
      </c>
      <c r="D188" s="177" t="s">
        <v>3003</v>
      </c>
      <c r="E188" s="28" t="s">
        <v>963</v>
      </c>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215"/>
      <c r="AX188" s="215"/>
      <c r="AY188" s="215"/>
    </row>
    <row r="189">
      <c r="A189" s="77" t="s">
        <v>261</v>
      </c>
      <c r="B189" s="37" t="s">
        <v>610</v>
      </c>
      <c r="C189" s="177" t="s">
        <v>2979</v>
      </c>
      <c r="D189" s="177" t="s">
        <v>3003</v>
      </c>
      <c r="E189" s="28" t="s">
        <v>963</v>
      </c>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15"/>
      <c r="AH189" s="215"/>
      <c r="AI189" s="215"/>
      <c r="AJ189" s="215"/>
      <c r="AK189" s="215"/>
      <c r="AL189" s="215"/>
      <c r="AM189" s="215"/>
      <c r="AN189" s="215"/>
      <c r="AO189" s="215"/>
      <c r="AP189" s="215"/>
      <c r="AQ189" s="215"/>
      <c r="AR189" s="215"/>
      <c r="AS189" s="215"/>
      <c r="AT189" s="215"/>
      <c r="AU189" s="215"/>
      <c r="AV189" s="215"/>
      <c r="AW189" s="215"/>
      <c r="AX189" s="215"/>
      <c r="AY189" s="215"/>
    </row>
    <row r="190" ht="15.75" customHeight="1">
      <c r="A190" s="28" t="s">
        <v>261</v>
      </c>
      <c r="B190" s="82" t="s">
        <v>3160</v>
      </c>
      <c r="C190" s="177" t="s">
        <v>2979</v>
      </c>
      <c r="D190" s="177" t="s">
        <v>3038</v>
      </c>
      <c r="E190" s="28" t="s">
        <v>1210</v>
      </c>
      <c r="F190" s="178"/>
      <c r="G190" s="230"/>
      <c r="H190" s="230"/>
      <c r="I190" s="300"/>
      <c r="J190" s="177"/>
      <c r="K190" s="230"/>
      <c r="L190" s="230"/>
      <c r="M190" s="88"/>
      <c r="N190" s="92"/>
      <c r="O190" s="231"/>
      <c r="P190" s="231"/>
      <c r="Q190" s="177"/>
      <c r="R190" s="178"/>
      <c r="S190" s="232"/>
      <c r="T190" s="175"/>
      <c r="U190" s="42"/>
      <c r="V190" s="77"/>
      <c r="W190" s="87"/>
      <c r="X190" s="82"/>
      <c r="Y190" s="230"/>
      <c r="Z190" s="230"/>
      <c r="AA190" s="230"/>
      <c r="AB190" s="230"/>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215"/>
      <c r="AX190" s="215"/>
      <c r="AY190" s="215"/>
    </row>
    <row r="191">
      <c r="A191" s="77"/>
      <c r="B191" s="77" t="s">
        <v>3161</v>
      </c>
      <c r="C191" s="177" t="s">
        <v>2986</v>
      </c>
      <c r="D191" s="177" t="s">
        <v>3162</v>
      </c>
      <c r="E191" s="28" t="s">
        <v>1210</v>
      </c>
      <c r="F191" s="215"/>
      <c r="G191" s="215"/>
      <c r="H191" s="215"/>
      <c r="I191" s="215"/>
      <c r="J191" s="215"/>
      <c r="K191" s="215"/>
      <c r="L191" s="215"/>
      <c r="M191" s="215"/>
      <c r="N191" s="215"/>
      <c r="O191" s="215"/>
      <c r="P191" s="215"/>
      <c r="Q191" s="215"/>
      <c r="R191" s="215"/>
      <c r="S191" s="215"/>
      <c r="T191" s="215"/>
      <c r="U191" s="215"/>
      <c r="V191" s="215"/>
      <c r="W191" s="215"/>
      <c r="X191" s="215"/>
      <c r="Y191" s="215"/>
      <c r="Z191" s="215"/>
      <c r="AA191" s="215"/>
      <c r="AB191" s="215"/>
      <c r="AC191" s="215"/>
      <c r="AD191" s="215"/>
      <c r="AE191" s="215"/>
      <c r="AF191" s="215"/>
      <c r="AG191" s="215"/>
      <c r="AH191" s="215"/>
      <c r="AI191" s="215"/>
      <c r="AJ191" s="215"/>
      <c r="AK191" s="215"/>
      <c r="AL191" s="215"/>
      <c r="AM191" s="215"/>
      <c r="AN191" s="215"/>
      <c r="AO191" s="215"/>
      <c r="AP191" s="215"/>
      <c r="AQ191" s="215"/>
      <c r="AR191" s="215"/>
      <c r="AS191" s="215"/>
      <c r="AT191" s="215"/>
      <c r="AU191" s="215"/>
      <c r="AV191" s="215"/>
      <c r="AW191" s="215"/>
      <c r="AX191" s="215"/>
      <c r="AY191" s="215"/>
    </row>
    <row r="192">
      <c r="A192" s="77"/>
      <c r="B192" s="77" t="s">
        <v>3163</v>
      </c>
      <c r="C192" s="177" t="s">
        <v>2986</v>
      </c>
      <c r="D192" s="177" t="s">
        <v>3162</v>
      </c>
      <c r="E192" s="28" t="s">
        <v>1210</v>
      </c>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215"/>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215"/>
      <c r="AX192" s="215"/>
      <c r="AY192" s="215"/>
    </row>
    <row r="193">
      <c r="A193" s="77"/>
      <c r="B193" s="77" t="s">
        <v>3164</v>
      </c>
      <c r="C193" s="177" t="s">
        <v>2979</v>
      </c>
      <c r="D193" s="177" t="s">
        <v>3038</v>
      </c>
      <c r="E193" s="28" t="s">
        <v>1210</v>
      </c>
      <c r="F193" s="215"/>
      <c r="G193" s="215"/>
      <c r="H193" s="215"/>
      <c r="I193" s="215"/>
      <c r="J193" s="215"/>
      <c r="K193" s="215"/>
      <c r="L193" s="215"/>
      <c r="M193" s="215"/>
      <c r="N193" s="215"/>
      <c r="O193" s="215"/>
      <c r="P193" s="215"/>
      <c r="Q193" s="215"/>
      <c r="R193" s="215"/>
      <c r="S193" s="215"/>
      <c r="T193" s="215"/>
      <c r="U193" s="215"/>
      <c r="V193" s="215"/>
      <c r="W193" s="215"/>
      <c r="X193" s="215"/>
      <c r="Y193" s="215"/>
      <c r="Z193" s="215"/>
      <c r="AA193" s="215"/>
      <c r="AB193" s="215"/>
      <c r="AC193" s="215"/>
      <c r="AD193" s="215"/>
      <c r="AE193" s="215"/>
      <c r="AF193" s="215"/>
      <c r="AG193" s="215"/>
      <c r="AH193" s="215"/>
      <c r="AI193" s="215"/>
      <c r="AJ193" s="215"/>
      <c r="AK193" s="215"/>
      <c r="AL193" s="215"/>
      <c r="AM193" s="215"/>
      <c r="AN193" s="215"/>
      <c r="AO193" s="215"/>
      <c r="AP193" s="215"/>
      <c r="AQ193" s="215"/>
      <c r="AR193" s="215"/>
      <c r="AS193" s="215"/>
      <c r="AT193" s="215"/>
      <c r="AU193" s="215"/>
      <c r="AV193" s="215"/>
      <c r="AW193" s="215"/>
      <c r="AX193" s="215"/>
      <c r="AY193" s="215"/>
    </row>
    <row r="194">
      <c r="A194" s="77"/>
      <c r="B194" s="77" t="s">
        <v>3165</v>
      </c>
      <c r="C194" s="177" t="s">
        <v>2986</v>
      </c>
      <c r="D194" s="177" t="s">
        <v>3166</v>
      </c>
      <c r="E194" s="28" t="s">
        <v>1210</v>
      </c>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215"/>
      <c r="AX194" s="215"/>
      <c r="AY194" s="215"/>
    </row>
    <row r="195">
      <c r="A195" s="77"/>
      <c r="B195" s="77" t="s">
        <v>3167</v>
      </c>
      <c r="C195" s="177" t="s">
        <v>2986</v>
      </c>
      <c r="D195" s="177" t="s">
        <v>3168</v>
      </c>
      <c r="E195" s="28" t="s">
        <v>1210</v>
      </c>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15"/>
      <c r="AH195" s="215"/>
      <c r="AI195" s="215"/>
      <c r="AJ195" s="215"/>
      <c r="AK195" s="215"/>
      <c r="AL195" s="215"/>
      <c r="AM195" s="215"/>
      <c r="AN195" s="215"/>
      <c r="AO195" s="215"/>
      <c r="AP195" s="215"/>
      <c r="AQ195" s="215"/>
      <c r="AR195" s="215"/>
      <c r="AS195" s="215"/>
      <c r="AT195" s="215"/>
      <c r="AU195" s="215"/>
      <c r="AV195" s="215"/>
      <c r="AW195" s="215"/>
      <c r="AX195" s="215"/>
      <c r="AY195" s="215"/>
    </row>
    <row r="196">
      <c r="A196" s="77"/>
      <c r="B196" s="77" t="s">
        <v>3169</v>
      </c>
      <c r="C196" s="177" t="s">
        <v>2986</v>
      </c>
      <c r="D196" s="177" t="s">
        <v>3162</v>
      </c>
      <c r="E196" s="28" t="s">
        <v>1210</v>
      </c>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215"/>
      <c r="AX196" s="215"/>
      <c r="AY196" s="215"/>
    </row>
    <row r="197">
      <c r="A197" s="77"/>
      <c r="B197" s="77" t="s">
        <v>3170</v>
      </c>
      <c r="C197" s="177" t="s">
        <v>2986</v>
      </c>
      <c r="D197" s="177" t="s">
        <v>3162</v>
      </c>
      <c r="E197" s="28" t="s">
        <v>1210</v>
      </c>
      <c r="F197" s="215"/>
      <c r="G197" s="215"/>
      <c r="H197" s="215"/>
      <c r="I197" s="215"/>
      <c r="J197" s="215"/>
      <c r="K197" s="215"/>
      <c r="L197" s="215"/>
      <c r="M197" s="215"/>
      <c r="N197" s="215"/>
      <c r="O197" s="215"/>
      <c r="P197" s="215"/>
      <c r="Q197" s="215"/>
      <c r="R197" s="215"/>
      <c r="S197" s="215"/>
      <c r="T197" s="215"/>
      <c r="U197" s="215"/>
      <c r="V197" s="215"/>
      <c r="W197" s="215"/>
      <c r="X197" s="215"/>
      <c r="Y197" s="215"/>
      <c r="Z197" s="215"/>
      <c r="AA197" s="215"/>
      <c r="AB197" s="215"/>
      <c r="AC197" s="215"/>
      <c r="AD197" s="215"/>
      <c r="AE197" s="215"/>
      <c r="AF197" s="215"/>
      <c r="AG197" s="215"/>
      <c r="AH197" s="215"/>
      <c r="AI197" s="215"/>
      <c r="AJ197" s="215"/>
      <c r="AK197" s="215"/>
      <c r="AL197" s="215"/>
      <c r="AM197" s="215"/>
      <c r="AN197" s="215"/>
      <c r="AO197" s="215"/>
      <c r="AP197" s="215"/>
      <c r="AQ197" s="215"/>
      <c r="AR197" s="215"/>
      <c r="AS197" s="215"/>
      <c r="AT197" s="215"/>
      <c r="AU197" s="215"/>
      <c r="AV197" s="215"/>
      <c r="AW197" s="215"/>
      <c r="AX197" s="215"/>
      <c r="AY197" s="215"/>
    </row>
    <row r="198">
      <c r="A198" s="77"/>
      <c r="B198" s="77" t="s">
        <v>3171</v>
      </c>
      <c r="C198" s="177" t="s">
        <v>2986</v>
      </c>
      <c r="D198" s="177" t="s">
        <v>3162</v>
      </c>
      <c r="E198" s="28" t="s">
        <v>1210</v>
      </c>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215"/>
      <c r="AX198" s="215"/>
      <c r="AY198" s="215"/>
    </row>
    <row r="199">
      <c r="A199" s="77"/>
      <c r="B199" s="77" t="s">
        <v>3172</v>
      </c>
      <c r="C199" s="177" t="s">
        <v>2986</v>
      </c>
      <c r="D199" s="177" t="s">
        <v>3162</v>
      </c>
      <c r="E199" s="28" t="s">
        <v>1210</v>
      </c>
      <c r="F199" s="215"/>
      <c r="G199" s="215"/>
      <c r="H199" s="215"/>
      <c r="I199" s="215"/>
      <c r="J199" s="215"/>
      <c r="K199" s="215"/>
      <c r="L199" s="215"/>
      <c r="M199" s="215"/>
      <c r="N199" s="215"/>
      <c r="O199" s="215"/>
      <c r="P199" s="215"/>
      <c r="Q199" s="215"/>
      <c r="R199" s="215"/>
      <c r="S199" s="215"/>
      <c r="T199" s="215"/>
      <c r="U199" s="215"/>
      <c r="V199" s="215"/>
      <c r="W199" s="215"/>
      <c r="X199" s="215"/>
      <c r="Y199" s="215"/>
      <c r="Z199" s="215"/>
      <c r="AA199" s="215"/>
      <c r="AB199" s="215"/>
      <c r="AC199" s="215"/>
      <c r="AD199" s="215"/>
      <c r="AE199" s="215"/>
      <c r="AF199" s="215"/>
      <c r="AG199" s="215"/>
      <c r="AH199" s="215"/>
      <c r="AI199" s="215"/>
      <c r="AJ199" s="215"/>
      <c r="AK199" s="215"/>
      <c r="AL199" s="215"/>
      <c r="AM199" s="215"/>
      <c r="AN199" s="215"/>
      <c r="AO199" s="215"/>
      <c r="AP199" s="215"/>
      <c r="AQ199" s="215"/>
      <c r="AR199" s="215"/>
      <c r="AS199" s="215"/>
      <c r="AT199" s="215"/>
      <c r="AU199" s="215"/>
      <c r="AV199" s="215"/>
      <c r="AW199" s="215"/>
      <c r="AX199" s="215"/>
      <c r="AY199" s="215"/>
    </row>
    <row r="200">
      <c r="A200" s="77"/>
      <c r="B200" s="77" t="s">
        <v>3173</v>
      </c>
      <c r="C200" s="177" t="s">
        <v>2986</v>
      </c>
      <c r="D200" s="177" t="s">
        <v>3038</v>
      </c>
      <c r="E200" s="28" t="s">
        <v>1210</v>
      </c>
      <c r="F200" s="215"/>
      <c r="G200" s="215"/>
      <c r="H200" s="215"/>
      <c r="I200" s="215"/>
      <c r="J200" s="215"/>
      <c r="K200" s="215"/>
      <c r="L200" s="215"/>
      <c r="M200" s="215"/>
      <c r="N200" s="215"/>
      <c r="O200" s="215"/>
      <c r="P200" s="215"/>
      <c r="Q200" s="215"/>
      <c r="R200" s="215"/>
      <c r="S200" s="215"/>
      <c r="T200" s="215"/>
      <c r="U200" s="215"/>
      <c r="V200" s="215"/>
      <c r="W200" s="215"/>
      <c r="X200" s="215"/>
      <c r="Y200" s="215"/>
      <c r="Z200" s="215"/>
      <c r="AA200" s="215"/>
      <c r="AB200" s="215"/>
      <c r="AC200" s="215"/>
      <c r="AD200" s="215"/>
      <c r="AE200" s="215"/>
      <c r="AF200" s="215"/>
      <c r="AG200" s="215"/>
      <c r="AH200" s="215"/>
      <c r="AI200" s="215"/>
      <c r="AJ200" s="215"/>
      <c r="AK200" s="215"/>
      <c r="AL200" s="215"/>
      <c r="AM200" s="215"/>
      <c r="AN200" s="215"/>
      <c r="AO200" s="215"/>
      <c r="AP200" s="215"/>
      <c r="AQ200" s="215"/>
      <c r="AR200" s="215"/>
      <c r="AS200" s="215"/>
      <c r="AT200" s="215"/>
      <c r="AU200" s="215"/>
      <c r="AV200" s="215"/>
      <c r="AW200" s="215"/>
      <c r="AX200" s="215"/>
      <c r="AY200" s="215"/>
    </row>
    <row r="201">
      <c r="A201" s="77"/>
      <c r="B201" s="77" t="s">
        <v>3174</v>
      </c>
      <c r="C201" s="177" t="s">
        <v>2986</v>
      </c>
      <c r="D201" s="177" t="s">
        <v>3162</v>
      </c>
      <c r="E201" s="28" t="s">
        <v>1210</v>
      </c>
      <c r="F201" s="215"/>
      <c r="G201" s="215"/>
      <c r="H201" s="215"/>
      <c r="I201" s="215"/>
      <c r="J201" s="215"/>
      <c r="K201" s="215"/>
      <c r="L201" s="215"/>
      <c r="M201" s="215"/>
      <c r="N201" s="215"/>
      <c r="O201" s="215"/>
      <c r="P201" s="215"/>
      <c r="Q201" s="215"/>
      <c r="R201" s="215"/>
      <c r="S201" s="215"/>
      <c r="T201" s="215"/>
      <c r="U201" s="215"/>
      <c r="V201" s="215"/>
      <c r="W201" s="215"/>
      <c r="X201" s="215"/>
      <c r="Y201" s="215"/>
      <c r="Z201" s="215"/>
      <c r="AA201" s="215"/>
      <c r="AB201" s="215"/>
      <c r="AC201" s="215"/>
      <c r="AD201" s="215"/>
      <c r="AE201" s="215"/>
      <c r="AF201" s="215"/>
      <c r="AG201" s="215"/>
      <c r="AH201" s="215"/>
      <c r="AI201" s="215"/>
      <c r="AJ201" s="215"/>
      <c r="AK201" s="215"/>
      <c r="AL201" s="215"/>
      <c r="AM201" s="215"/>
      <c r="AN201" s="215"/>
      <c r="AO201" s="215"/>
      <c r="AP201" s="215"/>
      <c r="AQ201" s="215"/>
      <c r="AR201" s="215"/>
      <c r="AS201" s="215"/>
      <c r="AT201" s="215"/>
      <c r="AU201" s="215"/>
      <c r="AV201" s="215"/>
      <c r="AW201" s="215"/>
      <c r="AX201" s="215"/>
      <c r="AY201" s="215"/>
    </row>
    <row r="202">
      <c r="A202" s="77"/>
      <c r="B202" s="77" t="s">
        <v>3175</v>
      </c>
      <c r="C202" s="177" t="s">
        <v>2986</v>
      </c>
      <c r="D202" s="177" t="s">
        <v>3038</v>
      </c>
      <c r="E202" s="28" t="s">
        <v>1210</v>
      </c>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15"/>
      <c r="AH202" s="215"/>
      <c r="AI202" s="215"/>
      <c r="AJ202" s="215"/>
      <c r="AK202" s="215"/>
      <c r="AL202" s="215"/>
      <c r="AM202" s="215"/>
      <c r="AN202" s="215"/>
      <c r="AO202" s="215"/>
      <c r="AP202" s="215"/>
      <c r="AQ202" s="215"/>
      <c r="AR202" s="215"/>
      <c r="AS202" s="215"/>
      <c r="AT202" s="215"/>
      <c r="AU202" s="215"/>
      <c r="AV202" s="215"/>
      <c r="AW202" s="215"/>
      <c r="AX202" s="215"/>
      <c r="AY202" s="215"/>
    </row>
    <row r="203">
      <c r="A203" s="77"/>
      <c r="B203" s="77" t="s">
        <v>3176</v>
      </c>
      <c r="C203" s="177" t="s">
        <v>2986</v>
      </c>
      <c r="D203" s="177" t="s">
        <v>3162</v>
      </c>
      <c r="E203" s="28" t="s">
        <v>1210</v>
      </c>
      <c r="F203" s="215"/>
      <c r="G203" s="215"/>
      <c r="H203" s="215"/>
      <c r="I203" s="215"/>
      <c r="J203" s="215"/>
      <c r="K203" s="215"/>
      <c r="L203" s="215"/>
      <c r="M203" s="215"/>
      <c r="N203" s="215"/>
      <c r="O203" s="215"/>
      <c r="P203" s="215"/>
      <c r="Q203" s="215"/>
      <c r="R203" s="215"/>
      <c r="S203" s="215"/>
      <c r="T203" s="215"/>
      <c r="U203" s="215"/>
      <c r="V203" s="215"/>
      <c r="W203" s="215"/>
      <c r="X203" s="215"/>
      <c r="Y203" s="215"/>
      <c r="Z203" s="215"/>
      <c r="AA203" s="215"/>
      <c r="AB203" s="215"/>
      <c r="AC203" s="215"/>
      <c r="AD203" s="215"/>
      <c r="AE203" s="215"/>
      <c r="AF203" s="215"/>
      <c r="AG203" s="215"/>
      <c r="AH203" s="215"/>
      <c r="AI203" s="215"/>
      <c r="AJ203" s="215"/>
      <c r="AK203" s="215"/>
      <c r="AL203" s="215"/>
      <c r="AM203" s="215"/>
      <c r="AN203" s="215"/>
      <c r="AO203" s="215"/>
      <c r="AP203" s="215"/>
      <c r="AQ203" s="215"/>
      <c r="AR203" s="215"/>
      <c r="AS203" s="215"/>
      <c r="AT203" s="215"/>
      <c r="AU203" s="215"/>
      <c r="AV203" s="215"/>
      <c r="AW203" s="215"/>
      <c r="AX203" s="215"/>
      <c r="AY203" s="215"/>
    </row>
    <row r="204">
      <c r="A204" s="77"/>
      <c r="B204" s="77" t="s">
        <v>3177</v>
      </c>
      <c r="C204" s="177" t="s">
        <v>2986</v>
      </c>
      <c r="D204" s="177" t="s">
        <v>3162</v>
      </c>
      <c r="E204" s="28" t="s">
        <v>1210</v>
      </c>
      <c r="F204" s="215"/>
      <c r="G204" s="215"/>
      <c r="H204" s="215"/>
      <c r="I204" s="215"/>
      <c r="J204" s="215"/>
      <c r="K204" s="215"/>
      <c r="L204" s="215"/>
      <c r="M204" s="215"/>
      <c r="N204" s="215"/>
      <c r="O204" s="215"/>
      <c r="P204" s="215"/>
      <c r="Q204" s="215"/>
      <c r="R204" s="215"/>
      <c r="S204" s="215"/>
      <c r="T204" s="215"/>
      <c r="U204" s="215"/>
      <c r="V204" s="215"/>
      <c r="W204" s="215"/>
      <c r="X204" s="215"/>
      <c r="Y204" s="215"/>
      <c r="Z204" s="215"/>
      <c r="AA204" s="215"/>
      <c r="AB204" s="215"/>
      <c r="AC204" s="215"/>
      <c r="AD204" s="215"/>
      <c r="AE204" s="215"/>
      <c r="AF204" s="215"/>
      <c r="AG204" s="215"/>
      <c r="AH204" s="215"/>
      <c r="AI204" s="215"/>
      <c r="AJ204" s="215"/>
      <c r="AK204" s="215"/>
      <c r="AL204" s="215"/>
      <c r="AM204" s="215"/>
      <c r="AN204" s="215"/>
      <c r="AO204" s="215"/>
      <c r="AP204" s="215"/>
      <c r="AQ204" s="215"/>
      <c r="AR204" s="215"/>
      <c r="AS204" s="215"/>
      <c r="AT204" s="215"/>
      <c r="AU204" s="215"/>
      <c r="AV204" s="215"/>
      <c r="AW204" s="215"/>
      <c r="AX204" s="215"/>
      <c r="AY204" s="215"/>
    </row>
    <row r="205">
      <c r="A205" s="77"/>
      <c r="B205" s="77" t="s">
        <v>3178</v>
      </c>
      <c r="C205" s="177" t="s">
        <v>2986</v>
      </c>
      <c r="D205" s="177" t="s">
        <v>3162</v>
      </c>
      <c r="E205" s="28" t="s">
        <v>1210</v>
      </c>
      <c r="F205" s="215"/>
      <c r="G205" s="215"/>
      <c r="H205" s="215"/>
      <c r="I205" s="215"/>
      <c r="J205" s="215"/>
      <c r="K205" s="215"/>
      <c r="L205" s="215"/>
      <c r="M205" s="215"/>
      <c r="N205" s="215"/>
      <c r="O205" s="215"/>
      <c r="P205" s="215"/>
      <c r="Q205" s="215"/>
      <c r="R205" s="215"/>
      <c r="S205" s="215"/>
      <c r="T205" s="215"/>
      <c r="U205" s="215"/>
      <c r="V205" s="215"/>
      <c r="W205" s="215"/>
      <c r="X205" s="215"/>
      <c r="Y205" s="215"/>
      <c r="Z205" s="215"/>
      <c r="AA205" s="215"/>
      <c r="AB205" s="215"/>
      <c r="AC205" s="215"/>
      <c r="AD205" s="215"/>
      <c r="AE205" s="215"/>
      <c r="AF205" s="215"/>
      <c r="AG205" s="215"/>
      <c r="AH205" s="215"/>
      <c r="AI205" s="215"/>
      <c r="AJ205" s="215"/>
      <c r="AK205" s="215"/>
      <c r="AL205" s="215"/>
      <c r="AM205" s="215"/>
      <c r="AN205" s="215"/>
      <c r="AO205" s="215"/>
      <c r="AP205" s="215"/>
      <c r="AQ205" s="215"/>
      <c r="AR205" s="215"/>
      <c r="AS205" s="215"/>
      <c r="AT205" s="215"/>
      <c r="AU205" s="215"/>
      <c r="AV205" s="215"/>
      <c r="AW205" s="215"/>
      <c r="AX205" s="215"/>
      <c r="AY205" s="215"/>
    </row>
    <row r="206">
      <c r="A206" s="77"/>
      <c r="B206" s="77" t="s">
        <v>3179</v>
      </c>
      <c r="C206" s="177" t="s">
        <v>2986</v>
      </c>
      <c r="D206" s="77" t="s">
        <v>2987</v>
      </c>
      <c r="E206" s="28" t="s">
        <v>1210</v>
      </c>
      <c r="F206" s="215"/>
      <c r="G206" s="215"/>
      <c r="H206" s="215"/>
      <c r="I206" s="215"/>
      <c r="J206" s="215"/>
      <c r="K206" s="215"/>
      <c r="L206" s="215"/>
      <c r="M206" s="215"/>
      <c r="N206" s="215"/>
      <c r="O206" s="215"/>
      <c r="P206" s="215"/>
      <c r="Q206" s="215"/>
      <c r="R206" s="215"/>
      <c r="S206" s="215"/>
      <c r="T206" s="215"/>
      <c r="U206" s="215"/>
      <c r="V206" s="215"/>
      <c r="W206" s="215"/>
      <c r="X206" s="215"/>
      <c r="Y206" s="215"/>
      <c r="Z206" s="215"/>
      <c r="AA206" s="215"/>
      <c r="AB206" s="215"/>
      <c r="AC206" s="215"/>
      <c r="AD206" s="215"/>
      <c r="AE206" s="215"/>
      <c r="AF206" s="215"/>
      <c r="AG206" s="215"/>
      <c r="AH206" s="215"/>
      <c r="AI206" s="215"/>
      <c r="AJ206" s="215"/>
      <c r="AK206" s="215"/>
      <c r="AL206" s="215"/>
      <c r="AM206" s="215"/>
      <c r="AN206" s="215"/>
      <c r="AO206" s="215"/>
      <c r="AP206" s="215"/>
      <c r="AQ206" s="215"/>
      <c r="AR206" s="215"/>
      <c r="AS206" s="215"/>
      <c r="AT206" s="215"/>
      <c r="AU206" s="215"/>
      <c r="AV206" s="215"/>
      <c r="AW206" s="215"/>
      <c r="AX206" s="215"/>
      <c r="AY206" s="215"/>
    </row>
    <row r="207">
      <c r="A207" s="77"/>
      <c r="B207" s="77" t="s">
        <v>3180</v>
      </c>
      <c r="C207" s="177" t="s">
        <v>2986</v>
      </c>
      <c r="D207" s="77" t="s">
        <v>2987</v>
      </c>
      <c r="E207" s="28" t="s">
        <v>1210</v>
      </c>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15"/>
      <c r="AH207" s="215"/>
      <c r="AI207" s="215"/>
      <c r="AJ207" s="215"/>
      <c r="AK207" s="215"/>
      <c r="AL207" s="215"/>
      <c r="AM207" s="215"/>
      <c r="AN207" s="215"/>
      <c r="AO207" s="215"/>
      <c r="AP207" s="215"/>
      <c r="AQ207" s="215"/>
      <c r="AR207" s="215"/>
      <c r="AS207" s="215"/>
      <c r="AT207" s="215"/>
      <c r="AU207" s="215"/>
      <c r="AV207" s="215"/>
      <c r="AW207" s="215"/>
      <c r="AX207" s="215"/>
      <c r="AY207" s="215"/>
    </row>
    <row r="208">
      <c r="A208" s="77"/>
      <c r="B208" s="77" t="s">
        <v>2902</v>
      </c>
      <c r="C208" s="177" t="s">
        <v>2986</v>
      </c>
      <c r="D208" s="77" t="s">
        <v>2987</v>
      </c>
      <c r="E208" s="28" t="s">
        <v>1210</v>
      </c>
      <c r="F208" s="215"/>
      <c r="G208" s="215"/>
      <c r="H208" s="215"/>
      <c r="I208" s="215"/>
      <c r="J208" s="215"/>
      <c r="K208" s="215"/>
      <c r="L208" s="215"/>
      <c r="M208" s="215"/>
      <c r="N208" s="215"/>
      <c r="O208" s="215"/>
      <c r="P208" s="215"/>
      <c r="Q208" s="215"/>
      <c r="R208" s="215"/>
      <c r="S208" s="215"/>
      <c r="T208" s="215"/>
      <c r="U208" s="215"/>
      <c r="V208" s="215"/>
      <c r="W208" s="215"/>
      <c r="X208" s="215"/>
      <c r="Y208" s="215"/>
      <c r="Z208" s="215"/>
      <c r="AA208" s="215"/>
      <c r="AB208" s="215"/>
      <c r="AC208" s="215"/>
      <c r="AD208" s="215"/>
      <c r="AE208" s="215"/>
      <c r="AF208" s="215"/>
      <c r="AG208" s="215"/>
      <c r="AH208" s="215"/>
      <c r="AI208" s="215"/>
      <c r="AJ208" s="215"/>
      <c r="AK208" s="215"/>
      <c r="AL208" s="215"/>
      <c r="AM208" s="215"/>
      <c r="AN208" s="215"/>
      <c r="AO208" s="215"/>
      <c r="AP208" s="215"/>
      <c r="AQ208" s="215"/>
      <c r="AR208" s="215"/>
      <c r="AS208" s="215"/>
      <c r="AT208" s="215"/>
      <c r="AU208" s="215"/>
      <c r="AV208" s="215"/>
      <c r="AW208" s="215"/>
      <c r="AX208" s="215"/>
      <c r="AY208" s="215"/>
    </row>
    <row r="209">
      <c r="A209" s="77"/>
      <c r="B209" s="77" t="s">
        <v>3181</v>
      </c>
      <c r="C209" s="177" t="s">
        <v>2986</v>
      </c>
      <c r="D209" s="77" t="s">
        <v>2987</v>
      </c>
      <c r="E209" s="28" t="s">
        <v>1210</v>
      </c>
      <c r="F209" s="215"/>
      <c r="G209" s="215"/>
      <c r="H209" s="215"/>
      <c r="I209" s="215"/>
      <c r="J209" s="215"/>
      <c r="K209" s="215"/>
      <c r="L209" s="215"/>
      <c r="M209" s="215"/>
      <c r="N209" s="215"/>
      <c r="O209" s="215"/>
      <c r="P209" s="215"/>
      <c r="Q209" s="215"/>
      <c r="R209" s="215"/>
      <c r="S209" s="215"/>
      <c r="T209" s="215"/>
      <c r="U209" s="215"/>
      <c r="V209" s="215"/>
      <c r="W209" s="215"/>
      <c r="X209" s="215"/>
      <c r="Y209" s="215"/>
      <c r="Z209" s="215"/>
      <c r="AA209" s="215"/>
      <c r="AB209" s="215"/>
      <c r="AC209" s="215"/>
      <c r="AD209" s="215"/>
      <c r="AE209" s="215"/>
      <c r="AF209" s="215"/>
      <c r="AG209" s="215"/>
      <c r="AH209" s="215"/>
      <c r="AI209" s="215"/>
      <c r="AJ209" s="215"/>
      <c r="AK209" s="215"/>
      <c r="AL209" s="215"/>
      <c r="AM209" s="215"/>
      <c r="AN209" s="215"/>
      <c r="AO209" s="215"/>
      <c r="AP209" s="215"/>
      <c r="AQ209" s="215"/>
      <c r="AR209" s="215"/>
      <c r="AS209" s="215"/>
      <c r="AT209" s="215"/>
      <c r="AU209" s="215"/>
      <c r="AV209" s="215"/>
      <c r="AW209" s="215"/>
      <c r="AX209" s="215"/>
      <c r="AY209" s="215"/>
    </row>
    <row r="210">
      <c r="A210" s="77"/>
      <c r="B210" s="77" t="s">
        <v>3182</v>
      </c>
      <c r="C210" s="177" t="s">
        <v>2986</v>
      </c>
      <c r="D210" s="77" t="s">
        <v>2987</v>
      </c>
      <c r="E210" s="28" t="s">
        <v>1210</v>
      </c>
      <c r="F210" s="215"/>
      <c r="G210" s="215"/>
      <c r="H210" s="215"/>
      <c r="I210" s="215"/>
      <c r="J210" s="215"/>
      <c r="K210" s="215"/>
      <c r="L210" s="215"/>
      <c r="M210" s="215"/>
      <c r="N210" s="215"/>
      <c r="O210" s="215"/>
      <c r="P210" s="215"/>
      <c r="Q210" s="215"/>
      <c r="R210" s="215"/>
      <c r="S210" s="215"/>
      <c r="T210" s="215"/>
      <c r="U210" s="215"/>
      <c r="V210" s="215"/>
      <c r="W210" s="215"/>
      <c r="X210" s="215"/>
      <c r="Y210" s="215"/>
      <c r="Z210" s="215"/>
      <c r="AA210" s="215"/>
      <c r="AB210" s="215"/>
      <c r="AC210" s="215"/>
      <c r="AD210" s="215"/>
      <c r="AE210" s="215"/>
      <c r="AF210" s="215"/>
      <c r="AG210" s="215"/>
      <c r="AH210" s="215"/>
      <c r="AI210" s="215"/>
      <c r="AJ210" s="215"/>
      <c r="AK210" s="215"/>
      <c r="AL210" s="215"/>
      <c r="AM210" s="215"/>
      <c r="AN210" s="215"/>
      <c r="AO210" s="215"/>
      <c r="AP210" s="215"/>
      <c r="AQ210" s="215"/>
      <c r="AR210" s="215"/>
      <c r="AS210" s="215"/>
      <c r="AT210" s="215"/>
      <c r="AU210" s="215"/>
      <c r="AV210" s="215"/>
      <c r="AW210" s="215"/>
      <c r="AX210" s="215"/>
      <c r="AY210" s="215"/>
    </row>
    <row r="211">
      <c r="A211" s="77"/>
      <c r="B211" s="77" t="s">
        <v>2923</v>
      </c>
      <c r="C211" s="177" t="s">
        <v>2986</v>
      </c>
      <c r="D211" s="77" t="s">
        <v>2987</v>
      </c>
      <c r="E211" s="28" t="s">
        <v>1210</v>
      </c>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15"/>
      <c r="AH211" s="215"/>
      <c r="AI211" s="215"/>
      <c r="AJ211" s="215"/>
      <c r="AK211" s="215"/>
      <c r="AL211" s="215"/>
      <c r="AM211" s="215"/>
      <c r="AN211" s="215"/>
      <c r="AO211" s="215"/>
      <c r="AP211" s="215"/>
      <c r="AQ211" s="215"/>
      <c r="AR211" s="215"/>
      <c r="AS211" s="215"/>
      <c r="AT211" s="215"/>
      <c r="AU211" s="215"/>
      <c r="AV211" s="215"/>
      <c r="AW211" s="215"/>
      <c r="AX211" s="215"/>
      <c r="AY211" s="215"/>
    </row>
    <row r="212">
      <c r="A212" s="77"/>
      <c r="B212" s="77" t="s">
        <v>3183</v>
      </c>
      <c r="C212" s="177" t="s">
        <v>2986</v>
      </c>
      <c r="D212" s="177" t="s">
        <v>3038</v>
      </c>
      <c r="E212" s="28" t="s">
        <v>1210</v>
      </c>
      <c r="F212" s="215"/>
      <c r="G212" s="215"/>
      <c r="H212" s="215"/>
      <c r="I212" s="215"/>
      <c r="J212" s="215"/>
      <c r="K212" s="215"/>
      <c r="L212" s="215"/>
      <c r="M212" s="215"/>
      <c r="N212" s="215"/>
      <c r="O212" s="215"/>
      <c r="P212" s="215"/>
      <c r="Q212" s="215"/>
      <c r="R212" s="215"/>
      <c r="S212" s="215"/>
      <c r="T212" s="215"/>
      <c r="U212" s="215"/>
      <c r="V212" s="215"/>
      <c r="W212" s="215"/>
      <c r="X212" s="215"/>
      <c r="Y212" s="215"/>
      <c r="Z212" s="215"/>
      <c r="AA212" s="215"/>
      <c r="AB212" s="215"/>
      <c r="AC212" s="215"/>
      <c r="AD212" s="215"/>
      <c r="AE212" s="215"/>
      <c r="AF212" s="215"/>
      <c r="AG212" s="215"/>
      <c r="AH212" s="215"/>
      <c r="AI212" s="215"/>
      <c r="AJ212" s="215"/>
      <c r="AK212" s="215"/>
      <c r="AL212" s="215"/>
      <c r="AM212" s="215"/>
      <c r="AN212" s="215"/>
      <c r="AO212" s="215"/>
      <c r="AP212" s="215"/>
      <c r="AQ212" s="215"/>
      <c r="AR212" s="215"/>
      <c r="AS212" s="215"/>
      <c r="AT212" s="215"/>
      <c r="AU212" s="215"/>
      <c r="AV212" s="215"/>
      <c r="AW212" s="215"/>
      <c r="AX212" s="215"/>
      <c r="AY212" s="215"/>
    </row>
    <row r="213">
      <c r="A213" s="77"/>
      <c r="B213" s="77" t="s">
        <v>778</v>
      </c>
      <c r="C213" s="177" t="s">
        <v>2986</v>
      </c>
      <c r="D213" s="77" t="s">
        <v>3063</v>
      </c>
      <c r="E213" s="28" t="s">
        <v>1210</v>
      </c>
      <c r="F213" s="215"/>
      <c r="G213" s="215"/>
      <c r="H213" s="215"/>
      <c r="I213" s="215"/>
      <c r="J213" s="215"/>
      <c r="K213" s="215"/>
      <c r="L213" s="215"/>
      <c r="M213" s="215"/>
      <c r="N213" s="215"/>
      <c r="O213" s="215"/>
      <c r="P213" s="215"/>
      <c r="Q213" s="215"/>
      <c r="R213" s="215"/>
      <c r="S213" s="215"/>
      <c r="T213" s="215"/>
      <c r="U213" s="215"/>
      <c r="V213" s="215"/>
      <c r="W213" s="215"/>
      <c r="X213" s="215"/>
      <c r="Y213" s="215"/>
      <c r="Z213" s="215"/>
      <c r="AA213" s="215"/>
      <c r="AB213" s="215"/>
      <c r="AC213" s="215"/>
      <c r="AD213" s="215"/>
      <c r="AE213" s="215"/>
      <c r="AF213" s="215"/>
      <c r="AG213" s="215"/>
      <c r="AH213" s="215"/>
      <c r="AI213" s="215"/>
      <c r="AJ213" s="215"/>
      <c r="AK213" s="215"/>
      <c r="AL213" s="215"/>
      <c r="AM213" s="215"/>
      <c r="AN213" s="215"/>
      <c r="AO213" s="215"/>
      <c r="AP213" s="215"/>
      <c r="AQ213" s="215"/>
      <c r="AR213" s="215"/>
      <c r="AS213" s="215"/>
      <c r="AT213" s="215"/>
      <c r="AU213" s="215"/>
      <c r="AV213" s="215"/>
      <c r="AW213" s="215"/>
      <c r="AX213" s="215"/>
      <c r="AY213" s="215"/>
    </row>
    <row r="214">
      <c r="A214" s="77"/>
      <c r="B214" s="77" t="s">
        <v>3184</v>
      </c>
      <c r="C214" s="177" t="s">
        <v>2986</v>
      </c>
      <c r="D214" s="77" t="s">
        <v>2987</v>
      </c>
      <c r="E214" s="28" t="s">
        <v>1210</v>
      </c>
      <c r="F214" s="215"/>
      <c r="G214" s="215"/>
      <c r="H214" s="215"/>
      <c r="I214" s="215"/>
      <c r="J214" s="215"/>
      <c r="K214" s="215"/>
      <c r="L214" s="215"/>
      <c r="M214" s="215"/>
      <c r="N214" s="215"/>
      <c r="O214" s="215"/>
      <c r="P214" s="215"/>
      <c r="Q214" s="215"/>
      <c r="R214" s="215"/>
      <c r="S214" s="215"/>
      <c r="T214" s="215"/>
      <c r="U214" s="215"/>
      <c r="V214" s="215"/>
      <c r="W214" s="215"/>
      <c r="X214" s="215"/>
      <c r="Y214" s="215"/>
      <c r="Z214" s="215"/>
      <c r="AA214" s="215"/>
      <c r="AB214" s="215"/>
      <c r="AC214" s="215"/>
      <c r="AD214" s="215"/>
      <c r="AE214" s="215"/>
      <c r="AF214" s="215"/>
      <c r="AG214" s="215"/>
      <c r="AH214" s="215"/>
      <c r="AI214" s="215"/>
      <c r="AJ214" s="215"/>
      <c r="AK214" s="215"/>
      <c r="AL214" s="215"/>
      <c r="AM214" s="215"/>
      <c r="AN214" s="215"/>
      <c r="AO214" s="215"/>
      <c r="AP214" s="215"/>
      <c r="AQ214" s="215"/>
      <c r="AR214" s="215"/>
      <c r="AS214" s="215"/>
      <c r="AT214" s="215"/>
      <c r="AU214" s="215"/>
      <c r="AV214" s="215"/>
      <c r="AW214" s="215"/>
      <c r="AX214" s="215"/>
      <c r="AY214" s="215"/>
    </row>
    <row r="215">
      <c r="A215" s="26" t="s">
        <v>93</v>
      </c>
      <c r="B215" s="37" t="s">
        <v>173</v>
      </c>
      <c r="C215" s="26" t="s">
        <v>2986</v>
      </c>
      <c r="D215" s="26" t="s">
        <v>3153</v>
      </c>
      <c r="E215" s="26" t="s">
        <v>963</v>
      </c>
      <c r="F215" s="37"/>
      <c r="G215" s="37"/>
      <c r="H215" s="37"/>
      <c r="I215" s="72"/>
      <c r="J215" s="67"/>
      <c r="K215" s="37"/>
      <c r="L215" s="37"/>
      <c r="M215" s="71"/>
      <c r="N215" s="75"/>
      <c r="O215" s="71"/>
      <c r="P215" s="71"/>
      <c r="Q215" s="67"/>
      <c r="U215" s="39"/>
      <c r="V215" s="76"/>
      <c r="X215" s="79"/>
      <c r="AL215" s="215"/>
      <c r="AM215" s="215"/>
      <c r="AN215" s="215"/>
      <c r="AO215" s="215"/>
      <c r="AP215" s="215"/>
      <c r="AQ215" s="215"/>
      <c r="AR215" s="215"/>
      <c r="AS215" s="215"/>
      <c r="AT215" s="215"/>
      <c r="AU215" s="215"/>
      <c r="AV215" s="215"/>
      <c r="AW215" s="215"/>
      <c r="AX215" s="215"/>
      <c r="AY215" s="215"/>
    </row>
    <row r="216">
      <c r="A216" s="80"/>
      <c r="B216" s="80"/>
      <c r="C216" s="80"/>
      <c r="D216" s="80"/>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c r="AA216" s="215"/>
      <c r="AB216" s="215"/>
      <c r="AC216" s="215"/>
      <c r="AD216" s="215"/>
      <c r="AE216" s="215"/>
      <c r="AF216" s="215"/>
      <c r="AG216" s="215"/>
      <c r="AH216" s="215"/>
      <c r="AI216" s="215"/>
      <c r="AJ216" s="215"/>
      <c r="AK216" s="215"/>
      <c r="AL216" s="215"/>
      <c r="AM216" s="215"/>
      <c r="AN216" s="215"/>
      <c r="AO216" s="215"/>
      <c r="AP216" s="215"/>
      <c r="AQ216" s="215"/>
      <c r="AR216" s="215"/>
      <c r="AS216" s="215"/>
      <c r="AT216" s="215"/>
      <c r="AU216" s="215"/>
      <c r="AV216" s="215"/>
      <c r="AW216" s="215"/>
      <c r="AX216" s="215"/>
      <c r="AY216" s="215"/>
    </row>
    <row r="217">
      <c r="A217" s="80"/>
      <c r="B217" s="80"/>
      <c r="C217" s="80"/>
      <c r="D217" s="80"/>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c r="AA217" s="215"/>
      <c r="AB217" s="215"/>
      <c r="AC217" s="215"/>
      <c r="AD217" s="215"/>
      <c r="AE217" s="215"/>
      <c r="AF217" s="215"/>
      <c r="AG217" s="215"/>
      <c r="AH217" s="215"/>
      <c r="AI217" s="215"/>
      <c r="AJ217" s="215"/>
      <c r="AK217" s="215"/>
      <c r="AL217" s="215"/>
      <c r="AM217" s="215"/>
      <c r="AN217" s="215"/>
      <c r="AO217" s="215"/>
      <c r="AP217" s="215"/>
      <c r="AQ217" s="215"/>
      <c r="AR217" s="215"/>
      <c r="AS217" s="215"/>
      <c r="AT217" s="215"/>
      <c r="AU217" s="215"/>
      <c r="AV217" s="215"/>
      <c r="AW217" s="215"/>
      <c r="AX217" s="215"/>
      <c r="AY217" s="215"/>
    </row>
    <row r="218">
      <c r="A218" s="80"/>
      <c r="B218" s="80"/>
      <c r="C218" s="80"/>
      <c r="D218" s="80"/>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c r="AA218" s="215"/>
      <c r="AB218" s="215"/>
      <c r="AC218" s="215"/>
      <c r="AD218" s="215"/>
      <c r="AE218" s="215"/>
      <c r="AF218" s="215"/>
      <c r="AG218" s="215"/>
      <c r="AH218" s="215"/>
      <c r="AI218" s="215"/>
      <c r="AJ218" s="215"/>
      <c r="AK218" s="215"/>
      <c r="AL218" s="215"/>
      <c r="AM218" s="215"/>
      <c r="AN218" s="215"/>
      <c r="AO218" s="215"/>
      <c r="AP218" s="215"/>
      <c r="AQ218" s="215"/>
      <c r="AR218" s="215"/>
      <c r="AS218" s="215"/>
      <c r="AT218" s="215"/>
      <c r="AU218" s="215"/>
      <c r="AV218" s="215"/>
      <c r="AW218" s="215"/>
      <c r="AX218" s="215"/>
      <c r="AY218" s="215"/>
    </row>
    <row r="219">
      <c r="A219" s="80"/>
      <c r="B219" s="80"/>
      <c r="C219" s="80"/>
      <c r="D219" s="80"/>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c r="AA219" s="215"/>
      <c r="AB219" s="215"/>
      <c r="AC219" s="215"/>
      <c r="AD219" s="215"/>
      <c r="AE219" s="215"/>
      <c r="AF219" s="215"/>
      <c r="AG219" s="215"/>
      <c r="AH219" s="215"/>
      <c r="AI219" s="215"/>
      <c r="AJ219" s="215"/>
      <c r="AK219" s="215"/>
      <c r="AL219" s="215"/>
      <c r="AM219" s="215"/>
      <c r="AN219" s="215"/>
      <c r="AO219" s="215"/>
      <c r="AP219" s="215"/>
      <c r="AQ219" s="215"/>
      <c r="AR219" s="215"/>
      <c r="AS219" s="215"/>
      <c r="AT219" s="215"/>
      <c r="AU219" s="215"/>
      <c r="AV219" s="215"/>
      <c r="AW219" s="215"/>
      <c r="AX219" s="215"/>
      <c r="AY219" s="215"/>
    </row>
    <row r="220">
      <c r="A220" s="80"/>
      <c r="B220" s="80"/>
      <c r="C220" s="80"/>
      <c r="D220" s="80"/>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215"/>
      <c r="AH220" s="215"/>
      <c r="AI220" s="215"/>
      <c r="AJ220" s="215"/>
      <c r="AK220" s="215"/>
      <c r="AL220" s="215"/>
      <c r="AM220" s="215"/>
      <c r="AN220" s="215"/>
      <c r="AO220" s="215"/>
      <c r="AP220" s="215"/>
      <c r="AQ220" s="215"/>
      <c r="AR220" s="215"/>
      <c r="AS220" s="215"/>
      <c r="AT220" s="215"/>
      <c r="AU220" s="215"/>
      <c r="AV220" s="215"/>
      <c r="AW220" s="215"/>
      <c r="AX220" s="215"/>
      <c r="AY220" s="215"/>
    </row>
    <row r="221">
      <c r="A221" s="80"/>
      <c r="B221" s="80"/>
      <c r="C221" s="80"/>
      <c r="D221" s="80"/>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c r="AA221" s="215"/>
      <c r="AB221" s="215"/>
      <c r="AC221" s="215"/>
      <c r="AD221" s="215"/>
      <c r="AE221" s="215"/>
      <c r="AF221" s="215"/>
      <c r="AG221" s="215"/>
      <c r="AH221" s="215"/>
      <c r="AI221" s="215"/>
      <c r="AJ221" s="215"/>
      <c r="AK221" s="215"/>
      <c r="AL221" s="215"/>
      <c r="AM221" s="215"/>
      <c r="AN221" s="215"/>
      <c r="AO221" s="215"/>
      <c r="AP221" s="215"/>
      <c r="AQ221" s="215"/>
      <c r="AR221" s="215"/>
      <c r="AS221" s="215"/>
      <c r="AT221" s="215"/>
      <c r="AU221" s="215"/>
      <c r="AV221" s="215"/>
      <c r="AW221" s="215"/>
      <c r="AX221" s="215"/>
      <c r="AY221" s="215"/>
    </row>
    <row r="222">
      <c r="A222" s="80"/>
      <c r="B222" s="80"/>
      <c r="C222" s="80"/>
      <c r="D222" s="80"/>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c r="AA222" s="215"/>
      <c r="AB222" s="215"/>
      <c r="AC222" s="215"/>
      <c r="AD222" s="215"/>
      <c r="AE222" s="215"/>
      <c r="AF222" s="215"/>
      <c r="AG222" s="215"/>
      <c r="AH222" s="215"/>
      <c r="AI222" s="215"/>
      <c r="AJ222" s="215"/>
      <c r="AK222" s="215"/>
      <c r="AL222" s="215"/>
      <c r="AM222" s="215"/>
      <c r="AN222" s="215"/>
      <c r="AO222" s="215"/>
      <c r="AP222" s="215"/>
      <c r="AQ222" s="215"/>
      <c r="AR222" s="215"/>
      <c r="AS222" s="215"/>
      <c r="AT222" s="215"/>
      <c r="AU222" s="215"/>
      <c r="AV222" s="215"/>
      <c r="AW222" s="215"/>
      <c r="AX222" s="215"/>
      <c r="AY222" s="215"/>
    </row>
    <row r="223">
      <c r="A223" s="80"/>
      <c r="B223" s="80"/>
      <c r="C223" s="80"/>
      <c r="D223" s="80"/>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c r="AA223" s="215"/>
      <c r="AB223" s="215"/>
      <c r="AC223" s="215"/>
      <c r="AD223" s="215"/>
      <c r="AE223" s="215"/>
      <c r="AF223" s="215"/>
      <c r="AG223" s="215"/>
      <c r="AH223" s="215"/>
      <c r="AI223" s="215"/>
      <c r="AJ223" s="215"/>
      <c r="AK223" s="215"/>
      <c r="AL223" s="215"/>
      <c r="AM223" s="215"/>
      <c r="AN223" s="215"/>
      <c r="AO223" s="215"/>
      <c r="AP223" s="215"/>
      <c r="AQ223" s="215"/>
      <c r="AR223" s="215"/>
      <c r="AS223" s="215"/>
      <c r="AT223" s="215"/>
      <c r="AU223" s="215"/>
      <c r="AV223" s="215"/>
      <c r="AW223" s="215"/>
      <c r="AX223" s="215"/>
      <c r="AY223" s="215"/>
    </row>
    <row r="224">
      <c r="A224" s="80"/>
      <c r="B224" s="80"/>
      <c r="C224" s="80"/>
      <c r="D224" s="80"/>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c r="AA224" s="215"/>
      <c r="AB224" s="215"/>
      <c r="AC224" s="215"/>
      <c r="AD224" s="215"/>
      <c r="AE224" s="215"/>
      <c r="AF224" s="215"/>
      <c r="AG224" s="215"/>
      <c r="AH224" s="215"/>
      <c r="AI224" s="215"/>
      <c r="AJ224" s="215"/>
      <c r="AK224" s="215"/>
      <c r="AL224" s="215"/>
      <c r="AM224" s="215"/>
      <c r="AN224" s="215"/>
      <c r="AO224" s="215"/>
      <c r="AP224" s="215"/>
      <c r="AQ224" s="215"/>
      <c r="AR224" s="215"/>
      <c r="AS224" s="215"/>
      <c r="AT224" s="215"/>
      <c r="AU224" s="215"/>
      <c r="AV224" s="215"/>
      <c r="AW224" s="215"/>
      <c r="AX224" s="215"/>
      <c r="AY224" s="215"/>
    </row>
    <row r="225">
      <c r="A225" s="80"/>
      <c r="B225" s="80"/>
      <c r="C225" s="80"/>
      <c r="D225" s="80"/>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c r="AA225" s="215"/>
      <c r="AB225" s="215"/>
      <c r="AC225" s="215"/>
      <c r="AD225" s="215"/>
      <c r="AE225" s="215"/>
      <c r="AF225" s="215"/>
      <c r="AG225" s="215"/>
      <c r="AH225" s="215"/>
      <c r="AI225" s="215"/>
      <c r="AJ225" s="215"/>
      <c r="AK225" s="215"/>
      <c r="AL225" s="215"/>
      <c r="AM225" s="215"/>
      <c r="AN225" s="215"/>
      <c r="AO225" s="215"/>
      <c r="AP225" s="215"/>
      <c r="AQ225" s="215"/>
      <c r="AR225" s="215"/>
      <c r="AS225" s="215"/>
      <c r="AT225" s="215"/>
      <c r="AU225" s="215"/>
      <c r="AV225" s="215"/>
      <c r="AW225" s="215"/>
      <c r="AX225" s="215"/>
      <c r="AY225" s="215"/>
    </row>
    <row r="226">
      <c r="A226" s="80"/>
      <c r="B226" s="80"/>
      <c r="C226" s="80"/>
      <c r="D226" s="80"/>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c r="AA226" s="215"/>
      <c r="AB226" s="215"/>
      <c r="AC226" s="215"/>
      <c r="AD226" s="215"/>
      <c r="AE226" s="215"/>
      <c r="AF226" s="215"/>
      <c r="AG226" s="215"/>
      <c r="AH226" s="215"/>
      <c r="AI226" s="215"/>
      <c r="AJ226" s="215"/>
      <c r="AK226" s="215"/>
      <c r="AL226" s="215"/>
      <c r="AM226" s="215"/>
      <c r="AN226" s="215"/>
      <c r="AO226" s="215"/>
      <c r="AP226" s="215"/>
      <c r="AQ226" s="215"/>
      <c r="AR226" s="215"/>
      <c r="AS226" s="215"/>
      <c r="AT226" s="215"/>
      <c r="AU226" s="215"/>
      <c r="AV226" s="215"/>
      <c r="AW226" s="215"/>
      <c r="AX226" s="215"/>
      <c r="AY226" s="215"/>
    </row>
    <row r="227">
      <c r="A227" s="80"/>
      <c r="B227" s="80"/>
      <c r="C227" s="80"/>
      <c r="D227" s="80"/>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c r="AA227" s="215"/>
      <c r="AB227" s="215"/>
      <c r="AC227" s="215"/>
      <c r="AD227" s="215"/>
      <c r="AE227" s="215"/>
      <c r="AF227" s="215"/>
      <c r="AG227" s="215"/>
      <c r="AH227" s="215"/>
      <c r="AI227" s="215"/>
      <c r="AJ227" s="215"/>
      <c r="AK227" s="215"/>
      <c r="AL227" s="215"/>
      <c r="AM227" s="215"/>
      <c r="AN227" s="215"/>
      <c r="AO227" s="215"/>
      <c r="AP227" s="215"/>
      <c r="AQ227" s="215"/>
      <c r="AR227" s="215"/>
      <c r="AS227" s="215"/>
      <c r="AT227" s="215"/>
      <c r="AU227" s="215"/>
      <c r="AV227" s="215"/>
      <c r="AW227" s="215"/>
      <c r="AX227" s="215"/>
      <c r="AY227" s="215"/>
    </row>
    <row r="228">
      <c r="A228" s="80"/>
      <c r="B228" s="80"/>
      <c r="C228" s="80"/>
      <c r="D228" s="80"/>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c r="AA228" s="215"/>
      <c r="AB228" s="215"/>
      <c r="AC228" s="215"/>
      <c r="AD228" s="215"/>
      <c r="AE228" s="215"/>
      <c r="AF228" s="215"/>
      <c r="AG228" s="215"/>
      <c r="AH228" s="215"/>
      <c r="AI228" s="215"/>
      <c r="AJ228" s="215"/>
      <c r="AK228" s="215"/>
      <c r="AL228" s="215"/>
      <c r="AM228" s="215"/>
      <c r="AN228" s="215"/>
      <c r="AO228" s="215"/>
      <c r="AP228" s="215"/>
      <c r="AQ228" s="215"/>
      <c r="AR228" s="215"/>
      <c r="AS228" s="215"/>
      <c r="AT228" s="215"/>
      <c r="AU228" s="215"/>
      <c r="AV228" s="215"/>
      <c r="AW228" s="215"/>
      <c r="AX228" s="215"/>
      <c r="AY228" s="215"/>
    </row>
    <row r="229">
      <c r="A229" s="80"/>
      <c r="B229" s="80"/>
      <c r="C229" s="80"/>
      <c r="D229" s="80"/>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c r="AA229" s="215"/>
      <c r="AB229" s="215"/>
      <c r="AC229" s="215"/>
      <c r="AD229" s="215"/>
      <c r="AE229" s="215"/>
      <c r="AF229" s="215"/>
      <c r="AG229" s="215"/>
      <c r="AH229" s="215"/>
      <c r="AI229" s="215"/>
      <c r="AJ229" s="215"/>
      <c r="AK229" s="215"/>
      <c r="AL229" s="215"/>
      <c r="AM229" s="215"/>
      <c r="AN229" s="215"/>
      <c r="AO229" s="215"/>
      <c r="AP229" s="215"/>
      <c r="AQ229" s="215"/>
      <c r="AR229" s="215"/>
      <c r="AS229" s="215"/>
      <c r="AT229" s="215"/>
      <c r="AU229" s="215"/>
      <c r="AV229" s="215"/>
      <c r="AW229" s="215"/>
      <c r="AX229" s="215"/>
      <c r="AY229" s="215"/>
    </row>
    <row r="230">
      <c r="A230" s="80"/>
      <c r="B230" s="80"/>
      <c r="C230" s="80"/>
      <c r="D230" s="80"/>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c r="AA230" s="215"/>
      <c r="AB230" s="215"/>
      <c r="AC230" s="215"/>
      <c r="AD230" s="215"/>
      <c r="AE230" s="215"/>
      <c r="AF230" s="215"/>
      <c r="AG230" s="215"/>
      <c r="AH230" s="215"/>
      <c r="AI230" s="215"/>
      <c r="AJ230" s="215"/>
      <c r="AK230" s="215"/>
      <c r="AL230" s="215"/>
      <c r="AM230" s="215"/>
      <c r="AN230" s="215"/>
      <c r="AO230" s="215"/>
      <c r="AP230" s="215"/>
      <c r="AQ230" s="215"/>
      <c r="AR230" s="215"/>
      <c r="AS230" s="215"/>
      <c r="AT230" s="215"/>
      <c r="AU230" s="215"/>
      <c r="AV230" s="215"/>
      <c r="AW230" s="215"/>
      <c r="AX230" s="215"/>
      <c r="AY230" s="215"/>
    </row>
    <row r="231">
      <c r="A231" s="80"/>
      <c r="B231" s="80"/>
      <c r="C231" s="80"/>
      <c r="D231" s="80"/>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c r="AA231" s="215"/>
      <c r="AB231" s="215"/>
      <c r="AC231" s="215"/>
      <c r="AD231" s="215"/>
      <c r="AE231" s="215"/>
      <c r="AF231" s="215"/>
      <c r="AG231" s="215"/>
      <c r="AH231" s="215"/>
      <c r="AI231" s="215"/>
      <c r="AJ231" s="215"/>
      <c r="AK231" s="215"/>
      <c r="AL231" s="215"/>
      <c r="AM231" s="215"/>
      <c r="AN231" s="215"/>
      <c r="AO231" s="215"/>
      <c r="AP231" s="215"/>
      <c r="AQ231" s="215"/>
      <c r="AR231" s="215"/>
      <c r="AS231" s="215"/>
      <c r="AT231" s="215"/>
      <c r="AU231" s="215"/>
      <c r="AV231" s="215"/>
      <c r="AW231" s="215"/>
      <c r="AX231" s="215"/>
      <c r="AY231" s="215"/>
    </row>
    <row r="232">
      <c r="A232" s="80"/>
      <c r="B232" s="80"/>
      <c r="C232" s="80"/>
      <c r="D232" s="80"/>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215"/>
      <c r="AQ232" s="215"/>
      <c r="AR232" s="215"/>
      <c r="AS232" s="215"/>
      <c r="AT232" s="215"/>
      <c r="AU232" s="215"/>
      <c r="AV232" s="215"/>
      <c r="AW232" s="215"/>
      <c r="AX232" s="215"/>
      <c r="AY232" s="215"/>
    </row>
    <row r="233">
      <c r="A233" s="80"/>
      <c r="B233" s="80"/>
      <c r="C233" s="80"/>
      <c r="D233" s="80"/>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c r="AA233" s="215"/>
      <c r="AB233" s="215"/>
      <c r="AC233" s="215"/>
      <c r="AD233" s="215"/>
      <c r="AE233" s="215"/>
      <c r="AF233" s="215"/>
      <c r="AG233" s="215"/>
      <c r="AH233" s="215"/>
      <c r="AI233" s="215"/>
      <c r="AJ233" s="215"/>
      <c r="AK233" s="215"/>
      <c r="AL233" s="215"/>
      <c r="AM233" s="215"/>
      <c r="AN233" s="215"/>
      <c r="AO233" s="215"/>
      <c r="AP233" s="215"/>
      <c r="AQ233" s="215"/>
      <c r="AR233" s="215"/>
      <c r="AS233" s="215"/>
      <c r="AT233" s="215"/>
      <c r="AU233" s="215"/>
      <c r="AV233" s="215"/>
      <c r="AW233" s="215"/>
      <c r="AX233" s="215"/>
      <c r="AY233" s="215"/>
    </row>
    <row r="234">
      <c r="A234" s="80"/>
      <c r="B234" s="80"/>
      <c r="C234" s="80"/>
      <c r="D234" s="80"/>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c r="AA234" s="215"/>
      <c r="AB234" s="215"/>
      <c r="AC234" s="215"/>
      <c r="AD234" s="215"/>
      <c r="AE234" s="215"/>
      <c r="AF234" s="215"/>
      <c r="AG234" s="215"/>
      <c r="AH234" s="215"/>
      <c r="AI234" s="215"/>
      <c r="AJ234" s="215"/>
      <c r="AK234" s="215"/>
      <c r="AL234" s="215"/>
      <c r="AM234" s="215"/>
      <c r="AN234" s="215"/>
      <c r="AO234" s="215"/>
      <c r="AP234" s="215"/>
      <c r="AQ234" s="215"/>
      <c r="AR234" s="215"/>
      <c r="AS234" s="215"/>
      <c r="AT234" s="215"/>
      <c r="AU234" s="215"/>
      <c r="AV234" s="215"/>
      <c r="AW234" s="215"/>
      <c r="AX234" s="215"/>
      <c r="AY234" s="215"/>
    </row>
    <row r="235">
      <c r="A235" s="80"/>
      <c r="B235" s="80"/>
      <c r="C235" s="80"/>
      <c r="D235" s="80"/>
      <c r="E235" s="215"/>
      <c r="F235" s="215"/>
      <c r="G235" s="215"/>
      <c r="H235" s="215"/>
      <c r="I235" s="215"/>
      <c r="J235" s="215"/>
      <c r="K235" s="215"/>
      <c r="L235" s="215"/>
      <c r="M235" s="215"/>
      <c r="N235" s="215"/>
      <c r="O235" s="215"/>
      <c r="P235" s="215"/>
      <c r="Q235" s="215"/>
      <c r="R235" s="215"/>
      <c r="S235" s="215"/>
      <c r="T235" s="215"/>
      <c r="U235" s="215"/>
      <c r="V235" s="215"/>
      <c r="W235" s="215"/>
      <c r="X235" s="215"/>
      <c r="Y235" s="215"/>
      <c r="Z235" s="215"/>
      <c r="AA235" s="215"/>
      <c r="AB235" s="215"/>
      <c r="AC235" s="215"/>
      <c r="AD235" s="215"/>
      <c r="AE235" s="215"/>
      <c r="AF235" s="215"/>
      <c r="AG235" s="215"/>
      <c r="AH235" s="215"/>
      <c r="AI235" s="215"/>
      <c r="AJ235" s="215"/>
      <c r="AK235" s="215"/>
      <c r="AL235" s="215"/>
      <c r="AM235" s="215"/>
      <c r="AN235" s="215"/>
      <c r="AO235" s="215"/>
      <c r="AP235" s="215"/>
      <c r="AQ235" s="215"/>
      <c r="AR235" s="215"/>
      <c r="AS235" s="215"/>
      <c r="AT235" s="215"/>
      <c r="AU235" s="215"/>
      <c r="AV235" s="215"/>
      <c r="AW235" s="215"/>
      <c r="AX235" s="215"/>
      <c r="AY235" s="215"/>
    </row>
    <row r="236">
      <c r="A236" s="80"/>
      <c r="B236" s="80"/>
      <c r="C236" s="80"/>
      <c r="D236" s="80"/>
      <c r="E236" s="215"/>
      <c r="F236" s="215"/>
      <c r="G236" s="215"/>
      <c r="H236" s="215"/>
      <c r="I236" s="215"/>
      <c r="J236" s="215"/>
      <c r="K236" s="215"/>
      <c r="L236" s="215"/>
      <c r="M236" s="215"/>
      <c r="N236" s="215"/>
      <c r="O236" s="215"/>
      <c r="P236" s="215"/>
      <c r="Q236" s="215"/>
      <c r="R236" s="215"/>
      <c r="S236" s="215"/>
      <c r="T236" s="215"/>
      <c r="U236" s="215"/>
      <c r="V236" s="215"/>
      <c r="W236" s="215"/>
      <c r="X236" s="215"/>
      <c r="Y236" s="215"/>
      <c r="Z236" s="215"/>
      <c r="AA236" s="215"/>
      <c r="AB236" s="215"/>
      <c r="AC236" s="215"/>
      <c r="AD236" s="215"/>
      <c r="AE236" s="215"/>
      <c r="AF236" s="215"/>
      <c r="AG236" s="215"/>
      <c r="AH236" s="215"/>
      <c r="AI236" s="215"/>
      <c r="AJ236" s="215"/>
      <c r="AK236" s="215"/>
      <c r="AL236" s="215"/>
      <c r="AM236" s="215"/>
      <c r="AN236" s="215"/>
      <c r="AO236" s="215"/>
      <c r="AP236" s="215"/>
      <c r="AQ236" s="215"/>
      <c r="AR236" s="215"/>
      <c r="AS236" s="215"/>
      <c r="AT236" s="215"/>
      <c r="AU236" s="215"/>
      <c r="AV236" s="215"/>
      <c r="AW236" s="215"/>
      <c r="AX236" s="215"/>
      <c r="AY236" s="215"/>
    </row>
    <row r="237">
      <c r="A237" s="80"/>
      <c r="B237" s="80"/>
      <c r="C237" s="80"/>
      <c r="D237" s="80"/>
      <c r="E237" s="215"/>
      <c r="F237" s="215"/>
      <c r="G237" s="215"/>
      <c r="H237" s="215"/>
      <c r="I237" s="215"/>
      <c r="J237" s="215"/>
      <c r="K237" s="215"/>
      <c r="L237" s="215"/>
      <c r="M237" s="215"/>
      <c r="N237" s="215"/>
      <c r="O237" s="215"/>
      <c r="P237" s="215"/>
      <c r="Q237" s="215"/>
      <c r="R237" s="215"/>
      <c r="S237" s="215"/>
      <c r="T237" s="215"/>
      <c r="U237" s="215"/>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row>
    <row r="238">
      <c r="A238" s="80"/>
      <c r="B238" s="80"/>
      <c r="C238" s="80"/>
      <c r="D238" s="80"/>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row>
    <row r="239">
      <c r="A239" s="80"/>
      <c r="B239" s="80"/>
      <c r="C239" s="80"/>
      <c r="D239" s="80"/>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row>
    <row r="240">
      <c r="A240" s="80"/>
      <c r="B240" s="80"/>
      <c r="C240" s="80"/>
      <c r="D240" s="80"/>
      <c r="E240" s="215"/>
      <c r="F240" s="215"/>
      <c r="G240" s="215"/>
      <c r="H240" s="215"/>
      <c r="I240" s="215"/>
      <c r="J240" s="215"/>
      <c r="K240" s="215"/>
      <c r="L240" s="215"/>
      <c r="M240" s="215"/>
      <c r="N240" s="215"/>
      <c r="O240" s="215"/>
      <c r="P240" s="215"/>
      <c r="Q240" s="215"/>
      <c r="R240" s="215"/>
      <c r="S240" s="215"/>
      <c r="T240" s="215"/>
      <c r="U240" s="215"/>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row>
    <row r="241">
      <c r="A241" s="80"/>
      <c r="B241" s="80"/>
      <c r="C241" s="80"/>
      <c r="D241" s="80"/>
      <c r="E241" s="215"/>
      <c r="F241" s="215"/>
      <c r="G241" s="215"/>
      <c r="H241" s="215"/>
      <c r="I241" s="215"/>
      <c r="J241" s="215"/>
      <c r="K241" s="215"/>
      <c r="L241" s="215"/>
      <c r="M241" s="215"/>
      <c r="N241" s="215"/>
      <c r="O241" s="215"/>
      <c r="P241" s="215"/>
      <c r="Q241" s="215"/>
      <c r="R241" s="215"/>
      <c r="S241" s="215"/>
      <c r="T241" s="215"/>
      <c r="U241" s="215"/>
      <c r="V241" s="215"/>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row>
    <row r="242">
      <c r="A242" s="80"/>
      <c r="B242" s="80"/>
      <c r="C242" s="80"/>
      <c r="D242" s="80"/>
      <c r="E242" s="215"/>
      <c r="F242" s="215"/>
      <c r="G242" s="215"/>
      <c r="H242" s="215"/>
      <c r="I242" s="215"/>
      <c r="J242" s="215"/>
      <c r="K242" s="215"/>
      <c r="L242" s="215"/>
      <c r="M242" s="215"/>
      <c r="N242" s="215"/>
      <c r="O242" s="215"/>
      <c r="P242" s="215"/>
      <c r="Q242" s="215"/>
      <c r="R242" s="215"/>
      <c r="S242" s="215"/>
      <c r="T242" s="215"/>
      <c r="U242" s="215"/>
      <c r="V242" s="215"/>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row>
    <row r="243">
      <c r="A243" s="80"/>
      <c r="B243" s="80"/>
      <c r="C243" s="80"/>
      <c r="D243" s="80"/>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row>
    <row r="244">
      <c r="A244" s="80"/>
      <c r="B244" s="80"/>
      <c r="C244" s="80"/>
      <c r="D244" s="80"/>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15"/>
      <c r="AH244" s="215"/>
      <c r="AI244" s="215"/>
      <c r="AJ244" s="215"/>
      <c r="AK244" s="215"/>
      <c r="AL244" s="215"/>
      <c r="AM244" s="215"/>
      <c r="AN244" s="215"/>
      <c r="AO244" s="215"/>
      <c r="AP244" s="215"/>
      <c r="AQ244" s="215"/>
      <c r="AR244" s="215"/>
      <c r="AS244" s="215"/>
      <c r="AT244" s="215"/>
      <c r="AU244" s="215"/>
      <c r="AV244" s="215"/>
      <c r="AW244" s="215"/>
      <c r="AX244" s="215"/>
      <c r="AY244" s="215"/>
    </row>
    <row r="245">
      <c r="A245" s="80"/>
      <c r="B245" s="80"/>
      <c r="C245" s="80"/>
      <c r="D245" s="80"/>
      <c r="E245" s="215"/>
      <c r="F245" s="215"/>
      <c r="G245" s="215"/>
      <c r="H245" s="215"/>
      <c r="I245" s="215"/>
      <c r="J245" s="215"/>
      <c r="K245" s="215"/>
      <c r="L245" s="215"/>
      <c r="M245" s="215"/>
      <c r="N245" s="215"/>
      <c r="O245" s="215"/>
      <c r="P245" s="215"/>
      <c r="Q245" s="215"/>
      <c r="R245" s="215"/>
      <c r="S245" s="215"/>
      <c r="T245" s="215"/>
      <c r="U245" s="215"/>
      <c r="V245" s="215"/>
      <c r="W245" s="215"/>
      <c r="X245" s="215"/>
      <c r="Y245" s="215"/>
      <c r="Z245" s="215"/>
      <c r="AA245" s="215"/>
      <c r="AB245" s="215"/>
      <c r="AC245" s="215"/>
      <c r="AD245" s="215"/>
      <c r="AE245" s="215"/>
      <c r="AF245" s="215"/>
      <c r="AG245" s="215"/>
      <c r="AH245" s="215"/>
      <c r="AI245" s="215"/>
      <c r="AJ245" s="215"/>
      <c r="AK245" s="215"/>
      <c r="AL245" s="215"/>
      <c r="AM245" s="215"/>
      <c r="AN245" s="215"/>
      <c r="AO245" s="215"/>
      <c r="AP245" s="215"/>
      <c r="AQ245" s="215"/>
      <c r="AR245" s="215"/>
      <c r="AS245" s="215"/>
      <c r="AT245" s="215"/>
      <c r="AU245" s="215"/>
      <c r="AV245" s="215"/>
      <c r="AW245" s="215"/>
      <c r="AX245" s="215"/>
      <c r="AY245" s="215"/>
    </row>
    <row r="246">
      <c r="A246" s="80"/>
      <c r="B246" s="80"/>
      <c r="C246" s="80"/>
      <c r="D246" s="80"/>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15"/>
      <c r="AH246" s="215"/>
      <c r="AI246" s="215"/>
      <c r="AJ246" s="215"/>
      <c r="AK246" s="215"/>
      <c r="AL246" s="215"/>
      <c r="AM246" s="215"/>
      <c r="AN246" s="215"/>
      <c r="AO246" s="215"/>
      <c r="AP246" s="215"/>
      <c r="AQ246" s="215"/>
      <c r="AR246" s="215"/>
      <c r="AS246" s="215"/>
      <c r="AT246" s="215"/>
      <c r="AU246" s="215"/>
      <c r="AV246" s="215"/>
      <c r="AW246" s="215"/>
      <c r="AX246" s="215"/>
      <c r="AY246" s="215"/>
    </row>
    <row r="247">
      <c r="A247" s="80"/>
      <c r="B247" s="80"/>
      <c r="C247" s="80"/>
      <c r="D247" s="80"/>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15"/>
      <c r="AH247" s="215"/>
      <c r="AI247" s="215"/>
      <c r="AJ247" s="215"/>
      <c r="AK247" s="215"/>
      <c r="AL247" s="215"/>
      <c r="AM247" s="215"/>
      <c r="AN247" s="215"/>
      <c r="AO247" s="215"/>
      <c r="AP247" s="215"/>
      <c r="AQ247" s="215"/>
      <c r="AR247" s="215"/>
      <c r="AS247" s="215"/>
      <c r="AT247" s="215"/>
      <c r="AU247" s="215"/>
      <c r="AV247" s="215"/>
      <c r="AW247" s="215"/>
      <c r="AX247" s="215"/>
      <c r="AY247" s="215"/>
    </row>
    <row r="248">
      <c r="A248" s="80"/>
      <c r="B248" s="80"/>
      <c r="C248" s="80"/>
      <c r="D248" s="80"/>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15"/>
      <c r="AH248" s="215"/>
      <c r="AI248" s="215"/>
      <c r="AJ248" s="215"/>
      <c r="AK248" s="215"/>
      <c r="AL248" s="215"/>
      <c r="AM248" s="215"/>
      <c r="AN248" s="215"/>
      <c r="AO248" s="215"/>
      <c r="AP248" s="215"/>
      <c r="AQ248" s="215"/>
      <c r="AR248" s="215"/>
      <c r="AS248" s="215"/>
      <c r="AT248" s="215"/>
      <c r="AU248" s="215"/>
      <c r="AV248" s="215"/>
      <c r="AW248" s="215"/>
      <c r="AX248" s="215"/>
      <c r="AY248" s="215"/>
    </row>
    <row r="249">
      <c r="A249" s="80"/>
      <c r="B249" s="80"/>
      <c r="C249" s="80"/>
      <c r="D249" s="80"/>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15"/>
      <c r="AH249" s="215"/>
      <c r="AI249" s="215"/>
      <c r="AJ249" s="215"/>
      <c r="AK249" s="215"/>
      <c r="AL249" s="215"/>
      <c r="AM249" s="215"/>
      <c r="AN249" s="215"/>
      <c r="AO249" s="215"/>
      <c r="AP249" s="215"/>
      <c r="AQ249" s="215"/>
      <c r="AR249" s="215"/>
      <c r="AS249" s="215"/>
      <c r="AT249" s="215"/>
      <c r="AU249" s="215"/>
      <c r="AV249" s="215"/>
      <c r="AW249" s="215"/>
      <c r="AX249" s="215"/>
      <c r="AY249" s="215"/>
    </row>
    <row r="250">
      <c r="A250" s="80"/>
      <c r="B250" s="80"/>
      <c r="C250" s="80"/>
      <c r="D250" s="80"/>
      <c r="E250" s="215"/>
      <c r="F250" s="215"/>
      <c r="G250" s="215"/>
      <c r="H250" s="215"/>
      <c r="I250" s="215"/>
      <c r="J250" s="215"/>
      <c r="K250" s="215"/>
      <c r="L250" s="215"/>
      <c r="M250" s="215"/>
      <c r="N250" s="215"/>
      <c r="O250" s="215"/>
      <c r="P250" s="215"/>
      <c r="Q250" s="215"/>
      <c r="R250" s="215"/>
      <c r="S250" s="215"/>
      <c r="T250" s="215"/>
      <c r="U250" s="215"/>
      <c r="V250" s="215"/>
      <c r="W250" s="215"/>
      <c r="X250" s="215"/>
      <c r="Y250" s="215"/>
      <c r="Z250" s="215"/>
      <c r="AA250" s="215"/>
      <c r="AB250" s="215"/>
      <c r="AC250" s="215"/>
      <c r="AD250" s="215"/>
      <c r="AE250" s="215"/>
      <c r="AF250" s="215"/>
      <c r="AG250" s="215"/>
      <c r="AH250" s="215"/>
      <c r="AI250" s="215"/>
      <c r="AJ250" s="215"/>
      <c r="AK250" s="215"/>
      <c r="AL250" s="215"/>
      <c r="AM250" s="215"/>
      <c r="AN250" s="215"/>
      <c r="AO250" s="215"/>
      <c r="AP250" s="215"/>
      <c r="AQ250" s="215"/>
      <c r="AR250" s="215"/>
      <c r="AS250" s="215"/>
      <c r="AT250" s="215"/>
      <c r="AU250" s="215"/>
      <c r="AV250" s="215"/>
      <c r="AW250" s="215"/>
      <c r="AX250" s="215"/>
      <c r="AY250" s="215"/>
    </row>
    <row r="251">
      <c r="A251" s="80"/>
      <c r="B251" s="80"/>
      <c r="C251" s="80"/>
      <c r="D251" s="80"/>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15"/>
      <c r="AH251" s="215"/>
      <c r="AI251" s="215"/>
      <c r="AJ251" s="215"/>
      <c r="AK251" s="215"/>
      <c r="AL251" s="215"/>
      <c r="AM251" s="215"/>
      <c r="AN251" s="215"/>
      <c r="AO251" s="215"/>
      <c r="AP251" s="215"/>
      <c r="AQ251" s="215"/>
      <c r="AR251" s="215"/>
      <c r="AS251" s="215"/>
      <c r="AT251" s="215"/>
      <c r="AU251" s="215"/>
      <c r="AV251" s="215"/>
      <c r="AW251" s="215"/>
      <c r="AX251" s="215"/>
      <c r="AY251" s="215"/>
    </row>
    <row r="252">
      <c r="A252" s="80"/>
      <c r="B252" s="80"/>
      <c r="C252" s="80"/>
      <c r="D252" s="80"/>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15"/>
      <c r="AH252" s="215"/>
      <c r="AI252" s="215"/>
      <c r="AJ252" s="215"/>
      <c r="AK252" s="215"/>
      <c r="AL252" s="215"/>
      <c r="AM252" s="215"/>
      <c r="AN252" s="215"/>
      <c r="AO252" s="215"/>
      <c r="AP252" s="215"/>
      <c r="AQ252" s="215"/>
      <c r="AR252" s="215"/>
      <c r="AS252" s="215"/>
      <c r="AT252" s="215"/>
      <c r="AU252" s="215"/>
      <c r="AV252" s="215"/>
      <c r="AW252" s="215"/>
      <c r="AX252" s="215"/>
      <c r="AY252" s="215"/>
    </row>
    <row r="253">
      <c r="A253" s="80"/>
      <c r="B253" s="80"/>
      <c r="C253" s="80"/>
      <c r="D253" s="80"/>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15"/>
      <c r="AH253" s="215"/>
      <c r="AI253" s="215"/>
      <c r="AJ253" s="215"/>
      <c r="AK253" s="215"/>
      <c r="AL253" s="215"/>
      <c r="AM253" s="215"/>
      <c r="AN253" s="215"/>
      <c r="AO253" s="215"/>
      <c r="AP253" s="215"/>
      <c r="AQ253" s="215"/>
      <c r="AR253" s="215"/>
      <c r="AS253" s="215"/>
      <c r="AT253" s="215"/>
      <c r="AU253" s="215"/>
      <c r="AV253" s="215"/>
      <c r="AW253" s="215"/>
      <c r="AX253" s="215"/>
      <c r="AY253" s="215"/>
    </row>
    <row r="254">
      <c r="A254" s="80"/>
      <c r="B254" s="80"/>
      <c r="C254" s="80"/>
      <c r="D254" s="80"/>
      <c r="E254" s="215"/>
      <c r="F254" s="215"/>
      <c r="G254" s="215"/>
      <c r="H254" s="215"/>
      <c r="I254" s="215"/>
      <c r="J254" s="215"/>
      <c r="K254" s="215"/>
      <c r="L254" s="215"/>
      <c r="M254" s="215"/>
      <c r="N254" s="215"/>
      <c r="O254" s="215"/>
      <c r="P254" s="215"/>
      <c r="Q254" s="215"/>
      <c r="R254" s="215"/>
      <c r="S254" s="215"/>
      <c r="T254" s="215"/>
      <c r="U254" s="215"/>
      <c r="V254" s="215"/>
      <c r="W254" s="215"/>
      <c r="X254" s="215"/>
      <c r="Y254" s="215"/>
      <c r="Z254" s="215"/>
      <c r="AA254" s="215"/>
      <c r="AB254" s="215"/>
      <c r="AC254" s="215"/>
      <c r="AD254" s="215"/>
      <c r="AE254" s="215"/>
      <c r="AF254" s="215"/>
      <c r="AG254" s="215"/>
      <c r="AH254" s="215"/>
      <c r="AI254" s="215"/>
      <c r="AJ254" s="215"/>
      <c r="AK254" s="215"/>
      <c r="AL254" s="215"/>
      <c r="AM254" s="215"/>
      <c r="AN254" s="215"/>
      <c r="AO254" s="215"/>
      <c r="AP254" s="215"/>
      <c r="AQ254" s="215"/>
      <c r="AR254" s="215"/>
      <c r="AS254" s="215"/>
      <c r="AT254" s="215"/>
      <c r="AU254" s="215"/>
      <c r="AV254" s="215"/>
      <c r="AW254" s="215"/>
      <c r="AX254" s="215"/>
      <c r="AY254" s="215"/>
    </row>
    <row r="255">
      <c r="A255" s="80"/>
      <c r="B255" s="80"/>
      <c r="C255" s="80"/>
      <c r="D255" s="80"/>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15"/>
      <c r="AH255" s="215"/>
      <c r="AI255" s="215"/>
      <c r="AJ255" s="215"/>
      <c r="AK255" s="215"/>
      <c r="AL255" s="215"/>
      <c r="AM255" s="215"/>
      <c r="AN255" s="215"/>
      <c r="AO255" s="215"/>
      <c r="AP255" s="215"/>
      <c r="AQ255" s="215"/>
      <c r="AR255" s="215"/>
      <c r="AS255" s="215"/>
      <c r="AT255" s="215"/>
      <c r="AU255" s="215"/>
      <c r="AV255" s="215"/>
      <c r="AW255" s="215"/>
      <c r="AX255" s="215"/>
      <c r="AY255" s="215"/>
    </row>
    <row r="256">
      <c r="A256" s="80"/>
      <c r="B256" s="80"/>
      <c r="C256" s="80"/>
      <c r="D256" s="80"/>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15"/>
      <c r="AH256" s="215"/>
      <c r="AI256" s="215"/>
      <c r="AJ256" s="215"/>
      <c r="AK256" s="215"/>
      <c r="AL256" s="215"/>
      <c r="AM256" s="215"/>
      <c r="AN256" s="215"/>
      <c r="AO256" s="215"/>
      <c r="AP256" s="215"/>
      <c r="AQ256" s="215"/>
      <c r="AR256" s="215"/>
      <c r="AS256" s="215"/>
      <c r="AT256" s="215"/>
      <c r="AU256" s="215"/>
      <c r="AV256" s="215"/>
      <c r="AW256" s="215"/>
      <c r="AX256" s="215"/>
      <c r="AY256" s="215"/>
    </row>
    <row r="257">
      <c r="A257" s="80"/>
      <c r="B257" s="80"/>
      <c r="C257" s="80"/>
      <c r="D257" s="80"/>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15"/>
      <c r="AH257" s="215"/>
      <c r="AI257" s="215"/>
      <c r="AJ257" s="215"/>
      <c r="AK257" s="215"/>
      <c r="AL257" s="215"/>
      <c r="AM257" s="215"/>
      <c r="AN257" s="215"/>
      <c r="AO257" s="215"/>
      <c r="AP257" s="215"/>
      <c r="AQ257" s="215"/>
      <c r="AR257" s="215"/>
      <c r="AS257" s="215"/>
      <c r="AT257" s="215"/>
      <c r="AU257" s="215"/>
      <c r="AV257" s="215"/>
      <c r="AW257" s="215"/>
      <c r="AX257" s="215"/>
      <c r="AY257" s="215"/>
    </row>
    <row r="258">
      <c r="A258" s="80"/>
      <c r="B258" s="80"/>
      <c r="C258" s="80"/>
      <c r="D258" s="80"/>
      <c r="E258" s="215"/>
      <c r="F258" s="215"/>
      <c r="G258" s="215"/>
      <c r="H258" s="215"/>
      <c r="I258" s="215"/>
      <c r="J258" s="215"/>
      <c r="K258" s="215"/>
      <c r="L258" s="215"/>
      <c r="M258" s="215"/>
      <c r="N258" s="215"/>
      <c r="O258" s="215"/>
      <c r="P258" s="215"/>
      <c r="Q258" s="215"/>
      <c r="R258" s="215"/>
      <c r="S258" s="215"/>
      <c r="T258" s="215"/>
      <c r="U258" s="215"/>
      <c r="V258" s="215"/>
      <c r="W258" s="215"/>
      <c r="X258" s="215"/>
      <c r="Y258" s="215"/>
      <c r="Z258" s="215"/>
      <c r="AA258" s="215"/>
      <c r="AB258" s="215"/>
      <c r="AC258" s="215"/>
      <c r="AD258" s="215"/>
      <c r="AE258" s="215"/>
      <c r="AF258" s="215"/>
      <c r="AG258" s="215"/>
      <c r="AH258" s="215"/>
      <c r="AI258" s="215"/>
      <c r="AJ258" s="215"/>
      <c r="AK258" s="215"/>
      <c r="AL258" s="215"/>
      <c r="AM258" s="215"/>
      <c r="AN258" s="215"/>
      <c r="AO258" s="215"/>
      <c r="AP258" s="215"/>
      <c r="AQ258" s="215"/>
      <c r="AR258" s="215"/>
      <c r="AS258" s="215"/>
      <c r="AT258" s="215"/>
      <c r="AU258" s="215"/>
      <c r="AV258" s="215"/>
      <c r="AW258" s="215"/>
      <c r="AX258" s="215"/>
      <c r="AY258" s="215"/>
    </row>
    <row r="259">
      <c r="A259" s="80"/>
      <c r="B259" s="80"/>
      <c r="C259" s="80"/>
      <c r="D259" s="80"/>
      <c r="E259" s="215"/>
      <c r="F259" s="215"/>
      <c r="G259" s="215"/>
      <c r="H259" s="215"/>
      <c r="I259" s="215"/>
      <c r="J259" s="215"/>
      <c r="K259" s="215"/>
      <c r="L259" s="215"/>
      <c r="M259" s="215"/>
      <c r="N259" s="215"/>
      <c r="O259" s="215"/>
      <c r="P259" s="215"/>
      <c r="Q259" s="215"/>
      <c r="R259" s="215"/>
      <c r="S259" s="215"/>
      <c r="T259" s="215"/>
      <c r="U259" s="215"/>
      <c r="V259" s="215"/>
      <c r="W259" s="215"/>
      <c r="X259" s="215"/>
      <c r="Y259" s="215"/>
      <c r="Z259" s="215"/>
      <c r="AA259" s="215"/>
      <c r="AB259" s="215"/>
      <c r="AC259" s="215"/>
      <c r="AD259" s="215"/>
      <c r="AE259" s="215"/>
      <c r="AF259" s="215"/>
      <c r="AG259" s="215"/>
      <c r="AH259" s="215"/>
      <c r="AI259" s="215"/>
      <c r="AJ259" s="215"/>
      <c r="AK259" s="215"/>
      <c r="AL259" s="215"/>
      <c r="AM259" s="215"/>
      <c r="AN259" s="215"/>
      <c r="AO259" s="215"/>
      <c r="AP259" s="215"/>
      <c r="AQ259" s="215"/>
      <c r="AR259" s="215"/>
      <c r="AS259" s="215"/>
      <c r="AT259" s="215"/>
      <c r="AU259" s="215"/>
      <c r="AV259" s="215"/>
      <c r="AW259" s="215"/>
      <c r="AX259" s="215"/>
      <c r="AY259" s="215"/>
    </row>
    <row r="260">
      <c r="A260" s="80"/>
      <c r="B260" s="80"/>
      <c r="C260" s="80"/>
      <c r="D260" s="80"/>
      <c r="E260" s="215"/>
      <c r="F260" s="215"/>
      <c r="G260" s="215"/>
      <c r="H260" s="215"/>
      <c r="I260" s="215"/>
      <c r="J260" s="215"/>
      <c r="K260" s="215"/>
      <c r="L260" s="215"/>
      <c r="M260" s="215"/>
      <c r="N260" s="215"/>
      <c r="O260" s="215"/>
      <c r="P260" s="215"/>
      <c r="Q260" s="215"/>
      <c r="R260" s="215"/>
      <c r="S260" s="215"/>
      <c r="T260" s="215"/>
      <c r="U260" s="215"/>
      <c r="V260" s="215"/>
      <c r="W260" s="215"/>
      <c r="X260" s="215"/>
      <c r="Y260" s="215"/>
      <c r="Z260" s="215"/>
      <c r="AA260" s="215"/>
      <c r="AB260" s="215"/>
      <c r="AC260" s="215"/>
      <c r="AD260" s="215"/>
      <c r="AE260" s="215"/>
      <c r="AF260" s="215"/>
      <c r="AG260" s="215"/>
      <c r="AH260" s="215"/>
      <c r="AI260" s="215"/>
      <c r="AJ260" s="215"/>
      <c r="AK260" s="215"/>
      <c r="AL260" s="215"/>
      <c r="AM260" s="215"/>
      <c r="AN260" s="215"/>
      <c r="AO260" s="215"/>
      <c r="AP260" s="215"/>
      <c r="AQ260" s="215"/>
      <c r="AR260" s="215"/>
      <c r="AS260" s="215"/>
      <c r="AT260" s="215"/>
      <c r="AU260" s="215"/>
      <c r="AV260" s="215"/>
      <c r="AW260" s="215"/>
      <c r="AX260" s="215"/>
      <c r="AY260" s="215"/>
    </row>
    <row r="261">
      <c r="A261" s="80"/>
      <c r="B261" s="80"/>
      <c r="C261" s="80"/>
      <c r="D261" s="80"/>
      <c r="E261" s="215"/>
      <c r="F261" s="215"/>
      <c r="G261" s="215"/>
      <c r="H261" s="215"/>
      <c r="I261" s="215"/>
      <c r="J261" s="215"/>
      <c r="K261" s="215"/>
      <c r="L261" s="215"/>
      <c r="M261" s="215"/>
      <c r="N261" s="215"/>
      <c r="O261" s="215"/>
      <c r="P261" s="215"/>
      <c r="Q261" s="215"/>
      <c r="R261" s="215"/>
      <c r="S261" s="215"/>
      <c r="T261" s="215"/>
      <c r="U261" s="215"/>
      <c r="V261" s="215"/>
      <c r="W261" s="215"/>
      <c r="X261" s="215"/>
      <c r="Y261" s="215"/>
      <c r="Z261" s="215"/>
      <c r="AA261" s="215"/>
      <c r="AB261" s="215"/>
      <c r="AC261" s="215"/>
      <c r="AD261" s="215"/>
      <c r="AE261" s="215"/>
      <c r="AF261" s="215"/>
      <c r="AG261" s="215"/>
      <c r="AH261" s="215"/>
      <c r="AI261" s="215"/>
      <c r="AJ261" s="215"/>
      <c r="AK261" s="215"/>
      <c r="AL261" s="215"/>
      <c r="AM261" s="215"/>
      <c r="AN261" s="215"/>
      <c r="AO261" s="215"/>
      <c r="AP261" s="215"/>
      <c r="AQ261" s="215"/>
      <c r="AR261" s="215"/>
      <c r="AS261" s="215"/>
      <c r="AT261" s="215"/>
      <c r="AU261" s="215"/>
      <c r="AV261" s="215"/>
      <c r="AW261" s="215"/>
      <c r="AX261" s="215"/>
      <c r="AY261" s="215"/>
    </row>
    <row r="262">
      <c r="A262" s="80"/>
      <c r="B262" s="80"/>
      <c r="C262" s="80"/>
      <c r="D262" s="80"/>
      <c r="E262" s="215"/>
      <c r="F262" s="215"/>
      <c r="G262" s="215"/>
      <c r="H262" s="215"/>
      <c r="I262" s="215"/>
      <c r="J262" s="215"/>
      <c r="K262" s="215"/>
      <c r="L262" s="215"/>
      <c r="M262" s="215"/>
      <c r="N262" s="215"/>
      <c r="O262" s="215"/>
      <c r="P262" s="215"/>
      <c r="Q262" s="215"/>
      <c r="R262" s="215"/>
      <c r="S262" s="215"/>
      <c r="T262" s="215"/>
      <c r="U262" s="215"/>
      <c r="V262" s="215"/>
      <c r="W262" s="215"/>
      <c r="X262" s="215"/>
      <c r="Y262" s="215"/>
      <c r="Z262" s="215"/>
      <c r="AA262" s="215"/>
      <c r="AB262" s="215"/>
      <c r="AC262" s="215"/>
      <c r="AD262" s="215"/>
      <c r="AE262" s="215"/>
      <c r="AF262" s="215"/>
      <c r="AG262" s="215"/>
      <c r="AH262" s="215"/>
      <c r="AI262" s="215"/>
      <c r="AJ262" s="215"/>
      <c r="AK262" s="215"/>
      <c r="AL262" s="215"/>
      <c r="AM262" s="215"/>
      <c r="AN262" s="215"/>
      <c r="AO262" s="215"/>
      <c r="AP262" s="215"/>
      <c r="AQ262" s="215"/>
      <c r="AR262" s="215"/>
      <c r="AS262" s="215"/>
      <c r="AT262" s="215"/>
      <c r="AU262" s="215"/>
      <c r="AV262" s="215"/>
      <c r="AW262" s="215"/>
      <c r="AX262" s="215"/>
      <c r="AY262" s="215"/>
    </row>
    <row r="263">
      <c r="A263" s="80"/>
      <c r="B263" s="80"/>
      <c r="C263" s="80"/>
      <c r="D263" s="80"/>
      <c r="E263" s="215"/>
      <c r="F263" s="215"/>
      <c r="G263" s="215"/>
      <c r="H263" s="215"/>
      <c r="I263" s="215"/>
      <c r="J263" s="215"/>
      <c r="K263" s="215"/>
      <c r="L263" s="215"/>
      <c r="M263" s="215"/>
      <c r="N263" s="215"/>
      <c r="O263" s="215"/>
      <c r="P263" s="215"/>
      <c r="Q263" s="215"/>
      <c r="R263" s="215"/>
      <c r="S263" s="215"/>
      <c r="T263" s="215"/>
      <c r="U263" s="215"/>
      <c r="V263" s="215"/>
      <c r="W263" s="215"/>
      <c r="X263" s="215"/>
      <c r="Y263" s="215"/>
      <c r="Z263" s="215"/>
      <c r="AA263" s="215"/>
      <c r="AB263" s="215"/>
      <c r="AC263" s="215"/>
      <c r="AD263" s="215"/>
      <c r="AE263" s="215"/>
      <c r="AF263" s="215"/>
      <c r="AG263" s="215"/>
      <c r="AH263" s="215"/>
      <c r="AI263" s="215"/>
      <c r="AJ263" s="215"/>
      <c r="AK263" s="215"/>
      <c r="AL263" s="215"/>
      <c r="AM263" s="215"/>
      <c r="AN263" s="215"/>
      <c r="AO263" s="215"/>
      <c r="AP263" s="215"/>
      <c r="AQ263" s="215"/>
      <c r="AR263" s="215"/>
      <c r="AS263" s="215"/>
      <c r="AT263" s="215"/>
      <c r="AU263" s="215"/>
      <c r="AV263" s="215"/>
      <c r="AW263" s="215"/>
      <c r="AX263" s="215"/>
      <c r="AY263" s="215"/>
    </row>
    <row r="264">
      <c r="A264" s="80"/>
      <c r="B264" s="80"/>
      <c r="C264" s="80"/>
      <c r="D264" s="80"/>
      <c r="E264" s="215"/>
      <c r="F264" s="215"/>
      <c r="G264" s="215"/>
      <c r="H264" s="215"/>
      <c r="I264" s="215"/>
      <c r="J264" s="215"/>
      <c r="K264" s="215"/>
      <c r="L264" s="215"/>
      <c r="M264" s="215"/>
      <c r="N264" s="215"/>
      <c r="O264" s="215"/>
      <c r="P264" s="215"/>
      <c r="Q264" s="215"/>
      <c r="R264" s="215"/>
      <c r="S264" s="215"/>
      <c r="T264" s="215"/>
      <c r="U264" s="215"/>
      <c r="V264" s="215"/>
      <c r="W264" s="215"/>
      <c r="X264" s="215"/>
      <c r="Y264" s="215"/>
      <c r="Z264" s="215"/>
      <c r="AA264" s="215"/>
      <c r="AB264" s="215"/>
      <c r="AC264" s="215"/>
      <c r="AD264" s="215"/>
      <c r="AE264" s="215"/>
      <c r="AF264" s="215"/>
      <c r="AG264" s="215"/>
      <c r="AH264" s="215"/>
      <c r="AI264" s="215"/>
      <c r="AJ264" s="215"/>
      <c r="AK264" s="215"/>
      <c r="AL264" s="215"/>
      <c r="AM264" s="215"/>
      <c r="AN264" s="215"/>
      <c r="AO264" s="215"/>
      <c r="AP264" s="215"/>
      <c r="AQ264" s="215"/>
      <c r="AR264" s="215"/>
      <c r="AS264" s="215"/>
      <c r="AT264" s="215"/>
      <c r="AU264" s="215"/>
      <c r="AV264" s="215"/>
      <c r="AW264" s="215"/>
      <c r="AX264" s="215"/>
      <c r="AY264" s="215"/>
    </row>
    <row r="265">
      <c r="A265" s="80"/>
      <c r="B265" s="80"/>
      <c r="C265" s="80"/>
      <c r="D265" s="80"/>
      <c r="E265" s="215"/>
      <c r="F265" s="215"/>
      <c r="G265" s="215"/>
      <c r="H265" s="215"/>
      <c r="I265" s="215"/>
      <c r="J265" s="215"/>
      <c r="K265" s="215"/>
      <c r="L265" s="215"/>
      <c r="M265" s="215"/>
      <c r="N265" s="215"/>
      <c r="O265" s="215"/>
      <c r="P265" s="215"/>
      <c r="Q265" s="215"/>
      <c r="R265" s="215"/>
      <c r="S265" s="215"/>
      <c r="T265" s="215"/>
      <c r="U265" s="215"/>
      <c r="V265" s="215"/>
      <c r="W265" s="215"/>
      <c r="X265" s="215"/>
      <c r="Y265" s="215"/>
      <c r="Z265" s="215"/>
      <c r="AA265" s="215"/>
      <c r="AB265" s="215"/>
      <c r="AC265" s="215"/>
      <c r="AD265" s="215"/>
      <c r="AE265" s="215"/>
      <c r="AF265" s="215"/>
      <c r="AG265" s="215"/>
      <c r="AH265" s="215"/>
      <c r="AI265" s="215"/>
      <c r="AJ265" s="215"/>
      <c r="AK265" s="215"/>
      <c r="AL265" s="215"/>
      <c r="AM265" s="215"/>
      <c r="AN265" s="215"/>
      <c r="AO265" s="215"/>
      <c r="AP265" s="215"/>
      <c r="AQ265" s="215"/>
      <c r="AR265" s="215"/>
      <c r="AS265" s="215"/>
      <c r="AT265" s="215"/>
      <c r="AU265" s="215"/>
      <c r="AV265" s="215"/>
      <c r="AW265" s="215"/>
      <c r="AX265" s="215"/>
      <c r="AY265" s="215"/>
    </row>
    <row r="266">
      <c r="A266" s="80"/>
      <c r="B266" s="80"/>
      <c r="C266" s="80"/>
      <c r="D266" s="80"/>
      <c r="E266" s="215"/>
      <c r="F266" s="215"/>
      <c r="G266" s="215"/>
      <c r="H266" s="215"/>
      <c r="I266" s="215"/>
      <c r="J266" s="215"/>
      <c r="K266" s="215"/>
      <c r="L266" s="215"/>
      <c r="M266" s="215"/>
      <c r="N266" s="215"/>
      <c r="O266" s="215"/>
      <c r="P266" s="215"/>
      <c r="Q266" s="215"/>
      <c r="R266" s="215"/>
      <c r="S266" s="215"/>
      <c r="T266" s="215"/>
      <c r="U266" s="215"/>
      <c r="V266" s="215"/>
      <c r="W266" s="215"/>
      <c r="X266" s="215"/>
      <c r="Y266" s="215"/>
      <c r="Z266" s="215"/>
      <c r="AA266" s="215"/>
      <c r="AB266" s="215"/>
      <c r="AC266" s="215"/>
      <c r="AD266" s="215"/>
      <c r="AE266" s="215"/>
      <c r="AF266" s="215"/>
      <c r="AG266" s="215"/>
      <c r="AH266" s="215"/>
      <c r="AI266" s="215"/>
      <c r="AJ266" s="215"/>
      <c r="AK266" s="215"/>
      <c r="AL266" s="215"/>
      <c r="AM266" s="215"/>
      <c r="AN266" s="215"/>
      <c r="AO266" s="215"/>
      <c r="AP266" s="215"/>
      <c r="AQ266" s="215"/>
      <c r="AR266" s="215"/>
      <c r="AS266" s="215"/>
      <c r="AT266" s="215"/>
      <c r="AU266" s="215"/>
      <c r="AV266" s="215"/>
      <c r="AW266" s="215"/>
      <c r="AX266" s="215"/>
      <c r="AY266" s="215"/>
    </row>
    <row r="267">
      <c r="A267" s="80"/>
      <c r="B267" s="80"/>
      <c r="C267" s="80"/>
      <c r="D267" s="80"/>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215"/>
      <c r="AH267" s="215"/>
      <c r="AI267" s="215"/>
      <c r="AJ267" s="215"/>
      <c r="AK267" s="215"/>
      <c r="AL267" s="215"/>
      <c r="AM267" s="215"/>
      <c r="AN267" s="215"/>
      <c r="AO267" s="215"/>
      <c r="AP267" s="215"/>
      <c r="AQ267" s="215"/>
      <c r="AR267" s="215"/>
      <c r="AS267" s="215"/>
      <c r="AT267" s="215"/>
      <c r="AU267" s="215"/>
      <c r="AV267" s="215"/>
      <c r="AW267" s="215"/>
      <c r="AX267" s="215"/>
      <c r="AY267" s="215"/>
    </row>
    <row r="268">
      <c r="A268" s="80"/>
      <c r="B268" s="80"/>
      <c r="C268" s="80"/>
      <c r="D268" s="80"/>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c r="AS268" s="215"/>
      <c r="AT268" s="215"/>
      <c r="AU268" s="215"/>
      <c r="AV268" s="215"/>
      <c r="AW268" s="215"/>
      <c r="AX268" s="215"/>
      <c r="AY268" s="215"/>
    </row>
    <row r="269">
      <c r="A269" s="80"/>
      <c r="B269" s="80"/>
      <c r="C269" s="80"/>
      <c r="D269" s="80"/>
      <c r="E269" s="215"/>
      <c r="F269" s="215"/>
      <c r="G269" s="215"/>
      <c r="H269" s="215"/>
      <c r="I269" s="215"/>
      <c r="J269" s="215"/>
      <c r="K269" s="215"/>
      <c r="L269" s="215"/>
      <c r="M269" s="215"/>
      <c r="N269" s="215"/>
      <c r="O269" s="215"/>
      <c r="P269" s="215"/>
      <c r="Q269" s="215"/>
      <c r="R269" s="215"/>
      <c r="S269" s="215"/>
      <c r="T269" s="215"/>
      <c r="U269" s="215"/>
      <c r="V269" s="215"/>
      <c r="W269" s="215"/>
      <c r="X269" s="215"/>
      <c r="Y269" s="215"/>
      <c r="Z269" s="215"/>
      <c r="AA269" s="215"/>
      <c r="AB269" s="215"/>
      <c r="AC269" s="215"/>
      <c r="AD269" s="215"/>
      <c r="AE269" s="215"/>
      <c r="AF269" s="215"/>
      <c r="AG269" s="215"/>
      <c r="AH269" s="215"/>
      <c r="AI269" s="215"/>
      <c r="AJ269" s="215"/>
      <c r="AK269" s="215"/>
      <c r="AL269" s="215"/>
      <c r="AM269" s="215"/>
      <c r="AN269" s="215"/>
      <c r="AO269" s="215"/>
      <c r="AP269" s="215"/>
      <c r="AQ269" s="215"/>
      <c r="AR269" s="215"/>
      <c r="AS269" s="215"/>
      <c r="AT269" s="215"/>
      <c r="AU269" s="215"/>
      <c r="AV269" s="215"/>
      <c r="AW269" s="215"/>
      <c r="AX269" s="215"/>
      <c r="AY269" s="215"/>
    </row>
    <row r="270">
      <c r="A270" s="80"/>
      <c r="B270" s="80"/>
      <c r="C270" s="80"/>
      <c r="D270" s="80"/>
      <c r="E270" s="215"/>
      <c r="F270" s="215"/>
      <c r="G270" s="215"/>
      <c r="H270" s="215"/>
      <c r="I270" s="215"/>
      <c r="J270" s="215"/>
      <c r="K270" s="215"/>
      <c r="L270" s="215"/>
      <c r="M270" s="215"/>
      <c r="N270" s="215"/>
      <c r="O270" s="215"/>
      <c r="P270" s="215"/>
      <c r="Q270" s="215"/>
      <c r="R270" s="215"/>
      <c r="S270" s="215"/>
      <c r="T270" s="215"/>
      <c r="U270" s="215"/>
      <c r="V270" s="215"/>
      <c r="W270" s="215"/>
      <c r="X270" s="215"/>
      <c r="Y270" s="215"/>
      <c r="Z270" s="215"/>
      <c r="AA270" s="215"/>
      <c r="AB270" s="215"/>
      <c r="AC270" s="215"/>
      <c r="AD270" s="215"/>
      <c r="AE270" s="215"/>
      <c r="AF270" s="215"/>
      <c r="AG270" s="215"/>
      <c r="AH270" s="215"/>
      <c r="AI270" s="215"/>
      <c r="AJ270" s="215"/>
      <c r="AK270" s="215"/>
      <c r="AL270" s="215"/>
      <c r="AM270" s="215"/>
      <c r="AN270" s="215"/>
      <c r="AO270" s="215"/>
      <c r="AP270" s="215"/>
      <c r="AQ270" s="215"/>
      <c r="AR270" s="215"/>
      <c r="AS270" s="215"/>
      <c r="AT270" s="215"/>
      <c r="AU270" s="215"/>
      <c r="AV270" s="215"/>
      <c r="AW270" s="215"/>
      <c r="AX270" s="215"/>
      <c r="AY270" s="215"/>
    </row>
    <row r="271">
      <c r="A271" s="80"/>
      <c r="B271" s="80"/>
      <c r="C271" s="80"/>
      <c r="D271" s="80"/>
      <c r="E271" s="215"/>
      <c r="F271" s="215"/>
      <c r="G271" s="215"/>
      <c r="H271" s="215"/>
      <c r="I271" s="215"/>
      <c r="J271" s="215"/>
      <c r="K271" s="215"/>
      <c r="L271" s="215"/>
      <c r="M271" s="215"/>
      <c r="N271" s="215"/>
      <c r="O271" s="215"/>
      <c r="P271" s="215"/>
      <c r="Q271" s="215"/>
      <c r="R271" s="215"/>
      <c r="S271" s="215"/>
      <c r="T271" s="215"/>
      <c r="U271" s="215"/>
      <c r="V271" s="215"/>
      <c r="W271" s="215"/>
      <c r="X271" s="215"/>
      <c r="Y271" s="215"/>
      <c r="Z271" s="215"/>
      <c r="AA271" s="215"/>
      <c r="AB271" s="215"/>
      <c r="AC271" s="215"/>
      <c r="AD271" s="215"/>
      <c r="AE271" s="215"/>
      <c r="AF271" s="215"/>
      <c r="AG271" s="215"/>
      <c r="AH271" s="215"/>
      <c r="AI271" s="215"/>
      <c r="AJ271" s="215"/>
      <c r="AK271" s="215"/>
      <c r="AL271" s="215"/>
      <c r="AM271" s="215"/>
      <c r="AN271" s="215"/>
      <c r="AO271" s="215"/>
      <c r="AP271" s="215"/>
      <c r="AQ271" s="215"/>
      <c r="AR271" s="215"/>
      <c r="AS271" s="215"/>
      <c r="AT271" s="215"/>
      <c r="AU271" s="215"/>
      <c r="AV271" s="215"/>
      <c r="AW271" s="215"/>
      <c r="AX271" s="215"/>
      <c r="AY271" s="215"/>
    </row>
    <row r="272">
      <c r="A272" s="80"/>
      <c r="B272" s="80"/>
      <c r="C272" s="80"/>
      <c r="D272" s="80"/>
      <c r="E272" s="215"/>
      <c r="F272" s="215"/>
      <c r="G272" s="215"/>
      <c r="H272" s="215"/>
      <c r="I272" s="215"/>
      <c r="J272" s="215"/>
      <c r="K272" s="215"/>
      <c r="L272" s="215"/>
      <c r="M272" s="215"/>
      <c r="N272" s="215"/>
      <c r="O272" s="215"/>
      <c r="P272" s="215"/>
      <c r="Q272" s="215"/>
      <c r="R272" s="215"/>
      <c r="S272" s="215"/>
      <c r="T272" s="215"/>
      <c r="U272" s="215"/>
      <c r="V272" s="215"/>
      <c r="W272" s="215"/>
      <c r="X272" s="215"/>
      <c r="Y272" s="215"/>
      <c r="Z272" s="215"/>
      <c r="AA272" s="215"/>
      <c r="AB272" s="215"/>
      <c r="AC272" s="215"/>
      <c r="AD272" s="215"/>
      <c r="AE272" s="215"/>
      <c r="AF272" s="215"/>
      <c r="AG272" s="215"/>
      <c r="AH272" s="215"/>
      <c r="AI272" s="215"/>
      <c r="AJ272" s="215"/>
      <c r="AK272" s="215"/>
      <c r="AL272" s="215"/>
      <c r="AM272" s="215"/>
      <c r="AN272" s="215"/>
      <c r="AO272" s="215"/>
      <c r="AP272" s="215"/>
      <c r="AQ272" s="215"/>
      <c r="AR272" s="215"/>
      <c r="AS272" s="215"/>
      <c r="AT272" s="215"/>
      <c r="AU272" s="215"/>
      <c r="AV272" s="215"/>
      <c r="AW272" s="215"/>
      <c r="AX272" s="215"/>
      <c r="AY272" s="215"/>
    </row>
    <row r="273">
      <c r="A273" s="80"/>
      <c r="B273" s="80"/>
      <c r="C273" s="80"/>
      <c r="D273" s="80"/>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15"/>
      <c r="AH273" s="215"/>
      <c r="AI273" s="215"/>
      <c r="AJ273" s="215"/>
      <c r="AK273" s="215"/>
      <c r="AL273" s="215"/>
      <c r="AM273" s="215"/>
      <c r="AN273" s="215"/>
      <c r="AO273" s="215"/>
      <c r="AP273" s="215"/>
      <c r="AQ273" s="215"/>
      <c r="AR273" s="215"/>
      <c r="AS273" s="215"/>
      <c r="AT273" s="215"/>
      <c r="AU273" s="215"/>
      <c r="AV273" s="215"/>
      <c r="AW273" s="215"/>
      <c r="AX273" s="215"/>
      <c r="AY273" s="215"/>
    </row>
    <row r="274">
      <c r="A274" s="80"/>
      <c r="B274" s="80"/>
      <c r="C274" s="80"/>
      <c r="D274" s="80"/>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15"/>
      <c r="AH274" s="215"/>
      <c r="AI274" s="215"/>
      <c r="AJ274" s="215"/>
      <c r="AK274" s="215"/>
      <c r="AL274" s="215"/>
      <c r="AM274" s="215"/>
      <c r="AN274" s="215"/>
      <c r="AO274" s="215"/>
      <c r="AP274" s="215"/>
      <c r="AQ274" s="215"/>
      <c r="AR274" s="215"/>
      <c r="AS274" s="215"/>
      <c r="AT274" s="215"/>
      <c r="AU274" s="215"/>
      <c r="AV274" s="215"/>
      <c r="AW274" s="215"/>
      <c r="AX274" s="215"/>
      <c r="AY274" s="215"/>
    </row>
    <row r="275">
      <c r="A275" s="80"/>
      <c r="B275" s="80"/>
      <c r="C275" s="80"/>
      <c r="D275" s="80"/>
      <c r="E275" s="215"/>
      <c r="F275" s="215"/>
      <c r="G275" s="215"/>
      <c r="H275" s="215"/>
      <c r="I275" s="215"/>
      <c r="J275" s="215"/>
      <c r="K275" s="215"/>
      <c r="L275" s="215"/>
      <c r="M275" s="215"/>
      <c r="N275" s="215"/>
      <c r="O275" s="215"/>
      <c r="P275" s="215"/>
      <c r="Q275" s="215"/>
      <c r="R275" s="215"/>
      <c r="S275" s="215"/>
      <c r="T275" s="215"/>
      <c r="U275" s="215"/>
      <c r="V275" s="215"/>
      <c r="W275" s="215"/>
      <c r="X275" s="215"/>
      <c r="Y275" s="215"/>
      <c r="Z275" s="215"/>
      <c r="AA275" s="215"/>
      <c r="AB275" s="215"/>
      <c r="AC275" s="215"/>
      <c r="AD275" s="215"/>
      <c r="AE275" s="215"/>
      <c r="AF275" s="215"/>
      <c r="AG275" s="215"/>
      <c r="AH275" s="215"/>
      <c r="AI275" s="215"/>
      <c r="AJ275" s="215"/>
      <c r="AK275" s="215"/>
      <c r="AL275" s="215"/>
      <c r="AM275" s="215"/>
      <c r="AN275" s="215"/>
      <c r="AO275" s="215"/>
      <c r="AP275" s="215"/>
      <c r="AQ275" s="215"/>
      <c r="AR275" s="215"/>
      <c r="AS275" s="215"/>
      <c r="AT275" s="215"/>
      <c r="AU275" s="215"/>
      <c r="AV275" s="215"/>
      <c r="AW275" s="215"/>
      <c r="AX275" s="215"/>
      <c r="AY275" s="215"/>
    </row>
    <row r="276">
      <c r="A276" s="80"/>
      <c r="B276" s="80"/>
      <c r="C276" s="80"/>
      <c r="D276" s="80"/>
      <c r="E276" s="215"/>
      <c r="F276" s="215"/>
      <c r="G276" s="215"/>
      <c r="H276" s="215"/>
      <c r="I276" s="215"/>
      <c r="J276" s="215"/>
      <c r="K276" s="215"/>
      <c r="L276" s="215"/>
      <c r="M276" s="215"/>
      <c r="N276" s="215"/>
      <c r="O276" s="215"/>
      <c r="P276" s="215"/>
      <c r="Q276" s="215"/>
      <c r="R276" s="215"/>
      <c r="S276" s="215"/>
      <c r="T276" s="215"/>
      <c r="U276" s="215"/>
      <c r="V276" s="215"/>
      <c r="W276" s="215"/>
      <c r="X276" s="215"/>
      <c r="Y276" s="215"/>
      <c r="Z276" s="215"/>
      <c r="AA276" s="215"/>
      <c r="AB276" s="215"/>
      <c r="AC276" s="215"/>
      <c r="AD276" s="215"/>
      <c r="AE276" s="215"/>
      <c r="AF276" s="215"/>
      <c r="AG276" s="215"/>
      <c r="AH276" s="215"/>
      <c r="AI276" s="215"/>
      <c r="AJ276" s="215"/>
      <c r="AK276" s="215"/>
      <c r="AL276" s="215"/>
      <c r="AM276" s="215"/>
      <c r="AN276" s="215"/>
      <c r="AO276" s="215"/>
      <c r="AP276" s="215"/>
      <c r="AQ276" s="215"/>
      <c r="AR276" s="215"/>
      <c r="AS276" s="215"/>
      <c r="AT276" s="215"/>
      <c r="AU276" s="215"/>
      <c r="AV276" s="215"/>
      <c r="AW276" s="215"/>
      <c r="AX276" s="215"/>
      <c r="AY276" s="215"/>
    </row>
    <row r="277">
      <c r="A277" s="80"/>
      <c r="B277" s="80"/>
      <c r="C277" s="80"/>
      <c r="D277" s="80"/>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15"/>
      <c r="AH277" s="215"/>
      <c r="AI277" s="215"/>
      <c r="AJ277" s="215"/>
      <c r="AK277" s="215"/>
      <c r="AL277" s="215"/>
      <c r="AM277" s="215"/>
      <c r="AN277" s="215"/>
      <c r="AO277" s="215"/>
      <c r="AP277" s="215"/>
      <c r="AQ277" s="215"/>
      <c r="AR277" s="215"/>
      <c r="AS277" s="215"/>
      <c r="AT277" s="215"/>
      <c r="AU277" s="215"/>
      <c r="AV277" s="215"/>
      <c r="AW277" s="215"/>
      <c r="AX277" s="215"/>
      <c r="AY277" s="215"/>
    </row>
    <row r="278">
      <c r="A278" s="80"/>
      <c r="B278" s="80"/>
      <c r="C278" s="80"/>
      <c r="D278" s="80"/>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15"/>
      <c r="AH278" s="215"/>
      <c r="AI278" s="215"/>
      <c r="AJ278" s="215"/>
      <c r="AK278" s="215"/>
      <c r="AL278" s="215"/>
      <c r="AM278" s="215"/>
      <c r="AN278" s="215"/>
      <c r="AO278" s="215"/>
      <c r="AP278" s="215"/>
      <c r="AQ278" s="215"/>
      <c r="AR278" s="215"/>
      <c r="AS278" s="215"/>
      <c r="AT278" s="215"/>
      <c r="AU278" s="215"/>
      <c r="AV278" s="215"/>
      <c r="AW278" s="215"/>
      <c r="AX278" s="215"/>
      <c r="AY278" s="215"/>
    </row>
    <row r="279">
      <c r="A279" s="80"/>
      <c r="B279" s="80"/>
      <c r="C279" s="80"/>
      <c r="D279" s="80"/>
      <c r="E279" s="215"/>
      <c r="F279" s="215"/>
      <c r="G279" s="215"/>
      <c r="H279" s="215"/>
      <c r="I279" s="215"/>
      <c r="J279" s="215"/>
      <c r="K279" s="215"/>
      <c r="L279" s="215"/>
      <c r="M279" s="215"/>
      <c r="N279" s="215"/>
      <c r="O279" s="215"/>
      <c r="P279" s="215"/>
      <c r="Q279" s="215"/>
      <c r="R279" s="215"/>
      <c r="S279" s="215"/>
      <c r="T279" s="215"/>
      <c r="U279" s="215"/>
      <c r="V279" s="215"/>
      <c r="W279" s="215"/>
      <c r="X279" s="215"/>
      <c r="Y279" s="215"/>
      <c r="Z279" s="215"/>
      <c r="AA279" s="215"/>
      <c r="AB279" s="215"/>
      <c r="AC279" s="215"/>
      <c r="AD279" s="215"/>
      <c r="AE279" s="215"/>
      <c r="AF279" s="215"/>
      <c r="AG279" s="215"/>
      <c r="AH279" s="215"/>
      <c r="AI279" s="215"/>
      <c r="AJ279" s="215"/>
      <c r="AK279" s="215"/>
      <c r="AL279" s="215"/>
      <c r="AM279" s="215"/>
      <c r="AN279" s="215"/>
      <c r="AO279" s="215"/>
      <c r="AP279" s="215"/>
      <c r="AQ279" s="215"/>
      <c r="AR279" s="215"/>
      <c r="AS279" s="215"/>
      <c r="AT279" s="215"/>
      <c r="AU279" s="215"/>
      <c r="AV279" s="215"/>
      <c r="AW279" s="215"/>
      <c r="AX279" s="215"/>
      <c r="AY279" s="215"/>
    </row>
    <row r="280">
      <c r="A280" s="80"/>
      <c r="B280" s="80"/>
      <c r="C280" s="80"/>
      <c r="D280" s="80"/>
      <c r="E280" s="215"/>
      <c r="F280" s="215"/>
      <c r="G280" s="215"/>
      <c r="H280" s="215"/>
      <c r="I280" s="215"/>
      <c r="J280" s="215"/>
      <c r="K280" s="215"/>
      <c r="L280" s="215"/>
      <c r="M280" s="215"/>
      <c r="N280" s="215"/>
      <c r="O280" s="215"/>
      <c r="P280" s="215"/>
      <c r="Q280" s="215"/>
      <c r="R280" s="215"/>
      <c r="S280" s="215"/>
      <c r="T280" s="215"/>
      <c r="U280" s="215"/>
      <c r="V280" s="215"/>
      <c r="W280" s="215"/>
      <c r="X280" s="215"/>
      <c r="Y280" s="215"/>
      <c r="Z280" s="215"/>
      <c r="AA280" s="215"/>
      <c r="AB280" s="215"/>
      <c r="AC280" s="215"/>
      <c r="AD280" s="215"/>
      <c r="AE280" s="215"/>
      <c r="AF280" s="215"/>
      <c r="AG280" s="215"/>
      <c r="AH280" s="215"/>
      <c r="AI280" s="215"/>
      <c r="AJ280" s="215"/>
      <c r="AK280" s="215"/>
      <c r="AL280" s="215"/>
      <c r="AM280" s="215"/>
      <c r="AN280" s="215"/>
      <c r="AO280" s="215"/>
      <c r="AP280" s="215"/>
      <c r="AQ280" s="215"/>
      <c r="AR280" s="215"/>
      <c r="AS280" s="215"/>
      <c r="AT280" s="215"/>
      <c r="AU280" s="215"/>
      <c r="AV280" s="215"/>
      <c r="AW280" s="215"/>
      <c r="AX280" s="215"/>
      <c r="AY280" s="215"/>
    </row>
    <row r="281">
      <c r="A281" s="80"/>
      <c r="B281" s="80"/>
      <c r="C281" s="80"/>
      <c r="D281" s="80"/>
      <c r="E281" s="215"/>
      <c r="F281" s="215"/>
      <c r="G281" s="215"/>
      <c r="H281" s="215"/>
      <c r="I281" s="215"/>
      <c r="J281" s="215"/>
      <c r="K281" s="215"/>
      <c r="L281" s="215"/>
      <c r="M281" s="215"/>
      <c r="N281" s="215"/>
      <c r="O281" s="215"/>
      <c r="P281" s="215"/>
      <c r="Q281" s="215"/>
      <c r="R281" s="215"/>
      <c r="S281" s="215"/>
      <c r="T281" s="215"/>
      <c r="U281" s="215"/>
      <c r="V281" s="215"/>
      <c r="W281" s="215"/>
      <c r="X281" s="215"/>
      <c r="Y281" s="215"/>
      <c r="Z281" s="215"/>
      <c r="AA281" s="215"/>
      <c r="AB281" s="215"/>
      <c r="AC281" s="215"/>
      <c r="AD281" s="215"/>
      <c r="AE281" s="215"/>
      <c r="AF281" s="215"/>
      <c r="AG281" s="215"/>
      <c r="AH281" s="215"/>
      <c r="AI281" s="215"/>
      <c r="AJ281" s="215"/>
      <c r="AK281" s="215"/>
      <c r="AL281" s="215"/>
      <c r="AM281" s="215"/>
      <c r="AN281" s="215"/>
      <c r="AO281" s="215"/>
      <c r="AP281" s="215"/>
      <c r="AQ281" s="215"/>
      <c r="AR281" s="215"/>
      <c r="AS281" s="215"/>
      <c r="AT281" s="215"/>
      <c r="AU281" s="215"/>
      <c r="AV281" s="215"/>
      <c r="AW281" s="215"/>
      <c r="AX281" s="215"/>
      <c r="AY281" s="215"/>
    </row>
    <row r="282">
      <c r="A282" s="80"/>
      <c r="B282" s="80"/>
      <c r="C282" s="80"/>
      <c r="D282" s="80"/>
      <c r="E282" s="215"/>
      <c r="F282" s="215"/>
      <c r="G282" s="215"/>
      <c r="H282" s="215"/>
      <c r="I282" s="215"/>
      <c r="J282" s="215"/>
      <c r="K282" s="215"/>
      <c r="L282" s="215"/>
      <c r="M282" s="215"/>
      <c r="N282" s="215"/>
      <c r="O282" s="215"/>
      <c r="P282" s="215"/>
      <c r="Q282" s="215"/>
      <c r="R282" s="215"/>
      <c r="S282" s="215"/>
      <c r="T282" s="215"/>
      <c r="U282" s="215"/>
      <c r="V282" s="215"/>
      <c r="W282" s="215"/>
      <c r="X282" s="215"/>
      <c r="Y282" s="215"/>
      <c r="Z282" s="215"/>
      <c r="AA282" s="215"/>
      <c r="AB282" s="215"/>
      <c r="AC282" s="215"/>
      <c r="AD282" s="215"/>
      <c r="AE282" s="215"/>
      <c r="AF282" s="215"/>
      <c r="AG282" s="215"/>
      <c r="AH282" s="215"/>
      <c r="AI282" s="215"/>
      <c r="AJ282" s="215"/>
      <c r="AK282" s="215"/>
      <c r="AL282" s="215"/>
      <c r="AM282" s="215"/>
      <c r="AN282" s="215"/>
      <c r="AO282" s="215"/>
      <c r="AP282" s="215"/>
      <c r="AQ282" s="215"/>
      <c r="AR282" s="215"/>
      <c r="AS282" s="215"/>
      <c r="AT282" s="215"/>
      <c r="AU282" s="215"/>
      <c r="AV282" s="215"/>
      <c r="AW282" s="215"/>
      <c r="AX282" s="215"/>
      <c r="AY282" s="215"/>
    </row>
    <row r="283">
      <c r="A283" s="80"/>
      <c r="B283" s="80"/>
      <c r="C283" s="80"/>
      <c r="D283" s="80"/>
      <c r="E283" s="215"/>
      <c r="F283" s="215"/>
      <c r="G283" s="215"/>
      <c r="H283" s="215"/>
      <c r="I283" s="215"/>
      <c r="J283" s="215"/>
      <c r="K283" s="215"/>
      <c r="L283" s="215"/>
      <c r="M283" s="215"/>
      <c r="N283" s="215"/>
      <c r="O283" s="215"/>
      <c r="P283" s="215"/>
      <c r="Q283" s="215"/>
      <c r="R283" s="215"/>
      <c r="S283" s="215"/>
      <c r="T283" s="215"/>
      <c r="U283" s="215"/>
      <c r="V283" s="215"/>
      <c r="W283" s="215"/>
      <c r="X283" s="215"/>
      <c r="Y283" s="215"/>
      <c r="Z283" s="215"/>
      <c r="AA283" s="215"/>
      <c r="AB283" s="215"/>
      <c r="AC283" s="215"/>
      <c r="AD283" s="215"/>
      <c r="AE283" s="215"/>
      <c r="AF283" s="215"/>
      <c r="AG283" s="215"/>
      <c r="AH283" s="215"/>
      <c r="AI283" s="215"/>
      <c r="AJ283" s="215"/>
      <c r="AK283" s="215"/>
      <c r="AL283" s="215"/>
      <c r="AM283" s="215"/>
      <c r="AN283" s="215"/>
      <c r="AO283" s="215"/>
      <c r="AP283" s="215"/>
      <c r="AQ283" s="215"/>
      <c r="AR283" s="215"/>
      <c r="AS283" s="215"/>
      <c r="AT283" s="215"/>
      <c r="AU283" s="215"/>
      <c r="AV283" s="215"/>
      <c r="AW283" s="215"/>
      <c r="AX283" s="215"/>
      <c r="AY283" s="215"/>
    </row>
    <row r="284">
      <c r="A284" s="80"/>
      <c r="B284" s="80"/>
      <c r="C284" s="80"/>
      <c r="D284" s="80"/>
      <c r="E284" s="215"/>
      <c r="F284" s="215"/>
      <c r="G284" s="215"/>
      <c r="H284" s="215"/>
      <c r="I284" s="215"/>
      <c r="J284" s="215"/>
      <c r="K284" s="215"/>
      <c r="L284" s="215"/>
      <c r="M284" s="215"/>
      <c r="N284" s="215"/>
      <c r="O284" s="215"/>
      <c r="P284" s="215"/>
      <c r="Q284" s="215"/>
      <c r="R284" s="215"/>
      <c r="S284" s="215"/>
      <c r="T284" s="215"/>
      <c r="U284" s="215"/>
      <c r="V284" s="215"/>
      <c r="W284" s="215"/>
      <c r="X284" s="215"/>
      <c r="Y284" s="215"/>
      <c r="Z284" s="215"/>
      <c r="AA284" s="215"/>
      <c r="AB284" s="215"/>
      <c r="AC284" s="215"/>
      <c r="AD284" s="215"/>
      <c r="AE284" s="215"/>
      <c r="AF284" s="215"/>
      <c r="AG284" s="215"/>
      <c r="AH284" s="215"/>
      <c r="AI284" s="215"/>
      <c r="AJ284" s="215"/>
      <c r="AK284" s="215"/>
      <c r="AL284" s="215"/>
      <c r="AM284" s="215"/>
      <c r="AN284" s="215"/>
      <c r="AO284" s="215"/>
      <c r="AP284" s="215"/>
      <c r="AQ284" s="215"/>
      <c r="AR284" s="215"/>
      <c r="AS284" s="215"/>
      <c r="AT284" s="215"/>
      <c r="AU284" s="215"/>
      <c r="AV284" s="215"/>
      <c r="AW284" s="215"/>
      <c r="AX284" s="215"/>
      <c r="AY284" s="215"/>
    </row>
    <row r="285">
      <c r="A285" s="80"/>
      <c r="B285" s="80"/>
      <c r="C285" s="80"/>
      <c r="D285" s="80"/>
      <c r="E285" s="215"/>
      <c r="F285" s="215"/>
      <c r="G285" s="215"/>
      <c r="H285" s="215"/>
      <c r="I285" s="215"/>
      <c r="J285" s="215"/>
      <c r="K285" s="215"/>
      <c r="L285" s="215"/>
      <c r="M285" s="215"/>
      <c r="N285" s="215"/>
      <c r="O285" s="215"/>
      <c r="P285" s="215"/>
      <c r="Q285" s="215"/>
      <c r="R285" s="215"/>
      <c r="S285" s="215"/>
      <c r="T285" s="215"/>
      <c r="U285" s="215"/>
      <c r="V285" s="215"/>
      <c r="W285" s="215"/>
      <c r="X285" s="215"/>
      <c r="Y285" s="215"/>
      <c r="Z285" s="215"/>
      <c r="AA285" s="215"/>
      <c r="AB285" s="215"/>
      <c r="AC285" s="215"/>
      <c r="AD285" s="215"/>
      <c r="AE285" s="215"/>
      <c r="AF285" s="215"/>
      <c r="AG285" s="215"/>
      <c r="AH285" s="215"/>
      <c r="AI285" s="215"/>
      <c r="AJ285" s="215"/>
      <c r="AK285" s="215"/>
      <c r="AL285" s="215"/>
      <c r="AM285" s="215"/>
      <c r="AN285" s="215"/>
      <c r="AO285" s="215"/>
      <c r="AP285" s="215"/>
      <c r="AQ285" s="215"/>
      <c r="AR285" s="215"/>
      <c r="AS285" s="215"/>
      <c r="AT285" s="215"/>
      <c r="AU285" s="215"/>
      <c r="AV285" s="215"/>
      <c r="AW285" s="215"/>
      <c r="AX285" s="215"/>
      <c r="AY285" s="215"/>
    </row>
    <row r="286">
      <c r="A286" s="80"/>
      <c r="B286" s="80"/>
      <c r="C286" s="80"/>
      <c r="D286" s="80"/>
      <c r="E286" s="215"/>
      <c r="F286" s="215"/>
      <c r="G286" s="215"/>
      <c r="H286" s="215"/>
      <c r="I286" s="215"/>
      <c r="J286" s="215"/>
      <c r="K286" s="215"/>
      <c r="L286" s="215"/>
      <c r="M286" s="215"/>
      <c r="N286" s="215"/>
      <c r="O286" s="215"/>
      <c r="P286" s="215"/>
      <c r="Q286" s="215"/>
      <c r="R286" s="215"/>
      <c r="S286" s="215"/>
      <c r="T286" s="215"/>
      <c r="U286" s="215"/>
      <c r="V286" s="215"/>
      <c r="W286" s="215"/>
      <c r="X286" s="215"/>
      <c r="Y286" s="215"/>
      <c r="Z286" s="215"/>
      <c r="AA286" s="215"/>
      <c r="AB286" s="215"/>
      <c r="AC286" s="215"/>
      <c r="AD286" s="215"/>
      <c r="AE286" s="215"/>
      <c r="AF286" s="215"/>
      <c r="AG286" s="215"/>
      <c r="AH286" s="215"/>
      <c r="AI286" s="215"/>
      <c r="AJ286" s="215"/>
      <c r="AK286" s="215"/>
      <c r="AL286" s="215"/>
      <c r="AM286" s="215"/>
      <c r="AN286" s="215"/>
      <c r="AO286" s="215"/>
      <c r="AP286" s="215"/>
      <c r="AQ286" s="215"/>
      <c r="AR286" s="215"/>
      <c r="AS286" s="215"/>
      <c r="AT286" s="215"/>
      <c r="AU286" s="215"/>
      <c r="AV286" s="215"/>
      <c r="AW286" s="215"/>
      <c r="AX286" s="215"/>
      <c r="AY286" s="215"/>
    </row>
    <row r="287">
      <c r="A287" s="80"/>
      <c r="B287" s="80"/>
      <c r="C287" s="80"/>
      <c r="D287" s="80"/>
      <c r="E287" s="215"/>
      <c r="F287" s="215"/>
      <c r="G287" s="215"/>
      <c r="H287" s="215"/>
      <c r="I287" s="215"/>
      <c r="J287" s="215"/>
      <c r="K287" s="215"/>
      <c r="L287" s="215"/>
      <c r="M287" s="215"/>
      <c r="N287" s="215"/>
      <c r="O287" s="215"/>
      <c r="P287" s="215"/>
      <c r="Q287" s="215"/>
      <c r="R287" s="215"/>
      <c r="S287" s="215"/>
      <c r="T287" s="215"/>
      <c r="U287" s="215"/>
      <c r="V287" s="215"/>
      <c r="W287" s="215"/>
      <c r="X287" s="215"/>
      <c r="Y287" s="215"/>
      <c r="Z287" s="215"/>
      <c r="AA287" s="215"/>
      <c r="AB287" s="215"/>
      <c r="AC287" s="215"/>
      <c r="AD287" s="215"/>
      <c r="AE287" s="215"/>
      <c r="AF287" s="215"/>
      <c r="AG287" s="215"/>
      <c r="AH287" s="215"/>
      <c r="AI287" s="215"/>
      <c r="AJ287" s="215"/>
      <c r="AK287" s="215"/>
      <c r="AL287" s="215"/>
      <c r="AM287" s="215"/>
      <c r="AN287" s="215"/>
      <c r="AO287" s="215"/>
      <c r="AP287" s="215"/>
      <c r="AQ287" s="215"/>
      <c r="AR287" s="215"/>
      <c r="AS287" s="215"/>
      <c r="AT287" s="215"/>
      <c r="AU287" s="215"/>
      <c r="AV287" s="215"/>
      <c r="AW287" s="215"/>
      <c r="AX287" s="215"/>
      <c r="AY287" s="215"/>
    </row>
    <row r="288">
      <c r="A288" s="80"/>
      <c r="B288" s="80"/>
      <c r="C288" s="80"/>
      <c r="D288" s="80"/>
      <c r="E288" s="215"/>
      <c r="F288" s="215"/>
      <c r="G288" s="215"/>
      <c r="H288" s="215"/>
      <c r="I288" s="215"/>
      <c r="J288" s="215"/>
      <c r="K288" s="215"/>
      <c r="L288" s="215"/>
      <c r="M288" s="215"/>
      <c r="N288" s="215"/>
      <c r="O288" s="215"/>
      <c r="P288" s="215"/>
      <c r="Q288" s="215"/>
      <c r="R288" s="215"/>
      <c r="S288" s="215"/>
      <c r="T288" s="215"/>
      <c r="U288" s="215"/>
      <c r="V288" s="215"/>
      <c r="W288" s="215"/>
      <c r="X288" s="215"/>
      <c r="Y288" s="215"/>
      <c r="Z288" s="215"/>
      <c r="AA288" s="215"/>
      <c r="AB288" s="215"/>
      <c r="AC288" s="215"/>
      <c r="AD288" s="215"/>
      <c r="AE288" s="215"/>
      <c r="AF288" s="215"/>
      <c r="AG288" s="215"/>
      <c r="AH288" s="215"/>
      <c r="AI288" s="215"/>
      <c r="AJ288" s="215"/>
      <c r="AK288" s="215"/>
      <c r="AL288" s="215"/>
      <c r="AM288" s="215"/>
      <c r="AN288" s="215"/>
      <c r="AO288" s="215"/>
      <c r="AP288" s="215"/>
      <c r="AQ288" s="215"/>
      <c r="AR288" s="215"/>
      <c r="AS288" s="215"/>
      <c r="AT288" s="215"/>
      <c r="AU288" s="215"/>
      <c r="AV288" s="215"/>
      <c r="AW288" s="215"/>
      <c r="AX288" s="215"/>
      <c r="AY288" s="215"/>
    </row>
    <row r="289">
      <c r="A289" s="80"/>
      <c r="B289" s="80"/>
      <c r="C289" s="80"/>
      <c r="D289" s="80"/>
      <c r="E289" s="215"/>
      <c r="F289" s="215"/>
      <c r="G289" s="215"/>
      <c r="H289" s="215"/>
      <c r="I289" s="215"/>
      <c r="J289" s="215"/>
      <c r="K289" s="215"/>
      <c r="L289" s="215"/>
      <c r="M289" s="215"/>
      <c r="N289" s="215"/>
      <c r="O289" s="215"/>
      <c r="P289" s="215"/>
      <c r="Q289" s="215"/>
      <c r="R289" s="215"/>
      <c r="S289" s="215"/>
      <c r="T289" s="215"/>
      <c r="U289" s="215"/>
      <c r="V289" s="215"/>
      <c r="W289" s="215"/>
      <c r="X289" s="215"/>
      <c r="Y289" s="215"/>
      <c r="Z289" s="215"/>
      <c r="AA289" s="215"/>
      <c r="AB289" s="215"/>
      <c r="AC289" s="215"/>
      <c r="AD289" s="215"/>
      <c r="AE289" s="215"/>
      <c r="AF289" s="215"/>
      <c r="AG289" s="215"/>
      <c r="AH289" s="215"/>
      <c r="AI289" s="215"/>
      <c r="AJ289" s="215"/>
      <c r="AK289" s="215"/>
      <c r="AL289" s="215"/>
      <c r="AM289" s="215"/>
      <c r="AN289" s="215"/>
      <c r="AO289" s="215"/>
      <c r="AP289" s="215"/>
      <c r="AQ289" s="215"/>
      <c r="AR289" s="215"/>
      <c r="AS289" s="215"/>
      <c r="AT289" s="215"/>
      <c r="AU289" s="215"/>
      <c r="AV289" s="215"/>
      <c r="AW289" s="215"/>
      <c r="AX289" s="215"/>
      <c r="AY289" s="215"/>
    </row>
    <row r="290">
      <c r="A290" s="80"/>
      <c r="B290" s="80"/>
      <c r="C290" s="80"/>
      <c r="D290" s="80"/>
      <c r="E290" s="215"/>
      <c r="F290" s="215"/>
      <c r="G290" s="215"/>
      <c r="H290" s="215"/>
      <c r="I290" s="215"/>
      <c r="J290" s="215"/>
      <c r="K290" s="215"/>
      <c r="L290" s="215"/>
      <c r="M290" s="215"/>
      <c r="N290" s="215"/>
      <c r="O290" s="215"/>
      <c r="P290" s="215"/>
      <c r="Q290" s="215"/>
      <c r="R290" s="215"/>
      <c r="S290" s="215"/>
      <c r="T290" s="215"/>
      <c r="U290" s="215"/>
      <c r="V290" s="215"/>
      <c r="W290" s="215"/>
      <c r="X290" s="215"/>
      <c r="Y290" s="215"/>
      <c r="Z290" s="215"/>
      <c r="AA290" s="215"/>
      <c r="AB290" s="215"/>
      <c r="AC290" s="215"/>
      <c r="AD290" s="215"/>
      <c r="AE290" s="215"/>
      <c r="AF290" s="215"/>
      <c r="AG290" s="215"/>
      <c r="AH290" s="215"/>
      <c r="AI290" s="215"/>
      <c r="AJ290" s="215"/>
      <c r="AK290" s="215"/>
      <c r="AL290" s="215"/>
      <c r="AM290" s="215"/>
      <c r="AN290" s="215"/>
      <c r="AO290" s="215"/>
      <c r="AP290" s="215"/>
      <c r="AQ290" s="215"/>
      <c r="AR290" s="215"/>
      <c r="AS290" s="215"/>
      <c r="AT290" s="215"/>
      <c r="AU290" s="215"/>
      <c r="AV290" s="215"/>
      <c r="AW290" s="215"/>
      <c r="AX290" s="215"/>
      <c r="AY290" s="215"/>
    </row>
    <row r="291">
      <c r="A291" s="80"/>
      <c r="B291" s="80"/>
      <c r="C291" s="80"/>
      <c r="D291" s="80"/>
      <c r="E291" s="215"/>
      <c r="F291" s="215"/>
      <c r="G291" s="215"/>
      <c r="H291" s="215"/>
      <c r="I291" s="215"/>
      <c r="J291" s="215"/>
      <c r="K291" s="215"/>
      <c r="L291" s="215"/>
      <c r="M291" s="215"/>
      <c r="N291" s="215"/>
      <c r="O291" s="215"/>
      <c r="P291" s="215"/>
      <c r="Q291" s="215"/>
      <c r="R291" s="215"/>
      <c r="S291" s="215"/>
      <c r="T291" s="215"/>
      <c r="U291" s="215"/>
      <c r="V291" s="215"/>
      <c r="W291" s="215"/>
      <c r="X291" s="215"/>
      <c r="Y291" s="215"/>
      <c r="Z291" s="215"/>
      <c r="AA291" s="215"/>
      <c r="AB291" s="215"/>
      <c r="AC291" s="215"/>
      <c r="AD291" s="215"/>
      <c r="AE291" s="215"/>
      <c r="AF291" s="215"/>
      <c r="AG291" s="215"/>
      <c r="AH291" s="215"/>
      <c r="AI291" s="215"/>
      <c r="AJ291" s="215"/>
      <c r="AK291" s="215"/>
      <c r="AL291" s="215"/>
      <c r="AM291" s="215"/>
      <c r="AN291" s="215"/>
      <c r="AO291" s="215"/>
      <c r="AP291" s="215"/>
      <c r="AQ291" s="215"/>
      <c r="AR291" s="215"/>
      <c r="AS291" s="215"/>
      <c r="AT291" s="215"/>
      <c r="AU291" s="215"/>
      <c r="AV291" s="215"/>
      <c r="AW291" s="215"/>
      <c r="AX291" s="215"/>
      <c r="AY291" s="215"/>
    </row>
    <row r="292">
      <c r="A292" s="80"/>
      <c r="B292" s="80"/>
      <c r="C292" s="80"/>
      <c r="D292" s="80"/>
      <c r="E292" s="215"/>
      <c r="F292" s="215"/>
      <c r="G292" s="215"/>
      <c r="H292" s="215"/>
      <c r="I292" s="215"/>
      <c r="J292" s="215"/>
      <c r="K292" s="215"/>
      <c r="L292" s="215"/>
      <c r="M292" s="215"/>
      <c r="N292" s="215"/>
      <c r="O292" s="215"/>
      <c r="P292" s="215"/>
      <c r="Q292" s="215"/>
      <c r="R292" s="215"/>
      <c r="S292" s="215"/>
      <c r="T292" s="215"/>
      <c r="U292" s="215"/>
      <c r="V292" s="215"/>
      <c r="W292" s="215"/>
      <c r="X292" s="215"/>
      <c r="Y292" s="215"/>
      <c r="Z292" s="215"/>
      <c r="AA292" s="215"/>
      <c r="AB292" s="215"/>
      <c r="AC292" s="215"/>
      <c r="AD292" s="215"/>
      <c r="AE292" s="215"/>
      <c r="AF292" s="215"/>
      <c r="AG292" s="215"/>
      <c r="AH292" s="215"/>
      <c r="AI292" s="215"/>
      <c r="AJ292" s="215"/>
      <c r="AK292" s="215"/>
      <c r="AL292" s="215"/>
      <c r="AM292" s="215"/>
      <c r="AN292" s="215"/>
      <c r="AO292" s="215"/>
      <c r="AP292" s="215"/>
      <c r="AQ292" s="215"/>
      <c r="AR292" s="215"/>
      <c r="AS292" s="215"/>
      <c r="AT292" s="215"/>
      <c r="AU292" s="215"/>
      <c r="AV292" s="215"/>
      <c r="AW292" s="215"/>
      <c r="AX292" s="215"/>
      <c r="AY292" s="215"/>
    </row>
    <row r="293">
      <c r="A293" s="80"/>
      <c r="B293" s="80"/>
      <c r="C293" s="80"/>
      <c r="D293" s="80"/>
      <c r="E293" s="215"/>
      <c r="F293" s="215"/>
      <c r="G293" s="215"/>
      <c r="H293" s="215"/>
      <c r="I293" s="215"/>
      <c r="J293" s="215"/>
      <c r="K293" s="215"/>
      <c r="L293" s="215"/>
      <c r="M293" s="215"/>
      <c r="N293" s="215"/>
      <c r="O293" s="215"/>
      <c r="P293" s="215"/>
      <c r="Q293" s="215"/>
      <c r="R293" s="215"/>
      <c r="S293" s="215"/>
      <c r="T293" s="215"/>
      <c r="U293" s="215"/>
      <c r="V293" s="215"/>
      <c r="W293" s="215"/>
      <c r="X293" s="215"/>
      <c r="Y293" s="215"/>
      <c r="Z293" s="215"/>
      <c r="AA293" s="215"/>
      <c r="AB293" s="215"/>
      <c r="AC293" s="215"/>
      <c r="AD293" s="215"/>
      <c r="AE293" s="215"/>
      <c r="AF293" s="215"/>
      <c r="AG293" s="215"/>
      <c r="AH293" s="215"/>
      <c r="AI293" s="215"/>
      <c r="AJ293" s="215"/>
      <c r="AK293" s="215"/>
      <c r="AL293" s="215"/>
      <c r="AM293" s="215"/>
      <c r="AN293" s="215"/>
      <c r="AO293" s="215"/>
      <c r="AP293" s="215"/>
      <c r="AQ293" s="215"/>
      <c r="AR293" s="215"/>
      <c r="AS293" s="215"/>
      <c r="AT293" s="215"/>
      <c r="AU293" s="215"/>
      <c r="AV293" s="215"/>
      <c r="AW293" s="215"/>
      <c r="AX293" s="215"/>
      <c r="AY293" s="215"/>
    </row>
    <row r="294">
      <c r="A294" s="80"/>
      <c r="B294" s="80"/>
      <c r="C294" s="80"/>
      <c r="D294" s="80"/>
      <c r="E294" s="215"/>
      <c r="F294" s="215"/>
      <c r="G294" s="215"/>
      <c r="H294" s="215"/>
      <c r="I294" s="215"/>
      <c r="J294" s="215"/>
      <c r="K294" s="215"/>
      <c r="L294" s="215"/>
      <c r="M294" s="215"/>
      <c r="N294" s="215"/>
      <c r="O294" s="215"/>
      <c r="P294" s="215"/>
      <c r="Q294" s="215"/>
      <c r="R294" s="215"/>
      <c r="S294" s="215"/>
      <c r="T294" s="215"/>
      <c r="U294" s="215"/>
      <c r="V294" s="215"/>
      <c r="W294" s="215"/>
      <c r="X294" s="215"/>
      <c r="Y294" s="215"/>
      <c r="Z294" s="215"/>
      <c r="AA294" s="215"/>
      <c r="AB294" s="215"/>
      <c r="AC294" s="215"/>
      <c r="AD294" s="215"/>
      <c r="AE294" s="215"/>
      <c r="AF294" s="215"/>
      <c r="AG294" s="215"/>
      <c r="AH294" s="215"/>
      <c r="AI294" s="215"/>
      <c r="AJ294" s="215"/>
      <c r="AK294" s="215"/>
      <c r="AL294" s="215"/>
      <c r="AM294" s="215"/>
      <c r="AN294" s="215"/>
      <c r="AO294" s="215"/>
      <c r="AP294" s="215"/>
      <c r="AQ294" s="215"/>
      <c r="AR294" s="215"/>
      <c r="AS294" s="215"/>
      <c r="AT294" s="215"/>
      <c r="AU294" s="215"/>
      <c r="AV294" s="215"/>
      <c r="AW294" s="215"/>
      <c r="AX294" s="215"/>
      <c r="AY294" s="215"/>
    </row>
    <row r="295">
      <c r="A295" s="80"/>
      <c r="B295" s="80"/>
      <c r="C295" s="80"/>
      <c r="D295" s="80"/>
      <c r="E295" s="215"/>
      <c r="F295" s="215"/>
      <c r="G295" s="215"/>
      <c r="H295" s="215"/>
      <c r="I295" s="215"/>
      <c r="J295" s="215"/>
      <c r="K295" s="215"/>
      <c r="L295" s="215"/>
      <c r="M295" s="215"/>
      <c r="N295" s="215"/>
      <c r="O295" s="215"/>
      <c r="P295" s="215"/>
      <c r="Q295" s="215"/>
      <c r="R295" s="215"/>
      <c r="S295" s="215"/>
      <c r="T295" s="215"/>
      <c r="U295" s="215"/>
      <c r="V295" s="215"/>
      <c r="W295" s="215"/>
      <c r="X295" s="215"/>
      <c r="Y295" s="215"/>
      <c r="Z295" s="215"/>
      <c r="AA295" s="215"/>
      <c r="AB295" s="215"/>
      <c r="AC295" s="215"/>
      <c r="AD295" s="215"/>
      <c r="AE295" s="215"/>
      <c r="AF295" s="215"/>
      <c r="AG295" s="215"/>
      <c r="AH295" s="215"/>
      <c r="AI295" s="215"/>
      <c r="AJ295" s="215"/>
      <c r="AK295" s="215"/>
      <c r="AL295" s="215"/>
      <c r="AM295" s="215"/>
      <c r="AN295" s="215"/>
      <c r="AO295" s="215"/>
      <c r="AP295" s="215"/>
      <c r="AQ295" s="215"/>
      <c r="AR295" s="215"/>
      <c r="AS295" s="215"/>
      <c r="AT295" s="215"/>
      <c r="AU295" s="215"/>
      <c r="AV295" s="215"/>
      <c r="AW295" s="215"/>
      <c r="AX295" s="215"/>
      <c r="AY295" s="215"/>
    </row>
    <row r="296">
      <c r="A296" s="80"/>
      <c r="B296" s="80"/>
      <c r="C296" s="80"/>
      <c r="D296" s="80"/>
      <c r="E296" s="215"/>
      <c r="F296" s="215"/>
      <c r="G296" s="215"/>
      <c r="H296" s="215"/>
      <c r="I296" s="215"/>
      <c r="J296" s="215"/>
      <c r="K296" s="215"/>
      <c r="L296" s="215"/>
      <c r="M296" s="215"/>
      <c r="N296" s="215"/>
      <c r="O296" s="215"/>
      <c r="P296" s="215"/>
      <c r="Q296" s="215"/>
      <c r="R296" s="215"/>
      <c r="S296" s="215"/>
      <c r="T296" s="215"/>
      <c r="U296" s="215"/>
      <c r="V296" s="215"/>
      <c r="W296" s="215"/>
      <c r="X296" s="215"/>
      <c r="Y296" s="215"/>
      <c r="Z296" s="215"/>
      <c r="AA296" s="215"/>
      <c r="AB296" s="215"/>
      <c r="AC296" s="215"/>
      <c r="AD296" s="215"/>
      <c r="AE296" s="215"/>
      <c r="AF296" s="215"/>
      <c r="AG296" s="215"/>
      <c r="AH296" s="215"/>
      <c r="AI296" s="215"/>
      <c r="AJ296" s="215"/>
      <c r="AK296" s="215"/>
      <c r="AL296" s="215"/>
      <c r="AM296" s="215"/>
      <c r="AN296" s="215"/>
      <c r="AO296" s="215"/>
      <c r="AP296" s="215"/>
      <c r="AQ296" s="215"/>
      <c r="AR296" s="215"/>
      <c r="AS296" s="215"/>
      <c r="AT296" s="215"/>
      <c r="AU296" s="215"/>
      <c r="AV296" s="215"/>
      <c r="AW296" s="215"/>
      <c r="AX296" s="215"/>
      <c r="AY296" s="215"/>
    </row>
    <row r="297">
      <c r="A297" s="80"/>
      <c r="B297" s="80"/>
      <c r="C297" s="80"/>
      <c r="D297" s="80"/>
      <c r="E297" s="215"/>
      <c r="F297" s="215"/>
      <c r="G297" s="215"/>
      <c r="H297" s="215"/>
      <c r="I297" s="215"/>
      <c r="J297" s="215"/>
      <c r="K297" s="215"/>
      <c r="L297" s="215"/>
      <c r="M297" s="215"/>
      <c r="N297" s="215"/>
      <c r="O297" s="215"/>
      <c r="P297" s="215"/>
      <c r="Q297" s="215"/>
      <c r="R297" s="215"/>
      <c r="S297" s="215"/>
      <c r="T297" s="215"/>
      <c r="U297" s="215"/>
      <c r="V297" s="215"/>
      <c r="W297" s="215"/>
      <c r="X297" s="215"/>
      <c r="Y297" s="215"/>
      <c r="Z297" s="215"/>
      <c r="AA297" s="215"/>
      <c r="AB297" s="215"/>
      <c r="AC297" s="215"/>
      <c r="AD297" s="215"/>
      <c r="AE297" s="215"/>
      <c r="AF297" s="215"/>
      <c r="AG297" s="215"/>
      <c r="AH297" s="215"/>
      <c r="AI297" s="215"/>
      <c r="AJ297" s="215"/>
      <c r="AK297" s="215"/>
      <c r="AL297" s="215"/>
      <c r="AM297" s="215"/>
      <c r="AN297" s="215"/>
      <c r="AO297" s="215"/>
      <c r="AP297" s="215"/>
      <c r="AQ297" s="215"/>
      <c r="AR297" s="215"/>
      <c r="AS297" s="215"/>
      <c r="AT297" s="215"/>
      <c r="AU297" s="215"/>
      <c r="AV297" s="215"/>
      <c r="AW297" s="215"/>
      <c r="AX297" s="215"/>
      <c r="AY297" s="215"/>
    </row>
    <row r="298">
      <c r="A298" s="80"/>
      <c r="B298" s="80"/>
      <c r="C298" s="80"/>
      <c r="D298" s="80"/>
      <c r="E298" s="215"/>
      <c r="F298" s="215"/>
      <c r="G298" s="215"/>
      <c r="H298" s="215"/>
      <c r="I298" s="215"/>
      <c r="J298" s="215"/>
      <c r="K298" s="215"/>
      <c r="L298" s="215"/>
      <c r="M298" s="215"/>
      <c r="N298" s="215"/>
      <c r="O298" s="215"/>
      <c r="P298" s="215"/>
      <c r="Q298" s="215"/>
      <c r="R298" s="215"/>
      <c r="S298" s="215"/>
      <c r="T298" s="215"/>
      <c r="U298" s="215"/>
      <c r="V298" s="215"/>
      <c r="W298" s="215"/>
      <c r="X298" s="215"/>
      <c r="Y298" s="215"/>
      <c r="Z298" s="215"/>
      <c r="AA298" s="215"/>
      <c r="AB298" s="215"/>
      <c r="AC298" s="215"/>
      <c r="AD298" s="215"/>
      <c r="AE298" s="215"/>
      <c r="AF298" s="215"/>
      <c r="AG298" s="215"/>
      <c r="AH298" s="215"/>
      <c r="AI298" s="215"/>
      <c r="AJ298" s="215"/>
      <c r="AK298" s="215"/>
      <c r="AL298" s="215"/>
      <c r="AM298" s="215"/>
      <c r="AN298" s="215"/>
      <c r="AO298" s="215"/>
      <c r="AP298" s="215"/>
      <c r="AQ298" s="215"/>
      <c r="AR298" s="215"/>
      <c r="AS298" s="215"/>
      <c r="AT298" s="215"/>
      <c r="AU298" s="215"/>
      <c r="AV298" s="215"/>
      <c r="AW298" s="215"/>
      <c r="AX298" s="215"/>
      <c r="AY298" s="215"/>
    </row>
    <row r="299">
      <c r="A299" s="80"/>
      <c r="B299" s="80"/>
      <c r="C299" s="80"/>
      <c r="D299" s="80"/>
      <c r="E299" s="215"/>
      <c r="F299" s="215"/>
      <c r="G299" s="215"/>
      <c r="H299" s="215"/>
      <c r="I299" s="215"/>
      <c r="J299" s="215"/>
      <c r="K299" s="215"/>
      <c r="L299" s="215"/>
      <c r="M299" s="215"/>
      <c r="N299" s="215"/>
      <c r="O299" s="215"/>
      <c r="P299" s="215"/>
      <c r="Q299" s="215"/>
      <c r="R299" s="215"/>
      <c r="S299" s="215"/>
      <c r="T299" s="215"/>
      <c r="U299" s="215"/>
      <c r="V299" s="215"/>
      <c r="W299" s="215"/>
      <c r="X299" s="215"/>
      <c r="Y299" s="215"/>
      <c r="Z299" s="215"/>
      <c r="AA299" s="215"/>
      <c r="AB299" s="215"/>
      <c r="AC299" s="215"/>
      <c r="AD299" s="215"/>
      <c r="AE299" s="215"/>
      <c r="AF299" s="215"/>
      <c r="AG299" s="215"/>
      <c r="AH299" s="215"/>
      <c r="AI299" s="215"/>
      <c r="AJ299" s="215"/>
      <c r="AK299" s="215"/>
      <c r="AL299" s="215"/>
      <c r="AM299" s="215"/>
      <c r="AN299" s="215"/>
      <c r="AO299" s="215"/>
      <c r="AP299" s="215"/>
      <c r="AQ299" s="215"/>
      <c r="AR299" s="215"/>
      <c r="AS299" s="215"/>
      <c r="AT299" s="215"/>
      <c r="AU299" s="215"/>
      <c r="AV299" s="215"/>
      <c r="AW299" s="215"/>
      <c r="AX299" s="215"/>
      <c r="AY299" s="215"/>
    </row>
    <row r="300">
      <c r="A300" s="80"/>
      <c r="B300" s="80"/>
      <c r="C300" s="80"/>
      <c r="D300" s="80"/>
      <c r="E300" s="215"/>
      <c r="F300" s="215"/>
      <c r="G300" s="215"/>
      <c r="H300" s="215"/>
      <c r="I300" s="215"/>
      <c r="J300" s="215"/>
      <c r="K300" s="215"/>
      <c r="L300" s="215"/>
      <c r="M300" s="215"/>
      <c r="N300" s="215"/>
      <c r="O300" s="215"/>
      <c r="P300" s="215"/>
      <c r="Q300" s="215"/>
      <c r="R300" s="215"/>
      <c r="S300" s="215"/>
      <c r="T300" s="215"/>
      <c r="U300" s="215"/>
      <c r="V300" s="215"/>
      <c r="W300" s="215"/>
      <c r="X300" s="215"/>
      <c r="Y300" s="215"/>
      <c r="Z300" s="215"/>
      <c r="AA300" s="215"/>
      <c r="AB300" s="215"/>
      <c r="AC300" s="215"/>
      <c r="AD300" s="215"/>
      <c r="AE300" s="215"/>
      <c r="AF300" s="215"/>
      <c r="AG300" s="215"/>
      <c r="AH300" s="215"/>
      <c r="AI300" s="215"/>
      <c r="AJ300" s="215"/>
      <c r="AK300" s="215"/>
      <c r="AL300" s="215"/>
      <c r="AM300" s="215"/>
      <c r="AN300" s="215"/>
      <c r="AO300" s="215"/>
      <c r="AP300" s="215"/>
      <c r="AQ300" s="215"/>
      <c r="AR300" s="215"/>
      <c r="AS300" s="215"/>
      <c r="AT300" s="215"/>
      <c r="AU300" s="215"/>
      <c r="AV300" s="215"/>
      <c r="AW300" s="215"/>
      <c r="AX300" s="215"/>
      <c r="AY300" s="215"/>
    </row>
    <row r="301">
      <c r="A301" s="80"/>
      <c r="B301" s="80"/>
      <c r="C301" s="80"/>
      <c r="D301" s="80"/>
      <c r="E301" s="215"/>
      <c r="F301" s="215"/>
      <c r="G301" s="215"/>
      <c r="H301" s="215"/>
      <c r="I301" s="215"/>
      <c r="J301" s="215"/>
      <c r="K301" s="215"/>
      <c r="L301" s="215"/>
      <c r="M301" s="215"/>
      <c r="N301" s="215"/>
      <c r="O301" s="215"/>
      <c r="P301" s="215"/>
      <c r="Q301" s="215"/>
      <c r="R301" s="215"/>
      <c r="S301" s="215"/>
      <c r="T301" s="215"/>
      <c r="U301" s="215"/>
      <c r="V301" s="215"/>
      <c r="W301" s="215"/>
      <c r="X301" s="215"/>
      <c r="Y301" s="215"/>
      <c r="Z301" s="215"/>
      <c r="AA301" s="215"/>
      <c r="AB301" s="215"/>
      <c r="AC301" s="215"/>
      <c r="AD301" s="215"/>
      <c r="AE301" s="215"/>
      <c r="AF301" s="215"/>
      <c r="AG301" s="215"/>
      <c r="AH301" s="215"/>
      <c r="AI301" s="215"/>
      <c r="AJ301" s="215"/>
      <c r="AK301" s="215"/>
      <c r="AL301" s="215"/>
      <c r="AM301" s="215"/>
      <c r="AN301" s="215"/>
      <c r="AO301" s="215"/>
      <c r="AP301" s="215"/>
      <c r="AQ301" s="215"/>
      <c r="AR301" s="215"/>
      <c r="AS301" s="215"/>
      <c r="AT301" s="215"/>
      <c r="AU301" s="215"/>
      <c r="AV301" s="215"/>
      <c r="AW301" s="215"/>
      <c r="AX301" s="215"/>
      <c r="AY301" s="215"/>
    </row>
    <row r="302">
      <c r="A302" s="80"/>
      <c r="B302" s="80"/>
      <c r="C302" s="80"/>
      <c r="D302" s="80"/>
      <c r="E302" s="215"/>
      <c r="F302" s="215"/>
      <c r="G302" s="215"/>
      <c r="H302" s="215"/>
      <c r="I302" s="215"/>
      <c r="J302" s="215"/>
      <c r="K302" s="215"/>
      <c r="L302" s="215"/>
      <c r="M302" s="215"/>
      <c r="N302" s="215"/>
      <c r="O302" s="215"/>
      <c r="P302" s="215"/>
      <c r="Q302" s="215"/>
      <c r="R302" s="215"/>
      <c r="S302" s="215"/>
      <c r="T302" s="215"/>
      <c r="U302" s="215"/>
      <c r="V302" s="215"/>
      <c r="W302" s="215"/>
      <c r="X302" s="215"/>
      <c r="Y302" s="215"/>
      <c r="Z302" s="215"/>
      <c r="AA302" s="215"/>
      <c r="AB302" s="215"/>
      <c r="AC302" s="215"/>
      <c r="AD302" s="215"/>
      <c r="AE302" s="215"/>
      <c r="AF302" s="215"/>
      <c r="AG302" s="215"/>
      <c r="AH302" s="215"/>
      <c r="AI302" s="215"/>
      <c r="AJ302" s="215"/>
      <c r="AK302" s="215"/>
      <c r="AL302" s="215"/>
      <c r="AM302" s="215"/>
      <c r="AN302" s="215"/>
      <c r="AO302" s="215"/>
      <c r="AP302" s="215"/>
      <c r="AQ302" s="215"/>
      <c r="AR302" s="215"/>
      <c r="AS302" s="215"/>
      <c r="AT302" s="215"/>
      <c r="AU302" s="215"/>
      <c r="AV302" s="215"/>
      <c r="AW302" s="215"/>
      <c r="AX302" s="215"/>
      <c r="AY302" s="215"/>
    </row>
    <row r="303">
      <c r="A303" s="80"/>
      <c r="B303" s="80"/>
      <c r="C303" s="80"/>
      <c r="D303" s="80"/>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15"/>
      <c r="AH303" s="215"/>
      <c r="AI303" s="215"/>
      <c r="AJ303" s="215"/>
      <c r="AK303" s="215"/>
      <c r="AL303" s="215"/>
      <c r="AM303" s="215"/>
      <c r="AN303" s="215"/>
      <c r="AO303" s="215"/>
      <c r="AP303" s="215"/>
      <c r="AQ303" s="215"/>
      <c r="AR303" s="215"/>
      <c r="AS303" s="215"/>
      <c r="AT303" s="215"/>
      <c r="AU303" s="215"/>
      <c r="AV303" s="215"/>
      <c r="AW303" s="215"/>
      <c r="AX303" s="215"/>
      <c r="AY303" s="215"/>
    </row>
    <row r="304">
      <c r="A304" s="80"/>
      <c r="B304" s="80"/>
      <c r="C304" s="80"/>
      <c r="D304" s="80"/>
      <c r="E304" s="215"/>
      <c r="F304" s="215"/>
      <c r="G304" s="215"/>
      <c r="H304" s="215"/>
      <c r="I304" s="215"/>
      <c r="J304" s="215"/>
      <c r="K304" s="215"/>
      <c r="L304" s="215"/>
      <c r="M304" s="215"/>
      <c r="N304" s="215"/>
      <c r="O304" s="215"/>
      <c r="P304" s="215"/>
      <c r="Q304" s="215"/>
      <c r="R304" s="215"/>
      <c r="S304" s="215"/>
      <c r="T304" s="215"/>
      <c r="U304" s="215"/>
      <c r="V304" s="215"/>
      <c r="W304" s="215"/>
      <c r="X304" s="215"/>
      <c r="Y304" s="215"/>
      <c r="Z304" s="215"/>
      <c r="AA304" s="215"/>
      <c r="AB304" s="215"/>
      <c r="AC304" s="215"/>
      <c r="AD304" s="215"/>
      <c r="AE304" s="215"/>
      <c r="AF304" s="215"/>
      <c r="AG304" s="215"/>
      <c r="AH304" s="215"/>
      <c r="AI304" s="215"/>
      <c r="AJ304" s="215"/>
      <c r="AK304" s="215"/>
      <c r="AL304" s="215"/>
      <c r="AM304" s="215"/>
      <c r="AN304" s="215"/>
      <c r="AO304" s="215"/>
      <c r="AP304" s="215"/>
      <c r="AQ304" s="215"/>
      <c r="AR304" s="215"/>
      <c r="AS304" s="215"/>
      <c r="AT304" s="215"/>
      <c r="AU304" s="215"/>
      <c r="AV304" s="215"/>
      <c r="AW304" s="215"/>
      <c r="AX304" s="215"/>
      <c r="AY304" s="215"/>
    </row>
    <row r="305">
      <c r="A305" s="80"/>
      <c r="B305" s="80"/>
      <c r="C305" s="80"/>
      <c r="D305" s="80"/>
      <c r="E305" s="215"/>
      <c r="F305" s="215"/>
      <c r="G305" s="215"/>
      <c r="H305" s="215"/>
      <c r="I305" s="215"/>
      <c r="J305" s="215"/>
      <c r="K305" s="215"/>
      <c r="L305" s="215"/>
      <c r="M305" s="215"/>
      <c r="N305" s="215"/>
      <c r="O305" s="215"/>
      <c r="P305" s="215"/>
      <c r="Q305" s="215"/>
      <c r="R305" s="215"/>
      <c r="S305" s="215"/>
      <c r="T305" s="215"/>
      <c r="U305" s="215"/>
      <c r="V305" s="215"/>
      <c r="W305" s="215"/>
      <c r="X305" s="215"/>
      <c r="Y305" s="215"/>
      <c r="Z305" s="215"/>
      <c r="AA305" s="215"/>
      <c r="AB305" s="215"/>
      <c r="AC305" s="215"/>
      <c r="AD305" s="215"/>
      <c r="AE305" s="215"/>
      <c r="AF305" s="215"/>
      <c r="AG305" s="215"/>
      <c r="AH305" s="215"/>
      <c r="AI305" s="215"/>
      <c r="AJ305" s="215"/>
      <c r="AK305" s="215"/>
      <c r="AL305" s="215"/>
      <c r="AM305" s="215"/>
      <c r="AN305" s="215"/>
      <c r="AO305" s="215"/>
      <c r="AP305" s="215"/>
      <c r="AQ305" s="215"/>
      <c r="AR305" s="215"/>
      <c r="AS305" s="215"/>
      <c r="AT305" s="215"/>
      <c r="AU305" s="215"/>
      <c r="AV305" s="215"/>
      <c r="AW305" s="215"/>
      <c r="AX305" s="215"/>
      <c r="AY305" s="215"/>
    </row>
    <row r="306">
      <c r="A306" s="80"/>
      <c r="B306" s="80"/>
      <c r="C306" s="80"/>
      <c r="D306" s="80"/>
      <c r="E306" s="215"/>
      <c r="F306" s="215"/>
      <c r="G306" s="215"/>
      <c r="H306" s="215"/>
      <c r="I306" s="215"/>
      <c r="J306" s="215"/>
      <c r="K306" s="215"/>
      <c r="L306" s="215"/>
      <c r="M306" s="215"/>
      <c r="N306" s="215"/>
      <c r="O306" s="215"/>
      <c r="P306" s="215"/>
      <c r="Q306" s="215"/>
      <c r="R306" s="215"/>
      <c r="S306" s="215"/>
      <c r="T306" s="215"/>
      <c r="U306" s="215"/>
      <c r="V306" s="215"/>
      <c r="W306" s="215"/>
      <c r="X306" s="215"/>
      <c r="Y306" s="215"/>
      <c r="Z306" s="215"/>
      <c r="AA306" s="215"/>
      <c r="AB306" s="215"/>
      <c r="AC306" s="215"/>
      <c r="AD306" s="215"/>
      <c r="AE306" s="215"/>
      <c r="AF306" s="215"/>
      <c r="AG306" s="215"/>
      <c r="AH306" s="215"/>
      <c r="AI306" s="215"/>
      <c r="AJ306" s="215"/>
      <c r="AK306" s="215"/>
      <c r="AL306" s="215"/>
      <c r="AM306" s="215"/>
      <c r="AN306" s="215"/>
      <c r="AO306" s="215"/>
      <c r="AP306" s="215"/>
      <c r="AQ306" s="215"/>
      <c r="AR306" s="215"/>
      <c r="AS306" s="215"/>
      <c r="AT306" s="215"/>
      <c r="AU306" s="215"/>
      <c r="AV306" s="215"/>
      <c r="AW306" s="215"/>
      <c r="AX306" s="215"/>
      <c r="AY306" s="215"/>
    </row>
    <row r="307">
      <c r="A307" s="80"/>
      <c r="B307" s="80"/>
      <c r="C307" s="80"/>
      <c r="D307" s="80"/>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15"/>
      <c r="AH307" s="215"/>
      <c r="AI307" s="215"/>
      <c r="AJ307" s="215"/>
      <c r="AK307" s="215"/>
      <c r="AL307" s="215"/>
      <c r="AM307" s="215"/>
      <c r="AN307" s="215"/>
      <c r="AO307" s="215"/>
      <c r="AP307" s="215"/>
      <c r="AQ307" s="215"/>
      <c r="AR307" s="215"/>
      <c r="AS307" s="215"/>
      <c r="AT307" s="215"/>
      <c r="AU307" s="215"/>
      <c r="AV307" s="215"/>
      <c r="AW307" s="215"/>
      <c r="AX307" s="215"/>
      <c r="AY307" s="215"/>
    </row>
    <row r="308">
      <c r="A308" s="80"/>
      <c r="B308" s="80"/>
      <c r="C308" s="80"/>
      <c r="D308" s="80"/>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c r="AI308" s="215"/>
      <c r="AJ308" s="215"/>
      <c r="AK308" s="215"/>
      <c r="AL308" s="215"/>
      <c r="AM308" s="215"/>
      <c r="AN308" s="215"/>
      <c r="AO308" s="215"/>
      <c r="AP308" s="215"/>
      <c r="AQ308" s="215"/>
      <c r="AR308" s="215"/>
      <c r="AS308" s="215"/>
      <c r="AT308" s="215"/>
      <c r="AU308" s="215"/>
      <c r="AV308" s="215"/>
      <c r="AW308" s="215"/>
      <c r="AX308" s="215"/>
      <c r="AY308" s="215"/>
    </row>
    <row r="309">
      <c r="A309" s="80"/>
      <c r="B309" s="80"/>
      <c r="C309" s="80"/>
      <c r="D309" s="80"/>
      <c r="E309" s="215"/>
      <c r="F309" s="215"/>
      <c r="G309" s="215"/>
      <c r="H309" s="215"/>
      <c r="I309" s="215"/>
      <c r="J309" s="215"/>
      <c r="K309" s="215"/>
      <c r="L309" s="215"/>
      <c r="M309" s="215"/>
      <c r="N309" s="215"/>
      <c r="O309" s="215"/>
      <c r="P309" s="215"/>
      <c r="Q309" s="215"/>
      <c r="R309" s="215"/>
      <c r="S309" s="215"/>
      <c r="T309" s="215"/>
      <c r="U309" s="215"/>
      <c r="V309" s="215"/>
      <c r="W309" s="215"/>
      <c r="X309" s="215"/>
      <c r="Y309" s="215"/>
      <c r="Z309" s="215"/>
      <c r="AA309" s="215"/>
      <c r="AB309" s="215"/>
      <c r="AC309" s="215"/>
      <c r="AD309" s="215"/>
      <c r="AE309" s="215"/>
      <c r="AF309" s="215"/>
      <c r="AG309" s="215"/>
      <c r="AH309" s="215"/>
      <c r="AI309" s="215"/>
      <c r="AJ309" s="215"/>
      <c r="AK309" s="215"/>
      <c r="AL309" s="215"/>
      <c r="AM309" s="215"/>
      <c r="AN309" s="215"/>
      <c r="AO309" s="215"/>
      <c r="AP309" s="215"/>
      <c r="AQ309" s="215"/>
      <c r="AR309" s="215"/>
      <c r="AS309" s="215"/>
      <c r="AT309" s="215"/>
      <c r="AU309" s="215"/>
      <c r="AV309" s="215"/>
      <c r="AW309" s="215"/>
      <c r="AX309" s="215"/>
      <c r="AY309" s="215"/>
    </row>
    <row r="310">
      <c r="A310" s="80"/>
      <c r="B310" s="80"/>
      <c r="C310" s="80"/>
      <c r="D310" s="80"/>
      <c r="E310" s="215"/>
      <c r="F310" s="215"/>
      <c r="G310" s="215"/>
      <c r="H310" s="215"/>
      <c r="I310" s="215"/>
      <c r="J310" s="215"/>
      <c r="K310" s="215"/>
      <c r="L310" s="215"/>
      <c r="M310" s="215"/>
      <c r="N310" s="215"/>
      <c r="O310" s="215"/>
      <c r="P310" s="215"/>
      <c r="Q310" s="215"/>
      <c r="R310" s="215"/>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215"/>
      <c r="AN310" s="215"/>
      <c r="AO310" s="215"/>
      <c r="AP310" s="215"/>
      <c r="AQ310" s="215"/>
      <c r="AR310" s="215"/>
      <c r="AS310" s="215"/>
      <c r="AT310" s="215"/>
      <c r="AU310" s="215"/>
      <c r="AV310" s="215"/>
      <c r="AW310" s="215"/>
      <c r="AX310" s="215"/>
      <c r="AY310" s="215"/>
    </row>
    <row r="311">
      <c r="A311" s="80"/>
      <c r="B311" s="80"/>
      <c r="C311" s="80"/>
      <c r="D311" s="80"/>
      <c r="E311" s="215"/>
      <c r="F311" s="215"/>
      <c r="G311" s="215"/>
      <c r="H311" s="215"/>
      <c r="I311" s="215"/>
      <c r="J311" s="215"/>
      <c r="K311" s="215"/>
      <c r="L311" s="215"/>
      <c r="M311" s="215"/>
      <c r="N311" s="215"/>
      <c r="O311" s="215"/>
      <c r="P311" s="215"/>
      <c r="Q311" s="215"/>
      <c r="R311" s="215"/>
      <c r="S311" s="215"/>
      <c r="T311" s="215"/>
      <c r="U311" s="215"/>
      <c r="V311" s="215"/>
      <c r="W311" s="215"/>
      <c r="X311" s="215"/>
      <c r="Y311" s="215"/>
      <c r="Z311" s="215"/>
      <c r="AA311" s="215"/>
      <c r="AB311" s="215"/>
      <c r="AC311" s="215"/>
      <c r="AD311" s="215"/>
      <c r="AE311" s="215"/>
      <c r="AF311" s="215"/>
      <c r="AG311" s="215"/>
      <c r="AH311" s="215"/>
      <c r="AI311" s="215"/>
      <c r="AJ311" s="215"/>
      <c r="AK311" s="215"/>
      <c r="AL311" s="215"/>
      <c r="AM311" s="215"/>
      <c r="AN311" s="215"/>
      <c r="AO311" s="215"/>
      <c r="AP311" s="215"/>
      <c r="AQ311" s="215"/>
      <c r="AR311" s="215"/>
      <c r="AS311" s="215"/>
      <c r="AT311" s="215"/>
      <c r="AU311" s="215"/>
      <c r="AV311" s="215"/>
      <c r="AW311" s="215"/>
      <c r="AX311" s="215"/>
      <c r="AY311" s="215"/>
    </row>
    <row r="312">
      <c r="A312" s="80"/>
      <c r="B312" s="80"/>
      <c r="C312" s="80"/>
      <c r="D312" s="80"/>
      <c r="E312" s="215"/>
      <c r="F312" s="215"/>
      <c r="G312" s="215"/>
      <c r="H312" s="215"/>
      <c r="I312" s="215"/>
      <c r="J312" s="215"/>
      <c r="K312" s="215"/>
      <c r="L312" s="215"/>
      <c r="M312" s="215"/>
      <c r="N312" s="215"/>
      <c r="O312" s="215"/>
      <c r="P312" s="215"/>
      <c r="Q312" s="215"/>
      <c r="R312" s="215"/>
      <c r="S312" s="215"/>
      <c r="T312" s="215"/>
      <c r="U312" s="215"/>
      <c r="V312" s="215"/>
      <c r="W312" s="215"/>
      <c r="X312" s="215"/>
      <c r="Y312" s="215"/>
      <c r="Z312" s="215"/>
      <c r="AA312" s="215"/>
      <c r="AB312" s="215"/>
      <c r="AC312" s="215"/>
      <c r="AD312" s="215"/>
      <c r="AE312" s="215"/>
      <c r="AF312" s="215"/>
      <c r="AG312" s="215"/>
      <c r="AH312" s="215"/>
      <c r="AI312" s="215"/>
      <c r="AJ312" s="215"/>
      <c r="AK312" s="215"/>
      <c r="AL312" s="215"/>
      <c r="AM312" s="215"/>
      <c r="AN312" s="215"/>
      <c r="AO312" s="215"/>
      <c r="AP312" s="215"/>
      <c r="AQ312" s="215"/>
      <c r="AR312" s="215"/>
      <c r="AS312" s="215"/>
      <c r="AT312" s="215"/>
      <c r="AU312" s="215"/>
      <c r="AV312" s="215"/>
      <c r="AW312" s="215"/>
      <c r="AX312" s="215"/>
      <c r="AY312" s="215"/>
    </row>
    <row r="313">
      <c r="A313" s="80"/>
      <c r="B313" s="80"/>
      <c r="C313" s="80"/>
      <c r="D313" s="80"/>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15"/>
      <c r="AH313" s="215"/>
      <c r="AI313" s="215"/>
      <c r="AJ313" s="215"/>
      <c r="AK313" s="215"/>
      <c r="AL313" s="215"/>
      <c r="AM313" s="215"/>
      <c r="AN313" s="215"/>
      <c r="AO313" s="215"/>
      <c r="AP313" s="215"/>
      <c r="AQ313" s="215"/>
      <c r="AR313" s="215"/>
      <c r="AS313" s="215"/>
      <c r="AT313" s="215"/>
      <c r="AU313" s="215"/>
      <c r="AV313" s="215"/>
      <c r="AW313" s="215"/>
      <c r="AX313" s="215"/>
      <c r="AY313" s="215"/>
    </row>
    <row r="314">
      <c r="A314" s="80"/>
      <c r="B314" s="80"/>
      <c r="C314" s="80"/>
      <c r="D314" s="80"/>
      <c r="E314" s="215"/>
      <c r="F314" s="215"/>
      <c r="G314" s="215"/>
      <c r="H314" s="215"/>
      <c r="I314" s="215"/>
      <c r="J314" s="215"/>
      <c r="K314" s="215"/>
      <c r="L314" s="215"/>
      <c r="M314" s="215"/>
      <c r="N314" s="215"/>
      <c r="O314" s="215"/>
      <c r="P314" s="215"/>
      <c r="Q314" s="215"/>
      <c r="R314" s="215"/>
      <c r="S314" s="215"/>
      <c r="T314" s="215"/>
      <c r="U314" s="215"/>
      <c r="V314" s="215"/>
      <c r="W314" s="215"/>
      <c r="X314" s="215"/>
      <c r="Y314" s="215"/>
      <c r="Z314" s="215"/>
      <c r="AA314" s="215"/>
      <c r="AB314" s="215"/>
      <c r="AC314" s="215"/>
      <c r="AD314" s="215"/>
      <c r="AE314" s="215"/>
      <c r="AF314" s="215"/>
      <c r="AG314" s="215"/>
      <c r="AH314" s="215"/>
      <c r="AI314" s="215"/>
      <c r="AJ314" s="215"/>
      <c r="AK314" s="215"/>
      <c r="AL314" s="215"/>
      <c r="AM314" s="215"/>
      <c r="AN314" s="215"/>
      <c r="AO314" s="215"/>
      <c r="AP314" s="215"/>
      <c r="AQ314" s="215"/>
      <c r="AR314" s="215"/>
      <c r="AS314" s="215"/>
      <c r="AT314" s="215"/>
      <c r="AU314" s="215"/>
      <c r="AV314" s="215"/>
      <c r="AW314" s="215"/>
      <c r="AX314" s="215"/>
      <c r="AY314" s="215"/>
    </row>
    <row r="315">
      <c r="A315" s="80"/>
      <c r="B315" s="80"/>
      <c r="C315" s="80"/>
      <c r="D315" s="80"/>
      <c r="E315" s="215"/>
      <c r="F315" s="215"/>
      <c r="G315" s="215"/>
      <c r="H315" s="215"/>
      <c r="I315" s="215"/>
      <c r="J315" s="215"/>
      <c r="K315" s="215"/>
      <c r="L315" s="215"/>
      <c r="M315" s="215"/>
      <c r="N315" s="215"/>
      <c r="O315" s="215"/>
      <c r="P315" s="215"/>
      <c r="Q315" s="215"/>
      <c r="R315" s="215"/>
      <c r="S315" s="215"/>
      <c r="T315" s="215"/>
      <c r="U315" s="215"/>
      <c r="V315" s="215"/>
      <c r="W315" s="215"/>
      <c r="X315" s="215"/>
      <c r="Y315" s="215"/>
      <c r="Z315" s="215"/>
      <c r="AA315" s="215"/>
      <c r="AB315" s="215"/>
      <c r="AC315" s="215"/>
      <c r="AD315" s="215"/>
      <c r="AE315" s="215"/>
      <c r="AF315" s="215"/>
      <c r="AG315" s="215"/>
      <c r="AH315" s="215"/>
      <c r="AI315" s="215"/>
      <c r="AJ315" s="215"/>
      <c r="AK315" s="215"/>
      <c r="AL315" s="215"/>
      <c r="AM315" s="215"/>
      <c r="AN315" s="215"/>
      <c r="AO315" s="215"/>
      <c r="AP315" s="215"/>
      <c r="AQ315" s="215"/>
      <c r="AR315" s="215"/>
      <c r="AS315" s="215"/>
      <c r="AT315" s="215"/>
      <c r="AU315" s="215"/>
      <c r="AV315" s="215"/>
      <c r="AW315" s="215"/>
      <c r="AX315" s="215"/>
      <c r="AY315" s="215"/>
    </row>
    <row r="316">
      <c r="A316" s="80"/>
      <c r="B316" s="80"/>
      <c r="C316" s="80"/>
      <c r="D316" s="80"/>
      <c r="E316" s="215"/>
      <c r="F316" s="215"/>
      <c r="G316" s="215"/>
      <c r="H316" s="215"/>
      <c r="I316" s="215"/>
      <c r="J316" s="215"/>
      <c r="K316" s="215"/>
      <c r="L316" s="215"/>
      <c r="M316" s="215"/>
      <c r="N316" s="215"/>
      <c r="O316" s="215"/>
      <c r="P316" s="215"/>
      <c r="Q316" s="215"/>
      <c r="R316" s="215"/>
      <c r="S316" s="215"/>
      <c r="T316" s="215"/>
      <c r="U316" s="215"/>
      <c r="V316" s="215"/>
      <c r="W316" s="215"/>
      <c r="X316" s="215"/>
      <c r="Y316" s="215"/>
      <c r="Z316" s="215"/>
      <c r="AA316" s="215"/>
      <c r="AB316" s="215"/>
      <c r="AC316" s="215"/>
      <c r="AD316" s="215"/>
      <c r="AE316" s="215"/>
      <c r="AF316" s="215"/>
      <c r="AG316" s="215"/>
      <c r="AH316" s="215"/>
      <c r="AI316" s="215"/>
      <c r="AJ316" s="215"/>
      <c r="AK316" s="215"/>
      <c r="AL316" s="215"/>
      <c r="AM316" s="215"/>
      <c r="AN316" s="215"/>
      <c r="AO316" s="215"/>
      <c r="AP316" s="215"/>
      <c r="AQ316" s="215"/>
      <c r="AR316" s="215"/>
      <c r="AS316" s="215"/>
      <c r="AT316" s="215"/>
      <c r="AU316" s="215"/>
      <c r="AV316" s="215"/>
      <c r="AW316" s="215"/>
      <c r="AX316" s="215"/>
      <c r="AY316" s="215"/>
    </row>
    <row r="317">
      <c r="A317" s="80"/>
      <c r="B317" s="80"/>
      <c r="C317" s="80"/>
      <c r="D317" s="80"/>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15"/>
      <c r="AH317" s="215"/>
      <c r="AI317" s="215"/>
      <c r="AJ317" s="215"/>
      <c r="AK317" s="215"/>
      <c r="AL317" s="215"/>
      <c r="AM317" s="215"/>
      <c r="AN317" s="215"/>
      <c r="AO317" s="215"/>
      <c r="AP317" s="215"/>
      <c r="AQ317" s="215"/>
      <c r="AR317" s="215"/>
      <c r="AS317" s="215"/>
      <c r="AT317" s="215"/>
      <c r="AU317" s="215"/>
      <c r="AV317" s="215"/>
      <c r="AW317" s="215"/>
      <c r="AX317" s="215"/>
      <c r="AY317" s="215"/>
    </row>
    <row r="318">
      <c r="A318" s="80"/>
      <c r="B318" s="80"/>
      <c r="C318" s="80"/>
      <c r="D318" s="80"/>
      <c r="E318" s="215"/>
      <c r="F318" s="215"/>
      <c r="G318" s="215"/>
      <c r="H318" s="215"/>
      <c r="I318" s="215"/>
      <c r="J318" s="215"/>
      <c r="K318" s="215"/>
      <c r="L318" s="215"/>
      <c r="M318" s="215"/>
      <c r="N318" s="215"/>
      <c r="O318" s="215"/>
      <c r="P318" s="215"/>
      <c r="Q318" s="215"/>
      <c r="R318" s="215"/>
      <c r="S318" s="215"/>
      <c r="T318" s="215"/>
      <c r="U318" s="215"/>
      <c r="V318" s="215"/>
      <c r="W318" s="215"/>
      <c r="X318" s="215"/>
      <c r="Y318" s="215"/>
      <c r="Z318" s="215"/>
      <c r="AA318" s="215"/>
      <c r="AB318" s="215"/>
      <c r="AC318" s="215"/>
      <c r="AD318" s="215"/>
      <c r="AE318" s="215"/>
      <c r="AF318" s="215"/>
      <c r="AG318" s="215"/>
      <c r="AH318" s="215"/>
      <c r="AI318" s="215"/>
      <c r="AJ318" s="215"/>
      <c r="AK318" s="215"/>
      <c r="AL318" s="215"/>
      <c r="AM318" s="215"/>
      <c r="AN318" s="215"/>
      <c r="AO318" s="215"/>
      <c r="AP318" s="215"/>
      <c r="AQ318" s="215"/>
      <c r="AR318" s="215"/>
      <c r="AS318" s="215"/>
      <c r="AT318" s="215"/>
      <c r="AU318" s="215"/>
      <c r="AV318" s="215"/>
      <c r="AW318" s="215"/>
      <c r="AX318" s="215"/>
      <c r="AY318" s="215"/>
    </row>
    <row r="319">
      <c r="A319" s="80"/>
      <c r="B319" s="80"/>
      <c r="C319" s="80"/>
      <c r="D319" s="80"/>
      <c r="E319" s="215"/>
      <c r="F319" s="215"/>
      <c r="G319" s="215"/>
      <c r="H319" s="215"/>
      <c r="I319" s="215"/>
      <c r="J319" s="215"/>
      <c r="K319" s="215"/>
      <c r="L319" s="215"/>
      <c r="M319" s="215"/>
      <c r="N319" s="215"/>
      <c r="O319" s="215"/>
      <c r="P319" s="215"/>
      <c r="Q319" s="215"/>
      <c r="R319" s="215"/>
      <c r="S319" s="215"/>
      <c r="T319" s="215"/>
      <c r="U319" s="215"/>
      <c r="V319" s="215"/>
      <c r="W319" s="215"/>
      <c r="X319" s="215"/>
      <c r="Y319" s="215"/>
      <c r="Z319" s="215"/>
      <c r="AA319" s="215"/>
      <c r="AB319" s="215"/>
      <c r="AC319" s="215"/>
      <c r="AD319" s="215"/>
      <c r="AE319" s="215"/>
      <c r="AF319" s="215"/>
      <c r="AG319" s="215"/>
      <c r="AH319" s="215"/>
      <c r="AI319" s="215"/>
      <c r="AJ319" s="215"/>
      <c r="AK319" s="215"/>
      <c r="AL319" s="215"/>
      <c r="AM319" s="215"/>
      <c r="AN319" s="215"/>
      <c r="AO319" s="215"/>
      <c r="AP319" s="215"/>
      <c r="AQ319" s="215"/>
      <c r="AR319" s="215"/>
      <c r="AS319" s="215"/>
      <c r="AT319" s="215"/>
      <c r="AU319" s="215"/>
      <c r="AV319" s="215"/>
      <c r="AW319" s="215"/>
      <c r="AX319" s="215"/>
      <c r="AY319" s="215"/>
    </row>
    <row r="320">
      <c r="A320" s="80"/>
      <c r="B320" s="80"/>
      <c r="C320" s="80"/>
      <c r="D320" s="80"/>
      <c r="E320" s="215"/>
      <c r="F320" s="215"/>
      <c r="G320" s="215"/>
      <c r="H320" s="215"/>
      <c r="I320" s="215"/>
      <c r="J320" s="215"/>
      <c r="K320" s="215"/>
      <c r="L320" s="215"/>
      <c r="M320" s="215"/>
      <c r="N320" s="215"/>
      <c r="O320" s="215"/>
      <c r="P320" s="215"/>
      <c r="Q320" s="215"/>
      <c r="R320" s="215"/>
      <c r="S320" s="215"/>
      <c r="T320" s="215"/>
      <c r="U320" s="215"/>
      <c r="V320" s="215"/>
      <c r="W320" s="215"/>
      <c r="X320" s="215"/>
      <c r="Y320" s="215"/>
      <c r="Z320" s="215"/>
      <c r="AA320" s="215"/>
      <c r="AB320" s="215"/>
      <c r="AC320" s="215"/>
      <c r="AD320" s="215"/>
      <c r="AE320" s="215"/>
      <c r="AF320" s="215"/>
      <c r="AG320" s="215"/>
      <c r="AH320" s="215"/>
      <c r="AI320" s="215"/>
      <c r="AJ320" s="215"/>
      <c r="AK320" s="215"/>
      <c r="AL320" s="215"/>
      <c r="AM320" s="215"/>
      <c r="AN320" s="215"/>
      <c r="AO320" s="215"/>
      <c r="AP320" s="215"/>
      <c r="AQ320" s="215"/>
      <c r="AR320" s="215"/>
      <c r="AS320" s="215"/>
      <c r="AT320" s="215"/>
      <c r="AU320" s="215"/>
      <c r="AV320" s="215"/>
      <c r="AW320" s="215"/>
      <c r="AX320" s="215"/>
      <c r="AY320" s="215"/>
    </row>
    <row r="321">
      <c r="A321" s="80"/>
      <c r="B321" s="80"/>
      <c r="C321" s="80"/>
      <c r="D321" s="80"/>
      <c r="E321" s="215"/>
      <c r="F321" s="215"/>
      <c r="G321" s="215"/>
      <c r="H321" s="215"/>
      <c r="I321" s="215"/>
      <c r="J321" s="215"/>
      <c r="K321" s="215"/>
      <c r="L321" s="215"/>
      <c r="M321" s="215"/>
      <c r="N321" s="215"/>
      <c r="O321" s="215"/>
      <c r="P321" s="215"/>
      <c r="Q321" s="215"/>
      <c r="R321" s="215"/>
      <c r="S321" s="215"/>
      <c r="T321" s="215"/>
      <c r="U321" s="215"/>
      <c r="V321" s="215"/>
      <c r="W321" s="215"/>
      <c r="X321" s="215"/>
      <c r="Y321" s="215"/>
      <c r="Z321" s="215"/>
      <c r="AA321" s="215"/>
      <c r="AB321" s="215"/>
      <c r="AC321" s="215"/>
      <c r="AD321" s="215"/>
      <c r="AE321" s="215"/>
      <c r="AF321" s="215"/>
      <c r="AG321" s="215"/>
      <c r="AH321" s="215"/>
      <c r="AI321" s="215"/>
      <c r="AJ321" s="215"/>
      <c r="AK321" s="215"/>
      <c r="AL321" s="215"/>
      <c r="AM321" s="215"/>
      <c r="AN321" s="215"/>
      <c r="AO321" s="215"/>
      <c r="AP321" s="215"/>
      <c r="AQ321" s="215"/>
      <c r="AR321" s="215"/>
      <c r="AS321" s="215"/>
      <c r="AT321" s="215"/>
      <c r="AU321" s="215"/>
      <c r="AV321" s="215"/>
      <c r="AW321" s="215"/>
      <c r="AX321" s="215"/>
      <c r="AY321" s="215"/>
    </row>
    <row r="322">
      <c r="A322" s="80"/>
      <c r="B322" s="80"/>
      <c r="C322" s="80"/>
      <c r="D322" s="80"/>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15"/>
      <c r="AH322" s="215"/>
      <c r="AI322" s="215"/>
      <c r="AJ322" s="215"/>
      <c r="AK322" s="215"/>
      <c r="AL322" s="215"/>
      <c r="AM322" s="215"/>
      <c r="AN322" s="215"/>
      <c r="AO322" s="215"/>
      <c r="AP322" s="215"/>
      <c r="AQ322" s="215"/>
      <c r="AR322" s="215"/>
      <c r="AS322" s="215"/>
      <c r="AT322" s="215"/>
      <c r="AU322" s="215"/>
      <c r="AV322" s="215"/>
      <c r="AW322" s="215"/>
      <c r="AX322" s="215"/>
      <c r="AY322" s="215"/>
    </row>
    <row r="323">
      <c r="A323" s="80"/>
      <c r="B323" s="80"/>
      <c r="C323" s="80"/>
      <c r="D323" s="80"/>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15"/>
      <c r="AH323" s="215"/>
      <c r="AI323" s="215"/>
      <c r="AJ323" s="215"/>
      <c r="AK323" s="215"/>
      <c r="AL323" s="215"/>
      <c r="AM323" s="215"/>
      <c r="AN323" s="215"/>
      <c r="AO323" s="215"/>
      <c r="AP323" s="215"/>
      <c r="AQ323" s="215"/>
      <c r="AR323" s="215"/>
      <c r="AS323" s="215"/>
      <c r="AT323" s="215"/>
      <c r="AU323" s="215"/>
      <c r="AV323" s="215"/>
      <c r="AW323" s="215"/>
      <c r="AX323" s="215"/>
      <c r="AY323" s="215"/>
    </row>
    <row r="324">
      <c r="A324" s="80"/>
      <c r="B324" s="80"/>
      <c r="C324" s="80"/>
      <c r="D324" s="80"/>
      <c r="E324" s="215"/>
      <c r="F324" s="215"/>
      <c r="G324" s="215"/>
      <c r="H324" s="215"/>
      <c r="I324" s="215"/>
      <c r="J324" s="215"/>
      <c r="K324" s="215"/>
      <c r="L324" s="215"/>
      <c r="M324" s="215"/>
      <c r="N324" s="215"/>
      <c r="O324" s="215"/>
      <c r="P324" s="215"/>
      <c r="Q324" s="215"/>
      <c r="R324" s="215"/>
      <c r="S324" s="215"/>
      <c r="T324" s="215"/>
      <c r="U324" s="215"/>
      <c r="V324" s="215"/>
      <c r="W324" s="215"/>
      <c r="X324" s="215"/>
      <c r="Y324" s="215"/>
      <c r="Z324" s="215"/>
      <c r="AA324" s="215"/>
      <c r="AB324" s="215"/>
      <c r="AC324" s="215"/>
      <c r="AD324" s="215"/>
      <c r="AE324" s="215"/>
      <c r="AF324" s="215"/>
      <c r="AG324" s="215"/>
      <c r="AH324" s="215"/>
      <c r="AI324" s="215"/>
      <c r="AJ324" s="215"/>
      <c r="AK324" s="215"/>
      <c r="AL324" s="215"/>
      <c r="AM324" s="215"/>
      <c r="AN324" s="215"/>
      <c r="AO324" s="215"/>
      <c r="AP324" s="215"/>
      <c r="AQ324" s="215"/>
      <c r="AR324" s="215"/>
      <c r="AS324" s="215"/>
      <c r="AT324" s="215"/>
      <c r="AU324" s="215"/>
      <c r="AV324" s="215"/>
      <c r="AW324" s="215"/>
      <c r="AX324" s="215"/>
      <c r="AY324" s="215"/>
    </row>
    <row r="325">
      <c r="A325" s="80"/>
      <c r="B325" s="80"/>
      <c r="C325" s="80"/>
      <c r="D325" s="80"/>
      <c r="E325" s="215"/>
      <c r="F325" s="215"/>
      <c r="G325" s="215"/>
      <c r="H325" s="215"/>
      <c r="I325" s="215"/>
      <c r="J325" s="215"/>
      <c r="K325" s="215"/>
      <c r="L325" s="215"/>
      <c r="M325" s="215"/>
      <c r="N325" s="215"/>
      <c r="O325" s="215"/>
      <c r="P325" s="215"/>
      <c r="Q325" s="215"/>
      <c r="R325" s="215"/>
      <c r="S325" s="215"/>
      <c r="T325" s="215"/>
      <c r="U325" s="215"/>
      <c r="V325" s="215"/>
      <c r="W325" s="215"/>
      <c r="X325" s="215"/>
      <c r="Y325" s="215"/>
      <c r="Z325" s="215"/>
      <c r="AA325" s="215"/>
      <c r="AB325" s="215"/>
      <c r="AC325" s="215"/>
      <c r="AD325" s="215"/>
      <c r="AE325" s="215"/>
      <c r="AF325" s="215"/>
      <c r="AG325" s="215"/>
      <c r="AH325" s="215"/>
      <c r="AI325" s="215"/>
      <c r="AJ325" s="215"/>
      <c r="AK325" s="215"/>
      <c r="AL325" s="215"/>
      <c r="AM325" s="215"/>
      <c r="AN325" s="215"/>
      <c r="AO325" s="215"/>
      <c r="AP325" s="215"/>
      <c r="AQ325" s="215"/>
      <c r="AR325" s="215"/>
      <c r="AS325" s="215"/>
      <c r="AT325" s="215"/>
      <c r="AU325" s="215"/>
      <c r="AV325" s="215"/>
      <c r="AW325" s="215"/>
      <c r="AX325" s="215"/>
      <c r="AY325" s="215"/>
    </row>
    <row r="326">
      <c r="A326" s="80"/>
      <c r="B326" s="80"/>
      <c r="C326" s="80"/>
      <c r="D326" s="80"/>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15"/>
      <c r="AH326" s="215"/>
      <c r="AI326" s="215"/>
      <c r="AJ326" s="215"/>
      <c r="AK326" s="215"/>
      <c r="AL326" s="215"/>
      <c r="AM326" s="215"/>
      <c r="AN326" s="215"/>
      <c r="AO326" s="215"/>
      <c r="AP326" s="215"/>
      <c r="AQ326" s="215"/>
      <c r="AR326" s="215"/>
      <c r="AS326" s="215"/>
      <c r="AT326" s="215"/>
      <c r="AU326" s="215"/>
      <c r="AV326" s="215"/>
      <c r="AW326" s="215"/>
      <c r="AX326" s="215"/>
      <c r="AY326" s="215"/>
    </row>
    <row r="327">
      <c r="A327" s="80"/>
      <c r="B327" s="80"/>
      <c r="C327" s="80"/>
      <c r="D327" s="80"/>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15"/>
      <c r="AH327" s="215"/>
      <c r="AI327" s="215"/>
      <c r="AJ327" s="215"/>
      <c r="AK327" s="215"/>
      <c r="AL327" s="215"/>
      <c r="AM327" s="215"/>
      <c r="AN327" s="215"/>
      <c r="AO327" s="215"/>
      <c r="AP327" s="215"/>
      <c r="AQ327" s="215"/>
      <c r="AR327" s="215"/>
      <c r="AS327" s="215"/>
      <c r="AT327" s="215"/>
      <c r="AU327" s="215"/>
      <c r="AV327" s="215"/>
      <c r="AW327" s="215"/>
      <c r="AX327" s="215"/>
      <c r="AY327" s="215"/>
    </row>
    <row r="328">
      <c r="A328" s="80"/>
      <c r="B328" s="80"/>
      <c r="C328" s="80"/>
      <c r="D328" s="80"/>
      <c r="E328" s="215"/>
      <c r="F328" s="215"/>
      <c r="G328" s="215"/>
      <c r="H328" s="215"/>
      <c r="I328" s="215"/>
      <c r="J328" s="215"/>
      <c r="K328" s="215"/>
      <c r="L328" s="215"/>
      <c r="M328" s="215"/>
      <c r="N328" s="215"/>
      <c r="O328" s="215"/>
      <c r="P328" s="215"/>
      <c r="Q328" s="215"/>
      <c r="R328" s="215"/>
      <c r="S328" s="215"/>
      <c r="T328" s="215"/>
      <c r="U328" s="215"/>
      <c r="V328" s="215"/>
      <c r="W328" s="215"/>
      <c r="X328" s="215"/>
      <c r="Y328" s="215"/>
      <c r="Z328" s="215"/>
      <c r="AA328" s="215"/>
      <c r="AB328" s="215"/>
      <c r="AC328" s="215"/>
      <c r="AD328" s="215"/>
      <c r="AE328" s="215"/>
      <c r="AF328" s="215"/>
      <c r="AG328" s="215"/>
      <c r="AH328" s="215"/>
      <c r="AI328" s="215"/>
      <c r="AJ328" s="215"/>
      <c r="AK328" s="215"/>
      <c r="AL328" s="215"/>
      <c r="AM328" s="215"/>
      <c r="AN328" s="215"/>
      <c r="AO328" s="215"/>
      <c r="AP328" s="215"/>
      <c r="AQ328" s="215"/>
      <c r="AR328" s="215"/>
      <c r="AS328" s="215"/>
      <c r="AT328" s="215"/>
      <c r="AU328" s="215"/>
      <c r="AV328" s="215"/>
      <c r="AW328" s="215"/>
      <c r="AX328" s="215"/>
      <c r="AY328" s="215"/>
    </row>
    <row r="329">
      <c r="A329" s="80"/>
      <c r="B329" s="80"/>
      <c r="C329" s="80"/>
      <c r="D329" s="80"/>
      <c r="E329" s="215"/>
      <c r="F329" s="215"/>
      <c r="G329" s="215"/>
      <c r="H329" s="215"/>
      <c r="I329" s="215"/>
      <c r="J329" s="215"/>
      <c r="K329" s="215"/>
      <c r="L329" s="215"/>
      <c r="M329" s="215"/>
      <c r="N329" s="215"/>
      <c r="O329" s="215"/>
      <c r="P329" s="215"/>
      <c r="Q329" s="215"/>
      <c r="R329" s="215"/>
      <c r="S329" s="215"/>
      <c r="T329" s="215"/>
      <c r="U329" s="215"/>
      <c r="V329" s="215"/>
      <c r="W329" s="215"/>
      <c r="X329" s="215"/>
      <c r="Y329" s="215"/>
      <c r="Z329" s="215"/>
      <c r="AA329" s="215"/>
      <c r="AB329" s="215"/>
      <c r="AC329" s="215"/>
      <c r="AD329" s="215"/>
      <c r="AE329" s="215"/>
      <c r="AF329" s="215"/>
      <c r="AG329" s="215"/>
      <c r="AH329" s="215"/>
      <c r="AI329" s="215"/>
      <c r="AJ329" s="215"/>
      <c r="AK329" s="215"/>
      <c r="AL329" s="215"/>
      <c r="AM329" s="215"/>
      <c r="AN329" s="215"/>
      <c r="AO329" s="215"/>
      <c r="AP329" s="215"/>
      <c r="AQ329" s="215"/>
      <c r="AR329" s="215"/>
      <c r="AS329" s="215"/>
      <c r="AT329" s="215"/>
      <c r="AU329" s="215"/>
      <c r="AV329" s="215"/>
      <c r="AW329" s="215"/>
      <c r="AX329" s="215"/>
      <c r="AY329" s="215"/>
    </row>
    <row r="330">
      <c r="A330" s="80"/>
      <c r="B330" s="80"/>
      <c r="C330" s="80"/>
      <c r="D330" s="80"/>
      <c r="E330" s="215"/>
      <c r="F330" s="215"/>
      <c r="G330" s="215"/>
      <c r="H330" s="215"/>
      <c r="I330" s="215"/>
      <c r="J330" s="215"/>
      <c r="K330" s="215"/>
      <c r="L330" s="215"/>
      <c r="M330" s="215"/>
      <c r="N330" s="215"/>
      <c r="O330" s="215"/>
      <c r="P330" s="215"/>
      <c r="Q330" s="215"/>
      <c r="R330" s="215"/>
      <c r="S330" s="215"/>
      <c r="T330" s="215"/>
      <c r="U330" s="215"/>
      <c r="V330" s="215"/>
      <c r="W330" s="215"/>
      <c r="X330" s="215"/>
      <c r="Y330" s="215"/>
      <c r="Z330" s="215"/>
      <c r="AA330" s="215"/>
      <c r="AB330" s="215"/>
      <c r="AC330" s="215"/>
      <c r="AD330" s="215"/>
      <c r="AE330" s="215"/>
      <c r="AF330" s="215"/>
      <c r="AG330" s="215"/>
      <c r="AH330" s="215"/>
      <c r="AI330" s="215"/>
      <c r="AJ330" s="215"/>
      <c r="AK330" s="215"/>
      <c r="AL330" s="215"/>
      <c r="AM330" s="215"/>
      <c r="AN330" s="215"/>
      <c r="AO330" s="215"/>
      <c r="AP330" s="215"/>
      <c r="AQ330" s="215"/>
      <c r="AR330" s="215"/>
      <c r="AS330" s="215"/>
      <c r="AT330" s="215"/>
      <c r="AU330" s="215"/>
      <c r="AV330" s="215"/>
      <c r="AW330" s="215"/>
      <c r="AX330" s="215"/>
      <c r="AY330" s="215"/>
    </row>
    <row r="331">
      <c r="A331" s="80"/>
      <c r="B331" s="80"/>
      <c r="C331" s="80"/>
      <c r="D331" s="80"/>
      <c r="E331" s="215"/>
      <c r="F331" s="215"/>
      <c r="G331" s="215"/>
      <c r="H331" s="215"/>
      <c r="I331" s="215"/>
      <c r="J331" s="215"/>
      <c r="K331" s="215"/>
      <c r="L331" s="215"/>
      <c r="M331" s="215"/>
      <c r="N331" s="215"/>
      <c r="O331" s="215"/>
      <c r="P331" s="215"/>
      <c r="Q331" s="215"/>
      <c r="R331" s="215"/>
      <c r="S331" s="215"/>
      <c r="T331" s="215"/>
      <c r="U331" s="215"/>
      <c r="V331" s="215"/>
      <c r="W331" s="215"/>
      <c r="X331" s="215"/>
      <c r="Y331" s="215"/>
      <c r="Z331" s="215"/>
      <c r="AA331" s="215"/>
      <c r="AB331" s="215"/>
      <c r="AC331" s="215"/>
      <c r="AD331" s="215"/>
      <c r="AE331" s="215"/>
      <c r="AF331" s="215"/>
      <c r="AG331" s="215"/>
      <c r="AH331" s="215"/>
      <c r="AI331" s="215"/>
      <c r="AJ331" s="215"/>
      <c r="AK331" s="215"/>
      <c r="AL331" s="215"/>
      <c r="AM331" s="215"/>
      <c r="AN331" s="215"/>
      <c r="AO331" s="215"/>
      <c r="AP331" s="215"/>
      <c r="AQ331" s="215"/>
      <c r="AR331" s="215"/>
      <c r="AS331" s="215"/>
      <c r="AT331" s="215"/>
      <c r="AU331" s="215"/>
      <c r="AV331" s="215"/>
      <c r="AW331" s="215"/>
      <c r="AX331" s="215"/>
      <c r="AY331" s="215"/>
    </row>
    <row r="332">
      <c r="A332" s="80"/>
      <c r="B332" s="80"/>
      <c r="C332" s="80"/>
      <c r="D332" s="80"/>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15"/>
      <c r="AH332" s="215"/>
      <c r="AI332" s="215"/>
      <c r="AJ332" s="215"/>
      <c r="AK332" s="215"/>
      <c r="AL332" s="215"/>
      <c r="AM332" s="215"/>
      <c r="AN332" s="215"/>
      <c r="AO332" s="215"/>
      <c r="AP332" s="215"/>
      <c r="AQ332" s="215"/>
      <c r="AR332" s="215"/>
      <c r="AS332" s="215"/>
      <c r="AT332" s="215"/>
      <c r="AU332" s="215"/>
      <c r="AV332" s="215"/>
      <c r="AW332" s="215"/>
      <c r="AX332" s="215"/>
      <c r="AY332" s="215"/>
    </row>
    <row r="333">
      <c r="A333" s="80"/>
      <c r="B333" s="80"/>
      <c r="C333" s="80"/>
      <c r="D333" s="80"/>
      <c r="E333" s="215"/>
      <c r="F333" s="215"/>
      <c r="G333" s="215"/>
      <c r="H333" s="215"/>
      <c r="I333" s="215"/>
      <c r="J333" s="215"/>
      <c r="K333" s="215"/>
      <c r="L333" s="215"/>
      <c r="M333" s="215"/>
      <c r="N333" s="215"/>
      <c r="O333" s="215"/>
      <c r="P333" s="215"/>
      <c r="Q333" s="215"/>
      <c r="R333" s="215"/>
      <c r="S333" s="215"/>
      <c r="T333" s="215"/>
      <c r="U333" s="215"/>
      <c r="V333" s="215"/>
      <c r="W333" s="215"/>
      <c r="X333" s="215"/>
      <c r="Y333" s="215"/>
      <c r="Z333" s="215"/>
      <c r="AA333" s="215"/>
      <c r="AB333" s="215"/>
      <c r="AC333" s="215"/>
      <c r="AD333" s="215"/>
      <c r="AE333" s="215"/>
      <c r="AF333" s="215"/>
      <c r="AG333" s="215"/>
      <c r="AH333" s="215"/>
      <c r="AI333" s="215"/>
      <c r="AJ333" s="215"/>
      <c r="AK333" s="215"/>
      <c r="AL333" s="215"/>
      <c r="AM333" s="215"/>
      <c r="AN333" s="215"/>
      <c r="AO333" s="215"/>
      <c r="AP333" s="215"/>
      <c r="AQ333" s="215"/>
      <c r="AR333" s="215"/>
      <c r="AS333" s="215"/>
      <c r="AT333" s="215"/>
      <c r="AU333" s="215"/>
      <c r="AV333" s="215"/>
      <c r="AW333" s="215"/>
      <c r="AX333" s="215"/>
      <c r="AY333" s="215"/>
    </row>
    <row r="334">
      <c r="A334" s="80"/>
      <c r="B334" s="80"/>
      <c r="C334" s="80"/>
      <c r="D334" s="80"/>
      <c r="E334" s="215"/>
      <c r="F334" s="215"/>
      <c r="G334" s="215"/>
      <c r="H334" s="215"/>
      <c r="I334" s="215"/>
      <c r="J334" s="215"/>
      <c r="K334" s="215"/>
      <c r="L334" s="215"/>
      <c r="M334" s="215"/>
      <c r="N334" s="215"/>
      <c r="O334" s="215"/>
      <c r="P334" s="215"/>
      <c r="Q334" s="215"/>
      <c r="R334" s="215"/>
      <c r="S334" s="215"/>
      <c r="T334" s="215"/>
      <c r="U334" s="215"/>
      <c r="V334" s="215"/>
      <c r="W334" s="215"/>
      <c r="X334" s="215"/>
      <c r="Y334" s="215"/>
      <c r="Z334" s="215"/>
      <c r="AA334" s="215"/>
      <c r="AB334" s="215"/>
      <c r="AC334" s="215"/>
      <c r="AD334" s="215"/>
      <c r="AE334" s="215"/>
      <c r="AF334" s="215"/>
      <c r="AG334" s="215"/>
      <c r="AH334" s="215"/>
      <c r="AI334" s="215"/>
      <c r="AJ334" s="215"/>
      <c r="AK334" s="215"/>
      <c r="AL334" s="215"/>
      <c r="AM334" s="215"/>
      <c r="AN334" s="215"/>
      <c r="AO334" s="215"/>
      <c r="AP334" s="215"/>
      <c r="AQ334" s="215"/>
      <c r="AR334" s="215"/>
      <c r="AS334" s="215"/>
      <c r="AT334" s="215"/>
      <c r="AU334" s="215"/>
      <c r="AV334" s="215"/>
      <c r="AW334" s="215"/>
      <c r="AX334" s="215"/>
      <c r="AY334" s="215"/>
    </row>
    <row r="335">
      <c r="A335" s="80"/>
      <c r="B335" s="80"/>
      <c r="C335" s="80"/>
      <c r="D335" s="80"/>
      <c r="E335" s="215"/>
      <c r="F335" s="215"/>
      <c r="G335" s="215"/>
      <c r="H335" s="215"/>
      <c r="I335" s="215"/>
      <c r="J335" s="215"/>
      <c r="K335" s="215"/>
      <c r="L335" s="215"/>
      <c r="M335" s="215"/>
      <c r="N335" s="215"/>
      <c r="O335" s="215"/>
      <c r="P335" s="215"/>
      <c r="Q335" s="215"/>
      <c r="R335" s="215"/>
      <c r="S335" s="215"/>
      <c r="T335" s="215"/>
      <c r="U335" s="215"/>
      <c r="V335" s="215"/>
      <c r="W335" s="215"/>
      <c r="X335" s="215"/>
      <c r="Y335" s="215"/>
      <c r="Z335" s="215"/>
      <c r="AA335" s="215"/>
      <c r="AB335" s="215"/>
      <c r="AC335" s="215"/>
      <c r="AD335" s="215"/>
      <c r="AE335" s="215"/>
      <c r="AF335" s="215"/>
      <c r="AG335" s="215"/>
      <c r="AH335" s="215"/>
      <c r="AI335" s="215"/>
      <c r="AJ335" s="215"/>
      <c r="AK335" s="215"/>
      <c r="AL335" s="215"/>
      <c r="AM335" s="215"/>
      <c r="AN335" s="215"/>
      <c r="AO335" s="215"/>
      <c r="AP335" s="215"/>
      <c r="AQ335" s="215"/>
      <c r="AR335" s="215"/>
      <c r="AS335" s="215"/>
      <c r="AT335" s="215"/>
      <c r="AU335" s="215"/>
      <c r="AV335" s="215"/>
      <c r="AW335" s="215"/>
      <c r="AX335" s="215"/>
      <c r="AY335" s="215"/>
    </row>
    <row r="336">
      <c r="A336" s="80"/>
      <c r="B336" s="80"/>
      <c r="C336" s="80"/>
      <c r="D336" s="80"/>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15"/>
      <c r="AH336" s="215"/>
      <c r="AI336" s="215"/>
      <c r="AJ336" s="215"/>
      <c r="AK336" s="215"/>
      <c r="AL336" s="215"/>
      <c r="AM336" s="215"/>
      <c r="AN336" s="215"/>
      <c r="AO336" s="215"/>
      <c r="AP336" s="215"/>
      <c r="AQ336" s="215"/>
      <c r="AR336" s="215"/>
      <c r="AS336" s="215"/>
      <c r="AT336" s="215"/>
      <c r="AU336" s="215"/>
      <c r="AV336" s="215"/>
      <c r="AW336" s="215"/>
      <c r="AX336" s="215"/>
      <c r="AY336" s="215"/>
    </row>
    <row r="337">
      <c r="A337" s="80"/>
      <c r="B337" s="80"/>
      <c r="C337" s="80"/>
      <c r="D337" s="80"/>
      <c r="E337" s="215"/>
      <c r="F337" s="215"/>
      <c r="G337" s="215"/>
      <c r="H337" s="215"/>
      <c r="I337" s="215"/>
      <c r="J337" s="215"/>
      <c r="K337" s="215"/>
      <c r="L337" s="215"/>
      <c r="M337" s="215"/>
      <c r="N337" s="215"/>
      <c r="O337" s="215"/>
      <c r="P337" s="215"/>
      <c r="Q337" s="215"/>
      <c r="R337" s="215"/>
      <c r="S337" s="215"/>
      <c r="T337" s="215"/>
      <c r="U337" s="215"/>
      <c r="V337" s="215"/>
      <c r="W337" s="215"/>
      <c r="X337" s="215"/>
      <c r="Y337" s="215"/>
      <c r="Z337" s="215"/>
      <c r="AA337" s="215"/>
      <c r="AB337" s="215"/>
      <c r="AC337" s="215"/>
      <c r="AD337" s="215"/>
      <c r="AE337" s="215"/>
      <c r="AF337" s="215"/>
      <c r="AG337" s="215"/>
      <c r="AH337" s="215"/>
      <c r="AI337" s="215"/>
      <c r="AJ337" s="215"/>
      <c r="AK337" s="215"/>
      <c r="AL337" s="215"/>
      <c r="AM337" s="215"/>
      <c r="AN337" s="215"/>
      <c r="AO337" s="215"/>
      <c r="AP337" s="215"/>
      <c r="AQ337" s="215"/>
      <c r="AR337" s="215"/>
      <c r="AS337" s="215"/>
      <c r="AT337" s="215"/>
      <c r="AU337" s="215"/>
      <c r="AV337" s="215"/>
      <c r="AW337" s="215"/>
      <c r="AX337" s="215"/>
      <c r="AY337" s="215"/>
    </row>
    <row r="338">
      <c r="A338" s="80"/>
      <c r="B338" s="80"/>
      <c r="C338" s="80"/>
      <c r="D338" s="80"/>
      <c r="E338" s="215"/>
      <c r="F338" s="215"/>
      <c r="G338" s="215"/>
      <c r="H338" s="215"/>
      <c r="I338" s="215"/>
      <c r="J338" s="215"/>
      <c r="K338" s="215"/>
      <c r="L338" s="215"/>
      <c r="M338" s="215"/>
      <c r="N338" s="215"/>
      <c r="O338" s="215"/>
      <c r="P338" s="215"/>
      <c r="Q338" s="215"/>
      <c r="R338" s="215"/>
      <c r="S338" s="215"/>
      <c r="T338" s="215"/>
      <c r="U338" s="215"/>
      <c r="V338" s="215"/>
      <c r="W338" s="215"/>
      <c r="X338" s="215"/>
      <c r="Y338" s="215"/>
      <c r="Z338" s="215"/>
      <c r="AA338" s="215"/>
      <c r="AB338" s="215"/>
      <c r="AC338" s="215"/>
      <c r="AD338" s="215"/>
      <c r="AE338" s="215"/>
      <c r="AF338" s="215"/>
      <c r="AG338" s="215"/>
      <c r="AH338" s="215"/>
      <c r="AI338" s="215"/>
      <c r="AJ338" s="215"/>
      <c r="AK338" s="215"/>
      <c r="AL338" s="215"/>
      <c r="AM338" s="215"/>
      <c r="AN338" s="215"/>
      <c r="AO338" s="215"/>
      <c r="AP338" s="215"/>
      <c r="AQ338" s="215"/>
      <c r="AR338" s="215"/>
      <c r="AS338" s="215"/>
      <c r="AT338" s="215"/>
      <c r="AU338" s="215"/>
      <c r="AV338" s="215"/>
      <c r="AW338" s="215"/>
      <c r="AX338" s="215"/>
      <c r="AY338" s="215"/>
    </row>
    <row r="339">
      <c r="A339" s="80"/>
      <c r="B339" s="80"/>
      <c r="C339" s="80"/>
      <c r="D339" s="80"/>
      <c r="E339" s="215"/>
      <c r="F339" s="215"/>
      <c r="G339" s="215"/>
      <c r="H339" s="215"/>
      <c r="I339" s="215"/>
      <c r="J339" s="215"/>
      <c r="K339" s="215"/>
      <c r="L339" s="215"/>
      <c r="M339" s="215"/>
      <c r="N339" s="215"/>
      <c r="O339" s="215"/>
      <c r="P339" s="215"/>
      <c r="Q339" s="215"/>
      <c r="R339" s="215"/>
      <c r="S339" s="215"/>
      <c r="T339" s="215"/>
      <c r="U339" s="215"/>
      <c r="V339" s="215"/>
      <c r="W339" s="215"/>
      <c r="X339" s="215"/>
      <c r="Y339" s="215"/>
      <c r="Z339" s="215"/>
      <c r="AA339" s="215"/>
      <c r="AB339" s="215"/>
      <c r="AC339" s="215"/>
      <c r="AD339" s="215"/>
      <c r="AE339" s="215"/>
      <c r="AF339" s="215"/>
      <c r="AG339" s="215"/>
      <c r="AH339" s="215"/>
      <c r="AI339" s="215"/>
      <c r="AJ339" s="215"/>
      <c r="AK339" s="215"/>
      <c r="AL339" s="215"/>
      <c r="AM339" s="215"/>
      <c r="AN339" s="215"/>
      <c r="AO339" s="215"/>
      <c r="AP339" s="215"/>
      <c r="AQ339" s="215"/>
      <c r="AR339" s="215"/>
      <c r="AS339" s="215"/>
      <c r="AT339" s="215"/>
      <c r="AU339" s="215"/>
      <c r="AV339" s="215"/>
      <c r="AW339" s="215"/>
      <c r="AX339" s="215"/>
      <c r="AY339" s="215"/>
    </row>
    <row r="340">
      <c r="A340" s="80"/>
      <c r="B340" s="80"/>
      <c r="C340" s="80"/>
      <c r="D340" s="80"/>
      <c r="E340" s="215"/>
      <c r="F340" s="215"/>
      <c r="G340" s="215"/>
      <c r="H340" s="215"/>
      <c r="I340" s="215"/>
      <c r="J340" s="215"/>
      <c r="K340" s="215"/>
      <c r="L340" s="215"/>
      <c r="M340" s="215"/>
      <c r="N340" s="215"/>
      <c r="O340" s="215"/>
      <c r="P340" s="215"/>
      <c r="Q340" s="215"/>
      <c r="R340" s="215"/>
      <c r="S340" s="215"/>
      <c r="T340" s="215"/>
      <c r="U340" s="215"/>
      <c r="V340" s="215"/>
      <c r="W340" s="215"/>
      <c r="X340" s="215"/>
      <c r="Y340" s="215"/>
      <c r="Z340" s="215"/>
      <c r="AA340" s="215"/>
      <c r="AB340" s="215"/>
      <c r="AC340" s="215"/>
      <c r="AD340" s="215"/>
      <c r="AE340" s="215"/>
      <c r="AF340" s="215"/>
      <c r="AG340" s="215"/>
      <c r="AH340" s="215"/>
      <c r="AI340" s="215"/>
      <c r="AJ340" s="215"/>
      <c r="AK340" s="215"/>
      <c r="AL340" s="215"/>
      <c r="AM340" s="215"/>
      <c r="AN340" s="215"/>
      <c r="AO340" s="215"/>
      <c r="AP340" s="215"/>
      <c r="AQ340" s="215"/>
      <c r="AR340" s="215"/>
      <c r="AS340" s="215"/>
      <c r="AT340" s="215"/>
      <c r="AU340" s="215"/>
      <c r="AV340" s="215"/>
      <c r="AW340" s="215"/>
      <c r="AX340" s="215"/>
      <c r="AY340" s="215"/>
    </row>
    <row r="341">
      <c r="A341" s="80"/>
      <c r="B341" s="80"/>
      <c r="C341" s="80"/>
      <c r="D341" s="80"/>
      <c r="E341" s="215"/>
      <c r="F341" s="215"/>
      <c r="G341" s="215"/>
      <c r="H341" s="215"/>
      <c r="I341" s="215"/>
      <c r="J341" s="215"/>
      <c r="K341" s="215"/>
      <c r="L341" s="215"/>
      <c r="M341" s="215"/>
      <c r="N341" s="215"/>
      <c r="O341" s="215"/>
      <c r="P341" s="215"/>
      <c r="Q341" s="215"/>
      <c r="R341" s="215"/>
      <c r="S341" s="215"/>
      <c r="T341" s="215"/>
      <c r="U341" s="215"/>
      <c r="V341" s="215"/>
      <c r="W341" s="215"/>
      <c r="X341" s="215"/>
      <c r="Y341" s="215"/>
      <c r="Z341" s="215"/>
      <c r="AA341" s="215"/>
      <c r="AB341" s="215"/>
      <c r="AC341" s="215"/>
      <c r="AD341" s="215"/>
      <c r="AE341" s="215"/>
      <c r="AF341" s="215"/>
      <c r="AG341" s="215"/>
      <c r="AH341" s="215"/>
      <c r="AI341" s="215"/>
      <c r="AJ341" s="215"/>
      <c r="AK341" s="215"/>
      <c r="AL341" s="215"/>
      <c r="AM341" s="215"/>
      <c r="AN341" s="215"/>
      <c r="AO341" s="215"/>
      <c r="AP341" s="215"/>
      <c r="AQ341" s="215"/>
      <c r="AR341" s="215"/>
      <c r="AS341" s="215"/>
      <c r="AT341" s="215"/>
      <c r="AU341" s="215"/>
      <c r="AV341" s="215"/>
      <c r="AW341" s="215"/>
      <c r="AX341" s="215"/>
      <c r="AY341" s="215"/>
    </row>
    <row r="342">
      <c r="A342" s="80"/>
      <c r="B342" s="80"/>
      <c r="C342" s="80"/>
      <c r="D342" s="80"/>
      <c r="E342" s="215"/>
      <c r="F342" s="215"/>
      <c r="G342" s="215"/>
      <c r="H342" s="215"/>
      <c r="I342" s="215"/>
      <c r="J342" s="215"/>
      <c r="K342" s="215"/>
      <c r="L342" s="215"/>
      <c r="M342" s="215"/>
      <c r="N342" s="215"/>
      <c r="O342" s="215"/>
      <c r="P342" s="215"/>
      <c r="Q342" s="215"/>
      <c r="R342" s="215"/>
      <c r="S342" s="215"/>
      <c r="T342" s="215"/>
      <c r="U342" s="215"/>
      <c r="V342" s="215"/>
      <c r="W342" s="215"/>
      <c r="X342" s="215"/>
      <c r="Y342" s="215"/>
      <c r="Z342" s="215"/>
      <c r="AA342" s="215"/>
      <c r="AB342" s="215"/>
      <c r="AC342" s="215"/>
      <c r="AD342" s="215"/>
      <c r="AE342" s="215"/>
      <c r="AF342" s="215"/>
      <c r="AG342" s="215"/>
      <c r="AH342" s="215"/>
      <c r="AI342" s="215"/>
      <c r="AJ342" s="215"/>
      <c r="AK342" s="215"/>
      <c r="AL342" s="215"/>
      <c r="AM342" s="215"/>
      <c r="AN342" s="215"/>
      <c r="AO342" s="215"/>
      <c r="AP342" s="215"/>
      <c r="AQ342" s="215"/>
      <c r="AR342" s="215"/>
      <c r="AS342" s="215"/>
      <c r="AT342" s="215"/>
      <c r="AU342" s="215"/>
      <c r="AV342" s="215"/>
      <c r="AW342" s="215"/>
      <c r="AX342" s="215"/>
      <c r="AY342" s="215"/>
    </row>
    <row r="343">
      <c r="A343" s="80"/>
      <c r="B343" s="80"/>
      <c r="C343" s="80"/>
      <c r="D343" s="80"/>
      <c r="E343" s="215"/>
      <c r="F343" s="215"/>
      <c r="G343" s="215"/>
      <c r="H343" s="215"/>
      <c r="I343" s="215"/>
      <c r="J343" s="215"/>
      <c r="K343" s="215"/>
      <c r="L343" s="215"/>
      <c r="M343" s="215"/>
      <c r="N343" s="215"/>
      <c r="O343" s="215"/>
      <c r="P343" s="215"/>
      <c r="Q343" s="215"/>
      <c r="R343" s="215"/>
      <c r="S343" s="215"/>
      <c r="T343" s="215"/>
      <c r="U343" s="215"/>
      <c r="V343" s="215"/>
      <c r="W343" s="215"/>
      <c r="X343" s="215"/>
      <c r="Y343" s="215"/>
      <c r="Z343" s="215"/>
      <c r="AA343" s="215"/>
      <c r="AB343" s="215"/>
      <c r="AC343" s="215"/>
      <c r="AD343" s="215"/>
      <c r="AE343" s="215"/>
      <c r="AF343" s="215"/>
      <c r="AG343" s="215"/>
      <c r="AH343" s="215"/>
      <c r="AI343" s="215"/>
      <c r="AJ343" s="215"/>
      <c r="AK343" s="215"/>
      <c r="AL343" s="215"/>
      <c r="AM343" s="215"/>
      <c r="AN343" s="215"/>
      <c r="AO343" s="215"/>
      <c r="AP343" s="215"/>
      <c r="AQ343" s="215"/>
      <c r="AR343" s="215"/>
      <c r="AS343" s="215"/>
      <c r="AT343" s="215"/>
      <c r="AU343" s="215"/>
      <c r="AV343" s="215"/>
      <c r="AW343" s="215"/>
      <c r="AX343" s="215"/>
      <c r="AY343" s="215"/>
    </row>
    <row r="344">
      <c r="A344" s="80"/>
      <c r="B344" s="80"/>
      <c r="C344" s="80"/>
      <c r="D344" s="80"/>
      <c r="E344" s="215"/>
      <c r="F344" s="215"/>
      <c r="G344" s="215"/>
      <c r="H344" s="215"/>
      <c r="I344" s="215"/>
      <c r="J344" s="215"/>
      <c r="K344" s="215"/>
      <c r="L344" s="215"/>
      <c r="M344" s="215"/>
      <c r="N344" s="215"/>
      <c r="O344" s="215"/>
      <c r="P344" s="215"/>
      <c r="Q344" s="215"/>
      <c r="R344" s="215"/>
      <c r="S344" s="215"/>
      <c r="T344" s="215"/>
      <c r="U344" s="215"/>
      <c r="V344" s="215"/>
      <c r="W344" s="215"/>
      <c r="X344" s="215"/>
      <c r="Y344" s="215"/>
      <c r="Z344" s="215"/>
      <c r="AA344" s="215"/>
      <c r="AB344" s="215"/>
      <c r="AC344" s="215"/>
      <c r="AD344" s="215"/>
      <c r="AE344" s="215"/>
      <c r="AF344" s="215"/>
      <c r="AG344" s="215"/>
      <c r="AH344" s="215"/>
      <c r="AI344" s="215"/>
      <c r="AJ344" s="215"/>
      <c r="AK344" s="215"/>
      <c r="AL344" s="215"/>
      <c r="AM344" s="215"/>
      <c r="AN344" s="215"/>
      <c r="AO344" s="215"/>
      <c r="AP344" s="215"/>
      <c r="AQ344" s="215"/>
      <c r="AR344" s="215"/>
      <c r="AS344" s="215"/>
      <c r="AT344" s="215"/>
      <c r="AU344" s="215"/>
      <c r="AV344" s="215"/>
      <c r="AW344" s="215"/>
      <c r="AX344" s="215"/>
      <c r="AY344" s="215"/>
    </row>
    <row r="345">
      <c r="A345" s="80"/>
      <c r="B345" s="80"/>
      <c r="C345" s="80"/>
      <c r="D345" s="80"/>
      <c r="E345" s="215"/>
      <c r="F345" s="215"/>
      <c r="G345" s="215"/>
      <c r="H345" s="215"/>
      <c r="I345" s="215"/>
      <c r="J345" s="215"/>
      <c r="K345" s="215"/>
      <c r="L345" s="215"/>
      <c r="M345" s="215"/>
      <c r="N345" s="215"/>
      <c r="O345" s="215"/>
      <c r="P345" s="215"/>
      <c r="Q345" s="215"/>
      <c r="R345" s="215"/>
      <c r="S345" s="215"/>
      <c r="T345" s="215"/>
      <c r="U345" s="215"/>
      <c r="V345" s="215"/>
      <c r="W345" s="215"/>
      <c r="X345" s="215"/>
      <c r="Y345" s="215"/>
      <c r="Z345" s="215"/>
      <c r="AA345" s="215"/>
      <c r="AB345" s="215"/>
      <c r="AC345" s="215"/>
      <c r="AD345" s="215"/>
      <c r="AE345" s="215"/>
      <c r="AF345" s="215"/>
      <c r="AG345" s="215"/>
      <c r="AH345" s="215"/>
      <c r="AI345" s="215"/>
      <c r="AJ345" s="215"/>
      <c r="AK345" s="215"/>
      <c r="AL345" s="215"/>
      <c r="AM345" s="215"/>
      <c r="AN345" s="215"/>
      <c r="AO345" s="215"/>
      <c r="AP345" s="215"/>
      <c r="AQ345" s="215"/>
      <c r="AR345" s="215"/>
      <c r="AS345" s="215"/>
      <c r="AT345" s="215"/>
      <c r="AU345" s="215"/>
      <c r="AV345" s="215"/>
      <c r="AW345" s="215"/>
      <c r="AX345" s="215"/>
      <c r="AY345" s="215"/>
    </row>
    <row r="346">
      <c r="A346" s="80"/>
      <c r="B346" s="80"/>
      <c r="C346" s="80"/>
      <c r="D346" s="80"/>
      <c r="E346" s="215"/>
      <c r="F346" s="215"/>
      <c r="G346" s="215"/>
      <c r="H346" s="215"/>
      <c r="I346" s="215"/>
      <c r="J346" s="215"/>
      <c r="K346" s="215"/>
      <c r="L346" s="215"/>
      <c r="M346" s="215"/>
      <c r="N346" s="215"/>
      <c r="O346" s="215"/>
      <c r="P346" s="215"/>
      <c r="Q346" s="215"/>
      <c r="R346" s="215"/>
      <c r="S346" s="215"/>
      <c r="T346" s="215"/>
      <c r="U346" s="215"/>
      <c r="V346" s="215"/>
      <c r="W346" s="215"/>
      <c r="X346" s="215"/>
      <c r="Y346" s="215"/>
      <c r="Z346" s="215"/>
      <c r="AA346" s="215"/>
      <c r="AB346" s="215"/>
      <c r="AC346" s="215"/>
      <c r="AD346" s="215"/>
      <c r="AE346" s="215"/>
      <c r="AF346" s="215"/>
      <c r="AG346" s="215"/>
      <c r="AH346" s="215"/>
      <c r="AI346" s="215"/>
      <c r="AJ346" s="215"/>
      <c r="AK346" s="215"/>
      <c r="AL346" s="215"/>
      <c r="AM346" s="215"/>
      <c r="AN346" s="215"/>
      <c r="AO346" s="215"/>
      <c r="AP346" s="215"/>
      <c r="AQ346" s="215"/>
      <c r="AR346" s="215"/>
      <c r="AS346" s="215"/>
      <c r="AT346" s="215"/>
      <c r="AU346" s="215"/>
      <c r="AV346" s="215"/>
      <c r="AW346" s="215"/>
      <c r="AX346" s="215"/>
      <c r="AY346" s="215"/>
    </row>
    <row r="347">
      <c r="A347" s="80"/>
      <c r="B347" s="80"/>
      <c r="C347" s="80"/>
      <c r="D347" s="80"/>
      <c r="E347" s="215"/>
      <c r="F347" s="215"/>
      <c r="G347" s="215"/>
      <c r="H347" s="215"/>
      <c r="I347" s="215"/>
      <c r="J347" s="215"/>
      <c r="K347" s="215"/>
      <c r="L347" s="215"/>
      <c r="M347" s="215"/>
      <c r="N347" s="215"/>
      <c r="O347" s="215"/>
      <c r="P347" s="215"/>
      <c r="Q347" s="215"/>
      <c r="R347" s="215"/>
      <c r="S347" s="215"/>
      <c r="T347" s="215"/>
      <c r="U347" s="215"/>
      <c r="V347" s="215"/>
      <c r="W347" s="215"/>
      <c r="X347" s="215"/>
      <c r="Y347" s="215"/>
      <c r="Z347" s="215"/>
      <c r="AA347" s="215"/>
      <c r="AB347" s="215"/>
      <c r="AC347" s="215"/>
      <c r="AD347" s="215"/>
      <c r="AE347" s="215"/>
      <c r="AF347" s="215"/>
      <c r="AG347" s="215"/>
      <c r="AH347" s="215"/>
      <c r="AI347" s="215"/>
      <c r="AJ347" s="215"/>
      <c r="AK347" s="215"/>
      <c r="AL347" s="215"/>
      <c r="AM347" s="215"/>
      <c r="AN347" s="215"/>
      <c r="AO347" s="215"/>
      <c r="AP347" s="215"/>
      <c r="AQ347" s="215"/>
      <c r="AR347" s="215"/>
      <c r="AS347" s="215"/>
      <c r="AT347" s="215"/>
      <c r="AU347" s="215"/>
      <c r="AV347" s="215"/>
      <c r="AW347" s="215"/>
      <c r="AX347" s="215"/>
      <c r="AY347" s="215"/>
    </row>
    <row r="348">
      <c r="A348" s="80"/>
      <c r="B348" s="80"/>
      <c r="C348" s="80"/>
      <c r="D348" s="80"/>
      <c r="E348" s="215"/>
      <c r="F348" s="215"/>
      <c r="G348" s="215"/>
      <c r="H348" s="215"/>
      <c r="I348" s="215"/>
      <c r="J348" s="215"/>
      <c r="K348" s="215"/>
      <c r="L348" s="215"/>
      <c r="M348" s="215"/>
      <c r="N348" s="215"/>
      <c r="O348" s="215"/>
      <c r="P348" s="215"/>
      <c r="Q348" s="215"/>
      <c r="R348" s="215"/>
      <c r="S348" s="215"/>
      <c r="T348" s="215"/>
      <c r="U348" s="215"/>
      <c r="V348" s="215"/>
      <c r="W348" s="215"/>
      <c r="X348" s="215"/>
      <c r="Y348" s="215"/>
      <c r="Z348" s="215"/>
      <c r="AA348" s="215"/>
      <c r="AB348" s="215"/>
      <c r="AC348" s="215"/>
      <c r="AD348" s="215"/>
      <c r="AE348" s="215"/>
      <c r="AF348" s="215"/>
      <c r="AG348" s="215"/>
      <c r="AH348" s="215"/>
      <c r="AI348" s="215"/>
      <c r="AJ348" s="215"/>
      <c r="AK348" s="215"/>
      <c r="AL348" s="215"/>
      <c r="AM348" s="215"/>
      <c r="AN348" s="215"/>
      <c r="AO348" s="215"/>
      <c r="AP348" s="215"/>
      <c r="AQ348" s="215"/>
      <c r="AR348" s="215"/>
      <c r="AS348" s="215"/>
      <c r="AT348" s="215"/>
      <c r="AU348" s="215"/>
      <c r="AV348" s="215"/>
      <c r="AW348" s="215"/>
      <c r="AX348" s="215"/>
      <c r="AY348" s="215"/>
    </row>
    <row r="349">
      <c r="A349" s="80"/>
      <c r="B349" s="80"/>
      <c r="C349" s="80"/>
      <c r="D349" s="80"/>
      <c r="E349" s="215"/>
      <c r="F349" s="215"/>
      <c r="G349" s="215"/>
      <c r="H349" s="215"/>
      <c r="I349" s="215"/>
      <c r="J349" s="215"/>
      <c r="K349" s="215"/>
      <c r="L349" s="215"/>
      <c r="M349" s="215"/>
      <c r="N349" s="215"/>
      <c r="O349" s="215"/>
      <c r="P349" s="215"/>
      <c r="Q349" s="215"/>
      <c r="R349" s="215"/>
      <c r="S349" s="215"/>
      <c r="T349" s="215"/>
      <c r="U349" s="215"/>
      <c r="V349" s="215"/>
      <c r="W349" s="215"/>
      <c r="X349" s="215"/>
      <c r="Y349" s="215"/>
      <c r="Z349" s="215"/>
      <c r="AA349" s="215"/>
      <c r="AB349" s="215"/>
      <c r="AC349" s="215"/>
      <c r="AD349" s="215"/>
      <c r="AE349" s="215"/>
      <c r="AF349" s="215"/>
      <c r="AG349" s="215"/>
      <c r="AH349" s="215"/>
      <c r="AI349" s="215"/>
      <c r="AJ349" s="215"/>
      <c r="AK349" s="215"/>
      <c r="AL349" s="215"/>
      <c r="AM349" s="215"/>
      <c r="AN349" s="215"/>
      <c r="AO349" s="215"/>
      <c r="AP349" s="215"/>
      <c r="AQ349" s="215"/>
      <c r="AR349" s="215"/>
      <c r="AS349" s="215"/>
      <c r="AT349" s="215"/>
      <c r="AU349" s="215"/>
      <c r="AV349" s="215"/>
      <c r="AW349" s="215"/>
      <c r="AX349" s="215"/>
      <c r="AY349" s="215"/>
    </row>
    <row r="350">
      <c r="A350" s="80"/>
      <c r="B350" s="80"/>
      <c r="C350" s="80"/>
      <c r="D350" s="80"/>
      <c r="E350" s="215"/>
      <c r="F350" s="215"/>
      <c r="G350" s="215"/>
      <c r="H350" s="215"/>
      <c r="I350" s="215"/>
      <c r="J350" s="215"/>
      <c r="K350" s="215"/>
      <c r="L350" s="215"/>
      <c r="M350" s="215"/>
      <c r="N350" s="215"/>
      <c r="O350" s="215"/>
      <c r="P350" s="215"/>
      <c r="Q350" s="215"/>
      <c r="R350" s="215"/>
      <c r="S350" s="215"/>
      <c r="T350" s="215"/>
      <c r="U350" s="215"/>
      <c r="V350" s="215"/>
      <c r="W350" s="215"/>
      <c r="X350" s="215"/>
      <c r="Y350" s="215"/>
      <c r="Z350" s="215"/>
      <c r="AA350" s="215"/>
      <c r="AB350" s="215"/>
      <c r="AC350" s="215"/>
      <c r="AD350" s="215"/>
      <c r="AE350" s="215"/>
      <c r="AF350" s="215"/>
      <c r="AG350" s="215"/>
      <c r="AH350" s="215"/>
      <c r="AI350" s="215"/>
      <c r="AJ350" s="215"/>
      <c r="AK350" s="215"/>
      <c r="AL350" s="215"/>
      <c r="AM350" s="215"/>
      <c r="AN350" s="215"/>
      <c r="AO350" s="215"/>
      <c r="AP350" s="215"/>
      <c r="AQ350" s="215"/>
      <c r="AR350" s="215"/>
      <c r="AS350" s="215"/>
      <c r="AT350" s="215"/>
      <c r="AU350" s="215"/>
      <c r="AV350" s="215"/>
      <c r="AW350" s="215"/>
      <c r="AX350" s="215"/>
      <c r="AY350" s="215"/>
    </row>
    <row r="351">
      <c r="A351" s="80"/>
      <c r="B351" s="80"/>
      <c r="C351" s="80"/>
      <c r="D351" s="80"/>
      <c r="E351" s="215"/>
      <c r="F351" s="215"/>
      <c r="G351" s="215"/>
      <c r="H351" s="215"/>
      <c r="I351" s="215"/>
      <c r="J351" s="215"/>
      <c r="K351" s="215"/>
      <c r="L351" s="215"/>
      <c r="M351" s="215"/>
      <c r="N351" s="215"/>
      <c r="O351" s="215"/>
      <c r="P351" s="215"/>
      <c r="Q351" s="215"/>
      <c r="R351" s="215"/>
      <c r="S351" s="215"/>
      <c r="T351" s="215"/>
      <c r="U351" s="215"/>
      <c r="V351" s="215"/>
      <c r="W351" s="215"/>
      <c r="X351" s="215"/>
      <c r="Y351" s="215"/>
      <c r="Z351" s="215"/>
      <c r="AA351" s="215"/>
      <c r="AB351" s="215"/>
      <c r="AC351" s="215"/>
      <c r="AD351" s="215"/>
      <c r="AE351" s="215"/>
      <c r="AF351" s="215"/>
      <c r="AG351" s="215"/>
      <c r="AH351" s="215"/>
      <c r="AI351" s="215"/>
      <c r="AJ351" s="215"/>
      <c r="AK351" s="215"/>
      <c r="AL351" s="215"/>
      <c r="AM351" s="215"/>
      <c r="AN351" s="215"/>
      <c r="AO351" s="215"/>
      <c r="AP351" s="215"/>
      <c r="AQ351" s="215"/>
      <c r="AR351" s="215"/>
      <c r="AS351" s="215"/>
      <c r="AT351" s="215"/>
      <c r="AU351" s="215"/>
      <c r="AV351" s="215"/>
      <c r="AW351" s="215"/>
      <c r="AX351" s="215"/>
      <c r="AY351" s="215"/>
    </row>
    <row r="352">
      <c r="A352" s="80"/>
      <c r="B352" s="80"/>
      <c r="C352" s="80"/>
      <c r="D352" s="80"/>
      <c r="E352" s="215"/>
      <c r="F352" s="215"/>
      <c r="G352" s="215"/>
      <c r="H352" s="215"/>
      <c r="I352" s="215"/>
      <c r="J352" s="215"/>
      <c r="K352" s="215"/>
      <c r="L352" s="215"/>
      <c r="M352" s="215"/>
      <c r="N352" s="215"/>
      <c r="O352" s="215"/>
      <c r="P352" s="215"/>
      <c r="Q352" s="215"/>
      <c r="R352" s="215"/>
      <c r="S352" s="215"/>
      <c r="T352" s="215"/>
      <c r="U352" s="215"/>
      <c r="V352" s="215"/>
      <c r="W352" s="215"/>
      <c r="X352" s="215"/>
      <c r="Y352" s="215"/>
      <c r="Z352" s="215"/>
      <c r="AA352" s="215"/>
      <c r="AB352" s="215"/>
      <c r="AC352" s="215"/>
      <c r="AD352" s="215"/>
      <c r="AE352" s="215"/>
      <c r="AF352" s="215"/>
      <c r="AG352" s="215"/>
      <c r="AH352" s="215"/>
      <c r="AI352" s="215"/>
      <c r="AJ352" s="215"/>
      <c r="AK352" s="215"/>
      <c r="AL352" s="215"/>
      <c r="AM352" s="215"/>
      <c r="AN352" s="215"/>
      <c r="AO352" s="215"/>
      <c r="AP352" s="215"/>
      <c r="AQ352" s="215"/>
      <c r="AR352" s="215"/>
      <c r="AS352" s="215"/>
      <c r="AT352" s="215"/>
      <c r="AU352" s="215"/>
      <c r="AV352" s="215"/>
      <c r="AW352" s="215"/>
      <c r="AX352" s="215"/>
      <c r="AY352" s="215"/>
    </row>
    <row r="353">
      <c r="A353" s="80"/>
      <c r="B353" s="80"/>
      <c r="C353" s="80"/>
      <c r="D353" s="80"/>
      <c r="E353" s="215"/>
      <c r="F353" s="215"/>
      <c r="G353" s="215"/>
      <c r="H353" s="215"/>
      <c r="I353" s="215"/>
      <c r="J353" s="215"/>
      <c r="K353" s="215"/>
      <c r="L353" s="215"/>
      <c r="M353" s="215"/>
      <c r="N353" s="215"/>
      <c r="O353" s="215"/>
      <c r="P353" s="215"/>
      <c r="Q353" s="215"/>
      <c r="R353" s="215"/>
      <c r="S353" s="215"/>
      <c r="T353" s="215"/>
      <c r="U353" s="215"/>
      <c r="V353" s="215"/>
      <c r="W353" s="215"/>
      <c r="X353" s="215"/>
      <c r="Y353" s="215"/>
      <c r="Z353" s="215"/>
      <c r="AA353" s="215"/>
      <c r="AB353" s="215"/>
      <c r="AC353" s="215"/>
      <c r="AD353" s="215"/>
      <c r="AE353" s="215"/>
      <c r="AF353" s="215"/>
      <c r="AG353" s="215"/>
      <c r="AH353" s="215"/>
      <c r="AI353" s="215"/>
      <c r="AJ353" s="215"/>
      <c r="AK353" s="215"/>
      <c r="AL353" s="215"/>
      <c r="AM353" s="215"/>
      <c r="AN353" s="215"/>
      <c r="AO353" s="215"/>
      <c r="AP353" s="215"/>
      <c r="AQ353" s="215"/>
      <c r="AR353" s="215"/>
      <c r="AS353" s="215"/>
      <c r="AT353" s="215"/>
      <c r="AU353" s="215"/>
      <c r="AV353" s="215"/>
      <c r="AW353" s="215"/>
      <c r="AX353" s="215"/>
      <c r="AY353" s="215"/>
    </row>
    <row r="354">
      <c r="A354" s="80"/>
      <c r="B354" s="80"/>
      <c r="C354" s="80"/>
      <c r="D354" s="80"/>
      <c r="E354" s="215"/>
      <c r="F354" s="215"/>
      <c r="G354" s="215"/>
      <c r="H354" s="215"/>
      <c r="I354" s="215"/>
      <c r="J354" s="215"/>
      <c r="K354" s="215"/>
      <c r="L354" s="215"/>
      <c r="M354" s="215"/>
      <c r="N354" s="215"/>
      <c r="O354" s="215"/>
      <c r="P354" s="215"/>
      <c r="Q354" s="215"/>
      <c r="R354" s="215"/>
      <c r="S354" s="215"/>
      <c r="T354" s="215"/>
      <c r="U354" s="215"/>
      <c r="V354" s="215"/>
      <c r="W354" s="215"/>
      <c r="X354" s="215"/>
      <c r="Y354" s="215"/>
      <c r="Z354" s="215"/>
      <c r="AA354" s="215"/>
      <c r="AB354" s="215"/>
      <c r="AC354" s="215"/>
      <c r="AD354" s="215"/>
      <c r="AE354" s="215"/>
      <c r="AF354" s="215"/>
      <c r="AG354" s="215"/>
      <c r="AH354" s="215"/>
      <c r="AI354" s="215"/>
      <c r="AJ354" s="215"/>
      <c r="AK354" s="215"/>
      <c r="AL354" s="215"/>
      <c r="AM354" s="215"/>
      <c r="AN354" s="215"/>
      <c r="AO354" s="215"/>
      <c r="AP354" s="215"/>
      <c r="AQ354" s="215"/>
      <c r="AR354" s="215"/>
      <c r="AS354" s="215"/>
      <c r="AT354" s="215"/>
      <c r="AU354" s="215"/>
      <c r="AV354" s="215"/>
      <c r="AW354" s="215"/>
      <c r="AX354" s="215"/>
      <c r="AY354" s="215"/>
    </row>
    <row r="355">
      <c r="A355" s="80"/>
      <c r="B355" s="80"/>
      <c r="C355" s="80"/>
      <c r="D355" s="80"/>
      <c r="E355" s="215"/>
      <c r="F355" s="215"/>
      <c r="G355" s="215"/>
      <c r="H355" s="215"/>
      <c r="I355" s="215"/>
      <c r="J355" s="215"/>
      <c r="K355" s="215"/>
      <c r="L355" s="215"/>
      <c r="M355" s="215"/>
      <c r="N355" s="215"/>
      <c r="O355" s="215"/>
      <c r="P355" s="215"/>
      <c r="Q355" s="215"/>
      <c r="R355" s="215"/>
      <c r="S355" s="215"/>
      <c r="T355" s="215"/>
      <c r="U355" s="215"/>
      <c r="V355" s="215"/>
      <c r="W355" s="215"/>
      <c r="X355" s="215"/>
      <c r="Y355" s="215"/>
      <c r="Z355" s="215"/>
      <c r="AA355" s="215"/>
      <c r="AB355" s="215"/>
      <c r="AC355" s="215"/>
      <c r="AD355" s="215"/>
      <c r="AE355" s="215"/>
      <c r="AF355" s="215"/>
      <c r="AG355" s="215"/>
      <c r="AH355" s="215"/>
      <c r="AI355" s="215"/>
      <c r="AJ355" s="215"/>
      <c r="AK355" s="215"/>
      <c r="AL355" s="215"/>
      <c r="AM355" s="215"/>
      <c r="AN355" s="215"/>
      <c r="AO355" s="215"/>
      <c r="AP355" s="215"/>
      <c r="AQ355" s="215"/>
      <c r="AR355" s="215"/>
      <c r="AS355" s="215"/>
      <c r="AT355" s="215"/>
      <c r="AU355" s="215"/>
      <c r="AV355" s="215"/>
      <c r="AW355" s="215"/>
      <c r="AX355" s="215"/>
      <c r="AY355" s="215"/>
    </row>
    <row r="356">
      <c r="A356" s="80"/>
      <c r="B356" s="80"/>
      <c r="C356" s="80"/>
      <c r="D356" s="80"/>
      <c r="E356" s="215"/>
      <c r="F356" s="215"/>
      <c r="G356" s="215"/>
      <c r="H356" s="215"/>
      <c r="I356" s="215"/>
      <c r="J356" s="215"/>
      <c r="K356" s="215"/>
      <c r="L356" s="215"/>
      <c r="M356" s="215"/>
      <c r="N356" s="215"/>
      <c r="O356" s="215"/>
      <c r="P356" s="215"/>
      <c r="Q356" s="215"/>
      <c r="R356" s="215"/>
      <c r="S356" s="215"/>
      <c r="T356" s="215"/>
      <c r="U356" s="215"/>
      <c r="V356" s="215"/>
      <c r="W356" s="215"/>
      <c r="X356" s="215"/>
      <c r="Y356" s="215"/>
      <c r="Z356" s="215"/>
      <c r="AA356" s="215"/>
      <c r="AB356" s="215"/>
      <c r="AC356" s="215"/>
      <c r="AD356" s="215"/>
      <c r="AE356" s="215"/>
      <c r="AF356" s="215"/>
      <c r="AG356" s="215"/>
      <c r="AH356" s="215"/>
      <c r="AI356" s="215"/>
      <c r="AJ356" s="215"/>
      <c r="AK356" s="215"/>
      <c r="AL356" s="215"/>
      <c r="AM356" s="215"/>
      <c r="AN356" s="215"/>
      <c r="AO356" s="215"/>
      <c r="AP356" s="215"/>
      <c r="AQ356" s="215"/>
      <c r="AR356" s="215"/>
      <c r="AS356" s="215"/>
      <c r="AT356" s="215"/>
      <c r="AU356" s="215"/>
      <c r="AV356" s="215"/>
      <c r="AW356" s="215"/>
      <c r="AX356" s="215"/>
      <c r="AY356" s="215"/>
    </row>
    <row r="357">
      <c r="A357" s="80"/>
      <c r="B357" s="80"/>
      <c r="C357" s="80"/>
      <c r="D357" s="80"/>
      <c r="E357" s="215"/>
      <c r="F357" s="215"/>
      <c r="G357" s="215"/>
      <c r="H357" s="215"/>
      <c r="I357" s="215"/>
      <c r="J357" s="215"/>
      <c r="K357" s="215"/>
      <c r="L357" s="215"/>
      <c r="M357" s="215"/>
      <c r="N357" s="215"/>
      <c r="O357" s="215"/>
      <c r="P357" s="215"/>
      <c r="Q357" s="215"/>
      <c r="R357" s="215"/>
      <c r="S357" s="215"/>
      <c r="T357" s="215"/>
      <c r="U357" s="215"/>
      <c r="V357" s="215"/>
      <c r="W357" s="215"/>
      <c r="X357" s="215"/>
      <c r="Y357" s="215"/>
      <c r="Z357" s="215"/>
      <c r="AA357" s="215"/>
      <c r="AB357" s="215"/>
      <c r="AC357" s="215"/>
      <c r="AD357" s="215"/>
      <c r="AE357" s="215"/>
      <c r="AF357" s="215"/>
      <c r="AG357" s="215"/>
      <c r="AH357" s="215"/>
      <c r="AI357" s="215"/>
      <c r="AJ357" s="215"/>
      <c r="AK357" s="215"/>
      <c r="AL357" s="215"/>
      <c r="AM357" s="215"/>
      <c r="AN357" s="215"/>
      <c r="AO357" s="215"/>
      <c r="AP357" s="215"/>
      <c r="AQ357" s="215"/>
      <c r="AR357" s="215"/>
      <c r="AS357" s="215"/>
      <c r="AT357" s="215"/>
      <c r="AU357" s="215"/>
      <c r="AV357" s="215"/>
      <c r="AW357" s="215"/>
      <c r="AX357" s="215"/>
      <c r="AY357" s="215"/>
    </row>
    <row r="358">
      <c r="A358" s="80"/>
      <c r="B358" s="80"/>
      <c r="C358" s="80"/>
      <c r="D358" s="80"/>
      <c r="E358" s="215"/>
      <c r="F358" s="215"/>
      <c r="G358" s="215"/>
      <c r="H358" s="215"/>
      <c r="I358" s="215"/>
      <c r="J358" s="215"/>
      <c r="K358" s="215"/>
      <c r="L358" s="215"/>
      <c r="M358" s="215"/>
      <c r="N358" s="215"/>
      <c r="O358" s="215"/>
      <c r="P358" s="215"/>
      <c r="Q358" s="215"/>
      <c r="R358" s="215"/>
      <c r="S358" s="215"/>
      <c r="T358" s="215"/>
      <c r="U358" s="215"/>
      <c r="V358" s="215"/>
      <c r="W358" s="215"/>
      <c r="X358" s="215"/>
      <c r="Y358" s="215"/>
      <c r="Z358" s="215"/>
      <c r="AA358" s="215"/>
      <c r="AB358" s="215"/>
      <c r="AC358" s="215"/>
      <c r="AD358" s="215"/>
      <c r="AE358" s="215"/>
      <c r="AF358" s="215"/>
      <c r="AG358" s="215"/>
      <c r="AH358" s="215"/>
      <c r="AI358" s="215"/>
      <c r="AJ358" s="215"/>
      <c r="AK358" s="215"/>
      <c r="AL358" s="215"/>
      <c r="AM358" s="215"/>
      <c r="AN358" s="215"/>
      <c r="AO358" s="215"/>
      <c r="AP358" s="215"/>
      <c r="AQ358" s="215"/>
      <c r="AR358" s="215"/>
      <c r="AS358" s="215"/>
      <c r="AT358" s="215"/>
      <c r="AU358" s="215"/>
      <c r="AV358" s="215"/>
      <c r="AW358" s="215"/>
      <c r="AX358" s="215"/>
      <c r="AY358" s="215"/>
    </row>
    <row r="359">
      <c r="A359" s="80"/>
      <c r="B359" s="80"/>
      <c r="C359" s="80"/>
      <c r="D359" s="80"/>
      <c r="E359" s="215"/>
      <c r="F359" s="215"/>
      <c r="G359" s="215"/>
      <c r="H359" s="215"/>
      <c r="I359" s="215"/>
      <c r="J359" s="215"/>
      <c r="K359" s="215"/>
      <c r="L359" s="215"/>
      <c r="M359" s="215"/>
      <c r="N359" s="215"/>
      <c r="O359" s="215"/>
      <c r="P359" s="215"/>
      <c r="Q359" s="215"/>
      <c r="R359" s="215"/>
      <c r="S359" s="215"/>
      <c r="T359" s="215"/>
      <c r="U359" s="215"/>
      <c r="V359" s="215"/>
      <c r="W359" s="215"/>
      <c r="X359" s="215"/>
      <c r="Y359" s="215"/>
      <c r="Z359" s="215"/>
      <c r="AA359" s="215"/>
      <c r="AB359" s="215"/>
      <c r="AC359" s="215"/>
      <c r="AD359" s="215"/>
      <c r="AE359" s="215"/>
      <c r="AF359" s="215"/>
      <c r="AG359" s="215"/>
      <c r="AH359" s="215"/>
      <c r="AI359" s="215"/>
      <c r="AJ359" s="215"/>
      <c r="AK359" s="215"/>
      <c r="AL359" s="215"/>
      <c r="AM359" s="215"/>
      <c r="AN359" s="215"/>
      <c r="AO359" s="215"/>
      <c r="AP359" s="215"/>
      <c r="AQ359" s="215"/>
      <c r="AR359" s="215"/>
      <c r="AS359" s="215"/>
      <c r="AT359" s="215"/>
      <c r="AU359" s="215"/>
      <c r="AV359" s="215"/>
      <c r="AW359" s="215"/>
      <c r="AX359" s="215"/>
      <c r="AY359" s="215"/>
    </row>
    <row r="360">
      <c r="A360" s="80"/>
      <c r="B360" s="80"/>
      <c r="C360" s="80"/>
      <c r="D360" s="80"/>
      <c r="E360" s="215"/>
      <c r="F360" s="215"/>
      <c r="G360" s="215"/>
      <c r="H360" s="215"/>
      <c r="I360" s="215"/>
      <c r="J360" s="215"/>
      <c r="K360" s="215"/>
      <c r="L360" s="215"/>
      <c r="M360" s="215"/>
      <c r="N360" s="215"/>
      <c r="O360" s="215"/>
      <c r="P360" s="215"/>
      <c r="Q360" s="215"/>
      <c r="R360" s="215"/>
      <c r="S360" s="215"/>
      <c r="T360" s="215"/>
      <c r="U360" s="215"/>
      <c r="V360" s="215"/>
      <c r="W360" s="215"/>
      <c r="X360" s="215"/>
      <c r="Y360" s="215"/>
      <c r="Z360" s="215"/>
      <c r="AA360" s="215"/>
      <c r="AB360" s="215"/>
      <c r="AC360" s="215"/>
      <c r="AD360" s="215"/>
      <c r="AE360" s="215"/>
      <c r="AF360" s="215"/>
      <c r="AG360" s="215"/>
      <c r="AH360" s="215"/>
      <c r="AI360" s="215"/>
      <c r="AJ360" s="215"/>
      <c r="AK360" s="215"/>
      <c r="AL360" s="215"/>
      <c r="AM360" s="215"/>
      <c r="AN360" s="215"/>
      <c r="AO360" s="215"/>
      <c r="AP360" s="215"/>
      <c r="AQ360" s="215"/>
      <c r="AR360" s="215"/>
      <c r="AS360" s="215"/>
      <c r="AT360" s="215"/>
      <c r="AU360" s="215"/>
      <c r="AV360" s="215"/>
      <c r="AW360" s="215"/>
      <c r="AX360" s="215"/>
      <c r="AY360" s="215"/>
    </row>
    <row r="361">
      <c r="A361" s="80"/>
      <c r="B361" s="80"/>
      <c r="C361" s="80"/>
      <c r="D361" s="80"/>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15"/>
      <c r="AH361" s="215"/>
      <c r="AI361" s="215"/>
      <c r="AJ361" s="215"/>
      <c r="AK361" s="215"/>
      <c r="AL361" s="215"/>
      <c r="AM361" s="215"/>
      <c r="AN361" s="215"/>
      <c r="AO361" s="215"/>
      <c r="AP361" s="215"/>
      <c r="AQ361" s="215"/>
      <c r="AR361" s="215"/>
      <c r="AS361" s="215"/>
      <c r="AT361" s="215"/>
      <c r="AU361" s="215"/>
      <c r="AV361" s="215"/>
      <c r="AW361" s="215"/>
      <c r="AX361" s="215"/>
      <c r="AY361" s="215"/>
    </row>
    <row r="362">
      <c r="A362" s="80"/>
      <c r="B362" s="80"/>
      <c r="C362" s="80"/>
      <c r="D362" s="80"/>
      <c r="E362" s="215"/>
      <c r="F362" s="215"/>
      <c r="G362" s="215"/>
      <c r="H362" s="215"/>
      <c r="I362" s="215"/>
      <c r="J362" s="215"/>
      <c r="K362" s="215"/>
      <c r="L362" s="215"/>
      <c r="M362" s="215"/>
      <c r="N362" s="215"/>
      <c r="O362" s="215"/>
      <c r="P362" s="215"/>
      <c r="Q362" s="215"/>
      <c r="R362" s="215"/>
      <c r="S362" s="215"/>
      <c r="T362" s="215"/>
      <c r="U362" s="215"/>
      <c r="V362" s="215"/>
      <c r="W362" s="215"/>
      <c r="X362" s="215"/>
      <c r="Y362" s="215"/>
      <c r="Z362" s="215"/>
      <c r="AA362" s="215"/>
      <c r="AB362" s="215"/>
      <c r="AC362" s="215"/>
      <c r="AD362" s="215"/>
      <c r="AE362" s="215"/>
      <c r="AF362" s="215"/>
      <c r="AG362" s="215"/>
      <c r="AH362" s="215"/>
      <c r="AI362" s="215"/>
      <c r="AJ362" s="215"/>
      <c r="AK362" s="215"/>
      <c r="AL362" s="215"/>
      <c r="AM362" s="215"/>
      <c r="AN362" s="215"/>
      <c r="AO362" s="215"/>
      <c r="AP362" s="215"/>
      <c r="AQ362" s="215"/>
      <c r="AR362" s="215"/>
      <c r="AS362" s="215"/>
      <c r="AT362" s="215"/>
      <c r="AU362" s="215"/>
      <c r="AV362" s="215"/>
      <c r="AW362" s="215"/>
      <c r="AX362" s="215"/>
      <c r="AY362" s="215"/>
    </row>
    <row r="363">
      <c r="A363" s="80"/>
      <c r="B363" s="80"/>
      <c r="C363" s="80"/>
      <c r="D363" s="80"/>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215"/>
      <c r="AH363" s="215"/>
      <c r="AI363" s="215"/>
      <c r="AJ363" s="215"/>
      <c r="AK363" s="215"/>
      <c r="AL363" s="215"/>
      <c r="AM363" s="215"/>
      <c r="AN363" s="215"/>
      <c r="AO363" s="215"/>
      <c r="AP363" s="215"/>
      <c r="AQ363" s="215"/>
      <c r="AR363" s="215"/>
      <c r="AS363" s="215"/>
      <c r="AT363" s="215"/>
      <c r="AU363" s="215"/>
      <c r="AV363" s="215"/>
      <c r="AW363" s="215"/>
      <c r="AX363" s="215"/>
      <c r="AY363" s="215"/>
    </row>
    <row r="364">
      <c r="A364" s="80"/>
      <c r="B364" s="80"/>
      <c r="C364" s="80"/>
      <c r="D364" s="80"/>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215"/>
      <c r="AH364" s="215"/>
      <c r="AI364" s="215"/>
      <c r="AJ364" s="215"/>
      <c r="AK364" s="215"/>
      <c r="AL364" s="215"/>
      <c r="AM364" s="215"/>
      <c r="AN364" s="215"/>
      <c r="AO364" s="215"/>
      <c r="AP364" s="215"/>
      <c r="AQ364" s="215"/>
      <c r="AR364" s="215"/>
      <c r="AS364" s="215"/>
      <c r="AT364" s="215"/>
      <c r="AU364" s="215"/>
      <c r="AV364" s="215"/>
      <c r="AW364" s="215"/>
      <c r="AX364" s="215"/>
      <c r="AY364" s="215"/>
    </row>
    <row r="365">
      <c r="A365" s="80"/>
      <c r="B365" s="80"/>
      <c r="C365" s="80"/>
      <c r="D365" s="80"/>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15"/>
      <c r="AH365" s="215"/>
      <c r="AI365" s="215"/>
      <c r="AJ365" s="215"/>
      <c r="AK365" s="215"/>
      <c r="AL365" s="215"/>
      <c r="AM365" s="215"/>
      <c r="AN365" s="215"/>
      <c r="AO365" s="215"/>
      <c r="AP365" s="215"/>
      <c r="AQ365" s="215"/>
      <c r="AR365" s="215"/>
      <c r="AS365" s="215"/>
      <c r="AT365" s="215"/>
      <c r="AU365" s="215"/>
      <c r="AV365" s="215"/>
      <c r="AW365" s="215"/>
      <c r="AX365" s="215"/>
      <c r="AY365" s="215"/>
    </row>
    <row r="366">
      <c r="A366" s="80"/>
      <c r="B366" s="80"/>
      <c r="C366" s="80"/>
      <c r="D366" s="80"/>
      <c r="E366" s="215"/>
      <c r="F366" s="215"/>
      <c r="G366" s="215"/>
      <c r="H366" s="215"/>
      <c r="I366" s="215"/>
      <c r="J366" s="215"/>
      <c r="K366" s="215"/>
      <c r="L366" s="215"/>
      <c r="M366" s="215"/>
      <c r="N366" s="215"/>
      <c r="O366" s="215"/>
      <c r="P366" s="215"/>
      <c r="Q366" s="215"/>
      <c r="R366" s="215"/>
      <c r="S366" s="215"/>
      <c r="T366" s="215"/>
      <c r="U366" s="215"/>
      <c r="V366" s="215"/>
      <c r="W366" s="215"/>
      <c r="X366" s="215"/>
      <c r="Y366" s="215"/>
      <c r="Z366" s="215"/>
      <c r="AA366" s="215"/>
      <c r="AB366" s="215"/>
      <c r="AC366" s="215"/>
      <c r="AD366" s="215"/>
      <c r="AE366" s="215"/>
      <c r="AF366" s="215"/>
      <c r="AG366" s="215"/>
      <c r="AH366" s="215"/>
      <c r="AI366" s="215"/>
      <c r="AJ366" s="215"/>
      <c r="AK366" s="215"/>
      <c r="AL366" s="215"/>
      <c r="AM366" s="215"/>
      <c r="AN366" s="215"/>
      <c r="AO366" s="215"/>
      <c r="AP366" s="215"/>
      <c r="AQ366" s="215"/>
      <c r="AR366" s="215"/>
      <c r="AS366" s="215"/>
      <c r="AT366" s="215"/>
      <c r="AU366" s="215"/>
      <c r="AV366" s="215"/>
      <c r="AW366" s="215"/>
      <c r="AX366" s="215"/>
      <c r="AY366" s="215"/>
    </row>
    <row r="367">
      <c r="A367" s="80"/>
      <c r="B367" s="80"/>
      <c r="C367" s="80"/>
      <c r="D367" s="80"/>
      <c r="E367" s="215"/>
      <c r="F367" s="215"/>
      <c r="G367" s="215"/>
      <c r="H367" s="215"/>
      <c r="I367" s="215"/>
      <c r="J367" s="215"/>
      <c r="K367" s="215"/>
      <c r="L367" s="215"/>
      <c r="M367" s="215"/>
      <c r="N367" s="215"/>
      <c r="O367" s="215"/>
      <c r="P367" s="215"/>
      <c r="Q367" s="215"/>
      <c r="R367" s="215"/>
      <c r="S367" s="215"/>
      <c r="T367" s="215"/>
      <c r="U367" s="215"/>
      <c r="V367" s="215"/>
      <c r="W367" s="215"/>
      <c r="X367" s="215"/>
      <c r="Y367" s="215"/>
      <c r="Z367" s="215"/>
      <c r="AA367" s="215"/>
      <c r="AB367" s="215"/>
      <c r="AC367" s="215"/>
      <c r="AD367" s="215"/>
      <c r="AE367" s="215"/>
      <c r="AF367" s="215"/>
      <c r="AG367" s="215"/>
      <c r="AH367" s="215"/>
      <c r="AI367" s="215"/>
      <c r="AJ367" s="215"/>
      <c r="AK367" s="215"/>
      <c r="AL367" s="215"/>
      <c r="AM367" s="215"/>
      <c r="AN367" s="215"/>
      <c r="AO367" s="215"/>
      <c r="AP367" s="215"/>
      <c r="AQ367" s="215"/>
      <c r="AR367" s="215"/>
      <c r="AS367" s="215"/>
      <c r="AT367" s="215"/>
      <c r="AU367" s="215"/>
      <c r="AV367" s="215"/>
      <c r="AW367" s="215"/>
      <c r="AX367" s="215"/>
      <c r="AY367" s="215"/>
    </row>
    <row r="368">
      <c r="A368" s="80"/>
      <c r="B368" s="80"/>
      <c r="C368" s="80"/>
      <c r="D368" s="80"/>
      <c r="E368" s="215"/>
      <c r="F368" s="215"/>
      <c r="G368" s="215"/>
      <c r="H368" s="215"/>
      <c r="I368" s="215"/>
      <c r="J368" s="215"/>
      <c r="K368" s="215"/>
      <c r="L368" s="215"/>
      <c r="M368" s="215"/>
      <c r="N368" s="215"/>
      <c r="O368" s="215"/>
      <c r="P368" s="215"/>
      <c r="Q368" s="215"/>
      <c r="R368" s="215"/>
      <c r="S368" s="215"/>
      <c r="T368" s="215"/>
      <c r="U368" s="215"/>
      <c r="V368" s="215"/>
      <c r="W368" s="215"/>
      <c r="X368" s="215"/>
      <c r="Y368" s="215"/>
      <c r="Z368" s="215"/>
      <c r="AA368" s="215"/>
      <c r="AB368" s="215"/>
      <c r="AC368" s="215"/>
      <c r="AD368" s="215"/>
      <c r="AE368" s="215"/>
      <c r="AF368" s="215"/>
      <c r="AG368" s="215"/>
      <c r="AH368" s="215"/>
      <c r="AI368" s="215"/>
      <c r="AJ368" s="215"/>
      <c r="AK368" s="215"/>
      <c r="AL368" s="215"/>
      <c r="AM368" s="215"/>
      <c r="AN368" s="215"/>
      <c r="AO368" s="215"/>
      <c r="AP368" s="215"/>
      <c r="AQ368" s="215"/>
      <c r="AR368" s="215"/>
      <c r="AS368" s="215"/>
      <c r="AT368" s="215"/>
      <c r="AU368" s="215"/>
      <c r="AV368" s="215"/>
      <c r="AW368" s="215"/>
      <c r="AX368" s="215"/>
      <c r="AY368" s="215"/>
    </row>
    <row r="369">
      <c r="A369" s="80"/>
      <c r="B369" s="80"/>
      <c r="C369" s="80"/>
      <c r="D369" s="80"/>
      <c r="E369" s="215"/>
      <c r="F369" s="215"/>
      <c r="G369" s="215"/>
      <c r="H369" s="215"/>
      <c r="I369" s="215"/>
      <c r="J369" s="215"/>
      <c r="K369" s="215"/>
      <c r="L369" s="215"/>
      <c r="M369" s="215"/>
      <c r="N369" s="215"/>
      <c r="O369" s="215"/>
      <c r="P369" s="215"/>
      <c r="Q369" s="215"/>
      <c r="R369" s="215"/>
      <c r="S369" s="215"/>
      <c r="T369" s="215"/>
      <c r="U369" s="215"/>
      <c r="V369" s="215"/>
      <c r="W369" s="215"/>
      <c r="X369" s="215"/>
      <c r="Y369" s="215"/>
      <c r="Z369" s="215"/>
      <c r="AA369" s="215"/>
      <c r="AB369" s="215"/>
      <c r="AC369" s="215"/>
      <c r="AD369" s="215"/>
      <c r="AE369" s="215"/>
      <c r="AF369" s="215"/>
      <c r="AG369" s="215"/>
      <c r="AH369" s="215"/>
      <c r="AI369" s="215"/>
      <c r="AJ369" s="215"/>
      <c r="AK369" s="215"/>
      <c r="AL369" s="215"/>
      <c r="AM369" s="215"/>
      <c r="AN369" s="215"/>
      <c r="AO369" s="215"/>
      <c r="AP369" s="215"/>
      <c r="AQ369" s="215"/>
      <c r="AR369" s="215"/>
      <c r="AS369" s="215"/>
      <c r="AT369" s="215"/>
      <c r="AU369" s="215"/>
      <c r="AV369" s="215"/>
      <c r="AW369" s="215"/>
      <c r="AX369" s="215"/>
      <c r="AY369" s="215"/>
    </row>
    <row r="370">
      <c r="A370" s="80"/>
      <c r="B370" s="80"/>
      <c r="C370" s="80"/>
      <c r="D370" s="80"/>
      <c r="E370" s="215"/>
      <c r="F370" s="215"/>
      <c r="G370" s="215"/>
      <c r="H370" s="215"/>
      <c r="I370" s="215"/>
      <c r="J370" s="215"/>
      <c r="K370" s="215"/>
      <c r="L370" s="215"/>
      <c r="M370" s="215"/>
      <c r="N370" s="215"/>
      <c r="O370" s="215"/>
      <c r="P370" s="215"/>
      <c r="Q370" s="215"/>
      <c r="R370" s="215"/>
      <c r="S370" s="215"/>
      <c r="T370" s="215"/>
      <c r="U370" s="215"/>
      <c r="V370" s="215"/>
      <c r="W370" s="215"/>
      <c r="X370" s="215"/>
      <c r="Y370" s="215"/>
      <c r="Z370" s="215"/>
      <c r="AA370" s="215"/>
      <c r="AB370" s="215"/>
      <c r="AC370" s="215"/>
      <c r="AD370" s="215"/>
      <c r="AE370" s="215"/>
      <c r="AF370" s="215"/>
      <c r="AG370" s="215"/>
      <c r="AH370" s="215"/>
      <c r="AI370" s="215"/>
      <c r="AJ370" s="215"/>
      <c r="AK370" s="215"/>
      <c r="AL370" s="215"/>
      <c r="AM370" s="215"/>
      <c r="AN370" s="215"/>
      <c r="AO370" s="215"/>
      <c r="AP370" s="215"/>
      <c r="AQ370" s="215"/>
      <c r="AR370" s="215"/>
      <c r="AS370" s="215"/>
      <c r="AT370" s="215"/>
      <c r="AU370" s="215"/>
      <c r="AV370" s="215"/>
      <c r="AW370" s="215"/>
      <c r="AX370" s="215"/>
      <c r="AY370" s="215"/>
    </row>
    <row r="371">
      <c r="A371" s="80"/>
      <c r="B371" s="80"/>
      <c r="C371" s="80"/>
      <c r="D371" s="80"/>
      <c r="E371" s="215"/>
      <c r="F371" s="215"/>
      <c r="G371" s="215"/>
      <c r="H371" s="215"/>
      <c r="I371" s="215"/>
      <c r="J371" s="215"/>
      <c r="K371" s="215"/>
      <c r="L371" s="215"/>
      <c r="M371" s="215"/>
      <c r="N371" s="215"/>
      <c r="O371" s="215"/>
      <c r="P371" s="215"/>
      <c r="Q371" s="215"/>
      <c r="R371" s="215"/>
      <c r="S371" s="215"/>
      <c r="T371" s="215"/>
      <c r="U371" s="215"/>
      <c r="V371" s="215"/>
      <c r="W371" s="215"/>
      <c r="X371" s="215"/>
      <c r="Y371" s="215"/>
      <c r="Z371" s="215"/>
      <c r="AA371" s="215"/>
      <c r="AB371" s="215"/>
      <c r="AC371" s="215"/>
      <c r="AD371" s="215"/>
      <c r="AE371" s="215"/>
      <c r="AF371" s="215"/>
      <c r="AG371" s="215"/>
      <c r="AH371" s="215"/>
      <c r="AI371" s="215"/>
      <c r="AJ371" s="215"/>
      <c r="AK371" s="215"/>
      <c r="AL371" s="215"/>
      <c r="AM371" s="215"/>
      <c r="AN371" s="215"/>
      <c r="AO371" s="215"/>
      <c r="AP371" s="215"/>
      <c r="AQ371" s="215"/>
      <c r="AR371" s="215"/>
      <c r="AS371" s="215"/>
      <c r="AT371" s="215"/>
      <c r="AU371" s="215"/>
      <c r="AV371" s="215"/>
      <c r="AW371" s="215"/>
      <c r="AX371" s="215"/>
      <c r="AY371" s="215"/>
    </row>
    <row r="372">
      <c r="A372" s="80"/>
      <c r="B372" s="80"/>
      <c r="C372" s="80"/>
      <c r="D372" s="80"/>
      <c r="E372" s="215"/>
      <c r="F372" s="215"/>
      <c r="G372" s="215"/>
      <c r="H372" s="215"/>
      <c r="I372" s="215"/>
      <c r="J372" s="215"/>
      <c r="K372" s="215"/>
      <c r="L372" s="215"/>
      <c r="M372" s="215"/>
      <c r="N372" s="215"/>
      <c r="O372" s="215"/>
      <c r="P372" s="215"/>
      <c r="Q372" s="215"/>
      <c r="R372" s="215"/>
      <c r="S372" s="215"/>
      <c r="T372" s="215"/>
      <c r="U372" s="215"/>
      <c r="V372" s="215"/>
      <c r="W372" s="215"/>
      <c r="X372" s="215"/>
      <c r="Y372" s="215"/>
      <c r="Z372" s="215"/>
      <c r="AA372" s="215"/>
      <c r="AB372" s="215"/>
      <c r="AC372" s="215"/>
      <c r="AD372" s="215"/>
      <c r="AE372" s="215"/>
      <c r="AF372" s="215"/>
      <c r="AG372" s="215"/>
      <c r="AH372" s="215"/>
      <c r="AI372" s="215"/>
      <c r="AJ372" s="215"/>
      <c r="AK372" s="215"/>
      <c r="AL372" s="215"/>
      <c r="AM372" s="215"/>
      <c r="AN372" s="215"/>
      <c r="AO372" s="215"/>
      <c r="AP372" s="215"/>
      <c r="AQ372" s="215"/>
      <c r="AR372" s="215"/>
      <c r="AS372" s="215"/>
      <c r="AT372" s="215"/>
      <c r="AU372" s="215"/>
      <c r="AV372" s="215"/>
      <c r="AW372" s="215"/>
      <c r="AX372" s="215"/>
      <c r="AY372" s="215"/>
    </row>
    <row r="373">
      <c r="A373" s="80"/>
      <c r="B373" s="80"/>
      <c r="C373" s="80"/>
      <c r="D373" s="80"/>
      <c r="E373" s="215"/>
      <c r="F373" s="215"/>
      <c r="G373" s="215"/>
      <c r="H373" s="215"/>
      <c r="I373" s="215"/>
      <c r="J373" s="215"/>
      <c r="K373" s="215"/>
      <c r="L373" s="215"/>
      <c r="M373" s="215"/>
      <c r="N373" s="215"/>
      <c r="O373" s="215"/>
      <c r="P373" s="215"/>
      <c r="Q373" s="215"/>
      <c r="R373" s="215"/>
      <c r="S373" s="215"/>
      <c r="T373" s="215"/>
      <c r="U373" s="215"/>
      <c r="V373" s="215"/>
      <c r="W373" s="215"/>
      <c r="X373" s="215"/>
      <c r="Y373" s="215"/>
      <c r="Z373" s="215"/>
      <c r="AA373" s="215"/>
      <c r="AB373" s="215"/>
      <c r="AC373" s="215"/>
      <c r="AD373" s="215"/>
      <c r="AE373" s="215"/>
      <c r="AF373" s="215"/>
      <c r="AG373" s="215"/>
      <c r="AH373" s="215"/>
      <c r="AI373" s="215"/>
      <c r="AJ373" s="215"/>
      <c r="AK373" s="215"/>
      <c r="AL373" s="215"/>
      <c r="AM373" s="215"/>
      <c r="AN373" s="215"/>
      <c r="AO373" s="215"/>
      <c r="AP373" s="215"/>
      <c r="AQ373" s="215"/>
      <c r="AR373" s="215"/>
      <c r="AS373" s="215"/>
      <c r="AT373" s="215"/>
      <c r="AU373" s="215"/>
      <c r="AV373" s="215"/>
      <c r="AW373" s="215"/>
      <c r="AX373" s="215"/>
      <c r="AY373" s="215"/>
    </row>
    <row r="374">
      <c r="A374" s="80"/>
      <c r="B374" s="80"/>
      <c r="C374" s="80"/>
      <c r="D374" s="80"/>
      <c r="E374" s="215"/>
      <c r="F374" s="215"/>
      <c r="G374" s="215"/>
      <c r="H374" s="215"/>
      <c r="I374" s="215"/>
      <c r="J374" s="215"/>
      <c r="K374" s="215"/>
      <c r="L374" s="215"/>
      <c r="M374" s="215"/>
      <c r="N374" s="215"/>
      <c r="O374" s="215"/>
      <c r="P374" s="215"/>
      <c r="Q374" s="215"/>
      <c r="R374" s="215"/>
      <c r="S374" s="215"/>
      <c r="T374" s="215"/>
      <c r="U374" s="215"/>
      <c r="V374" s="215"/>
      <c r="W374" s="215"/>
      <c r="X374" s="215"/>
      <c r="Y374" s="215"/>
      <c r="Z374" s="215"/>
      <c r="AA374" s="215"/>
      <c r="AB374" s="215"/>
      <c r="AC374" s="215"/>
      <c r="AD374" s="215"/>
      <c r="AE374" s="215"/>
      <c r="AF374" s="215"/>
      <c r="AG374" s="215"/>
      <c r="AH374" s="215"/>
      <c r="AI374" s="215"/>
      <c r="AJ374" s="215"/>
      <c r="AK374" s="215"/>
      <c r="AL374" s="215"/>
      <c r="AM374" s="215"/>
      <c r="AN374" s="215"/>
      <c r="AO374" s="215"/>
      <c r="AP374" s="215"/>
      <c r="AQ374" s="215"/>
      <c r="AR374" s="215"/>
      <c r="AS374" s="215"/>
      <c r="AT374" s="215"/>
      <c r="AU374" s="215"/>
      <c r="AV374" s="215"/>
      <c r="AW374" s="215"/>
      <c r="AX374" s="215"/>
      <c r="AY374" s="215"/>
    </row>
    <row r="375">
      <c r="A375" s="80"/>
      <c r="B375" s="80"/>
      <c r="C375" s="80"/>
      <c r="D375" s="80"/>
      <c r="E375" s="215"/>
      <c r="F375" s="215"/>
      <c r="G375" s="215"/>
      <c r="H375" s="215"/>
      <c r="I375" s="215"/>
      <c r="J375" s="215"/>
      <c r="K375" s="215"/>
      <c r="L375" s="215"/>
      <c r="M375" s="215"/>
      <c r="N375" s="215"/>
      <c r="O375" s="215"/>
      <c r="P375" s="215"/>
      <c r="Q375" s="215"/>
      <c r="R375" s="215"/>
      <c r="S375" s="215"/>
      <c r="T375" s="215"/>
      <c r="U375" s="215"/>
      <c r="V375" s="215"/>
      <c r="W375" s="215"/>
      <c r="X375" s="215"/>
      <c r="Y375" s="215"/>
      <c r="Z375" s="215"/>
      <c r="AA375" s="215"/>
      <c r="AB375" s="215"/>
      <c r="AC375" s="215"/>
      <c r="AD375" s="215"/>
      <c r="AE375" s="215"/>
      <c r="AF375" s="215"/>
      <c r="AG375" s="215"/>
      <c r="AH375" s="215"/>
      <c r="AI375" s="215"/>
      <c r="AJ375" s="215"/>
      <c r="AK375" s="215"/>
      <c r="AL375" s="215"/>
      <c r="AM375" s="215"/>
      <c r="AN375" s="215"/>
      <c r="AO375" s="215"/>
      <c r="AP375" s="215"/>
      <c r="AQ375" s="215"/>
      <c r="AR375" s="215"/>
      <c r="AS375" s="215"/>
      <c r="AT375" s="215"/>
      <c r="AU375" s="215"/>
      <c r="AV375" s="215"/>
      <c r="AW375" s="215"/>
      <c r="AX375" s="215"/>
      <c r="AY375" s="215"/>
    </row>
    <row r="376">
      <c r="A376" s="80"/>
      <c r="B376" s="80"/>
      <c r="C376" s="80"/>
      <c r="D376" s="80"/>
      <c r="E376" s="215"/>
      <c r="F376" s="215"/>
      <c r="G376" s="215"/>
      <c r="H376" s="215"/>
      <c r="I376" s="215"/>
      <c r="J376" s="215"/>
      <c r="K376" s="215"/>
      <c r="L376" s="215"/>
      <c r="M376" s="215"/>
      <c r="N376" s="215"/>
      <c r="O376" s="215"/>
      <c r="P376" s="215"/>
      <c r="Q376" s="215"/>
      <c r="R376" s="215"/>
      <c r="S376" s="215"/>
      <c r="T376" s="215"/>
      <c r="U376" s="215"/>
      <c r="V376" s="215"/>
      <c r="W376" s="215"/>
      <c r="X376" s="215"/>
      <c r="Y376" s="215"/>
      <c r="Z376" s="215"/>
      <c r="AA376" s="215"/>
      <c r="AB376" s="215"/>
      <c r="AC376" s="215"/>
      <c r="AD376" s="215"/>
      <c r="AE376" s="215"/>
      <c r="AF376" s="215"/>
      <c r="AG376" s="215"/>
      <c r="AH376" s="215"/>
      <c r="AI376" s="215"/>
      <c r="AJ376" s="215"/>
      <c r="AK376" s="215"/>
      <c r="AL376" s="215"/>
      <c r="AM376" s="215"/>
      <c r="AN376" s="215"/>
      <c r="AO376" s="215"/>
      <c r="AP376" s="215"/>
      <c r="AQ376" s="215"/>
      <c r="AR376" s="215"/>
      <c r="AS376" s="215"/>
      <c r="AT376" s="215"/>
      <c r="AU376" s="215"/>
      <c r="AV376" s="215"/>
      <c r="AW376" s="215"/>
      <c r="AX376" s="215"/>
      <c r="AY376" s="215"/>
    </row>
    <row r="377">
      <c r="A377" s="80"/>
      <c r="B377" s="80"/>
      <c r="C377" s="80"/>
      <c r="D377" s="80"/>
      <c r="E377" s="215"/>
      <c r="F377" s="215"/>
      <c r="G377" s="215"/>
      <c r="H377" s="215"/>
      <c r="I377" s="215"/>
      <c r="J377" s="215"/>
      <c r="K377" s="215"/>
      <c r="L377" s="215"/>
      <c r="M377" s="215"/>
      <c r="N377" s="215"/>
      <c r="O377" s="215"/>
      <c r="P377" s="215"/>
      <c r="Q377" s="215"/>
      <c r="R377" s="215"/>
      <c r="S377" s="215"/>
      <c r="T377" s="215"/>
      <c r="U377" s="215"/>
      <c r="V377" s="215"/>
      <c r="W377" s="215"/>
      <c r="X377" s="215"/>
      <c r="Y377" s="215"/>
      <c r="Z377" s="215"/>
      <c r="AA377" s="215"/>
      <c r="AB377" s="215"/>
      <c r="AC377" s="215"/>
      <c r="AD377" s="215"/>
      <c r="AE377" s="215"/>
      <c r="AF377" s="215"/>
      <c r="AG377" s="215"/>
      <c r="AH377" s="215"/>
      <c r="AI377" s="215"/>
      <c r="AJ377" s="215"/>
      <c r="AK377" s="215"/>
      <c r="AL377" s="215"/>
      <c r="AM377" s="215"/>
      <c r="AN377" s="215"/>
      <c r="AO377" s="215"/>
      <c r="AP377" s="215"/>
      <c r="AQ377" s="215"/>
      <c r="AR377" s="215"/>
      <c r="AS377" s="215"/>
      <c r="AT377" s="215"/>
      <c r="AU377" s="215"/>
      <c r="AV377" s="215"/>
      <c r="AW377" s="215"/>
      <c r="AX377" s="215"/>
      <c r="AY377" s="215"/>
    </row>
    <row r="378">
      <c r="A378" s="80"/>
      <c r="B378" s="80"/>
      <c r="C378" s="80"/>
      <c r="D378" s="80"/>
      <c r="E378" s="215"/>
      <c r="F378" s="215"/>
      <c r="G378" s="215"/>
      <c r="H378" s="215"/>
      <c r="I378" s="215"/>
      <c r="J378" s="215"/>
      <c r="K378" s="215"/>
      <c r="L378" s="215"/>
      <c r="M378" s="215"/>
      <c r="N378" s="215"/>
      <c r="O378" s="215"/>
      <c r="P378" s="215"/>
      <c r="Q378" s="215"/>
      <c r="R378" s="215"/>
      <c r="S378" s="215"/>
      <c r="T378" s="215"/>
      <c r="U378" s="215"/>
      <c r="V378" s="215"/>
      <c r="W378" s="215"/>
      <c r="X378" s="215"/>
      <c r="Y378" s="215"/>
      <c r="Z378" s="215"/>
      <c r="AA378" s="215"/>
      <c r="AB378" s="215"/>
      <c r="AC378" s="215"/>
      <c r="AD378" s="215"/>
      <c r="AE378" s="215"/>
      <c r="AF378" s="215"/>
      <c r="AG378" s="215"/>
      <c r="AH378" s="215"/>
      <c r="AI378" s="215"/>
      <c r="AJ378" s="215"/>
      <c r="AK378" s="215"/>
      <c r="AL378" s="215"/>
      <c r="AM378" s="215"/>
      <c r="AN378" s="215"/>
      <c r="AO378" s="215"/>
      <c r="AP378" s="215"/>
      <c r="AQ378" s="215"/>
      <c r="AR378" s="215"/>
      <c r="AS378" s="215"/>
      <c r="AT378" s="215"/>
      <c r="AU378" s="215"/>
      <c r="AV378" s="215"/>
      <c r="AW378" s="215"/>
      <c r="AX378" s="215"/>
      <c r="AY378" s="215"/>
    </row>
    <row r="379">
      <c r="A379" s="80"/>
      <c r="B379" s="80"/>
      <c r="C379" s="80"/>
      <c r="D379" s="80"/>
      <c r="E379" s="215"/>
      <c r="F379" s="215"/>
      <c r="G379" s="215"/>
      <c r="H379" s="215"/>
      <c r="I379" s="215"/>
      <c r="J379" s="215"/>
      <c r="K379" s="215"/>
      <c r="L379" s="215"/>
      <c r="M379" s="215"/>
      <c r="N379" s="215"/>
      <c r="O379" s="215"/>
      <c r="P379" s="215"/>
      <c r="Q379" s="215"/>
      <c r="R379" s="215"/>
      <c r="S379" s="215"/>
      <c r="T379" s="215"/>
      <c r="U379" s="215"/>
      <c r="V379" s="215"/>
      <c r="W379" s="215"/>
      <c r="X379" s="215"/>
      <c r="Y379" s="215"/>
      <c r="Z379" s="215"/>
      <c r="AA379" s="215"/>
      <c r="AB379" s="215"/>
      <c r="AC379" s="215"/>
      <c r="AD379" s="215"/>
      <c r="AE379" s="215"/>
      <c r="AF379" s="215"/>
      <c r="AG379" s="215"/>
      <c r="AH379" s="215"/>
      <c r="AI379" s="215"/>
      <c r="AJ379" s="215"/>
      <c r="AK379" s="215"/>
      <c r="AL379" s="215"/>
      <c r="AM379" s="215"/>
      <c r="AN379" s="215"/>
      <c r="AO379" s="215"/>
      <c r="AP379" s="215"/>
      <c r="AQ379" s="215"/>
      <c r="AR379" s="215"/>
      <c r="AS379" s="215"/>
      <c r="AT379" s="215"/>
      <c r="AU379" s="215"/>
      <c r="AV379" s="215"/>
      <c r="AW379" s="215"/>
      <c r="AX379" s="215"/>
      <c r="AY379" s="215"/>
    </row>
    <row r="380">
      <c r="A380" s="80"/>
      <c r="B380" s="80"/>
      <c r="C380" s="80"/>
      <c r="D380" s="80"/>
      <c r="E380" s="215"/>
      <c r="F380" s="215"/>
      <c r="G380" s="215"/>
      <c r="H380" s="215"/>
      <c r="I380" s="215"/>
      <c r="J380" s="215"/>
      <c r="K380" s="215"/>
      <c r="L380" s="215"/>
      <c r="M380" s="215"/>
      <c r="N380" s="215"/>
      <c r="O380" s="215"/>
      <c r="P380" s="215"/>
      <c r="Q380" s="215"/>
      <c r="R380" s="215"/>
      <c r="S380" s="215"/>
      <c r="T380" s="215"/>
      <c r="U380" s="215"/>
      <c r="V380" s="215"/>
      <c r="W380" s="215"/>
      <c r="X380" s="215"/>
      <c r="Y380" s="215"/>
      <c r="Z380" s="215"/>
      <c r="AA380" s="215"/>
      <c r="AB380" s="215"/>
      <c r="AC380" s="215"/>
      <c r="AD380" s="215"/>
      <c r="AE380" s="215"/>
      <c r="AF380" s="215"/>
      <c r="AG380" s="215"/>
      <c r="AH380" s="215"/>
      <c r="AI380" s="215"/>
      <c r="AJ380" s="215"/>
      <c r="AK380" s="215"/>
      <c r="AL380" s="215"/>
      <c r="AM380" s="215"/>
      <c r="AN380" s="215"/>
      <c r="AO380" s="215"/>
      <c r="AP380" s="215"/>
      <c r="AQ380" s="215"/>
      <c r="AR380" s="215"/>
      <c r="AS380" s="215"/>
      <c r="AT380" s="215"/>
      <c r="AU380" s="215"/>
      <c r="AV380" s="215"/>
      <c r="AW380" s="215"/>
      <c r="AX380" s="215"/>
      <c r="AY380" s="215"/>
    </row>
    <row r="381">
      <c r="A381" s="80"/>
      <c r="B381" s="80"/>
      <c r="C381" s="80"/>
      <c r="D381" s="80"/>
      <c r="E381" s="215"/>
      <c r="F381" s="215"/>
      <c r="G381" s="215"/>
      <c r="H381" s="215"/>
      <c r="I381" s="215"/>
      <c r="J381" s="215"/>
      <c r="K381" s="215"/>
      <c r="L381" s="215"/>
      <c r="M381" s="215"/>
      <c r="N381" s="215"/>
      <c r="O381" s="215"/>
      <c r="P381" s="215"/>
      <c r="Q381" s="215"/>
      <c r="R381" s="215"/>
      <c r="S381" s="215"/>
      <c r="T381" s="215"/>
      <c r="U381" s="215"/>
      <c r="V381" s="215"/>
      <c r="W381" s="215"/>
      <c r="X381" s="215"/>
      <c r="Y381" s="215"/>
      <c r="Z381" s="215"/>
      <c r="AA381" s="215"/>
      <c r="AB381" s="215"/>
      <c r="AC381" s="215"/>
      <c r="AD381" s="215"/>
      <c r="AE381" s="215"/>
      <c r="AF381" s="215"/>
      <c r="AG381" s="215"/>
      <c r="AH381" s="215"/>
      <c r="AI381" s="215"/>
      <c r="AJ381" s="215"/>
      <c r="AK381" s="215"/>
      <c r="AL381" s="215"/>
      <c r="AM381" s="215"/>
      <c r="AN381" s="215"/>
      <c r="AO381" s="215"/>
      <c r="AP381" s="215"/>
      <c r="AQ381" s="215"/>
      <c r="AR381" s="215"/>
      <c r="AS381" s="215"/>
      <c r="AT381" s="215"/>
      <c r="AU381" s="215"/>
      <c r="AV381" s="215"/>
      <c r="AW381" s="215"/>
      <c r="AX381" s="215"/>
      <c r="AY381" s="215"/>
    </row>
    <row r="382">
      <c r="A382" s="80"/>
      <c r="B382" s="80"/>
      <c r="C382" s="80"/>
      <c r="D382" s="80"/>
      <c r="E382" s="215"/>
      <c r="F382" s="215"/>
      <c r="G382" s="215"/>
      <c r="H382" s="215"/>
      <c r="I382" s="215"/>
      <c r="J382" s="215"/>
      <c r="K382" s="215"/>
      <c r="L382" s="215"/>
      <c r="M382" s="215"/>
      <c r="N382" s="215"/>
      <c r="O382" s="215"/>
      <c r="P382" s="215"/>
      <c r="Q382" s="215"/>
      <c r="R382" s="215"/>
      <c r="S382" s="215"/>
      <c r="T382" s="215"/>
      <c r="U382" s="215"/>
      <c r="V382" s="215"/>
      <c r="W382" s="215"/>
      <c r="X382" s="215"/>
      <c r="Y382" s="215"/>
      <c r="Z382" s="215"/>
      <c r="AA382" s="215"/>
      <c r="AB382" s="215"/>
      <c r="AC382" s="215"/>
      <c r="AD382" s="215"/>
      <c r="AE382" s="215"/>
      <c r="AF382" s="215"/>
      <c r="AG382" s="215"/>
      <c r="AH382" s="215"/>
      <c r="AI382" s="215"/>
      <c r="AJ382" s="215"/>
      <c r="AK382" s="215"/>
      <c r="AL382" s="215"/>
      <c r="AM382" s="215"/>
      <c r="AN382" s="215"/>
      <c r="AO382" s="215"/>
      <c r="AP382" s="215"/>
      <c r="AQ382" s="215"/>
      <c r="AR382" s="215"/>
      <c r="AS382" s="215"/>
      <c r="AT382" s="215"/>
      <c r="AU382" s="215"/>
      <c r="AV382" s="215"/>
      <c r="AW382" s="215"/>
      <c r="AX382" s="215"/>
      <c r="AY382" s="215"/>
    </row>
    <row r="383">
      <c r="A383" s="80"/>
      <c r="B383" s="80"/>
      <c r="C383" s="80"/>
      <c r="D383" s="80"/>
      <c r="E383" s="215"/>
      <c r="F383" s="215"/>
      <c r="G383" s="215"/>
      <c r="H383" s="215"/>
      <c r="I383" s="215"/>
      <c r="J383" s="215"/>
      <c r="K383" s="215"/>
      <c r="L383" s="215"/>
      <c r="M383" s="215"/>
      <c r="N383" s="215"/>
      <c r="O383" s="215"/>
      <c r="P383" s="215"/>
      <c r="Q383" s="215"/>
      <c r="R383" s="215"/>
      <c r="S383" s="215"/>
      <c r="T383" s="215"/>
      <c r="U383" s="215"/>
      <c r="V383" s="215"/>
      <c r="W383" s="215"/>
      <c r="X383" s="215"/>
      <c r="Y383" s="215"/>
      <c r="Z383" s="215"/>
      <c r="AA383" s="215"/>
      <c r="AB383" s="215"/>
      <c r="AC383" s="215"/>
      <c r="AD383" s="215"/>
      <c r="AE383" s="215"/>
      <c r="AF383" s="215"/>
      <c r="AG383" s="215"/>
      <c r="AH383" s="215"/>
      <c r="AI383" s="215"/>
      <c r="AJ383" s="215"/>
      <c r="AK383" s="215"/>
      <c r="AL383" s="215"/>
      <c r="AM383" s="215"/>
      <c r="AN383" s="215"/>
      <c r="AO383" s="215"/>
      <c r="AP383" s="215"/>
      <c r="AQ383" s="215"/>
      <c r="AR383" s="215"/>
      <c r="AS383" s="215"/>
      <c r="AT383" s="215"/>
      <c r="AU383" s="215"/>
      <c r="AV383" s="215"/>
      <c r="AW383" s="215"/>
      <c r="AX383" s="215"/>
      <c r="AY383" s="215"/>
    </row>
    <row r="384">
      <c r="A384" s="80"/>
      <c r="B384" s="80"/>
      <c r="C384" s="80"/>
      <c r="D384" s="80"/>
      <c r="E384" s="215"/>
      <c r="F384" s="215"/>
      <c r="G384" s="215"/>
      <c r="H384" s="215"/>
      <c r="I384" s="215"/>
      <c r="J384" s="215"/>
      <c r="K384" s="215"/>
      <c r="L384" s="215"/>
      <c r="M384" s="215"/>
      <c r="N384" s="215"/>
      <c r="O384" s="215"/>
      <c r="P384" s="215"/>
      <c r="Q384" s="215"/>
      <c r="R384" s="215"/>
      <c r="S384" s="215"/>
      <c r="T384" s="215"/>
      <c r="U384" s="215"/>
      <c r="V384" s="215"/>
      <c r="W384" s="215"/>
      <c r="X384" s="215"/>
      <c r="Y384" s="215"/>
      <c r="Z384" s="215"/>
      <c r="AA384" s="215"/>
      <c r="AB384" s="215"/>
      <c r="AC384" s="215"/>
      <c r="AD384" s="215"/>
      <c r="AE384" s="215"/>
      <c r="AF384" s="215"/>
      <c r="AG384" s="215"/>
      <c r="AH384" s="215"/>
      <c r="AI384" s="215"/>
      <c r="AJ384" s="215"/>
      <c r="AK384" s="215"/>
      <c r="AL384" s="215"/>
      <c r="AM384" s="215"/>
      <c r="AN384" s="215"/>
      <c r="AO384" s="215"/>
      <c r="AP384" s="215"/>
      <c r="AQ384" s="215"/>
      <c r="AR384" s="215"/>
      <c r="AS384" s="215"/>
      <c r="AT384" s="215"/>
      <c r="AU384" s="215"/>
      <c r="AV384" s="215"/>
      <c r="AW384" s="215"/>
      <c r="AX384" s="215"/>
      <c r="AY384" s="215"/>
    </row>
    <row r="385">
      <c r="A385" s="80"/>
      <c r="B385" s="80"/>
      <c r="C385" s="80"/>
      <c r="D385" s="80"/>
      <c r="E385" s="215"/>
      <c r="F385" s="215"/>
      <c r="G385" s="215"/>
      <c r="H385" s="215"/>
      <c r="I385" s="215"/>
      <c r="J385" s="215"/>
      <c r="K385" s="215"/>
      <c r="L385" s="215"/>
      <c r="M385" s="215"/>
      <c r="N385" s="215"/>
      <c r="O385" s="215"/>
      <c r="P385" s="215"/>
      <c r="Q385" s="215"/>
      <c r="R385" s="215"/>
      <c r="S385" s="215"/>
      <c r="T385" s="215"/>
      <c r="U385" s="215"/>
      <c r="V385" s="215"/>
      <c r="W385" s="215"/>
      <c r="X385" s="215"/>
      <c r="Y385" s="215"/>
      <c r="Z385" s="215"/>
      <c r="AA385" s="215"/>
      <c r="AB385" s="215"/>
      <c r="AC385" s="215"/>
      <c r="AD385" s="215"/>
      <c r="AE385" s="215"/>
      <c r="AF385" s="215"/>
      <c r="AG385" s="215"/>
      <c r="AH385" s="215"/>
      <c r="AI385" s="215"/>
      <c r="AJ385" s="215"/>
      <c r="AK385" s="215"/>
      <c r="AL385" s="215"/>
      <c r="AM385" s="215"/>
      <c r="AN385" s="215"/>
      <c r="AO385" s="215"/>
      <c r="AP385" s="215"/>
      <c r="AQ385" s="215"/>
      <c r="AR385" s="215"/>
      <c r="AS385" s="215"/>
      <c r="AT385" s="215"/>
      <c r="AU385" s="215"/>
      <c r="AV385" s="215"/>
      <c r="AW385" s="215"/>
      <c r="AX385" s="215"/>
      <c r="AY385" s="215"/>
    </row>
    <row r="386">
      <c r="A386" s="80"/>
      <c r="B386" s="80"/>
      <c r="C386" s="80"/>
      <c r="D386" s="80"/>
      <c r="E386" s="215"/>
      <c r="F386" s="215"/>
      <c r="G386" s="215"/>
      <c r="H386" s="215"/>
      <c r="I386" s="215"/>
      <c r="J386" s="215"/>
      <c r="K386" s="215"/>
      <c r="L386" s="215"/>
      <c r="M386" s="215"/>
      <c r="N386" s="215"/>
      <c r="O386" s="215"/>
      <c r="P386" s="215"/>
      <c r="Q386" s="215"/>
      <c r="R386" s="215"/>
      <c r="S386" s="215"/>
      <c r="T386" s="215"/>
      <c r="U386" s="215"/>
      <c r="V386" s="215"/>
      <c r="W386" s="215"/>
      <c r="X386" s="215"/>
      <c r="Y386" s="215"/>
      <c r="Z386" s="215"/>
      <c r="AA386" s="215"/>
      <c r="AB386" s="215"/>
      <c r="AC386" s="215"/>
      <c r="AD386" s="215"/>
      <c r="AE386" s="215"/>
      <c r="AF386" s="215"/>
      <c r="AG386" s="215"/>
      <c r="AH386" s="215"/>
      <c r="AI386" s="215"/>
      <c r="AJ386" s="215"/>
      <c r="AK386" s="215"/>
      <c r="AL386" s="215"/>
      <c r="AM386" s="215"/>
      <c r="AN386" s="215"/>
      <c r="AO386" s="215"/>
      <c r="AP386" s="215"/>
      <c r="AQ386" s="215"/>
      <c r="AR386" s="215"/>
      <c r="AS386" s="215"/>
      <c r="AT386" s="215"/>
      <c r="AU386" s="215"/>
      <c r="AV386" s="215"/>
      <c r="AW386" s="215"/>
      <c r="AX386" s="215"/>
      <c r="AY386" s="215"/>
    </row>
    <row r="387">
      <c r="A387" s="80"/>
      <c r="B387" s="80"/>
      <c r="C387" s="80"/>
      <c r="D387" s="80"/>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15"/>
      <c r="AH387" s="215"/>
      <c r="AI387" s="215"/>
      <c r="AJ387" s="215"/>
      <c r="AK387" s="215"/>
      <c r="AL387" s="215"/>
      <c r="AM387" s="215"/>
      <c r="AN387" s="215"/>
      <c r="AO387" s="215"/>
      <c r="AP387" s="215"/>
      <c r="AQ387" s="215"/>
      <c r="AR387" s="215"/>
      <c r="AS387" s="215"/>
      <c r="AT387" s="215"/>
      <c r="AU387" s="215"/>
      <c r="AV387" s="215"/>
      <c r="AW387" s="215"/>
      <c r="AX387" s="215"/>
      <c r="AY387" s="215"/>
    </row>
    <row r="388">
      <c r="A388" s="80"/>
      <c r="B388" s="80"/>
      <c r="C388" s="80"/>
      <c r="D388" s="80"/>
      <c r="E388" s="215"/>
      <c r="F388" s="215"/>
      <c r="G388" s="215"/>
      <c r="H388" s="215"/>
      <c r="I388" s="215"/>
      <c r="J388" s="215"/>
      <c r="K388" s="215"/>
      <c r="L388" s="215"/>
      <c r="M388" s="215"/>
      <c r="N388" s="215"/>
      <c r="O388" s="215"/>
      <c r="P388" s="215"/>
      <c r="Q388" s="215"/>
      <c r="R388" s="215"/>
      <c r="S388" s="215"/>
      <c r="T388" s="215"/>
      <c r="U388" s="215"/>
      <c r="V388" s="215"/>
      <c r="W388" s="215"/>
      <c r="X388" s="215"/>
      <c r="Y388" s="215"/>
      <c r="Z388" s="215"/>
      <c r="AA388" s="215"/>
      <c r="AB388" s="215"/>
      <c r="AC388" s="215"/>
      <c r="AD388" s="215"/>
      <c r="AE388" s="215"/>
      <c r="AF388" s="215"/>
      <c r="AG388" s="215"/>
      <c r="AH388" s="215"/>
      <c r="AI388" s="215"/>
      <c r="AJ388" s="215"/>
      <c r="AK388" s="215"/>
      <c r="AL388" s="215"/>
      <c r="AM388" s="215"/>
      <c r="AN388" s="215"/>
      <c r="AO388" s="215"/>
      <c r="AP388" s="215"/>
      <c r="AQ388" s="215"/>
      <c r="AR388" s="215"/>
      <c r="AS388" s="215"/>
      <c r="AT388" s="215"/>
      <c r="AU388" s="215"/>
      <c r="AV388" s="215"/>
      <c r="AW388" s="215"/>
      <c r="AX388" s="215"/>
      <c r="AY388" s="215"/>
    </row>
    <row r="389">
      <c r="A389" s="80"/>
      <c r="B389" s="80"/>
      <c r="C389" s="80"/>
      <c r="D389" s="80"/>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15"/>
      <c r="AH389" s="215"/>
      <c r="AI389" s="215"/>
      <c r="AJ389" s="215"/>
      <c r="AK389" s="215"/>
      <c r="AL389" s="215"/>
      <c r="AM389" s="215"/>
      <c r="AN389" s="215"/>
      <c r="AO389" s="215"/>
      <c r="AP389" s="215"/>
      <c r="AQ389" s="215"/>
      <c r="AR389" s="215"/>
      <c r="AS389" s="215"/>
      <c r="AT389" s="215"/>
      <c r="AU389" s="215"/>
      <c r="AV389" s="215"/>
      <c r="AW389" s="215"/>
      <c r="AX389" s="215"/>
      <c r="AY389" s="215"/>
    </row>
    <row r="390">
      <c r="A390" s="80"/>
      <c r="B390" s="80"/>
      <c r="C390" s="80"/>
      <c r="D390" s="80"/>
      <c r="E390" s="215"/>
      <c r="F390" s="215"/>
      <c r="G390" s="215"/>
      <c r="H390" s="215"/>
      <c r="I390" s="215"/>
      <c r="J390" s="215"/>
      <c r="K390" s="215"/>
      <c r="L390" s="215"/>
      <c r="M390" s="215"/>
      <c r="N390" s="215"/>
      <c r="O390" s="215"/>
      <c r="P390" s="215"/>
      <c r="Q390" s="215"/>
      <c r="R390" s="215"/>
      <c r="S390" s="215"/>
      <c r="T390" s="215"/>
      <c r="U390" s="215"/>
      <c r="V390" s="215"/>
      <c r="W390" s="215"/>
      <c r="X390" s="215"/>
      <c r="Y390" s="215"/>
      <c r="Z390" s="215"/>
      <c r="AA390" s="215"/>
      <c r="AB390" s="215"/>
      <c r="AC390" s="215"/>
      <c r="AD390" s="215"/>
      <c r="AE390" s="215"/>
      <c r="AF390" s="215"/>
      <c r="AG390" s="215"/>
      <c r="AH390" s="215"/>
      <c r="AI390" s="215"/>
      <c r="AJ390" s="215"/>
      <c r="AK390" s="215"/>
      <c r="AL390" s="215"/>
      <c r="AM390" s="215"/>
      <c r="AN390" s="215"/>
      <c r="AO390" s="215"/>
      <c r="AP390" s="215"/>
      <c r="AQ390" s="215"/>
      <c r="AR390" s="215"/>
      <c r="AS390" s="215"/>
      <c r="AT390" s="215"/>
      <c r="AU390" s="215"/>
      <c r="AV390" s="215"/>
      <c r="AW390" s="215"/>
      <c r="AX390" s="215"/>
      <c r="AY390" s="215"/>
    </row>
    <row r="391">
      <c r="A391" s="80"/>
      <c r="B391" s="80"/>
      <c r="C391" s="80"/>
      <c r="D391" s="80"/>
      <c r="E391" s="215"/>
      <c r="F391" s="215"/>
      <c r="G391" s="215"/>
      <c r="H391" s="215"/>
      <c r="I391" s="215"/>
      <c r="J391" s="215"/>
      <c r="K391" s="215"/>
      <c r="L391" s="215"/>
      <c r="M391" s="215"/>
      <c r="N391" s="215"/>
      <c r="O391" s="215"/>
      <c r="P391" s="215"/>
      <c r="Q391" s="215"/>
      <c r="R391" s="215"/>
      <c r="S391" s="215"/>
      <c r="T391" s="215"/>
      <c r="U391" s="215"/>
      <c r="V391" s="215"/>
      <c r="W391" s="215"/>
      <c r="X391" s="215"/>
      <c r="Y391" s="215"/>
      <c r="Z391" s="215"/>
      <c r="AA391" s="215"/>
      <c r="AB391" s="215"/>
      <c r="AC391" s="215"/>
      <c r="AD391" s="215"/>
      <c r="AE391" s="215"/>
      <c r="AF391" s="215"/>
      <c r="AG391" s="215"/>
      <c r="AH391" s="215"/>
      <c r="AI391" s="215"/>
      <c r="AJ391" s="215"/>
      <c r="AK391" s="215"/>
      <c r="AL391" s="215"/>
      <c r="AM391" s="215"/>
      <c r="AN391" s="215"/>
      <c r="AO391" s="215"/>
      <c r="AP391" s="215"/>
      <c r="AQ391" s="215"/>
      <c r="AR391" s="215"/>
      <c r="AS391" s="215"/>
      <c r="AT391" s="215"/>
      <c r="AU391" s="215"/>
      <c r="AV391" s="215"/>
      <c r="AW391" s="215"/>
      <c r="AX391" s="215"/>
      <c r="AY391" s="215"/>
    </row>
    <row r="392">
      <c r="A392" s="80"/>
      <c r="B392" s="80"/>
      <c r="C392" s="80"/>
      <c r="D392" s="80"/>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15"/>
      <c r="AH392" s="215"/>
      <c r="AI392" s="215"/>
      <c r="AJ392" s="215"/>
      <c r="AK392" s="215"/>
      <c r="AL392" s="215"/>
      <c r="AM392" s="215"/>
      <c r="AN392" s="215"/>
      <c r="AO392" s="215"/>
      <c r="AP392" s="215"/>
      <c r="AQ392" s="215"/>
      <c r="AR392" s="215"/>
      <c r="AS392" s="215"/>
      <c r="AT392" s="215"/>
      <c r="AU392" s="215"/>
      <c r="AV392" s="215"/>
      <c r="AW392" s="215"/>
      <c r="AX392" s="215"/>
      <c r="AY392" s="215"/>
    </row>
    <row r="393">
      <c r="A393" s="80"/>
      <c r="B393" s="80"/>
      <c r="C393" s="80"/>
      <c r="D393" s="80"/>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15"/>
      <c r="AH393" s="215"/>
      <c r="AI393" s="215"/>
      <c r="AJ393" s="215"/>
      <c r="AK393" s="215"/>
      <c r="AL393" s="215"/>
      <c r="AM393" s="215"/>
      <c r="AN393" s="215"/>
      <c r="AO393" s="215"/>
      <c r="AP393" s="215"/>
      <c r="AQ393" s="215"/>
      <c r="AR393" s="215"/>
      <c r="AS393" s="215"/>
      <c r="AT393" s="215"/>
      <c r="AU393" s="215"/>
      <c r="AV393" s="215"/>
      <c r="AW393" s="215"/>
      <c r="AX393" s="215"/>
      <c r="AY393" s="215"/>
    </row>
    <row r="394">
      <c r="A394" s="80"/>
      <c r="B394" s="80"/>
      <c r="C394" s="80"/>
      <c r="D394" s="80"/>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15"/>
      <c r="AH394" s="215"/>
      <c r="AI394" s="215"/>
      <c r="AJ394" s="215"/>
      <c r="AK394" s="215"/>
      <c r="AL394" s="215"/>
      <c r="AM394" s="215"/>
      <c r="AN394" s="215"/>
      <c r="AO394" s="215"/>
      <c r="AP394" s="215"/>
      <c r="AQ394" s="215"/>
      <c r="AR394" s="215"/>
      <c r="AS394" s="215"/>
      <c r="AT394" s="215"/>
      <c r="AU394" s="215"/>
      <c r="AV394" s="215"/>
      <c r="AW394" s="215"/>
      <c r="AX394" s="215"/>
      <c r="AY394" s="215"/>
    </row>
    <row r="395">
      <c r="A395" s="80"/>
      <c r="B395" s="80"/>
      <c r="C395" s="80"/>
      <c r="D395" s="80"/>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15"/>
      <c r="AH395" s="215"/>
      <c r="AI395" s="215"/>
      <c r="AJ395" s="215"/>
      <c r="AK395" s="215"/>
      <c r="AL395" s="215"/>
      <c r="AM395" s="215"/>
      <c r="AN395" s="215"/>
      <c r="AO395" s="215"/>
      <c r="AP395" s="215"/>
      <c r="AQ395" s="215"/>
      <c r="AR395" s="215"/>
      <c r="AS395" s="215"/>
      <c r="AT395" s="215"/>
      <c r="AU395" s="215"/>
      <c r="AV395" s="215"/>
      <c r="AW395" s="215"/>
      <c r="AX395" s="215"/>
      <c r="AY395" s="215"/>
    </row>
    <row r="396">
      <c r="A396" s="80"/>
      <c r="B396" s="80"/>
      <c r="C396" s="80"/>
      <c r="D396" s="80"/>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15"/>
      <c r="AH396" s="215"/>
      <c r="AI396" s="215"/>
      <c r="AJ396" s="215"/>
      <c r="AK396" s="215"/>
      <c r="AL396" s="215"/>
      <c r="AM396" s="215"/>
      <c r="AN396" s="215"/>
      <c r="AO396" s="215"/>
      <c r="AP396" s="215"/>
      <c r="AQ396" s="215"/>
      <c r="AR396" s="215"/>
      <c r="AS396" s="215"/>
      <c r="AT396" s="215"/>
      <c r="AU396" s="215"/>
      <c r="AV396" s="215"/>
      <c r="AW396" s="215"/>
      <c r="AX396" s="215"/>
      <c r="AY396" s="215"/>
    </row>
    <row r="397">
      <c r="A397" s="80"/>
      <c r="B397" s="80"/>
      <c r="C397" s="80"/>
      <c r="D397" s="80"/>
      <c r="E397" s="215"/>
      <c r="F397" s="215"/>
      <c r="G397" s="215"/>
      <c r="H397" s="215"/>
      <c r="I397" s="215"/>
      <c r="J397" s="215"/>
      <c r="K397" s="215"/>
      <c r="L397" s="215"/>
      <c r="M397" s="215"/>
      <c r="N397" s="215"/>
      <c r="O397" s="215"/>
      <c r="P397" s="215"/>
      <c r="Q397" s="215"/>
      <c r="R397" s="215"/>
      <c r="S397" s="215"/>
      <c r="T397" s="215"/>
      <c r="U397" s="215"/>
      <c r="V397" s="215"/>
      <c r="W397" s="215"/>
      <c r="X397" s="215"/>
      <c r="Y397" s="215"/>
      <c r="Z397" s="215"/>
      <c r="AA397" s="215"/>
      <c r="AB397" s="215"/>
      <c r="AC397" s="215"/>
      <c r="AD397" s="215"/>
      <c r="AE397" s="215"/>
      <c r="AF397" s="215"/>
      <c r="AG397" s="215"/>
      <c r="AH397" s="215"/>
      <c r="AI397" s="215"/>
      <c r="AJ397" s="215"/>
      <c r="AK397" s="215"/>
      <c r="AL397" s="215"/>
      <c r="AM397" s="215"/>
      <c r="AN397" s="215"/>
      <c r="AO397" s="215"/>
      <c r="AP397" s="215"/>
      <c r="AQ397" s="215"/>
      <c r="AR397" s="215"/>
      <c r="AS397" s="215"/>
      <c r="AT397" s="215"/>
      <c r="AU397" s="215"/>
      <c r="AV397" s="215"/>
      <c r="AW397" s="215"/>
      <c r="AX397" s="215"/>
      <c r="AY397" s="215"/>
    </row>
    <row r="398">
      <c r="A398" s="80"/>
      <c r="B398" s="80"/>
      <c r="C398" s="80"/>
      <c r="D398" s="80"/>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15"/>
      <c r="AH398" s="215"/>
      <c r="AI398" s="215"/>
      <c r="AJ398" s="215"/>
      <c r="AK398" s="215"/>
      <c r="AL398" s="215"/>
      <c r="AM398" s="215"/>
      <c r="AN398" s="215"/>
      <c r="AO398" s="215"/>
      <c r="AP398" s="215"/>
      <c r="AQ398" s="215"/>
      <c r="AR398" s="215"/>
      <c r="AS398" s="215"/>
      <c r="AT398" s="215"/>
      <c r="AU398" s="215"/>
      <c r="AV398" s="215"/>
      <c r="AW398" s="215"/>
      <c r="AX398" s="215"/>
      <c r="AY398" s="215"/>
    </row>
    <row r="399">
      <c r="A399" s="80"/>
      <c r="B399" s="80"/>
      <c r="C399" s="80"/>
      <c r="D399" s="80"/>
      <c r="E399" s="215"/>
      <c r="F399" s="215"/>
      <c r="G399" s="215"/>
      <c r="H399" s="215"/>
      <c r="I399" s="215"/>
      <c r="J399" s="215"/>
      <c r="K399" s="215"/>
      <c r="L399" s="215"/>
      <c r="M399" s="215"/>
      <c r="N399" s="215"/>
      <c r="O399" s="215"/>
      <c r="P399" s="215"/>
      <c r="Q399" s="215"/>
      <c r="R399" s="215"/>
      <c r="S399" s="215"/>
      <c r="T399" s="215"/>
      <c r="U399" s="215"/>
      <c r="V399" s="215"/>
      <c r="W399" s="215"/>
      <c r="X399" s="215"/>
      <c r="Y399" s="215"/>
      <c r="Z399" s="215"/>
      <c r="AA399" s="215"/>
      <c r="AB399" s="215"/>
      <c r="AC399" s="215"/>
      <c r="AD399" s="215"/>
      <c r="AE399" s="215"/>
      <c r="AF399" s="215"/>
      <c r="AG399" s="215"/>
      <c r="AH399" s="215"/>
      <c r="AI399" s="215"/>
      <c r="AJ399" s="215"/>
      <c r="AK399" s="215"/>
      <c r="AL399" s="215"/>
      <c r="AM399" s="215"/>
      <c r="AN399" s="215"/>
      <c r="AO399" s="215"/>
      <c r="AP399" s="215"/>
      <c r="AQ399" s="215"/>
      <c r="AR399" s="215"/>
      <c r="AS399" s="215"/>
      <c r="AT399" s="215"/>
      <c r="AU399" s="215"/>
      <c r="AV399" s="215"/>
      <c r="AW399" s="215"/>
      <c r="AX399" s="215"/>
      <c r="AY399" s="215"/>
    </row>
    <row r="400">
      <c r="A400" s="80"/>
      <c r="B400" s="80"/>
      <c r="C400" s="80"/>
      <c r="D400" s="80"/>
      <c r="E400" s="215"/>
      <c r="F400" s="215"/>
      <c r="G400" s="215"/>
      <c r="H400" s="215"/>
      <c r="I400" s="215"/>
      <c r="J400" s="215"/>
      <c r="K400" s="215"/>
      <c r="L400" s="215"/>
      <c r="M400" s="215"/>
      <c r="N400" s="215"/>
      <c r="O400" s="215"/>
      <c r="P400" s="215"/>
      <c r="Q400" s="215"/>
      <c r="R400" s="215"/>
      <c r="S400" s="215"/>
      <c r="T400" s="215"/>
      <c r="U400" s="215"/>
      <c r="V400" s="215"/>
      <c r="W400" s="215"/>
      <c r="X400" s="215"/>
      <c r="Y400" s="215"/>
      <c r="Z400" s="215"/>
      <c r="AA400" s="215"/>
      <c r="AB400" s="215"/>
      <c r="AC400" s="215"/>
      <c r="AD400" s="215"/>
      <c r="AE400" s="215"/>
      <c r="AF400" s="215"/>
      <c r="AG400" s="215"/>
      <c r="AH400" s="215"/>
      <c r="AI400" s="215"/>
      <c r="AJ400" s="215"/>
      <c r="AK400" s="215"/>
      <c r="AL400" s="215"/>
      <c r="AM400" s="215"/>
      <c r="AN400" s="215"/>
      <c r="AO400" s="215"/>
      <c r="AP400" s="215"/>
      <c r="AQ400" s="215"/>
      <c r="AR400" s="215"/>
      <c r="AS400" s="215"/>
      <c r="AT400" s="215"/>
      <c r="AU400" s="215"/>
      <c r="AV400" s="215"/>
      <c r="AW400" s="215"/>
      <c r="AX400" s="215"/>
      <c r="AY400" s="215"/>
    </row>
    <row r="401">
      <c r="A401" s="80"/>
      <c r="B401" s="80"/>
      <c r="C401" s="80"/>
      <c r="D401" s="80"/>
      <c r="E401" s="215"/>
      <c r="F401" s="215"/>
      <c r="G401" s="215"/>
      <c r="H401" s="215"/>
      <c r="I401" s="215"/>
      <c r="J401" s="215"/>
      <c r="K401" s="215"/>
      <c r="L401" s="215"/>
      <c r="M401" s="215"/>
      <c r="N401" s="215"/>
      <c r="O401" s="215"/>
      <c r="P401" s="215"/>
      <c r="Q401" s="215"/>
      <c r="R401" s="215"/>
      <c r="S401" s="215"/>
      <c r="T401" s="215"/>
      <c r="U401" s="215"/>
      <c r="V401" s="215"/>
      <c r="W401" s="215"/>
      <c r="X401" s="215"/>
      <c r="Y401" s="215"/>
      <c r="Z401" s="215"/>
      <c r="AA401" s="215"/>
      <c r="AB401" s="215"/>
      <c r="AC401" s="215"/>
      <c r="AD401" s="215"/>
      <c r="AE401" s="215"/>
      <c r="AF401" s="215"/>
      <c r="AG401" s="215"/>
      <c r="AH401" s="215"/>
      <c r="AI401" s="215"/>
      <c r="AJ401" s="215"/>
      <c r="AK401" s="215"/>
      <c r="AL401" s="215"/>
      <c r="AM401" s="215"/>
      <c r="AN401" s="215"/>
      <c r="AO401" s="215"/>
      <c r="AP401" s="215"/>
      <c r="AQ401" s="215"/>
      <c r="AR401" s="215"/>
      <c r="AS401" s="215"/>
      <c r="AT401" s="215"/>
      <c r="AU401" s="215"/>
      <c r="AV401" s="215"/>
      <c r="AW401" s="215"/>
      <c r="AX401" s="215"/>
      <c r="AY401" s="215"/>
    </row>
    <row r="402">
      <c r="A402" s="80"/>
      <c r="B402" s="80"/>
      <c r="C402" s="80"/>
      <c r="D402" s="80"/>
      <c r="E402" s="215"/>
      <c r="F402" s="215"/>
      <c r="G402" s="215"/>
      <c r="H402" s="215"/>
      <c r="I402" s="215"/>
      <c r="J402" s="215"/>
      <c r="K402" s="215"/>
      <c r="L402" s="215"/>
      <c r="M402" s="215"/>
      <c r="N402" s="215"/>
      <c r="O402" s="215"/>
      <c r="P402" s="215"/>
      <c r="Q402" s="215"/>
      <c r="R402" s="215"/>
      <c r="S402" s="215"/>
      <c r="T402" s="215"/>
      <c r="U402" s="215"/>
      <c r="V402" s="215"/>
      <c r="W402" s="215"/>
      <c r="X402" s="215"/>
      <c r="Y402" s="215"/>
      <c r="Z402" s="215"/>
      <c r="AA402" s="215"/>
      <c r="AB402" s="215"/>
      <c r="AC402" s="215"/>
      <c r="AD402" s="215"/>
      <c r="AE402" s="215"/>
      <c r="AF402" s="215"/>
      <c r="AG402" s="215"/>
      <c r="AH402" s="215"/>
      <c r="AI402" s="215"/>
      <c r="AJ402" s="215"/>
      <c r="AK402" s="215"/>
      <c r="AL402" s="215"/>
      <c r="AM402" s="215"/>
      <c r="AN402" s="215"/>
      <c r="AO402" s="215"/>
      <c r="AP402" s="215"/>
      <c r="AQ402" s="215"/>
      <c r="AR402" s="215"/>
      <c r="AS402" s="215"/>
      <c r="AT402" s="215"/>
      <c r="AU402" s="215"/>
      <c r="AV402" s="215"/>
      <c r="AW402" s="215"/>
      <c r="AX402" s="215"/>
      <c r="AY402" s="215"/>
    </row>
    <row r="403">
      <c r="A403" s="80"/>
      <c r="B403" s="80"/>
      <c r="C403" s="80"/>
      <c r="D403" s="80"/>
      <c r="E403" s="215"/>
      <c r="F403" s="215"/>
      <c r="G403" s="215"/>
      <c r="H403" s="215"/>
      <c r="I403" s="215"/>
      <c r="J403" s="215"/>
      <c r="K403" s="215"/>
      <c r="L403" s="215"/>
      <c r="M403" s="215"/>
      <c r="N403" s="215"/>
      <c r="O403" s="215"/>
      <c r="P403" s="215"/>
      <c r="Q403" s="215"/>
      <c r="R403" s="215"/>
      <c r="S403" s="215"/>
      <c r="T403" s="215"/>
      <c r="U403" s="215"/>
      <c r="V403" s="215"/>
      <c r="W403" s="215"/>
      <c r="X403" s="215"/>
      <c r="Y403" s="215"/>
      <c r="Z403" s="215"/>
      <c r="AA403" s="215"/>
      <c r="AB403" s="215"/>
      <c r="AC403" s="215"/>
      <c r="AD403" s="215"/>
      <c r="AE403" s="215"/>
      <c r="AF403" s="215"/>
      <c r="AG403" s="215"/>
      <c r="AH403" s="215"/>
      <c r="AI403" s="215"/>
      <c r="AJ403" s="215"/>
      <c r="AK403" s="215"/>
      <c r="AL403" s="215"/>
      <c r="AM403" s="215"/>
      <c r="AN403" s="215"/>
      <c r="AO403" s="215"/>
      <c r="AP403" s="215"/>
      <c r="AQ403" s="215"/>
      <c r="AR403" s="215"/>
      <c r="AS403" s="215"/>
      <c r="AT403" s="215"/>
      <c r="AU403" s="215"/>
      <c r="AV403" s="215"/>
      <c r="AW403" s="215"/>
      <c r="AX403" s="215"/>
      <c r="AY403" s="215"/>
    </row>
    <row r="404">
      <c r="A404" s="80"/>
      <c r="B404" s="80"/>
      <c r="C404" s="80"/>
      <c r="D404" s="80"/>
      <c r="E404" s="215"/>
      <c r="F404" s="215"/>
      <c r="G404" s="215"/>
      <c r="H404" s="215"/>
      <c r="I404" s="215"/>
      <c r="J404" s="215"/>
      <c r="K404" s="215"/>
      <c r="L404" s="215"/>
      <c r="M404" s="215"/>
      <c r="N404" s="215"/>
      <c r="O404" s="215"/>
      <c r="P404" s="215"/>
      <c r="Q404" s="215"/>
      <c r="R404" s="215"/>
      <c r="S404" s="215"/>
      <c r="T404" s="215"/>
      <c r="U404" s="215"/>
      <c r="V404" s="215"/>
      <c r="W404" s="215"/>
      <c r="X404" s="215"/>
      <c r="Y404" s="215"/>
      <c r="Z404" s="215"/>
      <c r="AA404" s="215"/>
      <c r="AB404" s="215"/>
      <c r="AC404" s="215"/>
      <c r="AD404" s="215"/>
      <c r="AE404" s="215"/>
      <c r="AF404" s="215"/>
      <c r="AG404" s="215"/>
      <c r="AH404" s="215"/>
      <c r="AI404" s="215"/>
      <c r="AJ404" s="215"/>
      <c r="AK404" s="215"/>
      <c r="AL404" s="215"/>
      <c r="AM404" s="215"/>
      <c r="AN404" s="215"/>
      <c r="AO404" s="215"/>
      <c r="AP404" s="215"/>
      <c r="AQ404" s="215"/>
      <c r="AR404" s="215"/>
      <c r="AS404" s="215"/>
      <c r="AT404" s="215"/>
      <c r="AU404" s="215"/>
      <c r="AV404" s="215"/>
      <c r="AW404" s="215"/>
      <c r="AX404" s="215"/>
      <c r="AY404" s="215"/>
    </row>
    <row r="405">
      <c r="A405" s="80"/>
      <c r="B405" s="80"/>
      <c r="C405" s="80"/>
      <c r="D405" s="80"/>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15"/>
      <c r="AH405" s="215"/>
      <c r="AI405" s="215"/>
      <c r="AJ405" s="215"/>
      <c r="AK405" s="215"/>
      <c r="AL405" s="215"/>
      <c r="AM405" s="215"/>
      <c r="AN405" s="215"/>
      <c r="AO405" s="215"/>
      <c r="AP405" s="215"/>
      <c r="AQ405" s="215"/>
      <c r="AR405" s="215"/>
      <c r="AS405" s="215"/>
      <c r="AT405" s="215"/>
      <c r="AU405" s="215"/>
      <c r="AV405" s="215"/>
      <c r="AW405" s="215"/>
      <c r="AX405" s="215"/>
      <c r="AY405" s="215"/>
    </row>
    <row r="406">
      <c r="A406" s="80"/>
      <c r="B406" s="80"/>
      <c r="C406" s="80"/>
      <c r="D406" s="80"/>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15"/>
      <c r="AH406" s="215"/>
      <c r="AI406" s="215"/>
      <c r="AJ406" s="215"/>
      <c r="AK406" s="215"/>
      <c r="AL406" s="215"/>
      <c r="AM406" s="215"/>
      <c r="AN406" s="215"/>
      <c r="AO406" s="215"/>
      <c r="AP406" s="215"/>
      <c r="AQ406" s="215"/>
      <c r="AR406" s="215"/>
      <c r="AS406" s="215"/>
      <c r="AT406" s="215"/>
      <c r="AU406" s="215"/>
      <c r="AV406" s="215"/>
      <c r="AW406" s="215"/>
      <c r="AX406" s="215"/>
      <c r="AY406" s="215"/>
    </row>
    <row r="407">
      <c r="A407" s="80"/>
      <c r="B407" s="80"/>
      <c r="C407" s="80"/>
      <c r="D407" s="80"/>
      <c r="E407" s="215"/>
      <c r="F407" s="215"/>
      <c r="G407" s="215"/>
      <c r="H407" s="215"/>
      <c r="I407" s="215"/>
      <c r="J407" s="215"/>
      <c r="K407" s="215"/>
      <c r="L407" s="215"/>
      <c r="M407" s="215"/>
      <c r="N407" s="215"/>
      <c r="O407" s="215"/>
      <c r="P407" s="215"/>
      <c r="Q407" s="215"/>
      <c r="R407" s="215"/>
      <c r="S407" s="215"/>
      <c r="T407" s="215"/>
      <c r="U407" s="215"/>
      <c r="V407" s="215"/>
      <c r="W407" s="215"/>
      <c r="X407" s="215"/>
      <c r="Y407" s="215"/>
      <c r="Z407" s="215"/>
      <c r="AA407" s="215"/>
      <c r="AB407" s="215"/>
      <c r="AC407" s="215"/>
      <c r="AD407" s="215"/>
      <c r="AE407" s="215"/>
      <c r="AF407" s="215"/>
      <c r="AG407" s="215"/>
      <c r="AH407" s="215"/>
      <c r="AI407" s="215"/>
      <c r="AJ407" s="215"/>
      <c r="AK407" s="215"/>
      <c r="AL407" s="215"/>
      <c r="AM407" s="215"/>
      <c r="AN407" s="215"/>
      <c r="AO407" s="215"/>
      <c r="AP407" s="215"/>
      <c r="AQ407" s="215"/>
      <c r="AR407" s="215"/>
      <c r="AS407" s="215"/>
      <c r="AT407" s="215"/>
      <c r="AU407" s="215"/>
      <c r="AV407" s="215"/>
      <c r="AW407" s="215"/>
      <c r="AX407" s="215"/>
      <c r="AY407" s="215"/>
    </row>
    <row r="408">
      <c r="A408" s="80"/>
      <c r="B408" s="80"/>
      <c r="C408" s="80"/>
      <c r="D408" s="80"/>
      <c r="E408" s="215"/>
      <c r="F408" s="215"/>
      <c r="G408" s="215"/>
      <c r="H408" s="215"/>
      <c r="I408" s="215"/>
      <c r="J408" s="215"/>
      <c r="K408" s="215"/>
      <c r="L408" s="215"/>
      <c r="M408" s="215"/>
      <c r="N408" s="215"/>
      <c r="O408" s="215"/>
      <c r="P408" s="215"/>
      <c r="Q408" s="215"/>
      <c r="R408" s="215"/>
      <c r="S408" s="215"/>
      <c r="T408" s="215"/>
      <c r="U408" s="215"/>
      <c r="V408" s="215"/>
      <c r="W408" s="215"/>
      <c r="X408" s="215"/>
      <c r="Y408" s="215"/>
      <c r="Z408" s="215"/>
      <c r="AA408" s="215"/>
      <c r="AB408" s="215"/>
      <c r="AC408" s="215"/>
      <c r="AD408" s="215"/>
      <c r="AE408" s="215"/>
      <c r="AF408" s="215"/>
      <c r="AG408" s="215"/>
      <c r="AH408" s="215"/>
      <c r="AI408" s="215"/>
      <c r="AJ408" s="215"/>
      <c r="AK408" s="215"/>
      <c r="AL408" s="215"/>
      <c r="AM408" s="215"/>
      <c r="AN408" s="215"/>
      <c r="AO408" s="215"/>
      <c r="AP408" s="215"/>
      <c r="AQ408" s="215"/>
      <c r="AR408" s="215"/>
      <c r="AS408" s="215"/>
      <c r="AT408" s="215"/>
      <c r="AU408" s="215"/>
      <c r="AV408" s="215"/>
      <c r="AW408" s="215"/>
      <c r="AX408" s="215"/>
      <c r="AY408" s="215"/>
    </row>
    <row r="409">
      <c r="A409" s="80"/>
      <c r="B409" s="80"/>
      <c r="C409" s="80"/>
      <c r="D409" s="80"/>
      <c r="E409" s="215"/>
      <c r="F409" s="215"/>
      <c r="G409" s="215"/>
      <c r="H409" s="215"/>
      <c r="I409" s="215"/>
      <c r="J409" s="215"/>
      <c r="K409" s="215"/>
      <c r="L409" s="215"/>
      <c r="M409" s="215"/>
      <c r="N409" s="215"/>
      <c r="O409" s="215"/>
      <c r="P409" s="215"/>
      <c r="Q409" s="215"/>
      <c r="R409" s="215"/>
      <c r="S409" s="215"/>
      <c r="T409" s="215"/>
      <c r="U409" s="215"/>
      <c r="V409" s="215"/>
      <c r="W409" s="215"/>
      <c r="X409" s="215"/>
      <c r="Y409" s="215"/>
      <c r="Z409" s="215"/>
      <c r="AA409" s="215"/>
      <c r="AB409" s="215"/>
      <c r="AC409" s="215"/>
      <c r="AD409" s="215"/>
      <c r="AE409" s="215"/>
      <c r="AF409" s="215"/>
      <c r="AG409" s="215"/>
      <c r="AH409" s="215"/>
      <c r="AI409" s="215"/>
      <c r="AJ409" s="215"/>
      <c r="AK409" s="215"/>
      <c r="AL409" s="215"/>
      <c r="AM409" s="215"/>
      <c r="AN409" s="215"/>
      <c r="AO409" s="215"/>
      <c r="AP409" s="215"/>
      <c r="AQ409" s="215"/>
      <c r="AR409" s="215"/>
      <c r="AS409" s="215"/>
      <c r="AT409" s="215"/>
      <c r="AU409" s="215"/>
      <c r="AV409" s="215"/>
      <c r="AW409" s="215"/>
      <c r="AX409" s="215"/>
      <c r="AY409" s="215"/>
    </row>
    <row r="410">
      <c r="A410" s="80"/>
      <c r="B410" s="80"/>
      <c r="C410" s="80"/>
      <c r="D410" s="80"/>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15"/>
      <c r="AH410" s="215"/>
      <c r="AI410" s="215"/>
      <c r="AJ410" s="215"/>
      <c r="AK410" s="215"/>
      <c r="AL410" s="215"/>
      <c r="AM410" s="215"/>
      <c r="AN410" s="215"/>
      <c r="AO410" s="215"/>
      <c r="AP410" s="215"/>
      <c r="AQ410" s="215"/>
      <c r="AR410" s="215"/>
      <c r="AS410" s="215"/>
      <c r="AT410" s="215"/>
      <c r="AU410" s="215"/>
      <c r="AV410" s="215"/>
      <c r="AW410" s="215"/>
      <c r="AX410" s="215"/>
      <c r="AY410" s="215"/>
    </row>
    <row r="411">
      <c r="A411" s="80"/>
      <c r="B411" s="80"/>
      <c r="C411" s="80"/>
      <c r="D411" s="80"/>
      <c r="E411" s="215"/>
      <c r="F411" s="215"/>
      <c r="G411" s="215"/>
      <c r="H411" s="215"/>
      <c r="I411" s="215"/>
      <c r="J411" s="215"/>
      <c r="K411" s="215"/>
      <c r="L411" s="215"/>
      <c r="M411" s="215"/>
      <c r="N411" s="215"/>
      <c r="O411" s="215"/>
      <c r="P411" s="215"/>
      <c r="Q411" s="215"/>
      <c r="R411" s="215"/>
      <c r="S411" s="215"/>
      <c r="T411" s="215"/>
      <c r="U411" s="215"/>
      <c r="V411" s="215"/>
      <c r="W411" s="215"/>
      <c r="X411" s="215"/>
      <c r="Y411" s="215"/>
      <c r="Z411" s="215"/>
      <c r="AA411" s="215"/>
      <c r="AB411" s="215"/>
      <c r="AC411" s="215"/>
      <c r="AD411" s="215"/>
      <c r="AE411" s="215"/>
      <c r="AF411" s="215"/>
      <c r="AG411" s="215"/>
      <c r="AH411" s="215"/>
      <c r="AI411" s="215"/>
      <c r="AJ411" s="215"/>
      <c r="AK411" s="215"/>
      <c r="AL411" s="215"/>
      <c r="AM411" s="215"/>
      <c r="AN411" s="215"/>
      <c r="AO411" s="215"/>
      <c r="AP411" s="215"/>
      <c r="AQ411" s="215"/>
      <c r="AR411" s="215"/>
      <c r="AS411" s="215"/>
      <c r="AT411" s="215"/>
      <c r="AU411" s="215"/>
      <c r="AV411" s="215"/>
      <c r="AW411" s="215"/>
      <c r="AX411" s="215"/>
      <c r="AY411" s="215"/>
    </row>
    <row r="412">
      <c r="A412" s="80"/>
      <c r="B412" s="80"/>
      <c r="C412" s="80"/>
      <c r="D412" s="80"/>
      <c r="E412" s="215"/>
      <c r="F412" s="215"/>
      <c r="G412" s="215"/>
      <c r="H412" s="215"/>
      <c r="I412" s="215"/>
      <c r="J412" s="215"/>
      <c r="K412" s="215"/>
      <c r="L412" s="215"/>
      <c r="M412" s="215"/>
      <c r="N412" s="215"/>
      <c r="O412" s="215"/>
      <c r="P412" s="215"/>
      <c r="Q412" s="215"/>
      <c r="R412" s="215"/>
      <c r="S412" s="215"/>
      <c r="T412" s="215"/>
      <c r="U412" s="215"/>
      <c r="V412" s="215"/>
      <c r="W412" s="215"/>
      <c r="X412" s="215"/>
      <c r="Y412" s="215"/>
      <c r="Z412" s="215"/>
      <c r="AA412" s="215"/>
      <c r="AB412" s="215"/>
      <c r="AC412" s="215"/>
      <c r="AD412" s="215"/>
      <c r="AE412" s="215"/>
      <c r="AF412" s="215"/>
      <c r="AG412" s="215"/>
      <c r="AH412" s="215"/>
      <c r="AI412" s="215"/>
      <c r="AJ412" s="215"/>
      <c r="AK412" s="215"/>
      <c r="AL412" s="215"/>
      <c r="AM412" s="215"/>
      <c r="AN412" s="215"/>
      <c r="AO412" s="215"/>
      <c r="AP412" s="215"/>
      <c r="AQ412" s="215"/>
      <c r="AR412" s="215"/>
      <c r="AS412" s="215"/>
      <c r="AT412" s="215"/>
      <c r="AU412" s="215"/>
      <c r="AV412" s="215"/>
      <c r="AW412" s="215"/>
      <c r="AX412" s="215"/>
      <c r="AY412" s="215"/>
    </row>
    <row r="413">
      <c r="A413" s="80"/>
      <c r="B413" s="80"/>
      <c r="C413" s="80"/>
      <c r="D413" s="80"/>
      <c r="E413" s="215"/>
      <c r="F413" s="215"/>
      <c r="G413" s="215"/>
      <c r="H413" s="215"/>
      <c r="I413" s="215"/>
      <c r="J413" s="215"/>
      <c r="K413" s="215"/>
      <c r="L413" s="215"/>
      <c r="M413" s="215"/>
      <c r="N413" s="215"/>
      <c r="O413" s="215"/>
      <c r="P413" s="215"/>
      <c r="Q413" s="215"/>
      <c r="R413" s="215"/>
      <c r="S413" s="215"/>
      <c r="T413" s="215"/>
      <c r="U413" s="215"/>
      <c r="V413" s="215"/>
      <c r="W413" s="215"/>
      <c r="X413" s="215"/>
      <c r="Y413" s="215"/>
      <c r="Z413" s="215"/>
      <c r="AA413" s="215"/>
      <c r="AB413" s="215"/>
      <c r="AC413" s="215"/>
      <c r="AD413" s="215"/>
      <c r="AE413" s="215"/>
      <c r="AF413" s="215"/>
      <c r="AG413" s="215"/>
      <c r="AH413" s="215"/>
      <c r="AI413" s="215"/>
      <c r="AJ413" s="215"/>
      <c r="AK413" s="215"/>
      <c r="AL413" s="215"/>
      <c r="AM413" s="215"/>
      <c r="AN413" s="215"/>
      <c r="AO413" s="215"/>
      <c r="AP413" s="215"/>
      <c r="AQ413" s="215"/>
      <c r="AR413" s="215"/>
      <c r="AS413" s="215"/>
      <c r="AT413" s="215"/>
      <c r="AU413" s="215"/>
      <c r="AV413" s="215"/>
      <c r="AW413" s="215"/>
      <c r="AX413" s="215"/>
      <c r="AY413" s="215"/>
    </row>
    <row r="414">
      <c r="A414" s="80"/>
      <c r="B414" s="80"/>
      <c r="C414" s="80"/>
      <c r="D414" s="80"/>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15"/>
      <c r="AH414" s="215"/>
      <c r="AI414" s="215"/>
      <c r="AJ414" s="215"/>
      <c r="AK414" s="215"/>
      <c r="AL414" s="215"/>
      <c r="AM414" s="215"/>
      <c r="AN414" s="215"/>
      <c r="AO414" s="215"/>
      <c r="AP414" s="215"/>
      <c r="AQ414" s="215"/>
      <c r="AR414" s="215"/>
      <c r="AS414" s="215"/>
      <c r="AT414" s="215"/>
      <c r="AU414" s="215"/>
      <c r="AV414" s="215"/>
      <c r="AW414" s="215"/>
      <c r="AX414" s="215"/>
      <c r="AY414" s="215"/>
    </row>
    <row r="415">
      <c r="A415" s="80"/>
      <c r="B415" s="80"/>
      <c r="C415" s="80"/>
      <c r="D415" s="80"/>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15"/>
      <c r="AH415" s="215"/>
      <c r="AI415" s="215"/>
      <c r="AJ415" s="215"/>
      <c r="AK415" s="215"/>
      <c r="AL415" s="215"/>
      <c r="AM415" s="215"/>
      <c r="AN415" s="215"/>
      <c r="AO415" s="215"/>
      <c r="AP415" s="215"/>
      <c r="AQ415" s="215"/>
      <c r="AR415" s="215"/>
      <c r="AS415" s="215"/>
      <c r="AT415" s="215"/>
      <c r="AU415" s="215"/>
      <c r="AV415" s="215"/>
      <c r="AW415" s="215"/>
      <c r="AX415" s="215"/>
      <c r="AY415" s="215"/>
    </row>
    <row r="416">
      <c r="A416" s="80"/>
      <c r="B416" s="80"/>
      <c r="C416" s="80"/>
      <c r="D416" s="80"/>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15"/>
      <c r="AH416" s="215"/>
      <c r="AI416" s="215"/>
      <c r="AJ416" s="215"/>
      <c r="AK416" s="215"/>
      <c r="AL416" s="215"/>
      <c r="AM416" s="215"/>
      <c r="AN416" s="215"/>
      <c r="AO416" s="215"/>
      <c r="AP416" s="215"/>
      <c r="AQ416" s="215"/>
      <c r="AR416" s="215"/>
      <c r="AS416" s="215"/>
      <c r="AT416" s="215"/>
      <c r="AU416" s="215"/>
      <c r="AV416" s="215"/>
      <c r="AW416" s="215"/>
      <c r="AX416" s="215"/>
      <c r="AY416" s="215"/>
    </row>
    <row r="417">
      <c r="A417" s="80"/>
      <c r="B417" s="80"/>
      <c r="C417" s="80"/>
      <c r="D417" s="80"/>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215"/>
      <c r="AH417" s="215"/>
      <c r="AI417" s="215"/>
      <c r="AJ417" s="215"/>
      <c r="AK417" s="215"/>
      <c r="AL417" s="215"/>
      <c r="AM417" s="215"/>
      <c r="AN417" s="215"/>
      <c r="AO417" s="215"/>
      <c r="AP417" s="215"/>
      <c r="AQ417" s="215"/>
      <c r="AR417" s="215"/>
      <c r="AS417" s="215"/>
      <c r="AT417" s="215"/>
      <c r="AU417" s="215"/>
      <c r="AV417" s="215"/>
      <c r="AW417" s="215"/>
      <c r="AX417" s="215"/>
      <c r="AY417" s="215"/>
    </row>
    <row r="418">
      <c r="A418" s="80"/>
      <c r="B418" s="80"/>
      <c r="C418" s="80"/>
      <c r="D418" s="80"/>
      <c r="E418" s="215"/>
      <c r="F418" s="215"/>
      <c r="G418" s="215"/>
      <c r="H418" s="215"/>
      <c r="I418" s="215"/>
      <c r="J418" s="215"/>
      <c r="K418" s="215"/>
      <c r="L418" s="215"/>
      <c r="M418" s="215"/>
      <c r="N418" s="215"/>
      <c r="O418" s="215"/>
      <c r="P418" s="215"/>
      <c r="Q418" s="215"/>
      <c r="R418" s="215"/>
      <c r="S418" s="215"/>
      <c r="T418" s="215"/>
      <c r="U418" s="215"/>
      <c r="V418" s="215"/>
      <c r="W418" s="215"/>
      <c r="X418" s="215"/>
      <c r="Y418" s="215"/>
      <c r="Z418" s="215"/>
      <c r="AA418" s="215"/>
      <c r="AB418" s="215"/>
      <c r="AC418" s="215"/>
      <c r="AD418" s="215"/>
      <c r="AE418" s="215"/>
      <c r="AF418" s="215"/>
      <c r="AG418" s="215"/>
      <c r="AH418" s="215"/>
      <c r="AI418" s="215"/>
      <c r="AJ418" s="215"/>
      <c r="AK418" s="215"/>
      <c r="AL418" s="215"/>
      <c r="AM418" s="215"/>
      <c r="AN418" s="215"/>
      <c r="AO418" s="215"/>
      <c r="AP418" s="215"/>
      <c r="AQ418" s="215"/>
      <c r="AR418" s="215"/>
      <c r="AS418" s="215"/>
      <c r="AT418" s="215"/>
      <c r="AU418" s="215"/>
      <c r="AV418" s="215"/>
      <c r="AW418" s="215"/>
      <c r="AX418" s="215"/>
      <c r="AY418" s="215"/>
    </row>
    <row r="419">
      <c r="A419" s="80"/>
      <c r="B419" s="80"/>
      <c r="C419" s="80"/>
      <c r="D419" s="80"/>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215"/>
      <c r="AH419" s="215"/>
      <c r="AI419" s="215"/>
      <c r="AJ419" s="215"/>
      <c r="AK419" s="215"/>
      <c r="AL419" s="215"/>
      <c r="AM419" s="215"/>
      <c r="AN419" s="215"/>
      <c r="AO419" s="215"/>
      <c r="AP419" s="215"/>
      <c r="AQ419" s="215"/>
      <c r="AR419" s="215"/>
      <c r="AS419" s="215"/>
      <c r="AT419" s="215"/>
      <c r="AU419" s="215"/>
      <c r="AV419" s="215"/>
      <c r="AW419" s="215"/>
      <c r="AX419" s="215"/>
      <c r="AY419" s="215"/>
    </row>
    <row r="420">
      <c r="A420" s="80"/>
      <c r="B420" s="80"/>
      <c r="C420" s="80"/>
      <c r="D420" s="80"/>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215"/>
      <c r="AH420" s="215"/>
      <c r="AI420" s="215"/>
      <c r="AJ420" s="215"/>
      <c r="AK420" s="215"/>
      <c r="AL420" s="215"/>
      <c r="AM420" s="215"/>
      <c r="AN420" s="215"/>
      <c r="AO420" s="215"/>
      <c r="AP420" s="215"/>
      <c r="AQ420" s="215"/>
      <c r="AR420" s="215"/>
      <c r="AS420" s="215"/>
      <c r="AT420" s="215"/>
      <c r="AU420" s="215"/>
      <c r="AV420" s="215"/>
      <c r="AW420" s="215"/>
      <c r="AX420" s="215"/>
      <c r="AY420" s="215"/>
    </row>
    <row r="421">
      <c r="A421" s="80"/>
      <c r="B421" s="80"/>
      <c r="C421" s="80"/>
      <c r="D421" s="80"/>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15"/>
      <c r="AH421" s="215"/>
      <c r="AI421" s="215"/>
      <c r="AJ421" s="215"/>
      <c r="AK421" s="215"/>
      <c r="AL421" s="215"/>
      <c r="AM421" s="215"/>
      <c r="AN421" s="215"/>
      <c r="AO421" s="215"/>
      <c r="AP421" s="215"/>
      <c r="AQ421" s="215"/>
      <c r="AR421" s="215"/>
      <c r="AS421" s="215"/>
      <c r="AT421" s="215"/>
      <c r="AU421" s="215"/>
      <c r="AV421" s="215"/>
      <c r="AW421" s="215"/>
      <c r="AX421" s="215"/>
      <c r="AY421" s="215"/>
    </row>
    <row r="422">
      <c r="A422" s="80"/>
      <c r="B422" s="80"/>
      <c r="C422" s="80"/>
      <c r="D422" s="80"/>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15"/>
      <c r="AH422" s="215"/>
      <c r="AI422" s="215"/>
      <c r="AJ422" s="215"/>
      <c r="AK422" s="215"/>
      <c r="AL422" s="215"/>
      <c r="AM422" s="215"/>
      <c r="AN422" s="215"/>
      <c r="AO422" s="215"/>
      <c r="AP422" s="215"/>
      <c r="AQ422" s="215"/>
      <c r="AR422" s="215"/>
      <c r="AS422" s="215"/>
      <c r="AT422" s="215"/>
      <c r="AU422" s="215"/>
      <c r="AV422" s="215"/>
      <c r="AW422" s="215"/>
      <c r="AX422" s="215"/>
      <c r="AY422" s="215"/>
    </row>
    <row r="423">
      <c r="A423" s="80"/>
      <c r="B423" s="80"/>
      <c r="C423" s="80"/>
      <c r="D423" s="80"/>
      <c r="E423" s="215"/>
      <c r="F423" s="215"/>
      <c r="G423" s="215"/>
      <c r="H423" s="215"/>
      <c r="I423" s="215"/>
      <c r="J423" s="215"/>
      <c r="K423" s="215"/>
      <c r="L423" s="215"/>
      <c r="M423" s="215"/>
      <c r="N423" s="215"/>
      <c r="O423" s="215"/>
      <c r="P423" s="215"/>
      <c r="Q423" s="215"/>
      <c r="R423" s="215"/>
      <c r="S423" s="215"/>
      <c r="T423" s="215"/>
      <c r="U423" s="215"/>
      <c r="V423" s="215"/>
      <c r="W423" s="215"/>
      <c r="X423" s="215"/>
      <c r="Y423" s="215"/>
      <c r="Z423" s="215"/>
      <c r="AA423" s="215"/>
      <c r="AB423" s="215"/>
      <c r="AC423" s="215"/>
      <c r="AD423" s="215"/>
      <c r="AE423" s="215"/>
      <c r="AF423" s="215"/>
      <c r="AG423" s="215"/>
      <c r="AH423" s="215"/>
      <c r="AI423" s="215"/>
      <c r="AJ423" s="215"/>
      <c r="AK423" s="215"/>
      <c r="AL423" s="215"/>
      <c r="AM423" s="215"/>
      <c r="AN423" s="215"/>
      <c r="AO423" s="215"/>
      <c r="AP423" s="215"/>
      <c r="AQ423" s="215"/>
      <c r="AR423" s="215"/>
      <c r="AS423" s="215"/>
      <c r="AT423" s="215"/>
      <c r="AU423" s="215"/>
      <c r="AV423" s="215"/>
      <c r="AW423" s="215"/>
      <c r="AX423" s="215"/>
      <c r="AY423" s="215"/>
    </row>
    <row r="424">
      <c r="A424" s="80"/>
      <c r="B424" s="80"/>
      <c r="C424" s="80"/>
      <c r="D424" s="80"/>
      <c r="E424" s="215"/>
      <c r="F424" s="215"/>
      <c r="G424" s="215"/>
      <c r="H424" s="215"/>
      <c r="I424" s="215"/>
      <c r="J424" s="215"/>
      <c r="K424" s="215"/>
      <c r="L424" s="215"/>
      <c r="M424" s="215"/>
      <c r="N424" s="215"/>
      <c r="O424" s="215"/>
      <c r="P424" s="215"/>
      <c r="Q424" s="215"/>
      <c r="R424" s="215"/>
      <c r="S424" s="215"/>
      <c r="T424" s="215"/>
      <c r="U424" s="215"/>
      <c r="V424" s="215"/>
      <c r="W424" s="215"/>
      <c r="X424" s="215"/>
      <c r="Y424" s="215"/>
      <c r="Z424" s="215"/>
      <c r="AA424" s="215"/>
      <c r="AB424" s="215"/>
      <c r="AC424" s="215"/>
      <c r="AD424" s="215"/>
      <c r="AE424" s="215"/>
      <c r="AF424" s="215"/>
      <c r="AG424" s="215"/>
      <c r="AH424" s="215"/>
      <c r="AI424" s="215"/>
      <c r="AJ424" s="215"/>
      <c r="AK424" s="215"/>
      <c r="AL424" s="215"/>
      <c r="AM424" s="215"/>
      <c r="AN424" s="215"/>
      <c r="AO424" s="215"/>
      <c r="AP424" s="215"/>
      <c r="AQ424" s="215"/>
      <c r="AR424" s="215"/>
      <c r="AS424" s="215"/>
      <c r="AT424" s="215"/>
      <c r="AU424" s="215"/>
      <c r="AV424" s="215"/>
      <c r="AW424" s="215"/>
      <c r="AX424" s="215"/>
      <c r="AY424" s="215"/>
    </row>
    <row r="425">
      <c r="A425" s="80"/>
      <c r="B425" s="80"/>
      <c r="C425" s="80"/>
      <c r="D425" s="80"/>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15"/>
      <c r="AH425" s="215"/>
      <c r="AI425" s="215"/>
      <c r="AJ425" s="215"/>
      <c r="AK425" s="215"/>
      <c r="AL425" s="215"/>
      <c r="AM425" s="215"/>
      <c r="AN425" s="215"/>
      <c r="AO425" s="215"/>
      <c r="AP425" s="215"/>
      <c r="AQ425" s="215"/>
      <c r="AR425" s="215"/>
      <c r="AS425" s="215"/>
      <c r="AT425" s="215"/>
      <c r="AU425" s="215"/>
      <c r="AV425" s="215"/>
      <c r="AW425" s="215"/>
      <c r="AX425" s="215"/>
      <c r="AY425" s="215"/>
    </row>
    <row r="426">
      <c r="A426" s="80"/>
      <c r="B426" s="80"/>
      <c r="C426" s="80"/>
      <c r="D426" s="80"/>
      <c r="E426" s="215"/>
      <c r="F426" s="215"/>
      <c r="G426" s="215"/>
      <c r="H426" s="215"/>
      <c r="I426" s="215"/>
      <c r="J426" s="215"/>
      <c r="K426" s="215"/>
      <c r="L426" s="215"/>
      <c r="M426" s="215"/>
      <c r="N426" s="215"/>
      <c r="O426" s="215"/>
      <c r="P426" s="215"/>
      <c r="Q426" s="215"/>
      <c r="R426" s="215"/>
      <c r="S426" s="215"/>
      <c r="T426" s="215"/>
      <c r="U426" s="215"/>
      <c r="V426" s="215"/>
      <c r="W426" s="215"/>
      <c r="X426" s="215"/>
      <c r="Y426" s="215"/>
      <c r="Z426" s="215"/>
      <c r="AA426" s="215"/>
      <c r="AB426" s="215"/>
      <c r="AC426" s="215"/>
      <c r="AD426" s="215"/>
      <c r="AE426" s="215"/>
      <c r="AF426" s="215"/>
      <c r="AG426" s="215"/>
      <c r="AH426" s="215"/>
      <c r="AI426" s="215"/>
      <c r="AJ426" s="215"/>
      <c r="AK426" s="215"/>
      <c r="AL426" s="215"/>
      <c r="AM426" s="215"/>
      <c r="AN426" s="215"/>
      <c r="AO426" s="215"/>
      <c r="AP426" s="215"/>
      <c r="AQ426" s="215"/>
      <c r="AR426" s="215"/>
      <c r="AS426" s="215"/>
      <c r="AT426" s="215"/>
      <c r="AU426" s="215"/>
      <c r="AV426" s="215"/>
      <c r="AW426" s="215"/>
      <c r="AX426" s="215"/>
      <c r="AY426" s="215"/>
    </row>
    <row r="427">
      <c r="A427" s="80"/>
      <c r="B427" s="80"/>
      <c r="C427" s="80"/>
      <c r="D427" s="80"/>
      <c r="E427" s="215"/>
      <c r="F427" s="215"/>
      <c r="G427" s="215"/>
      <c r="H427" s="215"/>
      <c r="I427" s="215"/>
      <c r="J427" s="215"/>
      <c r="K427" s="215"/>
      <c r="L427" s="215"/>
      <c r="M427" s="215"/>
      <c r="N427" s="215"/>
      <c r="O427" s="215"/>
      <c r="P427" s="215"/>
      <c r="Q427" s="215"/>
      <c r="R427" s="215"/>
      <c r="S427" s="215"/>
      <c r="T427" s="215"/>
      <c r="U427" s="215"/>
      <c r="V427" s="215"/>
      <c r="W427" s="215"/>
      <c r="X427" s="215"/>
      <c r="Y427" s="215"/>
      <c r="Z427" s="215"/>
      <c r="AA427" s="215"/>
      <c r="AB427" s="215"/>
      <c r="AC427" s="215"/>
      <c r="AD427" s="215"/>
      <c r="AE427" s="215"/>
      <c r="AF427" s="215"/>
      <c r="AG427" s="215"/>
      <c r="AH427" s="215"/>
      <c r="AI427" s="215"/>
      <c r="AJ427" s="215"/>
      <c r="AK427" s="215"/>
      <c r="AL427" s="215"/>
      <c r="AM427" s="215"/>
      <c r="AN427" s="215"/>
      <c r="AO427" s="215"/>
      <c r="AP427" s="215"/>
      <c r="AQ427" s="215"/>
      <c r="AR427" s="215"/>
      <c r="AS427" s="215"/>
      <c r="AT427" s="215"/>
      <c r="AU427" s="215"/>
      <c r="AV427" s="215"/>
      <c r="AW427" s="215"/>
      <c r="AX427" s="215"/>
      <c r="AY427" s="215"/>
    </row>
    <row r="428">
      <c r="A428" s="80"/>
      <c r="B428" s="80"/>
      <c r="C428" s="80"/>
      <c r="D428" s="80"/>
      <c r="E428" s="215"/>
      <c r="F428" s="215"/>
      <c r="G428" s="215"/>
      <c r="H428" s="215"/>
      <c r="I428" s="215"/>
      <c r="J428" s="215"/>
      <c r="K428" s="215"/>
      <c r="L428" s="215"/>
      <c r="M428" s="215"/>
      <c r="N428" s="215"/>
      <c r="O428" s="215"/>
      <c r="P428" s="215"/>
      <c r="Q428" s="215"/>
      <c r="R428" s="215"/>
      <c r="S428" s="215"/>
      <c r="T428" s="215"/>
      <c r="U428" s="215"/>
      <c r="V428" s="215"/>
      <c r="W428" s="215"/>
      <c r="X428" s="215"/>
      <c r="Y428" s="215"/>
      <c r="Z428" s="215"/>
      <c r="AA428" s="215"/>
      <c r="AB428" s="215"/>
      <c r="AC428" s="215"/>
      <c r="AD428" s="215"/>
      <c r="AE428" s="215"/>
      <c r="AF428" s="215"/>
      <c r="AG428" s="215"/>
      <c r="AH428" s="215"/>
      <c r="AI428" s="215"/>
      <c r="AJ428" s="215"/>
      <c r="AK428" s="215"/>
      <c r="AL428" s="215"/>
      <c r="AM428" s="215"/>
      <c r="AN428" s="215"/>
      <c r="AO428" s="215"/>
      <c r="AP428" s="215"/>
      <c r="AQ428" s="215"/>
      <c r="AR428" s="215"/>
      <c r="AS428" s="215"/>
      <c r="AT428" s="215"/>
      <c r="AU428" s="215"/>
      <c r="AV428" s="215"/>
      <c r="AW428" s="215"/>
      <c r="AX428" s="215"/>
      <c r="AY428" s="215"/>
    </row>
    <row r="429">
      <c r="A429" s="80"/>
      <c r="B429" s="80"/>
      <c r="C429" s="80"/>
      <c r="D429" s="80"/>
      <c r="E429" s="215"/>
      <c r="F429" s="215"/>
      <c r="G429" s="215"/>
      <c r="H429" s="215"/>
      <c r="I429" s="215"/>
      <c r="J429" s="215"/>
      <c r="K429" s="215"/>
      <c r="L429" s="215"/>
      <c r="M429" s="215"/>
      <c r="N429" s="215"/>
      <c r="O429" s="215"/>
      <c r="P429" s="215"/>
      <c r="Q429" s="215"/>
      <c r="R429" s="215"/>
      <c r="S429" s="215"/>
      <c r="T429" s="215"/>
      <c r="U429" s="215"/>
      <c r="V429" s="215"/>
      <c r="W429" s="215"/>
      <c r="X429" s="215"/>
      <c r="Y429" s="215"/>
      <c r="Z429" s="215"/>
      <c r="AA429" s="215"/>
      <c r="AB429" s="215"/>
      <c r="AC429" s="215"/>
      <c r="AD429" s="215"/>
      <c r="AE429" s="215"/>
      <c r="AF429" s="215"/>
      <c r="AG429" s="215"/>
      <c r="AH429" s="215"/>
      <c r="AI429" s="215"/>
      <c r="AJ429" s="215"/>
      <c r="AK429" s="215"/>
      <c r="AL429" s="215"/>
      <c r="AM429" s="215"/>
      <c r="AN429" s="215"/>
      <c r="AO429" s="215"/>
      <c r="AP429" s="215"/>
      <c r="AQ429" s="215"/>
      <c r="AR429" s="215"/>
      <c r="AS429" s="215"/>
      <c r="AT429" s="215"/>
      <c r="AU429" s="215"/>
      <c r="AV429" s="215"/>
      <c r="AW429" s="215"/>
      <c r="AX429" s="215"/>
      <c r="AY429" s="215"/>
    </row>
    <row r="430">
      <c r="A430" s="80"/>
      <c r="B430" s="80"/>
      <c r="C430" s="80"/>
      <c r="D430" s="80"/>
      <c r="E430" s="215"/>
      <c r="F430" s="215"/>
      <c r="G430" s="215"/>
      <c r="H430" s="215"/>
      <c r="I430" s="215"/>
      <c r="J430" s="215"/>
      <c r="K430" s="215"/>
      <c r="L430" s="215"/>
      <c r="M430" s="215"/>
      <c r="N430" s="215"/>
      <c r="O430" s="215"/>
      <c r="P430" s="215"/>
      <c r="Q430" s="215"/>
      <c r="R430" s="215"/>
      <c r="S430" s="215"/>
      <c r="T430" s="215"/>
      <c r="U430" s="215"/>
      <c r="V430" s="215"/>
      <c r="W430" s="215"/>
      <c r="X430" s="215"/>
      <c r="Y430" s="215"/>
      <c r="Z430" s="215"/>
      <c r="AA430" s="215"/>
      <c r="AB430" s="215"/>
      <c r="AC430" s="215"/>
      <c r="AD430" s="215"/>
      <c r="AE430" s="215"/>
      <c r="AF430" s="215"/>
      <c r="AG430" s="215"/>
      <c r="AH430" s="215"/>
      <c r="AI430" s="215"/>
      <c r="AJ430" s="215"/>
      <c r="AK430" s="215"/>
      <c r="AL430" s="215"/>
      <c r="AM430" s="215"/>
      <c r="AN430" s="215"/>
      <c r="AO430" s="215"/>
      <c r="AP430" s="215"/>
      <c r="AQ430" s="215"/>
      <c r="AR430" s="215"/>
      <c r="AS430" s="215"/>
      <c r="AT430" s="215"/>
      <c r="AU430" s="215"/>
      <c r="AV430" s="215"/>
      <c r="AW430" s="215"/>
      <c r="AX430" s="215"/>
      <c r="AY430" s="215"/>
    </row>
    <row r="431">
      <c r="A431" s="80"/>
      <c r="B431" s="80"/>
      <c r="C431" s="80"/>
      <c r="D431" s="80"/>
      <c r="E431" s="215"/>
      <c r="F431" s="215"/>
      <c r="G431" s="215"/>
      <c r="H431" s="215"/>
      <c r="I431" s="215"/>
      <c r="J431" s="215"/>
      <c r="K431" s="215"/>
      <c r="L431" s="215"/>
      <c r="M431" s="215"/>
      <c r="N431" s="215"/>
      <c r="O431" s="215"/>
      <c r="P431" s="215"/>
      <c r="Q431" s="215"/>
      <c r="R431" s="215"/>
      <c r="S431" s="215"/>
      <c r="T431" s="215"/>
      <c r="U431" s="215"/>
      <c r="V431" s="215"/>
      <c r="W431" s="215"/>
      <c r="X431" s="215"/>
      <c r="Y431" s="215"/>
      <c r="Z431" s="215"/>
      <c r="AA431" s="215"/>
      <c r="AB431" s="215"/>
      <c r="AC431" s="215"/>
      <c r="AD431" s="215"/>
      <c r="AE431" s="215"/>
      <c r="AF431" s="215"/>
      <c r="AG431" s="215"/>
      <c r="AH431" s="215"/>
      <c r="AI431" s="215"/>
      <c r="AJ431" s="215"/>
      <c r="AK431" s="215"/>
      <c r="AL431" s="215"/>
      <c r="AM431" s="215"/>
      <c r="AN431" s="215"/>
      <c r="AO431" s="215"/>
      <c r="AP431" s="215"/>
      <c r="AQ431" s="215"/>
      <c r="AR431" s="215"/>
      <c r="AS431" s="215"/>
      <c r="AT431" s="215"/>
      <c r="AU431" s="215"/>
      <c r="AV431" s="215"/>
      <c r="AW431" s="215"/>
      <c r="AX431" s="215"/>
      <c r="AY431" s="215"/>
    </row>
    <row r="432">
      <c r="A432" s="80"/>
      <c r="B432" s="80"/>
      <c r="C432" s="80"/>
      <c r="D432" s="80"/>
      <c r="E432" s="215"/>
      <c r="F432" s="215"/>
      <c r="G432" s="215"/>
      <c r="H432" s="215"/>
      <c r="I432" s="215"/>
      <c r="J432" s="215"/>
      <c r="K432" s="215"/>
      <c r="L432" s="215"/>
      <c r="M432" s="215"/>
      <c r="N432" s="215"/>
      <c r="O432" s="215"/>
      <c r="P432" s="215"/>
      <c r="Q432" s="215"/>
      <c r="R432" s="215"/>
      <c r="S432" s="215"/>
      <c r="T432" s="215"/>
      <c r="U432" s="215"/>
      <c r="V432" s="215"/>
      <c r="W432" s="215"/>
      <c r="X432" s="215"/>
      <c r="Y432" s="215"/>
      <c r="Z432" s="215"/>
      <c r="AA432" s="215"/>
      <c r="AB432" s="215"/>
      <c r="AC432" s="215"/>
      <c r="AD432" s="215"/>
      <c r="AE432" s="215"/>
      <c r="AF432" s="215"/>
      <c r="AG432" s="215"/>
      <c r="AH432" s="215"/>
      <c r="AI432" s="215"/>
      <c r="AJ432" s="215"/>
      <c r="AK432" s="215"/>
      <c r="AL432" s="215"/>
      <c r="AM432" s="215"/>
      <c r="AN432" s="215"/>
      <c r="AO432" s="215"/>
      <c r="AP432" s="215"/>
      <c r="AQ432" s="215"/>
      <c r="AR432" s="215"/>
      <c r="AS432" s="215"/>
      <c r="AT432" s="215"/>
      <c r="AU432" s="215"/>
      <c r="AV432" s="215"/>
      <c r="AW432" s="215"/>
      <c r="AX432" s="215"/>
      <c r="AY432" s="215"/>
    </row>
    <row r="433">
      <c r="A433" s="80"/>
      <c r="B433" s="80"/>
      <c r="C433" s="80"/>
      <c r="D433" s="80"/>
      <c r="E433" s="215"/>
      <c r="F433" s="215"/>
      <c r="G433" s="215"/>
      <c r="H433" s="215"/>
      <c r="I433" s="215"/>
      <c r="J433" s="215"/>
      <c r="K433" s="215"/>
      <c r="L433" s="215"/>
      <c r="M433" s="215"/>
      <c r="N433" s="215"/>
      <c r="O433" s="215"/>
      <c r="P433" s="215"/>
      <c r="Q433" s="215"/>
      <c r="R433" s="215"/>
      <c r="S433" s="215"/>
      <c r="T433" s="215"/>
      <c r="U433" s="215"/>
      <c r="V433" s="215"/>
      <c r="W433" s="215"/>
      <c r="X433" s="215"/>
      <c r="Y433" s="215"/>
      <c r="Z433" s="215"/>
      <c r="AA433" s="215"/>
      <c r="AB433" s="215"/>
      <c r="AC433" s="215"/>
      <c r="AD433" s="215"/>
      <c r="AE433" s="215"/>
      <c r="AF433" s="215"/>
      <c r="AG433" s="215"/>
      <c r="AH433" s="215"/>
      <c r="AI433" s="215"/>
      <c r="AJ433" s="215"/>
      <c r="AK433" s="215"/>
      <c r="AL433" s="215"/>
      <c r="AM433" s="215"/>
      <c r="AN433" s="215"/>
      <c r="AO433" s="215"/>
      <c r="AP433" s="215"/>
      <c r="AQ433" s="215"/>
      <c r="AR433" s="215"/>
      <c r="AS433" s="215"/>
      <c r="AT433" s="215"/>
      <c r="AU433" s="215"/>
      <c r="AV433" s="215"/>
      <c r="AW433" s="215"/>
      <c r="AX433" s="215"/>
      <c r="AY433" s="215"/>
    </row>
    <row r="434">
      <c r="A434" s="80"/>
      <c r="B434" s="80"/>
      <c r="C434" s="80"/>
      <c r="D434" s="80"/>
      <c r="E434" s="215"/>
      <c r="F434" s="215"/>
      <c r="G434" s="215"/>
      <c r="H434" s="215"/>
      <c r="I434" s="215"/>
      <c r="J434" s="215"/>
      <c r="K434" s="215"/>
      <c r="L434" s="215"/>
      <c r="M434" s="215"/>
      <c r="N434" s="215"/>
      <c r="O434" s="215"/>
      <c r="P434" s="215"/>
      <c r="Q434" s="215"/>
      <c r="R434" s="215"/>
      <c r="S434" s="215"/>
      <c r="T434" s="215"/>
      <c r="U434" s="215"/>
      <c r="V434" s="215"/>
      <c r="W434" s="215"/>
      <c r="X434" s="215"/>
      <c r="Y434" s="215"/>
      <c r="Z434" s="215"/>
      <c r="AA434" s="215"/>
      <c r="AB434" s="215"/>
      <c r="AC434" s="215"/>
      <c r="AD434" s="215"/>
      <c r="AE434" s="215"/>
      <c r="AF434" s="215"/>
      <c r="AG434" s="215"/>
      <c r="AH434" s="215"/>
      <c r="AI434" s="215"/>
      <c r="AJ434" s="215"/>
      <c r="AK434" s="215"/>
      <c r="AL434" s="215"/>
      <c r="AM434" s="215"/>
      <c r="AN434" s="215"/>
      <c r="AO434" s="215"/>
      <c r="AP434" s="215"/>
      <c r="AQ434" s="215"/>
      <c r="AR434" s="215"/>
      <c r="AS434" s="215"/>
      <c r="AT434" s="215"/>
      <c r="AU434" s="215"/>
      <c r="AV434" s="215"/>
      <c r="AW434" s="215"/>
      <c r="AX434" s="215"/>
      <c r="AY434" s="215"/>
    </row>
    <row r="435">
      <c r="A435" s="80"/>
      <c r="B435" s="80"/>
      <c r="C435" s="80"/>
      <c r="D435" s="80"/>
      <c r="E435" s="215"/>
      <c r="F435" s="215"/>
      <c r="G435" s="215"/>
      <c r="H435" s="215"/>
      <c r="I435" s="215"/>
      <c r="J435" s="215"/>
      <c r="K435" s="215"/>
      <c r="L435" s="215"/>
      <c r="M435" s="215"/>
      <c r="N435" s="215"/>
      <c r="O435" s="215"/>
      <c r="P435" s="215"/>
      <c r="Q435" s="215"/>
      <c r="R435" s="215"/>
      <c r="S435" s="215"/>
      <c r="T435" s="215"/>
      <c r="U435" s="215"/>
      <c r="V435" s="215"/>
      <c r="W435" s="215"/>
      <c r="X435" s="215"/>
      <c r="Y435" s="215"/>
      <c r="Z435" s="215"/>
      <c r="AA435" s="215"/>
      <c r="AB435" s="215"/>
      <c r="AC435" s="215"/>
      <c r="AD435" s="215"/>
      <c r="AE435" s="215"/>
      <c r="AF435" s="215"/>
      <c r="AG435" s="215"/>
      <c r="AH435" s="215"/>
      <c r="AI435" s="215"/>
      <c r="AJ435" s="215"/>
      <c r="AK435" s="215"/>
      <c r="AL435" s="215"/>
      <c r="AM435" s="215"/>
      <c r="AN435" s="215"/>
      <c r="AO435" s="215"/>
      <c r="AP435" s="215"/>
      <c r="AQ435" s="215"/>
      <c r="AR435" s="215"/>
      <c r="AS435" s="215"/>
      <c r="AT435" s="215"/>
      <c r="AU435" s="215"/>
      <c r="AV435" s="215"/>
      <c r="AW435" s="215"/>
      <c r="AX435" s="215"/>
      <c r="AY435" s="215"/>
    </row>
    <row r="436">
      <c r="A436" s="80"/>
      <c r="B436" s="80"/>
      <c r="C436" s="80"/>
      <c r="D436" s="80"/>
      <c r="E436" s="215"/>
      <c r="F436" s="215"/>
      <c r="G436" s="215"/>
      <c r="H436" s="215"/>
      <c r="I436" s="215"/>
      <c r="J436" s="215"/>
      <c r="K436" s="215"/>
      <c r="L436" s="215"/>
      <c r="M436" s="215"/>
      <c r="N436" s="215"/>
      <c r="O436" s="215"/>
      <c r="P436" s="215"/>
      <c r="Q436" s="215"/>
      <c r="R436" s="215"/>
      <c r="S436" s="215"/>
      <c r="T436" s="215"/>
      <c r="U436" s="215"/>
      <c r="V436" s="215"/>
      <c r="W436" s="215"/>
      <c r="X436" s="215"/>
      <c r="Y436" s="215"/>
      <c r="Z436" s="215"/>
      <c r="AA436" s="215"/>
      <c r="AB436" s="215"/>
      <c r="AC436" s="215"/>
      <c r="AD436" s="215"/>
      <c r="AE436" s="215"/>
      <c r="AF436" s="215"/>
      <c r="AG436" s="215"/>
      <c r="AH436" s="215"/>
      <c r="AI436" s="215"/>
      <c r="AJ436" s="215"/>
      <c r="AK436" s="215"/>
      <c r="AL436" s="215"/>
      <c r="AM436" s="215"/>
      <c r="AN436" s="215"/>
      <c r="AO436" s="215"/>
      <c r="AP436" s="215"/>
      <c r="AQ436" s="215"/>
      <c r="AR436" s="215"/>
      <c r="AS436" s="215"/>
      <c r="AT436" s="215"/>
      <c r="AU436" s="215"/>
      <c r="AV436" s="215"/>
      <c r="AW436" s="215"/>
      <c r="AX436" s="215"/>
      <c r="AY436" s="215"/>
    </row>
    <row r="437">
      <c r="A437" s="80"/>
      <c r="B437" s="80"/>
      <c r="C437" s="80"/>
      <c r="D437" s="80"/>
      <c r="E437" s="215"/>
      <c r="F437" s="215"/>
      <c r="G437" s="215"/>
      <c r="H437" s="215"/>
      <c r="I437" s="215"/>
      <c r="J437" s="215"/>
      <c r="K437" s="215"/>
      <c r="L437" s="215"/>
      <c r="M437" s="215"/>
      <c r="N437" s="215"/>
      <c r="O437" s="215"/>
      <c r="P437" s="215"/>
      <c r="Q437" s="215"/>
      <c r="R437" s="215"/>
      <c r="S437" s="215"/>
      <c r="T437" s="215"/>
      <c r="U437" s="215"/>
      <c r="V437" s="215"/>
      <c r="W437" s="215"/>
      <c r="X437" s="215"/>
      <c r="Y437" s="215"/>
      <c r="Z437" s="215"/>
      <c r="AA437" s="215"/>
      <c r="AB437" s="215"/>
      <c r="AC437" s="215"/>
      <c r="AD437" s="215"/>
      <c r="AE437" s="215"/>
      <c r="AF437" s="215"/>
      <c r="AG437" s="215"/>
      <c r="AH437" s="215"/>
      <c r="AI437" s="215"/>
      <c r="AJ437" s="215"/>
      <c r="AK437" s="215"/>
      <c r="AL437" s="215"/>
      <c r="AM437" s="215"/>
      <c r="AN437" s="215"/>
      <c r="AO437" s="215"/>
      <c r="AP437" s="215"/>
      <c r="AQ437" s="215"/>
      <c r="AR437" s="215"/>
      <c r="AS437" s="215"/>
      <c r="AT437" s="215"/>
      <c r="AU437" s="215"/>
      <c r="AV437" s="215"/>
      <c r="AW437" s="215"/>
      <c r="AX437" s="215"/>
      <c r="AY437" s="215"/>
    </row>
    <row r="438">
      <c r="A438" s="80"/>
      <c r="B438" s="80"/>
      <c r="C438" s="80"/>
      <c r="D438" s="80"/>
      <c r="E438" s="215"/>
      <c r="F438" s="215"/>
      <c r="G438" s="215"/>
      <c r="H438" s="215"/>
      <c r="I438" s="215"/>
      <c r="J438" s="215"/>
      <c r="K438" s="215"/>
      <c r="L438" s="215"/>
      <c r="M438" s="215"/>
      <c r="N438" s="215"/>
      <c r="O438" s="215"/>
      <c r="P438" s="215"/>
      <c r="Q438" s="215"/>
      <c r="R438" s="215"/>
      <c r="S438" s="215"/>
      <c r="T438" s="215"/>
      <c r="U438" s="215"/>
      <c r="V438" s="215"/>
      <c r="W438" s="215"/>
      <c r="X438" s="215"/>
      <c r="Y438" s="215"/>
      <c r="Z438" s="215"/>
      <c r="AA438" s="215"/>
      <c r="AB438" s="215"/>
      <c r="AC438" s="215"/>
      <c r="AD438" s="215"/>
      <c r="AE438" s="215"/>
      <c r="AF438" s="215"/>
      <c r="AG438" s="215"/>
      <c r="AH438" s="215"/>
      <c r="AI438" s="215"/>
      <c r="AJ438" s="215"/>
      <c r="AK438" s="215"/>
      <c r="AL438" s="215"/>
      <c r="AM438" s="215"/>
      <c r="AN438" s="215"/>
      <c r="AO438" s="215"/>
      <c r="AP438" s="215"/>
      <c r="AQ438" s="215"/>
      <c r="AR438" s="215"/>
      <c r="AS438" s="215"/>
      <c r="AT438" s="215"/>
      <c r="AU438" s="215"/>
      <c r="AV438" s="215"/>
      <c r="AW438" s="215"/>
      <c r="AX438" s="215"/>
      <c r="AY438" s="215"/>
    </row>
    <row r="439">
      <c r="A439" s="80"/>
      <c r="B439" s="80"/>
      <c r="C439" s="80"/>
      <c r="D439" s="80"/>
      <c r="E439" s="215"/>
      <c r="F439" s="215"/>
      <c r="G439" s="215"/>
      <c r="H439" s="215"/>
      <c r="I439" s="215"/>
      <c r="J439" s="215"/>
      <c r="K439" s="215"/>
      <c r="L439" s="215"/>
      <c r="M439" s="215"/>
      <c r="N439" s="215"/>
      <c r="O439" s="215"/>
      <c r="P439" s="215"/>
      <c r="Q439" s="215"/>
      <c r="R439" s="215"/>
      <c r="S439" s="215"/>
      <c r="T439" s="215"/>
      <c r="U439" s="215"/>
      <c r="V439" s="215"/>
      <c r="W439" s="215"/>
      <c r="X439" s="215"/>
      <c r="Y439" s="215"/>
      <c r="Z439" s="215"/>
      <c r="AA439" s="215"/>
      <c r="AB439" s="215"/>
      <c r="AC439" s="215"/>
      <c r="AD439" s="215"/>
      <c r="AE439" s="215"/>
      <c r="AF439" s="215"/>
      <c r="AG439" s="215"/>
      <c r="AH439" s="215"/>
      <c r="AI439" s="215"/>
      <c r="AJ439" s="215"/>
      <c r="AK439" s="215"/>
      <c r="AL439" s="215"/>
      <c r="AM439" s="215"/>
      <c r="AN439" s="215"/>
      <c r="AO439" s="215"/>
      <c r="AP439" s="215"/>
      <c r="AQ439" s="215"/>
      <c r="AR439" s="215"/>
      <c r="AS439" s="215"/>
      <c r="AT439" s="215"/>
      <c r="AU439" s="215"/>
      <c r="AV439" s="215"/>
      <c r="AW439" s="215"/>
      <c r="AX439" s="215"/>
      <c r="AY439" s="215"/>
    </row>
    <row r="440">
      <c r="A440" s="80"/>
      <c r="B440" s="80"/>
      <c r="C440" s="80"/>
      <c r="D440" s="80"/>
      <c r="E440" s="215"/>
      <c r="F440" s="215"/>
      <c r="G440" s="215"/>
      <c r="H440" s="215"/>
      <c r="I440" s="215"/>
      <c r="J440" s="215"/>
      <c r="K440" s="215"/>
      <c r="L440" s="215"/>
      <c r="M440" s="215"/>
      <c r="N440" s="215"/>
      <c r="O440" s="215"/>
      <c r="P440" s="215"/>
      <c r="Q440" s="215"/>
      <c r="R440" s="215"/>
      <c r="S440" s="215"/>
      <c r="T440" s="215"/>
      <c r="U440" s="215"/>
      <c r="V440" s="215"/>
      <c r="W440" s="215"/>
      <c r="X440" s="215"/>
      <c r="Y440" s="215"/>
      <c r="Z440" s="215"/>
      <c r="AA440" s="215"/>
      <c r="AB440" s="215"/>
      <c r="AC440" s="215"/>
      <c r="AD440" s="215"/>
      <c r="AE440" s="215"/>
      <c r="AF440" s="215"/>
      <c r="AG440" s="215"/>
      <c r="AH440" s="215"/>
      <c r="AI440" s="215"/>
      <c r="AJ440" s="215"/>
      <c r="AK440" s="215"/>
      <c r="AL440" s="215"/>
      <c r="AM440" s="215"/>
      <c r="AN440" s="215"/>
      <c r="AO440" s="215"/>
      <c r="AP440" s="215"/>
      <c r="AQ440" s="215"/>
      <c r="AR440" s="215"/>
      <c r="AS440" s="215"/>
      <c r="AT440" s="215"/>
      <c r="AU440" s="215"/>
      <c r="AV440" s="215"/>
      <c r="AW440" s="215"/>
      <c r="AX440" s="215"/>
      <c r="AY440" s="215"/>
    </row>
    <row r="441">
      <c r="A441" s="80"/>
      <c r="B441" s="80"/>
      <c r="C441" s="80"/>
      <c r="D441" s="80"/>
      <c r="E441" s="215"/>
      <c r="F441" s="215"/>
      <c r="G441" s="215"/>
      <c r="H441" s="215"/>
      <c r="I441" s="215"/>
      <c r="J441" s="215"/>
      <c r="K441" s="215"/>
      <c r="L441" s="215"/>
      <c r="M441" s="215"/>
      <c r="N441" s="215"/>
      <c r="O441" s="215"/>
      <c r="P441" s="215"/>
      <c r="Q441" s="215"/>
      <c r="R441" s="215"/>
      <c r="S441" s="215"/>
      <c r="T441" s="215"/>
      <c r="U441" s="215"/>
      <c r="V441" s="215"/>
      <c r="W441" s="215"/>
      <c r="X441" s="215"/>
      <c r="Y441" s="215"/>
      <c r="Z441" s="215"/>
      <c r="AA441" s="215"/>
      <c r="AB441" s="215"/>
      <c r="AC441" s="215"/>
      <c r="AD441" s="215"/>
      <c r="AE441" s="215"/>
      <c r="AF441" s="215"/>
      <c r="AG441" s="215"/>
      <c r="AH441" s="215"/>
      <c r="AI441" s="215"/>
      <c r="AJ441" s="215"/>
      <c r="AK441" s="215"/>
      <c r="AL441" s="215"/>
      <c r="AM441" s="215"/>
      <c r="AN441" s="215"/>
      <c r="AO441" s="215"/>
      <c r="AP441" s="215"/>
      <c r="AQ441" s="215"/>
      <c r="AR441" s="215"/>
      <c r="AS441" s="215"/>
      <c r="AT441" s="215"/>
      <c r="AU441" s="215"/>
      <c r="AV441" s="215"/>
      <c r="AW441" s="215"/>
      <c r="AX441" s="215"/>
      <c r="AY441" s="215"/>
    </row>
    <row r="442">
      <c r="A442" s="80"/>
      <c r="B442" s="80"/>
      <c r="C442" s="80"/>
      <c r="D442" s="80"/>
      <c r="E442" s="215"/>
      <c r="F442" s="215"/>
      <c r="G442" s="215"/>
      <c r="H442" s="215"/>
      <c r="I442" s="215"/>
      <c r="J442" s="215"/>
      <c r="K442" s="215"/>
      <c r="L442" s="215"/>
      <c r="M442" s="215"/>
      <c r="N442" s="215"/>
      <c r="O442" s="215"/>
      <c r="P442" s="215"/>
      <c r="Q442" s="215"/>
      <c r="R442" s="215"/>
      <c r="S442" s="215"/>
      <c r="T442" s="215"/>
      <c r="U442" s="215"/>
      <c r="V442" s="215"/>
      <c r="W442" s="215"/>
      <c r="X442" s="215"/>
      <c r="Y442" s="215"/>
      <c r="Z442" s="215"/>
      <c r="AA442" s="215"/>
      <c r="AB442" s="215"/>
      <c r="AC442" s="215"/>
      <c r="AD442" s="215"/>
      <c r="AE442" s="215"/>
      <c r="AF442" s="215"/>
      <c r="AG442" s="215"/>
      <c r="AH442" s="215"/>
      <c r="AI442" s="215"/>
      <c r="AJ442" s="215"/>
      <c r="AK442" s="215"/>
      <c r="AL442" s="215"/>
      <c r="AM442" s="215"/>
      <c r="AN442" s="215"/>
      <c r="AO442" s="215"/>
      <c r="AP442" s="215"/>
      <c r="AQ442" s="215"/>
      <c r="AR442" s="215"/>
      <c r="AS442" s="215"/>
      <c r="AT442" s="215"/>
      <c r="AU442" s="215"/>
      <c r="AV442" s="215"/>
      <c r="AW442" s="215"/>
      <c r="AX442" s="215"/>
      <c r="AY442" s="215"/>
    </row>
    <row r="443">
      <c r="A443" s="80"/>
      <c r="B443" s="80"/>
      <c r="C443" s="80"/>
      <c r="D443" s="80"/>
      <c r="E443" s="215"/>
      <c r="F443" s="215"/>
      <c r="G443" s="215"/>
      <c r="H443" s="215"/>
      <c r="I443" s="215"/>
      <c r="J443" s="215"/>
      <c r="K443" s="215"/>
      <c r="L443" s="215"/>
      <c r="M443" s="215"/>
      <c r="N443" s="215"/>
      <c r="O443" s="215"/>
      <c r="P443" s="215"/>
      <c r="Q443" s="215"/>
      <c r="R443" s="215"/>
      <c r="S443" s="215"/>
      <c r="T443" s="215"/>
      <c r="U443" s="215"/>
      <c r="V443" s="215"/>
      <c r="W443" s="215"/>
      <c r="X443" s="215"/>
      <c r="Y443" s="215"/>
      <c r="Z443" s="215"/>
      <c r="AA443" s="215"/>
      <c r="AB443" s="215"/>
      <c r="AC443" s="215"/>
      <c r="AD443" s="215"/>
      <c r="AE443" s="215"/>
      <c r="AF443" s="215"/>
      <c r="AG443" s="215"/>
      <c r="AH443" s="215"/>
      <c r="AI443" s="215"/>
      <c r="AJ443" s="215"/>
      <c r="AK443" s="215"/>
      <c r="AL443" s="215"/>
      <c r="AM443" s="215"/>
      <c r="AN443" s="215"/>
      <c r="AO443" s="215"/>
      <c r="AP443" s="215"/>
      <c r="AQ443" s="215"/>
      <c r="AR443" s="215"/>
      <c r="AS443" s="215"/>
      <c r="AT443" s="215"/>
      <c r="AU443" s="215"/>
      <c r="AV443" s="215"/>
      <c r="AW443" s="215"/>
      <c r="AX443" s="215"/>
      <c r="AY443" s="215"/>
    </row>
    <row r="444">
      <c r="A444" s="80"/>
      <c r="B444" s="80"/>
      <c r="C444" s="80"/>
      <c r="D444" s="80"/>
      <c r="E444" s="215"/>
      <c r="F444" s="215"/>
      <c r="G444" s="215"/>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c r="AD444" s="215"/>
      <c r="AE444" s="215"/>
      <c r="AF444" s="215"/>
      <c r="AG444" s="215"/>
      <c r="AH444" s="215"/>
      <c r="AI444" s="215"/>
      <c r="AJ444" s="215"/>
      <c r="AK444" s="215"/>
      <c r="AL444" s="215"/>
      <c r="AM444" s="215"/>
      <c r="AN444" s="215"/>
      <c r="AO444" s="215"/>
      <c r="AP444" s="215"/>
      <c r="AQ444" s="215"/>
      <c r="AR444" s="215"/>
      <c r="AS444" s="215"/>
      <c r="AT444" s="215"/>
      <c r="AU444" s="215"/>
      <c r="AV444" s="215"/>
      <c r="AW444" s="215"/>
      <c r="AX444" s="215"/>
      <c r="AY444" s="215"/>
    </row>
    <row r="445">
      <c r="A445" s="80"/>
      <c r="B445" s="80"/>
      <c r="C445" s="80"/>
      <c r="D445" s="80"/>
      <c r="E445" s="215"/>
      <c r="F445" s="215"/>
      <c r="G445" s="215"/>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c r="AD445" s="215"/>
      <c r="AE445" s="215"/>
      <c r="AF445" s="215"/>
      <c r="AG445" s="215"/>
      <c r="AH445" s="215"/>
      <c r="AI445" s="215"/>
      <c r="AJ445" s="215"/>
      <c r="AK445" s="215"/>
      <c r="AL445" s="215"/>
      <c r="AM445" s="215"/>
      <c r="AN445" s="215"/>
      <c r="AO445" s="215"/>
      <c r="AP445" s="215"/>
      <c r="AQ445" s="215"/>
      <c r="AR445" s="215"/>
      <c r="AS445" s="215"/>
      <c r="AT445" s="215"/>
      <c r="AU445" s="215"/>
      <c r="AV445" s="215"/>
      <c r="AW445" s="215"/>
      <c r="AX445" s="215"/>
      <c r="AY445" s="215"/>
    </row>
    <row r="446">
      <c r="A446" s="80"/>
      <c r="B446" s="80"/>
      <c r="C446" s="80"/>
      <c r="D446" s="80"/>
      <c r="E446" s="215"/>
      <c r="F446" s="215"/>
      <c r="G446" s="215"/>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c r="AD446" s="215"/>
      <c r="AE446" s="215"/>
      <c r="AF446" s="215"/>
      <c r="AG446" s="215"/>
      <c r="AH446" s="215"/>
      <c r="AI446" s="215"/>
      <c r="AJ446" s="215"/>
      <c r="AK446" s="215"/>
      <c r="AL446" s="215"/>
      <c r="AM446" s="215"/>
      <c r="AN446" s="215"/>
      <c r="AO446" s="215"/>
      <c r="AP446" s="215"/>
      <c r="AQ446" s="215"/>
      <c r="AR446" s="215"/>
      <c r="AS446" s="215"/>
      <c r="AT446" s="215"/>
      <c r="AU446" s="215"/>
      <c r="AV446" s="215"/>
      <c r="AW446" s="215"/>
      <c r="AX446" s="215"/>
      <c r="AY446" s="215"/>
    </row>
    <row r="447">
      <c r="A447" s="80"/>
      <c r="B447" s="80"/>
      <c r="C447" s="80"/>
      <c r="D447" s="80"/>
      <c r="E447" s="215"/>
      <c r="F447" s="215"/>
      <c r="G447" s="215"/>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c r="AD447" s="215"/>
      <c r="AE447" s="215"/>
      <c r="AF447" s="215"/>
      <c r="AG447" s="215"/>
      <c r="AH447" s="215"/>
      <c r="AI447" s="215"/>
      <c r="AJ447" s="215"/>
      <c r="AK447" s="215"/>
      <c r="AL447" s="215"/>
      <c r="AM447" s="215"/>
      <c r="AN447" s="215"/>
      <c r="AO447" s="215"/>
      <c r="AP447" s="215"/>
      <c r="AQ447" s="215"/>
      <c r="AR447" s="215"/>
      <c r="AS447" s="215"/>
      <c r="AT447" s="215"/>
      <c r="AU447" s="215"/>
      <c r="AV447" s="215"/>
      <c r="AW447" s="215"/>
      <c r="AX447" s="215"/>
      <c r="AY447" s="215"/>
    </row>
    <row r="448">
      <c r="A448" s="80"/>
      <c r="B448" s="80"/>
      <c r="C448" s="80"/>
      <c r="D448" s="80"/>
      <c r="E448" s="215"/>
      <c r="F448" s="215"/>
      <c r="G448" s="215"/>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c r="AD448" s="215"/>
      <c r="AE448" s="215"/>
      <c r="AF448" s="215"/>
      <c r="AG448" s="215"/>
      <c r="AH448" s="215"/>
      <c r="AI448" s="215"/>
      <c r="AJ448" s="215"/>
      <c r="AK448" s="215"/>
      <c r="AL448" s="215"/>
      <c r="AM448" s="215"/>
      <c r="AN448" s="215"/>
      <c r="AO448" s="215"/>
      <c r="AP448" s="215"/>
      <c r="AQ448" s="215"/>
      <c r="AR448" s="215"/>
      <c r="AS448" s="215"/>
      <c r="AT448" s="215"/>
      <c r="AU448" s="215"/>
      <c r="AV448" s="215"/>
      <c r="AW448" s="215"/>
      <c r="AX448" s="215"/>
      <c r="AY448" s="215"/>
    </row>
    <row r="449">
      <c r="A449" s="80"/>
      <c r="B449" s="80"/>
      <c r="C449" s="80"/>
      <c r="D449" s="80"/>
      <c r="E449" s="215"/>
      <c r="F449" s="215"/>
      <c r="G449" s="215"/>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c r="AD449" s="215"/>
      <c r="AE449" s="215"/>
      <c r="AF449" s="215"/>
      <c r="AG449" s="215"/>
      <c r="AH449" s="215"/>
      <c r="AI449" s="215"/>
      <c r="AJ449" s="215"/>
      <c r="AK449" s="215"/>
      <c r="AL449" s="215"/>
      <c r="AM449" s="215"/>
      <c r="AN449" s="215"/>
      <c r="AO449" s="215"/>
      <c r="AP449" s="215"/>
      <c r="AQ449" s="215"/>
      <c r="AR449" s="215"/>
      <c r="AS449" s="215"/>
      <c r="AT449" s="215"/>
      <c r="AU449" s="215"/>
      <c r="AV449" s="215"/>
      <c r="AW449" s="215"/>
      <c r="AX449" s="215"/>
      <c r="AY449" s="215"/>
    </row>
    <row r="450">
      <c r="A450" s="80"/>
      <c r="B450" s="80"/>
      <c r="C450" s="80"/>
      <c r="D450" s="80"/>
      <c r="E450" s="215"/>
      <c r="F450" s="215"/>
      <c r="G450" s="215"/>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c r="AD450" s="215"/>
      <c r="AE450" s="215"/>
      <c r="AF450" s="215"/>
      <c r="AG450" s="215"/>
      <c r="AH450" s="215"/>
      <c r="AI450" s="215"/>
      <c r="AJ450" s="215"/>
      <c r="AK450" s="215"/>
      <c r="AL450" s="215"/>
      <c r="AM450" s="215"/>
      <c r="AN450" s="215"/>
      <c r="AO450" s="215"/>
      <c r="AP450" s="215"/>
      <c r="AQ450" s="215"/>
      <c r="AR450" s="215"/>
      <c r="AS450" s="215"/>
      <c r="AT450" s="215"/>
      <c r="AU450" s="215"/>
      <c r="AV450" s="215"/>
      <c r="AW450" s="215"/>
      <c r="AX450" s="215"/>
      <c r="AY450" s="215"/>
    </row>
    <row r="451">
      <c r="A451" s="80"/>
      <c r="B451" s="80"/>
      <c r="C451" s="80"/>
      <c r="D451" s="80"/>
      <c r="E451" s="215"/>
      <c r="F451" s="215"/>
      <c r="G451" s="215"/>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c r="AD451" s="215"/>
      <c r="AE451" s="215"/>
      <c r="AF451" s="215"/>
      <c r="AG451" s="215"/>
      <c r="AH451" s="215"/>
      <c r="AI451" s="215"/>
      <c r="AJ451" s="215"/>
      <c r="AK451" s="215"/>
      <c r="AL451" s="215"/>
      <c r="AM451" s="215"/>
      <c r="AN451" s="215"/>
      <c r="AO451" s="215"/>
      <c r="AP451" s="215"/>
      <c r="AQ451" s="215"/>
      <c r="AR451" s="215"/>
      <c r="AS451" s="215"/>
      <c r="AT451" s="215"/>
      <c r="AU451" s="215"/>
      <c r="AV451" s="215"/>
      <c r="AW451" s="215"/>
      <c r="AX451" s="215"/>
      <c r="AY451" s="215"/>
    </row>
    <row r="452">
      <c r="A452" s="80"/>
      <c r="B452" s="80"/>
      <c r="C452" s="80"/>
      <c r="D452" s="80"/>
      <c r="E452" s="215"/>
      <c r="F452" s="215"/>
      <c r="G452" s="215"/>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c r="AD452" s="215"/>
      <c r="AE452" s="215"/>
      <c r="AF452" s="215"/>
      <c r="AG452" s="215"/>
      <c r="AH452" s="215"/>
      <c r="AI452" s="215"/>
      <c r="AJ452" s="215"/>
      <c r="AK452" s="215"/>
      <c r="AL452" s="215"/>
      <c r="AM452" s="215"/>
      <c r="AN452" s="215"/>
      <c r="AO452" s="215"/>
      <c r="AP452" s="215"/>
      <c r="AQ452" s="215"/>
      <c r="AR452" s="215"/>
      <c r="AS452" s="215"/>
      <c r="AT452" s="215"/>
      <c r="AU452" s="215"/>
      <c r="AV452" s="215"/>
      <c r="AW452" s="215"/>
      <c r="AX452" s="215"/>
      <c r="AY452" s="215"/>
    </row>
    <row r="453">
      <c r="A453" s="80"/>
      <c r="B453" s="80"/>
      <c r="C453" s="80"/>
      <c r="D453" s="80"/>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15"/>
      <c r="AH453" s="215"/>
      <c r="AI453" s="215"/>
      <c r="AJ453" s="215"/>
      <c r="AK453" s="215"/>
      <c r="AL453" s="215"/>
      <c r="AM453" s="215"/>
      <c r="AN453" s="215"/>
      <c r="AO453" s="215"/>
      <c r="AP453" s="215"/>
      <c r="AQ453" s="215"/>
      <c r="AR453" s="215"/>
      <c r="AS453" s="215"/>
      <c r="AT453" s="215"/>
      <c r="AU453" s="215"/>
      <c r="AV453" s="215"/>
      <c r="AW453" s="215"/>
      <c r="AX453" s="215"/>
      <c r="AY453" s="215"/>
    </row>
    <row r="454">
      <c r="A454" s="80"/>
      <c r="B454" s="80"/>
      <c r="C454" s="80"/>
      <c r="D454" s="80"/>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15"/>
      <c r="AH454" s="215"/>
      <c r="AI454" s="215"/>
      <c r="AJ454" s="215"/>
      <c r="AK454" s="215"/>
      <c r="AL454" s="215"/>
      <c r="AM454" s="215"/>
      <c r="AN454" s="215"/>
      <c r="AO454" s="215"/>
      <c r="AP454" s="215"/>
      <c r="AQ454" s="215"/>
      <c r="AR454" s="215"/>
      <c r="AS454" s="215"/>
      <c r="AT454" s="215"/>
      <c r="AU454" s="215"/>
      <c r="AV454" s="215"/>
      <c r="AW454" s="215"/>
      <c r="AX454" s="215"/>
      <c r="AY454" s="215"/>
    </row>
    <row r="455">
      <c r="A455" s="80"/>
      <c r="B455" s="80"/>
      <c r="C455" s="80"/>
      <c r="D455" s="80"/>
      <c r="E455" s="215"/>
      <c r="F455" s="215"/>
      <c r="G455" s="215"/>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c r="AD455" s="215"/>
      <c r="AE455" s="215"/>
      <c r="AF455" s="215"/>
      <c r="AG455" s="215"/>
      <c r="AH455" s="215"/>
      <c r="AI455" s="215"/>
      <c r="AJ455" s="215"/>
      <c r="AK455" s="215"/>
      <c r="AL455" s="215"/>
      <c r="AM455" s="215"/>
      <c r="AN455" s="215"/>
      <c r="AO455" s="215"/>
      <c r="AP455" s="215"/>
      <c r="AQ455" s="215"/>
      <c r="AR455" s="215"/>
      <c r="AS455" s="215"/>
      <c r="AT455" s="215"/>
      <c r="AU455" s="215"/>
      <c r="AV455" s="215"/>
      <c r="AW455" s="215"/>
      <c r="AX455" s="215"/>
      <c r="AY455" s="215"/>
    </row>
    <row r="456">
      <c r="A456" s="80"/>
      <c r="B456" s="80"/>
      <c r="C456" s="80"/>
      <c r="D456" s="80"/>
      <c r="E456" s="215"/>
      <c r="F456" s="215"/>
      <c r="G456" s="215"/>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c r="AD456" s="215"/>
      <c r="AE456" s="215"/>
      <c r="AF456" s="215"/>
      <c r="AG456" s="215"/>
      <c r="AH456" s="215"/>
      <c r="AI456" s="215"/>
      <c r="AJ456" s="215"/>
      <c r="AK456" s="215"/>
      <c r="AL456" s="215"/>
      <c r="AM456" s="215"/>
      <c r="AN456" s="215"/>
      <c r="AO456" s="215"/>
      <c r="AP456" s="215"/>
      <c r="AQ456" s="215"/>
      <c r="AR456" s="215"/>
      <c r="AS456" s="215"/>
      <c r="AT456" s="215"/>
      <c r="AU456" s="215"/>
      <c r="AV456" s="215"/>
      <c r="AW456" s="215"/>
      <c r="AX456" s="215"/>
      <c r="AY456" s="215"/>
    </row>
    <row r="457">
      <c r="A457" s="80"/>
      <c r="B457" s="80"/>
      <c r="C457" s="80"/>
      <c r="D457" s="80"/>
      <c r="E457" s="215"/>
      <c r="F457" s="215"/>
      <c r="G457" s="215"/>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c r="AD457" s="215"/>
      <c r="AE457" s="215"/>
      <c r="AF457" s="215"/>
      <c r="AG457" s="215"/>
      <c r="AH457" s="215"/>
      <c r="AI457" s="215"/>
      <c r="AJ457" s="215"/>
      <c r="AK457" s="215"/>
      <c r="AL457" s="215"/>
      <c r="AM457" s="215"/>
      <c r="AN457" s="215"/>
      <c r="AO457" s="215"/>
      <c r="AP457" s="215"/>
      <c r="AQ457" s="215"/>
      <c r="AR457" s="215"/>
      <c r="AS457" s="215"/>
      <c r="AT457" s="215"/>
      <c r="AU457" s="215"/>
      <c r="AV457" s="215"/>
      <c r="AW457" s="215"/>
      <c r="AX457" s="215"/>
      <c r="AY457" s="215"/>
    </row>
    <row r="458">
      <c r="A458" s="80"/>
      <c r="B458" s="80"/>
      <c r="C458" s="80"/>
      <c r="D458" s="80"/>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15"/>
      <c r="AH458" s="215"/>
      <c r="AI458" s="215"/>
      <c r="AJ458" s="215"/>
      <c r="AK458" s="215"/>
      <c r="AL458" s="215"/>
      <c r="AM458" s="215"/>
      <c r="AN458" s="215"/>
      <c r="AO458" s="215"/>
      <c r="AP458" s="215"/>
      <c r="AQ458" s="215"/>
      <c r="AR458" s="215"/>
      <c r="AS458" s="215"/>
      <c r="AT458" s="215"/>
      <c r="AU458" s="215"/>
      <c r="AV458" s="215"/>
      <c r="AW458" s="215"/>
      <c r="AX458" s="215"/>
      <c r="AY458" s="215"/>
    </row>
    <row r="459">
      <c r="A459" s="80"/>
      <c r="B459" s="80"/>
      <c r="C459" s="80"/>
      <c r="D459" s="80"/>
      <c r="E459" s="215"/>
      <c r="F459" s="215"/>
      <c r="G459" s="215"/>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c r="AD459" s="215"/>
      <c r="AE459" s="215"/>
      <c r="AF459" s="215"/>
      <c r="AG459" s="215"/>
      <c r="AH459" s="215"/>
      <c r="AI459" s="215"/>
      <c r="AJ459" s="215"/>
      <c r="AK459" s="215"/>
      <c r="AL459" s="215"/>
      <c r="AM459" s="215"/>
      <c r="AN459" s="215"/>
      <c r="AO459" s="215"/>
      <c r="AP459" s="215"/>
      <c r="AQ459" s="215"/>
      <c r="AR459" s="215"/>
      <c r="AS459" s="215"/>
      <c r="AT459" s="215"/>
      <c r="AU459" s="215"/>
      <c r="AV459" s="215"/>
      <c r="AW459" s="215"/>
      <c r="AX459" s="215"/>
      <c r="AY459" s="215"/>
    </row>
    <row r="460">
      <c r="A460" s="80"/>
      <c r="B460" s="80"/>
      <c r="C460" s="80"/>
      <c r="D460" s="80"/>
      <c r="E460" s="215"/>
      <c r="F460" s="215"/>
      <c r="G460" s="215"/>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c r="AD460" s="215"/>
      <c r="AE460" s="215"/>
      <c r="AF460" s="215"/>
      <c r="AG460" s="215"/>
      <c r="AH460" s="215"/>
      <c r="AI460" s="215"/>
      <c r="AJ460" s="215"/>
      <c r="AK460" s="215"/>
      <c r="AL460" s="215"/>
      <c r="AM460" s="215"/>
      <c r="AN460" s="215"/>
      <c r="AO460" s="215"/>
      <c r="AP460" s="215"/>
      <c r="AQ460" s="215"/>
      <c r="AR460" s="215"/>
      <c r="AS460" s="215"/>
      <c r="AT460" s="215"/>
      <c r="AU460" s="215"/>
      <c r="AV460" s="215"/>
      <c r="AW460" s="215"/>
      <c r="AX460" s="215"/>
      <c r="AY460" s="215"/>
    </row>
    <row r="461">
      <c r="A461" s="80"/>
      <c r="B461" s="80"/>
      <c r="C461" s="80"/>
      <c r="D461" s="80"/>
      <c r="E461" s="215"/>
      <c r="F461" s="215"/>
      <c r="G461" s="215"/>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c r="AD461" s="215"/>
      <c r="AE461" s="215"/>
      <c r="AF461" s="215"/>
      <c r="AG461" s="215"/>
      <c r="AH461" s="215"/>
      <c r="AI461" s="215"/>
      <c r="AJ461" s="215"/>
      <c r="AK461" s="215"/>
      <c r="AL461" s="215"/>
      <c r="AM461" s="215"/>
      <c r="AN461" s="215"/>
      <c r="AO461" s="215"/>
      <c r="AP461" s="215"/>
      <c r="AQ461" s="215"/>
      <c r="AR461" s="215"/>
      <c r="AS461" s="215"/>
      <c r="AT461" s="215"/>
      <c r="AU461" s="215"/>
      <c r="AV461" s="215"/>
      <c r="AW461" s="215"/>
      <c r="AX461" s="215"/>
      <c r="AY461" s="215"/>
    </row>
    <row r="462">
      <c r="A462" s="80"/>
      <c r="B462" s="80"/>
      <c r="C462" s="80"/>
      <c r="D462" s="80"/>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15"/>
      <c r="AH462" s="215"/>
      <c r="AI462" s="215"/>
      <c r="AJ462" s="215"/>
      <c r="AK462" s="215"/>
      <c r="AL462" s="215"/>
      <c r="AM462" s="215"/>
      <c r="AN462" s="215"/>
      <c r="AO462" s="215"/>
      <c r="AP462" s="215"/>
      <c r="AQ462" s="215"/>
      <c r="AR462" s="215"/>
      <c r="AS462" s="215"/>
      <c r="AT462" s="215"/>
      <c r="AU462" s="215"/>
      <c r="AV462" s="215"/>
      <c r="AW462" s="215"/>
      <c r="AX462" s="215"/>
      <c r="AY462" s="215"/>
    </row>
    <row r="463">
      <c r="A463" s="80"/>
      <c r="B463" s="80"/>
      <c r="C463" s="80"/>
      <c r="D463" s="80"/>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15"/>
      <c r="AH463" s="215"/>
      <c r="AI463" s="215"/>
      <c r="AJ463" s="215"/>
      <c r="AK463" s="215"/>
      <c r="AL463" s="215"/>
      <c r="AM463" s="215"/>
      <c r="AN463" s="215"/>
      <c r="AO463" s="215"/>
      <c r="AP463" s="215"/>
      <c r="AQ463" s="215"/>
      <c r="AR463" s="215"/>
      <c r="AS463" s="215"/>
      <c r="AT463" s="215"/>
      <c r="AU463" s="215"/>
      <c r="AV463" s="215"/>
      <c r="AW463" s="215"/>
      <c r="AX463" s="215"/>
      <c r="AY463" s="215"/>
    </row>
    <row r="464">
      <c r="A464" s="80"/>
      <c r="B464" s="80"/>
      <c r="C464" s="80"/>
      <c r="D464" s="80"/>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15"/>
      <c r="AH464" s="215"/>
      <c r="AI464" s="215"/>
      <c r="AJ464" s="215"/>
      <c r="AK464" s="215"/>
      <c r="AL464" s="215"/>
      <c r="AM464" s="215"/>
      <c r="AN464" s="215"/>
      <c r="AO464" s="215"/>
      <c r="AP464" s="215"/>
      <c r="AQ464" s="215"/>
      <c r="AR464" s="215"/>
      <c r="AS464" s="215"/>
      <c r="AT464" s="215"/>
      <c r="AU464" s="215"/>
      <c r="AV464" s="215"/>
      <c r="AW464" s="215"/>
      <c r="AX464" s="215"/>
      <c r="AY464" s="215"/>
    </row>
    <row r="465">
      <c r="A465" s="80"/>
      <c r="B465" s="80"/>
      <c r="C465" s="80"/>
      <c r="D465" s="80"/>
      <c r="E465" s="215"/>
      <c r="F465" s="215"/>
      <c r="G465" s="215"/>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c r="AD465" s="215"/>
      <c r="AE465" s="215"/>
      <c r="AF465" s="215"/>
      <c r="AG465" s="215"/>
      <c r="AH465" s="215"/>
      <c r="AI465" s="215"/>
      <c r="AJ465" s="215"/>
      <c r="AK465" s="215"/>
      <c r="AL465" s="215"/>
      <c r="AM465" s="215"/>
      <c r="AN465" s="215"/>
      <c r="AO465" s="215"/>
      <c r="AP465" s="215"/>
      <c r="AQ465" s="215"/>
      <c r="AR465" s="215"/>
      <c r="AS465" s="215"/>
      <c r="AT465" s="215"/>
      <c r="AU465" s="215"/>
      <c r="AV465" s="215"/>
      <c r="AW465" s="215"/>
      <c r="AX465" s="215"/>
      <c r="AY465" s="215"/>
    </row>
    <row r="466">
      <c r="A466" s="80"/>
      <c r="B466" s="80"/>
      <c r="C466" s="80"/>
      <c r="D466" s="80"/>
      <c r="E466" s="215"/>
      <c r="F466" s="215"/>
      <c r="G466" s="215"/>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c r="AD466" s="215"/>
      <c r="AE466" s="215"/>
      <c r="AF466" s="215"/>
      <c r="AG466" s="215"/>
      <c r="AH466" s="215"/>
      <c r="AI466" s="215"/>
      <c r="AJ466" s="215"/>
      <c r="AK466" s="215"/>
      <c r="AL466" s="215"/>
      <c r="AM466" s="215"/>
      <c r="AN466" s="215"/>
      <c r="AO466" s="215"/>
      <c r="AP466" s="215"/>
      <c r="AQ466" s="215"/>
      <c r="AR466" s="215"/>
      <c r="AS466" s="215"/>
      <c r="AT466" s="215"/>
      <c r="AU466" s="215"/>
      <c r="AV466" s="215"/>
      <c r="AW466" s="215"/>
      <c r="AX466" s="215"/>
      <c r="AY466" s="215"/>
    </row>
    <row r="467">
      <c r="A467" s="80"/>
      <c r="B467" s="80"/>
      <c r="C467" s="80"/>
      <c r="D467" s="80"/>
      <c r="E467" s="215"/>
      <c r="F467" s="215"/>
      <c r="G467" s="215"/>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c r="AD467" s="215"/>
      <c r="AE467" s="215"/>
      <c r="AF467" s="215"/>
      <c r="AG467" s="215"/>
      <c r="AH467" s="215"/>
      <c r="AI467" s="215"/>
      <c r="AJ467" s="215"/>
      <c r="AK467" s="215"/>
      <c r="AL467" s="215"/>
      <c r="AM467" s="215"/>
      <c r="AN467" s="215"/>
      <c r="AO467" s="215"/>
      <c r="AP467" s="215"/>
      <c r="AQ467" s="215"/>
      <c r="AR467" s="215"/>
      <c r="AS467" s="215"/>
      <c r="AT467" s="215"/>
      <c r="AU467" s="215"/>
      <c r="AV467" s="215"/>
      <c r="AW467" s="215"/>
      <c r="AX467" s="215"/>
      <c r="AY467" s="215"/>
    </row>
    <row r="468">
      <c r="A468" s="80"/>
      <c r="B468" s="80"/>
      <c r="C468" s="80"/>
      <c r="D468" s="80"/>
      <c r="E468" s="215"/>
      <c r="F468" s="215"/>
      <c r="G468" s="215"/>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c r="AD468" s="215"/>
      <c r="AE468" s="215"/>
      <c r="AF468" s="215"/>
      <c r="AG468" s="215"/>
      <c r="AH468" s="215"/>
      <c r="AI468" s="215"/>
      <c r="AJ468" s="215"/>
      <c r="AK468" s="215"/>
      <c r="AL468" s="215"/>
      <c r="AM468" s="215"/>
      <c r="AN468" s="215"/>
      <c r="AO468" s="215"/>
      <c r="AP468" s="215"/>
      <c r="AQ468" s="215"/>
      <c r="AR468" s="215"/>
      <c r="AS468" s="215"/>
      <c r="AT468" s="215"/>
      <c r="AU468" s="215"/>
      <c r="AV468" s="215"/>
      <c r="AW468" s="215"/>
      <c r="AX468" s="215"/>
      <c r="AY468" s="215"/>
    </row>
    <row r="469">
      <c r="A469" s="80"/>
      <c r="B469" s="80"/>
      <c r="C469" s="80"/>
      <c r="D469" s="80"/>
      <c r="E469" s="215"/>
      <c r="F469" s="215"/>
      <c r="G469" s="215"/>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c r="AD469" s="215"/>
      <c r="AE469" s="215"/>
      <c r="AF469" s="215"/>
      <c r="AG469" s="215"/>
      <c r="AH469" s="215"/>
      <c r="AI469" s="215"/>
      <c r="AJ469" s="215"/>
      <c r="AK469" s="215"/>
      <c r="AL469" s="215"/>
      <c r="AM469" s="215"/>
      <c r="AN469" s="215"/>
      <c r="AO469" s="215"/>
      <c r="AP469" s="215"/>
      <c r="AQ469" s="215"/>
      <c r="AR469" s="215"/>
      <c r="AS469" s="215"/>
      <c r="AT469" s="215"/>
      <c r="AU469" s="215"/>
      <c r="AV469" s="215"/>
      <c r="AW469" s="215"/>
      <c r="AX469" s="215"/>
      <c r="AY469" s="215"/>
    </row>
    <row r="470">
      <c r="A470" s="80"/>
      <c r="B470" s="80"/>
      <c r="C470" s="80"/>
      <c r="D470" s="80"/>
      <c r="E470" s="215"/>
      <c r="F470" s="215"/>
      <c r="G470" s="215"/>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c r="AD470" s="215"/>
      <c r="AE470" s="215"/>
      <c r="AF470" s="215"/>
      <c r="AG470" s="215"/>
      <c r="AH470" s="215"/>
      <c r="AI470" s="215"/>
      <c r="AJ470" s="215"/>
      <c r="AK470" s="215"/>
      <c r="AL470" s="215"/>
      <c r="AM470" s="215"/>
      <c r="AN470" s="215"/>
      <c r="AO470" s="215"/>
      <c r="AP470" s="215"/>
      <c r="AQ470" s="215"/>
      <c r="AR470" s="215"/>
      <c r="AS470" s="215"/>
      <c r="AT470" s="215"/>
      <c r="AU470" s="215"/>
      <c r="AV470" s="215"/>
      <c r="AW470" s="215"/>
      <c r="AX470" s="215"/>
      <c r="AY470" s="215"/>
    </row>
    <row r="471">
      <c r="A471" s="80"/>
      <c r="B471" s="80"/>
      <c r="C471" s="80"/>
      <c r="D471" s="80"/>
      <c r="E471" s="215"/>
      <c r="F471" s="215"/>
      <c r="G471" s="215"/>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c r="AD471" s="215"/>
      <c r="AE471" s="215"/>
      <c r="AF471" s="215"/>
      <c r="AG471" s="215"/>
      <c r="AH471" s="215"/>
      <c r="AI471" s="215"/>
      <c r="AJ471" s="215"/>
      <c r="AK471" s="215"/>
      <c r="AL471" s="215"/>
      <c r="AM471" s="215"/>
      <c r="AN471" s="215"/>
      <c r="AO471" s="215"/>
      <c r="AP471" s="215"/>
      <c r="AQ471" s="215"/>
      <c r="AR471" s="215"/>
      <c r="AS471" s="215"/>
      <c r="AT471" s="215"/>
      <c r="AU471" s="215"/>
      <c r="AV471" s="215"/>
      <c r="AW471" s="215"/>
      <c r="AX471" s="215"/>
      <c r="AY471" s="215"/>
    </row>
    <row r="472">
      <c r="A472" s="80"/>
      <c r="B472" s="80"/>
      <c r="C472" s="80"/>
      <c r="D472" s="80"/>
      <c r="E472" s="215"/>
      <c r="F472" s="215"/>
      <c r="G472" s="215"/>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c r="AD472" s="215"/>
      <c r="AE472" s="215"/>
      <c r="AF472" s="215"/>
      <c r="AG472" s="215"/>
      <c r="AH472" s="215"/>
      <c r="AI472" s="215"/>
      <c r="AJ472" s="215"/>
      <c r="AK472" s="215"/>
      <c r="AL472" s="215"/>
      <c r="AM472" s="215"/>
      <c r="AN472" s="215"/>
      <c r="AO472" s="215"/>
      <c r="AP472" s="215"/>
      <c r="AQ472" s="215"/>
      <c r="AR472" s="215"/>
      <c r="AS472" s="215"/>
      <c r="AT472" s="215"/>
      <c r="AU472" s="215"/>
      <c r="AV472" s="215"/>
      <c r="AW472" s="215"/>
      <c r="AX472" s="215"/>
      <c r="AY472" s="215"/>
    </row>
    <row r="473">
      <c r="A473" s="80"/>
      <c r="B473" s="80"/>
      <c r="C473" s="80"/>
      <c r="D473" s="80"/>
      <c r="E473" s="215"/>
      <c r="F473" s="215"/>
      <c r="G473" s="215"/>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c r="AD473" s="215"/>
      <c r="AE473" s="215"/>
      <c r="AF473" s="215"/>
      <c r="AG473" s="215"/>
      <c r="AH473" s="215"/>
      <c r="AI473" s="215"/>
      <c r="AJ473" s="215"/>
      <c r="AK473" s="215"/>
      <c r="AL473" s="215"/>
      <c r="AM473" s="215"/>
      <c r="AN473" s="215"/>
      <c r="AO473" s="215"/>
      <c r="AP473" s="215"/>
      <c r="AQ473" s="215"/>
      <c r="AR473" s="215"/>
      <c r="AS473" s="215"/>
      <c r="AT473" s="215"/>
      <c r="AU473" s="215"/>
      <c r="AV473" s="215"/>
      <c r="AW473" s="215"/>
      <c r="AX473" s="215"/>
      <c r="AY473" s="215"/>
    </row>
    <row r="474">
      <c r="A474" s="80"/>
      <c r="B474" s="80"/>
      <c r="C474" s="80"/>
      <c r="D474" s="80"/>
      <c r="E474" s="215"/>
      <c r="F474" s="215"/>
      <c r="G474" s="215"/>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c r="AD474" s="215"/>
      <c r="AE474" s="215"/>
      <c r="AF474" s="215"/>
      <c r="AG474" s="215"/>
      <c r="AH474" s="215"/>
      <c r="AI474" s="215"/>
      <c r="AJ474" s="215"/>
      <c r="AK474" s="215"/>
      <c r="AL474" s="215"/>
      <c r="AM474" s="215"/>
      <c r="AN474" s="215"/>
      <c r="AO474" s="215"/>
      <c r="AP474" s="215"/>
      <c r="AQ474" s="215"/>
      <c r="AR474" s="215"/>
      <c r="AS474" s="215"/>
      <c r="AT474" s="215"/>
      <c r="AU474" s="215"/>
      <c r="AV474" s="215"/>
      <c r="AW474" s="215"/>
      <c r="AX474" s="215"/>
      <c r="AY474" s="215"/>
    </row>
    <row r="475">
      <c r="A475" s="80"/>
      <c r="B475" s="80"/>
      <c r="C475" s="80"/>
      <c r="D475" s="80"/>
      <c r="E475" s="215"/>
      <c r="F475" s="215"/>
      <c r="G475" s="215"/>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c r="AD475" s="215"/>
      <c r="AE475" s="215"/>
      <c r="AF475" s="215"/>
      <c r="AG475" s="215"/>
      <c r="AH475" s="215"/>
      <c r="AI475" s="215"/>
      <c r="AJ475" s="215"/>
      <c r="AK475" s="215"/>
      <c r="AL475" s="215"/>
      <c r="AM475" s="215"/>
      <c r="AN475" s="215"/>
      <c r="AO475" s="215"/>
      <c r="AP475" s="215"/>
      <c r="AQ475" s="215"/>
      <c r="AR475" s="215"/>
      <c r="AS475" s="215"/>
      <c r="AT475" s="215"/>
      <c r="AU475" s="215"/>
      <c r="AV475" s="215"/>
      <c r="AW475" s="215"/>
      <c r="AX475" s="215"/>
      <c r="AY475" s="215"/>
    </row>
    <row r="476">
      <c r="A476" s="80"/>
      <c r="B476" s="80"/>
      <c r="C476" s="80"/>
      <c r="D476" s="80"/>
      <c r="E476" s="215"/>
      <c r="F476" s="215"/>
      <c r="G476" s="215"/>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c r="AD476" s="215"/>
      <c r="AE476" s="215"/>
      <c r="AF476" s="215"/>
      <c r="AG476" s="215"/>
      <c r="AH476" s="215"/>
      <c r="AI476" s="215"/>
      <c r="AJ476" s="215"/>
      <c r="AK476" s="215"/>
      <c r="AL476" s="215"/>
      <c r="AM476" s="215"/>
      <c r="AN476" s="215"/>
      <c r="AO476" s="215"/>
      <c r="AP476" s="215"/>
      <c r="AQ476" s="215"/>
      <c r="AR476" s="215"/>
      <c r="AS476" s="215"/>
      <c r="AT476" s="215"/>
      <c r="AU476" s="215"/>
      <c r="AV476" s="215"/>
      <c r="AW476" s="215"/>
      <c r="AX476" s="215"/>
      <c r="AY476" s="215"/>
    </row>
    <row r="477">
      <c r="A477" s="80"/>
      <c r="B477" s="80"/>
      <c r="C477" s="80"/>
      <c r="D477" s="80"/>
      <c r="E477" s="215"/>
      <c r="F477" s="215"/>
      <c r="G477" s="215"/>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c r="AD477" s="215"/>
      <c r="AE477" s="215"/>
      <c r="AF477" s="215"/>
      <c r="AG477" s="215"/>
      <c r="AH477" s="215"/>
      <c r="AI477" s="215"/>
      <c r="AJ477" s="215"/>
      <c r="AK477" s="215"/>
      <c r="AL477" s="215"/>
      <c r="AM477" s="215"/>
      <c r="AN477" s="215"/>
      <c r="AO477" s="215"/>
      <c r="AP477" s="215"/>
      <c r="AQ477" s="215"/>
      <c r="AR477" s="215"/>
      <c r="AS477" s="215"/>
      <c r="AT477" s="215"/>
      <c r="AU477" s="215"/>
      <c r="AV477" s="215"/>
      <c r="AW477" s="215"/>
      <c r="AX477" s="215"/>
      <c r="AY477" s="215"/>
    </row>
    <row r="478">
      <c r="A478" s="80"/>
      <c r="B478" s="80"/>
      <c r="C478" s="80"/>
      <c r="D478" s="80"/>
      <c r="E478" s="215"/>
      <c r="F478" s="215"/>
      <c r="G478" s="215"/>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c r="AD478" s="215"/>
      <c r="AE478" s="215"/>
      <c r="AF478" s="215"/>
      <c r="AG478" s="215"/>
      <c r="AH478" s="215"/>
      <c r="AI478" s="215"/>
      <c r="AJ478" s="215"/>
      <c r="AK478" s="215"/>
      <c r="AL478" s="215"/>
      <c r="AM478" s="215"/>
      <c r="AN478" s="215"/>
      <c r="AO478" s="215"/>
      <c r="AP478" s="215"/>
      <c r="AQ478" s="215"/>
      <c r="AR478" s="215"/>
      <c r="AS478" s="215"/>
      <c r="AT478" s="215"/>
      <c r="AU478" s="215"/>
      <c r="AV478" s="215"/>
      <c r="AW478" s="215"/>
      <c r="AX478" s="215"/>
      <c r="AY478" s="215"/>
    </row>
    <row r="479">
      <c r="A479" s="80"/>
      <c r="B479" s="80"/>
      <c r="C479" s="80"/>
      <c r="D479" s="80"/>
      <c r="E479" s="215"/>
      <c r="F479" s="215"/>
      <c r="G479" s="215"/>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c r="AD479" s="215"/>
      <c r="AE479" s="215"/>
      <c r="AF479" s="215"/>
      <c r="AG479" s="215"/>
      <c r="AH479" s="215"/>
      <c r="AI479" s="215"/>
      <c r="AJ479" s="215"/>
      <c r="AK479" s="215"/>
      <c r="AL479" s="215"/>
      <c r="AM479" s="215"/>
      <c r="AN479" s="215"/>
      <c r="AO479" s="215"/>
      <c r="AP479" s="215"/>
      <c r="AQ479" s="215"/>
      <c r="AR479" s="215"/>
      <c r="AS479" s="215"/>
      <c r="AT479" s="215"/>
      <c r="AU479" s="215"/>
      <c r="AV479" s="215"/>
      <c r="AW479" s="215"/>
      <c r="AX479" s="215"/>
      <c r="AY479" s="215"/>
    </row>
    <row r="480">
      <c r="A480" s="80"/>
      <c r="B480" s="80"/>
      <c r="C480" s="80"/>
      <c r="D480" s="80"/>
      <c r="E480" s="215"/>
      <c r="F480" s="215"/>
      <c r="G480" s="215"/>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c r="AD480" s="215"/>
      <c r="AE480" s="215"/>
      <c r="AF480" s="215"/>
      <c r="AG480" s="215"/>
      <c r="AH480" s="215"/>
      <c r="AI480" s="215"/>
      <c r="AJ480" s="215"/>
      <c r="AK480" s="215"/>
      <c r="AL480" s="215"/>
      <c r="AM480" s="215"/>
      <c r="AN480" s="215"/>
      <c r="AO480" s="215"/>
      <c r="AP480" s="215"/>
      <c r="AQ480" s="215"/>
      <c r="AR480" s="215"/>
      <c r="AS480" s="215"/>
      <c r="AT480" s="215"/>
      <c r="AU480" s="215"/>
      <c r="AV480" s="215"/>
      <c r="AW480" s="215"/>
      <c r="AX480" s="215"/>
      <c r="AY480" s="215"/>
    </row>
    <row r="481">
      <c r="A481" s="80"/>
      <c r="B481" s="80"/>
      <c r="C481" s="80"/>
      <c r="D481" s="80"/>
      <c r="E481" s="215"/>
      <c r="F481" s="215"/>
      <c r="G481" s="215"/>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c r="AD481" s="215"/>
      <c r="AE481" s="215"/>
      <c r="AF481" s="215"/>
      <c r="AG481" s="215"/>
      <c r="AH481" s="215"/>
      <c r="AI481" s="215"/>
      <c r="AJ481" s="215"/>
      <c r="AK481" s="215"/>
      <c r="AL481" s="215"/>
      <c r="AM481" s="215"/>
      <c r="AN481" s="215"/>
      <c r="AO481" s="215"/>
      <c r="AP481" s="215"/>
      <c r="AQ481" s="215"/>
      <c r="AR481" s="215"/>
      <c r="AS481" s="215"/>
      <c r="AT481" s="215"/>
      <c r="AU481" s="215"/>
      <c r="AV481" s="215"/>
      <c r="AW481" s="215"/>
      <c r="AX481" s="215"/>
      <c r="AY481" s="215"/>
    </row>
    <row r="482">
      <c r="A482" s="80"/>
      <c r="B482" s="80"/>
      <c r="C482" s="80"/>
      <c r="D482" s="80"/>
      <c r="E482" s="215"/>
      <c r="F482" s="215"/>
      <c r="G482" s="215"/>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c r="AD482" s="215"/>
      <c r="AE482" s="215"/>
      <c r="AF482" s="215"/>
      <c r="AG482" s="215"/>
      <c r="AH482" s="215"/>
      <c r="AI482" s="215"/>
      <c r="AJ482" s="215"/>
      <c r="AK482" s="215"/>
      <c r="AL482" s="215"/>
      <c r="AM482" s="215"/>
      <c r="AN482" s="215"/>
      <c r="AO482" s="215"/>
      <c r="AP482" s="215"/>
      <c r="AQ482" s="215"/>
      <c r="AR482" s="215"/>
      <c r="AS482" s="215"/>
      <c r="AT482" s="215"/>
      <c r="AU482" s="215"/>
      <c r="AV482" s="215"/>
      <c r="AW482" s="215"/>
      <c r="AX482" s="215"/>
      <c r="AY482" s="215"/>
    </row>
    <row r="483">
      <c r="A483" s="80"/>
      <c r="B483" s="80"/>
      <c r="C483" s="80"/>
      <c r="D483" s="80"/>
      <c r="E483" s="215"/>
      <c r="F483" s="215"/>
      <c r="G483" s="215"/>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c r="AD483" s="215"/>
      <c r="AE483" s="215"/>
      <c r="AF483" s="215"/>
      <c r="AG483" s="215"/>
      <c r="AH483" s="215"/>
      <c r="AI483" s="215"/>
      <c r="AJ483" s="215"/>
      <c r="AK483" s="215"/>
      <c r="AL483" s="215"/>
      <c r="AM483" s="215"/>
      <c r="AN483" s="215"/>
      <c r="AO483" s="215"/>
      <c r="AP483" s="215"/>
      <c r="AQ483" s="215"/>
      <c r="AR483" s="215"/>
      <c r="AS483" s="215"/>
      <c r="AT483" s="215"/>
      <c r="AU483" s="215"/>
      <c r="AV483" s="215"/>
      <c r="AW483" s="215"/>
      <c r="AX483" s="215"/>
      <c r="AY483" s="215"/>
    </row>
    <row r="484">
      <c r="A484" s="80"/>
      <c r="B484" s="80"/>
      <c r="C484" s="80"/>
      <c r="D484" s="80"/>
      <c r="E484" s="215"/>
      <c r="F484" s="215"/>
      <c r="G484" s="215"/>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c r="AD484" s="215"/>
      <c r="AE484" s="215"/>
      <c r="AF484" s="215"/>
      <c r="AG484" s="215"/>
      <c r="AH484" s="215"/>
      <c r="AI484" s="215"/>
      <c r="AJ484" s="215"/>
      <c r="AK484" s="215"/>
      <c r="AL484" s="215"/>
      <c r="AM484" s="215"/>
      <c r="AN484" s="215"/>
      <c r="AO484" s="215"/>
      <c r="AP484" s="215"/>
      <c r="AQ484" s="215"/>
      <c r="AR484" s="215"/>
      <c r="AS484" s="215"/>
      <c r="AT484" s="215"/>
      <c r="AU484" s="215"/>
      <c r="AV484" s="215"/>
      <c r="AW484" s="215"/>
      <c r="AX484" s="215"/>
      <c r="AY484" s="215"/>
    </row>
    <row r="485">
      <c r="A485" s="80"/>
      <c r="B485" s="80"/>
      <c r="C485" s="80"/>
      <c r="D485" s="80"/>
      <c r="E485" s="215"/>
      <c r="F485" s="215"/>
      <c r="G485" s="215"/>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c r="AD485" s="215"/>
      <c r="AE485" s="215"/>
      <c r="AF485" s="215"/>
      <c r="AG485" s="215"/>
      <c r="AH485" s="215"/>
      <c r="AI485" s="215"/>
      <c r="AJ485" s="215"/>
      <c r="AK485" s="215"/>
      <c r="AL485" s="215"/>
      <c r="AM485" s="215"/>
      <c r="AN485" s="215"/>
      <c r="AO485" s="215"/>
      <c r="AP485" s="215"/>
      <c r="AQ485" s="215"/>
      <c r="AR485" s="215"/>
      <c r="AS485" s="215"/>
      <c r="AT485" s="215"/>
      <c r="AU485" s="215"/>
      <c r="AV485" s="215"/>
      <c r="AW485" s="215"/>
      <c r="AX485" s="215"/>
      <c r="AY485" s="215"/>
    </row>
    <row r="486">
      <c r="A486" s="80"/>
      <c r="B486" s="80"/>
      <c r="C486" s="80"/>
      <c r="D486" s="80"/>
      <c r="E486" s="215"/>
      <c r="F486" s="215"/>
      <c r="G486" s="215"/>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c r="AD486" s="215"/>
      <c r="AE486" s="215"/>
      <c r="AF486" s="215"/>
      <c r="AG486" s="215"/>
      <c r="AH486" s="215"/>
      <c r="AI486" s="215"/>
      <c r="AJ486" s="215"/>
      <c r="AK486" s="215"/>
      <c r="AL486" s="215"/>
      <c r="AM486" s="215"/>
      <c r="AN486" s="215"/>
      <c r="AO486" s="215"/>
      <c r="AP486" s="215"/>
      <c r="AQ486" s="215"/>
      <c r="AR486" s="215"/>
      <c r="AS486" s="215"/>
      <c r="AT486" s="215"/>
      <c r="AU486" s="215"/>
      <c r="AV486" s="215"/>
      <c r="AW486" s="215"/>
      <c r="AX486" s="215"/>
      <c r="AY486" s="215"/>
    </row>
    <row r="487">
      <c r="A487" s="80"/>
      <c r="B487" s="80"/>
      <c r="C487" s="80"/>
      <c r="D487" s="80"/>
      <c r="E487" s="215"/>
      <c r="F487" s="215"/>
      <c r="G487" s="215"/>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c r="AD487" s="215"/>
      <c r="AE487" s="215"/>
      <c r="AF487" s="215"/>
      <c r="AG487" s="215"/>
      <c r="AH487" s="215"/>
      <c r="AI487" s="215"/>
      <c r="AJ487" s="215"/>
      <c r="AK487" s="215"/>
      <c r="AL487" s="215"/>
      <c r="AM487" s="215"/>
      <c r="AN487" s="215"/>
      <c r="AO487" s="215"/>
      <c r="AP487" s="215"/>
      <c r="AQ487" s="215"/>
      <c r="AR487" s="215"/>
      <c r="AS487" s="215"/>
      <c r="AT487" s="215"/>
      <c r="AU487" s="215"/>
      <c r="AV487" s="215"/>
      <c r="AW487" s="215"/>
      <c r="AX487" s="215"/>
      <c r="AY487" s="215"/>
    </row>
    <row r="488">
      <c r="A488" s="80"/>
      <c r="B488" s="80"/>
      <c r="C488" s="80"/>
      <c r="D488" s="80"/>
      <c r="E488" s="215"/>
      <c r="F488" s="215"/>
      <c r="G488" s="215"/>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c r="AD488" s="215"/>
      <c r="AE488" s="215"/>
      <c r="AF488" s="215"/>
      <c r="AG488" s="215"/>
      <c r="AH488" s="215"/>
      <c r="AI488" s="215"/>
      <c r="AJ488" s="215"/>
      <c r="AK488" s="215"/>
      <c r="AL488" s="215"/>
      <c r="AM488" s="215"/>
      <c r="AN488" s="215"/>
      <c r="AO488" s="215"/>
      <c r="AP488" s="215"/>
      <c r="AQ488" s="215"/>
      <c r="AR488" s="215"/>
      <c r="AS488" s="215"/>
      <c r="AT488" s="215"/>
      <c r="AU488" s="215"/>
      <c r="AV488" s="215"/>
      <c r="AW488" s="215"/>
      <c r="AX488" s="215"/>
      <c r="AY488" s="215"/>
    </row>
    <row r="489">
      <c r="A489" s="80"/>
      <c r="B489" s="80"/>
      <c r="C489" s="80"/>
      <c r="D489" s="80"/>
      <c r="E489" s="215"/>
      <c r="F489" s="215"/>
      <c r="G489" s="215"/>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c r="AD489" s="215"/>
      <c r="AE489" s="215"/>
      <c r="AF489" s="215"/>
      <c r="AG489" s="215"/>
      <c r="AH489" s="215"/>
      <c r="AI489" s="215"/>
      <c r="AJ489" s="215"/>
      <c r="AK489" s="215"/>
      <c r="AL489" s="215"/>
      <c r="AM489" s="215"/>
      <c r="AN489" s="215"/>
      <c r="AO489" s="215"/>
      <c r="AP489" s="215"/>
      <c r="AQ489" s="215"/>
      <c r="AR489" s="215"/>
      <c r="AS489" s="215"/>
      <c r="AT489" s="215"/>
      <c r="AU489" s="215"/>
      <c r="AV489" s="215"/>
      <c r="AW489" s="215"/>
      <c r="AX489" s="215"/>
      <c r="AY489" s="215"/>
    </row>
    <row r="490">
      <c r="A490" s="80"/>
      <c r="B490" s="80"/>
      <c r="C490" s="80"/>
      <c r="D490" s="80"/>
      <c r="E490" s="215"/>
      <c r="F490" s="215"/>
      <c r="G490" s="215"/>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c r="AD490" s="215"/>
      <c r="AE490" s="215"/>
      <c r="AF490" s="215"/>
      <c r="AG490" s="215"/>
      <c r="AH490" s="215"/>
      <c r="AI490" s="215"/>
      <c r="AJ490" s="215"/>
      <c r="AK490" s="215"/>
      <c r="AL490" s="215"/>
      <c r="AM490" s="215"/>
      <c r="AN490" s="215"/>
      <c r="AO490" s="215"/>
      <c r="AP490" s="215"/>
      <c r="AQ490" s="215"/>
      <c r="AR490" s="215"/>
      <c r="AS490" s="215"/>
      <c r="AT490" s="215"/>
      <c r="AU490" s="215"/>
      <c r="AV490" s="215"/>
      <c r="AW490" s="215"/>
      <c r="AX490" s="215"/>
      <c r="AY490" s="215"/>
    </row>
    <row r="491">
      <c r="A491" s="80"/>
      <c r="B491" s="80"/>
      <c r="C491" s="80"/>
      <c r="D491" s="80"/>
      <c r="E491" s="215"/>
      <c r="F491" s="215"/>
      <c r="G491" s="215"/>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c r="AD491" s="215"/>
      <c r="AE491" s="215"/>
      <c r="AF491" s="215"/>
      <c r="AG491" s="215"/>
      <c r="AH491" s="215"/>
      <c r="AI491" s="215"/>
      <c r="AJ491" s="215"/>
      <c r="AK491" s="215"/>
      <c r="AL491" s="215"/>
      <c r="AM491" s="215"/>
      <c r="AN491" s="215"/>
      <c r="AO491" s="215"/>
      <c r="AP491" s="215"/>
      <c r="AQ491" s="215"/>
      <c r="AR491" s="215"/>
      <c r="AS491" s="215"/>
      <c r="AT491" s="215"/>
      <c r="AU491" s="215"/>
      <c r="AV491" s="215"/>
      <c r="AW491" s="215"/>
      <c r="AX491" s="215"/>
      <c r="AY491" s="215"/>
    </row>
    <row r="492">
      <c r="A492" s="80"/>
      <c r="B492" s="80"/>
      <c r="C492" s="80"/>
      <c r="D492" s="80"/>
      <c r="E492" s="215"/>
      <c r="F492" s="215"/>
      <c r="G492" s="215"/>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c r="AD492" s="215"/>
      <c r="AE492" s="215"/>
      <c r="AF492" s="215"/>
      <c r="AG492" s="215"/>
      <c r="AH492" s="215"/>
      <c r="AI492" s="215"/>
      <c r="AJ492" s="215"/>
      <c r="AK492" s="215"/>
      <c r="AL492" s="215"/>
      <c r="AM492" s="215"/>
      <c r="AN492" s="215"/>
      <c r="AO492" s="215"/>
      <c r="AP492" s="215"/>
      <c r="AQ492" s="215"/>
      <c r="AR492" s="215"/>
      <c r="AS492" s="215"/>
      <c r="AT492" s="215"/>
      <c r="AU492" s="215"/>
      <c r="AV492" s="215"/>
      <c r="AW492" s="215"/>
      <c r="AX492" s="215"/>
      <c r="AY492" s="215"/>
    </row>
    <row r="493">
      <c r="A493" s="80"/>
      <c r="B493" s="80"/>
      <c r="C493" s="80"/>
      <c r="D493" s="80"/>
      <c r="E493" s="215"/>
      <c r="F493" s="215"/>
      <c r="G493" s="215"/>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c r="AD493" s="215"/>
      <c r="AE493" s="215"/>
      <c r="AF493" s="215"/>
      <c r="AG493" s="215"/>
      <c r="AH493" s="215"/>
      <c r="AI493" s="215"/>
      <c r="AJ493" s="215"/>
      <c r="AK493" s="215"/>
      <c r="AL493" s="215"/>
      <c r="AM493" s="215"/>
      <c r="AN493" s="215"/>
      <c r="AO493" s="215"/>
      <c r="AP493" s="215"/>
      <c r="AQ493" s="215"/>
      <c r="AR493" s="215"/>
      <c r="AS493" s="215"/>
      <c r="AT493" s="215"/>
      <c r="AU493" s="215"/>
      <c r="AV493" s="215"/>
      <c r="AW493" s="215"/>
      <c r="AX493" s="215"/>
      <c r="AY493" s="215"/>
    </row>
    <row r="494">
      <c r="A494" s="80"/>
      <c r="B494" s="80"/>
      <c r="C494" s="80"/>
      <c r="D494" s="80"/>
      <c r="E494" s="215"/>
      <c r="F494" s="215"/>
      <c r="G494" s="215"/>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c r="AD494" s="215"/>
      <c r="AE494" s="215"/>
      <c r="AF494" s="215"/>
      <c r="AG494" s="215"/>
      <c r="AH494" s="215"/>
      <c r="AI494" s="215"/>
      <c r="AJ494" s="215"/>
      <c r="AK494" s="215"/>
      <c r="AL494" s="215"/>
      <c r="AM494" s="215"/>
      <c r="AN494" s="215"/>
      <c r="AO494" s="215"/>
      <c r="AP494" s="215"/>
      <c r="AQ494" s="215"/>
      <c r="AR494" s="215"/>
      <c r="AS494" s="215"/>
      <c r="AT494" s="215"/>
      <c r="AU494" s="215"/>
      <c r="AV494" s="215"/>
      <c r="AW494" s="215"/>
      <c r="AX494" s="215"/>
      <c r="AY494" s="215"/>
    </row>
    <row r="495">
      <c r="A495" s="80"/>
      <c r="B495" s="80"/>
      <c r="C495" s="80"/>
      <c r="D495" s="80"/>
      <c r="E495" s="215"/>
      <c r="F495" s="215"/>
      <c r="G495" s="215"/>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c r="AD495" s="215"/>
      <c r="AE495" s="215"/>
      <c r="AF495" s="215"/>
      <c r="AG495" s="215"/>
      <c r="AH495" s="215"/>
      <c r="AI495" s="215"/>
      <c r="AJ495" s="215"/>
      <c r="AK495" s="215"/>
      <c r="AL495" s="215"/>
      <c r="AM495" s="215"/>
      <c r="AN495" s="215"/>
      <c r="AO495" s="215"/>
      <c r="AP495" s="215"/>
      <c r="AQ495" s="215"/>
      <c r="AR495" s="215"/>
      <c r="AS495" s="215"/>
      <c r="AT495" s="215"/>
      <c r="AU495" s="215"/>
      <c r="AV495" s="215"/>
      <c r="AW495" s="215"/>
      <c r="AX495" s="215"/>
      <c r="AY495" s="215"/>
    </row>
    <row r="496">
      <c r="A496" s="80"/>
      <c r="B496" s="80"/>
      <c r="C496" s="80"/>
      <c r="D496" s="80"/>
      <c r="E496" s="215"/>
      <c r="F496" s="215"/>
      <c r="G496" s="215"/>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c r="AD496" s="215"/>
      <c r="AE496" s="215"/>
      <c r="AF496" s="215"/>
      <c r="AG496" s="215"/>
      <c r="AH496" s="215"/>
      <c r="AI496" s="215"/>
      <c r="AJ496" s="215"/>
      <c r="AK496" s="215"/>
      <c r="AL496" s="215"/>
      <c r="AM496" s="215"/>
      <c r="AN496" s="215"/>
      <c r="AO496" s="215"/>
      <c r="AP496" s="215"/>
      <c r="AQ496" s="215"/>
      <c r="AR496" s="215"/>
      <c r="AS496" s="215"/>
      <c r="AT496" s="215"/>
      <c r="AU496" s="215"/>
      <c r="AV496" s="215"/>
      <c r="AW496" s="215"/>
      <c r="AX496" s="215"/>
      <c r="AY496" s="215"/>
    </row>
    <row r="497">
      <c r="A497" s="80"/>
      <c r="B497" s="80"/>
      <c r="C497" s="80"/>
      <c r="D497" s="80"/>
      <c r="E497" s="215"/>
      <c r="F497" s="215"/>
      <c r="G497" s="215"/>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c r="AD497" s="215"/>
      <c r="AE497" s="215"/>
      <c r="AF497" s="215"/>
      <c r="AG497" s="215"/>
      <c r="AH497" s="215"/>
      <c r="AI497" s="215"/>
      <c r="AJ497" s="215"/>
      <c r="AK497" s="215"/>
      <c r="AL497" s="215"/>
      <c r="AM497" s="215"/>
      <c r="AN497" s="215"/>
      <c r="AO497" s="215"/>
      <c r="AP497" s="215"/>
      <c r="AQ497" s="215"/>
      <c r="AR497" s="215"/>
      <c r="AS497" s="215"/>
      <c r="AT497" s="215"/>
      <c r="AU497" s="215"/>
      <c r="AV497" s="215"/>
      <c r="AW497" s="215"/>
      <c r="AX497" s="215"/>
      <c r="AY497" s="215"/>
    </row>
    <row r="498">
      <c r="A498" s="80"/>
      <c r="B498" s="80"/>
      <c r="C498" s="80"/>
      <c r="D498" s="80"/>
      <c r="E498" s="215"/>
      <c r="F498" s="215"/>
      <c r="G498" s="215"/>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c r="AD498" s="215"/>
      <c r="AE498" s="215"/>
      <c r="AF498" s="215"/>
      <c r="AG498" s="215"/>
      <c r="AH498" s="215"/>
      <c r="AI498" s="215"/>
      <c r="AJ498" s="215"/>
      <c r="AK498" s="215"/>
      <c r="AL498" s="215"/>
      <c r="AM498" s="215"/>
      <c r="AN498" s="215"/>
      <c r="AO498" s="215"/>
      <c r="AP498" s="215"/>
      <c r="AQ498" s="215"/>
      <c r="AR498" s="215"/>
      <c r="AS498" s="215"/>
      <c r="AT498" s="215"/>
      <c r="AU498" s="215"/>
      <c r="AV498" s="215"/>
      <c r="AW498" s="215"/>
      <c r="AX498" s="215"/>
      <c r="AY498" s="215"/>
    </row>
    <row r="499">
      <c r="A499" s="80"/>
      <c r="B499" s="80"/>
      <c r="C499" s="80"/>
      <c r="D499" s="80"/>
      <c r="E499" s="215"/>
      <c r="F499" s="215"/>
      <c r="G499" s="215"/>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c r="AD499" s="215"/>
      <c r="AE499" s="215"/>
      <c r="AF499" s="215"/>
      <c r="AG499" s="215"/>
      <c r="AH499" s="215"/>
      <c r="AI499" s="215"/>
      <c r="AJ499" s="215"/>
      <c r="AK499" s="215"/>
      <c r="AL499" s="215"/>
      <c r="AM499" s="215"/>
      <c r="AN499" s="215"/>
      <c r="AO499" s="215"/>
      <c r="AP499" s="215"/>
      <c r="AQ499" s="215"/>
      <c r="AR499" s="215"/>
      <c r="AS499" s="215"/>
      <c r="AT499" s="215"/>
      <c r="AU499" s="215"/>
      <c r="AV499" s="215"/>
      <c r="AW499" s="215"/>
      <c r="AX499" s="215"/>
      <c r="AY499" s="215"/>
    </row>
    <row r="500">
      <c r="A500" s="80"/>
      <c r="B500" s="80"/>
      <c r="C500" s="80"/>
      <c r="D500" s="80"/>
      <c r="E500" s="215"/>
      <c r="F500" s="215"/>
      <c r="G500" s="215"/>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c r="AD500" s="215"/>
      <c r="AE500" s="215"/>
      <c r="AF500" s="215"/>
      <c r="AG500" s="215"/>
      <c r="AH500" s="215"/>
      <c r="AI500" s="215"/>
      <c r="AJ500" s="215"/>
      <c r="AK500" s="215"/>
      <c r="AL500" s="215"/>
      <c r="AM500" s="215"/>
      <c r="AN500" s="215"/>
      <c r="AO500" s="215"/>
      <c r="AP500" s="215"/>
      <c r="AQ500" s="215"/>
      <c r="AR500" s="215"/>
      <c r="AS500" s="215"/>
      <c r="AT500" s="215"/>
      <c r="AU500" s="215"/>
      <c r="AV500" s="215"/>
      <c r="AW500" s="215"/>
      <c r="AX500" s="215"/>
      <c r="AY500" s="215"/>
    </row>
    <row r="501">
      <c r="A501" s="80"/>
      <c r="B501" s="80"/>
      <c r="C501" s="80"/>
      <c r="D501" s="80"/>
      <c r="E501" s="215"/>
      <c r="F501" s="215"/>
      <c r="G501" s="215"/>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c r="AD501" s="215"/>
      <c r="AE501" s="215"/>
      <c r="AF501" s="215"/>
      <c r="AG501" s="215"/>
      <c r="AH501" s="215"/>
      <c r="AI501" s="215"/>
      <c r="AJ501" s="215"/>
      <c r="AK501" s="215"/>
      <c r="AL501" s="215"/>
      <c r="AM501" s="215"/>
      <c r="AN501" s="215"/>
      <c r="AO501" s="215"/>
      <c r="AP501" s="215"/>
      <c r="AQ501" s="215"/>
      <c r="AR501" s="215"/>
      <c r="AS501" s="215"/>
      <c r="AT501" s="215"/>
      <c r="AU501" s="215"/>
      <c r="AV501" s="215"/>
      <c r="AW501" s="215"/>
      <c r="AX501" s="215"/>
      <c r="AY501" s="215"/>
    </row>
    <row r="502">
      <c r="A502" s="80"/>
      <c r="B502" s="80"/>
      <c r="C502" s="80"/>
      <c r="D502" s="80"/>
      <c r="E502" s="215"/>
      <c r="F502" s="215"/>
      <c r="G502" s="215"/>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c r="AD502" s="215"/>
      <c r="AE502" s="215"/>
      <c r="AF502" s="215"/>
      <c r="AG502" s="215"/>
      <c r="AH502" s="215"/>
      <c r="AI502" s="215"/>
      <c r="AJ502" s="215"/>
      <c r="AK502" s="215"/>
      <c r="AL502" s="215"/>
      <c r="AM502" s="215"/>
      <c r="AN502" s="215"/>
      <c r="AO502" s="215"/>
      <c r="AP502" s="215"/>
      <c r="AQ502" s="215"/>
      <c r="AR502" s="215"/>
      <c r="AS502" s="215"/>
      <c r="AT502" s="215"/>
      <c r="AU502" s="215"/>
      <c r="AV502" s="215"/>
      <c r="AW502" s="215"/>
      <c r="AX502" s="215"/>
      <c r="AY502" s="215"/>
    </row>
    <row r="503">
      <c r="A503" s="80"/>
      <c r="B503" s="80"/>
      <c r="C503" s="80"/>
      <c r="D503" s="80"/>
      <c r="E503" s="215"/>
      <c r="F503" s="215"/>
      <c r="G503" s="215"/>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c r="AD503" s="215"/>
      <c r="AE503" s="215"/>
      <c r="AF503" s="215"/>
      <c r="AG503" s="215"/>
      <c r="AH503" s="215"/>
      <c r="AI503" s="215"/>
      <c r="AJ503" s="215"/>
      <c r="AK503" s="215"/>
      <c r="AL503" s="215"/>
      <c r="AM503" s="215"/>
      <c r="AN503" s="215"/>
      <c r="AO503" s="215"/>
      <c r="AP503" s="215"/>
      <c r="AQ503" s="215"/>
      <c r="AR503" s="215"/>
      <c r="AS503" s="215"/>
      <c r="AT503" s="215"/>
      <c r="AU503" s="215"/>
      <c r="AV503" s="215"/>
      <c r="AW503" s="215"/>
      <c r="AX503" s="215"/>
      <c r="AY503" s="215"/>
    </row>
    <row r="504">
      <c r="A504" s="80"/>
      <c r="B504" s="80"/>
      <c r="C504" s="80"/>
      <c r="D504" s="80"/>
      <c r="E504" s="215"/>
      <c r="F504" s="215"/>
      <c r="G504" s="215"/>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c r="AD504" s="215"/>
      <c r="AE504" s="215"/>
      <c r="AF504" s="215"/>
      <c r="AG504" s="215"/>
      <c r="AH504" s="215"/>
      <c r="AI504" s="215"/>
      <c r="AJ504" s="215"/>
      <c r="AK504" s="215"/>
      <c r="AL504" s="215"/>
      <c r="AM504" s="215"/>
      <c r="AN504" s="215"/>
      <c r="AO504" s="215"/>
      <c r="AP504" s="215"/>
      <c r="AQ504" s="215"/>
      <c r="AR504" s="215"/>
      <c r="AS504" s="215"/>
      <c r="AT504" s="215"/>
      <c r="AU504" s="215"/>
      <c r="AV504" s="215"/>
      <c r="AW504" s="215"/>
      <c r="AX504" s="215"/>
      <c r="AY504" s="215"/>
    </row>
    <row r="505">
      <c r="A505" s="80"/>
      <c r="B505" s="80"/>
      <c r="C505" s="80"/>
      <c r="D505" s="80"/>
      <c r="E505" s="215"/>
      <c r="F505" s="215"/>
      <c r="G505" s="215"/>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c r="AD505" s="215"/>
      <c r="AE505" s="215"/>
      <c r="AF505" s="215"/>
      <c r="AG505" s="215"/>
      <c r="AH505" s="215"/>
      <c r="AI505" s="215"/>
      <c r="AJ505" s="215"/>
      <c r="AK505" s="215"/>
      <c r="AL505" s="215"/>
      <c r="AM505" s="215"/>
      <c r="AN505" s="215"/>
      <c r="AO505" s="215"/>
      <c r="AP505" s="215"/>
      <c r="AQ505" s="215"/>
      <c r="AR505" s="215"/>
      <c r="AS505" s="215"/>
      <c r="AT505" s="215"/>
      <c r="AU505" s="215"/>
      <c r="AV505" s="215"/>
      <c r="AW505" s="215"/>
      <c r="AX505" s="215"/>
      <c r="AY505" s="215"/>
    </row>
    <row r="506">
      <c r="A506" s="80"/>
      <c r="B506" s="80"/>
      <c r="C506" s="80"/>
      <c r="D506" s="80"/>
      <c r="E506" s="215"/>
      <c r="F506" s="215"/>
      <c r="G506" s="215"/>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c r="AD506" s="215"/>
      <c r="AE506" s="215"/>
      <c r="AF506" s="215"/>
      <c r="AG506" s="215"/>
      <c r="AH506" s="215"/>
      <c r="AI506" s="215"/>
      <c r="AJ506" s="215"/>
      <c r="AK506" s="215"/>
      <c r="AL506" s="215"/>
      <c r="AM506" s="215"/>
      <c r="AN506" s="215"/>
      <c r="AO506" s="215"/>
      <c r="AP506" s="215"/>
      <c r="AQ506" s="215"/>
      <c r="AR506" s="215"/>
      <c r="AS506" s="215"/>
      <c r="AT506" s="215"/>
      <c r="AU506" s="215"/>
      <c r="AV506" s="215"/>
      <c r="AW506" s="215"/>
      <c r="AX506" s="215"/>
      <c r="AY506" s="215"/>
    </row>
    <row r="507">
      <c r="A507" s="80"/>
      <c r="B507" s="80"/>
      <c r="C507" s="80"/>
      <c r="D507" s="80"/>
      <c r="E507" s="215"/>
      <c r="F507" s="215"/>
      <c r="G507" s="215"/>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c r="AD507" s="215"/>
      <c r="AE507" s="215"/>
      <c r="AF507" s="215"/>
      <c r="AG507" s="215"/>
      <c r="AH507" s="215"/>
      <c r="AI507" s="215"/>
      <c r="AJ507" s="215"/>
      <c r="AK507" s="215"/>
      <c r="AL507" s="215"/>
      <c r="AM507" s="215"/>
      <c r="AN507" s="215"/>
      <c r="AO507" s="215"/>
      <c r="AP507" s="215"/>
      <c r="AQ507" s="215"/>
      <c r="AR507" s="215"/>
      <c r="AS507" s="215"/>
      <c r="AT507" s="215"/>
      <c r="AU507" s="215"/>
      <c r="AV507" s="215"/>
      <c r="AW507" s="215"/>
      <c r="AX507" s="215"/>
      <c r="AY507" s="215"/>
    </row>
    <row r="508">
      <c r="A508" s="80"/>
      <c r="B508" s="80"/>
      <c r="C508" s="80"/>
      <c r="D508" s="80"/>
      <c r="E508" s="215"/>
      <c r="F508" s="215"/>
      <c r="G508" s="215"/>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c r="AD508" s="215"/>
      <c r="AE508" s="215"/>
      <c r="AF508" s="215"/>
      <c r="AG508" s="215"/>
      <c r="AH508" s="215"/>
      <c r="AI508" s="215"/>
      <c r="AJ508" s="215"/>
      <c r="AK508" s="215"/>
      <c r="AL508" s="215"/>
      <c r="AM508" s="215"/>
      <c r="AN508" s="215"/>
      <c r="AO508" s="215"/>
      <c r="AP508" s="215"/>
      <c r="AQ508" s="215"/>
      <c r="AR508" s="215"/>
      <c r="AS508" s="215"/>
      <c r="AT508" s="215"/>
      <c r="AU508" s="215"/>
      <c r="AV508" s="215"/>
      <c r="AW508" s="215"/>
      <c r="AX508" s="215"/>
      <c r="AY508" s="215"/>
    </row>
    <row r="509">
      <c r="A509" s="80"/>
      <c r="B509" s="80"/>
      <c r="C509" s="80"/>
      <c r="D509" s="80"/>
      <c r="E509" s="215"/>
      <c r="F509" s="215"/>
      <c r="G509" s="215"/>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c r="AD509" s="215"/>
      <c r="AE509" s="215"/>
      <c r="AF509" s="215"/>
      <c r="AG509" s="215"/>
      <c r="AH509" s="215"/>
      <c r="AI509" s="215"/>
      <c r="AJ509" s="215"/>
      <c r="AK509" s="215"/>
      <c r="AL509" s="215"/>
      <c r="AM509" s="215"/>
      <c r="AN509" s="215"/>
      <c r="AO509" s="215"/>
      <c r="AP509" s="215"/>
      <c r="AQ509" s="215"/>
      <c r="AR509" s="215"/>
      <c r="AS509" s="215"/>
      <c r="AT509" s="215"/>
      <c r="AU509" s="215"/>
      <c r="AV509" s="215"/>
      <c r="AW509" s="215"/>
      <c r="AX509" s="215"/>
      <c r="AY509" s="215"/>
    </row>
    <row r="510">
      <c r="A510" s="80"/>
      <c r="B510" s="80"/>
      <c r="C510" s="80"/>
      <c r="D510" s="80"/>
      <c r="E510" s="215"/>
      <c r="F510" s="215"/>
      <c r="G510" s="215"/>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c r="AD510" s="215"/>
      <c r="AE510" s="215"/>
      <c r="AF510" s="215"/>
      <c r="AG510" s="215"/>
      <c r="AH510" s="215"/>
      <c r="AI510" s="215"/>
      <c r="AJ510" s="215"/>
      <c r="AK510" s="215"/>
      <c r="AL510" s="215"/>
      <c r="AM510" s="215"/>
      <c r="AN510" s="215"/>
      <c r="AO510" s="215"/>
      <c r="AP510" s="215"/>
      <c r="AQ510" s="215"/>
      <c r="AR510" s="215"/>
      <c r="AS510" s="215"/>
      <c r="AT510" s="215"/>
      <c r="AU510" s="215"/>
      <c r="AV510" s="215"/>
      <c r="AW510" s="215"/>
      <c r="AX510" s="215"/>
      <c r="AY510" s="215"/>
    </row>
    <row r="511">
      <c r="A511" s="80"/>
      <c r="B511" s="80"/>
      <c r="C511" s="80"/>
      <c r="D511" s="80"/>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c r="AI511" s="215"/>
      <c r="AJ511" s="215"/>
      <c r="AK511" s="215"/>
      <c r="AL511" s="215"/>
      <c r="AM511" s="215"/>
      <c r="AN511" s="215"/>
      <c r="AO511" s="215"/>
      <c r="AP511" s="215"/>
      <c r="AQ511" s="215"/>
      <c r="AR511" s="215"/>
      <c r="AS511" s="215"/>
      <c r="AT511" s="215"/>
      <c r="AU511" s="215"/>
      <c r="AV511" s="215"/>
      <c r="AW511" s="215"/>
      <c r="AX511" s="215"/>
      <c r="AY511" s="215"/>
    </row>
    <row r="512">
      <c r="A512" s="80"/>
      <c r="B512" s="80"/>
      <c r="C512" s="80"/>
      <c r="D512" s="80"/>
      <c r="E512" s="215"/>
      <c r="F512" s="215"/>
      <c r="G512" s="215"/>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c r="AD512" s="215"/>
      <c r="AE512" s="215"/>
      <c r="AF512" s="215"/>
      <c r="AG512" s="215"/>
      <c r="AH512" s="215"/>
      <c r="AI512" s="215"/>
      <c r="AJ512" s="215"/>
      <c r="AK512" s="215"/>
      <c r="AL512" s="215"/>
      <c r="AM512" s="215"/>
      <c r="AN512" s="215"/>
      <c r="AO512" s="215"/>
      <c r="AP512" s="215"/>
      <c r="AQ512" s="215"/>
      <c r="AR512" s="215"/>
      <c r="AS512" s="215"/>
      <c r="AT512" s="215"/>
      <c r="AU512" s="215"/>
      <c r="AV512" s="215"/>
      <c r="AW512" s="215"/>
      <c r="AX512" s="215"/>
      <c r="AY512" s="215"/>
    </row>
    <row r="513">
      <c r="A513" s="80"/>
      <c r="B513" s="80"/>
      <c r="C513" s="80"/>
      <c r="D513" s="80"/>
      <c r="E513" s="215"/>
      <c r="F513" s="215"/>
      <c r="G513" s="215"/>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c r="AD513" s="215"/>
      <c r="AE513" s="215"/>
      <c r="AF513" s="215"/>
      <c r="AG513" s="215"/>
      <c r="AH513" s="215"/>
      <c r="AI513" s="215"/>
      <c r="AJ513" s="215"/>
      <c r="AK513" s="215"/>
      <c r="AL513" s="215"/>
      <c r="AM513" s="215"/>
      <c r="AN513" s="215"/>
      <c r="AO513" s="215"/>
      <c r="AP513" s="215"/>
      <c r="AQ513" s="215"/>
      <c r="AR513" s="215"/>
      <c r="AS513" s="215"/>
      <c r="AT513" s="215"/>
      <c r="AU513" s="215"/>
      <c r="AV513" s="215"/>
      <c r="AW513" s="215"/>
      <c r="AX513" s="215"/>
      <c r="AY513" s="215"/>
    </row>
    <row r="514">
      <c r="A514" s="80"/>
      <c r="B514" s="80"/>
      <c r="C514" s="80"/>
      <c r="D514" s="80"/>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15"/>
      <c r="AH514" s="215"/>
      <c r="AI514" s="215"/>
      <c r="AJ514" s="215"/>
      <c r="AK514" s="215"/>
      <c r="AL514" s="215"/>
      <c r="AM514" s="215"/>
      <c r="AN514" s="215"/>
      <c r="AO514" s="215"/>
      <c r="AP514" s="215"/>
      <c r="AQ514" s="215"/>
      <c r="AR514" s="215"/>
      <c r="AS514" s="215"/>
      <c r="AT514" s="215"/>
      <c r="AU514" s="215"/>
      <c r="AV514" s="215"/>
      <c r="AW514" s="215"/>
      <c r="AX514" s="215"/>
      <c r="AY514" s="215"/>
    </row>
    <row r="515">
      <c r="A515" s="80"/>
      <c r="B515" s="80"/>
      <c r="C515" s="80"/>
      <c r="D515" s="80"/>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15"/>
      <c r="AH515" s="215"/>
      <c r="AI515" s="215"/>
      <c r="AJ515" s="215"/>
      <c r="AK515" s="215"/>
      <c r="AL515" s="215"/>
      <c r="AM515" s="215"/>
      <c r="AN515" s="215"/>
      <c r="AO515" s="215"/>
      <c r="AP515" s="215"/>
      <c r="AQ515" s="215"/>
      <c r="AR515" s="215"/>
      <c r="AS515" s="215"/>
      <c r="AT515" s="215"/>
      <c r="AU515" s="215"/>
      <c r="AV515" s="215"/>
      <c r="AW515" s="215"/>
      <c r="AX515" s="215"/>
      <c r="AY515" s="215"/>
    </row>
    <row r="516">
      <c r="A516" s="80"/>
      <c r="B516" s="80"/>
      <c r="C516" s="80"/>
      <c r="D516" s="80"/>
      <c r="E516" s="215"/>
      <c r="F516" s="215"/>
      <c r="G516" s="215"/>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c r="AD516" s="215"/>
      <c r="AE516" s="215"/>
      <c r="AF516" s="215"/>
      <c r="AG516" s="215"/>
      <c r="AH516" s="215"/>
      <c r="AI516" s="215"/>
      <c r="AJ516" s="215"/>
      <c r="AK516" s="215"/>
      <c r="AL516" s="215"/>
      <c r="AM516" s="215"/>
      <c r="AN516" s="215"/>
      <c r="AO516" s="215"/>
      <c r="AP516" s="215"/>
      <c r="AQ516" s="215"/>
      <c r="AR516" s="215"/>
      <c r="AS516" s="215"/>
      <c r="AT516" s="215"/>
      <c r="AU516" s="215"/>
      <c r="AV516" s="215"/>
      <c r="AW516" s="215"/>
      <c r="AX516" s="215"/>
      <c r="AY516" s="215"/>
    </row>
    <row r="517">
      <c r="A517" s="80"/>
      <c r="B517" s="80"/>
      <c r="C517" s="80"/>
      <c r="D517" s="80"/>
      <c r="E517" s="215"/>
      <c r="F517" s="215"/>
      <c r="G517" s="215"/>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c r="AD517" s="215"/>
      <c r="AE517" s="215"/>
      <c r="AF517" s="215"/>
      <c r="AG517" s="215"/>
      <c r="AH517" s="215"/>
      <c r="AI517" s="215"/>
      <c r="AJ517" s="215"/>
      <c r="AK517" s="215"/>
      <c r="AL517" s="215"/>
      <c r="AM517" s="215"/>
      <c r="AN517" s="215"/>
      <c r="AO517" s="215"/>
      <c r="AP517" s="215"/>
      <c r="AQ517" s="215"/>
      <c r="AR517" s="215"/>
      <c r="AS517" s="215"/>
      <c r="AT517" s="215"/>
      <c r="AU517" s="215"/>
      <c r="AV517" s="215"/>
      <c r="AW517" s="215"/>
      <c r="AX517" s="215"/>
      <c r="AY517" s="215"/>
    </row>
    <row r="518">
      <c r="A518" s="80"/>
      <c r="B518" s="80"/>
      <c r="C518" s="80"/>
      <c r="D518" s="80"/>
      <c r="E518" s="215"/>
      <c r="F518" s="215"/>
      <c r="G518" s="215"/>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c r="AD518" s="215"/>
      <c r="AE518" s="215"/>
      <c r="AF518" s="215"/>
      <c r="AG518" s="215"/>
      <c r="AH518" s="215"/>
      <c r="AI518" s="215"/>
      <c r="AJ518" s="215"/>
      <c r="AK518" s="215"/>
      <c r="AL518" s="215"/>
      <c r="AM518" s="215"/>
      <c r="AN518" s="215"/>
      <c r="AO518" s="215"/>
      <c r="AP518" s="215"/>
      <c r="AQ518" s="215"/>
      <c r="AR518" s="215"/>
      <c r="AS518" s="215"/>
      <c r="AT518" s="215"/>
      <c r="AU518" s="215"/>
      <c r="AV518" s="215"/>
      <c r="AW518" s="215"/>
      <c r="AX518" s="215"/>
      <c r="AY518" s="215"/>
    </row>
    <row r="519">
      <c r="A519" s="80"/>
      <c r="B519" s="80"/>
      <c r="C519" s="80"/>
      <c r="D519" s="80"/>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15"/>
      <c r="AH519" s="215"/>
      <c r="AI519" s="215"/>
      <c r="AJ519" s="215"/>
      <c r="AK519" s="215"/>
      <c r="AL519" s="215"/>
      <c r="AM519" s="215"/>
      <c r="AN519" s="215"/>
      <c r="AO519" s="215"/>
      <c r="AP519" s="215"/>
      <c r="AQ519" s="215"/>
      <c r="AR519" s="215"/>
      <c r="AS519" s="215"/>
      <c r="AT519" s="215"/>
      <c r="AU519" s="215"/>
      <c r="AV519" s="215"/>
      <c r="AW519" s="215"/>
      <c r="AX519" s="215"/>
      <c r="AY519" s="215"/>
    </row>
    <row r="520">
      <c r="A520" s="80"/>
      <c r="B520" s="80"/>
      <c r="C520" s="80"/>
      <c r="D520" s="80"/>
      <c r="E520" s="215"/>
      <c r="F520" s="215"/>
      <c r="G520" s="215"/>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c r="AD520" s="215"/>
      <c r="AE520" s="215"/>
      <c r="AF520" s="215"/>
      <c r="AG520" s="215"/>
      <c r="AH520" s="215"/>
      <c r="AI520" s="215"/>
      <c r="AJ520" s="215"/>
      <c r="AK520" s="215"/>
      <c r="AL520" s="215"/>
      <c r="AM520" s="215"/>
      <c r="AN520" s="215"/>
      <c r="AO520" s="215"/>
      <c r="AP520" s="215"/>
      <c r="AQ520" s="215"/>
      <c r="AR520" s="215"/>
      <c r="AS520" s="215"/>
      <c r="AT520" s="215"/>
      <c r="AU520" s="215"/>
      <c r="AV520" s="215"/>
      <c r="AW520" s="215"/>
      <c r="AX520" s="215"/>
      <c r="AY520" s="215"/>
    </row>
    <row r="521">
      <c r="A521" s="80"/>
      <c r="B521" s="80"/>
      <c r="C521" s="80"/>
      <c r="D521" s="80"/>
      <c r="E521" s="215"/>
      <c r="F521" s="215"/>
      <c r="G521" s="215"/>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c r="AD521" s="215"/>
      <c r="AE521" s="215"/>
      <c r="AF521" s="215"/>
      <c r="AG521" s="215"/>
      <c r="AH521" s="215"/>
      <c r="AI521" s="215"/>
      <c r="AJ521" s="215"/>
      <c r="AK521" s="215"/>
      <c r="AL521" s="215"/>
      <c r="AM521" s="215"/>
      <c r="AN521" s="215"/>
      <c r="AO521" s="215"/>
      <c r="AP521" s="215"/>
      <c r="AQ521" s="215"/>
      <c r="AR521" s="215"/>
      <c r="AS521" s="215"/>
      <c r="AT521" s="215"/>
      <c r="AU521" s="215"/>
      <c r="AV521" s="215"/>
      <c r="AW521" s="215"/>
      <c r="AX521" s="215"/>
      <c r="AY521" s="215"/>
    </row>
    <row r="522">
      <c r="A522" s="80"/>
      <c r="B522" s="80"/>
      <c r="C522" s="80"/>
      <c r="D522" s="80"/>
      <c r="E522" s="215"/>
      <c r="F522" s="215"/>
      <c r="G522" s="215"/>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c r="AD522" s="215"/>
      <c r="AE522" s="215"/>
      <c r="AF522" s="215"/>
      <c r="AG522" s="215"/>
      <c r="AH522" s="215"/>
      <c r="AI522" s="215"/>
      <c r="AJ522" s="215"/>
      <c r="AK522" s="215"/>
      <c r="AL522" s="215"/>
      <c r="AM522" s="215"/>
      <c r="AN522" s="215"/>
      <c r="AO522" s="215"/>
      <c r="AP522" s="215"/>
      <c r="AQ522" s="215"/>
      <c r="AR522" s="215"/>
      <c r="AS522" s="215"/>
      <c r="AT522" s="215"/>
      <c r="AU522" s="215"/>
      <c r="AV522" s="215"/>
      <c r="AW522" s="215"/>
      <c r="AX522" s="215"/>
      <c r="AY522" s="215"/>
    </row>
    <row r="523">
      <c r="A523" s="80"/>
      <c r="B523" s="80"/>
      <c r="C523" s="80"/>
      <c r="D523" s="80"/>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15"/>
      <c r="AH523" s="215"/>
      <c r="AI523" s="215"/>
      <c r="AJ523" s="215"/>
      <c r="AK523" s="215"/>
      <c r="AL523" s="215"/>
      <c r="AM523" s="215"/>
      <c r="AN523" s="215"/>
      <c r="AO523" s="215"/>
      <c r="AP523" s="215"/>
      <c r="AQ523" s="215"/>
      <c r="AR523" s="215"/>
      <c r="AS523" s="215"/>
      <c r="AT523" s="215"/>
      <c r="AU523" s="215"/>
      <c r="AV523" s="215"/>
      <c r="AW523" s="215"/>
      <c r="AX523" s="215"/>
      <c r="AY523" s="215"/>
    </row>
    <row r="524">
      <c r="A524" s="80"/>
      <c r="B524" s="80"/>
      <c r="C524" s="80"/>
      <c r="D524" s="80"/>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15"/>
      <c r="AH524" s="215"/>
      <c r="AI524" s="215"/>
      <c r="AJ524" s="215"/>
      <c r="AK524" s="215"/>
      <c r="AL524" s="215"/>
      <c r="AM524" s="215"/>
      <c r="AN524" s="215"/>
      <c r="AO524" s="215"/>
      <c r="AP524" s="215"/>
      <c r="AQ524" s="215"/>
      <c r="AR524" s="215"/>
      <c r="AS524" s="215"/>
      <c r="AT524" s="215"/>
      <c r="AU524" s="215"/>
      <c r="AV524" s="215"/>
      <c r="AW524" s="215"/>
      <c r="AX524" s="215"/>
      <c r="AY524" s="215"/>
    </row>
    <row r="525">
      <c r="A525" s="80"/>
      <c r="B525" s="80"/>
      <c r="C525" s="80"/>
      <c r="D525" s="80"/>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15"/>
      <c r="AH525" s="215"/>
      <c r="AI525" s="215"/>
      <c r="AJ525" s="215"/>
      <c r="AK525" s="215"/>
      <c r="AL525" s="215"/>
      <c r="AM525" s="215"/>
      <c r="AN525" s="215"/>
      <c r="AO525" s="215"/>
      <c r="AP525" s="215"/>
      <c r="AQ525" s="215"/>
      <c r="AR525" s="215"/>
      <c r="AS525" s="215"/>
      <c r="AT525" s="215"/>
      <c r="AU525" s="215"/>
      <c r="AV525" s="215"/>
      <c r="AW525" s="215"/>
      <c r="AX525" s="215"/>
      <c r="AY525" s="215"/>
    </row>
    <row r="526">
      <c r="A526" s="80"/>
      <c r="B526" s="80"/>
      <c r="C526" s="80"/>
      <c r="D526" s="80"/>
      <c r="E526" s="215"/>
      <c r="F526" s="215"/>
      <c r="G526" s="215"/>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c r="AD526" s="215"/>
      <c r="AE526" s="215"/>
      <c r="AF526" s="215"/>
      <c r="AG526" s="215"/>
      <c r="AH526" s="215"/>
      <c r="AI526" s="215"/>
      <c r="AJ526" s="215"/>
      <c r="AK526" s="215"/>
      <c r="AL526" s="215"/>
      <c r="AM526" s="215"/>
      <c r="AN526" s="215"/>
      <c r="AO526" s="215"/>
      <c r="AP526" s="215"/>
      <c r="AQ526" s="215"/>
      <c r="AR526" s="215"/>
      <c r="AS526" s="215"/>
      <c r="AT526" s="215"/>
      <c r="AU526" s="215"/>
      <c r="AV526" s="215"/>
      <c r="AW526" s="215"/>
      <c r="AX526" s="215"/>
      <c r="AY526" s="215"/>
    </row>
    <row r="527">
      <c r="A527" s="80"/>
      <c r="B527" s="80"/>
      <c r="C527" s="80"/>
      <c r="D527" s="80"/>
      <c r="E527" s="215"/>
      <c r="F527" s="215"/>
      <c r="G527" s="215"/>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c r="AD527" s="215"/>
      <c r="AE527" s="215"/>
      <c r="AF527" s="215"/>
      <c r="AG527" s="215"/>
      <c r="AH527" s="215"/>
      <c r="AI527" s="215"/>
      <c r="AJ527" s="215"/>
      <c r="AK527" s="215"/>
      <c r="AL527" s="215"/>
      <c r="AM527" s="215"/>
      <c r="AN527" s="215"/>
      <c r="AO527" s="215"/>
      <c r="AP527" s="215"/>
      <c r="AQ527" s="215"/>
      <c r="AR527" s="215"/>
      <c r="AS527" s="215"/>
      <c r="AT527" s="215"/>
      <c r="AU527" s="215"/>
      <c r="AV527" s="215"/>
      <c r="AW527" s="215"/>
      <c r="AX527" s="215"/>
      <c r="AY527" s="215"/>
    </row>
    <row r="528">
      <c r="A528" s="80"/>
      <c r="B528" s="80"/>
      <c r="C528" s="80"/>
      <c r="D528" s="80"/>
      <c r="E528" s="215"/>
      <c r="F528" s="215"/>
      <c r="G528" s="215"/>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c r="AD528" s="215"/>
      <c r="AE528" s="215"/>
      <c r="AF528" s="215"/>
      <c r="AG528" s="215"/>
      <c r="AH528" s="215"/>
      <c r="AI528" s="215"/>
      <c r="AJ528" s="215"/>
      <c r="AK528" s="215"/>
      <c r="AL528" s="215"/>
      <c r="AM528" s="215"/>
      <c r="AN528" s="215"/>
      <c r="AO528" s="215"/>
      <c r="AP528" s="215"/>
      <c r="AQ528" s="215"/>
      <c r="AR528" s="215"/>
      <c r="AS528" s="215"/>
      <c r="AT528" s="215"/>
      <c r="AU528" s="215"/>
      <c r="AV528" s="215"/>
      <c r="AW528" s="215"/>
      <c r="AX528" s="215"/>
      <c r="AY528" s="215"/>
    </row>
    <row r="529">
      <c r="A529" s="80"/>
      <c r="B529" s="80"/>
      <c r="C529" s="80"/>
      <c r="D529" s="80"/>
      <c r="E529" s="215"/>
      <c r="F529" s="215"/>
      <c r="G529" s="215"/>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c r="AD529" s="215"/>
      <c r="AE529" s="215"/>
      <c r="AF529" s="215"/>
      <c r="AG529" s="215"/>
      <c r="AH529" s="215"/>
      <c r="AI529" s="215"/>
      <c r="AJ529" s="215"/>
      <c r="AK529" s="215"/>
      <c r="AL529" s="215"/>
      <c r="AM529" s="215"/>
      <c r="AN529" s="215"/>
      <c r="AO529" s="215"/>
      <c r="AP529" s="215"/>
      <c r="AQ529" s="215"/>
      <c r="AR529" s="215"/>
      <c r="AS529" s="215"/>
      <c r="AT529" s="215"/>
      <c r="AU529" s="215"/>
      <c r="AV529" s="215"/>
      <c r="AW529" s="215"/>
      <c r="AX529" s="215"/>
      <c r="AY529" s="215"/>
    </row>
    <row r="530">
      <c r="A530" s="80"/>
      <c r="B530" s="80"/>
      <c r="C530" s="80"/>
      <c r="D530" s="80"/>
      <c r="E530" s="215"/>
      <c r="F530" s="215"/>
      <c r="G530" s="215"/>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c r="AD530" s="215"/>
      <c r="AE530" s="215"/>
      <c r="AF530" s="215"/>
      <c r="AG530" s="215"/>
      <c r="AH530" s="215"/>
      <c r="AI530" s="215"/>
      <c r="AJ530" s="215"/>
      <c r="AK530" s="215"/>
      <c r="AL530" s="215"/>
      <c r="AM530" s="215"/>
      <c r="AN530" s="215"/>
      <c r="AO530" s="215"/>
      <c r="AP530" s="215"/>
      <c r="AQ530" s="215"/>
      <c r="AR530" s="215"/>
      <c r="AS530" s="215"/>
      <c r="AT530" s="215"/>
      <c r="AU530" s="215"/>
      <c r="AV530" s="215"/>
      <c r="AW530" s="215"/>
      <c r="AX530" s="215"/>
      <c r="AY530" s="215"/>
    </row>
    <row r="531">
      <c r="A531" s="80"/>
      <c r="B531" s="80"/>
      <c r="C531" s="80"/>
      <c r="D531" s="80"/>
      <c r="E531" s="215"/>
      <c r="F531" s="215"/>
      <c r="G531" s="215"/>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c r="AD531" s="215"/>
      <c r="AE531" s="215"/>
      <c r="AF531" s="215"/>
      <c r="AG531" s="215"/>
      <c r="AH531" s="215"/>
      <c r="AI531" s="215"/>
      <c r="AJ531" s="215"/>
      <c r="AK531" s="215"/>
      <c r="AL531" s="215"/>
      <c r="AM531" s="215"/>
      <c r="AN531" s="215"/>
      <c r="AO531" s="215"/>
      <c r="AP531" s="215"/>
      <c r="AQ531" s="215"/>
      <c r="AR531" s="215"/>
      <c r="AS531" s="215"/>
      <c r="AT531" s="215"/>
      <c r="AU531" s="215"/>
      <c r="AV531" s="215"/>
      <c r="AW531" s="215"/>
      <c r="AX531" s="215"/>
      <c r="AY531" s="215"/>
    </row>
    <row r="532">
      <c r="A532" s="80"/>
      <c r="B532" s="80"/>
      <c r="C532" s="80"/>
      <c r="D532" s="80"/>
      <c r="E532" s="215"/>
      <c r="F532" s="215"/>
      <c r="G532" s="215"/>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c r="AD532" s="215"/>
      <c r="AE532" s="215"/>
      <c r="AF532" s="215"/>
      <c r="AG532" s="215"/>
      <c r="AH532" s="215"/>
      <c r="AI532" s="215"/>
      <c r="AJ532" s="215"/>
      <c r="AK532" s="215"/>
      <c r="AL532" s="215"/>
      <c r="AM532" s="215"/>
      <c r="AN532" s="215"/>
      <c r="AO532" s="215"/>
      <c r="AP532" s="215"/>
      <c r="AQ532" s="215"/>
      <c r="AR532" s="215"/>
      <c r="AS532" s="215"/>
      <c r="AT532" s="215"/>
      <c r="AU532" s="215"/>
      <c r="AV532" s="215"/>
      <c r="AW532" s="215"/>
      <c r="AX532" s="215"/>
      <c r="AY532" s="215"/>
    </row>
    <row r="533">
      <c r="A533" s="80"/>
      <c r="B533" s="80"/>
      <c r="C533" s="80"/>
      <c r="D533" s="80"/>
      <c r="E533" s="215"/>
      <c r="F533" s="215"/>
      <c r="G533" s="215"/>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c r="AD533" s="215"/>
      <c r="AE533" s="215"/>
      <c r="AF533" s="215"/>
      <c r="AG533" s="215"/>
      <c r="AH533" s="215"/>
      <c r="AI533" s="215"/>
      <c r="AJ533" s="215"/>
      <c r="AK533" s="215"/>
      <c r="AL533" s="215"/>
      <c r="AM533" s="215"/>
      <c r="AN533" s="215"/>
      <c r="AO533" s="215"/>
      <c r="AP533" s="215"/>
      <c r="AQ533" s="215"/>
      <c r="AR533" s="215"/>
      <c r="AS533" s="215"/>
      <c r="AT533" s="215"/>
      <c r="AU533" s="215"/>
      <c r="AV533" s="215"/>
      <c r="AW533" s="215"/>
      <c r="AX533" s="215"/>
      <c r="AY533" s="215"/>
    </row>
    <row r="534">
      <c r="A534" s="80"/>
      <c r="B534" s="80"/>
      <c r="C534" s="80"/>
      <c r="D534" s="80"/>
      <c r="E534" s="215"/>
      <c r="F534" s="215"/>
      <c r="G534" s="215"/>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c r="AD534" s="215"/>
      <c r="AE534" s="215"/>
      <c r="AF534" s="215"/>
      <c r="AG534" s="215"/>
      <c r="AH534" s="215"/>
      <c r="AI534" s="215"/>
      <c r="AJ534" s="215"/>
      <c r="AK534" s="215"/>
      <c r="AL534" s="215"/>
      <c r="AM534" s="215"/>
      <c r="AN534" s="215"/>
      <c r="AO534" s="215"/>
      <c r="AP534" s="215"/>
      <c r="AQ534" s="215"/>
      <c r="AR534" s="215"/>
      <c r="AS534" s="215"/>
      <c r="AT534" s="215"/>
      <c r="AU534" s="215"/>
      <c r="AV534" s="215"/>
      <c r="AW534" s="215"/>
      <c r="AX534" s="215"/>
      <c r="AY534" s="215"/>
    </row>
    <row r="535">
      <c r="A535" s="80"/>
      <c r="B535" s="80"/>
      <c r="C535" s="80"/>
      <c r="D535" s="80"/>
      <c r="E535" s="215"/>
      <c r="F535" s="215"/>
      <c r="G535" s="215"/>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c r="AD535" s="215"/>
      <c r="AE535" s="215"/>
      <c r="AF535" s="215"/>
      <c r="AG535" s="215"/>
      <c r="AH535" s="215"/>
      <c r="AI535" s="215"/>
      <c r="AJ535" s="215"/>
      <c r="AK535" s="215"/>
      <c r="AL535" s="215"/>
      <c r="AM535" s="215"/>
      <c r="AN535" s="215"/>
      <c r="AO535" s="215"/>
      <c r="AP535" s="215"/>
      <c r="AQ535" s="215"/>
      <c r="AR535" s="215"/>
      <c r="AS535" s="215"/>
      <c r="AT535" s="215"/>
      <c r="AU535" s="215"/>
      <c r="AV535" s="215"/>
      <c r="AW535" s="215"/>
      <c r="AX535" s="215"/>
      <c r="AY535" s="215"/>
    </row>
    <row r="536">
      <c r="A536" s="80"/>
      <c r="B536" s="80"/>
      <c r="C536" s="80"/>
      <c r="D536" s="80"/>
      <c r="E536" s="215"/>
      <c r="F536" s="215"/>
      <c r="G536" s="215"/>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c r="AD536" s="215"/>
      <c r="AE536" s="215"/>
      <c r="AF536" s="215"/>
      <c r="AG536" s="215"/>
      <c r="AH536" s="215"/>
      <c r="AI536" s="215"/>
      <c r="AJ536" s="215"/>
      <c r="AK536" s="215"/>
      <c r="AL536" s="215"/>
      <c r="AM536" s="215"/>
      <c r="AN536" s="215"/>
      <c r="AO536" s="215"/>
      <c r="AP536" s="215"/>
      <c r="AQ536" s="215"/>
      <c r="AR536" s="215"/>
      <c r="AS536" s="215"/>
      <c r="AT536" s="215"/>
      <c r="AU536" s="215"/>
      <c r="AV536" s="215"/>
      <c r="AW536" s="215"/>
      <c r="AX536" s="215"/>
      <c r="AY536" s="215"/>
    </row>
    <row r="537">
      <c r="A537" s="80"/>
      <c r="B537" s="80"/>
      <c r="C537" s="80"/>
      <c r="D537" s="80"/>
      <c r="E537" s="215"/>
      <c r="F537" s="215"/>
      <c r="G537" s="215"/>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c r="AD537" s="215"/>
      <c r="AE537" s="215"/>
      <c r="AF537" s="215"/>
      <c r="AG537" s="215"/>
      <c r="AH537" s="215"/>
      <c r="AI537" s="215"/>
      <c r="AJ537" s="215"/>
      <c r="AK537" s="215"/>
      <c r="AL537" s="215"/>
      <c r="AM537" s="215"/>
      <c r="AN537" s="215"/>
      <c r="AO537" s="215"/>
      <c r="AP537" s="215"/>
      <c r="AQ537" s="215"/>
      <c r="AR537" s="215"/>
      <c r="AS537" s="215"/>
      <c r="AT537" s="215"/>
      <c r="AU537" s="215"/>
      <c r="AV537" s="215"/>
      <c r="AW537" s="215"/>
      <c r="AX537" s="215"/>
      <c r="AY537" s="215"/>
    </row>
    <row r="538">
      <c r="A538" s="80"/>
      <c r="B538" s="80"/>
      <c r="C538" s="80"/>
      <c r="D538" s="80"/>
      <c r="E538" s="215"/>
      <c r="F538" s="215"/>
      <c r="G538" s="215"/>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c r="AD538" s="215"/>
      <c r="AE538" s="215"/>
      <c r="AF538" s="215"/>
      <c r="AG538" s="215"/>
      <c r="AH538" s="215"/>
      <c r="AI538" s="215"/>
      <c r="AJ538" s="215"/>
      <c r="AK538" s="215"/>
      <c r="AL538" s="215"/>
      <c r="AM538" s="215"/>
      <c r="AN538" s="215"/>
      <c r="AO538" s="215"/>
      <c r="AP538" s="215"/>
      <c r="AQ538" s="215"/>
      <c r="AR538" s="215"/>
      <c r="AS538" s="215"/>
      <c r="AT538" s="215"/>
      <c r="AU538" s="215"/>
      <c r="AV538" s="215"/>
      <c r="AW538" s="215"/>
      <c r="AX538" s="215"/>
      <c r="AY538" s="215"/>
    </row>
    <row r="539">
      <c r="A539" s="80"/>
      <c r="B539" s="80"/>
      <c r="C539" s="80"/>
      <c r="D539" s="80"/>
      <c r="E539" s="215"/>
      <c r="F539" s="215"/>
      <c r="G539" s="215"/>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c r="AD539" s="215"/>
      <c r="AE539" s="215"/>
      <c r="AF539" s="215"/>
      <c r="AG539" s="215"/>
      <c r="AH539" s="215"/>
      <c r="AI539" s="215"/>
      <c r="AJ539" s="215"/>
      <c r="AK539" s="215"/>
      <c r="AL539" s="215"/>
      <c r="AM539" s="215"/>
      <c r="AN539" s="215"/>
      <c r="AO539" s="215"/>
      <c r="AP539" s="215"/>
      <c r="AQ539" s="215"/>
      <c r="AR539" s="215"/>
      <c r="AS539" s="215"/>
      <c r="AT539" s="215"/>
      <c r="AU539" s="215"/>
      <c r="AV539" s="215"/>
      <c r="AW539" s="215"/>
      <c r="AX539" s="215"/>
      <c r="AY539" s="215"/>
    </row>
    <row r="540">
      <c r="A540" s="80"/>
      <c r="B540" s="80"/>
      <c r="C540" s="80"/>
      <c r="D540" s="80"/>
      <c r="E540" s="215"/>
      <c r="F540" s="215"/>
      <c r="G540" s="215"/>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c r="AD540" s="215"/>
      <c r="AE540" s="215"/>
      <c r="AF540" s="215"/>
      <c r="AG540" s="215"/>
      <c r="AH540" s="215"/>
      <c r="AI540" s="215"/>
      <c r="AJ540" s="215"/>
      <c r="AK540" s="215"/>
      <c r="AL540" s="215"/>
      <c r="AM540" s="215"/>
      <c r="AN540" s="215"/>
      <c r="AO540" s="215"/>
      <c r="AP540" s="215"/>
      <c r="AQ540" s="215"/>
      <c r="AR540" s="215"/>
      <c r="AS540" s="215"/>
      <c r="AT540" s="215"/>
      <c r="AU540" s="215"/>
      <c r="AV540" s="215"/>
      <c r="AW540" s="215"/>
      <c r="AX540" s="215"/>
      <c r="AY540" s="215"/>
    </row>
    <row r="541">
      <c r="A541" s="80"/>
      <c r="B541" s="80"/>
      <c r="C541" s="80"/>
      <c r="D541" s="80"/>
      <c r="E541" s="215"/>
      <c r="F541" s="215"/>
      <c r="G541" s="215"/>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c r="AD541" s="215"/>
      <c r="AE541" s="215"/>
      <c r="AF541" s="215"/>
      <c r="AG541" s="215"/>
      <c r="AH541" s="215"/>
      <c r="AI541" s="215"/>
      <c r="AJ541" s="215"/>
      <c r="AK541" s="215"/>
      <c r="AL541" s="215"/>
      <c r="AM541" s="215"/>
      <c r="AN541" s="215"/>
      <c r="AO541" s="215"/>
      <c r="AP541" s="215"/>
      <c r="AQ541" s="215"/>
      <c r="AR541" s="215"/>
      <c r="AS541" s="215"/>
      <c r="AT541" s="215"/>
      <c r="AU541" s="215"/>
      <c r="AV541" s="215"/>
      <c r="AW541" s="215"/>
      <c r="AX541" s="215"/>
      <c r="AY541" s="215"/>
    </row>
    <row r="542">
      <c r="A542" s="80"/>
      <c r="B542" s="80"/>
      <c r="C542" s="80"/>
      <c r="D542" s="80"/>
      <c r="E542" s="215"/>
      <c r="F542" s="215"/>
      <c r="G542" s="215"/>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c r="AD542" s="215"/>
      <c r="AE542" s="215"/>
      <c r="AF542" s="215"/>
      <c r="AG542" s="215"/>
      <c r="AH542" s="215"/>
      <c r="AI542" s="215"/>
      <c r="AJ542" s="215"/>
      <c r="AK542" s="215"/>
      <c r="AL542" s="215"/>
      <c r="AM542" s="215"/>
      <c r="AN542" s="215"/>
      <c r="AO542" s="215"/>
      <c r="AP542" s="215"/>
      <c r="AQ542" s="215"/>
      <c r="AR542" s="215"/>
      <c r="AS542" s="215"/>
      <c r="AT542" s="215"/>
      <c r="AU542" s="215"/>
      <c r="AV542" s="215"/>
      <c r="AW542" s="215"/>
      <c r="AX542" s="215"/>
      <c r="AY542" s="215"/>
    </row>
    <row r="543">
      <c r="A543" s="80"/>
      <c r="B543" s="80"/>
      <c r="C543" s="80"/>
      <c r="D543" s="80"/>
      <c r="E543" s="215"/>
      <c r="F543" s="215"/>
      <c r="G543" s="215"/>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c r="AD543" s="215"/>
      <c r="AE543" s="215"/>
      <c r="AF543" s="215"/>
      <c r="AG543" s="215"/>
      <c r="AH543" s="215"/>
      <c r="AI543" s="215"/>
      <c r="AJ543" s="215"/>
      <c r="AK543" s="215"/>
      <c r="AL543" s="215"/>
      <c r="AM543" s="215"/>
      <c r="AN543" s="215"/>
      <c r="AO543" s="215"/>
      <c r="AP543" s="215"/>
      <c r="AQ543" s="215"/>
      <c r="AR543" s="215"/>
      <c r="AS543" s="215"/>
      <c r="AT543" s="215"/>
      <c r="AU543" s="215"/>
      <c r="AV543" s="215"/>
      <c r="AW543" s="215"/>
      <c r="AX543" s="215"/>
      <c r="AY543" s="215"/>
    </row>
    <row r="544">
      <c r="A544" s="80"/>
      <c r="B544" s="80"/>
      <c r="C544" s="80"/>
      <c r="D544" s="80"/>
      <c r="E544" s="215"/>
      <c r="F544" s="215"/>
      <c r="G544" s="215"/>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c r="AD544" s="215"/>
      <c r="AE544" s="215"/>
      <c r="AF544" s="215"/>
      <c r="AG544" s="215"/>
      <c r="AH544" s="215"/>
      <c r="AI544" s="215"/>
      <c r="AJ544" s="215"/>
      <c r="AK544" s="215"/>
      <c r="AL544" s="215"/>
      <c r="AM544" s="215"/>
      <c r="AN544" s="215"/>
      <c r="AO544" s="215"/>
      <c r="AP544" s="215"/>
      <c r="AQ544" s="215"/>
      <c r="AR544" s="215"/>
      <c r="AS544" s="215"/>
      <c r="AT544" s="215"/>
      <c r="AU544" s="215"/>
      <c r="AV544" s="215"/>
      <c r="AW544" s="215"/>
      <c r="AX544" s="215"/>
      <c r="AY544" s="215"/>
    </row>
    <row r="545">
      <c r="A545" s="80"/>
      <c r="B545" s="80"/>
      <c r="C545" s="80"/>
      <c r="D545" s="80"/>
      <c r="E545" s="215"/>
      <c r="F545" s="215"/>
      <c r="G545" s="215"/>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c r="AD545" s="215"/>
      <c r="AE545" s="215"/>
      <c r="AF545" s="215"/>
      <c r="AG545" s="215"/>
      <c r="AH545" s="215"/>
      <c r="AI545" s="215"/>
      <c r="AJ545" s="215"/>
      <c r="AK545" s="215"/>
      <c r="AL545" s="215"/>
      <c r="AM545" s="215"/>
      <c r="AN545" s="215"/>
      <c r="AO545" s="215"/>
      <c r="AP545" s="215"/>
      <c r="AQ545" s="215"/>
      <c r="AR545" s="215"/>
      <c r="AS545" s="215"/>
      <c r="AT545" s="215"/>
      <c r="AU545" s="215"/>
      <c r="AV545" s="215"/>
      <c r="AW545" s="215"/>
      <c r="AX545" s="215"/>
      <c r="AY545" s="215"/>
    </row>
    <row r="546">
      <c r="A546" s="80"/>
      <c r="B546" s="80"/>
      <c r="C546" s="80"/>
      <c r="D546" s="80"/>
      <c r="E546" s="215"/>
      <c r="F546" s="215"/>
      <c r="G546" s="215"/>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c r="AD546" s="215"/>
      <c r="AE546" s="215"/>
      <c r="AF546" s="215"/>
      <c r="AG546" s="215"/>
      <c r="AH546" s="215"/>
      <c r="AI546" s="215"/>
      <c r="AJ546" s="215"/>
      <c r="AK546" s="215"/>
      <c r="AL546" s="215"/>
      <c r="AM546" s="215"/>
      <c r="AN546" s="215"/>
      <c r="AO546" s="215"/>
      <c r="AP546" s="215"/>
      <c r="AQ546" s="215"/>
      <c r="AR546" s="215"/>
      <c r="AS546" s="215"/>
      <c r="AT546" s="215"/>
      <c r="AU546" s="215"/>
      <c r="AV546" s="215"/>
      <c r="AW546" s="215"/>
      <c r="AX546" s="215"/>
      <c r="AY546" s="215"/>
    </row>
    <row r="547">
      <c r="A547" s="80"/>
      <c r="B547" s="80"/>
      <c r="C547" s="80"/>
      <c r="D547" s="80"/>
      <c r="E547" s="215"/>
      <c r="F547" s="215"/>
      <c r="G547" s="215"/>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c r="AD547" s="215"/>
      <c r="AE547" s="215"/>
      <c r="AF547" s="215"/>
      <c r="AG547" s="215"/>
      <c r="AH547" s="215"/>
      <c r="AI547" s="215"/>
      <c r="AJ547" s="215"/>
      <c r="AK547" s="215"/>
      <c r="AL547" s="215"/>
      <c r="AM547" s="215"/>
      <c r="AN547" s="215"/>
      <c r="AO547" s="215"/>
      <c r="AP547" s="215"/>
      <c r="AQ547" s="215"/>
      <c r="AR547" s="215"/>
      <c r="AS547" s="215"/>
      <c r="AT547" s="215"/>
      <c r="AU547" s="215"/>
      <c r="AV547" s="215"/>
      <c r="AW547" s="215"/>
      <c r="AX547" s="215"/>
      <c r="AY547" s="215"/>
    </row>
    <row r="548">
      <c r="A548" s="80"/>
      <c r="B548" s="80"/>
      <c r="C548" s="80"/>
      <c r="D548" s="80"/>
      <c r="E548" s="215"/>
      <c r="F548" s="215"/>
      <c r="G548" s="215"/>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c r="AD548" s="215"/>
      <c r="AE548" s="215"/>
      <c r="AF548" s="215"/>
      <c r="AG548" s="215"/>
      <c r="AH548" s="215"/>
      <c r="AI548" s="215"/>
      <c r="AJ548" s="215"/>
      <c r="AK548" s="215"/>
      <c r="AL548" s="215"/>
      <c r="AM548" s="215"/>
      <c r="AN548" s="215"/>
      <c r="AO548" s="215"/>
      <c r="AP548" s="215"/>
      <c r="AQ548" s="215"/>
      <c r="AR548" s="215"/>
      <c r="AS548" s="215"/>
      <c r="AT548" s="215"/>
      <c r="AU548" s="215"/>
      <c r="AV548" s="215"/>
      <c r="AW548" s="215"/>
      <c r="AX548" s="215"/>
      <c r="AY548" s="215"/>
    </row>
    <row r="549">
      <c r="A549" s="80"/>
      <c r="B549" s="80"/>
      <c r="C549" s="80"/>
      <c r="D549" s="80"/>
      <c r="E549" s="215"/>
      <c r="F549" s="215"/>
      <c r="G549" s="215"/>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c r="AD549" s="215"/>
      <c r="AE549" s="215"/>
      <c r="AF549" s="215"/>
      <c r="AG549" s="215"/>
      <c r="AH549" s="215"/>
      <c r="AI549" s="215"/>
      <c r="AJ549" s="215"/>
      <c r="AK549" s="215"/>
      <c r="AL549" s="215"/>
      <c r="AM549" s="215"/>
      <c r="AN549" s="215"/>
      <c r="AO549" s="215"/>
      <c r="AP549" s="215"/>
      <c r="AQ549" s="215"/>
      <c r="AR549" s="215"/>
      <c r="AS549" s="215"/>
      <c r="AT549" s="215"/>
      <c r="AU549" s="215"/>
      <c r="AV549" s="215"/>
      <c r="AW549" s="215"/>
      <c r="AX549" s="215"/>
      <c r="AY549" s="215"/>
    </row>
    <row r="550">
      <c r="A550" s="80"/>
      <c r="B550" s="80"/>
      <c r="C550" s="80"/>
      <c r="D550" s="80"/>
      <c r="E550" s="215"/>
      <c r="F550" s="215"/>
      <c r="G550" s="215"/>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c r="AD550" s="215"/>
      <c r="AE550" s="215"/>
      <c r="AF550" s="215"/>
      <c r="AG550" s="215"/>
      <c r="AH550" s="215"/>
      <c r="AI550" s="215"/>
      <c r="AJ550" s="215"/>
      <c r="AK550" s="215"/>
      <c r="AL550" s="215"/>
      <c r="AM550" s="215"/>
      <c r="AN550" s="215"/>
      <c r="AO550" s="215"/>
      <c r="AP550" s="215"/>
      <c r="AQ550" s="215"/>
      <c r="AR550" s="215"/>
      <c r="AS550" s="215"/>
      <c r="AT550" s="215"/>
      <c r="AU550" s="215"/>
      <c r="AV550" s="215"/>
      <c r="AW550" s="215"/>
      <c r="AX550" s="215"/>
      <c r="AY550" s="215"/>
    </row>
    <row r="551">
      <c r="A551" s="80"/>
      <c r="B551" s="80"/>
      <c r="C551" s="80"/>
      <c r="D551" s="80"/>
      <c r="E551" s="215"/>
      <c r="F551" s="215"/>
      <c r="G551" s="215"/>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c r="AD551" s="215"/>
      <c r="AE551" s="215"/>
      <c r="AF551" s="215"/>
      <c r="AG551" s="215"/>
      <c r="AH551" s="215"/>
      <c r="AI551" s="215"/>
      <c r="AJ551" s="215"/>
      <c r="AK551" s="215"/>
      <c r="AL551" s="215"/>
      <c r="AM551" s="215"/>
      <c r="AN551" s="215"/>
      <c r="AO551" s="215"/>
      <c r="AP551" s="215"/>
      <c r="AQ551" s="215"/>
      <c r="AR551" s="215"/>
      <c r="AS551" s="215"/>
      <c r="AT551" s="215"/>
      <c r="AU551" s="215"/>
      <c r="AV551" s="215"/>
      <c r="AW551" s="215"/>
      <c r="AX551" s="215"/>
      <c r="AY551" s="215"/>
    </row>
    <row r="552">
      <c r="A552" s="80"/>
      <c r="B552" s="80"/>
      <c r="C552" s="80"/>
      <c r="D552" s="80"/>
      <c r="E552" s="215"/>
      <c r="F552" s="215"/>
      <c r="G552" s="215"/>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c r="AD552" s="215"/>
      <c r="AE552" s="215"/>
      <c r="AF552" s="215"/>
      <c r="AG552" s="215"/>
      <c r="AH552" s="215"/>
      <c r="AI552" s="215"/>
      <c r="AJ552" s="215"/>
      <c r="AK552" s="215"/>
      <c r="AL552" s="215"/>
      <c r="AM552" s="215"/>
      <c r="AN552" s="215"/>
      <c r="AO552" s="215"/>
      <c r="AP552" s="215"/>
      <c r="AQ552" s="215"/>
      <c r="AR552" s="215"/>
      <c r="AS552" s="215"/>
      <c r="AT552" s="215"/>
      <c r="AU552" s="215"/>
      <c r="AV552" s="215"/>
      <c r="AW552" s="215"/>
      <c r="AX552" s="215"/>
      <c r="AY552" s="215"/>
    </row>
    <row r="553">
      <c r="A553" s="80"/>
      <c r="B553" s="80"/>
      <c r="C553" s="80"/>
      <c r="D553" s="80"/>
      <c r="E553" s="215"/>
      <c r="F553" s="215"/>
      <c r="G553" s="215"/>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c r="AD553" s="215"/>
      <c r="AE553" s="215"/>
      <c r="AF553" s="215"/>
      <c r="AG553" s="215"/>
      <c r="AH553" s="215"/>
      <c r="AI553" s="215"/>
      <c r="AJ553" s="215"/>
      <c r="AK553" s="215"/>
      <c r="AL553" s="215"/>
      <c r="AM553" s="215"/>
      <c r="AN553" s="215"/>
      <c r="AO553" s="215"/>
      <c r="AP553" s="215"/>
      <c r="AQ553" s="215"/>
      <c r="AR553" s="215"/>
      <c r="AS553" s="215"/>
      <c r="AT553" s="215"/>
      <c r="AU553" s="215"/>
      <c r="AV553" s="215"/>
      <c r="AW553" s="215"/>
      <c r="AX553" s="215"/>
      <c r="AY553" s="215"/>
    </row>
    <row r="554">
      <c r="A554" s="80"/>
      <c r="B554" s="80"/>
      <c r="C554" s="80"/>
      <c r="D554" s="80"/>
      <c r="E554" s="215"/>
      <c r="F554" s="215"/>
      <c r="G554" s="215"/>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c r="AD554" s="215"/>
      <c r="AE554" s="215"/>
      <c r="AF554" s="215"/>
      <c r="AG554" s="215"/>
      <c r="AH554" s="215"/>
      <c r="AI554" s="215"/>
      <c r="AJ554" s="215"/>
      <c r="AK554" s="215"/>
      <c r="AL554" s="215"/>
      <c r="AM554" s="215"/>
      <c r="AN554" s="215"/>
      <c r="AO554" s="215"/>
      <c r="AP554" s="215"/>
      <c r="AQ554" s="215"/>
      <c r="AR554" s="215"/>
      <c r="AS554" s="215"/>
      <c r="AT554" s="215"/>
      <c r="AU554" s="215"/>
      <c r="AV554" s="215"/>
      <c r="AW554" s="215"/>
      <c r="AX554" s="215"/>
      <c r="AY554" s="215"/>
    </row>
    <row r="555">
      <c r="A555" s="80"/>
      <c r="B555" s="80"/>
      <c r="C555" s="80"/>
      <c r="D555" s="80"/>
      <c r="E555" s="215"/>
      <c r="F555" s="215"/>
      <c r="G555" s="215"/>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c r="AD555" s="215"/>
      <c r="AE555" s="215"/>
      <c r="AF555" s="215"/>
      <c r="AG555" s="215"/>
      <c r="AH555" s="215"/>
      <c r="AI555" s="215"/>
      <c r="AJ555" s="215"/>
      <c r="AK555" s="215"/>
      <c r="AL555" s="215"/>
      <c r="AM555" s="215"/>
      <c r="AN555" s="215"/>
      <c r="AO555" s="215"/>
      <c r="AP555" s="215"/>
      <c r="AQ555" s="215"/>
      <c r="AR555" s="215"/>
      <c r="AS555" s="215"/>
      <c r="AT555" s="215"/>
      <c r="AU555" s="215"/>
      <c r="AV555" s="215"/>
      <c r="AW555" s="215"/>
      <c r="AX555" s="215"/>
      <c r="AY555" s="215"/>
    </row>
    <row r="556">
      <c r="A556" s="80"/>
      <c r="B556" s="80"/>
      <c r="C556" s="80"/>
      <c r="D556" s="80"/>
      <c r="E556" s="215"/>
      <c r="F556" s="215"/>
      <c r="G556" s="215"/>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c r="AD556" s="215"/>
      <c r="AE556" s="215"/>
      <c r="AF556" s="215"/>
      <c r="AG556" s="215"/>
      <c r="AH556" s="215"/>
      <c r="AI556" s="215"/>
      <c r="AJ556" s="215"/>
      <c r="AK556" s="215"/>
      <c r="AL556" s="215"/>
      <c r="AM556" s="215"/>
      <c r="AN556" s="215"/>
      <c r="AO556" s="215"/>
      <c r="AP556" s="215"/>
      <c r="AQ556" s="215"/>
      <c r="AR556" s="215"/>
      <c r="AS556" s="215"/>
      <c r="AT556" s="215"/>
      <c r="AU556" s="215"/>
      <c r="AV556" s="215"/>
      <c r="AW556" s="215"/>
      <c r="AX556" s="215"/>
      <c r="AY556" s="215"/>
    </row>
    <row r="557">
      <c r="A557" s="80"/>
      <c r="B557" s="80"/>
      <c r="C557" s="80"/>
      <c r="D557" s="80"/>
      <c r="E557" s="215"/>
      <c r="F557" s="215"/>
      <c r="G557" s="215"/>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c r="AD557" s="215"/>
      <c r="AE557" s="215"/>
      <c r="AF557" s="215"/>
      <c r="AG557" s="215"/>
      <c r="AH557" s="215"/>
      <c r="AI557" s="215"/>
      <c r="AJ557" s="215"/>
      <c r="AK557" s="215"/>
      <c r="AL557" s="215"/>
      <c r="AM557" s="215"/>
      <c r="AN557" s="215"/>
      <c r="AO557" s="215"/>
      <c r="AP557" s="215"/>
      <c r="AQ557" s="215"/>
      <c r="AR557" s="215"/>
      <c r="AS557" s="215"/>
      <c r="AT557" s="215"/>
      <c r="AU557" s="215"/>
      <c r="AV557" s="215"/>
      <c r="AW557" s="215"/>
      <c r="AX557" s="215"/>
      <c r="AY557" s="215"/>
    </row>
    <row r="558">
      <c r="A558" s="80"/>
      <c r="B558" s="80"/>
      <c r="C558" s="80"/>
      <c r="D558" s="80"/>
      <c r="E558" s="215"/>
      <c r="F558" s="215"/>
      <c r="G558" s="215"/>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c r="AD558" s="215"/>
      <c r="AE558" s="215"/>
      <c r="AF558" s="215"/>
      <c r="AG558" s="215"/>
      <c r="AH558" s="215"/>
      <c r="AI558" s="215"/>
      <c r="AJ558" s="215"/>
      <c r="AK558" s="215"/>
      <c r="AL558" s="215"/>
      <c r="AM558" s="215"/>
      <c r="AN558" s="215"/>
      <c r="AO558" s="215"/>
      <c r="AP558" s="215"/>
      <c r="AQ558" s="215"/>
      <c r="AR558" s="215"/>
      <c r="AS558" s="215"/>
      <c r="AT558" s="215"/>
      <c r="AU558" s="215"/>
      <c r="AV558" s="215"/>
      <c r="AW558" s="215"/>
      <c r="AX558" s="215"/>
      <c r="AY558" s="215"/>
    </row>
    <row r="559">
      <c r="A559" s="80"/>
      <c r="B559" s="80"/>
      <c r="C559" s="80"/>
      <c r="D559" s="80"/>
      <c r="E559" s="215"/>
      <c r="F559" s="215"/>
      <c r="G559" s="215"/>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c r="AD559" s="215"/>
      <c r="AE559" s="215"/>
      <c r="AF559" s="215"/>
      <c r="AG559" s="215"/>
      <c r="AH559" s="215"/>
      <c r="AI559" s="215"/>
      <c r="AJ559" s="215"/>
      <c r="AK559" s="215"/>
      <c r="AL559" s="215"/>
      <c r="AM559" s="215"/>
      <c r="AN559" s="215"/>
      <c r="AO559" s="215"/>
      <c r="AP559" s="215"/>
      <c r="AQ559" s="215"/>
      <c r="AR559" s="215"/>
      <c r="AS559" s="215"/>
      <c r="AT559" s="215"/>
      <c r="AU559" s="215"/>
      <c r="AV559" s="215"/>
      <c r="AW559" s="215"/>
      <c r="AX559" s="215"/>
      <c r="AY559" s="215"/>
    </row>
    <row r="560">
      <c r="A560" s="80"/>
      <c r="B560" s="80"/>
      <c r="C560" s="80"/>
      <c r="D560" s="80"/>
      <c r="E560" s="215"/>
      <c r="F560" s="215"/>
      <c r="G560" s="215"/>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c r="AD560" s="215"/>
      <c r="AE560" s="215"/>
      <c r="AF560" s="215"/>
      <c r="AG560" s="215"/>
      <c r="AH560" s="215"/>
      <c r="AI560" s="215"/>
      <c r="AJ560" s="215"/>
      <c r="AK560" s="215"/>
      <c r="AL560" s="215"/>
      <c r="AM560" s="215"/>
      <c r="AN560" s="215"/>
      <c r="AO560" s="215"/>
      <c r="AP560" s="215"/>
      <c r="AQ560" s="215"/>
      <c r="AR560" s="215"/>
      <c r="AS560" s="215"/>
      <c r="AT560" s="215"/>
      <c r="AU560" s="215"/>
      <c r="AV560" s="215"/>
      <c r="AW560" s="215"/>
      <c r="AX560" s="215"/>
      <c r="AY560" s="215"/>
    </row>
    <row r="561">
      <c r="A561" s="80"/>
      <c r="B561" s="80"/>
      <c r="C561" s="80"/>
      <c r="D561" s="80"/>
      <c r="E561" s="215"/>
      <c r="F561" s="215"/>
      <c r="G561" s="215"/>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c r="AD561" s="215"/>
      <c r="AE561" s="215"/>
      <c r="AF561" s="215"/>
      <c r="AG561" s="215"/>
      <c r="AH561" s="215"/>
      <c r="AI561" s="215"/>
      <c r="AJ561" s="215"/>
      <c r="AK561" s="215"/>
      <c r="AL561" s="215"/>
      <c r="AM561" s="215"/>
      <c r="AN561" s="215"/>
      <c r="AO561" s="215"/>
      <c r="AP561" s="215"/>
      <c r="AQ561" s="215"/>
      <c r="AR561" s="215"/>
      <c r="AS561" s="215"/>
      <c r="AT561" s="215"/>
      <c r="AU561" s="215"/>
      <c r="AV561" s="215"/>
      <c r="AW561" s="215"/>
      <c r="AX561" s="215"/>
      <c r="AY561" s="215"/>
    </row>
    <row r="562">
      <c r="A562" s="80"/>
      <c r="B562" s="80"/>
      <c r="C562" s="80"/>
      <c r="D562" s="80"/>
      <c r="E562" s="215"/>
      <c r="F562" s="215"/>
      <c r="G562" s="215"/>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c r="AD562" s="215"/>
      <c r="AE562" s="215"/>
      <c r="AF562" s="215"/>
      <c r="AG562" s="215"/>
      <c r="AH562" s="215"/>
      <c r="AI562" s="215"/>
      <c r="AJ562" s="215"/>
      <c r="AK562" s="215"/>
      <c r="AL562" s="215"/>
      <c r="AM562" s="215"/>
      <c r="AN562" s="215"/>
      <c r="AO562" s="215"/>
      <c r="AP562" s="215"/>
      <c r="AQ562" s="215"/>
      <c r="AR562" s="215"/>
      <c r="AS562" s="215"/>
      <c r="AT562" s="215"/>
      <c r="AU562" s="215"/>
      <c r="AV562" s="215"/>
      <c r="AW562" s="215"/>
      <c r="AX562" s="215"/>
      <c r="AY562" s="215"/>
    </row>
    <row r="563">
      <c r="A563" s="80"/>
      <c r="B563" s="80"/>
      <c r="C563" s="80"/>
      <c r="D563" s="80"/>
      <c r="E563" s="215"/>
      <c r="F563" s="215"/>
      <c r="G563" s="215"/>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c r="AD563" s="215"/>
      <c r="AE563" s="215"/>
      <c r="AF563" s="215"/>
      <c r="AG563" s="215"/>
      <c r="AH563" s="215"/>
      <c r="AI563" s="215"/>
      <c r="AJ563" s="215"/>
      <c r="AK563" s="215"/>
      <c r="AL563" s="215"/>
      <c r="AM563" s="215"/>
      <c r="AN563" s="215"/>
      <c r="AO563" s="215"/>
      <c r="AP563" s="215"/>
      <c r="AQ563" s="215"/>
      <c r="AR563" s="215"/>
      <c r="AS563" s="215"/>
      <c r="AT563" s="215"/>
      <c r="AU563" s="215"/>
      <c r="AV563" s="215"/>
      <c r="AW563" s="215"/>
      <c r="AX563" s="215"/>
      <c r="AY563" s="215"/>
    </row>
    <row r="564">
      <c r="A564" s="80"/>
      <c r="B564" s="80"/>
      <c r="C564" s="80"/>
      <c r="D564" s="80"/>
      <c r="E564" s="215"/>
      <c r="F564" s="215"/>
      <c r="G564" s="215"/>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c r="AD564" s="215"/>
      <c r="AE564" s="215"/>
      <c r="AF564" s="215"/>
      <c r="AG564" s="215"/>
      <c r="AH564" s="215"/>
      <c r="AI564" s="215"/>
      <c r="AJ564" s="215"/>
      <c r="AK564" s="215"/>
      <c r="AL564" s="215"/>
      <c r="AM564" s="215"/>
      <c r="AN564" s="215"/>
      <c r="AO564" s="215"/>
      <c r="AP564" s="215"/>
      <c r="AQ564" s="215"/>
      <c r="AR564" s="215"/>
      <c r="AS564" s="215"/>
      <c r="AT564" s="215"/>
      <c r="AU564" s="215"/>
      <c r="AV564" s="215"/>
      <c r="AW564" s="215"/>
      <c r="AX564" s="215"/>
      <c r="AY564" s="215"/>
    </row>
    <row r="565">
      <c r="A565" s="80"/>
      <c r="B565" s="80"/>
      <c r="C565" s="80"/>
      <c r="D565" s="80"/>
      <c r="E565" s="215"/>
      <c r="F565" s="215"/>
      <c r="G565" s="215"/>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c r="AD565" s="215"/>
      <c r="AE565" s="215"/>
      <c r="AF565" s="215"/>
      <c r="AG565" s="215"/>
      <c r="AH565" s="215"/>
      <c r="AI565" s="215"/>
      <c r="AJ565" s="215"/>
      <c r="AK565" s="215"/>
      <c r="AL565" s="215"/>
      <c r="AM565" s="215"/>
      <c r="AN565" s="215"/>
      <c r="AO565" s="215"/>
      <c r="AP565" s="215"/>
      <c r="AQ565" s="215"/>
      <c r="AR565" s="215"/>
      <c r="AS565" s="215"/>
      <c r="AT565" s="215"/>
      <c r="AU565" s="215"/>
      <c r="AV565" s="215"/>
      <c r="AW565" s="215"/>
      <c r="AX565" s="215"/>
      <c r="AY565" s="215"/>
    </row>
    <row r="566">
      <c r="A566" s="80"/>
      <c r="B566" s="80"/>
      <c r="C566" s="80"/>
      <c r="D566" s="80"/>
      <c r="E566" s="215"/>
      <c r="F566" s="215"/>
      <c r="G566" s="215"/>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c r="AD566" s="215"/>
      <c r="AE566" s="215"/>
      <c r="AF566" s="215"/>
      <c r="AG566" s="215"/>
      <c r="AH566" s="215"/>
      <c r="AI566" s="215"/>
      <c r="AJ566" s="215"/>
      <c r="AK566" s="215"/>
      <c r="AL566" s="215"/>
      <c r="AM566" s="215"/>
      <c r="AN566" s="215"/>
      <c r="AO566" s="215"/>
      <c r="AP566" s="215"/>
      <c r="AQ566" s="215"/>
      <c r="AR566" s="215"/>
      <c r="AS566" s="215"/>
      <c r="AT566" s="215"/>
      <c r="AU566" s="215"/>
      <c r="AV566" s="215"/>
      <c r="AW566" s="215"/>
      <c r="AX566" s="215"/>
      <c r="AY566" s="215"/>
    </row>
    <row r="567">
      <c r="A567" s="80"/>
      <c r="B567" s="80"/>
      <c r="C567" s="80"/>
      <c r="D567" s="80"/>
      <c r="E567" s="215"/>
      <c r="F567" s="215"/>
      <c r="G567" s="215"/>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c r="AD567" s="215"/>
      <c r="AE567" s="215"/>
      <c r="AF567" s="215"/>
      <c r="AG567" s="215"/>
      <c r="AH567" s="215"/>
      <c r="AI567" s="215"/>
      <c r="AJ567" s="215"/>
      <c r="AK567" s="215"/>
      <c r="AL567" s="215"/>
      <c r="AM567" s="215"/>
      <c r="AN567" s="215"/>
      <c r="AO567" s="215"/>
      <c r="AP567" s="215"/>
      <c r="AQ567" s="215"/>
      <c r="AR567" s="215"/>
      <c r="AS567" s="215"/>
      <c r="AT567" s="215"/>
      <c r="AU567" s="215"/>
      <c r="AV567" s="215"/>
      <c r="AW567" s="215"/>
      <c r="AX567" s="215"/>
      <c r="AY567" s="215"/>
    </row>
    <row r="568">
      <c r="A568" s="80"/>
      <c r="B568" s="80"/>
      <c r="C568" s="80"/>
      <c r="D568" s="80"/>
      <c r="E568" s="215"/>
      <c r="F568" s="215"/>
      <c r="G568" s="215"/>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c r="AD568" s="215"/>
      <c r="AE568" s="215"/>
      <c r="AF568" s="215"/>
      <c r="AG568" s="215"/>
      <c r="AH568" s="215"/>
      <c r="AI568" s="215"/>
      <c r="AJ568" s="215"/>
      <c r="AK568" s="215"/>
      <c r="AL568" s="215"/>
      <c r="AM568" s="215"/>
      <c r="AN568" s="215"/>
      <c r="AO568" s="215"/>
      <c r="AP568" s="215"/>
      <c r="AQ568" s="215"/>
      <c r="AR568" s="215"/>
      <c r="AS568" s="215"/>
      <c r="AT568" s="215"/>
      <c r="AU568" s="215"/>
      <c r="AV568" s="215"/>
      <c r="AW568" s="215"/>
      <c r="AX568" s="215"/>
      <c r="AY568" s="215"/>
    </row>
    <row r="569">
      <c r="A569" s="80"/>
      <c r="B569" s="80"/>
      <c r="C569" s="80"/>
      <c r="D569" s="80"/>
      <c r="E569" s="215"/>
      <c r="F569" s="215"/>
      <c r="G569" s="215"/>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c r="AD569" s="215"/>
      <c r="AE569" s="215"/>
      <c r="AF569" s="215"/>
      <c r="AG569" s="215"/>
      <c r="AH569" s="215"/>
      <c r="AI569" s="215"/>
      <c r="AJ569" s="215"/>
      <c r="AK569" s="215"/>
      <c r="AL569" s="215"/>
      <c r="AM569" s="215"/>
      <c r="AN569" s="215"/>
      <c r="AO569" s="215"/>
      <c r="AP569" s="215"/>
      <c r="AQ569" s="215"/>
      <c r="AR569" s="215"/>
      <c r="AS569" s="215"/>
      <c r="AT569" s="215"/>
      <c r="AU569" s="215"/>
      <c r="AV569" s="215"/>
      <c r="AW569" s="215"/>
      <c r="AX569" s="215"/>
      <c r="AY569" s="215"/>
    </row>
    <row r="570">
      <c r="A570" s="80"/>
      <c r="B570" s="80"/>
      <c r="C570" s="80"/>
      <c r="D570" s="80"/>
      <c r="E570" s="215"/>
      <c r="F570" s="215"/>
      <c r="G570" s="215"/>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c r="AD570" s="215"/>
      <c r="AE570" s="215"/>
      <c r="AF570" s="215"/>
      <c r="AG570" s="215"/>
      <c r="AH570" s="215"/>
      <c r="AI570" s="215"/>
      <c r="AJ570" s="215"/>
      <c r="AK570" s="215"/>
      <c r="AL570" s="215"/>
      <c r="AM570" s="215"/>
      <c r="AN570" s="215"/>
      <c r="AO570" s="215"/>
      <c r="AP570" s="215"/>
      <c r="AQ570" s="215"/>
      <c r="AR570" s="215"/>
      <c r="AS570" s="215"/>
      <c r="AT570" s="215"/>
      <c r="AU570" s="215"/>
      <c r="AV570" s="215"/>
      <c r="AW570" s="215"/>
      <c r="AX570" s="215"/>
      <c r="AY570" s="215"/>
    </row>
    <row r="571">
      <c r="A571" s="80"/>
      <c r="B571" s="80"/>
      <c r="C571" s="80"/>
      <c r="D571" s="80"/>
      <c r="E571" s="215"/>
      <c r="F571" s="215"/>
      <c r="G571" s="215"/>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c r="AD571" s="215"/>
      <c r="AE571" s="215"/>
      <c r="AF571" s="215"/>
      <c r="AG571" s="215"/>
      <c r="AH571" s="215"/>
      <c r="AI571" s="215"/>
      <c r="AJ571" s="215"/>
      <c r="AK571" s="215"/>
      <c r="AL571" s="215"/>
      <c r="AM571" s="215"/>
      <c r="AN571" s="215"/>
      <c r="AO571" s="215"/>
      <c r="AP571" s="215"/>
      <c r="AQ571" s="215"/>
      <c r="AR571" s="215"/>
      <c r="AS571" s="215"/>
      <c r="AT571" s="215"/>
      <c r="AU571" s="215"/>
      <c r="AV571" s="215"/>
      <c r="AW571" s="215"/>
      <c r="AX571" s="215"/>
      <c r="AY571" s="215"/>
    </row>
    <row r="572">
      <c r="A572" s="80"/>
      <c r="B572" s="80"/>
      <c r="C572" s="80"/>
      <c r="D572" s="80"/>
      <c r="E572" s="215"/>
      <c r="F572" s="215"/>
      <c r="G572" s="215"/>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c r="AD572" s="215"/>
      <c r="AE572" s="215"/>
      <c r="AF572" s="215"/>
      <c r="AG572" s="215"/>
      <c r="AH572" s="215"/>
      <c r="AI572" s="215"/>
      <c r="AJ572" s="215"/>
      <c r="AK572" s="215"/>
      <c r="AL572" s="215"/>
      <c r="AM572" s="215"/>
      <c r="AN572" s="215"/>
      <c r="AO572" s="215"/>
      <c r="AP572" s="215"/>
      <c r="AQ572" s="215"/>
      <c r="AR572" s="215"/>
      <c r="AS572" s="215"/>
      <c r="AT572" s="215"/>
      <c r="AU572" s="215"/>
      <c r="AV572" s="215"/>
      <c r="AW572" s="215"/>
      <c r="AX572" s="215"/>
      <c r="AY572" s="215"/>
    </row>
    <row r="573">
      <c r="A573" s="80"/>
      <c r="B573" s="80"/>
      <c r="C573" s="80"/>
      <c r="D573" s="80"/>
      <c r="E573" s="215"/>
      <c r="F573" s="215"/>
      <c r="G573" s="215"/>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c r="AD573" s="215"/>
      <c r="AE573" s="215"/>
      <c r="AF573" s="215"/>
      <c r="AG573" s="215"/>
      <c r="AH573" s="215"/>
      <c r="AI573" s="215"/>
      <c r="AJ573" s="215"/>
      <c r="AK573" s="215"/>
      <c r="AL573" s="215"/>
      <c r="AM573" s="215"/>
      <c r="AN573" s="215"/>
      <c r="AO573" s="215"/>
      <c r="AP573" s="215"/>
      <c r="AQ573" s="215"/>
      <c r="AR573" s="215"/>
      <c r="AS573" s="215"/>
      <c r="AT573" s="215"/>
      <c r="AU573" s="215"/>
      <c r="AV573" s="215"/>
      <c r="AW573" s="215"/>
      <c r="AX573" s="215"/>
      <c r="AY573" s="215"/>
    </row>
    <row r="574">
      <c r="A574" s="80"/>
      <c r="B574" s="80"/>
      <c r="C574" s="80"/>
      <c r="D574" s="80"/>
      <c r="E574" s="215"/>
      <c r="F574" s="215"/>
      <c r="G574" s="215"/>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c r="AD574" s="215"/>
      <c r="AE574" s="215"/>
      <c r="AF574" s="215"/>
      <c r="AG574" s="215"/>
      <c r="AH574" s="215"/>
      <c r="AI574" s="215"/>
      <c r="AJ574" s="215"/>
      <c r="AK574" s="215"/>
      <c r="AL574" s="215"/>
      <c r="AM574" s="215"/>
      <c r="AN574" s="215"/>
      <c r="AO574" s="215"/>
      <c r="AP574" s="215"/>
      <c r="AQ574" s="215"/>
      <c r="AR574" s="215"/>
      <c r="AS574" s="215"/>
      <c r="AT574" s="215"/>
      <c r="AU574" s="215"/>
      <c r="AV574" s="215"/>
      <c r="AW574" s="215"/>
      <c r="AX574" s="215"/>
      <c r="AY574" s="215"/>
    </row>
    <row r="575">
      <c r="A575" s="80"/>
      <c r="B575" s="80"/>
      <c r="C575" s="80"/>
      <c r="D575" s="80"/>
      <c r="E575" s="215"/>
      <c r="F575" s="215"/>
      <c r="G575" s="215"/>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c r="AD575" s="215"/>
      <c r="AE575" s="215"/>
      <c r="AF575" s="215"/>
      <c r="AG575" s="215"/>
      <c r="AH575" s="215"/>
      <c r="AI575" s="215"/>
      <c r="AJ575" s="215"/>
      <c r="AK575" s="215"/>
      <c r="AL575" s="215"/>
      <c r="AM575" s="215"/>
      <c r="AN575" s="215"/>
      <c r="AO575" s="215"/>
      <c r="AP575" s="215"/>
      <c r="AQ575" s="215"/>
      <c r="AR575" s="215"/>
      <c r="AS575" s="215"/>
      <c r="AT575" s="215"/>
      <c r="AU575" s="215"/>
      <c r="AV575" s="215"/>
      <c r="AW575" s="215"/>
      <c r="AX575" s="215"/>
      <c r="AY575" s="215"/>
    </row>
    <row r="576">
      <c r="A576" s="80"/>
      <c r="B576" s="80"/>
      <c r="C576" s="80"/>
      <c r="D576" s="80"/>
      <c r="E576" s="215"/>
      <c r="F576" s="215"/>
      <c r="G576" s="215"/>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c r="AD576" s="215"/>
      <c r="AE576" s="215"/>
      <c r="AF576" s="215"/>
      <c r="AG576" s="215"/>
      <c r="AH576" s="215"/>
      <c r="AI576" s="215"/>
      <c r="AJ576" s="215"/>
      <c r="AK576" s="215"/>
      <c r="AL576" s="215"/>
      <c r="AM576" s="215"/>
      <c r="AN576" s="215"/>
      <c r="AO576" s="215"/>
      <c r="AP576" s="215"/>
      <c r="AQ576" s="215"/>
      <c r="AR576" s="215"/>
      <c r="AS576" s="215"/>
      <c r="AT576" s="215"/>
      <c r="AU576" s="215"/>
      <c r="AV576" s="215"/>
      <c r="AW576" s="215"/>
      <c r="AX576" s="215"/>
      <c r="AY576" s="215"/>
    </row>
    <row r="577">
      <c r="A577" s="80"/>
      <c r="B577" s="80"/>
      <c r="C577" s="80"/>
      <c r="D577" s="80"/>
      <c r="E577" s="215"/>
      <c r="F577" s="215"/>
      <c r="G577" s="215"/>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c r="AD577" s="215"/>
      <c r="AE577" s="215"/>
      <c r="AF577" s="215"/>
      <c r="AG577" s="215"/>
      <c r="AH577" s="215"/>
      <c r="AI577" s="215"/>
      <c r="AJ577" s="215"/>
      <c r="AK577" s="215"/>
      <c r="AL577" s="215"/>
      <c r="AM577" s="215"/>
      <c r="AN577" s="215"/>
      <c r="AO577" s="215"/>
      <c r="AP577" s="215"/>
      <c r="AQ577" s="215"/>
      <c r="AR577" s="215"/>
      <c r="AS577" s="215"/>
      <c r="AT577" s="215"/>
      <c r="AU577" s="215"/>
      <c r="AV577" s="215"/>
      <c r="AW577" s="215"/>
      <c r="AX577" s="215"/>
      <c r="AY577" s="215"/>
    </row>
    <row r="578">
      <c r="A578" s="80"/>
      <c r="B578" s="80"/>
      <c r="C578" s="80"/>
      <c r="D578" s="80"/>
      <c r="E578" s="215"/>
      <c r="F578" s="215"/>
      <c r="G578" s="215"/>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c r="AD578" s="215"/>
      <c r="AE578" s="215"/>
      <c r="AF578" s="215"/>
      <c r="AG578" s="215"/>
      <c r="AH578" s="215"/>
      <c r="AI578" s="215"/>
      <c r="AJ578" s="215"/>
      <c r="AK578" s="215"/>
      <c r="AL578" s="215"/>
      <c r="AM578" s="215"/>
      <c r="AN578" s="215"/>
      <c r="AO578" s="215"/>
      <c r="AP578" s="215"/>
      <c r="AQ578" s="215"/>
      <c r="AR578" s="215"/>
      <c r="AS578" s="215"/>
      <c r="AT578" s="215"/>
      <c r="AU578" s="215"/>
      <c r="AV578" s="215"/>
      <c r="AW578" s="215"/>
      <c r="AX578" s="215"/>
      <c r="AY578" s="215"/>
    </row>
    <row r="579">
      <c r="A579" s="80"/>
      <c r="B579" s="80"/>
      <c r="C579" s="80"/>
      <c r="D579" s="80"/>
      <c r="E579" s="215"/>
      <c r="F579" s="215"/>
      <c r="G579" s="215"/>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c r="AD579" s="215"/>
      <c r="AE579" s="215"/>
      <c r="AF579" s="215"/>
      <c r="AG579" s="215"/>
      <c r="AH579" s="215"/>
      <c r="AI579" s="215"/>
      <c r="AJ579" s="215"/>
      <c r="AK579" s="215"/>
      <c r="AL579" s="215"/>
      <c r="AM579" s="215"/>
      <c r="AN579" s="215"/>
      <c r="AO579" s="215"/>
      <c r="AP579" s="215"/>
      <c r="AQ579" s="215"/>
      <c r="AR579" s="215"/>
      <c r="AS579" s="215"/>
      <c r="AT579" s="215"/>
      <c r="AU579" s="215"/>
      <c r="AV579" s="215"/>
      <c r="AW579" s="215"/>
      <c r="AX579" s="215"/>
      <c r="AY579" s="215"/>
    </row>
    <row r="580">
      <c r="A580" s="80"/>
      <c r="B580" s="80"/>
      <c r="C580" s="80"/>
      <c r="D580" s="80"/>
      <c r="E580" s="215"/>
      <c r="F580" s="215"/>
      <c r="G580" s="215"/>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c r="AD580" s="215"/>
      <c r="AE580" s="215"/>
      <c r="AF580" s="215"/>
      <c r="AG580" s="215"/>
      <c r="AH580" s="215"/>
      <c r="AI580" s="215"/>
      <c r="AJ580" s="215"/>
      <c r="AK580" s="215"/>
      <c r="AL580" s="215"/>
      <c r="AM580" s="215"/>
      <c r="AN580" s="215"/>
      <c r="AO580" s="215"/>
      <c r="AP580" s="215"/>
      <c r="AQ580" s="215"/>
      <c r="AR580" s="215"/>
      <c r="AS580" s="215"/>
      <c r="AT580" s="215"/>
      <c r="AU580" s="215"/>
      <c r="AV580" s="215"/>
      <c r="AW580" s="215"/>
      <c r="AX580" s="215"/>
      <c r="AY580" s="215"/>
    </row>
    <row r="581">
      <c r="A581" s="80"/>
      <c r="B581" s="80"/>
      <c r="C581" s="80"/>
      <c r="D581" s="80"/>
      <c r="E581" s="215"/>
      <c r="F581" s="215"/>
      <c r="G581" s="215"/>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c r="AD581" s="215"/>
      <c r="AE581" s="215"/>
      <c r="AF581" s="215"/>
      <c r="AG581" s="215"/>
      <c r="AH581" s="215"/>
      <c r="AI581" s="215"/>
      <c r="AJ581" s="215"/>
      <c r="AK581" s="215"/>
      <c r="AL581" s="215"/>
      <c r="AM581" s="215"/>
      <c r="AN581" s="215"/>
      <c r="AO581" s="215"/>
      <c r="AP581" s="215"/>
      <c r="AQ581" s="215"/>
      <c r="AR581" s="215"/>
      <c r="AS581" s="215"/>
      <c r="AT581" s="215"/>
      <c r="AU581" s="215"/>
      <c r="AV581" s="215"/>
      <c r="AW581" s="215"/>
      <c r="AX581" s="215"/>
      <c r="AY581" s="215"/>
    </row>
    <row r="582">
      <c r="A582" s="80"/>
      <c r="B582" s="80"/>
      <c r="C582" s="80"/>
      <c r="D582" s="80"/>
      <c r="E582" s="215"/>
      <c r="F582" s="215"/>
      <c r="G582" s="215"/>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c r="AD582" s="215"/>
      <c r="AE582" s="215"/>
      <c r="AF582" s="215"/>
      <c r="AG582" s="215"/>
      <c r="AH582" s="215"/>
      <c r="AI582" s="215"/>
      <c r="AJ582" s="215"/>
      <c r="AK582" s="215"/>
      <c r="AL582" s="215"/>
      <c r="AM582" s="215"/>
      <c r="AN582" s="215"/>
      <c r="AO582" s="215"/>
      <c r="AP582" s="215"/>
      <c r="AQ582" s="215"/>
      <c r="AR582" s="215"/>
      <c r="AS582" s="215"/>
      <c r="AT582" s="215"/>
      <c r="AU582" s="215"/>
      <c r="AV582" s="215"/>
      <c r="AW582" s="215"/>
      <c r="AX582" s="215"/>
      <c r="AY582" s="215"/>
    </row>
    <row r="583">
      <c r="A583" s="80"/>
      <c r="B583" s="80"/>
      <c r="C583" s="80"/>
      <c r="D583" s="80"/>
      <c r="E583" s="215"/>
      <c r="F583" s="215"/>
      <c r="G583" s="215"/>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c r="AD583" s="215"/>
      <c r="AE583" s="215"/>
      <c r="AF583" s="215"/>
      <c r="AG583" s="215"/>
      <c r="AH583" s="215"/>
      <c r="AI583" s="215"/>
      <c r="AJ583" s="215"/>
      <c r="AK583" s="215"/>
      <c r="AL583" s="215"/>
      <c r="AM583" s="215"/>
      <c r="AN583" s="215"/>
      <c r="AO583" s="215"/>
      <c r="AP583" s="215"/>
      <c r="AQ583" s="215"/>
      <c r="AR583" s="215"/>
      <c r="AS583" s="215"/>
      <c r="AT583" s="215"/>
      <c r="AU583" s="215"/>
      <c r="AV583" s="215"/>
      <c r="AW583" s="215"/>
      <c r="AX583" s="215"/>
      <c r="AY583" s="215"/>
    </row>
    <row r="584">
      <c r="A584" s="80"/>
      <c r="B584" s="80"/>
      <c r="C584" s="80"/>
      <c r="D584" s="80"/>
      <c r="E584" s="215"/>
      <c r="F584" s="215"/>
      <c r="G584" s="215"/>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c r="AD584" s="215"/>
      <c r="AE584" s="215"/>
      <c r="AF584" s="215"/>
      <c r="AG584" s="215"/>
      <c r="AH584" s="215"/>
      <c r="AI584" s="215"/>
      <c r="AJ584" s="215"/>
      <c r="AK584" s="215"/>
      <c r="AL584" s="215"/>
      <c r="AM584" s="215"/>
      <c r="AN584" s="215"/>
      <c r="AO584" s="215"/>
      <c r="AP584" s="215"/>
      <c r="AQ584" s="215"/>
      <c r="AR584" s="215"/>
      <c r="AS584" s="215"/>
      <c r="AT584" s="215"/>
      <c r="AU584" s="215"/>
      <c r="AV584" s="215"/>
      <c r="AW584" s="215"/>
      <c r="AX584" s="215"/>
      <c r="AY584" s="215"/>
    </row>
    <row r="585">
      <c r="A585" s="80"/>
      <c r="B585" s="80"/>
      <c r="C585" s="80"/>
      <c r="D585" s="80"/>
      <c r="E585" s="215"/>
      <c r="F585" s="215"/>
      <c r="G585" s="215"/>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c r="AD585" s="215"/>
      <c r="AE585" s="215"/>
      <c r="AF585" s="215"/>
      <c r="AG585" s="215"/>
      <c r="AH585" s="215"/>
      <c r="AI585" s="215"/>
      <c r="AJ585" s="215"/>
      <c r="AK585" s="215"/>
      <c r="AL585" s="215"/>
      <c r="AM585" s="215"/>
      <c r="AN585" s="215"/>
      <c r="AO585" s="215"/>
      <c r="AP585" s="215"/>
      <c r="AQ585" s="215"/>
      <c r="AR585" s="215"/>
      <c r="AS585" s="215"/>
      <c r="AT585" s="215"/>
      <c r="AU585" s="215"/>
      <c r="AV585" s="215"/>
      <c r="AW585" s="215"/>
      <c r="AX585" s="215"/>
      <c r="AY585" s="215"/>
    </row>
    <row r="586">
      <c r="A586" s="80"/>
      <c r="B586" s="80"/>
      <c r="C586" s="80"/>
      <c r="D586" s="80"/>
      <c r="E586" s="215"/>
      <c r="F586" s="215"/>
      <c r="G586" s="215"/>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c r="AD586" s="215"/>
      <c r="AE586" s="215"/>
      <c r="AF586" s="215"/>
      <c r="AG586" s="215"/>
      <c r="AH586" s="215"/>
      <c r="AI586" s="215"/>
      <c r="AJ586" s="215"/>
      <c r="AK586" s="215"/>
      <c r="AL586" s="215"/>
      <c r="AM586" s="215"/>
      <c r="AN586" s="215"/>
      <c r="AO586" s="215"/>
      <c r="AP586" s="215"/>
      <c r="AQ586" s="215"/>
      <c r="AR586" s="215"/>
      <c r="AS586" s="215"/>
      <c r="AT586" s="215"/>
      <c r="AU586" s="215"/>
      <c r="AV586" s="215"/>
      <c r="AW586" s="215"/>
      <c r="AX586" s="215"/>
      <c r="AY586" s="215"/>
    </row>
    <row r="587">
      <c r="A587" s="80"/>
      <c r="B587" s="80"/>
      <c r="C587" s="80"/>
      <c r="D587" s="80"/>
      <c r="E587" s="215"/>
      <c r="F587" s="215"/>
      <c r="G587" s="215"/>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c r="AD587" s="215"/>
      <c r="AE587" s="215"/>
      <c r="AF587" s="215"/>
      <c r="AG587" s="215"/>
      <c r="AH587" s="215"/>
      <c r="AI587" s="215"/>
      <c r="AJ587" s="215"/>
      <c r="AK587" s="215"/>
      <c r="AL587" s="215"/>
      <c r="AM587" s="215"/>
      <c r="AN587" s="215"/>
      <c r="AO587" s="215"/>
      <c r="AP587" s="215"/>
      <c r="AQ587" s="215"/>
      <c r="AR587" s="215"/>
      <c r="AS587" s="215"/>
      <c r="AT587" s="215"/>
      <c r="AU587" s="215"/>
      <c r="AV587" s="215"/>
      <c r="AW587" s="215"/>
      <c r="AX587" s="215"/>
      <c r="AY587" s="215"/>
    </row>
    <row r="588">
      <c r="A588" s="80"/>
      <c r="B588" s="80"/>
      <c r="C588" s="80"/>
      <c r="D588" s="80"/>
      <c r="E588" s="215"/>
      <c r="F588" s="215"/>
      <c r="G588" s="215"/>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c r="AD588" s="215"/>
      <c r="AE588" s="215"/>
      <c r="AF588" s="215"/>
      <c r="AG588" s="215"/>
      <c r="AH588" s="215"/>
      <c r="AI588" s="215"/>
      <c r="AJ588" s="215"/>
      <c r="AK588" s="215"/>
      <c r="AL588" s="215"/>
      <c r="AM588" s="215"/>
      <c r="AN588" s="215"/>
      <c r="AO588" s="215"/>
      <c r="AP588" s="215"/>
      <c r="AQ588" s="215"/>
      <c r="AR588" s="215"/>
      <c r="AS588" s="215"/>
      <c r="AT588" s="215"/>
      <c r="AU588" s="215"/>
      <c r="AV588" s="215"/>
      <c r="AW588" s="215"/>
      <c r="AX588" s="215"/>
      <c r="AY588" s="215"/>
    </row>
    <row r="589">
      <c r="A589" s="80"/>
      <c r="B589" s="80"/>
      <c r="C589" s="80"/>
      <c r="D589" s="80"/>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15"/>
      <c r="AH589" s="215"/>
      <c r="AI589" s="215"/>
      <c r="AJ589" s="215"/>
      <c r="AK589" s="215"/>
      <c r="AL589" s="215"/>
      <c r="AM589" s="215"/>
      <c r="AN589" s="215"/>
      <c r="AO589" s="215"/>
      <c r="AP589" s="215"/>
      <c r="AQ589" s="215"/>
      <c r="AR589" s="215"/>
      <c r="AS589" s="215"/>
      <c r="AT589" s="215"/>
      <c r="AU589" s="215"/>
      <c r="AV589" s="215"/>
      <c r="AW589" s="215"/>
      <c r="AX589" s="215"/>
      <c r="AY589" s="215"/>
    </row>
    <row r="590">
      <c r="A590" s="80"/>
      <c r="B590" s="80"/>
      <c r="C590" s="80"/>
      <c r="D590" s="80"/>
      <c r="E590" s="215"/>
      <c r="F590" s="215"/>
      <c r="G590" s="215"/>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c r="AD590" s="215"/>
      <c r="AE590" s="215"/>
      <c r="AF590" s="215"/>
      <c r="AG590" s="215"/>
      <c r="AH590" s="215"/>
      <c r="AI590" s="215"/>
      <c r="AJ590" s="215"/>
      <c r="AK590" s="215"/>
      <c r="AL590" s="215"/>
      <c r="AM590" s="215"/>
      <c r="AN590" s="215"/>
      <c r="AO590" s="215"/>
      <c r="AP590" s="215"/>
      <c r="AQ590" s="215"/>
      <c r="AR590" s="215"/>
      <c r="AS590" s="215"/>
      <c r="AT590" s="215"/>
      <c r="AU590" s="215"/>
      <c r="AV590" s="215"/>
      <c r="AW590" s="215"/>
      <c r="AX590" s="215"/>
      <c r="AY590" s="215"/>
    </row>
    <row r="591">
      <c r="A591" s="80"/>
      <c r="B591" s="80"/>
      <c r="C591" s="80"/>
      <c r="D591" s="80"/>
      <c r="E591" s="215"/>
      <c r="F591" s="215"/>
      <c r="G591" s="215"/>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c r="AD591" s="215"/>
      <c r="AE591" s="215"/>
      <c r="AF591" s="215"/>
      <c r="AG591" s="215"/>
      <c r="AH591" s="215"/>
      <c r="AI591" s="215"/>
      <c r="AJ591" s="215"/>
      <c r="AK591" s="215"/>
      <c r="AL591" s="215"/>
      <c r="AM591" s="215"/>
      <c r="AN591" s="215"/>
      <c r="AO591" s="215"/>
      <c r="AP591" s="215"/>
      <c r="AQ591" s="215"/>
      <c r="AR591" s="215"/>
      <c r="AS591" s="215"/>
      <c r="AT591" s="215"/>
      <c r="AU591" s="215"/>
      <c r="AV591" s="215"/>
      <c r="AW591" s="215"/>
      <c r="AX591" s="215"/>
      <c r="AY591" s="215"/>
    </row>
    <row r="592">
      <c r="A592" s="80"/>
      <c r="B592" s="80"/>
      <c r="C592" s="80"/>
      <c r="D592" s="80"/>
      <c r="E592" s="215"/>
      <c r="F592" s="215"/>
      <c r="G592" s="215"/>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c r="AD592" s="215"/>
      <c r="AE592" s="215"/>
      <c r="AF592" s="215"/>
      <c r="AG592" s="215"/>
      <c r="AH592" s="215"/>
      <c r="AI592" s="215"/>
      <c r="AJ592" s="215"/>
      <c r="AK592" s="215"/>
      <c r="AL592" s="215"/>
      <c r="AM592" s="215"/>
      <c r="AN592" s="215"/>
      <c r="AO592" s="215"/>
      <c r="AP592" s="215"/>
      <c r="AQ592" s="215"/>
      <c r="AR592" s="215"/>
      <c r="AS592" s="215"/>
      <c r="AT592" s="215"/>
      <c r="AU592" s="215"/>
      <c r="AV592" s="215"/>
      <c r="AW592" s="215"/>
      <c r="AX592" s="215"/>
      <c r="AY592" s="215"/>
    </row>
    <row r="593">
      <c r="A593" s="80"/>
      <c r="B593" s="80"/>
      <c r="C593" s="80"/>
      <c r="D593" s="80"/>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15"/>
      <c r="AH593" s="215"/>
      <c r="AI593" s="215"/>
      <c r="AJ593" s="215"/>
      <c r="AK593" s="215"/>
      <c r="AL593" s="215"/>
      <c r="AM593" s="215"/>
      <c r="AN593" s="215"/>
      <c r="AO593" s="215"/>
      <c r="AP593" s="215"/>
      <c r="AQ593" s="215"/>
      <c r="AR593" s="215"/>
      <c r="AS593" s="215"/>
      <c r="AT593" s="215"/>
      <c r="AU593" s="215"/>
      <c r="AV593" s="215"/>
      <c r="AW593" s="215"/>
      <c r="AX593" s="215"/>
      <c r="AY593" s="215"/>
    </row>
    <row r="594">
      <c r="A594" s="80"/>
      <c r="B594" s="80"/>
      <c r="C594" s="80"/>
      <c r="D594" s="80"/>
      <c r="E594" s="215"/>
      <c r="F594" s="215"/>
      <c r="G594" s="215"/>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c r="AD594" s="215"/>
      <c r="AE594" s="215"/>
      <c r="AF594" s="215"/>
      <c r="AG594" s="215"/>
      <c r="AH594" s="215"/>
      <c r="AI594" s="215"/>
      <c r="AJ594" s="215"/>
      <c r="AK594" s="215"/>
      <c r="AL594" s="215"/>
      <c r="AM594" s="215"/>
      <c r="AN594" s="215"/>
      <c r="AO594" s="215"/>
      <c r="AP594" s="215"/>
      <c r="AQ594" s="215"/>
      <c r="AR594" s="215"/>
      <c r="AS594" s="215"/>
      <c r="AT594" s="215"/>
      <c r="AU594" s="215"/>
      <c r="AV594" s="215"/>
      <c r="AW594" s="215"/>
      <c r="AX594" s="215"/>
      <c r="AY594" s="215"/>
    </row>
    <row r="595">
      <c r="A595" s="80"/>
      <c r="B595" s="80"/>
      <c r="C595" s="80"/>
      <c r="D595" s="80"/>
      <c r="E595" s="215"/>
      <c r="F595" s="215"/>
      <c r="G595" s="215"/>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c r="AD595" s="215"/>
      <c r="AE595" s="215"/>
      <c r="AF595" s="215"/>
      <c r="AG595" s="215"/>
      <c r="AH595" s="215"/>
      <c r="AI595" s="215"/>
      <c r="AJ595" s="215"/>
      <c r="AK595" s="215"/>
      <c r="AL595" s="215"/>
      <c r="AM595" s="215"/>
      <c r="AN595" s="215"/>
      <c r="AO595" s="215"/>
      <c r="AP595" s="215"/>
      <c r="AQ595" s="215"/>
      <c r="AR595" s="215"/>
      <c r="AS595" s="215"/>
      <c r="AT595" s="215"/>
      <c r="AU595" s="215"/>
      <c r="AV595" s="215"/>
      <c r="AW595" s="215"/>
      <c r="AX595" s="215"/>
      <c r="AY595" s="215"/>
    </row>
    <row r="596">
      <c r="A596" s="80"/>
      <c r="B596" s="80"/>
      <c r="C596" s="80"/>
      <c r="D596" s="80"/>
      <c r="E596" s="215"/>
      <c r="F596" s="215"/>
      <c r="G596" s="215"/>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c r="AD596" s="215"/>
      <c r="AE596" s="215"/>
      <c r="AF596" s="215"/>
      <c r="AG596" s="215"/>
      <c r="AH596" s="215"/>
      <c r="AI596" s="215"/>
      <c r="AJ596" s="215"/>
      <c r="AK596" s="215"/>
      <c r="AL596" s="215"/>
      <c r="AM596" s="215"/>
      <c r="AN596" s="215"/>
      <c r="AO596" s="215"/>
      <c r="AP596" s="215"/>
      <c r="AQ596" s="215"/>
      <c r="AR596" s="215"/>
      <c r="AS596" s="215"/>
      <c r="AT596" s="215"/>
      <c r="AU596" s="215"/>
      <c r="AV596" s="215"/>
      <c r="AW596" s="215"/>
      <c r="AX596" s="215"/>
      <c r="AY596" s="215"/>
    </row>
    <row r="597">
      <c r="A597" s="80"/>
      <c r="B597" s="80"/>
      <c r="C597" s="80"/>
      <c r="D597" s="80"/>
      <c r="E597" s="215"/>
      <c r="F597" s="215"/>
      <c r="G597" s="215"/>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c r="AD597" s="215"/>
      <c r="AE597" s="215"/>
      <c r="AF597" s="215"/>
      <c r="AG597" s="215"/>
      <c r="AH597" s="215"/>
      <c r="AI597" s="215"/>
      <c r="AJ597" s="215"/>
      <c r="AK597" s="215"/>
      <c r="AL597" s="215"/>
      <c r="AM597" s="215"/>
      <c r="AN597" s="215"/>
      <c r="AO597" s="215"/>
      <c r="AP597" s="215"/>
      <c r="AQ597" s="215"/>
      <c r="AR597" s="215"/>
      <c r="AS597" s="215"/>
      <c r="AT597" s="215"/>
      <c r="AU597" s="215"/>
      <c r="AV597" s="215"/>
      <c r="AW597" s="215"/>
      <c r="AX597" s="215"/>
      <c r="AY597" s="215"/>
    </row>
    <row r="598">
      <c r="A598" s="80"/>
      <c r="B598" s="80"/>
      <c r="C598" s="80"/>
      <c r="D598" s="80"/>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15"/>
      <c r="AH598" s="215"/>
      <c r="AI598" s="215"/>
      <c r="AJ598" s="215"/>
      <c r="AK598" s="215"/>
      <c r="AL598" s="215"/>
      <c r="AM598" s="215"/>
      <c r="AN598" s="215"/>
      <c r="AO598" s="215"/>
      <c r="AP598" s="215"/>
      <c r="AQ598" s="215"/>
      <c r="AR598" s="215"/>
      <c r="AS598" s="215"/>
      <c r="AT598" s="215"/>
      <c r="AU598" s="215"/>
      <c r="AV598" s="215"/>
      <c r="AW598" s="215"/>
      <c r="AX598" s="215"/>
      <c r="AY598" s="215"/>
    </row>
    <row r="599">
      <c r="A599" s="80"/>
      <c r="B599" s="80"/>
      <c r="C599" s="80"/>
      <c r="D599" s="80"/>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15"/>
      <c r="AH599" s="215"/>
      <c r="AI599" s="215"/>
      <c r="AJ599" s="215"/>
      <c r="AK599" s="215"/>
      <c r="AL599" s="215"/>
      <c r="AM599" s="215"/>
      <c r="AN599" s="215"/>
      <c r="AO599" s="215"/>
      <c r="AP599" s="215"/>
      <c r="AQ599" s="215"/>
      <c r="AR599" s="215"/>
      <c r="AS599" s="215"/>
      <c r="AT599" s="215"/>
      <c r="AU599" s="215"/>
      <c r="AV599" s="215"/>
      <c r="AW599" s="215"/>
      <c r="AX599" s="215"/>
      <c r="AY599" s="215"/>
    </row>
    <row r="600">
      <c r="A600" s="80"/>
      <c r="B600" s="80"/>
      <c r="C600" s="80"/>
      <c r="D600" s="80"/>
      <c r="E600" s="215"/>
      <c r="F600" s="215"/>
      <c r="G600" s="215"/>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c r="AD600" s="215"/>
      <c r="AE600" s="215"/>
      <c r="AF600" s="215"/>
      <c r="AG600" s="215"/>
      <c r="AH600" s="215"/>
      <c r="AI600" s="215"/>
      <c r="AJ600" s="215"/>
      <c r="AK600" s="215"/>
      <c r="AL600" s="215"/>
      <c r="AM600" s="215"/>
      <c r="AN600" s="215"/>
      <c r="AO600" s="215"/>
      <c r="AP600" s="215"/>
      <c r="AQ600" s="215"/>
      <c r="AR600" s="215"/>
      <c r="AS600" s="215"/>
      <c r="AT600" s="215"/>
      <c r="AU600" s="215"/>
      <c r="AV600" s="215"/>
      <c r="AW600" s="215"/>
      <c r="AX600" s="215"/>
      <c r="AY600" s="215"/>
    </row>
    <row r="601">
      <c r="A601" s="80"/>
      <c r="B601" s="80"/>
      <c r="C601" s="80"/>
      <c r="D601" s="80"/>
      <c r="E601" s="215"/>
      <c r="F601" s="215"/>
      <c r="G601" s="215"/>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c r="AD601" s="215"/>
      <c r="AE601" s="215"/>
      <c r="AF601" s="215"/>
      <c r="AG601" s="215"/>
      <c r="AH601" s="215"/>
      <c r="AI601" s="215"/>
      <c r="AJ601" s="215"/>
      <c r="AK601" s="215"/>
      <c r="AL601" s="215"/>
      <c r="AM601" s="215"/>
      <c r="AN601" s="215"/>
      <c r="AO601" s="215"/>
      <c r="AP601" s="215"/>
      <c r="AQ601" s="215"/>
      <c r="AR601" s="215"/>
      <c r="AS601" s="215"/>
      <c r="AT601" s="215"/>
      <c r="AU601" s="215"/>
      <c r="AV601" s="215"/>
      <c r="AW601" s="215"/>
      <c r="AX601" s="215"/>
      <c r="AY601" s="215"/>
    </row>
    <row r="602">
      <c r="A602" s="80"/>
      <c r="B602" s="80"/>
      <c r="C602" s="80"/>
      <c r="D602" s="80"/>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15"/>
      <c r="AH602" s="215"/>
      <c r="AI602" s="215"/>
      <c r="AJ602" s="215"/>
      <c r="AK602" s="215"/>
      <c r="AL602" s="215"/>
      <c r="AM602" s="215"/>
      <c r="AN602" s="215"/>
      <c r="AO602" s="215"/>
      <c r="AP602" s="215"/>
      <c r="AQ602" s="215"/>
      <c r="AR602" s="215"/>
      <c r="AS602" s="215"/>
      <c r="AT602" s="215"/>
      <c r="AU602" s="215"/>
      <c r="AV602" s="215"/>
      <c r="AW602" s="215"/>
      <c r="AX602" s="215"/>
      <c r="AY602" s="215"/>
    </row>
    <row r="603">
      <c r="A603" s="80"/>
      <c r="B603" s="80"/>
      <c r="C603" s="80"/>
      <c r="D603" s="80"/>
      <c r="E603" s="215"/>
      <c r="F603" s="215"/>
      <c r="G603" s="215"/>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c r="AD603" s="215"/>
      <c r="AE603" s="215"/>
      <c r="AF603" s="215"/>
      <c r="AG603" s="215"/>
      <c r="AH603" s="215"/>
      <c r="AI603" s="215"/>
      <c r="AJ603" s="215"/>
      <c r="AK603" s="215"/>
      <c r="AL603" s="215"/>
      <c r="AM603" s="215"/>
      <c r="AN603" s="215"/>
      <c r="AO603" s="215"/>
      <c r="AP603" s="215"/>
      <c r="AQ603" s="215"/>
      <c r="AR603" s="215"/>
      <c r="AS603" s="215"/>
      <c r="AT603" s="215"/>
      <c r="AU603" s="215"/>
      <c r="AV603" s="215"/>
      <c r="AW603" s="215"/>
      <c r="AX603" s="215"/>
      <c r="AY603" s="215"/>
    </row>
    <row r="604">
      <c r="A604" s="80"/>
      <c r="B604" s="80"/>
      <c r="C604" s="80"/>
      <c r="D604" s="80"/>
      <c r="E604" s="215"/>
      <c r="F604" s="215"/>
      <c r="G604" s="215"/>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c r="AD604" s="215"/>
      <c r="AE604" s="215"/>
      <c r="AF604" s="215"/>
      <c r="AG604" s="215"/>
      <c r="AH604" s="215"/>
      <c r="AI604" s="215"/>
      <c r="AJ604" s="215"/>
      <c r="AK604" s="215"/>
      <c r="AL604" s="215"/>
      <c r="AM604" s="215"/>
      <c r="AN604" s="215"/>
      <c r="AO604" s="215"/>
      <c r="AP604" s="215"/>
      <c r="AQ604" s="215"/>
      <c r="AR604" s="215"/>
      <c r="AS604" s="215"/>
      <c r="AT604" s="215"/>
      <c r="AU604" s="215"/>
      <c r="AV604" s="215"/>
      <c r="AW604" s="215"/>
      <c r="AX604" s="215"/>
      <c r="AY604" s="215"/>
    </row>
    <row r="605">
      <c r="A605" s="80"/>
      <c r="B605" s="80"/>
      <c r="C605" s="80"/>
      <c r="D605" s="80"/>
      <c r="E605" s="215"/>
      <c r="F605" s="215"/>
      <c r="G605" s="215"/>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c r="AD605" s="215"/>
      <c r="AE605" s="215"/>
      <c r="AF605" s="215"/>
      <c r="AG605" s="215"/>
      <c r="AH605" s="215"/>
      <c r="AI605" s="215"/>
      <c r="AJ605" s="215"/>
      <c r="AK605" s="215"/>
      <c r="AL605" s="215"/>
      <c r="AM605" s="215"/>
      <c r="AN605" s="215"/>
      <c r="AO605" s="215"/>
      <c r="AP605" s="215"/>
      <c r="AQ605" s="215"/>
      <c r="AR605" s="215"/>
      <c r="AS605" s="215"/>
      <c r="AT605" s="215"/>
      <c r="AU605" s="215"/>
      <c r="AV605" s="215"/>
      <c r="AW605" s="215"/>
      <c r="AX605" s="215"/>
      <c r="AY605" s="215"/>
    </row>
    <row r="606">
      <c r="A606" s="80"/>
      <c r="B606" s="80"/>
      <c r="C606" s="80"/>
      <c r="D606" s="80"/>
      <c r="E606" s="215"/>
      <c r="F606" s="215"/>
      <c r="G606" s="215"/>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c r="AD606" s="215"/>
      <c r="AE606" s="215"/>
      <c r="AF606" s="215"/>
      <c r="AG606" s="215"/>
      <c r="AH606" s="215"/>
      <c r="AI606" s="215"/>
      <c r="AJ606" s="215"/>
      <c r="AK606" s="215"/>
      <c r="AL606" s="215"/>
      <c r="AM606" s="215"/>
      <c r="AN606" s="215"/>
      <c r="AO606" s="215"/>
      <c r="AP606" s="215"/>
      <c r="AQ606" s="215"/>
      <c r="AR606" s="215"/>
      <c r="AS606" s="215"/>
      <c r="AT606" s="215"/>
      <c r="AU606" s="215"/>
      <c r="AV606" s="215"/>
      <c r="AW606" s="215"/>
      <c r="AX606" s="215"/>
      <c r="AY606" s="215"/>
    </row>
    <row r="607">
      <c r="A607" s="80"/>
      <c r="B607" s="80"/>
      <c r="C607" s="80"/>
      <c r="D607" s="80"/>
      <c r="E607" s="215"/>
      <c r="F607" s="215"/>
      <c r="G607" s="215"/>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c r="AD607" s="215"/>
      <c r="AE607" s="215"/>
      <c r="AF607" s="215"/>
      <c r="AG607" s="215"/>
      <c r="AH607" s="215"/>
      <c r="AI607" s="215"/>
      <c r="AJ607" s="215"/>
      <c r="AK607" s="215"/>
      <c r="AL607" s="215"/>
      <c r="AM607" s="215"/>
      <c r="AN607" s="215"/>
      <c r="AO607" s="215"/>
      <c r="AP607" s="215"/>
      <c r="AQ607" s="215"/>
      <c r="AR607" s="215"/>
      <c r="AS607" s="215"/>
      <c r="AT607" s="215"/>
      <c r="AU607" s="215"/>
      <c r="AV607" s="215"/>
      <c r="AW607" s="215"/>
      <c r="AX607" s="215"/>
      <c r="AY607" s="215"/>
    </row>
    <row r="608">
      <c r="A608" s="80"/>
      <c r="B608" s="80"/>
      <c r="C608" s="80"/>
      <c r="D608" s="80"/>
      <c r="E608" s="215"/>
      <c r="F608" s="215"/>
      <c r="G608" s="215"/>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c r="AD608" s="215"/>
      <c r="AE608" s="215"/>
      <c r="AF608" s="215"/>
      <c r="AG608" s="215"/>
      <c r="AH608" s="215"/>
      <c r="AI608" s="215"/>
      <c r="AJ608" s="215"/>
      <c r="AK608" s="215"/>
      <c r="AL608" s="215"/>
      <c r="AM608" s="215"/>
      <c r="AN608" s="215"/>
      <c r="AO608" s="215"/>
      <c r="AP608" s="215"/>
      <c r="AQ608" s="215"/>
      <c r="AR608" s="215"/>
      <c r="AS608" s="215"/>
      <c r="AT608" s="215"/>
      <c r="AU608" s="215"/>
      <c r="AV608" s="215"/>
      <c r="AW608" s="215"/>
      <c r="AX608" s="215"/>
      <c r="AY608" s="215"/>
    </row>
    <row r="609">
      <c r="A609" s="80"/>
      <c r="B609" s="80"/>
      <c r="C609" s="80"/>
      <c r="D609" s="80"/>
      <c r="E609" s="215"/>
      <c r="F609" s="215"/>
      <c r="G609" s="215"/>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c r="AD609" s="215"/>
      <c r="AE609" s="215"/>
      <c r="AF609" s="215"/>
      <c r="AG609" s="215"/>
      <c r="AH609" s="215"/>
      <c r="AI609" s="215"/>
      <c r="AJ609" s="215"/>
      <c r="AK609" s="215"/>
      <c r="AL609" s="215"/>
      <c r="AM609" s="215"/>
      <c r="AN609" s="215"/>
      <c r="AO609" s="215"/>
      <c r="AP609" s="215"/>
      <c r="AQ609" s="215"/>
      <c r="AR609" s="215"/>
      <c r="AS609" s="215"/>
      <c r="AT609" s="215"/>
      <c r="AU609" s="215"/>
      <c r="AV609" s="215"/>
      <c r="AW609" s="215"/>
      <c r="AX609" s="215"/>
      <c r="AY609" s="215"/>
    </row>
    <row r="610">
      <c r="A610" s="80"/>
      <c r="B610" s="80"/>
      <c r="C610" s="80"/>
      <c r="D610" s="80"/>
      <c r="E610" s="215"/>
      <c r="F610" s="215"/>
      <c r="G610" s="215"/>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c r="AD610" s="215"/>
      <c r="AE610" s="215"/>
      <c r="AF610" s="215"/>
      <c r="AG610" s="215"/>
      <c r="AH610" s="215"/>
      <c r="AI610" s="215"/>
      <c r="AJ610" s="215"/>
      <c r="AK610" s="215"/>
      <c r="AL610" s="215"/>
      <c r="AM610" s="215"/>
      <c r="AN610" s="215"/>
      <c r="AO610" s="215"/>
      <c r="AP610" s="215"/>
      <c r="AQ610" s="215"/>
      <c r="AR610" s="215"/>
      <c r="AS610" s="215"/>
      <c r="AT610" s="215"/>
      <c r="AU610" s="215"/>
      <c r="AV610" s="215"/>
      <c r="AW610" s="215"/>
      <c r="AX610" s="215"/>
      <c r="AY610" s="215"/>
    </row>
    <row r="611">
      <c r="A611" s="80"/>
      <c r="B611" s="80"/>
      <c r="C611" s="80"/>
      <c r="D611" s="80"/>
      <c r="E611" s="215"/>
      <c r="F611" s="215"/>
      <c r="G611" s="215"/>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c r="AD611" s="215"/>
      <c r="AE611" s="215"/>
      <c r="AF611" s="215"/>
      <c r="AG611" s="215"/>
      <c r="AH611" s="215"/>
      <c r="AI611" s="215"/>
      <c r="AJ611" s="215"/>
      <c r="AK611" s="215"/>
      <c r="AL611" s="215"/>
      <c r="AM611" s="215"/>
      <c r="AN611" s="215"/>
      <c r="AO611" s="215"/>
      <c r="AP611" s="215"/>
      <c r="AQ611" s="215"/>
      <c r="AR611" s="215"/>
      <c r="AS611" s="215"/>
      <c r="AT611" s="215"/>
      <c r="AU611" s="215"/>
      <c r="AV611" s="215"/>
      <c r="AW611" s="215"/>
      <c r="AX611" s="215"/>
      <c r="AY611" s="215"/>
    </row>
    <row r="612">
      <c r="A612" s="80"/>
      <c r="B612" s="80"/>
      <c r="C612" s="80"/>
      <c r="D612" s="80"/>
      <c r="E612" s="215"/>
      <c r="F612" s="215"/>
      <c r="G612" s="215"/>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c r="AD612" s="215"/>
      <c r="AE612" s="215"/>
      <c r="AF612" s="215"/>
      <c r="AG612" s="215"/>
      <c r="AH612" s="215"/>
      <c r="AI612" s="215"/>
      <c r="AJ612" s="215"/>
      <c r="AK612" s="215"/>
      <c r="AL612" s="215"/>
      <c r="AM612" s="215"/>
      <c r="AN612" s="215"/>
      <c r="AO612" s="215"/>
      <c r="AP612" s="215"/>
      <c r="AQ612" s="215"/>
      <c r="AR612" s="215"/>
      <c r="AS612" s="215"/>
      <c r="AT612" s="215"/>
      <c r="AU612" s="215"/>
      <c r="AV612" s="215"/>
      <c r="AW612" s="215"/>
      <c r="AX612" s="215"/>
      <c r="AY612" s="215"/>
    </row>
    <row r="613">
      <c r="A613" s="80"/>
      <c r="B613" s="80"/>
      <c r="C613" s="80"/>
      <c r="D613" s="80"/>
      <c r="E613" s="215"/>
      <c r="F613" s="215"/>
      <c r="G613" s="215"/>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c r="AD613" s="215"/>
      <c r="AE613" s="215"/>
      <c r="AF613" s="215"/>
      <c r="AG613" s="215"/>
      <c r="AH613" s="215"/>
      <c r="AI613" s="215"/>
      <c r="AJ613" s="215"/>
      <c r="AK613" s="215"/>
      <c r="AL613" s="215"/>
      <c r="AM613" s="215"/>
      <c r="AN613" s="215"/>
      <c r="AO613" s="215"/>
      <c r="AP613" s="215"/>
      <c r="AQ613" s="215"/>
      <c r="AR613" s="215"/>
      <c r="AS613" s="215"/>
      <c r="AT613" s="215"/>
      <c r="AU613" s="215"/>
      <c r="AV613" s="215"/>
      <c r="AW613" s="215"/>
      <c r="AX613" s="215"/>
      <c r="AY613" s="215"/>
    </row>
    <row r="614">
      <c r="A614" s="80"/>
      <c r="B614" s="80"/>
      <c r="C614" s="80"/>
      <c r="D614" s="80"/>
      <c r="E614" s="215"/>
      <c r="F614" s="215"/>
      <c r="G614" s="215"/>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c r="AD614" s="215"/>
      <c r="AE614" s="215"/>
      <c r="AF614" s="215"/>
      <c r="AG614" s="215"/>
      <c r="AH614" s="215"/>
      <c r="AI614" s="215"/>
      <c r="AJ614" s="215"/>
      <c r="AK614" s="215"/>
      <c r="AL614" s="215"/>
      <c r="AM614" s="215"/>
      <c r="AN614" s="215"/>
      <c r="AO614" s="215"/>
      <c r="AP614" s="215"/>
      <c r="AQ614" s="215"/>
      <c r="AR614" s="215"/>
      <c r="AS614" s="215"/>
      <c r="AT614" s="215"/>
      <c r="AU614" s="215"/>
      <c r="AV614" s="215"/>
      <c r="AW614" s="215"/>
      <c r="AX614" s="215"/>
      <c r="AY614" s="215"/>
    </row>
    <row r="615">
      <c r="A615" s="80"/>
      <c r="B615" s="80"/>
      <c r="C615" s="80"/>
      <c r="D615" s="80"/>
      <c r="E615" s="215"/>
      <c r="F615" s="215"/>
      <c r="G615" s="215"/>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c r="AD615" s="215"/>
      <c r="AE615" s="215"/>
      <c r="AF615" s="215"/>
      <c r="AG615" s="215"/>
      <c r="AH615" s="215"/>
      <c r="AI615" s="215"/>
      <c r="AJ615" s="215"/>
      <c r="AK615" s="215"/>
      <c r="AL615" s="215"/>
      <c r="AM615" s="215"/>
      <c r="AN615" s="215"/>
      <c r="AO615" s="215"/>
      <c r="AP615" s="215"/>
      <c r="AQ615" s="215"/>
      <c r="AR615" s="215"/>
      <c r="AS615" s="215"/>
      <c r="AT615" s="215"/>
      <c r="AU615" s="215"/>
      <c r="AV615" s="215"/>
      <c r="AW615" s="215"/>
      <c r="AX615" s="215"/>
      <c r="AY615" s="215"/>
    </row>
    <row r="616">
      <c r="A616" s="80"/>
      <c r="B616" s="80"/>
      <c r="C616" s="80"/>
      <c r="D616" s="80"/>
      <c r="E616" s="215"/>
      <c r="F616" s="215"/>
      <c r="G616" s="215"/>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c r="AD616" s="215"/>
      <c r="AE616" s="215"/>
      <c r="AF616" s="215"/>
      <c r="AG616" s="215"/>
      <c r="AH616" s="215"/>
      <c r="AI616" s="215"/>
      <c r="AJ616" s="215"/>
      <c r="AK616" s="215"/>
      <c r="AL616" s="215"/>
      <c r="AM616" s="215"/>
      <c r="AN616" s="215"/>
      <c r="AO616" s="215"/>
      <c r="AP616" s="215"/>
      <c r="AQ616" s="215"/>
      <c r="AR616" s="215"/>
      <c r="AS616" s="215"/>
      <c r="AT616" s="215"/>
      <c r="AU616" s="215"/>
      <c r="AV616" s="215"/>
      <c r="AW616" s="215"/>
      <c r="AX616" s="215"/>
      <c r="AY616" s="215"/>
    </row>
    <row r="617">
      <c r="A617" s="80"/>
      <c r="B617" s="80"/>
      <c r="C617" s="80"/>
      <c r="D617" s="80"/>
      <c r="E617" s="215"/>
      <c r="F617" s="215"/>
      <c r="G617" s="215"/>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c r="AD617" s="215"/>
      <c r="AE617" s="215"/>
      <c r="AF617" s="215"/>
      <c r="AG617" s="215"/>
      <c r="AH617" s="215"/>
      <c r="AI617" s="215"/>
      <c r="AJ617" s="215"/>
      <c r="AK617" s="215"/>
      <c r="AL617" s="215"/>
      <c r="AM617" s="215"/>
      <c r="AN617" s="215"/>
      <c r="AO617" s="215"/>
      <c r="AP617" s="215"/>
      <c r="AQ617" s="215"/>
      <c r="AR617" s="215"/>
      <c r="AS617" s="215"/>
      <c r="AT617" s="215"/>
      <c r="AU617" s="215"/>
      <c r="AV617" s="215"/>
      <c r="AW617" s="215"/>
      <c r="AX617" s="215"/>
      <c r="AY617" s="215"/>
    </row>
    <row r="618">
      <c r="A618" s="80"/>
      <c r="B618" s="80"/>
      <c r="C618" s="80"/>
      <c r="D618" s="80"/>
      <c r="E618" s="215"/>
      <c r="F618" s="215"/>
      <c r="G618" s="215"/>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c r="AD618" s="215"/>
      <c r="AE618" s="215"/>
      <c r="AF618" s="215"/>
      <c r="AG618" s="215"/>
      <c r="AH618" s="215"/>
      <c r="AI618" s="215"/>
      <c r="AJ618" s="215"/>
      <c r="AK618" s="215"/>
      <c r="AL618" s="215"/>
      <c r="AM618" s="215"/>
      <c r="AN618" s="215"/>
      <c r="AO618" s="215"/>
      <c r="AP618" s="215"/>
      <c r="AQ618" s="215"/>
      <c r="AR618" s="215"/>
      <c r="AS618" s="215"/>
      <c r="AT618" s="215"/>
      <c r="AU618" s="215"/>
      <c r="AV618" s="215"/>
      <c r="AW618" s="215"/>
      <c r="AX618" s="215"/>
      <c r="AY618" s="215"/>
    </row>
    <row r="619">
      <c r="A619" s="80"/>
      <c r="B619" s="80"/>
      <c r="C619" s="80"/>
      <c r="D619" s="80"/>
      <c r="E619" s="215"/>
      <c r="F619" s="215"/>
      <c r="G619" s="215"/>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c r="AD619" s="215"/>
      <c r="AE619" s="215"/>
      <c r="AF619" s="215"/>
      <c r="AG619" s="215"/>
      <c r="AH619" s="215"/>
      <c r="AI619" s="215"/>
      <c r="AJ619" s="215"/>
      <c r="AK619" s="215"/>
      <c r="AL619" s="215"/>
      <c r="AM619" s="215"/>
      <c r="AN619" s="215"/>
      <c r="AO619" s="215"/>
      <c r="AP619" s="215"/>
      <c r="AQ619" s="215"/>
      <c r="AR619" s="215"/>
      <c r="AS619" s="215"/>
      <c r="AT619" s="215"/>
      <c r="AU619" s="215"/>
      <c r="AV619" s="215"/>
      <c r="AW619" s="215"/>
      <c r="AX619" s="215"/>
      <c r="AY619" s="215"/>
    </row>
    <row r="620">
      <c r="A620" s="80"/>
      <c r="B620" s="80"/>
      <c r="C620" s="80"/>
      <c r="D620" s="80"/>
      <c r="E620" s="215"/>
      <c r="F620" s="215"/>
      <c r="G620" s="215"/>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c r="AD620" s="215"/>
      <c r="AE620" s="215"/>
      <c r="AF620" s="215"/>
      <c r="AG620" s="215"/>
      <c r="AH620" s="215"/>
      <c r="AI620" s="215"/>
      <c r="AJ620" s="215"/>
      <c r="AK620" s="215"/>
      <c r="AL620" s="215"/>
      <c r="AM620" s="215"/>
      <c r="AN620" s="215"/>
      <c r="AO620" s="215"/>
      <c r="AP620" s="215"/>
      <c r="AQ620" s="215"/>
      <c r="AR620" s="215"/>
      <c r="AS620" s="215"/>
      <c r="AT620" s="215"/>
      <c r="AU620" s="215"/>
      <c r="AV620" s="215"/>
      <c r="AW620" s="215"/>
      <c r="AX620" s="215"/>
      <c r="AY620" s="215"/>
    </row>
    <row r="621">
      <c r="A621" s="80"/>
      <c r="B621" s="80"/>
      <c r="C621" s="80"/>
      <c r="D621" s="80"/>
      <c r="E621" s="215"/>
      <c r="F621" s="215"/>
      <c r="G621" s="215"/>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c r="AD621" s="215"/>
      <c r="AE621" s="215"/>
      <c r="AF621" s="215"/>
      <c r="AG621" s="215"/>
      <c r="AH621" s="215"/>
      <c r="AI621" s="215"/>
      <c r="AJ621" s="215"/>
      <c r="AK621" s="215"/>
      <c r="AL621" s="215"/>
      <c r="AM621" s="215"/>
      <c r="AN621" s="215"/>
      <c r="AO621" s="215"/>
      <c r="AP621" s="215"/>
      <c r="AQ621" s="215"/>
      <c r="AR621" s="215"/>
      <c r="AS621" s="215"/>
      <c r="AT621" s="215"/>
      <c r="AU621" s="215"/>
      <c r="AV621" s="215"/>
      <c r="AW621" s="215"/>
      <c r="AX621" s="215"/>
      <c r="AY621" s="215"/>
    </row>
    <row r="622">
      <c r="A622" s="80"/>
      <c r="B622" s="80"/>
      <c r="C622" s="80"/>
      <c r="D622" s="80"/>
      <c r="E622" s="215"/>
      <c r="F622" s="215"/>
      <c r="G622" s="215"/>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c r="AD622" s="215"/>
      <c r="AE622" s="215"/>
      <c r="AF622" s="215"/>
      <c r="AG622" s="215"/>
      <c r="AH622" s="215"/>
      <c r="AI622" s="215"/>
      <c r="AJ622" s="215"/>
      <c r="AK622" s="215"/>
      <c r="AL622" s="215"/>
      <c r="AM622" s="215"/>
      <c r="AN622" s="215"/>
      <c r="AO622" s="215"/>
      <c r="AP622" s="215"/>
      <c r="AQ622" s="215"/>
      <c r="AR622" s="215"/>
      <c r="AS622" s="215"/>
      <c r="AT622" s="215"/>
      <c r="AU622" s="215"/>
      <c r="AV622" s="215"/>
      <c r="AW622" s="215"/>
      <c r="AX622" s="215"/>
      <c r="AY622" s="215"/>
    </row>
    <row r="623">
      <c r="A623" s="80"/>
      <c r="B623" s="80"/>
      <c r="C623" s="80"/>
      <c r="D623" s="80"/>
      <c r="E623" s="215"/>
      <c r="F623" s="215"/>
      <c r="G623" s="215"/>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c r="AD623" s="215"/>
      <c r="AE623" s="215"/>
      <c r="AF623" s="215"/>
      <c r="AG623" s="215"/>
      <c r="AH623" s="215"/>
      <c r="AI623" s="215"/>
      <c r="AJ623" s="215"/>
      <c r="AK623" s="215"/>
      <c r="AL623" s="215"/>
      <c r="AM623" s="215"/>
      <c r="AN623" s="215"/>
      <c r="AO623" s="215"/>
      <c r="AP623" s="215"/>
      <c r="AQ623" s="215"/>
      <c r="AR623" s="215"/>
      <c r="AS623" s="215"/>
      <c r="AT623" s="215"/>
      <c r="AU623" s="215"/>
      <c r="AV623" s="215"/>
      <c r="AW623" s="215"/>
      <c r="AX623" s="215"/>
      <c r="AY623" s="215"/>
    </row>
    <row r="624">
      <c r="A624" s="80"/>
      <c r="B624" s="80"/>
      <c r="C624" s="80"/>
      <c r="D624" s="80"/>
      <c r="E624" s="215"/>
      <c r="F624" s="215"/>
      <c r="G624" s="215"/>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c r="AD624" s="215"/>
      <c r="AE624" s="215"/>
      <c r="AF624" s="215"/>
      <c r="AG624" s="215"/>
      <c r="AH624" s="215"/>
      <c r="AI624" s="215"/>
      <c r="AJ624" s="215"/>
      <c r="AK624" s="215"/>
      <c r="AL624" s="215"/>
      <c r="AM624" s="215"/>
      <c r="AN624" s="215"/>
      <c r="AO624" s="215"/>
      <c r="AP624" s="215"/>
      <c r="AQ624" s="215"/>
      <c r="AR624" s="215"/>
      <c r="AS624" s="215"/>
      <c r="AT624" s="215"/>
      <c r="AU624" s="215"/>
      <c r="AV624" s="215"/>
      <c r="AW624" s="215"/>
      <c r="AX624" s="215"/>
      <c r="AY624" s="215"/>
    </row>
    <row r="625">
      <c r="A625" s="80"/>
      <c r="B625" s="80"/>
      <c r="C625" s="80"/>
      <c r="D625" s="80"/>
      <c r="E625" s="215"/>
      <c r="F625" s="215"/>
      <c r="G625" s="215"/>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c r="AD625" s="215"/>
      <c r="AE625" s="215"/>
      <c r="AF625" s="215"/>
      <c r="AG625" s="215"/>
      <c r="AH625" s="215"/>
      <c r="AI625" s="215"/>
      <c r="AJ625" s="215"/>
      <c r="AK625" s="215"/>
      <c r="AL625" s="215"/>
      <c r="AM625" s="215"/>
      <c r="AN625" s="215"/>
      <c r="AO625" s="215"/>
      <c r="AP625" s="215"/>
      <c r="AQ625" s="215"/>
      <c r="AR625" s="215"/>
      <c r="AS625" s="215"/>
      <c r="AT625" s="215"/>
      <c r="AU625" s="215"/>
      <c r="AV625" s="215"/>
      <c r="AW625" s="215"/>
      <c r="AX625" s="215"/>
      <c r="AY625" s="215"/>
    </row>
    <row r="626">
      <c r="A626" s="80"/>
      <c r="B626" s="80"/>
      <c r="C626" s="80"/>
      <c r="D626" s="80"/>
      <c r="E626" s="215"/>
      <c r="F626" s="215"/>
      <c r="G626" s="215"/>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c r="AD626" s="215"/>
      <c r="AE626" s="215"/>
      <c r="AF626" s="215"/>
      <c r="AG626" s="215"/>
      <c r="AH626" s="215"/>
      <c r="AI626" s="215"/>
      <c r="AJ626" s="215"/>
      <c r="AK626" s="215"/>
      <c r="AL626" s="215"/>
      <c r="AM626" s="215"/>
      <c r="AN626" s="215"/>
      <c r="AO626" s="215"/>
      <c r="AP626" s="215"/>
      <c r="AQ626" s="215"/>
      <c r="AR626" s="215"/>
      <c r="AS626" s="215"/>
      <c r="AT626" s="215"/>
      <c r="AU626" s="215"/>
      <c r="AV626" s="215"/>
      <c r="AW626" s="215"/>
      <c r="AX626" s="215"/>
      <c r="AY626" s="215"/>
    </row>
    <row r="627">
      <c r="A627" s="80"/>
      <c r="B627" s="80"/>
      <c r="C627" s="80"/>
      <c r="D627" s="80"/>
      <c r="E627" s="215"/>
      <c r="F627" s="215"/>
      <c r="G627" s="215"/>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c r="AD627" s="215"/>
      <c r="AE627" s="215"/>
      <c r="AF627" s="215"/>
      <c r="AG627" s="215"/>
      <c r="AH627" s="215"/>
      <c r="AI627" s="215"/>
      <c r="AJ627" s="215"/>
      <c r="AK627" s="215"/>
      <c r="AL627" s="215"/>
      <c r="AM627" s="215"/>
      <c r="AN627" s="215"/>
      <c r="AO627" s="215"/>
      <c r="AP627" s="215"/>
      <c r="AQ627" s="215"/>
      <c r="AR627" s="215"/>
      <c r="AS627" s="215"/>
      <c r="AT627" s="215"/>
      <c r="AU627" s="215"/>
      <c r="AV627" s="215"/>
      <c r="AW627" s="215"/>
      <c r="AX627" s="215"/>
      <c r="AY627" s="215"/>
    </row>
    <row r="628">
      <c r="A628" s="80"/>
      <c r="B628" s="80"/>
      <c r="C628" s="80"/>
      <c r="D628" s="80"/>
      <c r="E628" s="215"/>
      <c r="F628" s="215"/>
      <c r="G628" s="215"/>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c r="AD628" s="215"/>
      <c r="AE628" s="215"/>
      <c r="AF628" s="215"/>
      <c r="AG628" s="215"/>
      <c r="AH628" s="215"/>
      <c r="AI628" s="215"/>
      <c r="AJ628" s="215"/>
      <c r="AK628" s="215"/>
      <c r="AL628" s="215"/>
      <c r="AM628" s="215"/>
      <c r="AN628" s="215"/>
      <c r="AO628" s="215"/>
      <c r="AP628" s="215"/>
      <c r="AQ628" s="215"/>
      <c r="AR628" s="215"/>
      <c r="AS628" s="215"/>
      <c r="AT628" s="215"/>
      <c r="AU628" s="215"/>
      <c r="AV628" s="215"/>
      <c r="AW628" s="215"/>
      <c r="AX628" s="215"/>
      <c r="AY628" s="215"/>
    </row>
    <row r="629">
      <c r="A629" s="80"/>
      <c r="B629" s="80"/>
      <c r="C629" s="80"/>
      <c r="D629" s="80"/>
      <c r="E629" s="215"/>
      <c r="F629" s="215"/>
      <c r="G629" s="215"/>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c r="AD629" s="215"/>
      <c r="AE629" s="215"/>
      <c r="AF629" s="215"/>
      <c r="AG629" s="215"/>
      <c r="AH629" s="215"/>
      <c r="AI629" s="215"/>
      <c r="AJ629" s="215"/>
      <c r="AK629" s="215"/>
      <c r="AL629" s="215"/>
      <c r="AM629" s="215"/>
      <c r="AN629" s="215"/>
      <c r="AO629" s="215"/>
      <c r="AP629" s="215"/>
      <c r="AQ629" s="215"/>
      <c r="AR629" s="215"/>
      <c r="AS629" s="215"/>
      <c r="AT629" s="215"/>
      <c r="AU629" s="215"/>
      <c r="AV629" s="215"/>
      <c r="AW629" s="215"/>
      <c r="AX629" s="215"/>
      <c r="AY629" s="215"/>
    </row>
    <row r="630">
      <c r="A630" s="80"/>
      <c r="B630" s="80"/>
      <c r="C630" s="80"/>
      <c r="D630" s="80"/>
      <c r="E630" s="215"/>
      <c r="F630" s="215"/>
      <c r="G630" s="215"/>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c r="AD630" s="215"/>
      <c r="AE630" s="215"/>
      <c r="AF630" s="215"/>
      <c r="AG630" s="215"/>
      <c r="AH630" s="215"/>
      <c r="AI630" s="215"/>
      <c r="AJ630" s="215"/>
      <c r="AK630" s="215"/>
      <c r="AL630" s="215"/>
      <c r="AM630" s="215"/>
      <c r="AN630" s="215"/>
      <c r="AO630" s="215"/>
      <c r="AP630" s="215"/>
      <c r="AQ630" s="215"/>
      <c r="AR630" s="215"/>
      <c r="AS630" s="215"/>
      <c r="AT630" s="215"/>
      <c r="AU630" s="215"/>
      <c r="AV630" s="215"/>
      <c r="AW630" s="215"/>
      <c r="AX630" s="215"/>
      <c r="AY630" s="215"/>
    </row>
    <row r="631">
      <c r="A631" s="80"/>
      <c r="B631" s="80"/>
      <c r="C631" s="80"/>
      <c r="D631" s="80"/>
      <c r="E631" s="215"/>
      <c r="F631" s="215"/>
      <c r="G631" s="215"/>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c r="AD631" s="215"/>
      <c r="AE631" s="215"/>
      <c r="AF631" s="215"/>
      <c r="AG631" s="215"/>
      <c r="AH631" s="215"/>
      <c r="AI631" s="215"/>
      <c r="AJ631" s="215"/>
      <c r="AK631" s="215"/>
      <c r="AL631" s="215"/>
      <c r="AM631" s="215"/>
      <c r="AN631" s="215"/>
      <c r="AO631" s="215"/>
      <c r="AP631" s="215"/>
      <c r="AQ631" s="215"/>
      <c r="AR631" s="215"/>
      <c r="AS631" s="215"/>
      <c r="AT631" s="215"/>
      <c r="AU631" s="215"/>
      <c r="AV631" s="215"/>
      <c r="AW631" s="215"/>
      <c r="AX631" s="215"/>
      <c r="AY631" s="215"/>
    </row>
    <row r="632">
      <c r="A632" s="80"/>
      <c r="B632" s="80"/>
      <c r="C632" s="80"/>
      <c r="D632" s="80"/>
      <c r="E632" s="215"/>
      <c r="F632" s="215"/>
      <c r="G632" s="215"/>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c r="AD632" s="215"/>
      <c r="AE632" s="215"/>
      <c r="AF632" s="215"/>
      <c r="AG632" s="215"/>
      <c r="AH632" s="215"/>
      <c r="AI632" s="215"/>
      <c r="AJ632" s="215"/>
      <c r="AK632" s="215"/>
      <c r="AL632" s="215"/>
      <c r="AM632" s="215"/>
      <c r="AN632" s="215"/>
      <c r="AO632" s="215"/>
      <c r="AP632" s="215"/>
      <c r="AQ632" s="215"/>
      <c r="AR632" s="215"/>
      <c r="AS632" s="215"/>
      <c r="AT632" s="215"/>
      <c r="AU632" s="215"/>
      <c r="AV632" s="215"/>
      <c r="AW632" s="215"/>
      <c r="AX632" s="215"/>
      <c r="AY632" s="215"/>
    </row>
    <row r="633">
      <c r="A633" s="80"/>
      <c r="B633" s="80"/>
      <c r="C633" s="80"/>
      <c r="D633" s="80"/>
      <c r="E633" s="215"/>
      <c r="F633" s="215"/>
      <c r="G633" s="215"/>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c r="AD633" s="215"/>
      <c r="AE633" s="215"/>
      <c r="AF633" s="215"/>
      <c r="AG633" s="215"/>
      <c r="AH633" s="215"/>
      <c r="AI633" s="215"/>
      <c r="AJ633" s="215"/>
      <c r="AK633" s="215"/>
      <c r="AL633" s="215"/>
      <c r="AM633" s="215"/>
      <c r="AN633" s="215"/>
      <c r="AO633" s="215"/>
      <c r="AP633" s="215"/>
      <c r="AQ633" s="215"/>
      <c r="AR633" s="215"/>
      <c r="AS633" s="215"/>
      <c r="AT633" s="215"/>
      <c r="AU633" s="215"/>
      <c r="AV633" s="215"/>
      <c r="AW633" s="215"/>
      <c r="AX633" s="215"/>
      <c r="AY633" s="215"/>
    </row>
    <row r="634">
      <c r="A634" s="80"/>
      <c r="B634" s="80"/>
      <c r="C634" s="80"/>
      <c r="D634" s="80"/>
      <c r="E634" s="215"/>
      <c r="F634" s="215"/>
      <c r="G634" s="215"/>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c r="AD634" s="215"/>
      <c r="AE634" s="215"/>
      <c r="AF634" s="215"/>
      <c r="AG634" s="215"/>
      <c r="AH634" s="215"/>
      <c r="AI634" s="215"/>
      <c r="AJ634" s="215"/>
      <c r="AK634" s="215"/>
      <c r="AL634" s="215"/>
      <c r="AM634" s="215"/>
      <c r="AN634" s="215"/>
      <c r="AO634" s="215"/>
      <c r="AP634" s="215"/>
      <c r="AQ634" s="215"/>
      <c r="AR634" s="215"/>
      <c r="AS634" s="215"/>
      <c r="AT634" s="215"/>
      <c r="AU634" s="215"/>
      <c r="AV634" s="215"/>
      <c r="AW634" s="215"/>
      <c r="AX634" s="215"/>
      <c r="AY634" s="215"/>
    </row>
    <row r="635">
      <c r="A635" s="80"/>
      <c r="B635" s="80"/>
      <c r="C635" s="80"/>
      <c r="D635" s="80"/>
      <c r="E635" s="215"/>
      <c r="F635" s="215"/>
      <c r="G635" s="215"/>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c r="AD635" s="215"/>
      <c r="AE635" s="215"/>
      <c r="AF635" s="215"/>
      <c r="AG635" s="215"/>
      <c r="AH635" s="215"/>
      <c r="AI635" s="215"/>
      <c r="AJ635" s="215"/>
      <c r="AK635" s="215"/>
      <c r="AL635" s="215"/>
      <c r="AM635" s="215"/>
      <c r="AN635" s="215"/>
      <c r="AO635" s="215"/>
      <c r="AP635" s="215"/>
      <c r="AQ635" s="215"/>
      <c r="AR635" s="215"/>
      <c r="AS635" s="215"/>
      <c r="AT635" s="215"/>
      <c r="AU635" s="215"/>
      <c r="AV635" s="215"/>
      <c r="AW635" s="215"/>
      <c r="AX635" s="215"/>
      <c r="AY635" s="215"/>
    </row>
    <row r="636">
      <c r="A636" s="80"/>
      <c r="B636" s="80"/>
      <c r="C636" s="80"/>
      <c r="D636" s="80"/>
      <c r="E636" s="215"/>
      <c r="F636" s="215"/>
      <c r="G636" s="215"/>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c r="AD636" s="215"/>
      <c r="AE636" s="215"/>
      <c r="AF636" s="215"/>
      <c r="AG636" s="215"/>
      <c r="AH636" s="215"/>
      <c r="AI636" s="215"/>
      <c r="AJ636" s="215"/>
      <c r="AK636" s="215"/>
      <c r="AL636" s="215"/>
      <c r="AM636" s="215"/>
      <c r="AN636" s="215"/>
      <c r="AO636" s="215"/>
      <c r="AP636" s="215"/>
      <c r="AQ636" s="215"/>
      <c r="AR636" s="215"/>
      <c r="AS636" s="215"/>
      <c r="AT636" s="215"/>
      <c r="AU636" s="215"/>
      <c r="AV636" s="215"/>
      <c r="AW636" s="215"/>
      <c r="AX636" s="215"/>
      <c r="AY636" s="215"/>
    </row>
    <row r="637">
      <c r="A637" s="80"/>
      <c r="B637" s="80"/>
      <c r="C637" s="80"/>
      <c r="D637" s="80"/>
      <c r="E637" s="215"/>
      <c r="F637" s="215"/>
      <c r="G637" s="215"/>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c r="AD637" s="215"/>
      <c r="AE637" s="215"/>
      <c r="AF637" s="215"/>
      <c r="AG637" s="215"/>
      <c r="AH637" s="215"/>
      <c r="AI637" s="215"/>
      <c r="AJ637" s="215"/>
      <c r="AK637" s="215"/>
      <c r="AL637" s="215"/>
      <c r="AM637" s="215"/>
      <c r="AN637" s="215"/>
      <c r="AO637" s="215"/>
      <c r="AP637" s="215"/>
      <c r="AQ637" s="215"/>
      <c r="AR637" s="215"/>
      <c r="AS637" s="215"/>
      <c r="AT637" s="215"/>
      <c r="AU637" s="215"/>
      <c r="AV637" s="215"/>
      <c r="AW637" s="215"/>
      <c r="AX637" s="215"/>
      <c r="AY637" s="215"/>
    </row>
    <row r="638">
      <c r="A638" s="80"/>
      <c r="B638" s="80"/>
      <c r="C638" s="80"/>
      <c r="D638" s="80"/>
      <c r="E638" s="215"/>
      <c r="F638" s="215"/>
      <c r="G638" s="215"/>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c r="AD638" s="215"/>
      <c r="AE638" s="215"/>
      <c r="AF638" s="215"/>
      <c r="AG638" s="215"/>
      <c r="AH638" s="215"/>
      <c r="AI638" s="215"/>
      <c r="AJ638" s="215"/>
      <c r="AK638" s="215"/>
      <c r="AL638" s="215"/>
      <c r="AM638" s="215"/>
      <c r="AN638" s="215"/>
      <c r="AO638" s="215"/>
      <c r="AP638" s="215"/>
      <c r="AQ638" s="215"/>
      <c r="AR638" s="215"/>
      <c r="AS638" s="215"/>
      <c r="AT638" s="215"/>
      <c r="AU638" s="215"/>
      <c r="AV638" s="215"/>
      <c r="AW638" s="215"/>
      <c r="AX638" s="215"/>
      <c r="AY638" s="215"/>
    </row>
    <row r="639">
      <c r="A639" s="80"/>
      <c r="B639" s="80"/>
      <c r="C639" s="80"/>
      <c r="D639" s="80"/>
      <c r="E639" s="215"/>
      <c r="F639" s="215"/>
      <c r="G639" s="215"/>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c r="AD639" s="215"/>
      <c r="AE639" s="215"/>
      <c r="AF639" s="215"/>
      <c r="AG639" s="215"/>
      <c r="AH639" s="215"/>
      <c r="AI639" s="215"/>
      <c r="AJ639" s="215"/>
      <c r="AK639" s="215"/>
      <c r="AL639" s="215"/>
      <c r="AM639" s="215"/>
      <c r="AN639" s="215"/>
      <c r="AO639" s="215"/>
      <c r="AP639" s="215"/>
      <c r="AQ639" s="215"/>
      <c r="AR639" s="215"/>
      <c r="AS639" s="215"/>
      <c r="AT639" s="215"/>
      <c r="AU639" s="215"/>
      <c r="AV639" s="215"/>
      <c r="AW639" s="215"/>
      <c r="AX639" s="215"/>
      <c r="AY639" s="215"/>
    </row>
    <row r="640">
      <c r="A640" s="80"/>
      <c r="B640" s="80"/>
      <c r="C640" s="80"/>
      <c r="D640" s="80"/>
      <c r="E640" s="215"/>
      <c r="F640" s="215"/>
      <c r="G640" s="215"/>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c r="AD640" s="215"/>
      <c r="AE640" s="215"/>
      <c r="AF640" s="215"/>
      <c r="AG640" s="215"/>
      <c r="AH640" s="215"/>
      <c r="AI640" s="215"/>
      <c r="AJ640" s="215"/>
      <c r="AK640" s="215"/>
      <c r="AL640" s="215"/>
      <c r="AM640" s="215"/>
      <c r="AN640" s="215"/>
      <c r="AO640" s="215"/>
      <c r="AP640" s="215"/>
      <c r="AQ640" s="215"/>
      <c r="AR640" s="215"/>
      <c r="AS640" s="215"/>
      <c r="AT640" s="215"/>
      <c r="AU640" s="215"/>
      <c r="AV640" s="215"/>
      <c r="AW640" s="215"/>
      <c r="AX640" s="215"/>
      <c r="AY640" s="215"/>
    </row>
    <row r="641">
      <c r="A641" s="80"/>
      <c r="B641" s="80"/>
      <c r="C641" s="80"/>
      <c r="D641" s="80"/>
      <c r="E641" s="215"/>
      <c r="F641" s="215"/>
      <c r="G641" s="215"/>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c r="AD641" s="215"/>
      <c r="AE641" s="215"/>
      <c r="AF641" s="215"/>
      <c r="AG641" s="215"/>
      <c r="AH641" s="215"/>
      <c r="AI641" s="215"/>
      <c r="AJ641" s="215"/>
      <c r="AK641" s="215"/>
      <c r="AL641" s="215"/>
      <c r="AM641" s="215"/>
      <c r="AN641" s="215"/>
      <c r="AO641" s="215"/>
      <c r="AP641" s="215"/>
      <c r="AQ641" s="215"/>
      <c r="AR641" s="215"/>
      <c r="AS641" s="215"/>
      <c r="AT641" s="215"/>
      <c r="AU641" s="215"/>
      <c r="AV641" s="215"/>
      <c r="AW641" s="215"/>
      <c r="AX641" s="215"/>
      <c r="AY641" s="215"/>
    </row>
    <row r="642">
      <c r="A642" s="80"/>
      <c r="B642" s="80"/>
      <c r="C642" s="80"/>
      <c r="D642" s="80"/>
      <c r="E642" s="215"/>
      <c r="F642" s="215"/>
      <c r="G642" s="215"/>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c r="AD642" s="215"/>
      <c r="AE642" s="215"/>
      <c r="AF642" s="215"/>
      <c r="AG642" s="215"/>
      <c r="AH642" s="215"/>
      <c r="AI642" s="215"/>
      <c r="AJ642" s="215"/>
      <c r="AK642" s="215"/>
      <c r="AL642" s="215"/>
      <c r="AM642" s="215"/>
      <c r="AN642" s="215"/>
      <c r="AO642" s="215"/>
      <c r="AP642" s="215"/>
      <c r="AQ642" s="215"/>
      <c r="AR642" s="215"/>
      <c r="AS642" s="215"/>
      <c r="AT642" s="215"/>
      <c r="AU642" s="215"/>
      <c r="AV642" s="215"/>
      <c r="AW642" s="215"/>
      <c r="AX642" s="215"/>
      <c r="AY642" s="215"/>
    </row>
    <row r="643">
      <c r="A643" s="80"/>
      <c r="B643" s="80"/>
      <c r="C643" s="80"/>
      <c r="D643" s="80"/>
      <c r="E643" s="215"/>
      <c r="F643" s="215"/>
      <c r="G643" s="215"/>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c r="AD643" s="215"/>
      <c r="AE643" s="215"/>
      <c r="AF643" s="215"/>
      <c r="AG643" s="215"/>
      <c r="AH643" s="215"/>
      <c r="AI643" s="215"/>
      <c r="AJ643" s="215"/>
      <c r="AK643" s="215"/>
      <c r="AL643" s="215"/>
      <c r="AM643" s="215"/>
      <c r="AN643" s="215"/>
      <c r="AO643" s="215"/>
      <c r="AP643" s="215"/>
      <c r="AQ643" s="215"/>
      <c r="AR643" s="215"/>
      <c r="AS643" s="215"/>
      <c r="AT643" s="215"/>
      <c r="AU643" s="215"/>
      <c r="AV643" s="215"/>
      <c r="AW643" s="215"/>
      <c r="AX643" s="215"/>
      <c r="AY643" s="215"/>
    </row>
    <row r="644">
      <c r="A644" s="80"/>
      <c r="B644" s="80"/>
      <c r="C644" s="80"/>
      <c r="D644" s="80"/>
      <c r="E644" s="215"/>
      <c r="F644" s="215"/>
      <c r="G644" s="215"/>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c r="AD644" s="215"/>
      <c r="AE644" s="215"/>
      <c r="AF644" s="215"/>
      <c r="AG644" s="215"/>
      <c r="AH644" s="215"/>
      <c r="AI644" s="215"/>
      <c r="AJ644" s="215"/>
      <c r="AK644" s="215"/>
      <c r="AL644" s="215"/>
      <c r="AM644" s="215"/>
      <c r="AN644" s="215"/>
      <c r="AO644" s="215"/>
      <c r="AP644" s="215"/>
      <c r="AQ644" s="215"/>
      <c r="AR644" s="215"/>
      <c r="AS644" s="215"/>
      <c r="AT644" s="215"/>
      <c r="AU644" s="215"/>
      <c r="AV644" s="215"/>
      <c r="AW644" s="215"/>
      <c r="AX644" s="215"/>
      <c r="AY644" s="215"/>
    </row>
    <row r="645">
      <c r="A645" s="80"/>
      <c r="B645" s="80"/>
      <c r="C645" s="80"/>
      <c r="D645" s="80"/>
      <c r="E645" s="215"/>
      <c r="F645" s="215"/>
      <c r="G645" s="215"/>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c r="AD645" s="215"/>
      <c r="AE645" s="215"/>
      <c r="AF645" s="215"/>
      <c r="AG645" s="215"/>
      <c r="AH645" s="215"/>
      <c r="AI645" s="215"/>
      <c r="AJ645" s="215"/>
      <c r="AK645" s="215"/>
      <c r="AL645" s="215"/>
      <c r="AM645" s="215"/>
      <c r="AN645" s="215"/>
      <c r="AO645" s="215"/>
      <c r="AP645" s="215"/>
      <c r="AQ645" s="215"/>
      <c r="AR645" s="215"/>
      <c r="AS645" s="215"/>
      <c r="AT645" s="215"/>
      <c r="AU645" s="215"/>
      <c r="AV645" s="215"/>
      <c r="AW645" s="215"/>
      <c r="AX645" s="215"/>
      <c r="AY645" s="215"/>
    </row>
    <row r="646">
      <c r="A646" s="80"/>
      <c r="B646" s="80"/>
      <c r="C646" s="80"/>
      <c r="D646" s="80"/>
      <c r="E646" s="215"/>
      <c r="F646" s="215"/>
      <c r="G646" s="215"/>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c r="AD646" s="215"/>
      <c r="AE646" s="215"/>
      <c r="AF646" s="215"/>
      <c r="AG646" s="215"/>
      <c r="AH646" s="215"/>
      <c r="AI646" s="215"/>
      <c r="AJ646" s="215"/>
      <c r="AK646" s="215"/>
      <c r="AL646" s="215"/>
      <c r="AM646" s="215"/>
      <c r="AN646" s="215"/>
      <c r="AO646" s="215"/>
      <c r="AP646" s="215"/>
      <c r="AQ646" s="215"/>
      <c r="AR646" s="215"/>
      <c r="AS646" s="215"/>
      <c r="AT646" s="215"/>
      <c r="AU646" s="215"/>
      <c r="AV646" s="215"/>
      <c r="AW646" s="215"/>
      <c r="AX646" s="215"/>
      <c r="AY646" s="215"/>
    </row>
    <row r="647">
      <c r="A647" s="80"/>
      <c r="B647" s="80"/>
      <c r="C647" s="80"/>
      <c r="D647" s="80"/>
      <c r="E647" s="215"/>
      <c r="F647" s="215"/>
      <c r="G647" s="215"/>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c r="AD647" s="215"/>
      <c r="AE647" s="215"/>
      <c r="AF647" s="215"/>
      <c r="AG647" s="215"/>
      <c r="AH647" s="215"/>
      <c r="AI647" s="215"/>
      <c r="AJ647" s="215"/>
      <c r="AK647" s="215"/>
      <c r="AL647" s="215"/>
      <c r="AM647" s="215"/>
      <c r="AN647" s="215"/>
      <c r="AO647" s="215"/>
      <c r="AP647" s="215"/>
      <c r="AQ647" s="215"/>
      <c r="AR647" s="215"/>
      <c r="AS647" s="215"/>
      <c r="AT647" s="215"/>
      <c r="AU647" s="215"/>
      <c r="AV647" s="215"/>
      <c r="AW647" s="215"/>
      <c r="AX647" s="215"/>
      <c r="AY647" s="215"/>
    </row>
    <row r="648">
      <c r="A648" s="80"/>
      <c r="B648" s="80"/>
      <c r="C648" s="80"/>
      <c r="D648" s="80"/>
      <c r="E648" s="215"/>
      <c r="F648" s="215"/>
      <c r="G648" s="215"/>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c r="AD648" s="215"/>
      <c r="AE648" s="215"/>
      <c r="AF648" s="215"/>
      <c r="AG648" s="215"/>
      <c r="AH648" s="215"/>
      <c r="AI648" s="215"/>
      <c r="AJ648" s="215"/>
      <c r="AK648" s="215"/>
      <c r="AL648" s="215"/>
      <c r="AM648" s="215"/>
      <c r="AN648" s="215"/>
      <c r="AO648" s="215"/>
      <c r="AP648" s="215"/>
      <c r="AQ648" s="215"/>
      <c r="AR648" s="215"/>
      <c r="AS648" s="215"/>
      <c r="AT648" s="215"/>
      <c r="AU648" s="215"/>
      <c r="AV648" s="215"/>
      <c r="AW648" s="215"/>
      <c r="AX648" s="215"/>
      <c r="AY648" s="215"/>
    </row>
    <row r="649">
      <c r="A649" s="80"/>
      <c r="B649" s="80"/>
      <c r="C649" s="80"/>
      <c r="D649" s="80"/>
      <c r="E649" s="215"/>
      <c r="F649" s="215"/>
      <c r="G649" s="215"/>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c r="AD649" s="215"/>
      <c r="AE649" s="215"/>
      <c r="AF649" s="215"/>
      <c r="AG649" s="215"/>
      <c r="AH649" s="215"/>
      <c r="AI649" s="215"/>
      <c r="AJ649" s="215"/>
      <c r="AK649" s="215"/>
      <c r="AL649" s="215"/>
      <c r="AM649" s="215"/>
      <c r="AN649" s="215"/>
      <c r="AO649" s="215"/>
      <c r="AP649" s="215"/>
      <c r="AQ649" s="215"/>
      <c r="AR649" s="215"/>
      <c r="AS649" s="215"/>
      <c r="AT649" s="215"/>
      <c r="AU649" s="215"/>
      <c r="AV649" s="215"/>
      <c r="AW649" s="215"/>
      <c r="AX649" s="215"/>
      <c r="AY649" s="215"/>
    </row>
    <row r="650">
      <c r="A650" s="80"/>
      <c r="B650" s="80"/>
      <c r="C650" s="80"/>
      <c r="D650" s="80"/>
      <c r="E650" s="215"/>
      <c r="F650" s="215"/>
      <c r="G650" s="215"/>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c r="AD650" s="215"/>
      <c r="AE650" s="215"/>
      <c r="AF650" s="215"/>
      <c r="AG650" s="215"/>
      <c r="AH650" s="215"/>
      <c r="AI650" s="215"/>
      <c r="AJ650" s="215"/>
      <c r="AK650" s="215"/>
      <c r="AL650" s="215"/>
      <c r="AM650" s="215"/>
      <c r="AN650" s="215"/>
      <c r="AO650" s="215"/>
      <c r="AP650" s="215"/>
      <c r="AQ650" s="215"/>
      <c r="AR650" s="215"/>
      <c r="AS650" s="215"/>
      <c r="AT650" s="215"/>
      <c r="AU650" s="215"/>
      <c r="AV650" s="215"/>
      <c r="AW650" s="215"/>
      <c r="AX650" s="215"/>
      <c r="AY650" s="215"/>
    </row>
    <row r="651">
      <c r="A651" s="80"/>
      <c r="B651" s="80"/>
      <c r="C651" s="80"/>
      <c r="D651" s="80"/>
      <c r="E651" s="215"/>
      <c r="F651" s="215"/>
      <c r="G651" s="215"/>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c r="AD651" s="215"/>
      <c r="AE651" s="215"/>
      <c r="AF651" s="215"/>
      <c r="AG651" s="215"/>
      <c r="AH651" s="215"/>
      <c r="AI651" s="215"/>
      <c r="AJ651" s="215"/>
      <c r="AK651" s="215"/>
      <c r="AL651" s="215"/>
      <c r="AM651" s="215"/>
      <c r="AN651" s="215"/>
      <c r="AO651" s="215"/>
      <c r="AP651" s="215"/>
      <c r="AQ651" s="215"/>
      <c r="AR651" s="215"/>
      <c r="AS651" s="215"/>
      <c r="AT651" s="215"/>
      <c r="AU651" s="215"/>
      <c r="AV651" s="215"/>
      <c r="AW651" s="215"/>
      <c r="AX651" s="215"/>
      <c r="AY651" s="215"/>
    </row>
    <row r="652">
      <c r="A652" s="80"/>
      <c r="B652" s="80"/>
      <c r="C652" s="80"/>
      <c r="D652" s="80"/>
      <c r="E652" s="215"/>
      <c r="F652" s="215"/>
      <c r="G652" s="215"/>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c r="AD652" s="215"/>
      <c r="AE652" s="215"/>
      <c r="AF652" s="215"/>
      <c r="AG652" s="215"/>
      <c r="AH652" s="215"/>
      <c r="AI652" s="215"/>
      <c r="AJ652" s="215"/>
      <c r="AK652" s="215"/>
      <c r="AL652" s="215"/>
      <c r="AM652" s="215"/>
      <c r="AN652" s="215"/>
      <c r="AO652" s="215"/>
      <c r="AP652" s="215"/>
      <c r="AQ652" s="215"/>
      <c r="AR652" s="215"/>
      <c r="AS652" s="215"/>
      <c r="AT652" s="215"/>
      <c r="AU652" s="215"/>
      <c r="AV652" s="215"/>
      <c r="AW652" s="215"/>
      <c r="AX652" s="215"/>
      <c r="AY652" s="215"/>
    </row>
    <row r="653">
      <c r="A653" s="80"/>
      <c r="B653" s="80"/>
      <c r="C653" s="80"/>
      <c r="D653" s="80"/>
      <c r="E653" s="215"/>
      <c r="F653" s="215"/>
      <c r="G653" s="215"/>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c r="AD653" s="215"/>
      <c r="AE653" s="215"/>
      <c r="AF653" s="215"/>
      <c r="AG653" s="215"/>
      <c r="AH653" s="215"/>
      <c r="AI653" s="215"/>
      <c r="AJ653" s="215"/>
      <c r="AK653" s="215"/>
      <c r="AL653" s="215"/>
      <c r="AM653" s="215"/>
      <c r="AN653" s="215"/>
      <c r="AO653" s="215"/>
      <c r="AP653" s="215"/>
      <c r="AQ653" s="215"/>
      <c r="AR653" s="215"/>
      <c r="AS653" s="215"/>
      <c r="AT653" s="215"/>
      <c r="AU653" s="215"/>
      <c r="AV653" s="215"/>
      <c r="AW653" s="215"/>
      <c r="AX653" s="215"/>
      <c r="AY653" s="215"/>
    </row>
    <row r="654">
      <c r="A654" s="80"/>
      <c r="B654" s="80"/>
      <c r="C654" s="80"/>
      <c r="D654" s="80"/>
      <c r="E654" s="215"/>
      <c r="F654" s="215"/>
      <c r="G654" s="215"/>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c r="AD654" s="215"/>
      <c r="AE654" s="215"/>
      <c r="AF654" s="215"/>
      <c r="AG654" s="215"/>
      <c r="AH654" s="215"/>
      <c r="AI654" s="215"/>
      <c r="AJ654" s="215"/>
      <c r="AK654" s="215"/>
      <c r="AL654" s="215"/>
      <c r="AM654" s="215"/>
      <c r="AN654" s="215"/>
      <c r="AO654" s="215"/>
      <c r="AP654" s="215"/>
      <c r="AQ654" s="215"/>
      <c r="AR654" s="215"/>
      <c r="AS654" s="215"/>
      <c r="AT654" s="215"/>
      <c r="AU654" s="215"/>
      <c r="AV654" s="215"/>
      <c r="AW654" s="215"/>
      <c r="AX654" s="215"/>
      <c r="AY654" s="215"/>
    </row>
    <row r="655">
      <c r="A655" s="80"/>
      <c r="B655" s="80"/>
      <c r="C655" s="80"/>
      <c r="D655" s="80"/>
      <c r="E655" s="215"/>
      <c r="F655" s="215"/>
      <c r="G655" s="215"/>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c r="AD655" s="215"/>
      <c r="AE655" s="215"/>
      <c r="AF655" s="215"/>
      <c r="AG655" s="215"/>
      <c r="AH655" s="215"/>
      <c r="AI655" s="215"/>
      <c r="AJ655" s="215"/>
      <c r="AK655" s="215"/>
      <c r="AL655" s="215"/>
      <c r="AM655" s="215"/>
      <c r="AN655" s="215"/>
      <c r="AO655" s="215"/>
      <c r="AP655" s="215"/>
      <c r="AQ655" s="215"/>
      <c r="AR655" s="215"/>
      <c r="AS655" s="215"/>
      <c r="AT655" s="215"/>
      <c r="AU655" s="215"/>
      <c r="AV655" s="215"/>
      <c r="AW655" s="215"/>
      <c r="AX655" s="215"/>
      <c r="AY655" s="215"/>
    </row>
    <row r="656">
      <c r="A656" s="80"/>
      <c r="B656" s="80"/>
      <c r="C656" s="80"/>
      <c r="D656" s="80"/>
      <c r="E656" s="215"/>
      <c r="F656" s="215"/>
      <c r="G656" s="215"/>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c r="AD656" s="215"/>
      <c r="AE656" s="215"/>
      <c r="AF656" s="215"/>
      <c r="AG656" s="215"/>
      <c r="AH656" s="215"/>
      <c r="AI656" s="215"/>
      <c r="AJ656" s="215"/>
      <c r="AK656" s="215"/>
      <c r="AL656" s="215"/>
      <c r="AM656" s="215"/>
      <c r="AN656" s="215"/>
      <c r="AO656" s="215"/>
      <c r="AP656" s="215"/>
      <c r="AQ656" s="215"/>
      <c r="AR656" s="215"/>
      <c r="AS656" s="215"/>
      <c r="AT656" s="215"/>
      <c r="AU656" s="215"/>
      <c r="AV656" s="215"/>
      <c r="AW656" s="215"/>
      <c r="AX656" s="215"/>
      <c r="AY656" s="215"/>
    </row>
    <row r="657">
      <c r="A657" s="80"/>
      <c r="B657" s="80"/>
      <c r="C657" s="80"/>
      <c r="D657" s="80"/>
      <c r="E657" s="215"/>
      <c r="F657" s="215"/>
      <c r="G657" s="215"/>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c r="AD657" s="215"/>
      <c r="AE657" s="215"/>
      <c r="AF657" s="215"/>
      <c r="AG657" s="215"/>
      <c r="AH657" s="215"/>
      <c r="AI657" s="215"/>
      <c r="AJ657" s="215"/>
      <c r="AK657" s="215"/>
      <c r="AL657" s="215"/>
      <c r="AM657" s="215"/>
      <c r="AN657" s="215"/>
      <c r="AO657" s="215"/>
      <c r="AP657" s="215"/>
      <c r="AQ657" s="215"/>
      <c r="AR657" s="215"/>
      <c r="AS657" s="215"/>
      <c r="AT657" s="215"/>
      <c r="AU657" s="215"/>
      <c r="AV657" s="215"/>
      <c r="AW657" s="215"/>
      <c r="AX657" s="215"/>
      <c r="AY657" s="215"/>
    </row>
    <row r="658">
      <c r="A658" s="80"/>
      <c r="B658" s="80"/>
      <c r="C658" s="80"/>
      <c r="D658" s="80"/>
      <c r="E658" s="215"/>
      <c r="F658" s="215"/>
      <c r="G658" s="215"/>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c r="AD658" s="215"/>
      <c r="AE658" s="215"/>
      <c r="AF658" s="215"/>
      <c r="AG658" s="215"/>
      <c r="AH658" s="215"/>
      <c r="AI658" s="215"/>
      <c r="AJ658" s="215"/>
      <c r="AK658" s="215"/>
      <c r="AL658" s="215"/>
      <c r="AM658" s="215"/>
      <c r="AN658" s="215"/>
      <c r="AO658" s="215"/>
      <c r="AP658" s="215"/>
      <c r="AQ658" s="215"/>
      <c r="AR658" s="215"/>
      <c r="AS658" s="215"/>
      <c r="AT658" s="215"/>
      <c r="AU658" s="215"/>
      <c r="AV658" s="215"/>
      <c r="AW658" s="215"/>
      <c r="AX658" s="215"/>
      <c r="AY658" s="215"/>
    </row>
    <row r="659">
      <c r="A659" s="80"/>
      <c r="B659" s="80"/>
      <c r="C659" s="80"/>
      <c r="D659" s="80"/>
      <c r="E659" s="215"/>
      <c r="F659" s="215"/>
      <c r="G659" s="215"/>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c r="AD659" s="215"/>
      <c r="AE659" s="215"/>
      <c r="AF659" s="215"/>
      <c r="AG659" s="215"/>
      <c r="AH659" s="215"/>
      <c r="AI659" s="215"/>
      <c r="AJ659" s="215"/>
      <c r="AK659" s="215"/>
      <c r="AL659" s="215"/>
      <c r="AM659" s="215"/>
      <c r="AN659" s="215"/>
      <c r="AO659" s="215"/>
      <c r="AP659" s="215"/>
      <c r="AQ659" s="215"/>
      <c r="AR659" s="215"/>
      <c r="AS659" s="215"/>
      <c r="AT659" s="215"/>
      <c r="AU659" s="215"/>
      <c r="AV659" s="215"/>
      <c r="AW659" s="215"/>
      <c r="AX659" s="215"/>
      <c r="AY659" s="215"/>
    </row>
    <row r="660">
      <c r="A660" s="80"/>
      <c r="B660" s="80"/>
      <c r="C660" s="80"/>
      <c r="D660" s="80"/>
      <c r="E660" s="215"/>
      <c r="F660" s="215"/>
      <c r="G660" s="215"/>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c r="AD660" s="215"/>
      <c r="AE660" s="215"/>
      <c r="AF660" s="215"/>
      <c r="AG660" s="215"/>
      <c r="AH660" s="215"/>
      <c r="AI660" s="215"/>
      <c r="AJ660" s="215"/>
      <c r="AK660" s="215"/>
      <c r="AL660" s="215"/>
      <c r="AM660" s="215"/>
      <c r="AN660" s="215"/>
      <c r="AO660" s="215"/>
      <c r="AP660" s="215"/>
      <c r="AQ660" s="215"/>
      <c r="AR660" s="215"/>
      <c r="AS660" s="215"/>
      <c r="AT660" s="215"/>
      <c r="AU660" s="215"/>
      <c r="AV660" s="215"/>
      <c r="AW660" s="215"/>
      <c r="AX660" s="215"/>
      <c r="AY660" s="215"/>
    </row>
    <row r="661">
      <c r="A661" s="80"/>
      <c r="B661" s="80"/>
      <c r="C661" s="80"/>
      <c r="D661" s="80"/>
      <c r="E661" s="215"/>
      <c r="F661" s="215"/>
      <c r="G661" s="215"/>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c r="AD661" s="215"/>
      <c r="AE661" s="215"/>
      <c r="AF661" s="215"/>
      <c r="AG661" s="215"/>
      <c r="AH661" s="215"/>
      <c r="AI661" s="215"/>
      <c r="AJ661" s="215"/>
      <c r="AK661" s="215"/>
      <c r="AL661" s="215"/>
      <c r="AM661" s="215"/>
      <c r="AN661" s="215"/>
      <c r="AO661" s="215"/>
      <c r="AP661" s="215"/>
      <c r="AQ661" s="215"/>
      <c r="AR661" s="215"/>
      <c r="AS661" s="215"/>
      <c r="AT661" s="215"/>
      <c r="AU661" s="215"/>
      <c r="AV661" s="215"/>
      <c r="AW661" s="215"/>
      <c r="AX661" s="215"/>
      <c r="AY661" s="215"/>
    </row>
    <row r="662">
      <c r="A662" s="80"/>
      <c r="B662" s="80"/>
      <c r="C662" s="80"/>
      <c r="D662" s="80"/>
      <c r="E662" s="215"/>
      <c r="F662" s="215"/>
      <c r="G662" s="215"/>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c r="AD662" s="215"/>
      <c r="AE662" s="215"/>
      <c r="AF662" s="215"/>
      <c r="AG662" s="215"/>
      <c r="AH662" s="215"/>
      <c r="AI662" s="215"/>
      <c r="AJ662" s="215"/>
      <c r="AK662" s="215"/>
      <c r="AL662" s="215"/>
      <c r="AM662" s="215"/>
      <c r="AN662" s="215"/>
      <c r="AO662" s="215"/>
      <c r="AP662" s="215"/>
      <c r="AQ662" s="215"/>
      <c r="AR662" s="215"/>
      <c r="AS662" s="215"/>
      <c r="AT662" s="215"/>
      <c r="AU662" s="215"/>
      <c r="AV662" s="215"/>
      <c r="AW662" s="215"/>
      <c r="AX662" s="215"/>
      <c r="AY662" s="215"/>
    </row>
    <row r="663">
      <c r="A663" s="80"/>
      <c r="B663" s="80"/>
      <c r="C663" s="80"/>
      <c r="D663" s="80"/>
      <c r="E663" s="215"/>
      <c r="F663" s="215"/>
      <c r="G663" s="215"/>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c r="AD663" s="215"/>
      <c r="AE663" s="215"/>
      <c r="AF663" s="215"/>
      <c r="AG663" s="215"/>
      <c r="AH663" s="215"/>
      <c r="AI663" s="215"/>
      <c r="AJ663" s="215"/>
      <c r="AK663" s="215"/>
      <c r="AL663" s="215"/>
      <c r="AM663" s="215"/>
      <c r="AN663" s="215"/>
      <c r="AO663" s="215"/>
      <c r="AP663" s="215"/>
      <c r="AQ663" s="215"/>
      <c r="AR663" s="215"/>
      <c r="AS663" s="215"/>
      <c r="AT663" s="215"/>
      <c r="AU663" s="215"/>
      <c r="AV663" s="215"/>
      <c r="AW663" s="215"/>
      <c r="AX663" s="215"/>
      <c r="AY663" s="215"/>
    </row>
    <row r="664">
      <c r="A664" s="80"/>
      <c r="B664" s="80"/>
      <c r="C664" s="80"/>
      <c r="D664" s="80"/>
      <c r="E664" s="215"/>
      <c r="F664" s="215"/>
      <c r="G664" s="215"/>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c r="AD664" s="215"/>
      <c r="AE664" s="215"/>
      <c r="AF664" s="215"/>
      <c r="AG664" s="215"/>
      <c r="AH664" s="215"/>
      <c r="AI664" s="215"/>
      <c r="AJ664" s="215"/>
      <c r="AK664" s="215"/>
      <c r="AL664" s="215"/>
      <c r="AM664" s="215"/>
      <c r="AN664" s="215"/>
      <c r="AO664" s="215"/>
      <c r="AP664" s="215"/>
      <c r="AQ664" s="215"/>
      <c r="AR664" s="215"/>
      <c r="AS664" s="215"/>
      <c r="AT664" s="215"/>
      <c r="AU664" s="215"/>
      <c r="AV664" s="215"/>
      <c r="AW664" s="215"/>
      <c r="AX664" s="215"/>
      <c r="AY664" s="215"/>
    </row>
    <row r="665">
      <c r="A665" s="80"/>
      <c r="B665" s="80"/>
      <c r="C665" s="80"/>
      <c r="D665" s="80"/>
      <c r="E665" s="215"/>
      <c r="F665" s="215"/>
      <c r="G665" s="215"/>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c r="AD665" s="215"/>
      <c r="AE665" s="215"/>
      <c r="AF665" s="215"/>
      <c r="AG665" s="215"/>
      <c r="AH665" s="215"/>
      <c r="AI665" s="215"/>
      <c r="AJ665" s="215"/>
      <c r="AK665" s="215"/>
      <c r="AL665" s="215"/>
      <c r="AM665" s="215"/>
      <c r="AN665" s="215"/>
      <c r="AO665" s="215"/>
      <c r="AP665" s="215"/>
      <c r="AQ665" s="215"/>
      <c r="AR665" s="215"/>
      <c r="AS665" s="215"/>
      <c r="AT665" s="215"/>
      <c r="AU665" s="215"/>
      <c r="AV665" s="215"/>
      <c r="AW665" s="215"/>
      <c r="AX665" s="215"/>
      <c r="AY665" s="215"/>
    </row>
    <row r="666">
      <c r="A666" s="80"/>
      <c r="B666" s="80"/>
      <c r="C666" s="80"/>
      <c r="D666" s="80"/>
      <c r="E666" s="215"/>
      <c r="F666" s="215"/>
      <c r="G666" s="215"/>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c r="AD666" s="215"/>
      <c r="AE666" s="215"/>
      <c r="AF666" s="215"/>
      <c r="AG666" s="215"/>
      <c r="AH666" s="215"/>
      <c r="AI666" s="215"/>
      <c r="AJ666" s="215"/>
      <c r="AK666" s="215"/>
      <c r="AL666" s="215"/>
      <c r="AM666" s="215"/>
      <c r="AN666" s="215"/>
      <c r="AO666" s="215"/>
      <c r="AP666" s="215"/>
      <c r="AQ666" s="215"/>
      <c r="AR666" s="215"/>
      <c r="AS666" s="215"/>
      <c r="AT666" s="215"/>
      <c r="AU666" s="215"/>
      <c r="AV666" s="215"/>
      <c r="AW666" s="215"/>
      <c r="AX666" s="215"/>
      <c r="AY666" s="215"/>
    </row>
    <row r="667">
      <c r="A667" s="80"/>
      <c r="B667" s="80"/>
      <c r="C667" s="80"/>
      <c r="D667" s="80"/>
      <c r="E667" s="215"/>
      <c r="F667" s="215"/>
      <c r="G667" s="215"/>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c r="AD667" s="215"/>
      <c r="AE667" s="215"/>
      <c r="AF667" s="215"/>
      <c r="AG667" s="215"/>
      <c r="AH667" s="215"/>
      <c r="AI667" s="215"/>
      <c r="AJ667" s="215"/>
      <c r="AK667" s="215"/>
      <c r="AL667" s="215"/>
      <c r="AM667" s="215"/>
      <c r="AN667" s="215"/>
      <c r="AO667" s="215"/>
      <c r="AP667" s="215"/>
      <c r="AQ667" s="215"/>
      <c r="AR667" s="215"/>
      <c r="AS667" s="215"/>
      <c r="AT667" s="215"/>
      <c r="AU667" s="215"/>
      <c r="AV667" s="215"/>
      <c r="AW667" s="215"/>
      <c r="AX667" s="215"/>
      <c r="AY667" s="215"/>
    </row>
    <row r="668">
      <c r="A668" s="80"/>
      <c r="B668" s="80"/>
      <c r="C668" s="80"/>
      <c r="D668" s="80"/>
      <c r="E668" s="215"/>
      <c r="F668" s="215"/>
      <c r="G668" s="215"/>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c r="AD668" s="215"/>
      <c r="AE668" s="215"/>
      <c r="AF668" s="215"/>
      <c r="AG668" s="215"/>
      <c r="AH668" s="215"/>
      <c r="AI668" s="215"/>
      <c r="AJ668" s="215"/>
      <c r="AK668" s="215"/>
      <c r="AL668" s="215"/>
      <c r="AM668" s="215"/>
      <c r="AN668" s="215"/>
      <c r="AO668" s="215"/>
      <c r="AP668" s="215"/>
      <c r="AQ668" s="215"/>
      <c r="AR668" s="215"/>
      <c r="AS668" s="215"/>
      <c r="AT668" s="215"/>
      <c r="AU668" s="215"/>
      <c r="AV668" s="215"/>
      <c r="AW668" s="215"/>
      <c r="AX668" s="215"/>
      <c r="AY668" s="215"/>
    </row>
    <row r="669">
      <c r="A669" s="80"/>
      <c r="B669" s="80"/>
      <c r="C669" s="80"/>
      <c r="D669" s="80"/>
      <c r="E669" s="215"/>
      <c r="F669" s="215"/>
      <c r="G669" s="215"/>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c r="AD669" s="215"/>
      <c r="AE669" s="215"/>
      <c r="AF669" s="215"/>
      <c r="AG669" s="215"/>
      <c r="AH669" s="215"/>
      <c r="AI669" s="215"/>
      <c r="AJ669" s="215"/>
      <c r="AK669" s="215"/>
      <c r="AL669" s="215"/>
      <c r="AM669" s="215"/>
      <c r="AN669" s="215"/>
      <c r="AO669" s="215"/>
      <c r="AP669" s="215"/>
      <c r="AQ669" s="215"/>
      <c r="AR669" s="215"/>
      <c r="AS669" s="215"/>
      <c r="AT669" s="215"/>
      <c r="AU669" s="215"/>
      <c r="AV669" s="215"/>
      <c r="AW669" s="215"/>
      <c r="AX669" s="215"/>
      <c r="AY669" s="215"/>
    </row>
    <row r="670">
      <c r="A670" s="80"/>
      <c r="B670" s="80"/>
      <c r="C670" s="80"/>
      <c r="D670" s="80"/>
      <c r="E670" s="215"/>
      <c r="F670" s="215"/>
      <c r="G670" s="215"/>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c r="AD670" s="215"/>
      <c r="AE670" s="215"/>
      <c r="AF670" s="215"/>
      <c r="AG670" s="215"/>
      <c r="AH670" s="215"/>
      <c r="AI670" s="215"/>
      <c r="AJ670" s="215"/>
      <c r="AK670" s="215"/>
      <c r="AL670" s="215"/>
      <c r="AM670" s="215"/>
      <c r="AN670" s="215"/>
      <c r="AO670" s="215"/>
      <c r="AP670" s="215"/>
      <c r="AQ670" s="215"/>
      <c r="AR670" s="215"/>
      <c r="AS670" s="215"/>
      <c r="AT670" s="215"/>
      <c r="AU670" s="215"/>
      <c r="AV670" s="215"/>
      <c r="AW670" s="215"/>
      <c r="AX670" s="215"/>
      <c r="AY670" s="215"/>
    </row>
    <row r="671">
      <c r="A671" s="80"/>
      <c r="B671" s="80"/>
      <c r="C671" s="80"/>
      <c r="D671" s="80"/>
      <c r="E671" s="215"/>
      <c r="F671" s="215"/>
      <c r="G671" s="215"/>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c r="AD671" s="215"/>
      <c r="AE671" s="215"/>
      <c r="AF671" s="215"/>
      <c r="AG671" s="215"/>
      <c r="AH671" s="215"/>
      <c r="AI671" s="215"/>
      <c r="AJ671" s="215"/>
      <c r="AK671" s="215"/>
      <c r="AL671" s="215"/>
      <c r="AM671" s="215"/>
      <c r="AN671" s="215"/>
      <c r="AO671" s="215"/>
      <c r="AP671" s="215"/>
      <c r="AQ671" s="215"/>
      <c r="AR671" s="215"/>
      <c r="AS671" s="215"/>
      <c r="AT671" s="215"/>
      <c r="AU671" s="215"/>
      <c r="AV671" s="215"/>
      <c r="AW671" s="215"/>
      <c r="AX671" s="215"/>
      <c r="AY671" s="215"/>
    </row>
    <row r="672">
      <c r="A672" s="80"/>
      <c r="B672" s="80"/>
      <c r="C672" s="80"/>
      <c r="D672" s="80"/>
      <c r="E672" s="215"/>
      <c r="F672" s="215"/>
      <c r="G672" s="215"/>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c r="AD672" s="215"/>
      <c r="AE672" s="215"/>
      <c r="AF672" s="215"/>
      <c r="AG672" s="215"/>
      <c r="AH672" s="215"/>
      <c r="AI672" s="215"/>
      <c r="AJ672" s="215"/>
      <c r="AK672" s="215"/>
      <c r="AL672" s="215"/>
      <c r="AM672" s="215"/>
      <c r="AN672" s="215"/>
      <c r="AO672" s="215"/>
      <c r="AP672" s="215"/>
      <c r="AQ672" s="215"/>
      <c r="AR672" s="215"/>
      <c r="AS672" s="215"/>
      <c r="AT672" s="215"/>
      <c r="AU672" s="215"/>
      <c r="AV672" s="215"/>
      <c r="AW672" s="215"/>
      <c r="AX672" s="215"/>
      <c r="AY672" s="215"/>
    </row>
    <row r="673">
      <c r="A673" s="80"/>
      <c r="B673" s="80"/>
      <c r="C673" s="80"/>
      <c r="D673" s="80"/>
      <c r="E673" s="215"/>
      <c r="F673" s="215"/>
      <c r="G673" s="215"/>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c r="AD673" s="215"/>
      <c r="AE673" s="215"/>
      <c r="AF673" s="215"/>
      <c r="AG673" s="215"/>
      <c r="AH673" s="215"/>
      <c r="AI673" s="215"/>
      <c r="AJ673" s="215"/>
      <c r="AK673" s="215"/>
      <c r="AL673" s="215"/>
      <c r="AM673" s="215"/>
      <c r="AN673" s="215"/>
      <c r="AO673" s="215"/>
      <c r="AP673" s="215"/>
      <c r="AQ673" s="215"/>
      <c r="AR673" s="215"/>
      <c r="AS673" s="215"/>
      <c r="AT673" s="215"/>
      <c r="AU673" s="215"/>
      <c r="AV673" s="215"/>
      <c r="AW673" s="215"/>
      <c r="AX673" s="215"/>
      <c r="AY673" s="215"/>
    </row>
    <row r="674">
      <c r="A674" s="80"/>
      <c r="B674" s="80"/>
      <c r="C674" s="80"/>
      <c r="D674" s="80"/>
      <c r="E674" s="215"/>
      <c r="F674" s="215"/>
      <c r="G674" s="215"/>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c r="AD674" s="215"/>
      <c r="AE674" s="215"/>
      <c r="AF674" s="215"/>
      <c r="AG674" s="215"/>
      <c r="AH674" s="215"/>
      <c r="AI674" s="215"/>
      <c r="AJ674" s="215"/>
      <c r="AK674" s="215"/>
      <c r="AL674" s="215"/>
      <c r="AM674" s="215"/>
      <c r="AN674" s="215"/>
      <c r="AO674" s="215"/>
      <c r="AP674" s="215"/>
      <c r="AQ674" s="215"/>
      <c r="AR674" s="215"/>
      <c r="AS674" s="215"/>
      <c r="AT674" s="215"/>
      <c r="AU674" s="215"/>
      <c r="AV674" s="215"/>
      <c r="AW674" s="215"/>
      <c r="AX674" s="215"/>
      <c r="AY674" s="215"/>
    </row>
    <row r="675">
      <c r="A675" s="80"/>
      <c r="B675" s="80"/>
      <c r="C675" s="80"/>
      <c r="D675" s="80"/>
      <c r="E675" s="215"/>
      <c r="F675" s="215"/>
      <c r="G675" s="215"/>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c r="AD675" s="215"/>
      <c r="AE675" s="215"/>
      <c r="AF675" s="215"/>
      <c r="AG675" s="215"/>
      <c r="AH675" s="215"/>
      <c r="AI675" s="215"/>
      <c r="AJ675" s="215"/>
      <c r="AK675" s="215"/>
      <c r="AL675" s="215"/>
      <c r="AM675" s="215"/>
      <c r="AN675" s="215"/>
      <c r="AO675" s="215"/>
      <c r="AP675" s="215"/>
      <c r="AQ675" s="215"/>
      <c r="AR675" s="215"/>
      <c r="AS675" s="215"/>
      <c r="AT675" s="215"/>
      <c r="AU675" s="215"/>
      <c r="AV675" s="215"/>
      <c r="AW675" s="215"/>
      <c r="AX675" s="215"/>
      <c r="AY675" s="215"/>
    </row>
    <row r="676">
      <c r="A676" s="80"/>
      <c r="B676" s="80"/>
      <c r="C676" s="80"/>
      <c r="D676" s="80"/>
      <c r="E676" s="215"/>
      <c r="F676" s="215"/>
      <c r="G676" s="215"/>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c r="AD676" s="215"/>
      <c r="AE676" s="215"/>
      <c r="AF676" s="215"/>
      <c r="AG676" s="215"/>
      <c r="AH676" s="215"/>
      <c r="AI676" s="215"/>
      <c r="AJ676" s="215"/>
      <c r="AK676" s="215"/>
      <c r="AL676" s="215"/>
      <c r="AM676" s="215"/>
      <c r="AN676" s="215"/>
      <c r="AO676" s="215"/>
      <c r="AP676" s="215"/>
      <c r="AQ676" s="215"/>
      <c r="AR676" s="215"/>
      <c r="AS676" s="215"/>
      <c r="AT676" s="215"/>
      <c r="AU676" s="215"/>
      <c r="AV676" s="215"/>
      <c r="AW676" s="215"/>
      <c r="AX676" s="215"/>
      <c r="AY676" s="215"/>
    </row>
    <row r="677">
      <c r="A677" s="80"/>
      <c r="B677" s="80"/>
      <c r="C677" s="80"/>
      <c r="D677" s="80"/>
      <c r="E677" s="215"/>
      <c r="F677" s="215"/>
      <c r="G677" s="215"/>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c r="AD677" s="215"/>
      <c r="AE677" s="215"/>
      <c r="AF677" s="215"/>
      <c r="AG677" s="215"/>
      <c r="AH677" s="215"/>
      <c r="AI677" s="215"/>
      <c r="AJ677" s="215"/>
      <c r="AK677" s="215"/>
      <c r="AL677" s="215"/>
      <c r="AM677" s="215"/>
      <c r="AN677" s="215"/>
      <c r="AO677" s="215"/>
      <c r="AP677" s="215"/>
      <c r="AQ677" s="215"/>
      <c r="AR677" s="215"/>
      <c r="AS677" s="215"/>
      <c r="AT677" s="215"/>
      <c r="AU677" s="215"/>
      <c r="AV677" s="215"/>
      <c r="AW677" s="215"/>
      <c r="AX677" s="215"/>
      <c r="AY677" s="215"/>
    </row>
    <row r="678">
      <c r="A678" s="80"/>
      <c r="B678" s="80"/>
      <c r="C678" s="80"/>
      <c r="D678" s="80"/>
      <c r="E678" s="215"/>
      <c r="F678" s="215"/>
      <c r="G678" s="215"/>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c r="AD678" s="215"/>
      <c r="AE678" s="215"/>
      <c r="AF678" s="215"/>
      <c r="AG678" s="215"/>
      <c r="AH678" s="215"/>
      <c r="AI678" s="215"/>
      <c r="AJ678" s="215"/>
      <c r="AK678" s="215"/>
      <c r="AL678" s="215"/>
      <c r="AM678" s="215"/>
      <c r="AN678" s="215"/>
      <c r="AO678" s="215"/>
      <c r="AP678" s="215"/>
      <c r="AQ678" s="215"/>
      <c r="AR678" s="215"/>
      <c r="AS678" s="215"/>
      <c r="AT678" s="215"/>
      <c r="AU678" s="215"/>
      <c r="AV678" s="215"/>
      <c r="AW678" s="215"/>
      <c r="AX678" s="215"/>
      <c r="AY678" s="215"/>
    </row>
    <row r="679">
      <c r="A679" s="80"/>
      <c r="B679" s="80"/>
      <c r="C679" s="80"/>
      <c r="D679" s="80"/>
      <c r="E679" s="215"/>
      <c r="F679" s="215"/>
      <c r="G679" s="215"/>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c r="AD679" s="215"/>
      <c r="AE679" s="215"/>
      <c r="AF679" s="215"/>
      <c r="AG679" s="215"/>
      <c r="AH679" s="215"/>
      <c r="AI679" s="215"/>
      <c r="AJ679" s="215"/>
      <c r="AK679" s="215"/>
      <c r="AL679" s="215"/>
      <c r="AM679" s="215"/>
      <c r="AN679" s="215"/>
      <c r="AO679" s="215"/>
      <c r="AP679" s="215"/>
      <c r="AQ679" s="215"/>
      <c r="AR679" s="215"/>
      <c r="AS679" s="215"/>
      <c r="AT679" s="215"/>
      <c r="AU679" s="215"/>
      <c r="AV679" s="215"/>
      <c r="AW679" s="215"/>
      <c r="AX679" s="215"/>
      <c r="AY679" s="215"/>
    </row>
    <row r="680">
      <c r="A680" s="80"/>
      <c r="B680" s="80"/>
      <c r="C680" s="80"/>
      <c r="D680" s="80"/>
      <c r="E680" s="215"/>
      <c r="F680" s="215"/>
      <c r="G680" s="215"/>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c r="AD680" s="215"/>
      <c r="AE680" s="215"/>
      <c r="AF680" s="215"/>
      <c r="AG680" s="215"/>
      <c r="AH680" s="215"/>
      <c r="AI680" s="215"/>
      <c r="AJ680" s="215"/>
      <c r="AK680" s="215"/>
      <c r="AL680" s="215"/>
      <c r="AM680" s="215"/>
      <c r="AN680" s="215"/>
      <c r="AO680" s="215"/>
      <c r="AP680" s="215"/>
      <c r="AQ680" s="215"/>
      <c r="AR680" s="215"/>
      <c r="AS680" s="215"/>
      <c r="AT680" s="215"/>
      <c r="AU680" s="215"/>
      <c r="AV680" s="215"/>
      <c r="AW680" s="215"/>
      <c r="AX680" s="215"/>
      <c r="AY680" s="215"/>
    </row>
    <row r="681">
      <c r="A681" s="80"/>
      <c r="B681" s="80"/>
      <c r="C681" s="80"/>
      <c r="D681" s="80"/>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15"/>
      <c r="AH681" s="215"/>
      <c r="AI681" s="215"/>
      <c r="AJ681" s="215"/>
      <c r="AK681" s="215"/>
      <c r="AL681" s="215"/>
      <c r="AM681" s="215"/>
      <c r="AN681" s="215"/>
      <c r="AO681" s="215"/>
      <c r="AP681" s="215"/>
      <c r="AQ681" s="215"/>
      <c r="AR681" s="215"/>
      <c r="AS681" s="215"/>
      <c r="AT681" s="215"/>
      <c r="AU681" s="215"/>
      <c r="AV681" s="215"/>
      <c r="AW681" s="215"/>
      <c r="AX681" s="215"/>
      <c r="AY681" s="215"/>
    </row>
    <row r="682">
      <c r="A682" s="80"/>
      <c r="B682" s="80"/>
      <c r="C682" s="80"/>
      <c r="D682" s="80"/>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15"/>
      <c r="AH682" s="215"/>
      <c r="AI682" s="215"/>
      <c r="AJ682" s="215"/>
      <c r="AK682" s="215"/>
      <c r="AL682" s="215"/>
      <c r="AM682" s="215"/>
      <c r="AN682" s="215"/>
      <c r="AO682" s="215"/>
      <c r="AP682" s="215"/>
      <c r="AQ682" s="215"/>
      <c r="AR682" s="215"/>
      <c r="AS682" s="215"/>
      <c r="AT682" s="215"/>
      <c r="AU682" s="215"/>
      <c r="AV682" s="215"/>
      <c r="AW682" s="215"/>
      <c r="AX682" s="215"/>
      <c r="AY682" s="215"/>
    </row>
    <row r="683">
      <c r="A683" s="80"/>
      <c r="B683" s="80"/>
      <c r="C683" s="80"/>
      <c r="D683" s="80"/>
      <c r="E683" s="215"/>
      <c r="F683" s="215"/>
      <c r="G683" s="215"/>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c r="AD683" s="215"/>
      <c r="AE683" s="215"/>
      <c r="AF683" s="215"/>
      <c r="AG683" s="215"/>
      <c r="AH683" s="215"/>
      <c r="AI683" s="215"/>
      <c r="AJ683" s="215"/>
      <c r="AK683" s="215"/>
      <c r="AL683" s="215"/>
      <c r="AM683" s="215"/>
      <c r="AN683" s="215"/>
      <c r="AO683" s="215"/>
      <c r="AP683" s="215"/>
      <c r="AQ683" s="215"/>
      <c r="AR683" s="215"/>
      <c r="AS683" s="215"/>
      <c r="AT683" s="215"/>
      <c r="AU683" s="215"/>
      <c r="AV683" s="215"/>
      <c r="AW683" s="215"/>
      <c r="AX683" s="215"/>
      <c r="AY683" s="215"/>
    </row>
    <row r="684">
      <c r="A684" s="80"/>
      <c r="B684" s="80"/>
      <c r="C684" s="80"/>
      <c r="D684" s="80"/>
      <c r="E684" s="215"/>
      <c r="F684" s="215"/>
      <c r="G684" s="215"/>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c r="AD684" s="215"/>
      <c r="AE684" s="215"/>
      <c r="AF684" s="215"/>
      <c r="AG684" s="215"/>
      <c r="AH684" s="215"/>
      <c r="AI684" s="215"/>
      <c r="AJ684" s="215"/>
      <c r="AK684" s="215"/>
      <c r="AL684" s="215"/>
      <c r="AM684" s="215"/>
      <c r="AN684" s="215"/>
      <c r="AO684" s="215"/>
      <c r="AP684" s="215"/>
      <c r="AQ684" s="215"/>
      <c r="AR684" s="215"/>
      <c r="AS684" s="215"/>
      <c r="AT684" s="215"/>
      <c r="AU684" s="215"/>
      <c r="AV684" s="215"/>
      <c r="AW684" s="215"/>
      <c r="AX684" s="215"/>
      <c r="AY684" s="215"/>
    </row>
    <row r="685">
      <c r="A685" s="80"/>
      <c r="B685" s="80"/>
      <c r="C685" s="80"/>
      <c r="D685" s="80"/>
      <c r="E685" s="215"/>
      <c r="F685" s="215"/>
      <c r="G685" s="215"/>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c r="AD685" s="215"/>
      <c r="AE685" s="215"/>
      <c r="AF685" s="215"/>
      <c r="AG685" s="215"/>
      <c r="AH685" s="215"/>
      <c r="AI685" s="215"/>
      <c r="AJ685" s="215"/>
      <c r="AK685" s="215"/>
      <c r="AL685" s="215"/>
      <c r="AM685" s="215"/>
      <c r="AN685" s="215"/>
      <c r="AO685" s="215"/>
      <c r="AP685" s="215"/>
      <c r="AQ685" s="215"/>
      <c r="AR685" s="215"/>
      <c r="AS685" s="215"/>
      <c r="AT685" s="215"/>
      <c r="AU685" s="215"/>
      <c r="AV685" s="215"/>
      <c r="AW685" s="215"/>
      <c r="AX685" s="215"/>
      <c r="AY685" s="215"/>
    </row>
    <row r="686">
      <c r="A686" s="80"/>
      <c r="B686" s="80"/>
      <c r="C686" s="80"/>
      <c r="D686" s="80"/>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15"/>
      <c r="AH686" s="215"/>
      <c r="AI686" s="215"/>
      <c r="AJ686" s="215"/>
      <c r="AK686" s="215"/>
      <c r="AL686" s="215"/>
      <c r="AM686" s="215"/>
      <c r="AN686" s="215"/>
      <c r="AO686" s="215"/>
      <c r="AP686" s="215"/>
      <c r="AQ686" s="215"/>
      <c r="AR686" s="215"/>
      <c r="AS686" s="215"/>
      <c r="AT686" s="215"/>
      <c r="AU686" s="215"/>
      <c r="AV686" s="215"/>
      <c r="AW686" s="215"/>
      <c r="AX686" s="215"/>
      <c r="AY686" s="215"/>
    </row>
    <row r="687">
      <c r="A687" s="80"/>
      <c r="B687" s="80"/>
      <c r="C687" s="80"/>
      <c r="D687" s="80"/>
      <c r="E687" s="215"/>
      <c r="F687" s="215"/>
      <c r="G687" s="215"/>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c r="AD687" s="215"/>
      <c r="AE687" s="215"/>
      <c r="AF687" s="215"/>
      <c r="AG687" s="215"/>
      <c r="AH687" s="215"/>
      <c r="AI687" s="215"/>
      <c r="AJ687" s="215"/>
      <c r="AK687" s="215"/>
      <c r="AL687" s="215"/>
      <c r="AM687" s="215"/>
      <c r="AN687" s="215"/>
      <c r="AO687" s="215"/>
      <c r="AP687" s="215"/>
      <c r="AQ687" s="215"/>
      <c r="AR687" s="215"/>
      <c r="AS687" s="215"/>
      <c r="AT687" s="215"/>
      <c r="AU687" s="215"/>
      <c r="AV687" s="215"/>
      <c r="AW687" s="215"/>
      <c r="AX687" s="215"/>
      <c r="AY687" s="215"/>
    </row>
    <row r="688">
      <c r="A688" s="80"/>
      <c r="B688" s="80"/>
      <c r="C688" s="80"/>
      <c r="D688" s="80"/>
      <c r="E688" s="215"/>
      <c r="F688" s="215"/>
      <c r="G688" s="215"/>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c r="AD688" s="215"/>
      <c r="AE688" s="215"/>
      <c r="AF688" s="215"/>
      <c r="AG688" s="215"/>
      <c r="AH688" s="215"/>
      <c r="AI688" s="215"/>
      <c r="AJ688" s="215"/>
      <c r="AK688" s="215"/>
      <c r="AL688" s="215"/>
      <c r="AM688" s="215"/>
      <c r="AN688" s="215"/>
      <c r="AO688" s="215"/>
      <c r="AP688" s="215"/>
      <c r="AQ688" s="215"/>
      <c r="AR688" s="215"/>
      <c r="AS688" s="215"/>
      <c r="AT688" s="215"/>
      <c r="AU688" s="215"/>
      <c r="AV688" s="215"/>
      <c r="AW688" s="215"/>
      <c r="AX688" s="215"/>
      <c r="AY688" s="215"/>
    </row>
    <row r="689">
      <c r="A689" s="80"/>
      <c r="B689" s="80"/>
      <c r="C689" s="80"/>
      <c r="D689" s="80"/>
      <c r="E689" s="215"/>
      <c r="F689" s="215"/>
      <c r="G689" s="215"/>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c r="AD689" s="215"/>
      <c r="AE689" s="215"/>
      <c r="AF689" s="215"/>
      <c r="AG689" s="215"/>
      <c r="AH689" s="215"/>
      <c r="AI689" s="215"/>
      <c r="AJ689" s="215"/>
      <c r="AK689" s="215"/>
      <c r="AL689" s="215"/>
      <c r="AM689" s="215"/>
      <c r="AN689" s="215"/>
      <c r="AO689" s="215"/>
      <c r="AP689" s="215"/>
      <c r="AQ689" s="215"/>
      <c r="AR689" s="215"/>
      <c r="AS689" s="215"/>
      <c r="AT689" s="215"/>
      <c r="AU689" s="215"/>
      <c r="AV689" s="215"/>
      <c r="AW689" s="215"/>
      <c r="AX689" s="215"/>
      <c r="AY689" s="215"/>
    </row>
    <row r="690">
      <c r="A690" s="80"/>
      <c r="B690" s="80"/>
      <c r="C690" s="80"/>
      <c r="D690" s="80"/>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15"/>
      <c r="AH690" s="215"/>
      <c r="AI690" s="215"/>
      <c r="AJ690" s="215"/>
      <c r="AK690" s="215"/>
      <c r="AL690" s="215"/>
      <c r="AM690" s="215"/>
      <c r="AN690" s="215"/>
      <c r="AO690" s="215"/>
      <c r="AP690" s="215"/>
      <c r="AQ690" s="215"/>
      <c r="AR690" s="215"/>
      <c r="AS690" s="215"/>
      <c r="AT690" s="215"/>
      <c r="AU690" s="215"/>
      <c r="AV690" s="215"/>
      <c r="AW690" s="215"/>
      <c r="AX690" s="215"/>
      <c r="AY690" s="215"/>
    </row>
    <row r="691">
      <c r="A691" s="80"/>
      <c r="B691" s="80"/>
      <c r="C691" s="80"/>
      <c r="D691" s="80"/>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15"/>
      <c r="AH691" s="215"/>
      <c r="AI691" s="215"/>
      <c r="AJ691" s="215"/>
      <c r="AK691" s="215"/>
      <c r="AL691" s="215"/>
      <c r="AM691" s="215"/>
      <c r="AN691" s="215"/>
      <c r="AO691" s="215"/>
      <c r="AP691" s="215"/>
      <c r="AQ691" s="215"/>
      <c r="AR691" s="215"/>
      <c r="AS691" s="215"/>
      <c r="AT691" s="215"/>
      <c r="AU691" s="215"/>
      <c r="AV691" s="215"/>
      <c r="AW691" s="215"/>
      <c r="AX691" s="215"/>
      <c r="AY691" s="215"/>
    </row>
    <row r="692">
      <c r="A692" s="80"/>
      <c r="B692" s="80"/>
      <c r="C692" s="80"/>
      <c r="D692" s="80"/>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15"/>
      <c r="AH692" s="215"/>
      <c r="AI692" s="215"/>
      <c r="AJ692" s="215"/>
      <c r="AK692" s="215"/>
      <c r="AL692" s="215"/>
      <c r="AM692" s="215"/>
      <c r="AN692" s="215"/>
      <c r="AO692" s="215"/>
      <c r="AP692" s="215"/>
      <c r="AQ692" s="215"/>
      <c r="AR692" s="215"/>
      <c r="AS692" s="215"/>
      <c r="AT692" s="215"/>
      <c r="AU692" s="215"/>
      <c r="AV692" s="215"/>
      <c r="AW692" s="215"/>
      <c r="AX692" s="215"/>
      <c r="AY692" s="215"/>
    </row>
    <row r="693">
      <c r="A693" s="80"/>
      <c r="B693" s="80"/>
      <c r="C693" s="80"/>
      <c r="D693" s="80"/>
      <c r="E693" s="215"/>
      <c r="F693" s="215"/>
      <c r="G693" s="215"/>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c r="AD693" s="215"/>
      <c r="AE693" s="215"/>
      <c r="AF693" s="215"/>
      <c r="AG693" s="215"/>
      <c r="AH693" s="215"/>
      <c r="AI693" s="215"/>
      <c r="AJ693" s="215"/>
      <c r="AK693" s="215"/>
      <c r="AL693" s="215"/>
      <c r="AM693" s="215"/>
      <c r="AN693" s="215"/>
      <c r="AO693" s="215"/>
      <c r="AP693" s="215"/>
      <c r="AQ693" s="215"/>
      <c r="AR693" s="215"/>
      <c r="AS693" s="215"/>
      <c r="AT693" s="215"/>
      <c r="AU693" s="215"/>
      <c r="AV693" s="215"/>
      <c r="AW693" s="215"/>
      <c r="AX693" s="215"/>
      <c r="AY693" s="215"/>
    </row>
    <row r="694">
      <c r="A694" s="80"/>
      <c r="B694" s="80"/>
      <c r="C694" s="80"/>
      <c r="D694" s="80"/>
      <c r="E694" s="215"/>
      <c r="F694" s="215"/>
      <c r="G694" s="215"/>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c r="AD694" s="215"/>
      <c r="AE694" s="215"/>
      <c r="AF694" s="215"/>
      <c r="AG694" s="215"/>
      <c r="AH694" s="215"/>
      <c r="AI694" s="215"/>
      <c r="AJ694" s="215"/>
      <c r="AK694" s="215"/>
      <c r="AL694" s="215"/>
      <c r="AM694" s="215"/>
      <c r="AN694" s="215"/>
      <c r="AO694" s="215"/>
      <c r="AP694" s="215"/>
      <c r="AQ694" s="215"/>
      <c r="AR694" s="215"/>
      <c r="AS694" s="215"/>
      <c r="AT694" s="215"/>
      <c r="AU694" s="215"/>
      <c r="AV694" s="215"/>
      <c r="AW694" s="215"/>
      <c r="AX694" s="215"/>
      <c r="AY694" s="215"/>
    </row>
    <row r="695">
      <c r="A695" s="80"/>
      <c r="B695" s="80"/>
      <c r="C695" s="80"/>
      <c r="D695" s="80"/>
      <c r="E695" s="215"/>
      <c r="F695" s="215"/>
      <c r="G695" s="215"/>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c r="AD695" s="215"/>
      <c r="AE695" s="215"/>
      <c r="AF695" s="215"/>
      <c r="AG695" s="215"/>
      <c r="AH695" s="215"/>
      <c r="AI695" s="215"/>
      <c r="AJ695" s="215"/>
      <c r="AK695" s="215"/>
      <c r="AL695" s="215"/>
      <c r="AM695" s="215"/>
      <c r="AN695" s="215"/>
      <c r="AO695" s="215"/>
      <c r="AP695" s="215"/>
      <c r="AQ695" s="215"/>
      <c r="AR695" s="215"/>
      <c r="AS695" s="215"/>
      <c r="AT695" s="215"/>
      <c r="AU695" s="215"/>
      <c r="AV695" s="215"/>
      <c r="AW695" s="215"/>
      <c r="AX695" s="215"/>
      <c r="AY695" s="215"/>
    </row>
    <row r="696">
      <c r="A696" s="80"/>
      <c r="B696" s="80"/>
      <c r="C696" s="80"/>
      <c r="D696" s="80"/>
      <c r="E696" s="215"/>
      <c r="F696" s="215"/>
      <c r="G696" s="215"/>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c r="AD696" s="215"/>
      <c r="AE696" s="215"/>
      <c r="AF696" s="215"/>
      <c r="AG696" s="215"/>
      <c r="AH696" s="215"/>
      <c r="AI696" s="215"/>
      <c r="AJ696" s="215"/>
      <c r="AK696" s="215"/>
      <c r="AL696" s="215"/>
      <c r="AM696" s="215"/>
      <c r="AN696" s="215"/>
      <c r="AO696" s="215"/>
      <c r="AP696" s="215"/>
      <c r="AQ696" s="215"/>
      <c r="AR696" s="215"/>
      <c r="AS696" s="215"/>
      <c r="AT696" s="215"/>
      <c r="AU696" s="215"/>
      <c r="AV696" s="215"/>
      <c r="AW696" s="215"/>
      <c r="AX696" s="215"/>
      <c r="AY696" s="215"/>
    </row>
    <row r="697">
      <c r="A697" s="80"/>
      <c r="B697" s="80"/>
      <c r="C697" s="80"/>
      <c r="D697" s="80"/>
      <c r="E697" s="215"/>
      <c r="F697" s="215"/>
      <c r="G697" s="215"/>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c r="AD697" s="215"/>
      <c r="AE697" s="215"/>
      <c r="AF697" s="215"/>
      <c r="AG697" s="215"/>
      <c r="AH697" s="215"/>
      <c r="AI697" s="215"/>
      <c r="AJ697" s="215"/>
      <c r="AK697" s="215"/>
      <c r="AL697" s="215"/>
      <c r="AM697" s="215"/>
      <c r="AN697" s="215"/>
      <c r="AO697" s="215"/>
      <c r="AP697" s="215"/>
      <c r="AQ697" s="215"/>
      <c r="AR697" s="215"/>
      <c r="AS697" s="215"/>
      <c r="AT697" s="215"/>
      <c r="AU697" s="215"/>
      <c r="AV697" s="215"/>
      <c r="AW697" s="215"/>
      <c r="AX697" s="215"/>
      <c r="AY697" s="215"/>
    </row>
    <row r="698">
      <c r="A698" s="80"/>
      <c r="B698" s="80"/>
      <c r="C698" s="80"/>
      <c r="D698" s="80"/>
      <c r="E698" s="215"/>
      <c r="F698" s="215"/>
      <c r="G698" s="215"/>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c r="AD698" s="215"/>
      <c r="AE698" s="215"/>
      <c r="AF698" s="215"/>
      <c r="AG698" s="215"/>
      <c r="AH698" s="215"/>
      <c r="AI698" s="215"/>
      <c r="AJ698" s="215"/>
      <c r="AK698" s="215"/>
      <c r="AL698" s="215"/>
      <c r="AM698" s="215"/>
      <c r="AN698" s="215"/>
      <c r="AO698" s="215"/>
      <c r="AP698" s="215"/>
      <c r="AQ698" s="215"/>
      <c r="AR698" s="215"/>
      <c r="AS698" s="215"/>
      <c r="AT698" s="215"/>
      <c r="AU698" s="215"/>
      <c r="AV698" s="215"/>
      <c r="AW698" s="215"/>
      <c r="AX698" s="215"/>
      <c r="AY698" s="215"/>
    </row>
    <row r="699">
      <c r="A699" s="80"/>
      <c r="B699" s="80"/>
      <c r="C699" s="80"/>
      <c r="D699" s="80"/>
      <c r="E699" s="215"/>
      <c r="F699" s="215"/>
      <c r="G699" s="215"/>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c r="AD699" s="215"/>
      <c r="AE699" s="215"/>
      <c r="AF699" s="215"/>
      <c r="AG699" s="215"/>
      <c r="AH699" s="215"/>
      <c r="AI699" s="215"/>
      <c r="AJ699" s="215"/>
      <c r="AK699" s="215"/>
      <c r="AL699" s="215"/>
      <c r="AM699" s="215"/>
      <c r="AN699" s="215"/>
      <c r="AO699" s="215"/>
      <c r="AP699" s="215"/>
      <c r="AQ699" s="215"/>
      <c r="AR699" s="215"/>
      <c r="AS699" s="215"/>
      <c r="AT699" s="215"/>
      <c r="AU699" s="215"/>
      <c r="AV699" s="215"/>
      <c r="AW699" s="215"/>
      <c r="AX699" s="215"/>
      <c r="AY699" s="215"/>
    </row>
    <row r="700">
      <c r="A700" s="80"/>
      <c r="B700" s="80"/>
      <c r="C700" s="80"/>
      <c r="D700" s="80"/>
      <c r="E700" s="215"/>
      <c r="F700" s="215"/>
      <c r="G700" s="215"/>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c r="AD700" s="215"/>
      <c r="AE700" s="215"/>
      <c r="AF700" s="215"/>
      <c r="AG700" s="215"/>
      <c r="AH700" s="215"/>
      <c r="AI700" s="215"/>
      <c r="AJ700" s="215"/>
      <c r="AK700" s="215"/>
      <c r="AL700" s="215"/>
      <c r="AM700" s="215"/>
      <c r="AN700" s="215"/>
      <c r="AO700" s="215"/>
      <c r="AP700" s="215"/>
      <c r="AQ700" s="215"/>
      <c r="AR700" s="215"/>
      <c r="AS700" s="215"/>
      <c r="AT700" s="215"/>
      <c r="AU700" s="215"/>
      <c r="AV700" s="215"/>
      <c r="AW700" s="215"/>
      <c r="AX700" s="215"/>
      <c r="AY700" s="215"/>
    </row>
    <row r="701">
      <c r="A701" s="80"/>
      <c r="B701" s="80"/>
      <c r="C701" s="80"/>
      <c r="D701" s="80"/>
      <c r="E701" s="215"/>
      <c r="F701" s="215"/>
      <c r="G701" s="215"/>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c r="AD701" s="215"/>
      <c r="AE701" s="215"/>
      <c r="AF701" s="215"/>
      <c r="AG701" s="215"/>
      <c r="AH701" s="215"/>
      <c r="AI701" s="215"/>
      <c r="AJ701" s="215"/>
      <c r="AK701" s="215"/>
      <c r="AL701" s="215"/>
      <c r="AM701" s="215"/>
      <c r="AN701" s="215"/>
      <c r="AO701" s="215"/>
      <c r="AP701" s="215"/>
      <c r="AQ701" s="215"/>
      <c r="AR701" s="215"/>
      <c r="AS701" s="215"/>
      <c r="AT701" s="215"/>
      <c r="AU701" s="215"/>
      <c r="AV701" s="215"/>
      <c r="AW701" s="215"/>
      <c r="AX701" s="215"/>
      <c r="AY701" s="215"/>
    </row>
    <row r="702">
      <c r="A702" s="80"/>
      <c r="B702" s="80"/>
      <c r="C702" s="80"/>
      <c r="D702" s="80"/>
      <c r="E702" s="215"/>
      <c r="F702" s="215"/>
      <c r="G702" s="215"/>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c r="AD702" s="215"/>
      <c r="AE702" s="215"/>
      <c r="AF702" s="215"/>
      <c r="AG702" s="215"/>
      <c r="AH702" s="215"/>
      <c r="AI702" s="215"/>
      <c r="AJ702" s="215"/>
      <c r="AK702" s="215"/>
      <c r="AL702" s="215"/>
      <c r="AM702" s="215"/>
      <c r="AN702" s="215"/>
      <c r="AO702" s="215"/>
      <c r="AP702" s="215"/>
      <c r="AQ702" s="215"/>
      <c r="AR702" s="215"/>
      <c r="AS702" s="215"/>
      <c r="AT702" s="215"/>
      <c r="AU702" s="215"/>
      <c r="AV702" s="215"/>
      <c r="AW702" s="215"/>
      <c r="AX702" s="215"/>
      <c r="AY702" s="215"/>
    </row>
    <row r="703">
      <c r="A703" s="80"/>
      <c r="B703" s="80"/>
      <c r="C703" s="80"/>
      <c r="D703" s="80"/>
      <c r="E703" s="215"/>
      <c r="F703" s="215"/>
      <c r="G703" s="215"/>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c r="AD703" s="215"/>
      <c r="AE703" s="215"/>
      <c r="AF703" s="215"/>
      <c r="AG703" s="215"/>
      <c r="AH703" s="215"/>
      <c r="AI703" s="215"/>
      <c r="AJ703" s="215"/>
      <c r="AK703" s="215"/>
      <c r="AL703" s="215"/>
      <c r="AM703" s="215"/>
      <c r="AN703" s="215"/>
      <c r="AO703" s="215"/>
      <c r="AP703" s="215"/>
      <c r="AQ703" s="215"/>
      <c r="AR703" s="215"/>
      <c r="AS703" s="215"/>
      <c r="AT703" s="215"/>
      <c r="AU703" s="215"/>
      <c r="AV703" s="215"/>
      <c r="AW703" s="215"/>
      <c r="AX703" s="215"/>
      <c r="AY703" s="215"/>
    </row>
    <row r="704">
      <c r="A704" s="80"/>
      <c r="B704" s="80"/>
      <c r="C704" s="80"/>
      <c r="D704" s="80"/>
      <c r="E704" s="215"/>
      <c r="F704" s="215"/>
      <c r="G704" s="215"/>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c r="AD704" s="215"/>
      <c r="AE704" s="215"/>
      <c r="AF704" s="215"/>
      <c r="AG704" s="215"/>
      <c r="AH704" s="215"/>
      <c r="AI704" s="215"/>
      <c r="AJ704" s="215"/>
      <c r="AK704" s="215"/>
      <c r="AL704" s="215"/>
      <c r="AM704" s="215"/>
      <c r="AN704" s="215"/>
      <c r="AO704" s="215"/>
      <c r="AP704" s="215"/>
      <c r="AQ704" s="215"/>
      <c r="AR704" s="215"/>
      <c r="AS704" s="215"/>
      <c r="AT704" s="215"/>
      <c r="AU704" s="215"/>
      <c r="AV704" s="215"/>
      <c r="AW704" s="215"/>
      <c r="AX704" s="215"/>
      <c r="AY704" s="215"/>
    </row>
    <row r="705">
      <c r="A705" s="80"/>
      <c r="B705" s="80"/>
      <c r="C705" s="80"/>
      <c r="D705" s="80"/>
      <c r="E705" s="215"/>
      <c r="F705" s="215"/>
      <c r="G705" s="215"/>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c r="AD705" s="215"/>
      <c r="AE705" s="215"/>
      <c r="AF705" s="215"/>
      <c r="AG705" s="215"/>
      <c r="AH705" s="215"/>
      <c r="AI705" s="215"/>
      <c r="AJ705" s="215"/>
      <c r="AK705" s="215"/>
      <c r="AL705" s="215"/>
      <c r="AM705" s="215"/>
      <c r="AN705" s="215"/>
      <c r="AO705" s="215"/>
      <c r="AP705" s="215"/>
      <c r="AQ705" s="215"/>
      <c r="AR705" s="215"/>
      <c r="AS705" s="215"/>
      <c r="AT705" s="215"/>
      <c r="AU705" s="215"/>
      <c r="AV705" s="215"/>
      <c r="AW705" s="215"/>
      <c r="AX705" s="215"/>
      <c r="AY705" s="215"/>
    </row>
    <row r="706">
      <c r="A706" s="80"/>
      <c r="B706" s="80"/>
      <c r="C706" s="80"/>
      <c r="D706" s="80"/>
      <c r="E706" s="215"/>
      <c r="F706" s="215"/>
      <c r="G706" s="215"/>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c r="AD706" s="215"/>
      <c r="AE706" s="215"/>
      <c r="AF706" s="215"/>
      <c r="AG706" s="215"/>
      <c r="AH706" s="215"/>
      <c r="AI706" s="215"/>
      <c r="AJ706" s="215"/>
      <c r="AK706" s="215"/>
      <c r="AL706" s="215"/>
      <c r="AM706" s="215"/>
      <c r="AN706" s="215"/>
      <c r="AO706" s="215"/>
      <c r="AP706" s="215"/>
      <c r="AQ706" s="215"/>
      <c r="AR706" s="215"/>
      <c r="AS706" s="215"/>
      <c r="AT706" s="215"/>
      <c r="AU706" s="215"/>
      <c r="AV706" s="215"/>
      <c r="AW706" s="215"/>
      <c r="AX706" s="215"/>
      <c r="AY706" s="215"/>
    </row>
    <row r="707">
      <c r="A707" s="80"/>
      <c r="B707" s="80"/>
      <c r="C707" s="80"/>
      <c r="D707" s="80"/>
      <c r="E707" s="215"/>
      <c r="F707" s="215"/>
      <c r="G707" s="215"/>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c r="AD707" s="215"/>
      <c r="AE707" s="215"/>
      <c r="AF707" s="215"/>
      <c r="AG707" s="215"/>
      <c r="AH707" s="215"/>
      <c r="AI707" s="215"/>
      <c r="AJ707" s="215"/>
      <c r="AK707" s="215"/>
      <c r="AL707" s="215"/>
      <c r="AM707" s="215"/>
      <c r="AN707" s="215"/>
      <c r="AO707" s="215"/>
      <c r="AP707" s="215"/>
      <c r="AQ707" s="215"/>
      <c r="AR707" s="215"/>
      <c r="AS707" s="215"/>
      <c r="AT707" s="215"/>
      <c r="AU707" s="215"/>
      <c r="AV707" s="215"/>
      <c r="AW707" s="215"/>
      <c r="AX707" s="215"/>
      <c r="AY707" s="215"/>
    </row>
    <row r="708">
      <c r="A708" s="80"/>
      <c r="B708" s="80"/>
      <c r="C708" s="80"/>
      <c r="D708" s="80"/>
      <c r="E708" s="215"/>
      <c r="F708" s="215"/>
      <c r="G708" s="215"/>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c r="AD708" s="215"/>
      <c r="AE708" s="215"/>
      <c r="AF708" s="215"/>
      <c r="AG708" s="215"/>
      <c r="AH708" s="215"/>
      <c r="AI708" s="215"/>
      <c r="AJ708" s="215"/>
      <c r="AK708" s="215"/>
      <c r="AL708" s="215"/>
      <c r="AM708" s="215"/>
      <c r="AN708" s="215"/>
      <c r="AO708" s="215"/>
      <c r="AP708" s="215"/>
      <c r="AQ708" s="215"/>
      <c r="AR708" s="215"/>
      <c r="AS708" s="215"/>
      <c r="AT708" s="215"/>
      <c r="AU708" s="215"/>
      <c r="AV708" s="215"/>
      <c r="AW708" s="215"/>
      <c r="AX708" s="215"/>
      <c r="AY708" s="215"/>
    </row>
    <row r="709">
      <c r="A709" s="80"/>
      <c r="B709" s="80"/>
      <c r="C709" s="80"/>
      <c r="D709" s="80"/>
      <c r="E709" s="215"/>
      <c r="F709" s="215"/>
      <c r="G709" s="215"/>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c r="AD709" s="215"/>
      <c r="AE709" s="215"/>
      <c r="AF709" s="215"/>
      <c r="AG709" s="215"/>
      <c r="AH709" s="215"/>
      <c r="AI709" s="215"/>
      <c r="AJ709" s="215"/>
      <c r="AK709" s="215"/>
      <c r="AL709" s="215"/>
      <c r="AM709" s="215"/>
      <c r="AN709" s="215"/>
      <c r="AO709" s="215"/>
      <c r="AP709" s="215"/>
      <c r="AQ709" s="215"/>
      <c r="AR709" s="215"/>
      <c r="AS709" s="215"/>
      <c r="AT709" s="215"/>
      <c r="AU709" s="215"/>
      <c r="AV709" s="215"/>
      <c r="AW709" s="215"/>
      <c r="AX709" s="215"/>
      <c r="AY709" s="215"/>
    </row>
    <row r="710">
      <c r="A710" s="80"/>
      <c r="B710" s="80"/>
      <c r="C710" s="80"/>
      <c r="D710" s="80"/>
      <c r="E710" s="215"/>
      <c r="F710" s="215"/>
      <c r="G710" s="215"/>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c r="AD710" s="215"/>
      <c r="AE710" s="215"/>
      <c r="AF710" s="215"/>
      <c r="AG710" s="215"/>
      <c r="AH710" s="215"/>
      <c r="AI710" s="215"/>
      <c r="AJ710" s="215"/>
      <c r="AK710" s="215"/>
      <c r="AL710" s="215"/>
      <c r="AM710" s="215"/>
      <c r="AN710" s="215"/>
      <c r="AO710" s="215"/>
      <c r="AP710" s="215"/>
      <c r="AQ710" s="215"/>
      <c r="AR710" s="215"/>
      <c r="AS710" s="215"/>
      <c r="AT710" s="215"/>
      <c r="AU710" s="215"/>
      <c r="AV710" s="215"/>
      <c r="AW710" s="215"/>
      <c r="AX710" s="215"/>
      <c r="AY710" s="215"/>
    </row>
    <row r="711">
      <c r="A711" s="80"/>
      <c r="B711" s="80"/>
      <c r="C711" s="80"/>
      <c r="D711" s="80"/>
      <c r="E711" s="215"/>
      <c r="F711" s="215"/>
      <c r="G711" s="215"/>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c r="AD711" s="215"/>
      <c r="AE711" s="215"/>
      <c r="AF711" s="215"/>
      <c r="AG711" s="215"/>
      <c r="AH711" s="215"/>
      <c r="AI711" s="215"/>
      <c r="AJ711" s="215"/>
      <c r="AK711" s="215"/>
      <c r="AL711" s="215"/>
      <c r="AM711" s="215"/>
      <c r="AN711" s="215"/>
      <c r="AO711" s="215"/>
      <c r="AP711" s="215"/>
      <c r="AQ711" s="215"/>
      <c r="AR711" s="215"/>
      <c r="AS711" s="215"/>
      <c r="AT711" s="215"/>
      <c r="AU711" s="215"/>
      <c r="AV711" s="215"/>
      <c r="AW711" s="215"/>
      <c r="AX711" s="215"/>
      <c r="AY711" s="215"/>
    </row>
    <row r="712">
      <c r="A712" s="80"/>
      <c r="B712" s="80"/>
      <c r="C712" s="80"/>
      <c r="D712" s="80"/>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c r="AI712" s="215"/>
      <c r="AJ712" s="215"/>
      <c r="AK712" s="215"/>
      <c r="AL712" s="215"/>
      <c r="AM712" s="215"/>
      <c r="AN712" s="215"/>
      <c r="AO712" s="215"/>
      <c r="AP712" s="215"/>
      <c r="AQ712" s="215"/>
      <c r="AR712" s="215"/>
      <c r="AS712" s="215"/>
      <c r="AT712" s="215"/>
      <c r="AU712" s="215"/>
      <c r="AV712" s="215"/>
      <c r="AW712" s="215"/>
      <c r="AX712" s="215"/>
      <c r="AY712" s="215"/>
    </row>
    <row r="713">
      <c r="A713" s="80"/>
      <c r="B713" s="80"/>
      <c r="C713" s="80"/>
      <c r="D713" s="80"/>
      <c r="E713" s="215"/>
      <c r="F713" s="215"/>
      <c r="G713" s="215"/>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c r="AD713" s="215"/>
      <c r="AE713" s="215"/>
      <c r="AF713" s="215"/>
      <c r="AG713" s="215"/>
      <c r="AH713" s="215"/>
      <c r="AI713" s="215"/>
      <c r="AJ713" s="215"/>
      <c r="AK713" s="215"/>
      <c r="AL713" s="215"/>
      <c r="AM713" s="215"/>
      <c r="AN713" s="215"/>
      <c r="AO713" s="215"/>
      <c r="AP713" s="215"/>
      <c r="AQ713" s="215"/>
      <c r="AR713" s="215"/>
      <c r="AS713" s="215"/>
      <c r="AT713" s="215"/>
      <c r="AU713" s="215"/>
      <c r="AV713" s="215"/>
      <c r="AW713" s="215"/>
      <c r="AX713" s="215"/>
      <c r="AY713" s="215"/>
    </row>
    <row r="714">
      <c r="A714" s="80"/>
      <c r="B714" s="80"/>
      <c r="C714" s="80"/>
      <c r="D714" s="80"/>
      <c r="E714" s="215"/>
      <c r="F714" s="215"/>
      <c r="G714" s="215"/>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c r="AD714" s="215"/>
      <c r="AE714" s="215"/>
      <c r="AF714" s="215"/>
      <c r="AG714" s="215"/>
      <c r="AH714" s="215"/>
      <c r="AI714" s="215"/>
      <c r="AJ714" s="215"/>
      <c r="AK714" s="215"/>
      <c r="AL714" s="215"/>
      <c r="AM714" s="215"/>
      <c r="AN714" s="215"/>
      <c r="AO714" s="215"/>
      <c r="AP714" s="215"/>
      <c r="AQ714" s="215"/>
      <c r="AR714" s="215"/>
      <c r="AS714" s="215"/>
      <c r="AT714" s="215"/>
      <c r="AU714" s="215"/>
      <c r="AV714" s="215"/>
      <c r="AW714" s="215"/>
      <c r="AX714" s="215"/>
      <c r="AY714" s="215"/>
    </row>
    <row r="715">
      <c r="A715" s="80"/>
      <c r="B715" s="80"/>
      <c r="C715" s="80"/>
      <c r="D715" s="80"/>
      <c r="E715" s="215"/>
      <c r="F715" s="215"/>
      <c r="G715" s="215"/>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c r="AD715" s="215"/>
      <c r="AE715" s="215"/>
      <c r="AF715" s="215"/>
      <c r="AG715" s="215"/>
      <c r="AH715" s="215"/>
      <c r="AI715" s="215"/>
      <c r="AJ715" s="215"/>
      <c r="AK715" s="215"/>
      <c r="AL715" s="215"/>
      <c r="AM715" s="215"/>
      <c r="AN715" s="215"/>
      <c r="AO715" s="215"/>
      <c r="AP715" s="215"/>
      <c r="AQ715" s="215"/>
      <c r="AR715" s="215"/>
      <c r="AS715" s="215"/>
      <c r="AT715" s="215"/>
      <c r="AU715" s="215"/>
      <c r="AV715" s="215"/>
      <c r="AW715" s="215"/>
      <c r="AX715" s="215"/>
      <c r="AY715" s="215"/>
    </row>
    <row r="716">
      <c r="A716" s="80"/>
      <c r="B716" s="80"/>
      <c r="C716" s="80"/>
      <c r="D716" s="80"/>
      <c r="E716" s="215"/>
      <c r="F716" s="215"/>
      <c r="G716" s="215"/>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c r="AD716" s="215"/>
      <c r="AE716" s="215"/>
      <c r="AF716" s="215"/>
      <c r="AG716" s="215"/>
      <c r="AH716" s="215"/>
      <c r="AI716" s="215"/>
      <c r="AJ716" s="215"/>
      <c r="AK716" s="215"/>
      <c r="AL716" s="215"/>
      <c r="AM716" s="215"/>
      <c r="AN716" s="215"/>
      <c r="AO716" s="215"/>
      <c r="AP716" s="215"/>
      <c r="AQ716" s="215"/>
      <c r="AR716" s="215"/>
      <c r="AS716" s="215"/>
      <c r="AT716" s="215"/>
      <c r="AU716" s="215"/>
      <c r="AV716" s="215"/>
      <c r="AW716" s="215"/>
      <c r="AX716" s="215"/>
      <c r="AY716" s="215"/>
    </row>
    <row r="717">
      <c r="A717" s="80"/>
      <c r="B717" s="80"/>
      <c r="C717" s="80"/>
      <c r="D717" s="80"/>
      <c r="E717" s="215"/>
      <c r="F717" s="215"/>
      <c r="G717" s="215"/>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c r="AD717" s="215"/>
      <c r="AE717" s="215"/>
      <c r="AF717" s="215"/>
      <c r="AG717" s="215"/>
      <c r="AH717" s="215"/>
      <c r="AI717" s="215"/>
      <c r="AJ717" s="215"/>
      <c r="AK717" s="215"/>
      <c r="AL717" s="215"/>
      <c r="AM717" s="215"/>
      <c r="AN717" s="215"/>
      <c r="AO717" s="215"/>
      <c r="AP717" s="215"/>
      <c r="AQ717" s="215"/>
      <c r="AR717" s="215"/>
      <c r="AS717" s="215"/>
      <c r="AT717" s="215"/>
      <c r="AU717" s="215"/>
      <c r="AV717" s="215"/>
      <c r="AW717" s="215"/>
      <c r="AX717" s="215"/>
      <c r="AY717" s="215"/>
    </row>
    <row r="718">
      <c r="A718" s="80"/>
      <c r="B718" s="80"/>
      <c r="C718" s="80"/>
      <c r="D718" s="80"/>
      <c r="E718" s="215"/>
      <c r="F718" s="215"/>
      <c r="G718" s="215"/>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c r="AD718" s="215"/>
      <c r="AE718" s="215"/>
      <c r="AF718" s="215"/>
      <c r="AG718" s="215"/>
      <c r="AH718" s="215"/>
      <c r="AI718" s="215"/>
      <c r="AJ718" s="215"/>
      <c r="AK718" s="215"/>
      <c r="AL718" s="215"/>
      <c r="AM718" s="215"/>
      <c r="AN718" s="215"/>
      <c r="AO718" s="215"/>
      <c r="AP718" s="215"/>
      <c r="AQ718" s="215"/>
      <c r="AR718" s="215"/>
      <c r="AS718" s="215"/>
      <c r="AT718" s="215"/>
      <c r="AU718" s="215"/>
      <c r="AV718" s="215"/>
      <c r="AW718" s="215"/>
      <c r="AX718" s="215"/>
      <c r="AY718" s="215"/>
    </row>
    <row r="719">
      <c r="A719" s="80"/>
      <c r="B719" s="80"/>
      <c r="C719" s="80"/>
      <c r="D719" s="80"/>
      <c r="E719" s="215"/>
      <c r="F719" s="215"/>
      <c r="G719" s="215"/>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c r="AD719" s="215"/>
      <c r="AE719" s="215"/>
      <c r="AF719" s="215"/>
      <c r="AG719" s="215"/>
      <c r="AH719" s="215"/>
      <c r="AI719" s="215"/>
      <c r="AJ719" s="215"/>
      <c r="AK719" s="215"/>
      <c r="AL719" s="215"/>
      <c r="AM719" s="215"/>
      <c r="AN719" s="215"/>
      <c r="AO719" s="215"/>
      <c r="AP719" s="215"/>
      <c r="AQ719" s="215"/>
      <c r="AR719" s="215"/>
      <c r="AS719" s="215"/>
      <c r="AT719" s="215"/>
      <c r="AU719" s="215"/>
      <c r="AV719" s="215"/>
      <c r="AW719" s="215"/>
      <c r="AX719" s="215"/>
      <c r="AY719" s="215"/>
    </row>
    <row r="720">
      <c r="A720" s="80"/>
      <c r="B720" s="80"/>
      <c r="C720" s="80"/>
      <c r="D720" s="80"/>
      <c r="E720" s="215"/>
      <c r="F720" s="215"/>
      <c r="G720" s="215"/>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c r="AD720" s="215"/>
      <c r="AE720" s="215"/>
      <c r="AF720" s="215"/>
      <c r="AG720" s="215"/>
      <c r="AH720" s="215"/>
      <c r="AI720" s="215"/>
      <c r="AJ720" s="215"/>
      <c r="AK720" s="215"/>
      <c r="AL720" s="215"/>
      <c r="AM720" s="215"/>
      <c r="AN720" s="215"/>
      <c r="AO720" s="215"/>
      <c r="AP720" s="215"/>
      <c r="AQ720" s="215"/>
      <c r="AR720" s="215"/>
      <c r="AS720" s="215"/>
      <c r="AT720" s="215"/>
      <c r="AU720" s="215"/>
      <c r="AV720" s="215"/>
      <c r="AW720" s="215"/>
      <c r="AX720" s="215"/>
      <c r="AY720" s="215"/>
    </row>
    <row r="721">
      <c r="A721" s="80"/>
      <c r="B721" s="80"/>
      <c r="C721" s="80"/>
      <c r="D721" s="80"/>
      <c r="E721" s="215"/>
      <c r="F721" s="215"/>
      <c r="G721" s="215"/>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c r="AD721" s="215"/>
      <c r="AE721" s="215"/>
      <c r="AF721" s="215"/>
      <c r="AG721" s="215"/>
      <c r="AH721" s="215"/>
      <c r="AI721" s="215"/>
      <c r="AJ721" s="215"/>
      <c r="AK721" s="215"/>
      <c r="AL721" s="215"/>
      <c r="AM721" s="215"/>
      <c r="AN721" s="215"/>
      <c r="AO721" s="215"/>
      <c r="AP721" s="215"/>
      <c r="AQ721" s="215"/>
      <c r="AR721" s="215"/>
      <c r="AS721" s="215"/>
      <c r="AT721" s="215"/>
      <c r="AU721" s="215"/>
      <c r="AV721" s="215"/>
      <c r="AW721" s="215"/>
      <c r="AX721" s="215"/>
      <c r="AY721" s="215"/>
    </row>
    <row r="722">
      <c r="A722" s="80"/>
      <c r="B722" s="80"/>
      <c r="C722" s="80"/>
      <c r="D722" s="80"/>
      <c r="E722" s="215"/>
      <c r="F722" s="215"/>
      <c r="G722" s="215"/>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c r="AD722" s="215"/>
      <c r="AE722" s="215"/>
      <c r="AF722" s="215"/>
      <c r="AG722" s="215"/>
      <c r="AH722" s="215"/>
      <c r="AI722" s="215"/>
      <c r="AJ722" s="215"/>
      <c r="AK722" s="215"/>
      <c r="AL722" s="215"/>
      <c r="AM722" s="215"/>
      <c r="AN722" s="215"/>
      <c r="AO722" s="215"/>
      <c r="AP722" s="215"/>
      <c r="AQ722" s="215"/>
      <c r="AR722" s="215"/>
      <c r="AS722" s="215"/>
      <c r="AT722" s="215"/>
      <c r="AU722" s="215"/>
      <c r="AV722" s="215"/>
      <c r="AW722" s="215"/>
      <c r="AX722" s="215"/>
      <c r="AY722" s="215"/>
    </row>
    <row r="723">
      <c r="A723" s="80"/>
      <c r="B723" s="80"/>
      <c r="C723" s="80"/>
      <c r="D723" s="80"/>
      <c r="E723" s="215"/>
      <c r="F723" s="215"/>
      <c r="G723" s="215"/>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c r="AD723" s="215"/>
      <c r="AE723" s="215"/>
      <c r="AF723" s="215"/>
      <c r="AG723" s="215"/>
      <c r="AH723" s="215"/>
      <c r="AI723" s="215"/>
      <c r="AJ723" s="215"/>
      <c r="AK723" s="215"/>
      <c r="AL723" s="215"/>
      <c r="AM723" s="215"/>
      <c r="AN723" s="215"/>
      <c r="AO723" s="215"/>
      <c r="AP723" s="215"/>
      <c r="AQ723" s="215"/>
      <c r="AR723" s="215"/>
      <c r="AS723" s="215"/>
      <c r="AT723" s="215"/>
      <c r="AU723" s="215"/>
      <c r="AV723" s="215"/>
      <c r="AW723" s="215"/>
      <c r="AX723" s="215"/>
      <c r="AY723" s="215"/>
    </row>
    <row r="724">
      <c r="A724" s="80"/>
      <c r="B724" s="80"/>
      <c r="C724" s="80"/>
      <c r="D724" s="80"/>
      <c r="E724" s="215"/>
      <c r="F724" s="215"/>
      <c r="G724" s="215"/>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c r="AD724" s="215"/>
      <c r="AE724" s="215"/>
      <c r="AF724" s="215"/>
      <c r="AG724" s="215"/>
      <c r="AH724" s="215"/>
      <c r="AI724" s="215"/>
      <c r="AJ724" s="215"/>
      <c r="AK724" s="215"/>
      <c r="AL724" s="215"/>
      <c r="AM724" s="215"/>
      <c r="AN724" s="215"/>
      <c r="AO724" s="215"/>
      <c r="AP724" s="215"/>
      <c r="AQ724" s="215"/>
      <c r="AR724" s="215"/>
      <c r="AS724" s="215"/>
      <c r="AT724" s="215"/>
      <c r="AU724" s="215"/>
      <c r="AV724" s="215"/>
      <c r="AW724" s="215"/>
      <c r="AX724" s="215"/>
      <c r="AY724" s="215"/>
    </row>
    <row r="725">
      <c r="A725" s="80"/>
      <c r="B725" s="80"/>
      <c r="C725" s="80"/>
      <c r="D725" s="80"/>
      <c r="E725" s="215"/>
      <c r="F725" s="215"/>
      <c r="G725" s="215"/>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c r="AD725" s="215"/>
      <c r="AE725" s="215"/>
      <c r="AF725" s="215"/>
      <c r="AG725" s="215"/>
      <c r="AH725" s="215"/>
      <c r="AI725" s="215"/>
      <c r="AJ725" s="215"/>
      <c r="AK725" s="215"/>
      <c r="AL725" s="215"/>
      <c r="AM725" s="215"/>
      <c r="AN725" s="215"/>
      <c r="AO725" s="215"/>
      <c r="AP725" s="215"/>
      <c r="AQ725" s="215"/>
      <c r="AR725" s="215"/>
      <c r="AS725" s="215"/>
      <c r="AT725" s="215"/>
      <c r="AU725" s="215"/>
      <c r="AV725" s="215"/>
      <c r="AW725" s="215"/>
      <c r="AX725" s="215"/>
      <c r="AY725" s="215"/>
    </row>
    <row r="726">
      <c r="A726" s="80"/>
      <c r="B726" s="80"/>
      <c r="C726" s="80"/>
      <c r="D726" s="80"/>
      <c r="E726" s="215"/>
      <c r="F726" s="215"/>
      <c r="G726" s="215"/>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c r="AD726" s="215"/>
      <c r="AE726" s="215"/>
      <c r="AF726" s="215"/>
      <c r="AG726" s="215"/>
      <c r="AH726" s="215"/>
      <c r="AI726" s="215"/>
      <c r="AJ726" s="215"/>
      <c r="AK726" s="215"/>
      <c r="AL726" s="215"/>
      <c r="AM726" s="215"/>
      <c r="AN726" s="215"/>
      <c r="AO726" s="215"/>
      <c r="AP726" s="215"/>
      <c r="AQ726" s="215"/>
      <c r="AR726" s="215"/>
      <c r="AS726" s="215"/>
      <c r="AT726" s="215"/>
      <c r="AU726" s="215"/>
      <c r="AV726" s="215"/>
      <c r="AW726" s="215"/>
      <c r="AX726" s="215"/>
      <c r="AY726" s="215"/>
    </row>
    <row r="727">
      <c r="A727" s="80"/>
      <c r="B727" s="80"/>
      <c r="C727" s="80"/>
      <c r="D727" s="80"/>
      <c r="E727" s="215"/>
      <c r="F727" s="215"/>
      <c r="G727" s="215"/>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c r="AD727" s="215"/>
      <c r="AE727" s="215"/>
      <c r="AF727" s="215"/>
      <c r="AG727" s="215"/>
      <c r="AH727" s="215"/>
      <c r="AI727" s="215"/>
      <c r="AJ727" s="215"/>
      <c r="AK727" s="215"/>
      <c r="AL727" s="215"/>
      <c r="AM727" s="215"/>
      <c r="AN727" s="215"/>
      <c r="AO727" s="215"/>
      <c r="AP727" s="215"/>
      <c r="AQ727" s="215"/>
      <c r="AR727" s="215"/>
      <c r="AS727" s="215"/>
      <c r="AT727" s="215"/>
      <c r="AU727" s="215"/>
      <c r="AV727" s="215"/>
      <c r="AW727" s="215"/>
      <c r="AX727" s="215"/>
      <c r="AY727" s="215"/>
    </row>
    <row r="728">
      <c r="A728" s="80"/>
      <c r="B728" s="80"/>
      <c r="C728" s="80"/>
      <c r="D728" s="80"/>
      <c r="E728" s="215"/>
      <c r="F728" s="215"/>
      <c r="G728" s="215"/>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c r="AD728" s="215"/>
      <c r="AE728" s="215"/>
      <c r="AF728" s="215"/>
      <c r="AG728" s="215"/>
      <c r="AH728" s="215"/>
      <c r="AI728" s="215"/>
      <c r="AJ728" s="215"/>
      <c r="AK728" s="215"/>
      <c r="AL728" s="215"/>
      <c r="AM728" s="215"/>
      <c r="AN728" s="215"/>
      <c r="AO728" s="215"/>
      <c r="AP728" s="215"/>
      <c r="AQ728" s="215"/>
      <c r="AR728" s="215"/>
      <c r="AS728" s="215"/>
      <c r="AT728" s="215"/>
      <c r="AU728" s="215"/>
      <c r="AV728" s="215"/>
      <c r="AW728" s="215"/>
      <c r="AX728" s="215"/>
      <c r="AY728" s="215"/>
    </row>
    <row r="729">
      <c r="A729" s="80"/>
      <c r="B729" s="80"/>
      <c r="C729" s="80"/>
      <c r="D729" s="80"/>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15"/>
      <c r="AH729" s="215"/>
      <c r="AI729" s="215"/>
      <c r="AJ729" s="215"/>
      <c r="AK729" s="215"/>
      <c r="AL729" s="215"/>
      <c r="AM729" s="215"/>
      <c r="AN729" s="215"/>
      <c r="AO729" s="215"/>
      <c r="AP729" s="215"/>
      <c r="AQ729" s="215"/>
      <c r="AR729" s="215"/>
      <c r="AS729" s="215"/>
      <c r="AT729" s="215"/>
      <c r="AU729" s="215"/>
      <c r="AV729" s="215"/>
      <c r="AW729" s="215"/>
      <c r="AX729" s="215"/>
      <c r="AY729" s="215"/>
    </row>
    <row r="730">
      <c r="A730" s="80"/>
      <c r="B730" s="80"/>
      <c r="C730" s="80"/>
      <c r="D730" s="80"/>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15"/>
      <c r="AH730" s="215"/>
      <c r="AI730" s="215"/>
      <c r="AJ730" s="215"/>
      <c r="AK730" s="215"/>
      <c r="AL730" s="215"/>
      <c r="AM730" s="215"/>
      <c r="AN730" s="215"/>
      <c r="AO730" s="215"/>
      <c r="AP730" s="215"/>
      <c r="AQ730" s="215"/>
      <c r="AR730" s="215"/>
      <c r="AS730" s="215"/>
      <c r="AT730" s="215"/>
      <c r="AU730" s="215"/>
      <c r="AV730" s="215"/>
      <c r="AW730" s="215"/>
      <c r="AX730" s="215"/>
      <c r="AY730" s="215"/>
    </row>
    <row r="731">
      <c r="A731" s="80"/>
      <c r="B731" s="80"/>
      <c r="C731" s="80"/>
      <c r="D731" s="80"/>
      <c r="E731" s="215"/>
      <c r="F731" s="215"/>
      <c r="G731" s="215"/>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c r="AD731" s="215"/>
      <c r="AE731" s="215"/>
      <c r="AF731" s="215"/>
      <c r="AG731" s="215"/>
      <c r="AH731" s="215"/>
      <c r="AI731" s="215"/>
      <c r="AJ731" s="215"/>
      <c r="AK731" s="215"/>
      <c r="AL731" s="215"/>
      <c r="AM731" s="215"/>
      <c r="AN731" s="215"/>
      <c r="AO731" s="215"/>
      <c r="AP731" s="215"/>
      <c r="AQ731" s="215"/>
      <c r="AR731" s="215"/>
      <c r="AS731" s="215"/>
      <c r="AT731" s="215"/>
      <c r="AU731" s="215"/>
      <c r="AV731" s="215"/>
      <c r="AW731" s="215"/>
      <c r="AX731" s="215"/>
      <c r="AY731" s="215"/>
    </row>
    <row r="732">
      <c r="A732" s="80"/>
      <c r="B732" s="80"/>
      <c r="C732" s="80"/>
      <c r="D732" s="80"/>
      <c r="E732" s="215"/>
      <c r="F732" s="215"/>
      <c r="G732" s="215"/>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c r="AD732" s="215"/>
      <c r="AE732" s="215"/>
      <c r="AF732" s="215"/>
      <c r="AG732" s="215"/>
      <c r="AH732" s="215"/>
      <c r="AI732" s="215"/>
      <c r="AJ732" s="215"/>
      <c r="AK732" s="215"/>
      <c r="AL732" s="215"/>
      <c r="AM732" s="215"/>
      <c r="AN732" s="215"/>
      <c r="AO732" s="215"/>
      <c r="AP732" s="215"/>
      <c r="AQ732" s="215"/>
      <c r="AR732" s="215"/>
      <c r="AS732" s="215"/>
      <c r="AT732" s="215"/>
      <c r="AU732" s="215"/>
      <c r="AV732" s="215"/>
      <c r="AW732" s="215"/>
      <c r="AX732" s="215"/>
      <c r="AY732" s="215"/>
    </row>
    <row r="733">
      <c r="A733" s="80"/>
      <c r="B733" s="80"/>
      <c r="C733" s="80"/>
      <c r="D733" s="80"/>
      <c r="E733" s="215"/>
      <c r="F733" s="215"/>
      <c r="G733" s="215"/>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c r="AD733" s="215"/>
      <c r="AE733" s="215"/>
      <c r="AF733" s="215"/>
      <c r="AG733" s="215"/>
      <c r="AH733" s="215"/>
      <c r="AI733" s="215"/>
      <c r="AJ733" s="215"/>
      <c r="AK733" s="215"/>
      <c r="AL733" s="215"/>
      <c r="AM733" s="215"/>
      <c r="AN733" s="215"/>
      <c r="AO733" s="215"/>
      <c r="AP733" s="215"/>
      <c r="AQ733" s="215"/>
      <c r="AR733" s="215"/>
      <c r="AS733" s="215"/>
      <c r="AT733" s="215"/>
      <c r="AU733" s="215"/>
      <c r="AV733" s="215"/>
      <c r="AW733" s="215"/>
      <c r="AX733" s="215"/>
      <c r="AY733" s="215"/>
    </row>
    <row r="734">
      <c r="A734" s="80"/>
      <c r="B734" s="80"/>
      <c r="C734" s="80"/>
      <c r="D734" s="80"/>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15"/>
      <c r="AH734" s="215"/>
      <c r="AI734" s="215"/>
      <c r="AJ734" s="215"/>
      <c r="AK734" s="215"/>
      <c r="AL734" s="215"/>
      <c r="AM734" s="215"/>
      <c r="AN734" s="215"/>
      <c r="AO734" s="215"/>
      <c r="AP734" s="215"/>
      <c r="AQ734" s="215"/>
      <c r="AR734" s="215"/>
      <c r="AS734" s="215"/>
      <c r="AT734" s="215"/>
      <c r="AU734" s="215"/>
      <c r="AV734" s="215"/>
      <c r="AW734" s="215"/>
      <c r="AX734" s="215"/>
      <c r="AY734" s="215"/>
    </row>
    <row r="735">
      <c r="A735" s="80"/>
      <c r="B735" s="80"/>
      <c r="C735" s="80"/>
      <c r="D735" s="80"/>
      <c r="E735" s="215"/>
      <c r="F735" s="215"/>
      <c r="G735" s="215"/>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c r="AD735" s="215"/>
      <c r="AE735" s="215"/>
      <c r="AF735" s="215"/>
      <c r="AG735" s="215"/>
      <c r="AH735" s="215"/>
      <c r="AI735" s="215"/>
      <c r="AJ735" s="215"/>
      <c r="AK735" s="215"/>
      <c r="AL735" s="215"/>
      <c r="AM735" s="215"/>
      <c r="AN735" s="215"/>
      <c r="AO735" s="215"/>
      <c r="AP735" s="215"/>
      <c r="AQ735" s="215"/>
      <c r="AR735" s="215"/>
      <c r="AS735" s="215"/>
      <c r="AT735" s="215"/>
      <c r="AU735" s="215"/>
      <c r="AV735" s="215"/>
      <c r="AW735" s="215"/>
      <c r="AX735" s="215"/>
      <c r="AY735" s="215"/>
    </row>
    <row r="736">
      <c r="A736" s="80"/>
      <c r="B736" s="80"/>
      <c r="C736" s="80"/>
      <c r="D736" s="80"/>
      <c r="E736" s="215"/>
      <c r="F736" s="215"/>
      <c r="G736" s="215"/>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c r="AD736" s="215"/>
      <c r="AE736" s="215"/>
      <c r="AF736" s="215"/>
      <c r="AG736" s="215"/>
      <c r="AH736" s="215"/>
      <c r="AI736" s="215"/>
      <c r="AJ736" s="215"/>
      <c r="AK736" s="215"/>
      <c r="AL736" s="215"/>
      <c r="AM736" s="215"/>
      <c r="AN736" s="215"/>
      <c r="AO736" s="215"/>
      <c r="AP736" s="215"/>
      <c r="AQ736" s="215"/>
      <c r="AR736" s="215"/>
      <c r="AS736" s="215"/>
      <c r="AT736" s="215"/>
      <c r="AU736" s="215"/>
      <c r="AV736" s="215"/>
      <c r="AW736" s="215"/>
      <c r="AX736" s="215"/>
      <c r="AY736" s="215"/>
    </row>
    <row r="737">
      <c r="A737" s="80"/>
      <c r="B737" s="80"/>
      <c r="C737" s="80"/>
      <c r="D737" s="80"/>
      <c r="E737" s="215"/>
      <c r="F737" s="215"/>
      <c r="G737" s="215"/>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c r="AD737" s="215"/>
      <c r="AE737" s="215"/>
      <c r="AF737" s="215"/>
      <c r="AG737" s="215"/>
      <c r="AH737" s="215"/>
      <c r="AI737" s="215"/>
      <c r="AJ737" s="215"/>
      <c r="AK737" s="215"/>
      <c r="AL737" s="215"/>
      <c r="AM737" s="215"/>
      <c r="AN737" s="215"/>
      <c r="AO737" s="215"/>
      <c r="AP737" s="215"/>
      <c r="AQ737" s="215"/>
      <c r="AR737" s="215"/>
      <c r="AS737" s="215"/>
      <c r="AT737" s="215"/>
      <c r="AU737" s="215"/>
      <c r="AV737" s="215"/>
      <c r="AW737" s="215"/>
      <c r="AX737" s="215"/>
      <c r="AY737" s="215"/>
    </row>
    <row r="738">
      <c r="A738" s="80"/>
      <c r="B738" s="80"/>
      <c r="C738" s="80"/>
      <c r="D738" s="80"/>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15"/>
      <c r="AH738" s="215"/>
      <c r="AI738" s="215"/>
      <c r="AJ738" s="215"/>
      <c r="AK738" s="215"/>
      <c r="AL738" s="215"/>
      <c r="AM738" s="215"/>
      <c r="AN738" s="215"/>
      <c r="AO738" s="215"/>
      <c r="AP738" s="215"/>
      <c r="AQ738" s="215"/>
      <c r="AR738" s="215"/>
      <c r="AS738" s="215"/>
      <c r="AT738" s="215"/>
      <c r="AU738" s="215"/>
      <c r="AV738" s="215"/>
      <c r="AW738" s="215"/>
      <c r="AX738" s="215"/>
      <c r="AY738" s="215"/>
    </row>
    <row r="739">
      <c r="A739" s="80"/>
      <c r="B739" s="80"/>
      <c r="C739" s="80"/>
      <c r="D739" s="80"/>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15"/>
      <c r="AH739" s="215"/>
      <c r="AI739" s="215"/>
      <c r="AJ739" s="215"/>
      <c r="AK739" s="215"/>
      <c r="AL739" s="215"/>
      <c r="AM739" s="215"/>
      <c r="AN739" s="215"/>
      <c r="AO739" s="215"/>
      <c r="AP739" s="215"/>
      <c r="AQ739" s="215"/>
      <c r="AR739" s="215"/>
      <c r="AS739" s="215"/>
      <c r="AT739" s="215"/>
      <c r="AU739" s="215"/>
      <c r="AV739" s="215"/>
      <c r="AW739" s="215"/>
      <c r="AX739" s="215"/>
      <c r="AY739" s="215"/>
    </row>
    <row r="740">
      <c r="A740" s="80"/>
      <c r="B740" s="80"/>
      <c r="C740" s="80"/>
      <c r="D740" s="80"/>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15"/>
      <c r="AH740" s="215"/>
      <c r="AI740" s="215"/>
      <c r="AJ740" s="215"/>
      <c r="AK740" s="215"/>
      <c r="AL740" s="215"/>
      <c r="AM740" s="215"/>
      <c r="AN740" s="215"/>
      <c r="AO740" s="215"/>
      <c r="AP740" s="215"/>
      <c r="AQ740" s="215"/>
      <c r="AR740" s="215"/>
      <c r="AS740" s="215"/>
      <c r="AT740" s="215"/>
      <c r="AU740" s="215"/>
      <c r="AV740" s="215"/>
      <c r="AW740" s="215"/>
      <c r="AX740" s="215"/>
      <c r="AY740" s="215"/>
    </row>
    <row r="741">
      <c r="A741" s="80"/>
      <c r="B741" s="80"/>
      <c r="C741" s="80"/>
      <c r="D741" s="80"/>
      <c r="E741" s="215"/>
      <c r="F741" s="215"/>
      <c r="G741" s="215"/>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c r="AD741" s="215"/>
      <c r="AE741" s="215"/>
      <c r="AF741" s="215"/>
      <c r="AG741" s="215"/>
      <c r="AH741" s="215"/>
      <c r="AI741" s="215"/>
      <c r="AJ741" s="215"/>
      <c r="AK741" s="215"/>
      <c r="AL741" s="215"/>
      <c r="AM741" s="215"/>
      <c r="AN741" s="215"/>
      <c r="AO741" s="215"/>
      <c r="AP741" s="215"/>
      <c r="AQ741" s="215"/>
      <c r="AR741" s="215"/>
      <c r="AS741" s="215"/>
      <c r="AT741" s="215"/>
      <c r="AU741" s="215"/>
      <c r="AV741" s="215"/>
      <c r="AW741" s="215"/>
      <c r="AX741" s="215"/>
      <c r="AY741" s="215"/>
    </row>
    <row r="742">
      <c r="A742" s="80"/>
      <c r="B742" s="80"/>
      <c r="C742" s="80"/>
      <c r="D742" s="80"/>
      <c r="E742" s="215"/>
      <c r="F742" s="215"/>
      <c r="G742" s="215"/>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c r="AD742" s="215"/>
      <c r="AE742" s="215"/>
      <c r="AF742" s="215"/>
      <c r="AG742" s="215"/>
      <c r="AH742" s="215"/>
      <c r="AI742" s="215"/>
      <c r="AJ742" s="215"/>
      <c r="AK742" s="215"/>
      <c r="AL742" s="215"/>
      <c r="AM742" s="215"/>
      <c r="AN742" s="215"/>
      <c r="AO742" s="215"/>
      <c r="AP742" s="215"/>
      <c r="AQ742" s="215"/>
      <c r="AR742" s="215"/>
      <c r="AS742" s="215"/>
      <c r="AT742" s="215"/>
      <c r="AU742" s="215"/>
      <c r="AV742" s="215"/>
      <c r="AW742" s="215"/>
      <c r="AX742" s="215"/>
      <c r="AY742" s="215"/>
    </row>
    <row r="743">
      <c r="A743" s="80"/>
      <c r="B743" s="80"/>
      <c r="C743" s="80"/>
      <c r="D743" s="80"/>
      <c r="E743" s="215"/>
      <c r="F743" s="215"/>
      <c r="G743" s="215"/>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c r="AD743" s="215"/>
      <c r="AE743" s="215"/>
      <c r="AF743" s="215"/>
      <c r="AG743" s="215"/>
      <c r="AH743" s="215"/>
      <c r="AI743" s="215"/>
      <c r="AJ743" s="215"/>
      <c r="AK743" s="215"/>
      <c r="AL743" s="215"/>
      <c r="AM743" s="215"/>
      <c r="AN743" s="215"/>
      <c r="AO743" s="215"/>
      <c r="AP743" s="215"/>
      <c r="AQ743" s="215"/>
      <c r="AR743" s="215"/>
      <c r="AS743" s="215"/>
      <c r="AT743" s="215"/>
      <c r="AU743" s="215"/>
      <c r="AV743" s="215"/>
      <c r="AW743" s="215"/>
      <c r="AX743" s="215"/>
      <c r="AY743" s="215"/>
    </row>
    <row r="744">
      <c r="A744" s="80"/>
      <c r="B744" s="80"/>
      <c r="C744" s="80"/>
      <c r="D744" s="80"/>
      <c r="E744" s="215"/>
      <c r="F744" s="215"/>
      <c r="G744" s="215"/>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c r="AD744" s="215"/>
      <c r="AE744" s="215"/>
      <c r="AF744" s="215"/>
      <c r="AG744" s="215"/>
      <c r="AH744" s="215"/>
      <c r="AI744" s="215"/>
      <c r="AJ744" s="215"/>
      <c r="AK744" s="215"/>
      <c r="AL744" s="215"/>
      <c r="AM744" s="215"/>
      <c r="AN744" s="215"/>
      <c r="AO744" s="215"/>
      <c r="AP744" s="215"/>
      <c r="AQ744" s="215"/>
      <c r="AR744" s="215"/>
      <c r="AS744" s="215"/>
      <c r="AT744" s="215"/>
      <c r="AU744" s="215"/>
      <c r="AV744" s="215"/>
      <c r="AW744" s="215"/>
      <c r="AX744" s="215"/>
      <c r="AY744" s="215"/>
    </row>
    <row r="745">
      <c r="A745" s="80"/>
      <c r="B745" s="80"/>
      <c r="C745" s="80"/>
      <c r="D745" s="80"/>
      <c r="E745" s="215"/>
      <c r="F745" s="215"/>
      <c r="G745" s="215"/>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c r="AD745" s="215"/>
      <c r="AE745" s="215"/>
      <c r="AF745" s="215"/>
      <c r="AG745" s="215"/>
      <c r="AH745" s="215"/>
      <c r="AI745" s="215"/>
      <c r="AJ745" s="215"/>
      <c r="AK745" s="215"/>
      <c r="AL745" s="215"/>
      <c r="AM745" s="215"/>
      <c r="AN745" s="215"/>
      <c r="AO745" s="215"/>
      <c r="AP745" s="215"/>
      <c r="AQ745" s="215"/>
      <c r="AR745" s="215"/>
      <c r="AS745" s="215"/>
      <c r="AT745" s="215"/>
      <c r="AU745" s="215"/>
      <c r="AV745" s="215"/>
      <c r="AW745" s="215"/>
      <c r="AX745" s="215"/>
      <c r="AY745" s="215"/>
    </row>
    <row r="746">
      <c r="A746" s="80"/>
      <c r="B746" s="80"/>
      <c r="C746" s="80"/>
      <c r="D746" s="80"/>
      <c r="E746" s="215"/>
      <c r="F746" s="215"/>
      <c r="G746" s="215"/>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c r="AD746" s="215"/>
      <c r="AE746" s="215"/>
      <c r="AF746" s="215"/>
      <c r="AG746" s="215"/>
      <c r="AH746" s="215"/>
      <c r="AI746" s="215"/>
      <c r="AJ746" s="215"/>
      <c r="AK746" s="215"/>
      <c r="AL746" s="215"/>
      <c r="AM746" s="215"/>
      <c r="AN746" s="215"/>
      <c r="AO746" s="215"/>
      <c r="AP746" s="215"/>
      <c r="AQ746" s="215"/>
      <c r="AR746" s="215"/>
      <c r="AS746" s="215"/>
      <c r="AT746" s="215"/>
      <c r="AU746" s="215"/>
      <c r="AV746" s="215"/>
      <c r="AW746" s="215"/>
      <c r="AX746" s="215"/>
      <c r="AY746" s="215"/>
    </row>
    <row r="747">
      <c r="A747" s="80"/>
      <c r="B747" s="80"/>
      <c r="C747" s="80"/>
      <c r="D747" s="80"/>
      <c r="E747" s="215"/>
      <c r="F747" s="215"/>
      <c r="G747" s="215"/>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c r="AD747" s="215"/>
      <c r="AE747" s="215"/>
      <c r="AF747" s="215"/>
      <c r="AG747" s="215"/>
      <c r="AH747" s="215"/>
      <c r="AI747" s="215"/>
      <c r="AJ747" s="215"/>
      <c r="AK747" s="215"/>
      <c r="AL747" s="215"/>
      <c r="AM747" s="215"/>
      <c r="AN747" s="215"/>
      <c r="AO747" s="215"/>
      <c r="AP747" s="215"/>
      <c r="AQ747" s="215"/>
      <c r="AR747" s="215"/>
      <c r="AS747" s="215"/>
      <c r="AT747" s="215"/>
      <c r="AU747" s="215"/>
      <c r="AV747" s="215"/>
      <c r="AW747" s="215"/>
      <c r="AX747" s="215"/>
      <c r="AY747" s="215"/>
    </row>
    <row r="748">
      <c r="A748" s="80"/>
      <c r="B748" s="80"/>
      <c r="C748" s="80"/>
      <c r="D748" s="80"/>
      <c r="E748" s="215"/>
      <c r="F748" s="215"/>
      <c r="G748" s="215"/>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c r="AD748" s="215"/>
      <c r="AE748" s="215"/>
      <c r="AF748" s="215"/>
      <c r="AG748" s="215"/>
      <c r="AH748" s="215"/>
      <c r="AI748" s="215"/>
      <c r="AJ748" s="215"/>
      <c r="AK748" s="215"/>
      <c r="AL748" s="215"/>
      <c r="AM748" s="215"/>
      <c r="AN748" s="215"/>
      <c r="AO748" s="215"/>
      <c r="AP748" s="215"/>
      <c r="AQ748" s="215"/>
      <c r="AR748" s="215"/>
      <c r="AS748" s="215"/>
      <c r="AT748" s="215"/>
      <c r="AU748" s="215"/>
      <c r="AV748" s="215"/>
      <c r="AW748" s="215"/>
      <c r="AX748" s="215"/>
      <c r="AY748" s="215"/>
    </row>
    <row r="749">
      <c r="A749" s="80"/>
      <c r="B749" s="80"/>
      <c r="C749" s="80"/>
      <c r="D749" s="80"/>
      <c r="E749" s="215"/>
      <c r="F749" s="215"/>
      <c r="G749" s="215"/>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c r="AD749" s="215"/>
      <c r="AE749" s="215"/>
      <c r="AF749" s="215"/>
      <c r="AG749" s="215"/>
      <c r="AH749" s="215"/>
      <c r="AI749" s="215"/>
      <c r="AJ749" s="215"/>
      <c r="AK749" s="215"/>
      <c r="AL749" s="215"/>
      <c r="AM749" s="215"/>
      <c r="AN749" s="215"/>
      <c r="AO749" s="215"/>
      <c r="AP749" s="215"/>
      <c r="AQ749" s="215"/>
      <c r="AR749" s="215"/>
      <c r="AS749" s="215"/>
      <c r="AT749" s="215"/>
      <c r="AU749" s="215"/>
      <c r="AV749" s="215"/>
      <c r="AW749" s="215"/>
      <c r="AX749" s="215"/>
      <c r="AY749" s="215"/>
    </row>
    <row r="750">
      <c r="A750" s="80"/>
      <c r="B750" s="80"/>
      <c r="C750" s="80"/>
      <c r="D750" s="80"/>
      <c r="E750" s="215"/>
      <c r="F750" s="215"/>
      <c r="G750" s="215"/>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c r="AD750" s="215"/>
      <c r="AE750" s="215"/>
      <c r="AF750" s="215"/>
      <c r="AG750" s="215"/>
      <c r="AH750" s="215"/>
      <c r="AI750" s="215"/>
      <c r="AJ750" s="215"/>
      <c r="AK750" s="215"/>
      <c r="AL750" s="215"/>
      <c r="AM750" s="215"/>
      <c r="AN750" s="215"/>
      <c r="AO750" s="215"/>
      <c r="AP750" s="215"/>
      <c r="AQ750" s="215"/>
      <c r="AR750" s="215"/>
      <c r="AS750" s="215"/>
      <c r="AT750" s="215"/>
      <c r="AU750" s="215"/>
      <c r="AV750" s="215"/>
      <c r="AW750" s="215"/>
      <c r="AX750" s="215"/>
      <c r="AY750" s="215"/>
    </row>
    <row r="751">
      <c r="A751" s="80"/>
      <c r="B751" s="80"/>
      <c r="C751" s="80"/>
      <c r="D751" s="80"/>
      <c r="E751" s="215"/>
      <c r="F751" s="215"/>
      <c r="G751" s="215"/>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c r="AD751" s="215"/>
      <c r="AE751" s="215"/>
      <c r="AF751" s="215"/>
      <c r="AG751" s="215"/>
      <c r="AH751" s="215"/>
      <c r="AI751" s="215"/>
      <c r="AJ751" s="215"/>
      <c r="AK751" s="215"/>
      <c r="AL751" s="215"/>
      <c r="AM751" s="215"/>
      <c r="AN751" s="215"/>
      <c r="AO751" s="215"/>
      <c r="AP751" s="215"/>
      <c r="AQ751" s="215"/>
      <c r="AR751" s="215"/>
      <c r="AS751" s="215"/>
      <c r="AT751" s="215"/>
      <c r="AU751" s="215"/>
      <c r="AV751" s="215"/>
      <c r="AW751" s="215"/>
      <c r="AX751" s="215"/>
      <c r="AY751" s="215"/>
    </row>
    <row r="752">
      <c r="A752" s="80"/>
      <c r="B752" s="80"/>
      <c r="C752" s="80"/>
      <c r="D752" s="80"/>
      <c r="E752" s="215"/>
      <c r="F752" s="215"/>
      <c r="G752" s="215"/>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c r="AD752" s="215"/>
      <c r="AE752" s="215"/>
      <c r="AF752" s="215"/>
      <c r="AG752" s="215"/>
      <c r="AH752" s="215"/>
      <c r="AI752" s="215"/>
      <c r="AJ752" s="215"/>
      <c r="AK752" s="215"/>
      <c r="AL752" s="215"/>
      <c r="AM752" s="215"/>
      <c r="AN752" s="215"/>
      <c r="AO752" s="215"/>
      <c r="AP752" s="215"/>
      <c r="AQ752" s="215"/>
      <c r="AR752" s="215"/>
      <c r="AS752" s="215"/>
      <c r="AT752" s="215"/>
      <c r="AU752" s="215"/>
      <c r="AV752" s="215"/>
      <c r="AW752" s="215"/>
      <c r="AX752" s="215"/>
      <c r="AY752" s="215"/>
    </row>
    <row r="753">
      <c r="A753" s="80"/>
      <c r="B753" s="80"/>
      <c r="C753" s="80"/>
      <c r="D753" s="80"/>
      <c r="E753" s="215"/>
      <c r="F753" s="215"/>
      <c r="G753" s="215"/>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c r="AD753" s="215"/>
      <c r="AE753" s="215"/>
      <c r="AF753" s="215"/>
      <c r="AG753" s="215"/>
      <c r="AH753" s="215"/>
      <c r="AI753" s="215"/>
      <c r="AJ753" s="215"/>
      <c r="AK753" s="215"/>
      <c r="AL753" s="215"/>
      <c r="AM753" s="215"/>
      <c r="AN753" s="215"/>
      <c r="AO753" s="215"/>
      <c r="AP753" s="215"/>
      <c r="AQ753" s="215"/>
      <c r="AR753" s="215"/>
      <c r="AS753" s="215"/>
      <c r="AT753" s="215"/>
      <c r="AU753" s="215"/>
      <c r="AV753" s="215"/>
      <c r="AW753" s="215"/>
      <c r="AX753" s="215"/>
      <c r="AY753" s="215"/>
    </row>
    <row r="754">
      <c r="A754" s="80"/>
      <c r="B754" s="80"/>
      <c r="C754" s="80"/>
      <c r="D754" s="80"/>
      <c r="E754" s="215"/>
      <c r="F754" s="215"/>
      <c r="G754" s="215"/>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c r="AD754" s="215"/>
      <c r="AE754" s="215"/>
      <c r="AF754" s="215"/>
      <c r="AG754" s="215"/>
      <c r="AH754" s="215"/>
      <c r="AI754" s="215"/>
      <c r="AJ754" s="215"/>
      <c r="AK754" s="215"/>
      <c r="AL754" s="215"/>
      <c r="AM754" s="215"/>
      <c r="AN754" s="215"/>
      <c r="AO754" s="215"/>
      <c r="AP754" s="215"/>
      <c r="AQ754" s="215"/>
      <c r="AR754" s="215"/>
      <c r="AS754" s="215"/>
      <c r="AT754" s="215"/>
      <c r="AU754" s="215"/>
      <c r="AV754" s="215"/>
      <c r="AW754" s="215"/>
      <c r="AX754" s="215"/>
      <c r="AY754" s="215"/>
    </row>
    <row r="755">
      <c r="A755" s="80"/>
      <c r="B755" s="80"/>
      <c r="C755" s="80"/>
      <c r="D755" s="80"/>
      <c r="E755" s="215"/>
      <c r="F755" s="215"/>
      <c r="G755" s="215"/>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c r="AD755" s="215"/>
      <c r="AE755" s="215"/>
      <c r="AF755" s="215"/>
      <c r="AG755" s="215"/>
      <c r="AH755" s="215"/>
      <c r="AI755" s="215"/>
      <c r="AJ755" s="215"/>
      <c r="AK755" s="215"/>
      <c r="AL755" s="215"/>
      <c r="AM755" s="215"/>
      <c r="AN755" s="215"/>
      <c r="AO755" s="215"/>
      <c r="AP755" s="215"/>
      <c r="AQ755" s="215"/>
      <c r="AR755" s="215"/>
      <c r="AS755" s="215"/>
      <c r="AT755" s="215"/>
      <c r="AU755" s="215"/>
      <c r="AV755" s="215"/>
      <c r="AW755" s="215"/>
      <c r="AX755" s="215"/>
      <c r="AY755" s="215"/>
    </row>
    <row r="756">
      <c r="A756" s="80"/>
      <c r="B756" s="80"/>
      <c r="C756" s="80"/>
      <c r="D756" s="80"/>
      <c r="E756" s="215"/>
      <c r="F756" s="215"/>
      <c r="G756" s="215"/>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c r="AD756" s="215"/>
      <c r="AE756" s="215"/>
      <c r="AF756" s="215"/>
      <c r="AG756" s="215"/>
      <c r="AH756" s="215"/>
      <c r="AI756" s="215"/>
      <c r="AJ756" s="215"/>
      <c r="AK756" s="215"/>
      <c r="AL756" s="215"/>
      <c r="AM756" s="215"/>
      <c r="AN756" s="215"/>
      <c r="AO756" s="215"/>
      <c r="AP756" s="215"/>
      <c r="AQ756" s="215"/>
      <c r="AR756" s="215"/>
      <c r="AS756" s="215"/>
      <c r="AT756" s="215"/>
      <c r="AU756" s="215"/>
      <c r="AV756" s="215"/>
      <c r="AW756" s="215"/>
      <c r="AX756" s="215"/>
      <c r="AY756" s="215"/>
    </row>
    <row r="757">
      <c r="A757" s="80"/>
      <c r="B757" s="80"/>
      <c r="C757" s="80"/>
      <c r="D757" s="80"/>
      <c r="E757" s="215"/>
      <c r="F757" s="215"/>
      <c r="G757" s="215"/>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c r="AD757" s="215"/>
      <c r="AE757" s="215"/>
      <c r="AF757" s="215"/>
      <c r="AG757" s="215"/>
      <c r="AH757" s="215"/>
      <c r="AI757" s="215"/>
      <c r="AJ757" s="215"/>
      <c r="AK757" s="215"/>
      <c r="AL757" s="215"/>
      <c r="AM757" s="215"/>
      <c r="AN757" s="215"/>
      <c r="AO757" s="215"/>
      <c r="AP757" s="215"/>
      <c r="AQ757" s="215"/>
      <c r="AR757" s="215"/>
      <c r="AS757" s="215"/>
      <c r="AT757" s="215"/>
      <c r="AU757" s="215"/>
      <c r="AV757" s="215"/>
      <c r="AW757" s="215"/>
      <c r="AX757" s="215"/>
      <c r="AY757" s="215"/>
    </row>
    <row r="758">
      <c r="A758" s="80"/>
      <c r="B758" s="80"/>
      <c r="C758" s="80"/>
      <c r="D758" s="80"/>
      <c r="E758" s="215"/>
      <c r="F758" s="215"/>
      <c r="G758" s="215"/>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c r="AD758" s="215"/>
      <c r="AE758" s="215"/>
      <c r="AF758" s="215"/>
      <c r="AG758" s="215"/>
      <c r="AH758" s="215"/>
      <c r="AI758" s="215"/>
      <c r="AJ758" s="215"/>
      <c r="AK758" s="215"/>
      <c r="AL758" s="215"/>
      <c r="AM758" s="215"/>
      <c r="AN758" s="215"/>
      <c r="AO758" s="215"/>
      <c r="AP758" s="215"/>
      <c r="AQ758" s="215"/>
      <c r="AR758" s="215"/>
      <c r="AS758" s="215"/>
      <c r="AT758" s="215"/>
      <c r="AU758" s="215"/>
      <c r="AV758" s="215"/>
      <c r="AW758" s="215"/>
      <c r="AX758" s="215"/>
      <c r="AY758" s="215"/>
    </row>
    <row r="759">
      <c r="A759" s="80"/>
      <c r="B759" s="80"/>
      <c r="C759" s="80"/>
      <c r="D759" s="80"/>
      <c r="E759" s="215"/>
      <c r="F759" s="215"/>
      <c r="G759" s="215"/>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c r="AD759" s="215"/>
      <c r="AE759" s="215"/>
      <c r="AF759" s="215"/>
      <c r="AG759" s="215"/>
      <c r="AH759" s="215"/>
      <c r="AI759" s="215"/>
      <c r="AJ759" s="215"/>
      <c r="AK759" s="215"/>
      <c r="AL759" s="215"/>
      <c r="AM759" s="215"/>
      <c r="AN759" s="215"/>
      <c r="AO759" s="215"/>
      <c r="AP759" s="215"/>
      <c r="AQ759" s="215"/>
      <c r="AR759" s="215"/>
      <c r="AS759" s="215"/>
      <c r="AT759" s="215"/>
      <c r="AU759" s="215"/>
      <c r="AV759" s="215"/>
      <c r="AW759" s="215"/>
      <c r="AX759" s="215"/>
      <c r="AY759" s="215"/>
    </row>
    <row r="760">
      <c r="A760" s="80"/>
      <c r="B760" s="80"/>
      <c r="C760" s="80"/>
      <c r="D760" s="80"/>
      <c r="E760" s="215"/>
      <c r="F760" s="215"/>
      <c r="G760" s="215"/>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c r="AD760" s="215"/>
      <c r="AE760" s="215"/>
      <c r="AF760" s="215"/>
      <c r="AG760" s="215"/>
      <c r="AH760" s="215"/>
      <c r="AI760" s="215"/>
      <c r="AJ760" s="215"/>
      <c r="AK760" s="215"/>
      <c r="AL760" s="215"/>
      <c r="AM760" s="215"/>
      <c r="AN760" s="215"/>
      <c r="AO760" s="215"/>
      <c r="AP760" s="215"/>
      <c r="AQ760" s="215"/>
      <c r="AR760" s="215"/>
      <c r="AS760" s="215"/>
      <c r="AT760" s="215"/>
      <c r="AU760" s="215"/>
      <c r="AV760" s="215"/>
      <c r="AW760" s="215"/>
      <c r="AX760" s="215"/>
      <c r="AY760" s="215"/>
    </row>
    <row r="761">
      <c r="A761" s="80"/>
      <c r="B761" s="80"/>
      <c r="C761" s="80"/>
      <c r="D761" s="80"/>
      <c r="E761" s="215"/>
      <c r="F761" s="215"/>
      <c r="G761" s="215"/>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c r="AD761" s="215"/>
      <c r="AE761" s="215"/>
      <c r="AF761" s="215"/>
      <c r="AG761" s="215"/>
      <c r="AH761" s="215"/>
      <c r="AI761" s="215"/>
      <c r="AJ761" s="215"/>
      <c r="AK761" s="215"/>
      <c r="AL761" s="215"/>
      <c r="AM761" s="215"/>
      <c r="AN761" s="215"/>
      <c r="AO761" s="215"/>
      <c r="AP761" s="215"/>
      <c r="AQ761" s="215"/>
      <c r="AR761" s="215"/>
      <c r="AS761" s="215"/>
      <c r="AT761" s="215"/>
      <c r="AU761" s="215"/>
      <c r="AV761" s="215"/>
      <c r="AW761" s="215"/>
      <c r="AX761" s="215"/>
      <c r="AY761" s="215"/>
    </row>
    <row r="762">
      <c r="A762" s="80"/>
      <c r="B762" s="80"/>
      <c r="C762" s="80"/>
      <c r="D762" s="80"/>
      <c r="E762" s="215"/>
      <c r="F762" s="215"/>
      <c r="G762" s="215"/>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c r="AD762" s="215"/>
      <c r="AE762" s="215"/>
      <c r="AF762" s="215"/>
      <c r="AG762" s="215"/>
      <c r="AH762" s="215"/>
      <c r="AI762" s="215"/>
      <c r="AJ762" s="215"/>
      <c r="AK762" s="215"/>
      <c r="AL762" s="215"/>
      <c r="AM762" s="215"/>
      <c r="AN762" s="215"/>
      <c r="AO762" s="215"/>
      <c r="AP762" s="215"/>
      <c r="AQ762" s="215"/>
      <c r="AR762" s="215"/>
      <c r="AS762" s="215"/>
      <c r="AT762" s="215"/>
      <c r="AU762" s="215"/>
      <c r="AV762" s="215"/>
      <c r="AW762" s="215"/>
      <c r="AX762" s="215"/>
      <c r="AY762" s="215"/>
    </row>
    <row r="763">
      <c r="A763" s="80"/>
      <c r="B763" s="80"/>
      <c r="C763" s="80"/>
      <c r="D763" s="80"/>
      <c r="E763" s="215"/>
      <c r="F763" s="215"/>
      <c r="G763" s="215"/>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c r="AD763" s="215"/>
      <c r="AE763" s="215"/>
      <c r="AF763" s="215"/>
      <c r="AG763" s="215"/>
      <c r="AH763" s="215"/>
      <c r="AI763" s="215"/>
      <c r="AJ763" s="215"/>
      <c r="AK763" s="215"/>
      <c r="AL763" s="215"/>
      <c r="AM763" s="215"/>
      <c r="AN763" s="215"/>
      <c r="AO763" s="215"/>
      <c r="AP763" s="215"/>
      <c r="AQ763" s="215"/>
      <c r="AR763" s="215"/>
      <c r="AS763" s="215"/>
      <c r="AT763" s="215"/>
      <c r="AU763" s="215"/>
      <c r="AV763" s="215"/>
      <c r="AW763" s="215"/>
      <c r="AX763" s="215"/>
      <c r="AY763" s="215"/>
    </row>
    <row r="764">
      <c r="A764" s="80"/>
      <c r="B764" s="80"/>
      <c r="C764" s="80"/>
      <c r="D764" s="80"/>
      <c r="E764" s="215"/>
      <c r="F764" s="215"/>
      <c r="G764" s="215"/>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c r="AD764" s="215"/>
      <c r="AE764" s="215"/>
      <c r="AF764" s="215"/>
      <c r="AG764" s="215"/>
      <c r="AH764" s="215"/>
      <c r="AI764" s="215"/>
      <c r="AJ764" s="215"/>
      <c r="AK764" s="215"/>
      <c r="AL764" s="215"/>
      <c r="AM764" s="215"/>
      <c r="AN764" s="215"/>
      <c r="AO764" s="215"/>
      <c r="AP764" s="215"/>
      <c r="AQ764" s="215"/>
      <c r="AR764" s="215"/>
      <c r="AS764" s="215"/>
      <c r="AT764" s="215"/>
      <c r="AU764" s="215"/>
      <c r="AV764" s="215"/>
      <c r="AW764" s="215"/>
      <c r="AX764" s="215"/>
      <c r="AY764" s="215"/>
    </row>
    <row r="765">
      <c r="A765" s="80"/>
      <c r="B765" s="80"/>
      <c r="C765" s="80"/>
      <c r="D765" s="80"/>
      <c r="E765" s="215"/>
      <c r="F765" s="215"/>
      <c r="G765" s="215"/>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c r="AD765" s="215"/>
      <c r="AE765" s="215"/>
      <c r="AF765" s="215"/>
      <c r="AG765" s="215"/>
      <c r="AH765" s="215"/>
      <c r="AI765" s="215"/>
      <c r="AJ765" s="215"/>
      <c r="AK765" s="215"/>
      <c r="AL765" s="215"/>
      <c r="AM765" s="215"/>
      <c r="AN765" s="215"/>
      <c r="AO765" s="215"/>
      <c r="AP765" s="215"/>
      <c r="AQ765" s="215"/>
      <c r="AR765" s="215"/>
      <c r="AS765" s="215"/>
      <c r="AT765" s="215"/>
      <c r="AU765" s="215"/>
      <c r="AV765" s="215"/>
      <c r="AW765" s="215"/>
      <c r="AX765" s="215"/>
      <c r="AY765" s="215"/>
    </row>
    <row r="766">
      <c r="A766" s="80"/>
      <c r="B766" s="80"/>
      <c r="C766" s="80"/>
      <c r="D766" s="80"/>
      <c r="E766" s="215"/>
      <c r="F766" s="215"/>
      <c r="G766" s="215"/>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c r="AD766" s="215"/>
      <c r="AE766" s="215"/>
      <c r="AF766" s="215"/>
      <c r="AG766" s="215"/>
      <c r="AH766" s="215"/>
      <c r="AI766" s="215"/>
      <c r="AJ766" s="215"/>
      <c r="AK766" s="215"/>
      <c r="AL766" s="215"/>
      <c r="AM766" s="215"/>
      <c r="AN766" s="215"/>
      <c r="AO766" s="215"/>
      <c r="AP766" s="215"/>
      <c r="AQ766" s="215"/>
      <c r="AR766" s="215"/>
      <c r="AS766" s="215"/>
      <c r="AT766" s="215"/>
      <c r="AU766" s="215"/>
      <c r="AV766" s="215"/>
      <c r="AW766" s="215"/>
      <c r="AX766" s="215"/>
      <c r="AY766" s="215"/>
    </row>
    <row r="767">
      <c r="A767" s="80"/>
      <c r="B767" s="80"/>
      <c r="C767" s="80"/>
      <c r="D767" s="80"/>
      <c r="E767" s="215"/>
      <c r="F767" s="215"/>
      <c r="G767" s="215"/>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c r="AD767" s="215"/>
      <c r="AE767" s="215"/>
      <c r="AF767" s="215"/>
      <c r="AG767" s="215"/>
      <c r="AH767" s="215"/>
      <c r="AI767" s="215"/>
      <c r="AJ767" s="215"/>
      <c r="AK767" s="215"/>
      <c r="AL767" s="215"/>
      <c r="AM767" s="215"/>
      <c r="AN767" s="215"/>
      <c r="AO767" s="215"/>
      <c r="AP767" s="215"/>
      <c r="AQ767" s="215"/>
      <c r="AR767" s="215"/>
      <c r="AS767" s="215"/>
      <c r="AT767" s="215"/>
      <c r="AU767" s="215"/>
      <c r="AV767" s="215"/>
      <c r="AW767" s="215"/>
      <c r="AX767" s="215"/>
      <c r="AY767" s="215"/>
    </row>
    <row r="768">
      <c r="A768" s="80"/>
      <c r="B768" s="80"/>
      <c r="C768" s="80"/>
      <c r="D768" s="80"/>
      <c r="E768" s="215"/>
      <c r="F768" s="215"/>
      <c r="G768" s="215"/>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c r="AD768" s="215"/>
      <c r="AE768" s="215"/>
      <c r="AF768" s="215"/>
      <c r="AG768" s="215"/>
      <c r="AH768" s="215"/>
      <c r="AI768" s="215"/>
      <c r="AJ768" s="215"/>
      <c r="AK768" s="215"/>
      <c r="AL768" s="215"/>
      <c r="AM768" s="215"/>
      <c r="AN768" s="215"/>
      <c r="AO768" s="215"/>
      <c r="AP768" s="215"/>
      <c r="AQ768" s="215"/>
      <c r="AR768" s="215"/>
      <c r="AS768" s="215"/>
      <c r="AT768" s="215"/>
      <c r="AU768" s="215"/>
      <c r="AV768" s="215"/>
      <c r="AW768" s="215"/>
      <c r="AX768" s="215"/>
      <c r="AY768" s="215"/>
    </row>
    <row r="769">
      <c r="A769" s="80"/>
      <c r="B769" s="80"/>
      <c r="C769" s="80"/>
      <c r="D769" s="80"/>
      <c r="E769" s="215"/>
      <c r="F769" s="215"/>
      <c r="G769" s="215"/>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c r="AD769" s="215"/>
      <c r="AE769" s="215"/>
      <c r="AF769" s="215"/>
      <c r="AG769" s="215"/>
      <c r="AH769" s="215"/>
      <c r="AI769" s="215"/>
      <c r="AJ769" s="215"/>
      <c r="AK769" s="215"/>
      <c r="AL769" s="215"/>
      <c r="AM769" s="215"/>
      <c r="AN769" s="215"/>
      <c r="AO769" s="215"/>
      <c r="AP769" s="215"/>
      <c r="AQ769" s="215"/>
      <c r="AR769" s="215"/>
      <c r="AS769" s="215"/>
      <c r="AT769" s="215"/>
      <c r="AU769" s="215"/>
      <c r="AV769" s="215"/>
      <c r="AW769" s="215"/>
      <c r="AX769" s="215"/>
      <c r="AY769" s="215"/>
    </row>
    <row r="770">
      <c r="A770" s="80"/>
      <c r="B770" s="80"/>
      <c r="C770" s="80"/>
      <c r="D770" s="80"/>
      <c r="E770" s="215"/>
      <c r="F770" s="215"/>
      <c r="G770" s="215"/>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c r="AD770" s="215"/>
      <c r="AE770" s="215"/>
      <c r="AF770" s="215"/>
      <c r="AG770" s="215"/>
      <c r="AH770" s="215"/>
      <c r="AI770" s="215"/>
      <c r="AJ770" s="215"/>
      <c r="AK770" s="215"/>
      <c r="AL770" s="215"/>
      <c r="AM770" s="215"/>
      <c r="AN770" s="215"/>
      <c r="AO770" s="215"/>
      <c r="AP770" s="215"/>
      <c r="AQ770" s="215"/>
      <c r="AR770" s="215"/>
      <c r="AS770" s="215"/>
      <c r="AT770" s="215"/>
      <c r="AU770" s="215"/>
      <c r="AV770" s="215"/>
      <c r="AW770" s="215"/>
      <c r="AX770" s="215"/>
      <c r="AY770" s="215"/>
    </row>
    <row r="771">
      <c r="A771" s="80"/>
      <c r="B771" s="80"/>
      <c r="C771" s="80"/>
      <c r="D771" s="80"/>
      <c r="E771" s="215"/>
      <c r="F771" s="215"/>
      <c r="G771" s="215"/>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c r="AD771" s="215"/>
      <c r="AE771" s="215"/>
      <c r="AF771" s="215"/>
      <c r="AG771" s="215"/>
      <c r="AH771" s="215"/>
      <c r="AI771" s="215"/>
      <c r="AJ771" s="215"/>
      <c r="AK771" s="215"/>
      <c r="AL771" s="215"/>
      <c r="AM771" s="215"/>
      <c r="AN771" s="215"/>
      <c r="AO771" s="215"/>
      <c r="AP771" s="215"/>
      <c r="AQ771" s="215"/>
      <c r="AR771" s="215"/>
      <c r="AS771" s="215"/>
      <c r="AT771" s="215"/>
      <c r="AU771" s="215"/>
      <c r="AV771" s="215"/>
      <c r="AW771" s="215"/>
      <c r="AX771" s="215"/>
      <c r="AY771" s="215"/>
    </row>
    <row r="772">
      <c r="A772" s="80"/>
      <c r="B772" s="80"/>
      <c r="C772" s="80"/>
      <c r="D772" s="80"/>
      <c r="E772" s="215"/>
      <c r="F772" s="215"/>
      <c r="G772" s="215"/>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c r="AD772" s="215"/>
      <c r="AE772" s="215"/>
      <c r="AF772" s="215"/>
      <c r="AG772" s="215"/>
      <c r="AH772" s="215"/>
      <c r="AI772" s="215"/>
      <c r="AJ772" s="215"/>
      <c r="AK772" s="215"/>
      <c r="AL772" s="215"/>
      <c r="AM772" s="215"/>
      <c r="AN772" s="215"/>
      <c r="AO772" s="215"/>
      <c r="AP772" s="215"/>
      <c r="AQ772" s="215"/>
      <c r="AR772" s="215"/>
      <c r="AS772" s="215"/>
      <c r="AT772" s="215"/>
      <c r="AU772" s="215"/>
      <c r="AV772" s="215"/>
      <c r="AW772" s="215"/>
      <c r="AX772" s="215"/>
      <c r="AY772" s="215"/>
    </row>
    <row r="773">
      <c r="A773" s="80"/>
      <c r="B773" s="80"/>
      <c r="C773" s="80"/>
      <c r="D773" s="80"/>
      <c r="E773" s="215"/>
      <c r="F773" s="215"/>
      <c r="G773" s="215"/>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c r="AD773" s="215"/>
      <c r="AE773" s="215"/>
      <c r="AF773" s="215"/>
      <c r="AG773" s="215"/>
      <c r="AH773" s="215"/>
      <c r="AI773" s="215"/>
      <c r="AJ773" s="215"/>
      <c r="AK773" s="215"/>
      <c r="AL773" s="215"/>
      <c r="AM773" s="215"/>
      <c r="AN773" s="215"/>
      <c r="AO773" s="215"/>
      <c r="AP773" s="215"/>
      <c r="AQ773" s="215"/>
      <c r="AR773" s="215"/>
      <c r="AS773" s="215"/>
      <c r="AT773" s="215"/>
      <c r="AU773" s="215"/>
      <c r="AV773" s="215"/>
      <c r="AW773" s="215"/>
      <c r="AX773" s="215"/>
      <c r="AY773" s="215"/>
    </row>
    <row r="774">
      <c r="A774" s="80"/>
      <c r="B774" s="80"/>
      <c r="C774" s="80"/>
      <c r="D774" s="80"/>
      <c r="E774" s="215"/>
      <c r="F774" s="215"/>
      <c r="G774" s="215"/>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c r="AD774" s="215"/>
      <c r="AE774" s="215"/>
      <c r="AF774" s="215"/>
      <c r="AG774" s="215"/>
      <c r="AH774" s="215"/>
      <c r="AI774" s="215"/>
      <c r="AJ774" s="215"/>
      <c r="AK774" s="215"/>
      <c r="AL774" s="215"/>
      <c r="AM774" s="215"/>
      <c r="AN774" s="215"/>
      <c r="AO774" s="215"/>
      <c r="AP774" s="215"/>
      <c r="AQ774" s="215"/>
      <c r="AR774" s="215"/>
      <c r="AS774" s="215"/>
      <c r="AT774" s="215"/>
      <c r="AU774" s="215"/>
      <c r="AV774" s="215"/>
      <c r="AW774" s="215"/>
      <c r="AX774" s="215"/>
      <c r="AY774" s="215"/>
    </row>
    <row r="775">
      <c r="A775" s="80"/>
      <c r="B775" s="80"/>
      <c r="C775" s="80"/>
      <c r="D775" s="80"/>
      <c r="E775" s="215"/>
      <c r="F775" s="215"/>
      <c r="G775" s="215"/>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c r="AD775" s="215"/>
      <c r="AE775" s="215"/>
      <c r="AF775" s="215"/>
      <c r="AG775" s="215"/>
      <c r="AH775" s="215"/>
      <c r="AI775" s="215"/>
      <c r="AJ775" s="215"/>
      <c r="AK775" s="215"/>
      <c r="AL775" s="215"/>
      <c r="AM775" s="215"/>
      <c r="AN775" s="215"/>
      <c r="AO775" s="215"/>
      <c r="AP775" s="215"/>
      <c r="AQ775" s="215"/>
      <c r="AR775" s="215"/>
      <c r="AS775" s="215"/>
      <c r="AT775" s="215"/>
      <c r="AU775" s="215"/>
      <c r="AV775" s="215"/>
      <c r="AW775" s="215"/>
      <c r="AX775" s="215"/>
      <c r="AY775" s="215"/>
    </row>
    <row r="776">
      <c r="A776" s="80"/>
      <c r="B776" s="80"/>
      <c r="C776" s="80"/>
      <c r="D776" s="80"/>
      <c r="E776" s="215"/>
      <c r="F776" s="215"/>
      <c r="G776" s="215"/>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c r="AD776" s="215"/>
      <c r="AE776" s="215"/>
      <c r="AF776" s="215"/>
      <c r="AG776" s="215"/>
      <c r="AH776" s="215"/>
      <c r="AI776" s="215"/>
      <c r="AJ776" s="215"/>
      <c r="AK776" s="215"/>
      <c r="AL776" s="215"/>
      <c r="AM776" s="215"/>
      <c r="AN776" s="215"/>
      <c r="AO776" s="215"/>
      <c r="AP776" s="215"/>
      <c r="AQ776" s="215"/>
      <c r="AR776" s="215"/>
      <c r="AS776" s="215"/>
      <c r="AT776" s="215"/>
      <c r="AU776" s="215"/>
      <c r="AV776" s="215"/>
      <c r="AW776" s="215"/>
      <c r="AX776" s="215"/>
      <c r="AY776" s="215"/>
    </row>
    <row r="777">
      <c r="A777" s="80"/>
      <c r="B777" s="80"/>
      <c r="C777" s="80"/>
      <c r="D777" s="80"/>
      <c r="E777" s="215"/>
      <c r="F777" s="215"/>
      <c r="G777" s="215"/>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c r="AD777" s="215"/>
      <c r="AE777" s="215"/>
      <c r="AF777" s="215"/>
      <c r="AG777" s="215"/>
      <c r="AH777" s="215"/>
      <c r="AI777" s="215"/>
      <c r="AJ777" s="215"/>
      <c r="AK777" s="215"/>
      <c r="AL777" s="215"/>
      <c r="AM777" s="215"/>
      <c r="AN777" s="215"/>
      <c r="AO777" s="215"/>
      <c r="AP777" s="215"/>
      <c r="AQ777" s="215"/>
      <c r="AR777" s="215"/>
      <c r="AS777" s="215"/>
      <c r="AT777" s="215"/>
      <c r="AU777" s="215"/>
      <c r="AV777" s="215"/>
      <c r="AW777" s="215"/>
      <c r="AX777" s="215"/>
      <c r="AY777" s="215"/>
    </row>
    <row r="778">
      <c r="A778" s="80"/>
      <c r="B778" s="80"/>
      <c r="C778" s="80"/>
      <c r="D778" s="80"/>
      <c r="E778" s="215"/>
      <c r="F778" s="215"/>
      <c r="G778" s="215"/>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c r="AD778" s="215"/>
      <c r="AE778" s="215"/>
      <c r="AF778" s="215"/>
      <c r="AG778" s="215"/>
      <c r="AH778" s="215"/>
      <c r="AI778" s="215"/>
      <c r="AJ778" s="215"/>
      <c r="AK778" s="215"/>
      <c r="AL778" s="215"/>
      <c r="AM778" s="215"/>
      <c r="AN778" s="215"/>
      <c r="AO778" s="215"/>
      <c r="AP778" s="215"/>
      <c r="AQ778" s="215"/>
      <c r="AR778" s="215"/>
      <c r="AS778" s="215"/>
      <c r="AT778" s="215"/>
      <c r="AU778" s="215"/>
      <c r="AV778" s="215"/>
      <c r="AW778" s="215"/>
      <c r="AX778" s="215"/>
      <c r="AY778" s="215"/>
    </row>
    <row r="779">
      <c r="A779" s="80"/>
      <c r="B779" s="80"/>
      <c r="C779" s="80"/>
      <c r="D779" s="80"/>
      <c r="E779" s="215"/>
      <c r="F779" s="215"/>
      <c r="G779" s="215"/>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c r="AD779" s="215"/>
      <c r="AE779" s="215"/>
      <c r="AF779" s="215"/>
      <c r="AG779" s="215"/>
      <c r="AH779" s="215"/>
      <c r="AI779" s="215"/>
      <c r="AJ779" s="215"/>
      <c r="AK779" s="215"/>
      <c r="AL779" s="215"/>
      <c r="AM779" s="215"/>
      <c r="AN779" s="215"/>
      <c r="AO779" s="215"/>
      <c r="AP779" s="215"/>
      <c r="AQ779" s="215"/>
      <c r="AR779" s="215"/>
      <c r="AS779" s="215"/>
      <c r="AT779" s="215"/>
      <c r="AU779" s="215"/>
      <c r="AV779" s="215"/>
      <c r="AW779" s="215"/>
      <c r="AX779" s="215"/>
      <c r="AY779" s="215"/>
    </row>
    <row r="780">
      <c r="A780" s="80"/>
      <c r="B780" s="80"/>
      <c r="C780" s="80"/>
      <c r="D780" s="80"/>
      <c r="E780" s="215"/>
      <c r="F780" s="215"/>
      <c r="G780" s="215"/>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c r="AD780" s="215"/>
      <c r="AE780" s="215"/>
      <c r="AF780" s="215"/>
      <c r="AG780" s="215"/>
      <c r="AH780" s="215"/>
      <c r="AI780" s="215"/>
      <c r="AJ780" s="215"/>
      <c r="AK780" s="215"/>
      <c r="AL780" s="215"/>
      <c r="AM780" s="215"/>
      <c r="AN780" s="215"/>
      <c r="AO780" s="215"/>
      <c r="AP780" s="215"/>
      <c r="AQ780" s="215"/>
      <c r="AR780" s="215"/>
      <c r="AS780" s="215"/>
      <c r="AT780" s="215"/>
      <c r="AU780" s="215"/>
      <c r="AV780" s="215"/>
      <c r="AW780" s="215"/>
      <c r="AX780" s="215"/>
      <c r="AY780" s="215"/>
    </row>
    <row r="781">
      <c r="A781" s="80"/>
      <c r="B781" s="80"/>
      <c r="C781" s="80"/>
      <c r="D781" s="80"/>
      <c r="E781" s="215"/>
      <c r="F781" s="215"/>
      <c r="G781" s="215"/>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c r="AD781" s="215"/>
      <c r="AE781" s="215"/>
      <c r="AF781" s="215"/>
      <c r="AG781" s="215"/>
      <c r="AH781" s="215"/>
      <c r="AI781" s="215"/>
      <c r="AJ781" s="215"/>
      <c r="AK781" s="215"/>
      <c r="AL781" s="215"/>
      <c r="AM781" s="215"/>
      <c r="AN781" s="215"/>
      <c r="AO781" s="215"/>
      <c r="AP781" s="215"/>
      <c r="AQ781" s="215"/>
      <c r="AR781" s="215"/>
      <c r="AS781" s="215"/>
      <c r="AT781" s="215"/>
      <c r="AU781" s="215"/>
      <c r="AV781" s="215"/>
      <c r="AW781" s="215"/>
      <c r="AX781" s="215"/>
      <c r="AY781" s="215"/>
    </row>
    <row r="782">
      <c r="A782" s="80"/>
      <c r="B782" s="80"/>
      <c r="C782" s="80"/>
      <c r="D782" s="80"/>
      <c r="E782" s="215"/>
      <c r="F782" s="215"/>
      <c r="G782" s="215"/>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c r="AD782" s="215"/>
      <c r="AE782" s="215"/>
      <c r="AF782" s="215"/>
      <c r="AG782" s="215"/>
      <c r="AH782" s="215"/>
      <c r="AI782" s="215"/>
      <c r="AJ782" s="215"/>
      <c r="AK782" s="215"/>
      <c r="AL782" s="215"/>
      <c r="AM782" s="215"/>
      <c r="AN782" s="215"/>
      <c r="AO782" s="215"/>
      <c r="AP782" s="215"/>
      <c r="AQ782" s="215"/>
      <c r="AR782" s="215"/>
      <c r="AS782" s="215"/>
      <c r="AT782" s="215"/>
      <c r="AU782" s="215"/>
      <c r="AV782" s="215"/>
      <c r="AW782" s="215"/>
      <c r="AX782" s="215"/>
      <c r="AY782" s="215"/>
    </row>
    <row r="783">
      <c r="A783" s="80"/>
      <c r="B783" s="80"/>
      <c r="C783" s="80"/>
      <c r="D783" s="80"/>
      <c r="E783" s="215"/>
      <c r="F783" s="215"/>
      <c r="G783" s="215"/>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c r="AD783" s="215"/>
      <c r="AE783" s="215"/>
      <c r="AF783" s="215"/>
      <c r="AG783" s="215"/>
      <c r="AH783" s="215"/>
      <c r="AI783" s="215"/>
      <c r="AJ783" s="215"/>
      <c r="AK783" s="215"/>
      <c r="AL783" s="215"/>
      <c r="AM783" s="215"/>
      <c r="AN783" s="215"/>
      <c r="AO783" s="215"/>
      <c r="AP783" s="215"/>
      <c r="AQ783" s="215"/>
      <c r="AR783" s="215"/>
      <c r="AS783" s="215"/>
      <c r="AT783" s="215"/>
      <c r="AU783" s="215"/>
      <c r="AV783" s="215"/>
      <c r="AW783" s="215"/>
      <c r="AX783" s="215"/>
      <c r="AY783" s="215"/>
    </row>
    <row r="784">
      <c r="A784" s="80"/>
      <c r="B784" s="80"/>
      <c r="C784" s="80"/>
      <c r="D784" s="80"/>
      <c r="E784" s="215"/>
      <c r="F784" s="215"/>
      <c r="G784" s="215"/>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c r="AD784" s="215"/>
      <c r="AE784" s="215"/>
      <c r="AF784" s="215"/>
      <c r="AG784" s="215"/>
      <c r="AH784" s="215"/>
      <c r="AI784" s="215"/>
      <c r="AJ784" s="215"/>
      <c r="AK784" s="215"/>
      <c r="AL784" s="215"/>
      <c r="AM784" s="215"/>
      <c r="AN784" s="215"/>
      <c r="AO784" s="215"/>
      <c r="AP784" s="215"/>
      <c r="AQ784" s="215"/>
      <c r="AR784" s="215"/>
      <c r="AS784" s="215"/>
      <c r="AT784" s="215"/>
      <c r="AU784" s="215"/>
      <c r="AV784" s="215"/>
      <c r="AW784" s="215"/>
      <c r="AX784" s="215"/>
      <c r="AY784" s="215"/>
    </row>
    <row r="785">
      <c r="A785" s="80"/>
      <c r="B785" s="80"/>
      <c r="C785" s="80"/>
      <c r="D785" s="80"/>
      <c r="E785" s="215"/>
      <c r="F785" s="215"/>
      <c r="G785" s="215"/>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c r="AD785" s="215"/>
      <c r="AE785" s="215"/>
      <c r="AF785" s="215"/>
      <c r="AG785" s="215"/>
      <c r="AH785" s="215"/>
      <c r="AI785" s="215"/>
      <c r="AJ785" s="215"/>
      <c r="AK785" s="215"/>
      <c r="AL785" s="215"/>
      <c r="AM785" s="215"/>
      <c r="AN785" s="215"/>
      <c r="AO785" s="215"/>
      <c r="AP785" s="215"/>
      <c r="AQ785" s="215"/>
      <c r="AR785" s="215"/>
      <c r="AS785" s="215"/>
      <c r="AT785" s="215"/>
      <c r="AU785" s="215"/>
      <c r="AV785" s="215"/>
      <c r="AW785" s="215"/>
      <c r="AX785" s="215"/>
      <c r="AY785" s="215"/>
    </row>
    <row r="786">
      <c r="A786" s="80"/>
      <c r="B786" s="80"/>
      <c r="C786" s="80"/>
      <c r="D786" s="80"/>
      <c r="E786" s="215"/>
      <c r="F786" s="215"/>
      <c r="G786" s="215"/>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c r="AD786" s="215"/>
      <c r="AE786" s="215"/>
      <c r="AF786" s="215"/>
      <c r="AG786" s="215"/>
      <c r="AH786" s="215"/>
      <c r="AI786" s="215"/>
      <c r="AJ786" s="215"/>
      <c r="AK786" s="215"/>
      <c r="AL786" s="215"/>
      <c r="AM786" s="215"/>
      <c r="AN786" s="215"/>
      <c r="AO786" s="215"/>
      <c r="AP786" s="215"/>
      <c r="AQ786" s="215"/>
      <c r="AR786" s="215"/>
      <c r="AS786" s="215"/>
      <c r="AT786" s="215"/>
      <c r="AU786" s="215"/>
      <c r="AV786" s="215"/>
      <c r="AW786" s="215"/>
      <c r="AX786" s="215"/>
      <c r="AY786" s="215"/>
    </row>
    <row r="787">
      <c r="A787" s="80"/>
      <c r="B787" s="80"/>
      <c r="C787" s="80"/>
      <c r="D787" s="80"/>
      <c r="E787" s="215"/>
      <c r="F787" s="215"/>
      <c r="G787" s="215"/>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c r="AD787" s="215"/>
      <c r="AE787" s="215"/>
      <c r="AF787" s="215"/>
      <c r="AG787" s="215"/>
      <c r="AH787" s="215"/>
      <c r="AI787" s="215"/>
      <c r="AJ787" s="215"/>
      <c r="AK787" s="215"/>
      <c r="AL787" s="215"/>
      <c r="AM787" s="215"/>
      <c r="AN787" s="215"/>
      <c r="AO787" s="215"/>
      <c r="AP787" s="215"/>
      <c r="AQ787" s="215"/>
      <c r="AR787" s="215"/>
      <c r="AS787" s="215"/>
      <c r="AT787" s="215"/>
      <c r="AU787" s="215"/>
      <c r="AV787" s="215"/>
      <c r="AW787" s="215"/>
      <c r="AX787" s="215"/>
      <c r="AY787" s="215"/>
    </row>
    <row r="788">
      <c r="A788" s="80"/>
      <c r="B788" s="80"/>
      <c r="C788" s="80"/>
      <c r="D788" s="80"/>
      <c r="E788" s="215"/>
      <c r="F788" s="215"/>
      <c r="G788" s="215"/>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c r="AD788" s="215"/>
      <c r="AE788" s="215"/>
      <c r="AF788" s="215"/>
      <c r="AG788" s="215"/>
      <c r="AH788" s="215"/>
      <c r="AI788" s="215"/>
      <c r="AJ788" s="215"/>
      <c r="AK788" s="215"/>
      <c r="AL788" s="215"/>
      <c r="AM788" s="215"/>
      <c r="AN788" s="215"/>
      <c r="AO788" s="215"/>
      <c r="AP788" s="215"/>
      <c r="AQ788" s="215"/>
      <c r="AR788" s="215"/>
      <c r="AS788" s="215"/>
      <c r="AT788" s="215"/>
      <c r="AU788" s="215"/>
      <c r="AV788" s="215"/>
      <c r="AW788" s="215"/>
      <c r="AX788" s="215"/>
      <c r="AY788" s="215"/>
    </row>
    <row r="789">
      <c r="A789" s="80"/>
      <c r="B789" s="80"/>
      <c r="C789" s="80"/>
      <c r="D789" s="80"/>
      <c r="E789" s="215"/>
      <c r="F789" s="215"/>
      <c r="G789" s="215"/>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c r="AD789" s="215"/>
      <c r="AE789" s="215"/>
      <c r="AF789" s="215"/>
      <c r="AG789" s="215"/>
      <c r="AH789" s="215"/>
      <c r="AI789" s="215"/>
      <c r="AJ789" s="215"/>
      <c r="AK789" s="215"/>
      <c r="AL789" s="215"/>
      <c r="AM789" s="215"/>
      <c r="AN789" s="215"/>
      <c r="AO789" s="215"/>
      <c r="AP789" s="215"/>
      <c r="AQ789" s="215"/>
      <c r="AR789" s="215"/>
      <c r="AS789" s="215"/>
      <c r="AT789" s="215"/>
      <c r="AU789" s="215"/>
      <c r="AV789" s="215"/>
      <c r="AW789" s="215"/>
      <c r="AX789" s="215"/>
      <c r="AY789" s="215"/>
    </row>
    <row r="790">
      <c r="A790" s="80"/>
      <c r="B790" s="80"/>
      <c r="C790" s="80"/>
      <c r="D790" s="80"/>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15"/>
      <c r="AH790" s="215"/>
      <c r="AI790" s="215"/>
      <c r="AJ790" s="215"/>
      <c r="AK790" s="215"/>
      <c r="AL790" s="215"/>
      <c r="AM790" s="215"/>
      <c r="AN790" s="215"/>
      <c r="AO790" s="215"/>
      <c r="AP790" s="215"/>
      <c r="AQ790" s="215"/>
      <c r="AR790" s="215"/>
      <c r="AS790" s="215"/>
      <c r="AT790" s="215"/>
      <c r="AU790" s="215"/>
      <c r="AV790" s="215"/>
      <c r="AW790" s="215"/>
      <c r="AX790" s="215"/>
      <c r="AY790" s="215"/>
    </row>
    <row r="791">
      <c r="A791" s="80"/>
      <c r="B791" s="80"/>
      <c r="C791" s="80"/>
      <c r="D791" s="80"/>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15"/>
      <c r="AH791" s="215"/>
      <c r="AI791" s="215"/>
      <c r="AJ791" s="215"/>
      <c r="AK791" s="215"/>
      <c r="AL791" s="215"/>
      <c r="AM791" s="215"/>
      <c r="AN791" s="215"/>
      <c r="AO791" s="215"/>
      <c r="AP791" s="215"/>
      <c r="AQ791" s="215"/>
      <c r="AR791" s="215"/>
      <c r="AS791" s="215"/>
      <c r="AT791" s="215"/>
      <c r="AU791" s="215"/>
      <c r="AV791" s="215"/>
      <c r="AW791" s="215"/>
      <c r="AX791" s="215"/>
      <c r="AY791" s="215"/>
    </row>
    <row r="792">
      <c r="A792" s="80"/>
      <c r="B792" s="80"/>
      <c r="C792" s="80"/>
      <c r="D792" s="80"/>
      <c r="E792" s="215"/>
      <c r="F792" s="215"/>
      <c r="G792" s="215"/>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c r="AD792" s="215"/>
      <c r="AE792" s="215"/>
      <c r="AF792" s="215"/>
      <c r="AG792" s="215"/>
      <c r="AH792" s="215"/>
      <c r="AI792" s="215"/>
      <c r="AJ792" s="215"/>
      <c r="AK792" s="215"/>
      <c r="AL792" s="215"/>
      <c r="AM792" s="215"/>
      <c r="AN792" s="215"/>
      <c r="AO792" s="215"/>
      <c r="AP792" s="215"/>
      <c r="AQ792" s="215"/>
      <c r="AR792" s="215"/>
      <c r="AS792" s="215"/>
      <c r="AT792" s="215"/>
      <c r="AU792" s="215"/>
      <c r="AV792" s="215"/>
      <c r="AW792" s="215"/>
      <c r="AX792" s="215"/>
      <c r="AY792" s="215"/>
    </row>
    <row r="793">
      <c r="A793" s="80"/>
      <c r="B793" s="80"/>
      <c r="C793" s="80"/>
      <c r="D793" s="80"/>
      <c r="E793" s="215"/>
      <c r="F793" s="215"/>
      <c r="G793" s="215"/>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c r="AD793" s="215"/>
      <c r="AE793" s="215"/>
      <c r="AF793" s="215"/>
      <c r="AG793" s="215"/>
      <c r="AH793" s="215"/>
      <c r="AI793" s="215"/>
      <c r="AJ793" s="215"/>
      <c r="AK793" s="215"/>
      <c r="AL793" s="215"/>
      <c r="AM793" s="215"/>
      <c r="AN793" s="215"/>
      <c r="AO793" s="215"/>
      <c r="AP793" s="215"/>
      <c r="AQ793" s="215"/>
      <c r="AR793" s="215"/>
      <c r="AS793" s="215"/>
      <c r="AT793" s="215"/>
      <c r="AU793" s="215"/>
      <c r="AV793" s="215"/>
      <c r="AW793" s="215"/>
      <c r="AX793" s="215"/>
      <c r="AY793" s="215"/>
    </row>
    <row r="794">
      <c r="A794" s="80"/>
      <c r="B794" s="80"/>
      <c r="C794" s="80"/>
      <c r="D794" s="80"/>
      <c r="E794" s="215"/>
      <c r="F794" s="215"/>
      <c r="G794" s="215"/>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c r="AD794" s="215"/>
      <c r="AE794" s="215"/>
      <c r="AF794" s="215"/>
      <c r="AG794" s="215"/>
      <c r="AH794" s="215"/>
      <c r="AI794" s="215"/>
      <c r="AJ794" s="215"/>
      <c r="AK794" s="215"/>
      <c r="AL794" s="215"/>
      <c r="AM794" s="215"/>
      <c r="AN794" s="215"/>
      <c r="AO794" s="215"/>
      <c r="AP794" s="215"/>
      <c r="AQ794" s="215"/>
      <c r="AR794" s="215"/>
      <c r="AS794" s="215"/>
      <c r="AT794" s="215"/>
      <c r="AU794" s="215"/>
      <c r="AV794" s="215"/>
      <c r="AW794" s="215"/>
      <c r="AX794" s="215"/>
      <c r="AY794" s="215"/>
    </row>
    <row r="795">
      <c r="A795" s="80"/>
      <c r="B795" s="80"/>
      <c r="C795" s="80"/>
      <c r="D795" s="80"/>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15"/>
      <c r="AH795" s="215"/>
      <c r="AI795" s="215"/>
      <c r="AJ795" s="215"/>
      <c r="AK795" s="215"/>
      <c r="AL795" s="215"/>
      <c r="AM795" s="215"/>
      <c r="AN795" s="215"/>
      <c r="AO795" s="215"/>
      <c r="AP795" s="215"/>
      <c r="AQ795" s="215"/>
      <c r="AR795" s="215"/>
      <c r="AS795" s="215"/>
      <c r="AT795" s="215"/>
      <c r="AU795" s="215"/>
      <c r="AV795" s="215"/>
      <c r="AW795" s="215"/>
      <c r="AX795" s="215"/>
      <c r="AY795" s="215"/>
    </row>
    <row r="796">
      <c r="A796" s="80"/>
      <c r="B796" s="80"/>
      <c r="C796" s="80"/>
      <c r="D796" s="80"/>
      <c r="E796" s="215"/>
      <c r="F796" s="215"/>
      <c r="G796" s="215"/>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c r="AD796" s="215"/>
      <c r="AE796" s="215"/>
      <c r="AF796" s="215"/>
      <c r="AG796" s="215"/>
      <c r="AH796" s="215"/>
      <c r="AI796" s="215"/>
      <c r="AJ796" s="215"/>
      <c r="AK796" s="215"/>
      <c r="AL796" s="215"/>
      <c r="AM796" s="215"/>
      <c r="AN796" s="215"/>
      <c r="AO796" s="215"/>
      <c r="AP796" s="215"/>
      <c r="AQ796" s="215"/>
      <c r="AR796" s="215"/>
      <c r="AS796" s="215"/>
      <c r="AT796" s="215"/>
      <c r="AU796" s="215"/>
      <c r="AV796" s="215"/>
      <c r="AW796" s="215"/>
      <c r="AX796" s="215"/>
      <c r="AY796" s="215"/>
    </row>
    <row r="797">
      <c r="A797" s="80"/>
      <c r="B797" s="80"/>
      <c r="C797" s="80"/>
      <c r="D797" s="80"/>
      <c r="E797" s="215"/>
      <c r="F797" s="215"/>
      <c r="G797" s="215"/>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c r="AD797" s="215"/>
      <c r="AE797" s="215"/>
      <c r="AF797" s="215"/>
      <c r="AG797" s="215"/>
      <c r="AH797" s="215"/>
      <c r="AI797" s="215"/>
      <c r="AJ797" s="215"/>
      <c r="AK797" s="215"/>
      <c r="AL797" s="215"/>
      <c r="AM797" s="215"/>
      <c r="AN797" s="215"/>
      <c r="AO797" s="215"/>
      <c r="AP797" s="215"/>
      <c r="AQ797" s="215"/>
      <c r="AR797" s="215"/>
      <c r="AS797" s="215"/>
      <c r="AT797" s="215"/>
      <c r="AU797" s="215"/>
      <c r="AV797" s="215"/>
      <c r="AW797" s="215"/>
      <c r="AX797" s="215"/>
      <c r="AY797" s="215"/>
    </row>
    <row r="798">
      <c r="A798" s="80"/>
      <c r="B798" s="80"/>
      <c r="C798" s="80"/>
      <c r="D798" s="80"/>
      <c r="E798" s="215"/>
      <c r="F798" s="215"/>
      <c r="G798" s="215"/>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c r="AD798" s="215"/>
      <c r="AE798" s="215"/>
      <c r="AF798" s="215"/>
      <c r="AG798" s="215"/>
      <c r="AH798" s="215"/>
      <c r="AI798" s="215"/>
      <c r="AJ798" s="215"/>
      <c r="AK798" s="215"/>
      <c r="AL798" s="215"/>
      <c r="AM798" s="215"/>
      <c r="AN798" s="215"/>
      <c r="AO798" s="215"/>
      <c r="AP798" s="215"/>
      <c r="AQ798" s="215"/>
      <c r="AR798" s="215"/>
      <c r="AS798" s="215"/>
      <c r="AT798" s="215"/>
      <c r="AU798" s="215"/>
      <c r="AV798" s="215"/>
      <c r="AW798" s="215"/>
      <c r="AX798" s="215"/>
      <c r="AY798" s="215"/>
    </row>
    <row r="799">
      <c r="A799" s="80"/>
      <c r="B799" s="80"/>
      <c r="C799" s="80"/>
      <c r="D799" s="80"/>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15"/>
      <c r="AH799" s="215"/>
      <c r="AI799" s="215"/>
      <c r="AJ799" s="215"/>
      <c r="AK799" s="215"/>
      <c r="AL799" s="215"/>
      <c r="AM799" s="215"/>
      <c r="AN799" s="215"/>
      <c r="AO799" s="215"/>
      <c r="AP799" s="215"/>
      <c r="AQ799" s="215"/>
      <c r="AR799" s="215"/>
      <c r="AS799" s="215"/>
      <c r="AT799" s="215"/>
      <c r="AU799" s="215"/>
      <c r="AV799" s="215"/>
      <c r="AW799" s="215"/>
      <c r="AX799" s="215"/>
      <c r="AY799" s="215"/>
    </row>
    <row r="800">
      <c r="A800" s="80"/>
      <c r="B800" s="80"/>
      <c r="C800" s="80"/>
      <c r="D800" s="80"/>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15"/>
      <c r="AH800" s="215"/>
      <c r="AI800" s="215"/>
      <c r="AJ800" s="215"/>
      <c r="AK800" s="215"/>
      <c r="AL800" s="215"/>
      <c r="AM800" s="215"/>
      <c r="AN800" s="215"/>
      <c r="AO800" s="215"/>
      <c r="AP800" s="215"/>
      <c r="AQ800" s="215"/>
      <c r="AR800" s="215"/>
      <c r="AS800" s="215"/>
      <c r="AT800" s="215"/>
      <c r="AU800" s="215"/>
      <c r="AV800" s="215"/>
      <c r="AW800" s="215"/>
      <c r="AX800" s="215"/>
      <c r="AY800" s="215"/>
    </row>
    <row r="801">
      <c r="A801" s="80"/>
      <c r="B801" s="80"/>
      <c r="C801" s="80"/>
      <c r="D801" s="80"/>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15"/>
      <c r="AH801" s="215"/>
      <c r="AI801" s="215"/>
      <c r="AJ801" s="215"/>
      <c r="AK801" s="215"/>
      <c r="AL801" s="215"/>
      <c r="AM801" s="215"/>
      <c r="AN801" s="215"/>
      <c r="AO801" s="215"/>
      <c r="AP801" s="215"/>
      <c r="AQ801" s="215"/>
      <c r="AR801" s="215"/>
      <c r="AS801" s="215"/>
      <c r="AT801" s="215"/>
      <c r="AU801" s="215"/>
      <c r="AV801" s="215"/>
      <c r="AW801" s="215"/>
      <c r="AX801" s="215"/>
      <c r="AY801" s="215"/>
    </row>
    <row r="802">
      <c r="A802" s="80"/>
      <c r="B802" s="80"/>
      <c r="C802" s="80"/>
      <c r="D802" s="80"/>
      <c r="E802" s="215"/>
      <c r="F802" s="215"/>
      <c r="G802" s="215"/>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c r="AD802" s="215"/>
      <c r="AE802" s="215"/>
      <c r="AF802" s="215"/>
      <c r="AG802" s="215"/>
      <c r="AH802" s="215"/>
      <c r="AI802" s="215"/>
      <c r="AJ802" s="215"/>
      <c r="AK802" s="215"/>
      <c r="AL802" s="215"/>
      <c r="AM802" s="215"/>
      <c r="AN802" s="215"/>
      <c r="AO802" s="215"/>
      <c r="AP802" s="215"/>
      <c r="AQ802" s="215"/>
      <c r="AR802" s="215"/>
      <c r="AS802" s="215"/>
      <c r="AT802" s="215"/>
      <c r="AU802" s="215"/>
      <c r="AV802" s="215"/>
      <c r="AW802" s="215"/>
      <c r="AX802" s="215"/>
      <c r="AY802" s="215"/>
    </row>
    <row r="803">
      <c r="A803" s="80"/>
      <c r="B803" s="80"/>
      <c r="C803" s="80"/>
      <c r="D803" s="80"/>
      <c r="E803" s="215"/>
      <c r="F803" s="215"/>
      <c r="G803" s="215"/>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c r="AD803" s="215"/>
      <c r="AE803" s="215"/>
      <c r="AF803" s="215"/>
      <c r="AG803" s="215"/>
      <c r="AH803" s="215"/>
      <c r="AI803" s="215"/>
      <c r="AJ803" s="215"/>
      <c r="AK803" s="215"/>
      <c r="AL803" s="215"/>
      <c r="AM803" s="215"/>
      <c r="AN803" s="215"/>
      <c r="AO803" s="215"/>
      <c r="AP803" s="215"/>
      <c r="AQ803" s="215"/>
      <c r="AR803" s="215"/>
      <c r="AS803" s="215"/>
      <c r="AT803" s="215"/>
      <c r="AU803" s="215"/>
      <c r="AV803" s="215"/>
      <c r="AW803" s="215"/>
      <c r="AX803" s="215"/>
      <c r="AY803" s="215"/>
    </row>
    <row r="804">
      <c r="A804" s="80"/>
      <c r="B804" s="80"/>
      <c r="C804" s="80"/>
      <c r="D804" s="80"/>
      <c r="E804" s="215"/>
      <c r="F804" s="215"/>
      <c r="G804" s="215"/>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c r="AD804" s="215"/>
      <c r="AE804" s="215"/>
      <c r="AF804" s="215"/>
      <c r="AG804" s="215"/>
      <c r="AH804" s="215"/>
      <c r="AI804" s="215"/>
      <c r="AJ804" s="215"/>
      <c r="AK804" s="215"/>
      <c r="AL804" s="215"/>
      <c r="AM804" s="215"/>
      <c r="AN804" s="215"/>
      <c r="AO804" s="215"/>
      <c r="AP804" s="215"/>
      <c r="AQ804" s="215"/>
      <c r="AR804" s="215"/>
      <c r="AS804" s="215"/>
      <c r="AT804" s="215"/>
      <c r="AU804" s="215"/>
      <c r="AV804" s="215"/>
      <c r="AW804" s="215"/>
      <c r="AX804" s="215"/>
      <c r="AY804" s="215"/>
    </row>
    <row r="805">
      <c r="A805" s="80"/>
      <c r="B805" s="80"/>
      <c r="C805" s="80"/>
      <c r="D805" s="80"/>
      <c r="E805" s="215"/>
      <c r="F805" s="215"/>
      <c r="G805" s="215"/>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c r="AD805" s="215"/>
      <c r="AE805" s="215"/>
      <c r="AF805" s="215"/>
      <c r="AG805" s="215"/>
      <c r="AH805" s="215"/>
      <c r="AI805" s="215"/>
      <c r="AJ805" s="215"/>
      <c r="AK805" s="215"/>
      <c r="AL805" s="215"/>
      <c r="AM805" s="215"/>
      <c r="AN805" s="215"/>
      <c r="AO805" s="215"/>
      <c r="AP805" s="215"/>
      <c r="AQ805" s="215"/>
      <c r="AR805" s="215"/>
      <c r="AS805" s="215"/>
      <c r="AT805" s="215"/>
      <c r="AU805" s="215"/>
      <c r="AV805" s="215"/>
      <c r="AW805" s="215"/>
      <c r="AX805" s="215"/>
      <c r="AY805" s="215"/>
    </row>
    <row r="806">
      <c r="A806" s="80"/>
      <c r="B806" s="80"/>
      <c r="C806" s="80"/>
      <c r="D806" s="80"/>
      <c r="E806" s="215"/>
      <c r="F806" s="215"/>
      <c r="G806" s="215"/>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c r="AD806" s="215"/>
      <c r="AE806" s="215"/>
      <c r="AF806" s="215"/>
      <c r="AG806" s="215"/>
      <c r="AH806" s="215"/>
      <c r="AI806" s="215"/>
      <c r="AJ806" s="215"/>
      <c r="AK806" s="215"/>
      <c r="AL806" s="215"/>
      <c r="AM806" s="215"/>
      <c r="AN806" s="215"/>
      <c r="AO806" s="215"/>
      <c r="AP806" s="215"/>
      <c r="AQ806" s="215"/>
      <c r="AR806" s="215"/>
      <c r="AS806" s="215"/>
      <c r="AT806" s="215"/>
      <c r="AU806" s="215"/>
      <c r="AV806" s="215"/>
      <c r="AW806" s="215"/>
      <c r="AX806" s="215"/>
      <c r="AY806" s="215"/>
    </row>
    <row r="807">
      <c r="A807" s="80"/>
      <c r="B807" s="80"/>
      <c r="C807" s="80"/>
      <c r="D807" s="80"/>
      <c r="E807" s="215"/>
      <c r="F807" s="215"/>
      <c r="G807" s="215"/>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c r="AD807" s="215"/>
      <c r="AE807" s="215"/>
      <c r="AF807" s="215"/>
      <c r="AG807" s="215"/>
      <c r="AH807" s="215"/>
      <c r="AI807" s="215"/>
      <c r="AJ807" s="215"/>
      <c r="AK807" s="215"/>
      <c r="AL807" s="215"/>
      <c r="AM807" s="215"/>
      <c r="AN807" s="215"/>
      <c r="AO807" s="215"/>
      <c r="AP807" s="215"/>
      <c r="AQ807" s="215"/>
      <c r="AR807" s="215"/>
      <c r="AS807" s="215"/>
      <c r="AT807" s="215"/>
      <c r="AU807" s="215"/>
      <c r="AV807" s="215"/>
      <c r="AW807" s="215"/>
      <c r="AX807" s="215"/>
      <c r="AY807" s="215"/>
    </row>
    <row r="808">
      <c r="A808" s="80"/>
      <c r="B808" s="80"/>
      <c r="C808" s="80"/>
      <c r="D808" s="80"/>
      <c r="E808" s="215"/>
      <c r="F808" s="215"/>
      <c r="G808" s="215"/>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c r="AD808" s="215"/>
      <c r="AE808" s="215"/>
      <c r="AF808" s="215"/>
      <c r="AG808" s="215"/>
      <c r="AH808" s="215"/>
      <c r="AI808" s="215"/>
      <c r="AJ808" s="215"/>
      <c r="AK808" s="215"/>
      <c r="AL808" s="215"/>
      <c r="AM808" s="215"/>
      <c r="AN808" s="215"/>
      <c r="AO808" s="215"/>
      <c r="AP808" s="215"/>
      <c r="AQ808" s="215"/>
      <c r="AR808" s="215"/>
      <c r="AS808" s="215"/>
      <c r="AT808" s="215"/>
      <c r="AU808" s="215"/>
      <c r="AV808" s="215"/>
      <c r="AW808" s="215"/>
      <c r="AX808" s="215"/>
      <c r="AY808" s="215"/>
    </row>
    <row r="809">
      <c r="A809" s="80"/>
      <c r="B809" s="80"/>
      <c r="C809" s="80"/>
      <c r="D809" s="80"/>
      <c r="E809" s="215"/>
      <c r="F809" s="215"/>
      <c r="G809" s="215"/>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c r="AD809" s="215"/>
      <c r="AE809" s="215"/>
      <c r="AF809" s="215"/>
      <c r="AG809" s="215"/>
      <c r="AH809" s="215"/>
      <c r="AI809" s="215"/>
      <c r="AJ809" s="215"/>
      <c r="AK809" s="215"/>
      <c r="AL809" s="215"/>
      <c r="AM809" s="215"/>
      <c r="AN809" s="215"/>
      <c r="AO809" s="215"/>
      <c r="AP809" s="215"/>
      <c r="AQ809" s="215"/>
      <c r="AR809" s="215"/>
      <c r="AS809" s="215"/>
      <c r="AT809" s="215"/>
      <c r="AU809" s="215"/>
      <c r="AV809" s="215"/>
      <c r="AW809" s="215"/>
      <c r="AX809" s="215"/>
      <c r="AY809" s="215"/>
    </row>
    <row r="810">
      <c r="A810" s="80"/>
      <c r="B810" s="80"/>
      <c r="C810" s="80"/>
      <c r="D810" s="80"/>
      <c r="E810" s="215"/>
      <c r="F810" s="215"/>
      <c r="G810" s="215"/>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c r="AD810" s="215"/>
      <c r="AE810" s="215"/>
      <c r="AF810" s="215"/>
      <c r="AG810" s="215"/>
      <c r="AH810" s="215"/>
      <c r="AI810" s="215"/>
      <c r="AJ810" s="215"/>
      <c r="AK810" s="215"/>
      <c r="AL810" s="215"/>
      <c r="AM810" s="215"/>
      <c r="AN810" s="215"/>
      <c r="AO810" s="215"/>
      <c r="AP810" s="215"/>
      <c r="AQ810" s="215"/>
      <c r="AR810" s="215"/>
      <c r="AS810" s="215"/>
      <c r="AT810" s="215"/>
      <c r="AU810" s="215"/>
      <c r="AV810" s="215"/>
      <c r="AW810" s="215"/>
      <c r="AX810" s="215"/>
      <c r="AY810" s="215"/>
    </row>
    <row r="811">
      <c r="A811" s="80"/>
      <c r="B811" s="80"/>
      <c r="C811" s="80"/>
      <c r="D811" s="80"/>
      <c r="E811" s="215"/>
      <c r="F811" s="215"/>
      <c r="G811" s="215"/>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c r="AD811" s="215"/>
      <c r="AE811" s="215"/>
      <c r="AF811" s="215"/>
      <c r="AG811" s="215"/>
      <c r="AH811" s="215"/>
      <c r="AI811" s="215"/>
      <c r="AJ811" s="215"/>
      <c r="AK811" s="215"/>
      <c r="AL811" s="215"/>
      <c r="AM811" s="215"/>
      <c r="AN811" s="215"/>
      <c r="AO811" s="215"/>
      <c r="AP811" s="215"/>
      <c r="AQ811" s="215"/>
      <c r="AR811" s="215"/>
      <c r="AS811" s="215"/>
      <c r="AT811" s="215"/>
      <c r="AU811" s="215"/>
      <c r="AV811" s="215"/>
      <c r="AW811" s="215"/>
      <c r="AX811" s="215"/>
      <c r="AY811" s="215"/>
    </row>
    <row r="812">
      <c r="A812" s="80"/>
      <c r="B812" s="80"/>
      <c r="C812" s="80"/>
      <c r="D812" s="80"/>
      <c r="E812" s="215"/>
      <c r="F812" s="215"/>
      <c r="G812" s="215"/>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c r="AD812" s="215"/>
      <c r="AE812" s="215"/>
      <c r="AF812" s="215"/>
      <c r="AG812" s="215"/>
      <c r="AH812" s="215"/>
      <c r="AI812" s="215"/>
      <c r="AJ812" s="215"/>
      <c r="AK812" s="215"/>
      <c r="AL812" s="215"/>
      <c r="AM812" s="215"/>
      <c r="AN812" s="215"/>
      <c r="AO812" s="215"/>
      <c r="AP812" s="215"/>
      <c r="AQ812" s="215"/>
      <c r="AR812" s="215"/>
      <c r="AS812" s="215"/>
      <c r="AT812" s="215"/>
      <c r="AU812" s="215"/>
      <c r="AV812" s="215"/>
      <c r="AW812" s="215"/>
      <c r="AX812" s="215"/>
      <c r="AY812" s="215"/>
    </row>
    <row r="813">
      <c r="A813" s="80"/>
      <c r="B813" s="80"/>
      <c r="C813" s="80"/>
      <c r="D813" s="80"/>
      <c r="E813" s="215"/>
      <c r="F813" s="215"/>
      <c r="G813" s="215"/>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c r="AD813" s="215"/>
      <c r="AE813" s="215"/>
      <c r="AF813" s="215"/>
      <c r="AG813" s="215"/>
      <c r="AH813" s="215"/>
      <c r="AI813" s="215"/>
      <c r="AJ813" s="215"/>
      <c r="AK813" s="215"/>
      <c r="AL813" s="215"/>
      <c r="AM813" s="215"/>
      <c r="AN813" s="215"/>
      <c r="AO813" s="215"/>
      <c r="AP813" s="215"/>
      <c r="AQ813" s="215"/>
      <c r="AR813" s="215"/>
      <c r="AS813" s="215"/>
      <c r="AT813" s="215"/>
      <c r="AU813" s="215"/>
      <c r="AV813" s="215"/>
      <c r="AW813" s="215"/>
      <c r="AX813" s="215"/>
      <c r="AY813" s="215"/>
    </row>
    <row r="814">
      <c r="A814" s="80"/>
      <c r="B814" s="80"/>
      <c r="C814" s="80"/>
      <c r="D814" s="80"/>
      <c r="E814" s="215"/>
      <c r="F814" s="215"/>
      <c r="G814" s="215"/>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c r="AD814" s="215"/>
      <c r="AE814" s="215"/>
      <c r="AF814" s="215"/>
      <c r="AG814" s="215"/>
      <c r="AH814" s="215"/>
      <c r="AI814" s="215"/>
      <c r="AJ814" s="215"/>
      <c r="AK814" s="215"/>
      <c r="AL814" s="215"/>
      <c r="AM814" s="215"/>
      <c r="AN814" s="215"/>
      <c r="AO814" s="215"/>
      <c r="AP814" s="215"/>
      <c r="AQ814" s="215"/>
      <c r="AR814" s="215"/>
      <c r="AS814" s="215"/>
      <c r="AT814" s="215"/>
      <c r="AU814" s="215"/>
      <c r="AV814" s="215"/>
      <c r="AW814" s="215"/>
      <c r="AX814" s="215"/>
      <c r="AY814" s="215"/>
    </row>
    <row r="815">
      <c r="A815" s="80"/>
      <c r="B815" s="80"/>
      <c r="C815" s="80"/>
      <c r="D815" s="80"/>
      <c r="E815" s="215"/>
      <c r="F815" s="215"/>
      <c r="G815" s="215"/>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c r="AD815" s="215"/>
      <c r="AE815" s="215"/>
      <c r="AF815" s="215"/>
      <c r="AG815" s="215"/>
      <c r="AH815" s="215"/>
      <c r="AI815" s="215"/>
      <c r="AJ815" s="215"/>
      <c r="AK815" s="215"/>
      <c r="AL815" s="215"/>
      <c r="AM815" s="215"/>
      <c r="AN815" s="215"/>
      <c r="AO815" s="215"/>
      <c r="AP815" s="215"/>
      <c r="AQ815" s="215"/>
      <c r="AR815" s="215"/>
      <c r="AS815" s="215"/>
      <c r="AT815" s="215"/>
      <c r="AU815" s="215"/>
      <c r="AV815" s="215"/>
      <c r="AW815" s="215"/>
      <c r="AX815" s="215"/>
      <c r="AY815" s="215"/>
    </row>
    <row r="816">
      <c r="A816" s="80"/>
      <c r="B816" s="80"/>
      <c r="C816" s="80"/>
      <c r="D816" s="80"/>
      <c r="E816" s="215"/>
      <c r="F816" s="215"/>
      <c r="G816" s="215"/>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c r="AD816" s="215"/>
      <c r="AE816" s="215"/>
      <c r="AF816" s="215"/>
      <c r="AG816" s="215"/>
      <c r="AH816" s="215"/>
      <c r="AI816" s="215"/>
      <c r="AJ816" s="215"/>
      <c r="AK816" s="215"/>
      <c r="AL816" s="215"/>
      <c r="AM816" s="215"/>
      <c r="AN816" s="215"/>
      <c r="AO816" s="215"/>
      <c r="AP816" s="215"/>
      <c r="AQ816" s="215"/>
      <c r="AR816" s="215"/>
      <c r="AS816" s="215"/>
      <c r="AT816" s="215"/>
      <c r="AU816" s="215"/>
      <c r="AV816" s="215"/>
      <c r="AW816" s="215"/>
      <c r="AX816" s="215"/>
      <c r="AY816" s="215"/>
    </row>
    <row r="817">
      <c r="A817" s="80"/>
      <c r="B817" s="80"/>
      <c r="C817" s="80"/>
      <c r="D817" s="80"/>
      <c r="E817" s="215"/>
      <c r="F817" s="215"/>
      <c r="G817" s="215"/>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c r="AD817" s="215"/>
      <c r="AE817" s="215"/>
      <c r="AF817" s="215"/>
      <c r="AG817" s="215"/>
      <c r="AH817" s="215"/>
      <c r="AI817" s="215"/>
      <c r="AJ817" s="215"/>
      <c r="AK817" s="215"/>
      <c r="AL817" s="215"/>
      <c r="AM817" s="215"/>
      <c r="AN817" s="215"/>
      <c r="AO817" s="215"/>
      <c r="AP817" s="215"/>
      <c r="AQ817" s="215"/>
      <c r="AR817" s="215"/>
      <c r="AS817" s="215"/>
      <c r="AT817" s="215"/>
      <c r="AU817" s="215"/>
      <c r="AV817" s="215"/>
      <c r="AW817" s="215"/>
      <c r="AX817" s="215"/>
      <c r="AY817" s="215"/>
    </row>
    <row r="818">
      <c r="A818" s="80"/>
      <c r="B818" s="80"/>
      <c r="C818" s="80"/>
      <c r="D818" s="80"/>
      <c r="E818" s="215"/>
      <c r="F818" s="215"/>
      <c r="G818" s="215"/>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c r="AD818" s="215"/>
      <c r="AE818" s="215"/>
      <c r="AF818" s="215"/>
      <c r="AG818" s="215"/>
      <c r="AH818" s="215"/>
      <c r="AI818" s="215"/>
      <c r="AJ818" s="215"/>
      <c r="AK818" s="215"/>
      <c r="AL818" s="215"/>
      <c r="AM818" s="215"/>
      <c r="AN818" s="215"/>
      <c r="AO818" s="215"/>
      <c r="AP818" s="215"/>
      <c r="AQ818" s="215"/>
      <c r="AR818" s="215"/>
      <c r="AS818" s="215"/>
      <c r="AT818" s="215"/>
      <c r="AU818" s="215"/>
      <c r="AV818" s="215"/>
      <c r="AW818" s="215"/>
      <c r="AX818" s="215"/>
      <c r="AY818" s="215"/>
    </row>
    <row r="819">
      <c r="A819" s="80"/>
      <c r="B819" s="80"/>
      <c r="C819" s="80"/>
      <c r="D819" s="80"/>
      <c r="E819" s="215"/>
      <c r="F819" s="215"/>
      <c r="G819" s="215"/>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c r="AD819" s="215"/>
      <c r="AE819" s="215"/>
      <c r="AF819" s="215"/>
      <c r="AG819" s="215"/>
      <c r="AH819" s="215"/>
      <c r="AI819" s="215"/>
      <c r="AJ819" s="215"/>
      <c r="AK819" s="215"/>
      <c r="AL819" s="215"/>
      <c r="AM819" s="215"/>
      <c r="AN819" s="215"/>
      <c r="AO819" s="215"/>
      <c r="AP819" s="215"/>
      <c r="AQ819" s="215"/>
      <c r="AR819" s="215"/>
      <c r="AS819" s="215"/>
      <c r="AT819" s="215"/>
      <c r="AU819" s="215"/>
      <c r="AV819" s="215"/>
      <c r="AW819" s="215"/>
      <c r="AX819" s="215"/>
      <c r="AY819" s="215"/>
    </row>
    <row r="820">
      <c r="A820" s="80"/>
      <c r="B820" s="80"/>
      <c r="C820" s="80"/>
      <c r="D820" s="80"/>
      <c r="E820" s="215"/>
      <c r="F820" s="215"/>
      <c r="G820" s="215"/>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c r="AD820" s="215"/>
      <c r="AE820" s="215"/>
      <c r="AF820" s="215"/>
      <c r="AG820" s="215"/>
      <c r="AH820" s="215"/>
      <c r="AI820" s="215"/>
      <c r="AJ820" s="215"/>
      <c r="AK820" s="215"/>
      <c r="AL820" s="215"/>
      <c r="AM820" s="215"/>
      <c r="AN820" s="215"/>
      <c r="AO820" s="215"/>
      <c r="AP820" s="215"/>
      <c r="AQ820" s="215"/>
      <c r="AR820" s="215"/>
      <c r="AS820" s="215"/>
      <c r="AT820" s="215"/>
      <c r="AU820" s="215"/>
      <c r="AV820" s="215"/>
      <c r="AW820" s="215"/>
      <c r="AX820" s="215"/>
      <c r="AY820" s="215"/>
    </row>
    <row r="821">
      <c r="A821" s="80"/>
      <c r="B821" s="80"/>
      <c r="C821" s="80"/>
      <c r="D821" s="80"/>
      <c r="E821" s="215"/>
      <c r="F821" s="215"/>
      <c r="G821" s="215"/>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c r="AD821" s="215"/>
      <c r="AE821" s="215"/>
      <c r="AF821" s="215"/>
      <c r="AG821" s="215"/>
      <c r="AH821" s="215"/>
      <c r="AI821" s="215"/>
      <c r="AJ821" s="215"/>
      <c r="AK821" s="215"/>
      <c r="AL821" s="215"/>
      <c r="AM821" s="215"/>
      <c r="AN821" s="215"/>
      <c r="AO821" s="215"/>
      <c r="AP821" s="215"/>
      <c r="AQ821" s="215"/>
      <c r="AR821" s="215"/>
      <c r="AS821" s="215"/>
      <c r="AT821" s="215"/>
      <c r="AU821" s="215"/>
      <c r="AV821" s="215"/>
      <c r="AW821" s="215"/>
      <c r="AX821" s="215"/>
      <c r="AY821" s="215"/>
    </row>
    <row r="822">
      <c r="A822" s="80"/>
      <c r="B822" s="80"/>
      <c r="C822" s="80"/>
      <c r="D822" s="80"/>
      <c r="E822" s="215"/>
      <c r="F822" s="215"/>
      <c r="G822" s="215"/>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c r="AD822" s="215"/>
      <c r="AE822" s="215"/>
      <c r="AF822" s="215"/>
      <c r="AG822" s="215"/>
      <c r="AH822" s="215"/>
      <c r="AI822" s="215"/>
      <c r="AJ822" s="215"/>
      <c r="AK822" s="215"/>
      <c r="AL822" s="215"/>
      <c r="AM822" s="215"/>
      <c r="AN822" s="215"/>
      <c r="AO822" s="215"/>
      <c r="AP822" s="215"/>
      <c r="AQ822" s="215"/>
      <c r="AR822" s="215"/>
      <c r="AS822" s="215"/>
      <c r="AT822" s="215"/>
      <c r="AU822" s="215"/>
      <c r="AV822" s="215"/>
      <c r="AW822" s="215"/>
      <c r="AX822" s="215"/>
      <c r="AY822" s="215"/>
    </row>
    <row r="823">
      <c r="A823" s="80"/>
      <c r="B823" s="80"/>
      <c r="C823" s="80"/>
      <c r="D823" s="80"/>
      <c r="E823" s="215"/>
      <c r="F823" s="215"/>
      <c r="G823" s="215"/>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c r="AD823" s="215"/>
      <c r="AE823" s="215"/>
      <c r="AF823" s="215"/>
      <c r="AG823" s="215"/>
      <c r="AH823" s="215"/>
      <c r="AI823" s="215"/>
      <c r="AJ823" s="215"/>
      <c r="AK823" s="215"/>
      <c r="AL823" s="215"/>
      <c r="AM823" s="215"/>
      <c r="AN823" s="215"/>
      <c r="AO823" s="215"/>
      <c r="AP823" s="215"/>
      <c r="AQ823" s="215"/>
      <c r="AR823" s="215"/>
      <c r="AS823" s="215"/>
      <c r="AT823" s="215"/>
      <c r="AU823" s="215"/>
      <c r="AV823" s="215"/>
      <c r="AW823" s="215"/>
      <c r="AX823" s="215"/>
      <c r="AY823" s="215"/>
    </row>
    <row r="824">
      <c r="A824" s="80"/>
      <c r="B824" s="80"/>
      <c r="C824" s="80"/>
      <c r="D824" s="80"/>
      <c r="E824" s="215"/>
      <c r="F824" s="215"/>
      <c r="G824" s="215"/>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c r="AD824" s="215"/>
      <c r="AE824" s="215"/>
      <c r="AF824" s="215"/>
      <c r="AG824" s="215"/>
      <c r="AH824" s="215"/>
      <c r="AI824" s="215"/>
      <c r="AJ824" s="215"/>
      <c r="AK824" s="215"/>
      <c r="AL824" s="215"/>
      <c r="AM824" s="215"/>
      <c r="AN824" s="215"/>
      <c r="AO824" s="215"/>
      <c r="AP824" s="215"/>
      <c r="AQ824" s="215"/>
      <c r="AR824" s="215"/>
      <c r="AS824" s="215"/>
      <c r="AT824" s="215"/>
      <c r="AU824" s="215"/>
      <c r="AV824" s="215"/>
      <c r="AW824" s="215"/>
      <c r="AX824" s="215"/>
      <c r="AY824" s="215"/>
    </row>
    <row r="825">
      <c r="A825" s="80"/>
      <c r="B825" s="80"/>
      <c r="C825" s="80"/>
      <c r="D825" s="80"/>
      <c r="E825" s="215"/>
      <c r="F825" s="215"/>
      <c r="G825" s="215"/>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c r="AD825" s="215"/>
      <c r="AE825" s="215"/>
      <c r="AF825" s="215"/>
      <c r="AG825" s="215"/>
      <c r="AH825" s="215"/>
      <c r="AI825" s="215"/>
      <c r="AJ825" s="215"/>
      <c r="AK825" s="215"/>
      <c r="AL825" s="215"/>
      <c r="AM825" s="215"/>
      <c r="AN825" s="215"/>
      <c r="AO825" s="215"/>
      <c r="AP825" s="215"/>
      <c r="AQ825" s="215"/>
      <c r="AR825" s="215"/>
      <c r="AS825" s="215"/>
      <c r="AT825" s="215"/>
      <c r="AU825" s="215"/>
      <c r="AV825" s="215"/>
      <c r="AW825" s="215"/>
      <c r="AX825" s="215"/>
      <c r="AY825" s="215"/>
    </row>
    <row r="826">
      <c r="A826" s="80"/>
      <c r="B826" s="80"/>
      <c r="C826" s="80"/>
      <c r="D826" s="80"/>
      <c r="E826" s="215"/>
      <c r="F826" s="215"/>
      <c r="G826" s="215"/>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c r="AD826" s="215"/>
      <c r="AE826" s="215"/>
      <c r="AF826" s="215"/>
      <c r="AG826" s="215"/>
      <c r="AH826" s="215"/>
      <c r="AI826" s="215"/>
      <c r="AJ826" s="215"/>
      <c r="AK826" s="215"/>
      <c r="AL826" s="215"/>
      <c r="AM826" s="215"/>
      <c r="AN826" s="215"/>
      <c r="AO826" s="215"/>
      <c r="AP826" s="215"/>
      <c r="AQ826" s="215"/>
      <c r="AR826" s="215"/>
      <c r="AS826" s="215"/>
      <c r="AT826" s="215"/>
      <c r="AU826" s="215"/>
      <c r="AV826" s="215"/>
      <c r="AW826" s="215"/>
      <c r="AX826" s="215"/>
      <c r="AY826" s="215"/>
    </row>
    <row r="827">
      <c r="A827" s="80"/>
      <c r="B827" s="80"/>
      <c r="C827" s="80"/>
      <c r="D827" s="80"/>
      <c r="E827" s="215"/>
      <c r="F827" s="215"/>
      <c r="G827" s="215"/>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c r="AD827" s="215"/>
      <c r="AE827" s="215"/>
      <c r="AF827" s="215"/>
      <c r="AG827" s="215"/>
      <c r="AH827" s="215"/>
      <c r="AI827" s="215"/>
      <c r="AJ827" s="215"/>
      <c r="AK827" s="215"/>
      <c r="AL827" s="215"/>
      <c r="AM827" s="215"/>
      <c r="AN827" s="215"/>
      <c r="AO827" s="215"/>
      <c r="AP827" s="215"/>
      <c r="AQ827" s="215"/>
      <c r="AR827" s="215"/>
      <c r="AS827" s="215"/>
      <c r="AT827" s="215"/>
      <c r="AU827" s="215"/>
      <c r="AV827" s="215"/>
      <c r="AW827" s="215"/>
      <c r="AX827" s="215"/>
      <c r="AY827" s="215"/>
    </row>
    <row r="828">
      <c r="A828" s="80"/>
      <c r="B828" s="80"/>
      <c r="C828" s="80"/>
      <c r="D828" s="80"/>
      <c r="E828" s="215"/>
      <c r="F828" s="215"/>
      <c r="G828" s="215"/>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c r="AD828" s="215"/>
      <c r="AE828" s="215"/>
      <c r="AF828" s="215"/>
      <c r="AG828" s="215"/>
      <c r="AH828" s="215"/>
      <c r="AI828" s="215"/>
      <c r="AJ828" s="215"/>
      <c r="AK828" s="215"/>
      <c r="AL828" s="215"/>
      <c r="AM828" s="215"/>
      <c r="AN828" s="215"/>
      <c r="AO828" s="215"/>
      <c r="AP828" s="215"/>
      <c r="AQ828" s="215"/>
      <c r="AR828" s="215"/>
      <c r="AS828" s="215"/>
      <c r="AT828" s="215"/>
      <c r="AU828" s="215"/>
      <c r="AV828" s="215"/>
      <c r="AW828" s="215"/>
      <c r="AX828" s="215"/>
      <c r="AY828" s="215"/>
    </row>
    <row r="829">
      <c r="A829" s="80"/>
      <c r="B829" s="80"/>
      <c r="C829" s="80"/>
      <c r="D829" s="80"/>
      <c r="E829" s="215"/>
      <c r="F829" s="215"/>
      <c r="G829" s="215"/>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c r="AD829" s="215"/>
      <c r="AE829" s="215"/>
      <c r="AF829" s="215"/>
      <c r="AG829" s="215"/>
      <c r="AH829" s="215"/>
      <c r="AI829" s="215"/>
      <c r="AJ829" s="215"/>
      <c r="AK829" s="215"/>
      <c r="AL829" s="215"/>
      <c r="AM829" s="215"/>
      <c r="AN829" s="215"/>
      <c r="AO829" s="215"/>
      <c r="AP829" s="215"/>
      <c r="AQ829" s="215"/>
      <c r="AR829" s="215"/>
      <c r="AS829" s="215"/>
      <c r="AT829" s="215"/>
      <c r="AU829" s="215"/>
      <c r="AV829" s="215"/>
      <c r="AW829" s="215"/>
      <c r="AX829" s="215"/>
      <c r="AY829" s="215"/>
    </row>
    <row r="830">
      <c r="A830" s="80"/>
      <c r="B830" s="80"/>
      <c r="C830" s="80"/>
      <c r="D830" s="80"/>
      <c r="E830" s="215"/>
      <c r="F830" s="215"/>
      <c r="G830" s="215"/>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c r="AD830" s="215"/>
      <c r="AE830" s="215"/>
      <c r="AF830" s="215"/>
      <c r="AG830" s="215"/>
      <c r="AH830" s="215"/>
      <c r="AI830" s="215"/>
      <c r="AJ830" s="215"/>
      <c r="AK830" s="215"/>
      <c r="AL830" s="215"/>
      <c r="AM830" s="215"/>
      <c r="AN830" s="215"/>
      <c r="AO830" s="215"/>
      <c r="AP830" s="215"/>
      <c r="AQ830" s="215"/>
      <c r="AR830" s="215"/>
      <c r="AS830" s="215"/>
      <c r="AT830" s="215"/>
      <c r="AU830" s="215"/>
      <c r="AV830" s="215"/>
      <c r="AW830" s="215"/>
      <c r="AX830" s="215"/>
      <c r="AY830" s="215"/>
    </row>
    <row r="831">
      <c r="A831" s="80"/>
      <c r="B831" s="80"/>
      <c r="C831" s="80"/>
      <c r="D831" s="80"/>
      <c r="E831" s="215"/>
      <c r="F831" s="215"/>
      <c r="G831" s="215"/>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c r="AD831" s="215"/>
      <c r="AE831" s="215"/>
      <c r="AF831" s="215"/>
      <c r="AG831" s="215"/>
      <c r="AH831" s="215"/>
      <c r="AI831" s="215"/>
      <c r="AJ831" s="215"/>
      <c r="AK831" s="215"/>
      <c r="AL831" s="215"/>
      <c r="AM831" s="215"/>
      <c r="AN831" s="215"/>
      <c r="AO831" s="215"/>
      <c r="AP831" s="215"/>
      <c r="AQ831" s="215"/>
      <c r="AR831" s="215"/>
      <c r="AS831" s="215"/>
      <c r="AT831" s="215"/>
      <c r="AU831" s="215"/>
      <c r="AV831" s="215"/>
      <c r="AW831" s="215"/>
      <c r="AX831" s="215"/>
      <c r="AY831" s="215"/>
    </row>
    <row r="832">
      <c r="A832" s="80"/>
      <c r="B832" s="80"/>
      <c r="C832" s="80"/>
      <c r="D832" s="80"/>
      <c r="E832" s="215"/>
      <c r="F832" s="215"/>
      <c r="G832" s="215"/>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c r="AD832" s="215"/>
      <c r="AE832" s="215"/>
      <c r="AF832" s="215"/>
      <c r="AG832" s="215"/>
      <c r="AH832" s="215"/>
      <c r="AI832" s="215"/>
      <c r="AJ832" s="215"/>
      <c r="AK832" s="215"/>
      <c r="AL832" s="215"/>
      <c r="AM832" s="215"/>
      <c r="AN832" s="215"/>
      <c r="AO832" s="215"/>
      <c r="AP832" s="215"/>
      <c r="AQ832" s="215"/>
      <c r="AR832" s="215"/>
      <c r="AS832" s="215"/>
      <c r="AT832" s="215"/>
      <c r="AU832" s="215"/>
      <c r="AV832" s="215"/>
      <c r="AW832" s="215"/>
      <c r="AX832" s="215"/>
      <c r="AY832" s="215"/>
    </row>
    <row r="833">
      <c r="A833" s="80"/>
      <c r="B833" s="80"/>
      <c r="C833" s="80"/>
      <c r="D833" s="80"/>
      <c r="E833" s="215"/>
      <c r="F833" s="215"/>
      <c r="G833" s="215"/>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c r="AD833" s="215"/>
      <c r="AE833" s="215"/>
      <c r="AF833" s="215"/>
      <c r="AG833" s="215"/>
      <c r="AH833" s="215"/>
      <c r="AI833" s="215"/>
      <c r="AJ833" s="215"/>
      <c r="AK833" s="215"/>
      <c r="AL833" s="215"/>
      <c r="AM833" s="215"/>
      <c r="AN833" s="215"/>
      <c r="AO833" s="215"/>
      <c r="AP833" s="215"/>
      <c r="AQ833" s="215"/>
      <c r="AR833" s="215"/>
      <c r="AS833" s="215"/>
      <c r="AT833" s="215"/>
      <c r="AU833" s="215"/>
      <c r="AV833" s="215"/>
      <c r="AW833" s="215"/>
      <c r="AX833" s="215"/>
      <c r="AY833" s="215"/>
    </row>
    <row r="834">
      <c r="A834" s="80"/>
      <c r="B834" s="80"/>
      <c r="C834" s="80"/>
      <c r="D834" s="80"/>
      <c r="E834" s="215"/>
      <c r="F834" s="215"/>
      <c r="G834" s="215"/>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c r="AD834" s="215"/>
      <c r="AE834" s="215"/>
      <c r="AF834" s="215"/>
      <c r="AG834" s="215"/>
      <c r="AH834" s="215"/>
      <c r="AI834" s="215"/>
      <c r="AJ834" s="215"/>
      <c r="AK834" s="215"/>
      <c r="AL834" s="215"/>
      <c r="AM834" s="215"/>
      <c r="AN834" s="215"/>
      <c r="AO834" s="215"/>
      <c r="AP834" s="215"/>
      <c r="AQ834" s="215"/>
      <c r="AR834" s="215"/>
      <c r="AS834" s="215"/>
      <c r="AT834" s="215"/>
      <c r="AU834" s="215"/>
      <c r="AV834" s="215"/>
      <c r="AW834" s="215"/>
      <c r="AX834" s="215"/>
      <c r="AY834" s="215"/>
    </row>
    <row r="835">
      <c r="A835" s="80"/>
      <c r="B835" s="80"/>
      <c r="C835" s="80"/>
      <c r="D835" s="80"/>
      <c r="E835" s="215"/>
      <c r="F835" s="215"/>
      <c r="G835" s="215"/>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c r="AD835" s="215"/>
      <c r="AE835" s="215"/>
      <c r="AF835" s="215"/>
      <c r="AG835" s="215"/>
      <c r="AH835" s="215"/>
      <c r="AI835" s="215"/>
      <c r="AJ835" s="215"/>
      <c r="AK835" s="215"/>
      <c r="AL835" s="215"/>
      <c r="AM835" s="215"/>
      <c r="AN835" s="215"/>
      <c r="AO835" s="215"/>
      <c r="AP835" s="215"/>
      <c r="AQ835" s="215"/>
      <c r="AR835" s="215"/>
      <c r="AS835" s="215"/>
      <c r="AT835" s="215"/>
      <c r="AU835" s="215"/>
      <c r="AV835" s="215"/>
      <c r="AW835" s="215"/>
      <c r="AX835" s="215"/>
      <c r="AY835" s="215"/>
    </row>
    <row r="836">
      <c r="A836" s="80"/>
      <c r="B836" s="80"/>
      <c r="C836" s="80"/>
      <c r="D836" s="80"/>
      <c r="E836" s="215"/>
      <c r="F836" s="215"/>
      <c r="G836" s="215"/>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c r="AD836" s="215"/>
      <c r="AE836" s="215"/>
      <c r="AF836" s="215"/>
      <c r="AG836" s="215"/>
      <c r="AH836" s="215"/>
      <c r="AI836" s="215"/>
      <c r="AJ836" s="215"/>
      <c r="AK836" s="215"/>
      <c r="AL836" s="215"/>
      <c r="AM836" s="215"/>
      <c r="AN836" s="215"/>
      <c r="AO836" s="215"/>
      <c r="AP836" s="215"/>
      <c r="AQ836" s="215"/>
      <c r="AR836" s="215"/>
      <c r="AS836" s="215"/>
      <c r="AT836" s="215"/>
      <c r="AU836" s="215"/>
      <c r="AV836" s="215"/>
      <c r="AW836" s="215"/>
      <c r="AX836" s="215"/>
      <c r="AY836" s="215"/>
    </row>
    <row r="837">
      <c r="A837" s="80"/>
      <c r="B837" s="80"/>
      <c r="C837" s="80"/>
      <c r="D837" s="80"/>
      <c r="E837" s="215"/>
      <c r="F837" s="215"/>
      <c r="G837" s="215"/>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c r="AD837" s="215"/>
      <c r="AE837" s="215"/>
      <c r="AF837" s="215"/>
      <c r="AG837" s="215"/>
      <c r="AH837" s="215"/>
      <c r="AI837" s="215"/>
      <c r="AJ837" s="215"/>
      <c r="AK837" s="215"/>
      <c r="AL837" s="215"/>
      <c r="AM837" s="215"/>
      <c r="AN837" s="215"/>
      <c r="AO837" s="215"/>
      <c r="AP837" s="215"/>
      <c r="AQ837" s="215"/>
      <c r="AR837" s="215"/>
      <c r="AS837" s="215"/>
      <c r="AT837" s="215"/>
      <c r="AU837" s="215"/>
      <c r="AV837" s="215"/>
      <c r="AW837" s="215"/>
      <c r="AX837" s="215"/>
      <c r="AY837" s="215"/>
    </row>
    <row r="838">
      <c r="A838" s="80"/>
      <c r="B838" s="80"/>
      <c r="C838" s="80"/>
      <c r="D838" s="80"/>
      <c r="E838" s="215"/>
      <c r="F838" s="215"/>
      <c r="G838" s="215"/>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c r="AD838" s="215"/>
      <c r="AE838" s="215"/>
      <c r="AF838" s="215"/>
      <c r="AG838" s="215"/>
      <c r="AH838" s="215"/>
      <c r="AI838" s="215"/>
      <c r="AJ838" s="215"/>
      <c r="AK838" s="215"/>
      <c r="AL838" s="215"/>
      <c r="AM838" s="215"/>
      <c r="AN838" s="215"/>
      <c r="AO838" s="215"/>
      <c r="AP838" s="215"/>
      <c r="AQ838" s="215"/>
      <c r="AR838" s="215"/>
      <c r="AS838" s="215"/>
      <c r="AT838" s="215"/>
      <c r="AU838" s="215"/>
      <c r="AV838" s="215"/>
      <c r="AW838" s="215"/>
      <c r="AX838" s="215"/>
      <c r="AY838" s="215"/>
    </row>
    <row r="839">
      <c r="A839" s="80"/>
      <c r="B839" s="80"/>
      <c r="C839" s="80"/>
      <c r="D839" s="80"/>
      <c r="E839" s="215"/>
      <c r="F839" s="215"/>
      <c r="G839" s="215"/>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c r="AD839" s="215"/>
      <c r="AE839" s="215"/>
      <c r="AF839" s="215"/>
      <c r="AG839" s="215"/>
      <c r="AH839" s="215"/>
      <c r="AI839" s="215"/>
      <c r="AJ839" s="215"/>
      <c r="AK839" s="215"/>
      <c r="AL839" s="215"/>
      <c r="AM839" s="215"/>
      <c r="AN839" s="215"/>
      <c r="AO839" s="215"/>
      <c r="AP839" s="215"/>
      <c r="AQ839" s="215"/>
      <c r="AR839" s="215"/>
      <c r="AS839" s="215"/>
      <c r="AT839" s="215"/>
      <c r="AU839" s="215"/>
      <c r="AV839" s="215"/>
      <c r="AW839" s="215"/>
      <c r="AX839" s="215"/>
      <c r="AY839" s="215"/>
    </row>
    <row r="840">
      <c r="A840" s="80"/>
      <c r="B840" s="80"/>
      <c r="C840" s="80"/>
      <c r="D840" s="80"/>
      <c r="E840" s="215"/>
      <c r="F840" s="215"/>
      <c r="G840" s="215"/>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c r="AD840" s="215"/>
      <c r="AE840" s="215"/>
      <c r="AF840" s="215"/>
      <c r="AG840" s="215"/>
      <c r="AH840" s="215"/>
      <c r="AI840" s="215"/>
      <c r="AJ840" s="215"/>
      <c r="AK840" s="215"/>
      <c r="AL840" s="215"/>
      <c r="AM840" s="215"/>
      <c r="AN840" s="215"/>
      <c r="AO840" s="215"/>
      <c r="AP840" s="215"/>
      <c r="AQ840" s="215"/>
      <c r="AR840" s="215"/>
      <c r="AS840" s="215"/>
      <c r="AT840" s="215"/>
      <c r="AU840" s="215"/>
      <c r="AV840" s="215"/>
      <c r="AW840" s="215"/>
      <c r="AX840" s="215"/>
      <c r="AY840" s="215"/>
    </row>
    <row r="841">
      <c r="A841" s="80"/>
      <c r="B841" s="80"/>
      <c r="C841" s="80"/>
      <c r="D841" s="80"/>
      <c r="E841" s="215"/>
      <c r="F841" s="215"/>
      <c r="G841" s="215"/>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c r="AD841" s="215"/>
      <c r="AE841" s="215"/>
      <c r="AF841" s="215"/>
      <c r="AG841" s="215"/>
      <c r="AH841" s="215"/>
      <c r="AI841" s="215"/>
      <c r="AJ841" s="215"/>
      <c r="AK841" s="215"/>
      <c r="AL841" s="215"/>
      <c r="AM841" s="215"/>
      <c r="AN841" s="215"/>
      <c r="AO841" s="215"/>
      <c r="AP841" s="215"/>
      <c r="AQ841" s="215"/>
      <c r="AR841" s="215"/>
      <c r="AS841" s="215"/>
      <c r="AT841" s="215"/>
      <c r="AU841" s="215"/>
      <c r="AV841" s="215"/>
      <c r="AW841" s="215"/>
      <c r="AX841" s="215"/>
      <c r="AY841" s="215"/>
    </row>
    <row r="842">
      <c r="A842" s="80"/>
      <c r="B842" s="80"/>
      <c r="C842" s="80"/>
      <c r="D842" s="80"/>
      <c r="E842" s="215"/>
      <c r="F842" s="215"/>
      <c r="G842" s="215"/>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c r="AD842" s="215"/>
      <c r="AE842" s="215"/>
      <c r="AF842" s="215"/>
      <c r="AG842" s="215"/>
      <c r="AH842" s="215"/>
      <c r="AI842" s="215"/>
      <c r="AJ842" s="215"/>
      <c r="AK842" s="215"/>
      <c r="AL842" s="215"/>
      <c r="AM842" s="215"/>
      <c r="AN842" s="215"/>
      <c r="AO842" s="215"/>
      <c r="AP842" s="215"/>
      <c r="AQ842" s="215"/>
      <c r="AR842" s="215"/>
      <c r="AS842" s="215"/>
      <c r="AT842" s="215"/>
      <c r="AU842" s="215"/>
      <c r="AV842" s="215"/>
      <c r="AW842" s="215"/>
      <c r="AX842" s="215"/>
      <c r="AY842" s="215"/>
    </row>
    <row r="843">
      <c r="A843" s="80"/>
      <c r="B843" s="80"/>
      <c r="C843" s="80"/>
      <c r="D843" s="80"/>
      <c r="E843" s="215"/>
      <c r="F843" s="215"/>
      <c r="G843" s="215"/>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c r="AD843" s="215"/>
      <c r="AE843" s="215"/>
      <c r="AF843" s="215"/>
      <c r="AG843" s="215"/>
      <c r="AH843" s="215"/>
      <c r="AI843" s="215"/>
      <c r="AJ843" s="215"/>
      <c r="AK843" s="215"/>
      <c r="AL843" s="215"/>
      <c r="AM843" s="215"/>
      <c r="AN843" s="215"/>
      <c r="AO843" s="215"/>
      <c r="AP843" s="215"/>
      <c r="AQ843" s="215"/>
      <c r="AR843" s="215"/>
      <c r="AS843" s="215"/>
      <c r="AT843" s="215"/>
      <c r="AU843" s="215"/>
      <c r="AV843" s="215"/>
      <c r="AW843" s="215"/>
      <c r="AX843" s="215"/>
      <c r="AY843" s="215"/>
    </row>
    <row r="844">
      <c r="A844" s="80"/>
      <c r="B844" s="80"/>
      <c r="C844" s="80"/>
      <c r="D844" s="80"/>
      <c r="E844" s="215"/>
      <c r="F844" s="215"/>
      <c r="G844" s="215"/>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c r="AD844" s="215"/>
      <c r="AE844" s="215"/>
      <c r="AF844" s="215"/>
      <c r="AG844" s="215"/>
      <c r="AH844" s="215"/>
      <c r="AI844" s="215"/>
      <c r="AJ844" s="215"/>
      <c r="AK844" s="215"/>
      <c r="AL844" s="215"/>
      <c r="AM844" s="215"/>
      <c r="AN844" s="215"/>
      <c r="AO844" s="215"/>
      <c r="AP844" s="215"/>
      <c r="AQ844" s="215"/>
      <c r="AR844" s="215"/>
      <c r="AS844" s="215"/>
      <c r="AT844" s="215"/>
      <c r="AU844" s="215"/>
      <c r="AV844" s="215"/>
      <c r="AW844" s="215"/>
      <c r="AX844" s="215"/>
      <c r="AY844" s="215"/>
    </row>
    <row r="845">
      <c r="A845" s="80"/>
      <c r="B845" s="80"/>
      <c r="C845" s="80"/>
      <c r="D845" s="80"/>
      <c r="E845" s="215"/>
      <c r="F845" s="215"/>
      <c r="G845" s="215"/>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c r="AD845" s="215"/>
      <c r="AE845" s="215"/>
      <c r="AF845" s="215"/>
      <c r="AG845" s="215"/>
      <c r="AH845" s="215"/>
      <c r="AI845" s="215"/>
      <c r="AJ845" s="215"/>
      <c r="AK845" s="215"/>
      <c r="AL845" s="215"/>
      <c r="AM845" s="215"/>
      <c r="AN845" s="215"/>
      <c r="AO845" s="215"/>
      <c r="AP845" s="215"/>
      <c r="AQ845" s="215"/>
      <c r="AR845" s="215"/>
      <c r="AS845" s="215"/>
      <c r="AT845" s="215"/>
      <c r="AU845" s="215"/>
      <c r="AV845" s="215"/>
      <c r="AW845" s="215"/>
      <c r="AX845" s="215"/>
      <c r="AY845" s="215"/>
    </row>
    <row r="846">
      <c r="A846" s="80"/>
      <c r="B846" s="80"/>
      <c r="C846" s="80"/>
      <c r="D846" s="80"/>
      <c r="E846" s="215"/>
      <c r="F846" s="215"/>
      <c r="G846" s="215"/>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c r="AD846" s="215"/>
      <c r="AE846" s="215"/>
      <c r="AF846" s="215"/>
      <c r="AG846" s="215"/>
      <c r="AH846" s="215"/>
      <c r="AI846" s="215"/>
      <c r="AJ846" s="215"/>
      <c r="AK846" s="215"/>
      <c r="AL846" s="215"/>
      <c r="AM846" s="215"/>
      <c r="AN846" s="215"/>
      <c r="AO846" s="215"/>
      <c r="AP846" s="215"/>
      <c r="AQ846" s="215"/>
      <c r="AR846" s="215"/>
      <c r="AS846" s="215"/>
      <c r="AT846" s="215"/>
      <c r="AU846" s="215"/>
      <c r="AV846" s="215"/>
      <c r="AW846" s="215"/>
      <c r="AX846" s="215"/>
      <c r="AY846" s="215"/>
    </row>
    <row r="847">
      <c r="A847" s="80"/>
      <c r="B847" s="80"/>
      <c r="C847" s="80"/>
      <c r="D847" s="80"/>
      <c r="E847" s="215"/>
      <c r="F847" s="215"/>
      <c r="G847" s="215"/>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c r="AD847" s="215"/>
      <c r="AE847" s="215"/>
      <c r="AF847" s="215"/>
      <c r="AG847" s="215"/>
      <c r="AH847" s="215"/>
      <c r="AI847" s="215"/>
      <c r="AJ847" s="215"/>
      <c r="AK847" s="215"/>
      <c r="AL847" s="215"/>
      <c r="AM847" s="215"/>
      <c r="AN847" s="215"/>
      <c r="AO847" s="215"/>
      <c r="AP847" s="215"/>
      <c r="AQ847" s="215"/>
      <c r="AR847" s="215"/>
      <c r="AS847" s="215"/>
      <c r="AT847" s="215"/>
      <c r="AU847" s="215"/>
      <c r="AV847" s="215"/>
      <c r="AW847" s="215"/>
      <c r="AX847" s="215"/>
      <c r="AY847" s="215"/>
    </row>
    <row r="848">
      <c r="A848" s="80"/>
      <c r="B848" s="80"/>
      <c r="C848" s="80"/>
      <c r="D848" s="80"/>
      <c r="E848" s="215"/>
      <c r="F848" s="215"/>
      <c r="G848" s="215"/>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c r="AD848" s="215"/>
      <c r="AE848" s="215"/>
      <c r="AF848" s="215"/>
      <c r="AG848" s="215"/>
      <c r="AH848" s="215"/>
      <c r="AI848" s="215"/>
      <c r="AJ848" s="215"/>
      <c r="AK848" s="215"/>
      <c r="AL848" s="215"/>
      <c r="AM848" s="215"/>
      <c r="AN848" s="215"/>
      <c r="AO848" s="215"/>
      <c r="AP848" s="215"/>
      <c r="AQ848" s="215"/>
      <c r="AR848" s="215"/>
      <c r="AS848" s="215"/>
      <c r="AT848" s="215"/>
      <c r="AU848" s="215"/>
      <c r="AV848" s="215"/>
      <c r="AW848" s="215"/>
      <c r="AX848" s="215"/>
      <c r="AY848" s="215"/>
    </row>
    <row r="849">
      <c r="A849" s="80"/>
      <c r="B849" s="80"/>
      <c r="C849" s="80"/>
      <c r="D849" s="80"/>
      <c r="E849" s="215"/>
      <c r="F849" s="215"/>
      <c r="G849" s="215"/>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c r="AD849" s="215"/>
      <c r="AE849" s="215"/>
      <c r="AF849" s="215"/>
      <c r="AG849" s="215"/>
      <c r="AH849" s="215"/>
      <c r="AI849" s="215"/>
      <c r="AJ849" s="215"/>
      <c r="AK849" s="215"/>
      <c r="AL849" s="215"/>
      <c r="AM849" s="215"/>
      <c r="AN849" s="215"/>
      <c r="AO849" s="215"/>
      <c r="AP849" s="215"/>
      <c r="AQ849" s="215"/>
      <c r="AR849" s="215"/>
      <c r="AS849" s="215"/>
      <c r="AT849" s="215"/>
      <c r="AU849" s="215"/>
      <c r="AV849" s="215"/>
      <c r="AW849" s="215"/>
      <c r="AX849" s="215"/>
      <c r="AY849" s="215"/>
    </row>
    <row r="850">
      <c r="A850" s="80"/>
      <c r="B850" s="80"/>
      <c r="C850" s="80"/>
      <c r="D850" s="80"/>
      <c r="E850" s="215"/>
      <c r="F850" s="215"/>
      <c r="G850" s="215"/>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c r="AD850" s="215"/>
      <c r="AE850" s="215"/>
      <c r="AF850" s="215"/>
      <c r="AG850" s="215"/>
      <c r="AH850" s="215"/>
      <c r="AI850" s="215"/>
      <c r="AJ850" s="215"/>
      <c r="AK850" s="215"/>
      <c r="AL850" s="215"/>
      <c r="AM850" s="215"/>
      <c r="AN850" s="215"/>
      <c r="AO850" s="215"/>
      <c r="AP850" s="215"/>
      <c r="AQ850" s="215"/>
      <c r="AR850" s="215"/>
      <c r="AS850" s="215"/>
      <c r="AT850" s="215"/>
      <c r="AU850" s="215"/>
      <c r="AV850" s="215"/>
      <c r="AW850" s="215"/>
      <c r="AX850" s="215"/>
      <c r="AY850" s="215"/>
    </row>
    <row r="851">
      <c r="A851" s="80"/>
      <c r="B851" s="80"/>
      <c r="C851" s="80"/>
      <c r="D851" s="80"/>
      <c r="E851" s="215"/>
      <c r="F851" s="215"/>
      <c r="G851" s="215"/>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c r="AD851" s="215"/>
      <c r="AE851" s="215"/>
      <c r="AF851" s="215"/>
      <c r="AG851" s="215"/>
      <c r="AH851" s="215"/>
      <c r="AI851" s="215"/>
      <c r="AJ851" s="215"/>
      <c r="AK851" s="215"/>
      <c r="AL851" s="215"/>
      <c r="AM851" s="215"/>
      <c r="AN851" s="215"/>
      <c r="AO851" s="215"/>
      <c r="AP851" s="215"/>
      <c r="AQ851" s="215"/>
      <c r="AR851" s="215"/>
      <c r="AS851" s="215"/>
      <c r="AT851" s="215"/>
      <c r="AU851" s="215"/>
      <c r="AV851" s="215"/>
      <c r="AW851" s="215"/>
      <c r="AX851" s="215"/>
      <c r="AY851" s="215"/>
    </row>
    <row r="852">
      <c r="A852" s="80"/>
      <c r="B852" s="80"/>
      <c r="C852" s="80"/>
      <c r="D852" s="80"/>
      <c r="E852" s="215"/>
      <c r="F852" s="215"/>
      <c r="G852" s="215"/>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c r="AD852" s="215"/>
      <c r="AE852" s="215"/>
      <c r="AF852" s="215"/>
      <c r="AG852" s="215"/>
      <c r="AH852" s="215"/>
      <c r="AI852" s="215"/>
      <c r="AJ852" s="215"/>
      <c r="AK852" s="215"/>
      <c r="AL852" s="215"/>
      <c r="AM852" s="215"/>
      <c r="AN852" s="215"/>
      <c r="AO852" s="215"/>
      <c r="AP852" s="215"/>
      <c r="AQ852" s="215"/>
      <c r="AR852" s="215"/>
      <c r="AS852" s="215"/>
      <c r="AT852" s="215"/>
      <c r="AU852" s="215"/>
      <c r="AV852" s="215"/>
      <c r="AW852" s="215"/>
      <c r="AX852" s="215"/>
      <c r="AY852" s="215"/>
    </row>
    <row r="853">
      <c r="A853" s="80"/>
      <c r="B853" s="80"/>
      <c r="C853" s="80"/>
      <c r="D853" s="80"/>
      <c r="E853" s="215"/>
      <c r="F853" s="215"/>
      <c r="G853" s="215"/>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c r="AD853" s="215"/>
      <c r="AE853" s="215"/>
      <c r="AF853" s="215"/>
      <c r="AG853" s="215"/>
      <c r="AH853" s="215"/>
      <c r="AI853" s="215"/>
      <c r="AJ853" s="215"/>
      <c r="AK853" s="215"/>
      <c r="AL853" s="215"/>
      <c r="AM853" s="215"/>
      <c r="AN853" s="215"/>
      <c r="AO853" s="215"/>
      <c r="AP853" s="215"/>
      <c r="AQ853" s="215"/>
      <c r="AR853" s="215"/>
      <c r="AS853" s="215"/>
      <c r="AT853" s="215"/>
      <c r="AU853" s="215"/>
      <c r="AV853" s="215"/>
      <c r="AW853" s="215"/>
      <c r="AX853" s="215"/>
      <c r="AY853" s="215"/>
    </row>
    <row r="854">
      <c r="A854" s="80"/>
      <c r="B854" s="80"/>
      <c r="C854" s="80"/>
      <c r="D854" s="80"/>
      <c r="E854" s="215"/>
      <c r="F854" s="215"/>
      <c r="G854" s="215"/>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c r="AD854" s="215"/>
      <c r="AE854" s="215"/>
      <c r="AF854" s="215"/>
      <c r="AG854" s="215"/>
      <c r="AH854" s="215"/>
      <c r="AI854" s="215"/>
      <c r="AJ854" s="215"/>
      <c r="AK854" s="215"/>
      <c r="AL854" s="215"/>
      <c r="AM854" s="215"/>
      <c r="AN854" s="215"/>
      <c r="AO854" s="215"/>
      <c r="AP854" s="215"/>
      <c r="AQ854" s="215"/>
      <c r="AR854" s="215"/>
      <c r="AS854" s="215"/>
      <c r="AT854" s="215"/>
      <c r="AU854" s="215"/>
      <c r="AV854" s="215"/>
      <c r="AW854" s="215"/>
      <c r="AX854" s="215"/>
      <c r="AY854" s="215"/>
    </row>
    <row r="855">
      <c r="A855" s="80"/>
      <c r="B855" s="80"/>
      <c r="C855" s="80"/>
      <c r="D855" s="80"/>
      <c r="E855" s="215"/>
      <c r="F855" s="215"/>
      <c r="G855" s="215"/>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c r="AD855" s="215"/>
      <c r="AE855" s="215"/>
      <c r="AF855" s="215"/>
      <c r="AG855" s="215"/>
      <c r="AH855" s="215"/>
      <c r="AI855" s="215"/>
      <c r="AJ855" s="215"/>
      <c r="AK855" s="215"/>
      <c r="AL855" s="215"/>
      <c r="AM855" s="215"/>
      <c r="AN855" s="215"/>
      <c r="AO855" s="215"/>
      <c r="AP855" s="215"/>
      <c r="AQ855" s="215"/>
      <c r="AR855" s="215"/>
      <c r="AS855" s="215"/>
      <c r="AT855" s="215"/>
      <c r="AU855" s="215"/>
      <c r="AV855" s="215"/>
      <c r="AW855" s="215"/>
      <c r="AX855" s="215"/>
      <c r="AY855" s="215"/>
    </row>
    <row r="856">
      <c r="A856" s="80"/>
      <c r="B856" s="80"/>
      <c r="C856" s="80"/>
      <c r="D856" s="80"/>
      <c r="E856" s="215"/>
      <c r="F856" s="215"/>
      <c r="G856" s="215"/>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c r="AD856" s="215"/>
      <c r="AE856" s="215"/>
      <c r="AF856" s="215"/>
      <c r="AG856" s="215"/>
      <c r="AH856" s="215"/>
      <c r="AI856" s="215"/>
      <c r="AJ856" s="215"/>
      <c r="AK856" s="215"/>
      <c r="AL856" s="215"/>
      <c r="AM856" s="215"/>
      <c r="AN856" s="215"/>
      <c r="AO856" s="215"/>
      <c r="AP856" s="215"/>
      <c r="AQ856" s="215"/>
      <c r="AR856" s="215"/>
      <c r="AS856" s="215"/>
      <c r="AT856" s="215"/>
      <c r="AU856" s="215"/>
      <c r="AV856" s="215"/>
      <c r="AW856" s="215"/>
      <c r="AX856" s="215"/>
      <c r="AY856" s="215"/>
    </row>
    <row r="857">
      <c r="A857" s="80"/>
      <c r="B857" s="80"/>
      <c r="C857" s="80"/>
      <c r="D857" s="80"/>
      <c r="E857" s="215"/>
      <c r="F857" s="215"/>
      <c r="G857" s="215"/>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c r="AD857" s="215"/>
      <c r="AE857" s="215"/>
      <c r="AF857" s="215"/>
      <c r="AG857" s="215"/>
      <c r="AH857" s="215"/>
      <c r="AI857" s="215"/>
      <c r="AJ857" s="215"/>
      <c r="AK857" s="215"/>
      <c r="AL857" s="215"/>
      <c r="AM857" s="215"/>
      <c r="AN857" s="215"/>
      <c r="AO857" s="215"/>
      <c r="AP857" s="215"/>
      <c r="AQ857" s="215"/>
      <c r="AR857" s="215"/>
      <c r="AS857" s="215"/>
      <c r="AT857" s="215"/>
      <c r="AU857" s="215"/>
      <c r="AV857" s="215"/>
      <c r="AW857" s="215"/>
      <c r="AX857" s="215"/>
      <c r="AY857" s="215"/>
    </row>
    <row r="858">
      <c r="A858" s="80"/>
      <c r="B858" s="80"/>
      <c r="C858" s="80"/>
      <c r="D858" s="80"/>
      <c r="E858" s="215"/>
      <c r="F858" s="215"/>
      <c r="G858" s="215"/>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c r="AD858" s="215"/>
      <c r="AE858" s="215"/>
      <c r="AF858" s="215"/>
      <c r="AG858" s="215"/>
      <c r="AH858" s="215"/>
      <c r="AI858" s="215"/>
      <c r="AJ858" s="215"/>
      <c r="AK858" s="215"/>
      <c r="AL858" s="215"/>
      <c r="AM858" s="215"/>
      <c r="AN858" s="215"/>
      <c r="AO858" s="215"/>
      <c r="AP858" s="215"/>
      <c r="AQ858" s="215"/>
      <c r="AR858" s="215"/>
      <c r="AS858" s="215"/>
      <c r="AT858" s="215"/>
      <c r="AU858" s="215"/>
      <c r="AV858" s="215"/>
      <c r="AW858" s="215"/>
      <c r="AX858" s="215"/>
      <c r="AY858" s="215"/>
    </row>
    <row r="859">
      <c r="A859" s="80"/>
      <c r="B859" s="80"/>
      <c r="C859" s="80"/>
      <c r="D859" s="80"/>
      <c r="E859" s="215"/>
      <c r="F859" s="215"/>
      <c r="G859" s="215"/>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c r="AD859" s="215"/>
      <c r="AE859" s="215"/>
      <c r="AF859" s="215"/>
      <c r="AG859" s="215"/>
      <c r="AH859" s="215"/>
      <c r="AI859" s="215"/>
      <c r="AJ859" s="215"/>
      <c r="AK859" s="215"/>
      <c r="AL859" s="215"/>
      <c r="AM859" s="215"/>
      <c r="AN859" s="215"/>
      <c r="AO859" s="215"/>
      <c r="AP859" s="215"/>
      <c r="AQ859" s="215"/>
      <c r="AR859" s="215"/>
      <c r="AS859" s="215"/>
      <c r="AT859" s="215"/>
      <c r="AU859" s="215"/>
      <c r="AV859" s="215"/>
      <c r="AW859" s="215"/>
      <c r="AX859" s="215"/>
      <c r="AY859" s="215"/>
    </row>
    <row r="860">
      <c r="A860" s="80"/>
      <c r="B860" s="80"/>
      <c r="C860" s="80"/>
      <c r="D860" s="80"/>
      <c r="E860" s="215"/>
      <c r="F860" s="215"/>
      <c r="G860" s="215"/>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c r="AD860" s="215"/>
      <c r="AE860" s="215"/>
      <c r="AF860" s="215"/>
      <c r="AG860" s="215"/>
      <c r="AH860" s="215"/>
      <c r="AI860" s="215"/>
      <c r="AJ860" s="215"/>
      <c r="AK860" s="215"/>
      <c r="AL860" s="215"/>
      <c r="AM860" s="215"/>
      <c r="AN860" s="215"/>
      <c r="AO860" s="215"/>
      <c r="AP860" s="215"/>
      <c r="AQ860" s="215"/>
      <c r="AR860" s="215"/>
      <c r="AS860" s="215"/>
      <c r="AT860" s="215"/>
      <c r="AU860" s="215"/>
      <c r="AV860" s="215"/>
      <c r="AW860" s="215"/>
      <c r="AX860" s="215"/>
      <c r="AY860" s="215"/>
    </row>
    <row r="861">
      <c r="A861" s="80"/>
      <c r="B861" s="80"/>
      <c r="C861" s="80"/>
      <c r="D861" s="80"/>
      <c r="E861" s="215"/>
      <c r="F861" s="215"/>
      <c r="G861" s="215"/>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c r="AD861" s="215"/>
      <c r="AE861" s="215"/>
      <c r="AF861" s="215"/>
      <c r="AG861" s="215"/>
      <c r="AH861" s="215"/>
      <c r="AI861" s="215"/>
      <c r="AJ861" s="215"/>
      <c r="AK861" s="215"/>
      <c r="AL861" s="215"/>
      <c r="AM861" s="215"/>
      <c r="AN861" s="215"/>
      <c r="AO861" s="215"/>
      <c r="AP861" s="215"/>
      <c r="AQ861" s="215"/>
      <c r="AR861" s="215"/>
      <c r="AS861" s="215"/>
      <c r="AT861" s="215"/>
      <c r="AU861" s="215"/>
      <c r="AV861" s="215"/>
      <c r="AW861" s="215"/>
      <c r="AX861" s="215"/>
      <c r="AY861" s="215"/>
    </row>
    <row r="862">
      <c r="A862" s="80"/>
      <c r="B862" s="80"/>
      <c r="C862" s="80"/>
      <c r="D862" s="80"/>
      <c r="E862" s="215"/>
      <c r="F862" s="215"/>
      <c r="G862" s="215"/>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c r="AD862" s="215"/>
      <c r="AE862" s="215"/>
      <c r="AF862" s="215"/>
      <c r="AG862" s="215"/>
      <c r="AH862" s="215"/>
      <c r="AI862" s="215"/>
      <c r="AJ862" s="215"/>
      <c r="AK862" s="215"/>
      <c r="AL862" s="215"/>
      <c r="AM862" s="215"/>
      <c r="AN862" s="215"/>
      <c r="AO862" s="215"/>
      <c r="AP862" s="215"/>
      <c r="AQ862" s="215"/>
      <c r="AR862" s="215"/>
      <c r="AS862" s="215"/>
      <c r="AT862" s="215"/>
      <c r="AU862" s="215"/>
      <c r="AV862" s="215"/>
      <c r="AW862" s="215"/>
      <c r="AX862" s="215"/>
      <c r="AY862" s="215"/>
    </row>
    <row r="863">
      <c r="A863" s="80"/>
      <c r="B863" s="80"/>
      <c r="C863" s="80"/>
      <c r="D863" s="80"/>
      <c r="E863" s="215"/>
      <c r="F863" s="215"/>
      <c r="G863" s="215"/>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c r="AD863" s="215"/>
      <c r="AE863" s="215"/>
      <c r="AF863" s="215"/>
      <c r="AG863" s="215"/>
      <c r="AH863" s="215"/>
      <c r="AI863" s="215"/>
      <c r="AJ863" s="215"/>
      <c r="AK863" s="215"/>
      <c r="AL863" s="215"/>
      <c r="AM863" s="215"/>
      <c r="AN863" s="215"/>
      <c r="AO863" s="215"/>
      <c r="AP863" s="215"/>
      <c r="AQ863" s="215"/>
      <c r="AR863" s="215"/>
      <c r="AS863" s="215"/>
      <c r="AT863" s="215"/>
      <c r="AU863" s="215"/>
      <c r="AV863" s="215"/>
      <c r="AW863" s="215"/>
      <c r="AX863" s="215"/>
      <c r="AY863" s="215"/>
    </row>
    <row r="864">
      <c r="A864" s="80"/>
      <c r="B864" s="80"/>
      <c r="C864" s="80"/>
      <c r="D864" s="80"/>
      <c r="E864" s="215"/>
      <c r="F864" s="215"/>
      <c r="G864" s="215"/>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c r="AD864" s="215"/>
      <c r="AE864" s="215"/>
      <c r="AF864" s="215"/>
      <c r="AG864" s="215"/>
      <c r="AH864" s="215"/>
      <c r="AI864" s="215"/>
      <c r="AJ864" s="215"/>
      <c r="AK864" s="215"/>
      <c r="AL864" s="215"/>
      <c r="AM864" s="215"/>
      <c r="AN864" s="215"/>
      <c r="AO864" s="215"/>
      <c r="AP864" s="215"/>
      <c r="AQ864" s="215"/>
      <c r="AR864" s="215"/>
      <c r="AS864" s="215"/>
      <c r="AT864" s="215"/>
      <c r="AU864" s="215"/>
      <c r="AV864" s="215"/>
      <c r="AW864" s="215"/>
      <c r="AX864" s="215"/>
      <c r="AY864" s="215"/>
    </row>
    <row r="865">
      <c r="A865" s="80"/>
      <c r="B865" s="80"/>
      <c r="C865" s="80"/>
      <c r="D865" s="80"/>
      <c r="E865" s="215"/>
      <c r="F865" s="215"/>
      <c r="G865" s="215"/>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c r="AD865" s="215"/>
      <c r="AE865" s="215"/>
      <c r="AF865" s="215"/>
      <c r="AG865" s="215"/>
      <c r="AH865" s="215"/>
      <c r="AI865" s="215"/>
      <c r="AJ865" s="215"/>
      <c r="AK865" s="215"/>
      <c r="AL865" s="215"/>
      <c r="AM865" s="215"/>
      <c r="AN865" s="215"/>
      <c r="AO865" s="215"/>
      <c r="AP865" s="215"/>
      <c r="AQ865" s="215"/>
      <c r="AR865" s="215"/>
      <c r="AS865" s="215"/>
      <c r="AT865" s="215"/>
      <c r="AU865" s="215"/>
      <c r="AV865" s="215"/>
      <c r="AW865" s="215"/>
      <c r="AX865" s="215"/>
      <c r="AY865" s="215"/>
    </row>
    <row r="866">
      <c r="A866" s="80"/>
      <c r="B866" s="80"/>
      <c r="C866" s="80"/>
      <c r="D866" s="80"/>
      <c r="E866" s="215"/>
      <c r="F866" s="215"/>
      <c r="G866" s="215"/>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c r="AD866" s="215"/>
      <c r="AE866" s="215"/>
      <c r="AF866" s="215"/>
      <c r="AG866" s="215"/>
      <c r="AH866" s="215"/>
      <c r="AI866" s="215"/>
      <c r="AJ866" s="215"/>
      <c r="AK866" s="215"/>
      <c r="AL866" s="215"/>
      <c r="AM866" s="215"/>
      <c r="AN866" s="215"/>
      <c r="AO866" s="215"/>
      <c r="AP866" s="215"/>
      <c r="AQ866" s="215"/>
      <c r="AR866" s="215"/>
      <c r="AS866" s="215"/>
      <c r="AT866" s="215"/>
      <c r="AU866" s="215"/>
      <c r="AV866" s="215"/>
      <c r="AW866" s="215"/>
      <c r="AX866" s="215"/>
      <c r="AY866" s="215"/>
    </row>
    <row r="867">
      <c r="A867" s="80"/>
      <c r="B867" s="80"/>
      <c r="C867" s="80"/>
      <c r="D867" s="80"/>
      <c r="E867" s="215"/>
      <c r="F867" s="215"/>
      <c r="G867" s="215"/>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c r="AD867" s="215"/>
      <c r="AE867" s="215"/>
      <c r="AF867" s="215"/>
      <c r="AG867" s="215"/>
      <c r="AH867" s="215"/>
      <c r="AI867" s="215"/>
      <c r="AJ867" s="215"/>
      <c r="AK867" s="215"/>
      <c r="AL867" s="215"/>
      <c r="AM867" s="215"/>
      <c r="AN867" s="215"/>
      <c r="AO867" s="215"/>
      <c r="AP867" s="215"/>
      <c r="AQ867" s="215"/>
      <c r="AR867" s="215"/>
      <c r="AS867" s="215"/>
      <c r="AT867" s="215"/>
      <c r="AU867" s="215"/>
      <c r="AV867" s="215"/>
      <c r="AW867" s="215"/>
      <c r="AX867" s="215"/>
      <c r="AY867" s="215"/>
    </row>
    <row r="868">
      <c r="A868" s="80"/>
      <c r="B868" s="80"/>
      <c r="C868" s="80"/>
      <c r="D868" s="80"/>
      <c r="E868" s="215"/>
      <c r="F868" s="215"/>
      <c r="G868" s="215"/>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c r="AD868" s="215"/>
      <c r="AE868" s="215"/>
      <c r="AF868" s="215"/>
      <c r="AG868" s="215"/>
      <c r="AH868" s="215"/>
      <c r="AI868" s="215"/>
      <c r="AJ868" s="215"/>
      <c r="AK868" s="215"/>
      <c r="AL868" s="215"/>
      <c r="AM868" s="215"/>
      <c r="AN868" s="215"/>
      <c r="AO868" s="215"/>
      <c r="AP868" s="215"/>
      <c r="AQ868" s="215"/>
      <c r="AR868" s="215"/>
      <c r="AS868" s="215"/>
      <c r="AT868" s="215"/>
      <c r="AU868" s="215"/>
      <c r="AV868" s="215"/>
      <c r="AW868" s="215"/>
      <c r="AX868" s="215"/>
      <c r="AY868" s="215"/>
    </row>
    <row r="869">
      <c r="A869" s="80"/>
      <c r="B869" s="80"/>
      <c r="C869" s="80"/>
      <c r="D869" s="80"/>
      <c r="E869" s="215"/>
      <c r="F869" s="215"/>
      <c r="G869" s="215"/>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c r="AD869" s="215"/>
      <c r="AE869" s="215"/>
      <c r="AF869" s="215"/>
      <c r="AG869" s="215"/>
      <c r="AH869" s="215"/>
      <c r="AI869" s="215"/>
      <c r="AJ869" s="215"/>
      <c r="AK869" s="215"/>
      <c r="AL869" s="215"/>
      <c r="AM869" s="215"/>
      <c r="AN869" s="215"/>
      <c r="AO869" s="215"/>
      <c r="AP869" s="215"/>
      <c r="AQ869" s="215"/>
      <c r="AR869" s="215"/>
      <c r="AS869" s="215"/>
      <c r="AT869" s="215"/>
      <c r="AU869" s="215"/>
      <c r="AV869" s="215"/>
      <c r="AW869" s="215"/>
      <c r="AX869" s="215"/>
      <c r="AY869" s="215"/>
    </row>
    <row r="870">
      <c r="A870" s="80"/>
      <c r="B870" s="80"/>
      <c r="C870" s="80"/>
      <c r="D870" s="80"/>
      <c r="E870" s="215"/>
      <c r="F870" s="215"/>
      <c r="G870" s="215"/>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c r="AD870" s="215"/>
      <c r="AE870" s="215"/>
      <c r="AF870" s="215"/>
      <c r="AG870" s="215"/>
      <c r="AH870" s="215"/>
      <c r="AI870" s="215"/>
      <c r="AJ870" s="215"/>
      <c r="AK870" s="215"/>
      <c r="AL870" s="215"/>
      <c r="AM870" s="215"/>
      <c r="AN870" s="215"/>
      <c r="AO870" s="215"/>
      <c r="AP870" s="215"/>
      <c r="AQ870" s="215"/>
      <c r="AR870" s="215"/>
      <c r="AS870" s="215"/>
      <c r="AT870" s="215"/>
      <c r="AU870" s="215"/>
      <c r="AV870" s="215"/>
      <c r="AW870" s="215"/>
      <c r="AX870" s="215"/>
      <c r="AY870" s="215"/>
    </row>
    <row r="871">
      <c r="A871" s="80"/>
      <c r="B871" s="80"/>
      <c r="C871" s="80"/>
      <c r="D871" s="80"/>
      <c r="E871" s="215"/>
      <c r="F871" s="215"/>
      <c r="G871" s="215"/>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c r="AD871" s="215"/>
      <c r="AE871" s="215"/>
      <c r="AF871" s="215"/>
      <c r="AG871" s="215"/>
      <c r="AH871" s="215"/>
      <c r="AI871" s="215"/>
      <c r="AJ871" s="215"/>
      <c r="AK871" s="215"/>
      <c r="AL871" s="215"/>
      <c r="AM871" s="215"/>
      <c r="AN871" s="215"/>
      <c r="AO871" s="215"/>
      <c r="AP871" s="215"/>
      <c r="AQ871" s="215"/>
      <c r="AR871" s="215"/>
      <c r="AS871" s="215"/>
      <c r="AT871" s="215"/>
      <c r="AU871" s="215"/>
      <c r="AV871" s="215"/>
      <c r="AW871" s="215"/>
      <c r="AX871" s="215"/>
      <c r="AY871" s="215"/>
    </row>
    <row r="872">
      <c r="A872" s="80"/>
      <c r="B872" s="80"/>
      <c r="C872" s="80"/>
      <c r="D872" s="80"/>
      <c r="E872" s="215"/>
      <c r="F872" s="215"/>
      <c r="G872" s="215"/>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c r="AD872" s="215"/>
      <c r="AE872" s="215"/>
      <c r="AF872" s="215"/>
      <c r="AG872" s="215"/>
      <c r="AH872" s="215"/>
      <c r="AI872" s="215"/>
      <c r="AJ872" s="215"/>
      <c r="AK872" s="215"/>
      <c r="AL872" s="215"/>
      <c r="AM872" s="215"/>
      <c r="AN872" s="215"/>
      <c r="AO872" s="215"/>
      <c r="AP872" s="215"/>
      <c r="AQ872" s="215"/>
      <c r="AR872" s="215"/>
      <c r="AS872" s="215"/>
      <c r="AT872" s="215"/>
      <c r="AU872" s="215"/>
      <c r="AV872" s="215"/>
      <c r="AW872" s="215"/>
      <c r="AX872" s="215"/>
      <c r="AY872" s="215"/>
    </row>
    <row r="873">
      <c r="A873" s="80"/>
      <c r="B873" s="80"/>
      <c r="C873" s="80"/>
      <c r="D873" s="80"/>
      <c r="E873" s="215"/>
      <c r="F873" s="215"/>
      <c r="G873" s="215"/>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c r="AD873" s="215"/>
      <c r="AE873" s="215"/>
      <c r="AF873" s="215"/>
      <c r="AG873" s="215"/>
      <c r="AH873" s="215"/>
      <c r="AI873" s="215"/>
      <c r="AJ873" s="215"/>
      <c r="AK873" s="215"/>
      <c r="AL873" s="215"/>
      <c r="AM873" s="215"/>
      <c r="AN873" s="215"/>
      <c r="AO873" s="215"/>
      <c r="AP873" s="215"/>
      <c r="AQ873" s="215"/>
      <c r="AR873" s="215"/>
      <c r="AS873" s="215"/>
      <c r="AT873" s="215"/>
      <c r="AU873" s="215"/>
      <c r="AV873" s="215"/>
      <c r="AW873" s="215"/>
      <c r="AX873" s="215"/>
      <c r="AY873" s="215"/>
    </row>
    <row r="874">
      <c r="A874" s="80"/>
      <c r="B874" s="80"/>
      <c r="C874" s="80"/>
      <c r="D874" s="80"/>
      <c r="E874" s="215"/>
      <c r="F874" s="215"/>
      <c r="G874" s="215"/>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c r="AD874" s="215"/>
      <c r="AE874" s="215"/>
      <c r="AF874" s="215"/>
      <c r="AG874" s="215"/>
      <c r="AH874" s="215"/>
      <c r="AI874" s="215"/>
      <c r="AJ874" s="215"/>
      <c r="AK874" s="215"/>
      <c r="AL874" s="215"/>
      <c r="AM874" s="215"/>
      <c r="AN874" s="215"/>
      <c r="AO874" s="215"/>
      <c r="AP874" s="215"/>
      <c r="AQ874" s="215"/>
      <c r="AR874" s="215"/>
      <c r="AS874" s="215"/>
      <c r="AT874" s="215"/>
      <c r="AU874" s="215"/>
      <c r="AV874" s="215"/>
      <c r="AW874" s="215"/>
      <c r="AX874" s="215"/>
      <c r="AY874" s="215"/>
    </row>
    <row r="875">
      <c r="A875" s="80"/>
      <c r="B875" s="80"/>
      <c r="C875" s="80"/>
      <c r="D875" s="80"/>
      <c r="E875" s="215"/>
      <c r="F875" s="215"/>
      <c r="G875" s="215"/>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c r="AD875" s="215"/>
      <c r="AE875" s="215"/>
      <c r="AF875" s="215"/>
      <c r="AG875" s="215"/>
      <c r="AH875" s="215"/>
      <c r="AI875" s="215"/>
      <c r="AJ875" s="215"/>
      <c r="AK875" s="215"/>
      <c r="AL875" s="215"/>
      <c r="AM875" s="215"/>
      <c r="AN875" s="215"/>
      <c r="AO875" s="215"/>
      <c r="AP875" s="215"/>
      <c r="AQ875" s="215"/>
      <c r="AR875" s="215"/>
      <c r="AS875" s="215"/>
      <c r="AT875" s="215"/>
      <c r="AU875" s="215"/>
      <c r="AV875" s="215"/>
      <c r="AW875" s="215"/>
      <c r="AX875" s="215"/>
      <c r="AY875" s="215"/>
    </row>
    <row r="876">
      <c r="A876" s="80"/>
      <c r="B876" s="80"/>
      <c r="C876" s="80"/>
      <c r="D876" s="80"/>
      <c r="E876" s="215"/>
      <c r="F876" s="215"/>
      <c r="G876" s="215"/>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c r="AD876" s="215"/>
      <c r="AE876" s="215"/>
      <c r="AF876" s="215"/>
      <c r="AG876" s="215"/>
      <c r="AH876" s="215"/>
      <c r="AI876" s="215"/>
      <c r="AJ876" s="215"/>
      <c r="AK876" s="215"/>
      <c r="AL876" s="215"/>
      <c r="AM876" s="215"/>
      <c r="AN876" s="215"/>
      <c r="AO876" s="215"/>
      <c r="AP876" s="215"/>
      <c r="AQ876" s="215"/>
      <c r="AR876" s="215"/>
      <c r="AS876" s="215"/>
      <c r="AT876" s="215"/>
      <c r="AU876" s="215"/>
      <c r="AV876" s="215"/>
      <c r="AW876" s="215"/>
      <c r="AX876" s="215"/>
      <c r="AY876" s="215"/>
    </row>
    <row r="877">
      <c r="A877" s="80"/>
      <c r="B877" s="80"/>
      <c r="C877" s="80"/>
      <c r="D877" s="80"/>
      <c r="E877" s="215"/>
      <c r="F877" s="215"/>
      <c r="G877" s="215"/>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c r="AD877" s="215"/>
      <c r="AE877" s="215"/>
      <c r="AF877" s="215"/>
      <c r="AG877" s="215"/>
      <c r="AH877" s="215"/>
      <c r="AI877" s="215"/>
      <c r="AJ877" s="215"/>
      <c r="AK877" s="215"/>
      <c r="AL877" s="215"/>
      <c r="AM877" s="215"/>
      <c r="AN877" s="215"/>
      <c r="AO877" s="215"/>
      <c r="AP877" s="215"/>
      <c r="AQ877" s="215"/>
      <c r="AR877" s="215"/>
      <c r="AS877" s="215"/>
      <c r="AT877" s="215"/>
      <c r="AU877" s="215"/>
      <c r="AV877" s="215"/>
      <c r="AW877" s="215"/>
      <c r="AX877" s="215"/>
      <c r="AY877" s="215"/>
    </row>
    <row r="878">
      <c r="A878" s="80"/>
      <c r="B878" s="80"/>
      <c r="C878" s="80"/>
      <c r="D878" s="80"/>
      <c r="E878" s="215"/>
      <c r="F878" s="215"/>
      <c r="G878" s="215"/>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c r="AD878" s="215"/>
      <c r="AE878" s="215"/>
      <c r="AF878" s="215"/>
      <c r="AG878" s="215"/>
      <c r="AH878" s="215"/>
      <c r="AI878" s="215"/>
      <c r="AJ878" s="215"/>
      <c r="AK878" s="215"/>
      <c r="AL878" s="215"/>
      <c r="AM878" s="215"/>
      <c r="AN878" s="215"/>
      <c r="AO878" s="215"/>
      <c r="AP878" s="215"/>
      <c r="AQ878" s="215"/>
      <c r="AR878" s="215"/>
      <c r="AS878" s="215"/>
      <c r="AT878" s="215"/>
      <c r="AU878" s="215"/>
      <c r="AV878" s="215"/>
      <c r="AW878" s="215"/>
      <c r="AX878" s="215"/>
      <c r="AY878" s="215"/>
    </row>
    <row r="879">
      <c r="A879" s="80"/>
      <c r="B879" s="80"/>
      <c r="C879" s="80"/>
      <c r="D879" s="80"/>
      <c r="E879" s="215"/>
      <c r="F879" s="215"/>
      <c r="G879" s="215"/>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c r="AD879" s="215"/>
      <c r="AE879" s="215"/>
      <c r="AF879" s="215"/>
      <c r="AG879" s="215"/>
      <c r="AH879" s="215"/>
      <c r="AI879" s="215"/>
      <c r="AJ879" s="215"/>
      <c r="AK879" s="215"/>
      <c r="AL879" s="215"/>
      <c r="AM879" s="215"/>
      <c r="AN879" s="215"/>
      <c r="AO879" s="215"/>
      <c r="AP879" s="215"/>
      <c r="AQ879" s="215"/>
      <c r="AR879" s="215"/>
      <c r="AS879" s="215"/>
      <c r="AT879" s="215"/>
      <c r="AU879" s="215"/>
      <c r="AV879" s="215"/>
      <c r="AW879" s="215"/>
      <c r="AX879" s="215"/>
      <c r="AY879" s="215"/>
    </row>
    <row r="880">
      <c r="A880" s="80"/>
      <c r="B880" s="80"/>
      <c r="C880" s="80"/>
      <c r="D880" s="80"/>
      <c r="E880" s="215"/>
      <c r="F880" s="215"/>
      <c r="G880" s="215"/>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c r="AD880" s="215"/>
      <c r="AE880" s="215"/>
      <c r="AF880" s="215"/>
      <c r="AG880" s="215"/>
      <c r="AH880" s="215"/>
      <c r="AI880" s="215"/>
      <c r="AJ880" s="215"/>
      <c r="AK880" s="215"/>
      <c r="AL880" s="215"/>
      <c r="AM880" s="215"/>
      <c r="AN880" s="215"/>
      <c r="AO880" s="215"/>
      <c r="AP880" s="215"/>
      <c r="AQ880" s="215"/>
      <c r="AR880" s="215"/>
      <c r="AS880" s="215"/>
      <c r="AT880" s="215"/>
      <c r="AU880" s="215"/>
      <c r="AV880" s="215"/>
      <c r="AW880" s="215"/>
      <c r="AX880" s="215"/>
      <c r="AY880" s="215"/>
    </row>
    <row r="881">
      <c r="A881" s="80"/>
      <c r="B881" s="80"/>
      <c r="C881" s="80"/>
      <c r="D881" s="80"/>
      <c r="E881" s="215"/>
      <c r="F881" s="215"/>
      <c r="G881" s="215"/>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c r="AD881" s="215"/>
      <c r="AE881" s="215"/>
      <c r="AF881" s="215"/>
      <c r="AG881" s="215"/>
      <c r="AH881" s="215"/>
      <c r="AI881" s="215"/>
      <c r="AJ881" s="215"/>
      <c r="AK881" s="215"/>
      <c r="AL881" s="215"/>
      <c r="AM881" s="215"/>
      <c r="AN881" s="215"/>
      <c r="AO881" s="215"/>
      <c r="AP881" s="215"/>
      <c r="AQ881" s="215"/>
      <c r="AR881" s="215"/>
      <c r="AS881" s="215"/>
      <c r="AT881" s="215"/>
      <c r="AU881" s="215"/>
      <c r="AV881" s="215"/>
      <c r="AW881" s="215"/>
      <c r="AX881" s="215"/>
      <c r="AY881" s="215"/>
    </row>
    <row r="882">
      <c r="A882" s="80"/>
      <c r="B882" s="80"/>
      <c r="C882" s="80"/>
      <c r="D882" s="80"/>
      <c r="E882" s="215"/>
      <c r="F882" s="215"/>
      <c r="G882" s="215"/>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c r="AD882" s="215"/>
      <c r="AE882" s="215"/>
      <c r="AF882" s="215"/>
      <c r="AG882" s="215"/>
      <c r="AH882" s="215"/>
      <c r="AI882" s="215"/>
      <c r="AJ882" s="215"/>
      <c r="AK882" s="215"/>
      <c r="AL882" s="215"/>
      <c r="AM882" s="215"/>
      <c r="AN882" s="215"/>
      <c r="AO882" s="215"/>
      <c r="AP882" s="215"/>
      <c r="AQ882" s="215"/>
      <c r="AR882" s="215"/>
      <c r="AS882" s="215"/>
      <c r="AT882" s="215"/>
      <c r="AU882" s="215"/>
      <c r="AV882" s="215"/>
      <c r="AW882" s="215"/>
      <c r="AX882" s="215"/>
      <c r="AY882" s="215"/>
    </row>
    <row r="883">
      <c r="A883" s="80"/>
      <c r="B883" s="80"/>
      <c r="C883" s="80"/>
      <c r="D883" s="80"/>
      <c r="E883" s="215"/>
      <c r="F883" s="215"/>
      <c r="G883" s="215"/>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c r="AD883" s="215"/>
      <c r="AE883" s="215"/>
      <c r="AF883" s="215"/>
      <c r="AG883" s="215"/>
      <c r="AH883" s="215"/>
      <c r="AI883" s="215"/>
      <c r="AJ883" s="215"/>
      <c r="AK883" s="215"/>
      <c r="AL883" s="215"/>
      <c r="AM883" s="215"/>
      <c r="AN883" s="215"/>
      <c r="AO883" s="215"/>
      <c r="AP883" s="215"/>
      <c r="AQ883" s="215"/>
      <c r="AR883" s="215"/>
      <c r="AS883" s="215"/>
      <c r="AT883" s="215"/>
      <c r="AU883" s="215"/>
      <c r="AV883" s="215"/>
      <c r="AW883" s="215"/>
      <c r="AX883" s="215"/>
      <c r="AY883" s="215"/>
    </row>
    <row r="884">
      <c r="A884" s="80"/>
      <c r="B884" s="80"/>
      <c r="C884" s="80"/>
      <c r="D884" s="80"/>
      <c r="E884" s="215"/>
      <c r="F884" s="215"/>
      <c r="G884" s="215"/>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c r="AD884" s="215"/>
      <c r="AE884" s="215"/>
      <c r="AF884" s="215"/>
      <c r="AG884" s="215"/>
      <c r="AH884" s="215"/>
      <c r="AI884" s="215"/>
      <c r="AJ884" s="215"/>
      <c r="AK884" s="215"/>
      <c r="AL884" s="215"/>
      <c r="AM884" s="215"/>
      <c r="AN884" s="215"/>
      <c r="AO884" s="215"/>
      <c r="AP884" s="215"/>
      <c r="AQ884" s="215"/>
      <c r="AR884" s="215"/>
      <c r="AS884" s="215"/>
      <c r="AT884" s="215"/>
      <c r="AU884" s="215"/>
      <c r="AV884" s="215"/>
      <c r="AW884" s="215"/>
      <c r="AX884" s="215"/>
      <c r="AY884" s="215"/>
    </row>
    <row r="885">
      <c r="A885" s="80"/>
      <c r="B885" s="80"/>
      <c r="C885" s="80"/>
      <c r="D885" s="80"/>
      <c r="E885" s="215"/>
      <c r="F885" s="215"/>
      <c r="G885" s="215"/>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c r="AD885" s="215"/>
      <c r="AE885" s="215"/>
      <c r="AF885" s="215"/>
      <c r="AG885" s="215"/>
      <c r="AH885" s="215"/>
      <c r="AI885" s="215"/>
      <c r="AJ885" s="215"/>
      <c r="AK885" s="215"/>
      <c r="AL885" s="215"/>
      <c r="AM885" s="215"/>
      <c r="AN885" s="215"/>
      <c r="AO885" s="215"/>
      <c r="AP885" s="215"/>
      <c r="AQ885" s="215"/>
      <c r="AR885" s="215"/>
      <c r="AS885" s="215"/>
      <c r="AT885" s="215"/>
      <c r="AU885" s="215"/>
      <c r="AV885" s="215"/>
      <c r="AW885" s="215"/>
      <c r="AX885" s="215"/>
      <c r="AY885" s="215"/>
    </row>
    <row r="886">
      <c r="A886" s="80"/>
      <c r="B886" s="80"/>
      <c r="C886" s="80"/>
      <c r="D886" s="80"/>
      <c r="E886" s="215"/>
      <c r="F886" s="215"/>
      <c r="G886" s="215"/>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c r="AD886" s="215"/>
      <c r="AE886" s="215"/>
      <c r="AF886" s="215"/>
      <c r="AG886" s="215"/>
      <c r="AH886" s="215"/>
      <c r="AI886" s="215"/>
      <c r="AJ886" s="215"/>
      <c r="AK886" s="215"/>
      <c r="AL886" s="215"/>
      <c r="AM886" s="215"/>
      <c r="AN886" s="215"/>
      <c r="AO886" s="215"/>
      <c r="AP886" s="215"/>
      <c r="AQ886" s="215"/>
      <c r="AR886" s="215"/>
      <c r="AS886" s="215"/>
      <c r="AT886" s="215"/>
      <c r="AU886" s="215"/>
      <c r="AV886" s="215"/>
      <c r="AW886" s="215"/>
      <c r="AX886" s="215"/>
      <c r="AY886" s="215"/>
    </row>
    <row r="887">
      <c r="A887" s="80"/>
      <c r="B887" s="80"/>
      <c r="C887" s="80"/>
      <c r="D887" s="80"/>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c r="AI887" s="215"/>
      <c r="AJ887" s="215"/>
      <c r="AK887" s="215"/>
      <c r="AL887" s="215"/>
      <c r="AM887" s="215"/>
      <c r="AN887" s="215"/>
      <c r="AO887" s="215"/>
      <c r="AP887" s="215"/>
      <c r="AQ887" s="215"/>
      <c r="AR887" s="215"/>
      <c r="AS887" s="215"/>
      <c r="AT887" s="215"/>
      <c r="AU887" s="215"/>
      <c r="AV887" s="215"/>
      <c r="AW887" s="215"/>
      <c r="AX887" s="215"/>
      <c r="AY887" s="215"/>
    </row>
    <row r="888">
      <c r="A888" s="80"/>
      <c r="B888" s="80"/>
      <c r="C888" s="80"/>
      <c r="D888" s="80"/>
      <c r="E888" s="215"/>
      <c r="F888" s="215"/>
      <c r="G888" s="215"/>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c r="AD888" s="215"/>
      <c r="AE888" s="215"/>
      <c r="AF888" s="215"/>
      <c r="AG888" s="215"/>
      <c r="AH888" s="215"/>
      <c r="AI888" s="215"/>
      <c r="AJ888" s="215"/>
      <c r="AK888" s="215"/>
      <c r="AL888" s="215"/>
      <c r="AM888" s="215"/>
      <c r="AN888" s="215"/>
      <c r="AO888" s="215"/>
      <c r="AP888" s="215"/>
      <c r="AQ888" s="215"/>
      <c r="AR888" s="215"/>
      <c r="AS888" s="215"/>
      <c r="AT888" s="215"/>
      <c r="AU888" s="215"/>
      <c r="AV888" s="215"/>
      <c r="AW888" s="215"/>
      <c r="AX888" s="215"/>
      <c r="AY888" s="215"/>
    </row>
    <row r="889">
      <c r="A889" s="80"/>
      <c r="B889" s="80"/>
      <c r="C889" s="80"/>
      <c r="D889" s="80"/>
      <c r="E889" s="215"/>
      <c r="F889" s="215"/>
      <c r="G889" s="215"/>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c r="AD889" s="215"/>
      <c r="AE889" s="215"/>
      <c r="AF889" s="215"/>
      <c r="AG889" s="215"/>
      <c r="AH889" s="215"/>
      <c r="AI889" s="215"/>
      <c r="AJ889" s="215"/>
      <c r="AK889" s="215"/>
      <c r="AL889" s="215"/>
      <c r="AM889" s="215"/>
      <c r="AN889" s="215"/>
      <c r="AO889" s="215"/>
      <c r="AP889" s="215"/>
      <c r="AQ889" s="215"/>
      <c r="AR889" s="215"/>
      <c r="AS889" s="215"/>
      <c r="AT889" s="215"/>
      <c r="AU889" s="215"/>
      <c r="AV889" s="215"/>
      <c r="AW889" s="215"/>
      <c r="AX889" s="215"/>
      <c r="AY889" s="215"/>
    </row>
    <row r="890">
      <c r="A890" s="80"/>
      <c r="B890" s="80"/>
      <c r="C890" s="80"/>
      <c r="D890" s="80"/>
      <c r="E890" s="215"/>
      <c r="F890" s="215"/>
      <c r="G890" s="215"/>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c r="AD890" s="215"/>
      <c r="AE890" s="215"/>
      <c r="AF890" s="215"/>
      <c r="AG890" s="215"/>
      <c r="AH890" s="215"/>
      <c r="AI890" s="215"/>
      <c r="AJ890" s="215"/>
      <c r="AK890" s="215"/>
      <c r="AL890" s="215"/>
      <c r="AM890" s="215"/>
      <c r="AN890" s="215"/>
      <c r="AO890" s="215"/>
      <c r="AP890" s="215"/>
      <c r="AQ890" s="215"/>
      <c r="AR890" s="215"/>
      <c r="AS890" s="215"/>
      <c r="AT890" s="215"/>
      <c r="AU890" s="215"/>
      <c r="AV890" s="215"/>
      <c r="AW890" s="215"/>
      <c r="AX890" s="215"/>
      <c r="AY890" s="215"/>
    </row>
    <row r="891">
      <c r="A891" s="80"/>
      <c r="B891" s="80"/>
      <c r="C891" s="80"/>
      <c r="D891" s="80"/>
      <c r="E891" s="215"/>
      <c r="F891" s="215"/>
      <c r="G891" s="215"/>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c r="AD891" s="215"/>
      <c r="AE891" s="215"/>
      <c r="AF891" s="215"/>
      <c r="AG891" s="215"/>
      <c r="AH891" s="215"/>
      <c r="AI891" s="215"/>
      <c r="AJ891" s="215"/>
      <c r="AK891" s="215"/>
      <c r="AL891" s="215"/>
      <c r="AM891" s="215"/>
      <c r="AN891" s="215"/>
      <c r="AO891" s="215"/>
      <c r="AP891" s="215"/>
      <c r="AQ891" s="215"/>
      <c r="AR891" s="215"/>
      <c r="AS891" s="215"/>
      <c r="AT891" s="215"/>
      <c r="AU891" s="215"/>
      <c r="AV891" s="215"/>
      <c r="AW891" s="215"/>
      <c r="AX891" s="215"/>
      <c r="AY891" s="215"/>
    </row>
    <row r="892">
      <c r="A892" s="80"/>
      <c r="B892" s="80"/>
      <c r="C892" s="80"/>
      <c r="D892" s="80"/>
      <c r="E892" s="215"/>
      <c r="F892" s="215"/>
      <c r="G892" s="215"/>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c r="AD892" s="215"/>
      <c r="AE892" s="215"/>
      <c r="AF892" s="215"/>
      <c r="AG892" s="215"/>
      <c r="AH892" s="215"/>
      <c r="AI892" s="215"/>
      <c r="AJ892" s="215"/>
      <c r="AK892" s="215"/>
      <c r="AL892" s="215"/>
      <c r="AM892" s="215"/>
      <c r="AN892" s="215"/>
      <c r="AO892" s="215"/>
      <c r="AP892" s="215"/>
      <c r="AQ892" s="215"/>
      <c r="AR892" s="215"/>
      <c r="AS892" s="215"/>
      <c r="AT892" s="215"/>
      <c r="AU892" s="215"/>
      <c r="AV892" s="215"/>
      <c r="AW892" s="215"/>
      <c r="AX892" s="215"/>
      <c r="AY892" s="215"/>
    </row>
    <row r="893">
      <c r="A893" s="80"/>
      <c r="B893" s="80"/>
      <c r="C893" s="80"/>
      <c r="D893" s="80"/>
      <c r="E893" s="215"/>
      <c r="F893" s="215"/>
      <c r="G893" s="215"/>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c r="AD893" s="215"/>
      <c r="AE893" s="215"/>
      <c r="AF893" s="215"/>
      <c r="AG893" s="215"/>
      <c r="AH893" s="215"/>
      <c r="AI893" s="215"/>
      <c r="AJ893" s="215"/>
      <c r="AK893" s="215"/>
      <c r="AL893" s="215"/>
      <c r="AM893" s="215"/>
      <c r="AN893" s="215"/>
      <c r="AO893" s="215"/>
      <c r="AP893" s="215"/>
      <c r="AQ893" s="215"/>
      <c r="AR893" s="215"/>
      <c r="AS893" s="215"/>
      <c r="AT893" s="215"/>
      <c r="AU893" s="215"/>
      <c r="AV893" s="215"/>
      <c r="AW893" s="215"/>
      <c r="AX893" s="215"/>
      <c r="AY893" s="215"/>
    </row>
    <row r="894">
      <c r="A894" s="80"/>
      <c r="B894" s="80"/>
      <c r="C894" s="80"/>
      <c r="D894" s="80"/>
      <c r="E894" s="215"/>
      <c r="F894" s="215"/>
      <c r="G894" s="215"/>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c r="AD894" s="215"/>
      <c r="AE894" s="215"/>
      <c r="AF894" s="215"/>
      <c r="AG894" s="215"/>
      <c r="AH894" s="215"/>
      <c r="AI894" s="215"/>
      <c r="AJ894" s="215"/>
      <c r="AK894" s="215"/>
      <c r="AL894" s="215"/>
      <c r="AM894" s="215"/>
      <c r="AN894" s="215"/>
      <c r="AO894" s="215"/>
      <c r="AP894" s="215"/>
      <c r="AQ894" s="215"/>
      <c r="AR894" s="215"/>
      <c r="AS894" s="215"/>
      <c r="AT894" s="215"/>
      <c r="AU894" s="215"/>
      <c r="AV894" s="215"/>
      <c r="AW894" s="215"/>
      <c r="AX894" s="215"/>
      <c r="AY894" s="215"/>
    </row>
    <row r="895">
      <c r="A895" s="80"/>
      <c r="B895" s="80"/>
      <c r="C895" s="80"/>
      <c r="D895" s="80"/>
      <c r="E895" s="215"/>
      <c r="F895" s="215"/>
      <c r="G895" s="215"/>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c r="AD895" s="215"/>
      <c r="AE895" s="215"/>
      <c r="AF895" s="215"/>
      <c r="AG895" s="215"/>
      <c r="AH895" s="215"/>
      <c r="AI895" s="215"/>
      <c r="AJ895" s="215"/>
      <c r="AK895" s="215"/>
      <c r="AL895" s="215"/>
      <c r="AM895" s="215"/>
      <c r="AN895" s="215"/>
      <c r="AO895" s="215"/>
      <c r="AP895" s="215"/>
      <c r="AQ895" s="215"/>
      <c r="AR895" s="215"/>
      <c r="AS895" s="215"/>
      <c r="AT895" s="215"/>
      <c r="AU895" s="215"/>
      <c r="AV895" s="215"/>
      <c r="AW895" s="215"/>
      <c r="AX895" s="215"/>
      <c r="AY895" s="215"/>
    </row>
    <row r="896">
      <c r="A896" s="80"/>
      <c r="B896" s="80"/>
      <c r="C896" s="80"/>
      <c r="D896" s="80"/>
      <c r="E896" s="215"/>
      <c r="F896" s="215"/>
      <c r="G896" s="215"/>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c r="AD896" s="215"/>
      <c r="AE896" s="215"/>
      <c r="AF896" s="215"/>
      <c r="AG896" s="215"/>
      <c r="AH896" s="215"/>
      <c r="AI896" s="215"/>
      <c r="AJ896" s="215"/>
      <c r="AK896" s="215"/>
      <c r="AL896" s="215"/>
      <c r="AM896" s="215"/>
      <c r="AN896" s="215"/>
      <c r="AO896" s="215"/>
      <c r="AP896" s="215"/>
      <c r="AQ896" s="215"/>
      <c r="AR896" s="215"/>
      <c r="AS896" s="215"/>
      <c r="AT896" s="215"/>
      <c r="AU896" s="215"/>
      <c r="AV896" s="215"/>
      <c r="AW896" s="215"/>
      <c r="AX896" s="215"/>
      <c r="AY896" s="215"/>
    </row>
    <row r="897">
      <c r="A897" s="80"/>
      <c r="B897" s="80"/>
      <c r="C897" s="80"/>
      <c r="D897" s="80"/>
      <c r="E897" s="215"/>
      <c r="F897" s="215"/>
      <c r="G897" s="215"/>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c r="AD897" s="215"/>
      <c r="AE897" s="215"/>
      <c r="AF897" s="215"/>
      <c r="AG897" s="215"/>
      <c r="AH897" s="215"/>
      <c r="AI897" s="215"/>
      <c r="AJ897" s="215"/>
      <c r="AK897" s="215"/>
      <c r="AL897" s="215"/>
      <c r="AM897" s="215"/>
      <c r="AN897" s="215"/>
      <c r="AO897" s="215"/>
      <c r="AP897" s="215"/>
      <c r="AQ897" s="215"/>
      <c r="AR897" s="215"/>
      <c r="AS897" s="215"/>
      <c r="AT897" s="215"/>
      <c r="AU897" s="215"/>
      <c r="AV897" s="215"/>
      <c r="AW897" s="215"/>
      <c r="AX897" s="215"/>
      <c r="AY897" s="215"/>
    </row>
    <row r="898">
      <c r="A898" s="80"/>
      <c r="B898" s="80"/>
      <c r="C898" s="80"/>
      <c r="D898" s="80"/>
      <c r="E898" s="215"/>
      <c r="F898" s="215"/>
      <c r="G898" s="215"/>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c r="AD898" s="215"/>
      <c r="AE898" s="215"/>
      <c r="AF898" s="215"/>
      <c r="AG898" s="215"/>
      <c r="AH898" s="215"/>
      <c r="AI898" s="215"/>
      <c r="AJ898" s="215"/>
      <c r="AK898" s="215"/>
      <c r="AL898" s="215"/>
      <c r="AM898" s="215"/>
      <c r="AN898" s="215"/>
      <c r="AO898" s="215"/>
      <c r="AP898" s="215"/>
      <c r="AQ898" s="215"/>
      <c r="AR898" s="215"/>
      <c r="AS898" s="215"/>
      <c r="AT898" s="215"/>
      <c r="AU898" s="215"/>
      <c r="AV898" s="215"/>
      <c r="AW898" s="215"/>
      <c r="AX898" s="215"/>
      <c r="AY898" s="215"/>
    </row>
    <row r="899">
      <c r="A899" s="80"/>
      <c r="B899" s="80"/>
      <c r="C899" s="80"/>
      <c r="D899" s="80"/>
      <c r="E899" s="215"/>
      <c r="F899" s="215"/>
      <c r="G899" s="215"/>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c r="AD899" s="215"/>
      <c r="AE899" s="215"/>
      <c r="AF899" s="215"/>
      <c r="AG899" s="215"/>
      <c r="AH899" s="215"/>
      <c r="AI899" s="215"/>
      <c r="AJ899" s="215"/>
      <c r="AK899" s="215"/>
      <c r="AL899" s="215"/>
      <c r="AM899" s="215"/>
      <c r="AN899" s="215"/>
      <c r="AO899" s="215"/>
      <c r="AP899" s="215"/>
      <c r="AQ899" s="215"/>
      <c r="AR899" s="215"/>
      <c r="AS899" s="215"/>
      <c r="AT899" s="215"/>
      <c r="AU899" s="215"/>
      <c r="AV899" s="215"/>
      <c r="AW899" s="215"/>
      <c r="AX899" s="215"/>
      <c r="AY899" s="215"/>
    </row>
    <row r="900">
      <c r="A900" s="80"/>
      <c r="B900" s="80"/>
      <c r="C900" s="80"/>
      <c r="D900" s="80"/>
      <c r="E900" s="215"/>
      <c r="F900" s="215"/>
      <c r="G900" s="215"/>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c r="AD900" s="215"/>
      <c r="AE900" s="215"/>
      <c r="AF900" s="215"/>
      <c r="AG900" s="215"/>
      <c r="AH900" s="215"/>
      <c r="AI900" s="215"/>
      <c r="AJ900" s="215"/>
      <c r="AK900" s="215"/>
      <c r="AL900" s="215"/>
      <c r="AM900" s="215"/>
      <c r="AN900" s="215"/>
      <c r="AO900" s="215"/>
      <c r="AP900" s="215"/>
      <c r="AQ900" s="215"/>
      <c r="AR900" s="215"/>
      <c r="AS900" s="215"/>
      <c r="AT900" s="215"/>
      <c r="AU900" s="215"/>
      <c r="AV900" s="215"/>
      <c r="AW900" s="215"/>
      <c r="AX900" s="215"/>
      <c r="AY900" s="215"/>
    </row>
    <row r="901">
      <c r="A901" s="80"/>
      <c r="B901" s="80"/>
      <c r="C901" s="80"/>
      <c r="D901" s="80"/>
      <c r="E901" s="215"/>
      <c r="F901" s="215"/>
      <c r="G901" s="215"/>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c r="AD901" s="215"/>
      <c r="AE901" s="215"/>
      <c r="AF901" s="215"/>
      <c r="AG901" s="215"/>
      <c r="AH901" s="215"/>
      <c r="AI901" s="215"/>
      <c r="AJ901" s="215"/>
      <c r="AK901" s="215"/>
      <c r="AL901" s="215"/>
      <c r="AM901" s="215"/>
      <c r="AN901" s="215"/>
      <c r="AO901" s="215"/>
      <c r="AP901" s="215"/>
      <c r="AQ901" s="215"/>
      <c r="AR901" s="215"/>
      <c r="AS901" s="215"/>
      <c r="AT901" s="215"/>
      <c r="AU901" s="215"/>
      <c r="AV901" s="215"/>
      <c r="AW901" s="215"/>
      <c r="AX901" s="215"/>
      <c r="AY901" s="215"/>
    </row>
    <row r="902">
      <c r="A902" s="80"/>
      <c r="B902" s="80"/>
      <c r="C902" s="80"/>
      <c r="D902" s="80"/>
      <c r="E902" s="215"/>
      <c r="F902" s="215"/>
      <c r="G902" s="215"/>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c r="AD902" s="215"/>
      <c r="AE902" s="215"/>
      <c r="AF902" s="215"/>
      <c r="AG902" s="215"/>
      <c r="AH902" s="215"/>
      <c r="AI902" s="215"/>
      <c r="AJ902" s="215"/>
      <c r="AK902" s="215"/>
      <c r="AL902" s="215"/>
      <c r="AM902" s="215"/>
      <c r="AN902" s="215"/>
      <c r="AO902" s="215"/>
      <c r="AP902" s="215"/>
      <c r="AQ902" s="215"/>
      <c r="AR902" s="215"/>
      <c r="AS902" s="215"/>
      <c r="AT902" s="215"/>
      <c r="AU902" s="215"/>
      <c r="AV902" s="215"/>
      <c r="AW902" s="215"/>
      <c r="AX902" s="215"/>
      <c r="AY902" s="215"/>
    </row>
    <row r="903">
      <c r="A903" s="80"/>
      <c r="B903" s="80"/>
      <c r="C903" s="80"/>
      <c r="D903" s="80"/>
      <c r="E903" s="215"/>
      <c r="F903" s="215"/>
      <c r="G903" s="215"/>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c r="AD903" s="215"/>
      <c r="AE903" s="215"/>
      <c r="AF903" s="215"/>
      <c r="AG903" s="215"/>
      <c r="AH903" s="215"/>
      <c r="AI903" s="215"/>
      <c r="AJ903" s="215"/>
      <c r="AK903" s="215"/>
      <c r="AL903" s="215"/>
      <c r="AM903" s="215"/>
      <c r="AN903" s="215"/>
      <c r="AO903" s="215"/>
      <c r="AP903" s="215"/>
      <c r="AQ903" s="215"/>
      <c r="AR903" s="215"/>
      <c r="AS903" s="215"/>
      <c r="AT903" s="215"/>
      <c r="AU903" s="215"/>
      <c r="AV903" s="215"/>
      <c r="AW903" s="215"/>
      <c r="AX903" s="215"/>
      <c r="AY903" s="215"/>
    </row>
    <row r="904">
      <c r="A904" s="80"/>
      <c r="B904" s="80"/>
      <c r="C904" s="80"/>
      <c r="D904" s="80"/>
      <c r="E904" s="215"/>
      <c r="F904" s="215"/>
      <c r="G904" s="215"/>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c r="AD904" s="215"/>
      <c r="AE904" s="215"/>
      <c r="AF904" s="215"/>
      <c r="AG904" s="215"/>
      <c r="AH904" s="215"/>
      <c r="AI904" s="215"/>
      <c r="AJ904" s="215"/>
      <c r="AK904" s="215"/>
      <c r="AL904" s="215"/>
      <c r="AM904" s="215"/>
      <c r="AN904" s="215"/>
      <c r="AO904" s="215"/>
      <c r="AP904" s="215"/>
      <c r="AQ904" s="215"/>
      <c r="AR904" s="215"/>
      <c r="AS904" s="215"/>
      <c r="AT904" s="215"/>
      <c r="AU904" s="215"/>
      <c r="AV904" s="215"/>
      <c r="AW904" s="215"/>
      <c r="AX904" s="215"/>
      <c r="AY904" s="215"/>
    </row>
    <row r="905">
      <c r="A905" s="80"/>
      <c r="B905" s="80"/>
      <c r="C905" s="80"/>
      <c r="D905" s="80"/>
      <c r="E905" s="215"/>
      <c r="F905" s="215"/>
      <c r="G905" s="215"/>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c r="AD905" s="215"/>
      <c r="AE905" s="215"/>
      <c r="AF905" s="215"/>
      <c r="AG905" s="215"/>
      <c r="AH905" s="215"/>
      <c r="AI905" s="215"/>
      <c r="AJ905" s="215"/>
      <c r="AK905" s="215"/>
      <c r="AL905" s="215"/>
      <c r="AM905" s="215"/>
      <c r="AN905" s="215"/>
      <c r="AO905" s="215"/>
      <c r="AP905" s="215"/>
      <c r="AQ905" s="215"/>
      <c r="AR905" s="215"/>
      <c r="AS905" s="215"/>
      <c r="AT905" s="215"/>
      <c r="AU905" s="215"/>
      <c r="AV905" s="215"/>
      <c r="AW905" s="215"/>
      <c r="AX905" s="215"/>
      <c r="AY905" s="215"/>
    </row>
    <row r="906">
      <c r="A906" s="80"/>
      <c r="B906" s="80"/>
      <c r="C906" s="80"/>
      <c r="D906" s="80"/>
      <c r="E906" s="215"/>
      <c r="F906" s="215"/>
      <c r="G906" s="215"/>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c r="AD906" s="215"/>
      <c r="AE906" s="215"/>
      <c r="AF906" s="215"/>
      <c r="AG906" s="215"/>
      <c r="AH906" s="215"/>
      <c r="AI906" s="215"/>
      <c r="AJ906" s="215"/>
      <c r="AK906" s="215"/>
      <c r="AL906" s="215"/>
      <c r="AM906" s="215"/>
      <c r="AN906" s="215"/>
      <c r="AO906" s="215"/>
      <c r="AP906" s="215"/>
      <c r="AQ906" s="215"/>
      <c r="AR906" s="215"/>
      <c r="AS906" s="215"/>
      <c r="AT906" s="215"/>
      <c r="AU906" s="215"/>
      <c r="AV906" s="215"/>
      <c r="AW906" s="215"/>
      <c r="AX906" s="215"/>
      <c r="AY906" s="215"/>
    </row>
    <row r="907">
      <c r="A907" s="80"/>
      <c r="B907" s="80"/>
      <c r="C907" s="80"/>
      <c r="D907" s="80"/>
      <c r="E907" s="215"/>
      <c r="F907" s="215"/>
      <c r="G907" s="215"/>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c r="AD907" s="215"/>
      <c r="AE907" s="215"/>
      <c r="AF907" s="215"/>
      <c r="AG907" s="215"/>
      <c r="AH907" s="215"/>
      <c r="AI907" s="215"/>
      <c r="AJ907" s="215"/>
      <c r="AK907" s="215"/>
      <c r="AL907" s="215"/>
      <c r="AM907" s="215"/>
      <c r="AN907" s="215"/>
      <c r="AO907" s="215"/>
      <c r="AP907" s="215"/>
      <c r="AQ907" s="215"/>
      <c r="AR907" s="215"/>
      <c r="AS907" s="215"/>
      <c r="AT907" s="215"/>
      <c r="AU907" s="215"/>
      <c r="AV907" s="215"/>
      <c r="AW907" s="215"/>
      <c r="AX907" s="215"/>
      <c r="AY907" s="215"/>
    </row>
    <row r="908">
      <c r="A908" s="80"/>
      <c r="B908" s="80"/>
      <c r="C908" s="80"/>
      <c r="D908" s="80"/>
      <c r="E908" s="215"/>
      <c r="F908" s="215"/>
      <c r="G908" s="215"/>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c r="AD908" s="215"/>
      <c r="AE908" s="215"/>
      <c r="AF908" s="215"/>
      <c r="AG908" s="215"/>
      <c r="AH908" s="215"/>
      <c r="AI908" s="215"/>
      <c r="AJ908" s="215"/>
      <c r="AK908" s="215"/>
      <c r="AL908" s="215"/>
      <c r="AM908" s="215"/>
      <c r="AN908" s="215"/>
      <c r="AO908" s="215"/>
      <c r="AP908" s="215"/>
      <c r="AQ908" s="215"/>
      <c r="AR908" s="215"/>
      <c r="AS908" s="215"/>
      <c r="AT908" s="215"/>
      <c r="AU908" s="215"/>
      <c r="AV908" s="215"/>
      <c r="AW908" s="215"/>
      <c r="AX908" s="215"/>
      <c r="AY908" s="215"/>
    </row>
    <row r="909">
      <c r="A909" s="80"/>
      <c r="B909" s="80"/>
      <c r="C909" s="80"/>
      <c r="D909" s="80"/>
      <c r="E909" s="215"/>
      <c r="F909" s="215"/>
      <c r="G909" s="215"/>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c r="AD909" s="215"/>
      <c r="AE909" s="215"/>
      <c r="AF909" s="215"/>
      <c r="AG909" s="215"/>
      <c r="AH909" s="215"/>
      <c r="AI909" s="215"/>
      <c r="AJ909" s="215"/>
      <c r="AK909" s="215"/>
      <c r="AL909" s="215"/>
      <c r="AM909" s="215"/>
      <c r="AN909" s="215"/>
      <c r="AO909" s="215"/>
      <c r="AP909" s="215"/>
      <c r="AQ909" s="215"/>
      <c r="AR909" s="215"/>
      <c r="AS909" s="215"/>
      <c r="AT909" s="215"/>
      <c r="AU909" s="215"/>
      <c r="AV909" s="215"/>
      <c r="AW909" s="215"/>
      <c r="AX909" s="215"/>
      <c r="AY909" s="215"/>
    </row>
    <row r="910">
      <c r="A910" s="80"/>
      <c r="B910" s="80"/>
      <c r="C910" s="80"/>
      <c r="D910" s="80"/>
      <c r="E910" s="215"/>
      <c r="F910" s="215"/>
      <c r="G910" s="215"/>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c r="AD910" s="215"/>
      <c r="AE910" s="215"/>
      <c r="AF910" s="215"/>
      <c r="AG910" s="215"/>
      <c r="AH910" s="215"/>
      <c r="AI910" s="215"/>
      <c r="AJ910" s="215"/>
      <c r="AK910" s="215"/>
      <c r="AL910" s="215"/>
      <c r="AM910" s="215"/>
      <c r="AN910" s="215"/>
      <c r="AO910" s="215"/>
      <c r="AP910" s="215"/>
      <c r="AQ910" s="215"/>
      <c r="AR910" s="215"/>
      <c r="AS910" s="215"/>
      <c r="AT910" s="215"/>
      <c r="AU910" s="215"/>
      <c r="AV910" s="215"/>
      <c r="AW910" s="215"/>
      <c r="AX910" s="215"/>
      <c r="AY910" s="215"/>
    </row>
    <row r="911">
      <c r="A911" s="80"/>
      <c r="B911" s="80"/>
      <c r="C911" s="80"/>
      <c r="D911" s="80"/>
      <c r="E911" s="215"/>
      <c r="F911" s="215"/>
      <c r="G911" s="215"/>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c r="AD911" s="215"/>
      <c r="AE911" s="215"/>
      <c r="AF911" s="215"/>
      <c r="AG911" s="215"/>
      <c r="AH911" s="215"/>
      <c r="AI911" s="215"/>
      <c r="AJ911" s="215"/>
      <c r="AK911" s="215"/>
      <c r="AL911" s="215"/>
      <c r="AM911" s="215"/>
      <c r="AN911" s="215"/>
      <c r="AO911" s="215"/>
      <c r="AP911" s="215"/>
      <c r="AQ911" s="215"/>
      <c r="AR911" s="215"/>
      <c r="AS911" s="215"/>
      <c r="AT911" s="215"/>
      <c r="AU911" s="215"/>
      <c r="AV911" s="215"/>
      <c r="AW911" s="215"/>
      <c r="AX911" s="215"/>
      <c r="AY911" s="215"/>
    </row>
    <row r="912">
      <c r="A912" s="80"/>
      <c r="B912" s="80"/>
      <c r="C912" s="80"/>
      <c r="D912" s="80"/>
      <c r="E912" s="215"/>
      <c r="F912" s="215"/>
      <c r="G912" s="215"/>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c r="AD912" s="215"/>
      <c r="AE912" s="215"/>
      <c r="AF912" s="215"/>
      <c r="AG912" s="215"/>
      <c r="AH912" s="215"/>
      <c r="AI912" s="215"/>
      <c r="AJ912" s="215"/>
      <c r="AK912" s="215"/>
      <c r="AL912" s="215"/>
      <c r="AM912" s="215"/>
      <c r="AN912" s="215"/>
      <c r="AO912" s="215"/>
      <c r="AP912" s="215"/>
      <c r="AQ912" s="215"/>
      <c r="AR912" s="215"/>
      <c r="AS912" s="215"/>
      <c r="AT912" s="215"/>
      <c r="AU912" s="215"/>
      <c r="AV912" s="215"/>
      <c r="AW912" s="215"/>
      <c r="AX912" s="215"/>
      <c r="AY912" s="215"/>
    </row>
    <row r="913">
      <c r="A913" s="80"/>
      <c r="B913" s="80"/>
      <c r="C913" s="80"/>
      <c r="D913" s="80"/>
      <c r="E913" s="215"/>
      <c r="F913" s="215"/>
      <c r="G913" s="215"/>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c r="AD913" s="215"/>
      <c r="AE913" s="215"/>
      <c r="AF913" s="215"/>
      <c r="AG913" s="215"/>
      <c r="AH913" s="215"/>
      <c r="AI913" s="215"/>
      <c r="AJ913" s="215"/>
      <c r="AK913" s="215"/>
      <c r="AL913" s="215"/>
      <c r="AM913" s="215"/>
      <c r="AN913" s="215"/>
      <c r="AO913" s="215"/>
      <c r="AP913" s="215"/>
      <c r="AQ913" s="215"/>
      <c r="AR913" s="215"/>
      <c r="AS913" s="215"/>
      <c r="AT913" s="215"/>
      <c r="AU913" s="215"/>
      <c r="AV913" s="215"/>
      <c r="AW913" s="215"/>
      <c r="AX913" s="215"/>
      <c r="AY913" s="215"/>
    </row>
    <row r="914">
      <c r="A914" s="80"/>
      <c r="B914" s="80"/>
      <c r="C914" s="80"/>
      <c r="D914" s="80"/>
      <c r="E914" s="215"/>
      <c r="F914" s="215"/>
      <c r="G914" s="215"/>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c r="AD914" s="215"/>
      <c r="AE914" s="215"/>
      <c r="AF914" s="215"/>
      <c r="AG914" s="215"/>
      <c r="AH914" s="215"/>
      <c r="AI914" s="215"/>
      <c r="AJ914" s="215"/>
      <c r="AK914" s="215"/>
      <c r="AL914" s="215"/>
      <c r="AM914" s="215"/>
      <c r="AN914" s="215"/>
      <c r="AO914" s="215"/>
      <c r="AP914" s="215"/>
      <c r="AQ914" s="215"/>
      <c r="AR914" s="215"/>
      <c r="AS914" s="215"/>
      <c r="AT914" s="215"/>
      <c r="AU914" s="215"/>
      <c r="AV914" s="215"/>
      <c r="AW914" s="215"/>
      <c r="AX914" s="215"/>
      <c r="AY914" s="215"/>
    </row>
    <row r="915">
      <c r="A915" s="80"/>
      <c r="B915" s="80"/>
      <c r="C915" s="80"/>
      <c r="D915" s="80"/>
      <c r="E915" s="215"/>
      <c r="F915" s="215"/>
      <c r="G915" s="215"/>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c r="AD915" s="215"/>
      <c r="AE915" s="215"/>
      <c r="AF915" s="215"/>
      <c r="AG915" s="215"/>
      <c r="AH915" s="215"/>
      <c r="AI915" s="215"/>
      <c r="AJ915" s="215"/>
      <c r="AK915" s="215"/>
      <c r="AL915" s="215"/>
      <c r="AM915" s="215"/>
      <c r="AN915" s="215"/>
      <c r="AO915" s="215"/>
      <c r="AP915" s="215"/>
      <c r="AQ915" s="215"/>
      <c r="AR915" s="215"/>
      <c r="AS915" s="215"/>
      <c r="AT915" s="215"/>
      <c r="AU915" s="215"/>
      <c r="AV915" s="215"/>
      <c r="AW915" s="215"/>
      <c r="AX915" s="215"/>
      <c r="AY915" s="215"/>
    </row>
    <row r="916">
      <c r="A916" s="80"/>
      <c r="B916" s="80"/>
      <c r="C916" s="80"/>
      <c r="D916" s="80"/>
      <c r="E916" s="215"/>
      <c r="F916" s="215"/>
      <c r="G916" s="215"/>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c r="AD916" s="215"/>
      <c r="AE916" s="215"/>
      <c r="AF916" s="215"/>
      <c r="AG916" s="215"/>
      <c r="AH916" s="215"/>
      <c r="AI916" s="215"/>
      <c r="AJ916" s="215"/>
      <c r="AK916" s="215"/>
      <c r="AL916" s="215"/>
      <c r="AM916" s="215"/>
      <c r="AN916" s="215"/>
      <c r="AO916" s="215"/>
      <c r="AP916" s="215"/>
      <c r="AQ916" s="215"/>
      <c r="AR916" s="215"/>
      <c r="AS916" s="215"/>
      <c r="AT916" s="215"/>
      <c r="AU916" s="215"/>
      <c r="AV916" s="215"/>
      <c r="AW916" s="215"/>
      <c r="AX916" s="215"/>
      <c r="AY916" s="215"/>
    </row>
    <row r="917">
      <c r="A917" s="80"/>
      <c r="B917" s="80"/>
      <c r="C917" s="80"/>
      <c r="D917" s="80"/>
      <c r="E917" s="215"/>
      <c r="F917" s="215"/>
      <c r="G917" s="215"/>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c r="AD917" s="215"/>
      <c r="AE917" s="215"/>
      <c r="AF917" s="215"/>
      <c r="AG917" s="215"/>
      <c r="AH917" s="215"/>
      <c r="AI917" s="215"/>
      <c r="AJ917" s="215"/>
      <c r="AK917" s="215"/>
      <c r="AL917" s="215"/>
      <c r="AM917" s="215"/>
      <c r="AN917" s="215"/>
      <c r="AO917" s="215"/>
      <c r="AP917" s="215"/>
      <c r="AQ917" s="215"/>
      <c r="AR917" s="215"/>
      <c r="AS917" s="215"/>
      <c r="AT917" s="215"/>
      <c r="AU917" s="215"/>
      <c r="AV917" s="215"/>
      <c r="AW917" s="215"/>
      <c r="AX917" s="215"/>
      <c r="AY917" s="215"/>
    </row>
    <row r="918">
      <c r="A918" s="80"/>
      <c r="B918" s="80"/>
      <c r="C918" s="80"/>
      <c r="D918" s="80"/>
      <c r="E918" s="215"/>
      <c r="F918" s="215"/>
      <c r="G918" s="215"/>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c r="AD918" s="215"/>
      <c r="AE918" s="215"/>
      <c r="AF918" s="215"/>
      <c r="AG918" s="215"/>
      <c r="AH918" s="215"/>
      <c r="AI918" s="215"/>
      <c r="AJ918" s="215"/>
      <c r="AK918" s="215"/>
      <c r="AL918" s="215"/>
      <c r="AM918" s="215"/>
      <c r="AN918" s="215"/>
      <c r="AO918" s="215"/>
      <c r="AP918" s="215"/>
      <c r="AQ918" s="215"/>
      <c r="AR918" s="215"/>
      <c r="AS918" s="215"/>
      <c r="AT918" s="215"/>
      <c r="AU918" s="215"/>
      <c r="AV918" s="215"/>
      <c r="AW918" s="215"/>
      <c r="AX918" s="215"/>
      <c r="AY918" s="215"/>
    </row>
    <row r="919">
      <c r="A919" s="80"/>
      <c r="B919" s="80"/>
      <c r="C919" s="80"/>
      <c r="D919" s="80"/>
      <c r="E919" s="215"/>
      <c r="F919" s="215"/>
      <c r="G919" s="215"/>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c r="AD919" s="215"/>
      <c r="AE919" s="215"/>
      <c r="AF919" s="215"/>
      <c r="AG919" s="215"/>
      <c r="AH919" s="215"/>
      <c r="AI919" s="215"/>
      <c r="AJ919" s="215"/>
      <c r="AK919" s="215"/>
      <c r="AL919" s="215"/>
      <c r="AM919" s="215"/>
      <c r="AN919" s="215"/>
      <c r="AO919" s="215"/>
      <c r="AP919" s="215"/>
      <c r="AQ919" s="215"/>
      <c r="AR919" s="215"/>
      <c r="AS919" s="215"/>
      <c r="AT919" s="215"/>
      <c r="AU919" s="215"/>
      <c r="AV919" s="215"/>
      <c r="AW919" s="215"/>
      <c r="AX919" s="215"/>
      <c r="AY919" s="215"/>
    </row>
    <row r="920">
      <c r="A920" s="80"/>
      <c r="B920" s="80"/>
      <c r="C920" s="80"/>
      <c r="D920" s="80"/>
      <c r="E920" s="215"/>
      <c r="F920" s="215"/>
      <c r="G920" s="215"/>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c r="AD920" s="215"/>
      <c r="AE920" s="215"/>
      <c r="AF920" s="215"/>
      <c r="AG920" s="215"/>
      <c r="AH920" s="215"/>
      <c r="AI920" s="215"/>
      <c r="AJ920" s="215"/>
      <c r="AK920" s="215"/>
      <c r="AL920" s="215"/>
      <c r="AM920" s="215"/>
      <c r="AN920" s="215"/>
      <c r="AO920" s="215"/>
      <c r="AP920" s="215"/>
      <c r="AQ920" s="215"/>
      <c r="AR920" s="215"/>
      <c r="AS920" s="215"/>
      <c r="AT920" s="215"/>
      <c r="AU920" s="215"/>
      <c r="AV920" s="215"/>
      <c r="AW920" s="215"/>
      <c r="AX920" s="215"/>
      <c r="AY920" s="215"/>
    </row>
    <row r="921">
      <c r="A921" s="80"/>
      <c r="B921" s="80"/>
      <c r="C921" s="80"/>
      <c r="D921" s="80"/>
      <c r="E921" s="215"/>
      <c r="F921" s="215"/>
      <c r="G921" s="215"/>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c r="AD921" s="215"/>
      <c r="AE921" s="215"/>
      <c r="AF921" s="215"/>
      <c r="AG921" s="215"/>
      <c r="AH921" s="215"/>
      <c r="AI921" s="215"/>
      <c r="AJ921" s="215"/>
      <c r="AK921" s="215"/>
      <c r="AL921" s="215"/>
      <c r="AM921" s="215"/>
      <c r="AN921" s="215"/>
      <c r="AO921" s="215"/>
      <c r="AP921" s="215"/>
      <c r="AQ921" s="215"/>
      <c r="AR921" s="215"/>
      <c r="AS921" s="215"/>
      <c r="AT921" s="215"/>
      <c r="AU921" s="215"/>
      <c r="AV921" s="215"/>
      <c r="AW921" s="215"/>
      <c r="AX921" s="215"/>
      <c r="AY921" s="215"/>
    </row>
    <row r="922">
      <c r="A922" s="80"/>
      <c r="B922" s="80"/>
      <c r="C922" s="80"/>
      <c r="D922" s="80"/>
      <c r="E922" s="215"/>
      <c r="F922" s="215"/>
      <c r="G922" s="215"/>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c r="AD922" s="215"/>
      <c r="AE922" s="215"/>
      <c r="AF922" s="215"/>
      <c r="AG922" s="215"/>
      <c r="AH922" s="215"/>
      <c r="AI922" s="215"/>
      <c r="AJ922" s="215"/>
      <c r="AK922" s="215"/>
      <c r="AL922" s="215"/>
      <c r="AM922" s="215"/>
      <c r="AN922" s="215"/>
      <c r="AO922" s="215"/>
      <c r="AP922" s="215"/>
      <c r="AQ922" s="215"/>
      <c r="AR922" s="215"/>
      <c r="AS922" s="215"/>
      <c r="AT922" s="215"/>
      <c r="AU922" s="215"/>
      <c r="AV922" s="215"/>
      <c r="AW922" s="215"/>
      <c r="AX922" s="215"/>
      <c r="AY922" s="215"/>
    </row>
    <row r="923">
      <c r="A923" s="80"/>
      <c r="B923" s="80"/>
      <c r="C923" s="80"/>
      <c r="D923" s="80"/>
      <c r="E923" s="215"/>
      <c r="F923" s="215"/>
      <c r="G923" s="215"/>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c r="AD923" s="215"/>
      <c r="AE923" s="215"/>
      <c r="AF923" s="215"/>
      <c r="AG923" s="215"/>
      <c r="AH923" s="215"/>
      <c r="AI923" s="215"/>
      <c r="AJ923" s="215"/>
      <c r="AK923" s="215"/>
      <c r="AL923" s="215"/>
      <c r="AM923" s="215"/>
      <c r="AN923" s="215"/>
      <c r="AO923" s="215"/>
      <c r="AP923" s="215"/>
      <c r="AQ923" s="215"/>
      <c r="AR923" s="215"/>
      <c r="AS923" s="215"/>
      <c r="AT923" s="215"/>
      <c r="AU923" s="215"/>
      <c r="AV923" s="215"/>
      <c r="AW923" s="215"/>
      <c r="AX923" s="215"/>
      <c r="AY923" s="215"/>
    </row>
    <row r="924">
      <c r="A924" s="80"/>
      <c r="B924" s="80"/>
      <c r="C924" s="80"/>
      <c r="D924" s="80"/>
      <c r="E924" s="215"/>
      <c r="F924" s="215"/>
      <c r="G924" s="215"/>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c r="AD924" s="215"/>
      <c r="AE924" s="215"/>
      <c r="AF924" s="215"/>
      <c r="AG924" s="215"/>
      <c r="AH924" s="215"/>
      <c r="AI924" s="215"/>
      <c r="AJ924" s="215"/>
      <c r="AK924" s="215"/>
      <c r="AL924" s="215"/>
      <c r="AM924" s="215"/>
      <c r="AN924" s="215"/>
      <c r="AO924" s="215"/>
      <c r="AP924" s="215"/>
      <c r="AQ924" s="215"/>
      <c r="AR924" s="215"/>
      <c r="AS924" s="215"/>
      <c r="AT924" s="215"/>
      <c r="AU924" s="215"/>
      <c r="AV924" s="215"/>
      <c r="AW924" s="215"/>
      <c r="AX924" s="215"/>
      <c r="AY924" s="215"/>
    </row>
    <row r="925">
      <c r="A925" s="80"/>
      <c r="B925" s="80"/>
      <c r="C925" s="80"/>
      <c r="D925" s="80"/>
      <c r="E925" s="215"/>
      <c r="F925" s="215"/>
      <c r="G925" s="215"/>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c r="AD925" s="215"/>
      <c r="AE925" s="215"/>
      <c r="AF925" s="215"/>
      <c r="AG925" s="215"/>
      <c r="AH925" s="215"/>
      <c r="AI925" s="215"/>
      <c r="AJ925" s="215"/>
      <c r="AK925" s="215"/>
      <c r="AL925" s="215"/>
      <c r="AM925" s="215"/>
      <c r="AN925" s="215"/>
      <c r="AO925" s="215"/>
      <c r="AP925" s="215"/>
      <c r="AQ925" s="215"/>
      <c r="AR925" s="215"/>
      <c r="AS925" s="215"/>
      <c r="AT925" s="215"/>
      <c r="AU925" s="215"/>
      <c r="AV925" s="215"/>
      <c r="AW925" s="215"/>
      <c r="AX925" s="215"/>
      <c r="AY925" s="215"/>
    </row>
    <row r="926">
      <c r="A926" s="80"/>
      <c r="B926" s="80"/>
      <c r="C926" s="80"/>
      <c r="D926" s="80"/>
      <c r="E926" s="215"/>
      <c r="F926" s="215"/>
      <c r="G926" s="215"/>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c r="AD926" s="215"/>
      <c r="AE926" s="215"/>
      <c r="AF926" s="215"/>
      <c r="AG926" s="215"/>
      <c r="AH926" s="215"/>
      <c r="AI926" s="215"/>
      <c r="AJ926" s="215"/>
      <c r="AK926" s="215"/>
      <c r="AL926" s="215"/>
      <c r="AM926" s="215"/>
      <c r="AN926" s="215"/>
      <c r="AO926" s="215"/>
      <c r="AP926" s="215"/>
      <c r="AQ926" s="215"/>
      <c r="AR926" s="215"/>
      <c r="AS926" s="215"/>
      <c r="AT926" s="215"/>
      <c r="AU926" s="215"/>
      <c r="AV926" s="215"/>
      <c r="AW926" s="215"/>
      <c r="AX926" s="215"/>
      <c r="AY926" s="215"/>
    </row>
    <row r="927">
      <c r="A927" s="80"/>
      <c r="B927" s="80"/>
      <c r="C927" s="80"/>
      <c r="D927" s="80"/>
      <c r="E927" s="215"/>
      <c r="F927" s="215"/>
      <c r="G927" s="215"/>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c r="AD927" s="215"/>
      <c r="AE927" s="215"/>
      <c r="AF927" s="215"/>
      <c r="AG927" s="215"/>
      <c r="AH927" s="215"/>
      <c r="AI927" s="215"/>
      <c r="AJ927" s="215"/>
      <c r="AK927" s="215"/>
      <c r="AL927" s="215"/>
      <c r="AM927" s="215"/>
      <c r="AN927" s="215"/>
      <c r="AO927" s="215"/>
      <c r="AP927" s="215"/>
      <c r="AQ927" s="215"/>
      <c r="AR927" s="215"/>
      <c r="AS927" s="215"/>
      <c r="AT927" s="215"/>
      <c r="AU927" s="215"/>
      <c r="AV927" s="215"/>
      <c r="AW927" s="215"/>
      <c r="AX927" s="215"/>
      <c r="AY927" s="215"/>
    </row>
    <row r="928">
      <c r="A928" s="80"/>
      <c r="B928" s="80"/>
      <c r="C928" s="80"/>
      <c r="D928" s="80"/>
      <c r="E928" s="215"/>
      <c r="F928" s="215"/>
      <c r="G928" s="215"/>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c r="AD928" s="215"/>
      <c r="AE928" s="215"/>
      <c r="AF928" s="215"/>
      <c r="AG928" s="215"/>
      <c r="AH928" s="215"/>
      <c r="AI928" s="215"/>
      <c r="AJ928" s="215"/>
      <c r="AK928" s="215"/>
      <c r="AL928" s="215"/>
      <c r="AM928" s="215"/>
      <c r="AN928" s="215"/>
      <c r="AO928" s="215"/>
      <c r="AP928" s="215"/>
      <c r="AQ928" s="215"/>
      <c r="AR928" s="215"/>
      <c r="AS928" s="215"/>
      <c r="AT928" s="215"/>
      <c r="AU928" s="215"/>
      <c r="AV928" s="215"/>
      <c r="AW928" s="215"/>
      <c r="AX928" s="215"/>
      <c r="AY928" s="215"/>
    </row>
    <row r="929">
      <c r="A929" s="80"/>
      <c r="B929" s="80"/>
      <c r="C929" s="80"/>
      <c r="D929" s="80"/>
      <c r="E929" s="215"/>
      <c r="F929" s="215"/>
      <c r="G929" s="215"/>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c r="AD929" s="215"/>
      <c r="AE929" s="215"/>
      <c r="AF929" s="215"/>
      <c r="AG929" s="215"/>
      <c r="AH929" s="215"/>
      <c r="AI929" s="215"/>
      <c r="AJ929" s="215"/>
      <c r="AK929" s="215"/>
      <c r="AL929" s="215"/>
      <c r="AM929" s="215"/>
      <c r="AN929" s="215"/>
      <c r="AO929" s="215"/>
      <c r="AP929" s="215"/>
      <c r="AQ929" s="215"/>
      <c r="AR929" s="215"/>
      <c r="AS929" s="215"/>
      <c r="AT929" s="215"/>
      <c r="AU929" s="215"/>
      <c r="AV929" s="215"/>
      <c r="AW929" s="215"/>
      <c r="AX929" s="215"/>
      <c r="AY929" s="215"/>
    </row>
    <row r="930">
      <c r="A930" s="80"/>
      <c r="B930" s="80"/>
      <c r="C930" s="80"/>
      <c r="D930" s="80"/>
      <c r="E930" s="215"/>
      <c r="F930" s="215"/>
      <c r="G930" s="215"/>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c r="AD930" s="215"/>
      <c r="AE930" s="215"/>
      <c r="AF930" s="215"/>
      <c r="AG930" s="215"/>
      <c r="AH930" s="215"/>
      <c r="AI930" s="215"/>
      <c r="AJ930" s="215"/>
      <c r="AK930" s="215"/>
      <c r="AL930" s="215"/>
      <c r="AM930" s="215"/>
      <c r="AN930" s="215"/>
      <c r="AO930" s="215"/>
      <c r="AP930" s="215"/>
      <c r="AQ930" s="215"/>
      <c r="AR930" s="215"/>
      <c r="AS930" s="215"/>
      <c r="AT930" s="215"/>
      <c r="AU930" s="215"/>
      <c r="AV930" s="215"/>
      <c r="AW930" s="215"/>
      <c r="AX930" s="215"/>
      <c r="AY930" s="215"/>
    </row>
    <row r="931">
      <c r="A931" s="80"/>
      <c r="B931" s="80"/>
      <c r="C931" s="80"/>
      <c r="D931" s="80"/>
      <c r="E931" s="215"/>
      <c r="F931" s="215"/>
      <c r="G931" s="215"/>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c r="AD931" s="215"/>
      <c r="AE931" s="215"/>
      <c r="AF931" s="215"/>
      <c r="AG931" s="215"/>
      <c r="AH931" s="215"/>
      <c r="AI931" s="215"/>
      <c r="AJ931" s="215"/>
      <c r="AK931" s="215"/>
      <c r="AL931" s="215"/>
      <c r="AM931" s="215"/>
      <c r="AN931" s="215"/>
      <c r="AO931" s="215"/>
      <c r="AP931" s="215"/>
      <c r="AQ931" s="215"/>
      <c r="AR931" s="215"/>
      <c r="AS931" s="215"/>
      <c r="AT931" s="215"/>
      <c r="AU931" s="215"/>
      <c r="AV931" s="215"/>
      <c r="AW931" s="215"/>
      <c r="AX931" s="215"/>
      <c r="AY931" s="215"/>
    </row>
    <row r="932">
      <c r="A932" s="80"/>
      <c r="B932" s="80"/>
      <c r="C932" s="80"/>
      <c r="D932" s="80"/>
      <c r="E932" s="215"/>
      <c r="F932" s="215"/>
      <c r="G932" s="215"/>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c r="AD932" s="215"/>
      <c r="AE932" s="215"/>
      <c r="AF932" s="215"/>
      <c r="AG932" s="215"/>
      <c r="AH932" s="215"/>
      <c r="AI932" s="215"/>
      <c r="AJ932" s="215"/>
      <c r="AK932" s="215"/>
      <c r="AL932" s="215"/>
      <c r="AM932" s="215"/>
      <c r="AN932" s="215"/>
      <c r="AO932" s="215"/>
      <c r="AP932" s="215"/>
      <c r="AQ932" s="215"/>
      <c r="AR932" s="215"/>
      <c r="AS932" s="215"/>
      <c r="AT932" s="215"/>
      <c r="AU932" s="215"/>
      <c r="AV932" s="215"/>
      <c r="AW932" s="215"/>
      <c r="AX932" s="215"/>
      <c r="AY932" s="215"/>
    </row>
    <row r="933">
      <c r="A933" s="80"/>
      <c r="B933" s="80"/>
      <c r="C933" s="80"/>
      <c r="D933" s="80"/>
      <c r="E933" s="215"/>
      <c r="F933" s="215"/>
      <c r="G933" s="215"/>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c r="AD933" s="215"/>
      <c r="AE933" s="215"/>
      <c r="AF933" s="215"/>
      <c r="AG933" s="215"/>
      <c r="AH933" s="215"/>
      <c r="AI933" s="215"/>
      <c r="AJ933" s="215"/>
      <c r="AK933" s="215"/>
      <c r="AL933" s="215"/>
      <c r="AM933" s="215"/>
      <c r="AN933" s="215"/>
      <c r="AO933" s="215"/>
      <c r="AP933" s="215"/>
      <c r="AQ933" s="215"/>
      <c r="AR933" s="215"/>
      <c r="AS933" s="215"/>
      <c r="AT933" s="215"/>
      <c r="AU933" s="215"/>
      <c r="AV933" s="215"/>
      <c r="AW933" s="215"/>
      <c r="AX933" s="215"/>
      <c r="AY933" s="215"/>
    </row>
    <row r="934">
      <c r="A934" s="80"/>
      <c r="B934" s="80"/>
      <c r="C934" s="80"/>
      <c r="D934" s="80"/>
      <c r="E934" s="215"/>
      <c r="F934" s="215"/>
      <c r="G934" s="215"/>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c r="AD934" s="215"/>
      <c r="AE934" s="215"/>
      <c r="AF934" s="215"/>
      <c r="AG934" s="215"/>
      <c r="AH934" s="215"/>
      <c r="AI934" s="215"/>
      <c r="AJ934" s="215"/>
      <c r="AK934" s="215"/>
      <c r="AL934" s="215"/>
      <c r="AM934" s="215"/>
      <c r="AN934" s="215"/>
      <c r="AO934" s="215"/>
      <c r="AP934" s="215"/>
      <c r="AQ934" s="215"/>
      <c r="AR934" s="215"/>
      <c r="AS934" s="215"/>
      <c r="AT934" s="215"/>
      <c r="AU934" s="215"/>
      <c r="AV934" s="215"/>
      <c r="AW934" s="215"/>
      <c r="AX934" s="215"/>
      <c r="AY934" s="215"/>
    </row>
    <row r="935">
      <c r="A935" s="80"/>
      <c r="B935" s="80"/>
      <c r="C935" s="80"/>
      <c r="D935" s="80"/>
      <c r="E935" s="215"/>
      <c r="F935" s="215"/>
      <c r="G935" s="215"/>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c r="AD935" s="215"/>
      <c r="AE935" s="215"/>
      <c r="AF935" s="215"/>
      <c r="AG935" s="215"/>
      <c r="AH935" s="215"/>
      <c r="AI935" s="215"/>
      <c r="AJ935" s="215"/>
      <c r="AK935" s="215"/>
      <c r="AL935" s="215"/>
      <c r="AM935" s="215"/>
      <c r="AN935" s="215"/>
      <c r="AO935" s="215"/>
      <c r="AP935" s="215"/>
      <c r="AQ935" s="215"/>
      <c r="AR935" s="215"/>
      <c r="AS935" s="215"/>
      <c r="AT935" s="215"/>
      <c r="AU935" s="215"/>
      <c r="AV935" s="215"/>
      <c r="AW935" s="215"/>
      <c r="AX935" s="215"/>
      <c r="AY935" s="215"/>
    </row>
    <row r="936">
      <c r="A936" s="80"/>
      <c r="B936" s="80"/>
      <c r="C936" s="80"/>
      <c r="D936" s="80"/>
      <c r="E936" s="215"/>
      <c r="F936" s="215"/>
      <c r="G936" s="215"/>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c r="AD936" s="215"/>
      <c r="AE936" s="215"/>
      <c r="AF936" s="215"/>
      <c r="AG936" s="215"/>
      <c r="AH936" s="215"/>
      <c r="AI936" s="215"/>
      <c r="AJ936" s="215"/>
      <c r="AK936" s="215"/>
      <c r="AL936" s="215"/>
      <c r="AM936" s="215"/>
      <c r="AN936" s="215"/>
      <c r="AO936" s="215"/>
      <c r="AP936" s="215"/>
      <c r="AQ936" s="215"/>
      <c r="AR936" s="215"/>
      <c r="AS936" s="215"/>
      <c r="AT936" s="215"/>
      <c r="AU936" s="215"/>
      <c r="AV936" s="215"/>
      <c r="AW936" s="215"/>
      <c r="AX936" s="215"/>
      <c r="AY936" s="215"/>
    </row>
    <row r="937">
      <c r="A937" s="80"/>
      <c r="B937" s="80"/>
      <c r="C937" s="80"/>
      <c r="D937" s="80"/>
      <c r="E937" s="215"/>
      <c r="F937" s="215"/>
      <c r="G937" s="215"/>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c r="AD937" s="215"/>
      <c r="AE937" s="215"/>
      <c r="AF937" s="215"/>
      <c r="AG937" s="215"/>
      <c r="AH937" s="215"/>
      <c r="AI937" s="215"/>
      <c r="AJ937" s="215"/>
      <c r="AK937" s="215"/>
      <c r="AL937" s="215"/>
      <c r="AM937" s="215"/>
      <c r="AN937" s="215"/>
      <c r="AO937" s="215"/>
      <c r="AP937" s="215"/>
      <c r="AQ937" s="215"/>
      <c r="AR937" s="215"/>
      <c r="AS937" s="215"/>
      <c r="AT937" s="215"/>
      <c r="AU937" s="215"/>
      <c r="AV937" s="215"/>
      <c r="AW937" s="215"/>
      <c r="AX937" s="215"/>
      <c r="AY937" s="215"/>
    </row>
    <row r="938">
      <c r="A938" s="80"/>
      <c r="B938" s="80"/>
      <c r="C938" s="80"/>
      <c r="D938" s="80"/>
      <c r="E938" s="215"/>
      <c r="F938" s="215"/>
      <c r="G938" s="215"/>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c r="AD938" s="215"/>
      <c r="AE938" s="215"/>
      <c r="AF938" s="215"/>
      <c r="AG938" s="215"/>
      <c r="AH938" s="215"/>
      <c r="AI938" s="215"/>
      <c r="AJ938" s="215"/>
      <c r="AK938" s="215"/>
      <c r="AL938" s="215"/>
      <c r="AM938" s="215"/>
      <c r="AN938" s="215"/>
      <c r="AO938" s="215"/>
      <c r="AP938" s="215"/>
      <c r="AQ938" s="215"/>
      <c r="AR938" s="215"/>
      <c r="AS938" s="215"/>
      <c r="AT938" s="215"/>
      <c r="AU938" s="215"/>
      <c r="AV938" s="215"/>
      <c r="AW938" s="215"/>
      <c r="AX938" s="215"/>
      <c r="AY938" s="215"/>
    </row>
    <row r="939">
      <c r="A939" s="80"/>
      <c r="B939" s="80"/>
      <c r="C939" s="80"/>
      <c r="D939" s="80"/>
      <c r="E939" s="215"/>
      <c r="F939" s="215"/>
      <c r="G939" s="215"/>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c r="AD939" s="215"/>
      <c r="AE939" s="215"/>
      <c r="AF939" s="215"/>
      <c r="AG939" s="215"/>
      <c r="AH939" s="215"/>
      <c r="AI939" s="215"/>
      <c r="AJ939" s="215"/>
      <c r="AK939" s="215"/>
      <c r="AL939" s="215"/>
      <c r="AM939" s="215"/>
      <c r="AN939" s="215"/>
      <c r="AO939" s="215"/>
      <c r="AP939" s="215"/>
      <c r="AQ939" s="215"/>
      <c r="AR939" s="215"/>
      <c r="AS939" s="215"/>
      <c r="AT939" s="215"/>
      <c r="AU939" s="215"/>
      <c r="AV939" s="215"/>
      <c r="AW939" s="215"/>
      <c r="AX939" s="215"/>
      <c r="AY939" s="215"/>
    </row>
    <row r="940">
      <c r="A940" s="80"/>
      <c r="B940" s="80"/>
      <c r="C940" s="80"/>
      <c r="D940" s="80"/>
      <c r="E940" s="215"/>
      <c r="F940" s="215"/>
      <c r="G940" s="215"/>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c r="AD940" s="215"/>
      <c r="AE940" s="215"/>
      <c r="AF940" s="215"/>
      <c r="AG940" s="215"/>
      <c r="AH940" s="215"/>
      <c r="AI940" s="215"/>
      <c r="AJ940" s="215"/>
      <c r="AK940" s="215"/>
      <c r="AL940" s="215"/>
      <c r="AM940" s="215"/>
      <c r="AN940" s="215"/>
      <c r="AO940" s="215"/>
      <c r="AP940" s="215"/>
      <c r="AQ940" s="215"/>
      <c r="AR940" s="215"/>
      <c r="AS940" s="215"/>
      <c r="AT940" s="215"/>
      <c r="AU940" s="215"/>
      <c r="AV940" s="215"/>
      <c r="AW940" s="215"/>
      <c r="AX940" s="215"/>
      <c r="AY940" s="215"/>
    </row>
    <row r="941">
      <c r="A941" s="80"/>
      <c r="B941" s="80"/>
      <c r="C941" s="80"/>
      <c r="D941" s="80"/>
      <c r="E941" s="215"/>
      <c r="F941" s="215"/>
      <c r="G941" s="215"/>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c r="AD941" s="215"/>
      <c r="AE941" s="215"/>
      <c r="AF941" s="215"/>
      <c r="AG941" s="215"/>
      <c r="AH941" s="215"/>
      <c r="AI941" s="215"/>
      <c r="AJ941" s="215"/>
      <c r="AK941" s="215"/>
      <c r="AL941" s="215"/>
      <c r="AM941" s="215"/>
      <c r="AN941" s="215"/>
      <c r="AO941" s="215"/>
      <c r="AP941" s="215"/>
      <c r="AQ941" s="215"/>
      <c r="AR941" s="215"/>
      <c r="AS941" s="215"/>
      <c r="AT941" s="215"/>
      <c r="AU941" s="215"/>
      <c r="AV941" s="215"/>
      <c r="AW941" s="215"/>
      <c r="AX941" s="215"/>
      <c r="AY941" s="215"/>
    </row>
    <row r="942">
      <c r="A942" s="80"/>
      <c r="B942" s="80"/>
      <c r="C942" s="80"/>
      <c r="D942" s="80"/>
      <c r="E942" s="215"/>
      <c r="F942" s="215"/>
      <c r="G942" s="215"/>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c r="AD942" s="215"/>
      <c r="AE942" s="215"/>
      <c r="AF942" s="215"/>
      <c r="AG942" s="215"/>
      <c r="AH942" s="215"/>
      <c r="AI942" s="215"/>
      <c r="AJ942" s="215"/>
      <c r="AK942" s="215"/>
      <c r="AL942" s="215"/>
      <c r="AM942" s="215"/>
      <c r="AN942" s="215"/>
      <c r="AO942" s="215"/>
      <c r="AP942" s="215"/>
      <c r="AQ942" s="215"/>
      <c r="AR942" s="215"/>
      <c r="AS942" s="215"/>
      <c r="AT942" s="215"/>
      <c r="AU942" s="215"/>
      <c r="AV942" s="215"/>
      <c r="AW942" s="215"/>
      <c r="AX942" s="215"/>
      <c r="AY942" s="215"/>
    </row>
    <row r="943">
      <c r="A943" s="80"/>
      <c r="B943" s="80"/>
      <c r="C943" s="80"/>
      <c r="D943" s="80"/>
      <c r="E943" s="215"/>
      <c r="F943" s="215"/>
      <c r="G943" s="215"/>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c r="AD943" s="215"/>
      <c r="AE943" s="215"/>
      <c r="AF943" s="215"/>
      <c r="AG943" s="215"/>
      <c r="AH943" s="215"/>
      <c r="AI943" s="215"/>
      <c r="AJ943" s="215"/>
      <c r="AK943" s="215"/>
      <c r="AL943" s="215"/>
      <c r="AM943" s="215"/>
      <c r="AN943" s="215"/>
      <c r="AO943" s="215"/>
      <c r="AP943" s="215"/>
      <c r="AQ943" s="215"/>
      <c r="AR943" s="215"/>
      <c r="AS943" s="215"/>
      <c r="AT943" s="215"/>
      <c r="AU943" s="215"/>
      <c r="AV943" s="215"/>
      <c r="AW943" s="215"/>
      <c r="AX943" s="215"/>
      <c r="AY943" s="215"/>
    </row>
    <row r="944">
      <c r="A944" s="80"/>
      <c r="B944" s="80"/>
      <c r="C944" s="80"/>
      <c r="D944" s="80"/>
      <c r="E944" s="215"/>
      <c r="F944" s="215"/>
      <c r="G944" s="215"/>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c r="AD944" s="215"/>
      <c r="AE944" s="215"/>
      <c r="AF944" s="215"/>
      <c r="AG944" s="215"/>
      <c r="AH944" s="215"/>
      <c r="AI944" s="215"/>
      <c r="AJ944" s="215"/>
      <c r="AK944" s="215"/>
      <c r="AL944" s="215"/>
      <c r="AM944" s="215"/>
      <c r="AN944" s="215"/>
      <c r="AO944" s="215"/>
      <c r="AP944" s="215"/>
      <c r="AQ944" s="215"/>
      <c r="AR944" s="215"/>
      <c r="AS944" s="215"/>
      <c r="AT944" s="215"/>
      <c r="AU944" s="215"/>
      <c r="AV944" s="215"/>
      <c r="AW944" s="215"/>
      <c r="AX944" s="215"/>
      <c r="AY944" s="215"/>
    </row>
    <row r="945">
      <c r="A945" s="80"/>
      <c r="B945" s="80"/>
      <c r="C945" s="80"/>
      <c r="D945" s="80"/>
      <c r="E945" s="215"/>
      <c r="F945" s="215"/>
      <c r="G945" s="215"/>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c r="AD945" s="215"/>
      <c r="AE945" s="215"/>
      <c r="AF945" s="215"/>
      <c r="AG945" s="215"/>
      <c r="AH945" s="215"/>
      <c r="AI945" s="215"/>
      <c r="AJ945" s="215"/>
      <c r="AK945" s="215"/>
      <c r="AL945" s="215"/>
      <c r="AM945" s="215"/>
      <c r="AN945" s="215"/>
      <c r="AO945" s="215"/>
      <c r="AP945" s="215"/>
      <c r="AQ945" s="215"/>
      <c r="AR945" s="215"/>
      <c r="AS945" s="215"/>
      <c r="AT945" s="215"/>
      <c r="AU945" s="215"/>
      <c r="AV945" s="215"/>
      <c r="AW945" s="215"/>
      <c r="AX945" s="215"/>
      <c r="AY945" s="215"/>
    </row>
    <row r="946">
      <c r="A946" s="80"/>
      <c r="B946" s="80"/>
      <c r="C946" s="80"/>
      <c r="D946" s="80"/>
      <c r="E946" s="215"/>
      <c r="F946" s="215"/>
      <c r="G946" s="215"/>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c r="AD946" s="215"/>
      <c r="AE946" s="215"/>
      <c r="AF946" s="215"/>
      <c r="AG946" s="215"/>
      <c r="AH946" s="215"/>
      <c r="AI946" s="215"/>
      <c r="AJ946" s="215"/>
      <c r="AK946" s="215"/>
      <c r="AL946" s="215"/>
      <c r="AM946" s="215"/>
      <c r="AN946" s="215"/>
      <c r="AO946" s="215"/>
      <c r="AP946" s="215"/>
      <c r="AQ946" s="215"/>
      <c r="AR946" s="215"/>
      <c r="AS946" s="215"/>
      <c r="AT946" s="215"/>
      <c r="AU946" s="215"/>
      <c r="AV946" s="215"/>
      <c r="AW946" s="215"/>
      <c r="AX946" s="215"/>
      <c r="AY946" s="215"/>
    </row>
    <row r="947">
      <c r="A947" s="80"/>
      <c r="B947" s="80"/>
      <c r="C947" s="80"/>
      <c r="D947" s="80"/>
      <c r="E947" s="215"/>
      <c r="F947" s="215"/>
      <c r="G947" s="215"/>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c r="AD947" s="215"/>
      <c r="AE947" s="215"/>
      <c r="AF947" s="215"/>
      <c r="AG947" s="215"/>
      <c r="AH947" s="215"/>
      <c r="AI947" s="215"/>
      <c r="AJ947" s="215"/>
      <c r="AK947" s="215"/>
      <c r="AL947" s="215"/>
      <c r="AM947" s="215"/>
      <c r="AN947" s="215"/>
      <c r="AO947" s="215"/>
      <c r="AP947" s="215"/>
      <c r="AQ947" s="215"/>
      <c r="AR947" s="215"/>
      <c r="AS947" s="215"/>
      <c r="AT947" s="215"/>
      <c r="AU947" s="215"/>
      <c r="AV947" s="215"/>
      <c r="AW947" s="215"/>
      <c r="AX947" s="215"/>
      <c r="AY947" s="215"/>
    </row>
    <row r="948">
      <c r="A948" s="80"/>
      <c r="B948" s="80"/>
      <c r="C948" s="80"/>
      <c r="D948" s="80"/>
      <c r="E948" s="215"/>
      <c r="F948" s="215"/>
      <c r="G948" s="215"/>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c r="AD948" s="215"/>
      <c r="AE948" s="215"/>
      <c r="AF948" s="215"/>
      <c r="AG948" s="215"/>
      <c r="AH948" s="215"/>
      <c r="AI948" s="215"/>
      <c r="AJ948" s="215"/>
      <c r="AK948" s="215"/>
      <c r="AL948" s="215"/>
      <c r="AM948" s="215"/>
      <c r="AN948" s="215"/>
      <c r="AO948" s="215"/>
      <c r="AP948" s="215"/>
      <c r="AQ948" s="215"/>
      <c r="AR948" s="215"/>
      <c r="AS948" s="215"/>
      <c r="AT948" s="215"/>
      <c r="AU948" s="215"/>
      <c r="AV948" s="215"/>
      <c r="AW948" s="215"/>
      <c r="AX948" s="215"/>
      <c r="AY948" s="215"/>
    </row>
    <row r="949">
      <c r="A949" s="80"/>
      <c r="B949" s="80"/>
      <c r="C949" s="80"/>
      <c r="D949" s="80"/>
      <c r="E949" s="215"/>
      <c r="F949" s="215"/>
      <c r="G949" s="215"/>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c r="AD949" s="215"/>
      <c r="AE949" s="215"/>
      <c r="AF949" s="215"/>
      <c r="AG949" s="215"/>
      <c r="AH949" s="215"/>
      <c r="AI949" s="215"/>
      <c r="AJ949" s="215"/>
      <c r="AK949" s="215"/>
      <c r="AL949" s="215"/>
      <c r="AM949" s="215"/>
      <c r="AN949" s="215"/>
      <c r="AO949" s="215"/>
      <c r="AP949" s="215"/>
      <c r="AQ949" s="215"/>
      <c r="AR949" s="215"/>
      <c r="AS949" s="215"/>
      <c r="AT949" s="215"/>
      <c r="AU949" s="215"/>
      <c r="AV949" s="215"/>
      <c r="AW949" s="215"/>
      <c r="AX949" s="215"/>
      <c r="AY949" s="215"/>
    </row>
    <row r="950">
      <c r="A950" s="80"/>
      <c r="B950" s="80"/>
      <c r="C950" s="80"/>
      <c r="D950" s="80"/>
      <c r="E950" s="215"/>
      <c r="F950" s="215"/>
      <c r="G950" s="215"/>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c r="AD950" s="215"/>
      <c r="AE950" s="215"/>
      <c r="AF950" s="215"/>
      <c r="AG950" s="215"/>
      <c r="AH950" s="215"/>
      <c r="AI950" s="215"/>
      <c r="AJ950" s="215"/>
      <c r="AK950" s="215"/>
      <c r="AL950" s="215"/>
      <c r="AM950" s="215"/>
      <c r="AN950" s="215"/>
      <c r="AO950" s="215"/>
      <c r="AP950" s="215"/>
      <c r="AQ950" s="215"/>
      <c r="AR950" s="215"/>
      <c r="AS950" s="215"/>
      <c r="AT950" s="215"/>
      <c r="AU950" s="215"/>
      <c r="AV950" s="215"/>
      <c r="AW950" s="215"/>
      <c r="AX950" s="215"/>
      <c r="AY950" s="215"/>
    </row>
    <row r="951">
      <c r="A951" s="80"/>
      <c r="B951" s="80"/>
      <c r="C951" s="80"/>
      <c r="D951" s="80"/>
      <c r="E951" s="215"/>
      <c r="F951" s="215"/>
      <c r="G951" s="215"/>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c r="AD951" s="215"/>
      <c r="AE951" s="215"/>
      <c r="AF951" s="215"/>
      <c r="AG951" s="215"/>
      <c r="AH951" s="215"/>
      <c r="AI951" s="215"/>
      <c r="AJ951" s="215"/>
      <c r="AK951" s="215"/>
      <c r="AL951" s="215"/>
      <c r="AM951" s="215"/>
      <c r="AN951" s="215"/>
      <c r="AO951" s="215"/>
      <c r="AP951" s="215"/>
      <c r="AQ951" s="215"/>
      <c r="AR951" s="215"/>
      <c r="AS951" s="215"/>
      <c r="AT951" s="215"/>
      <c r="AU951" s="215"/>
      <c r="AV951" s="215"/>
      <c r="AW951" s="215"/>
      <c r="AX951" s="215"/>
      <c r="AY951" s="215"/>
    </row>
    <row r="952">
      <c r="A952" s="80"/>
      <c r="B952" s="80"/>
      <c r="C952" s="80"/>
      <c r="D952" s="80"/>
      <c r="E952" s="215"/>
      <c r="F952" s="215"/>
      <c r="G952" s="215"/>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c r="AD952" s="215"/>
      <c r="AE952" s="215"/>
      <c r="AF952" s="215"/>
      <c r="AG952" s="215"/>
      <c r="AH952" s="215"/>
      <c r="AI952" s="215"/>
      <c r="AJ952" s="215"/>
      <c r="AK952" s="215"/>
      <c r="AL952" s="215"/>
      <c r="AM952" s="215"/>
      <c r="AN952" s="215"/>
      <c r="AO952" s="215"/>
      <c r="AP952" s="215"/>
      <c r="AQ952" s="215"/>
      <c r="AR952" s="215"/>
      <c r="AS952" s="215"/>
      <c r="AT952" s="215"/>
      <c r="AU952" s="215"/>
      <c r="AV952" s="215"/>
      <c r="AW952" s="215"/>
      <c r="AX952" s="215"/>
      <c r="AY952" s="215"/>
    </row>
    <row r="953">
      <c r="A953" s="80"/>
      <c r="B953" s="80"/>
      <c r="C953" s="80"/>
      <c r="D953" s="80"/>
      <c r="E953" s="215"/>
      <c r="F953" s="215"/>
      <c r="G953" s="215"/>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c r="AD953" s="215"/>
      <c r="AE953" s="215"/>
      <c r="AF953" s="215"/>
      <c r="AG953" s="215"/>
      <c r="AH953" s="215"/>
      <c r="AI953" s="215"/>
      <c r="AJ953" s="215"/>
      <c r="AK953" s="215"/>
      <c r="AL953" s="215"/>
      <c r="AM953" s="215"/>
      <c r="AN953" s="215"/>
      <c r="AO953" s="215"/>
      <c r="AP953" s="215"/>
      <c r="AQ953" s="215"/>
      <c r="AR953" s="215"/>
      <c r="AS953" s="215"/>
      <c r="AT953" s="215"/>
      <c r="AU953" s="215"/>
      <c r="AV953" s="215"/>
      <c r="AW953" s="215"/>
      <c r="AX953" s="215"/>
      <c r="AY953" s="215"/>
    </row>
    <row r="954">
      <c r="A954" s="80"/>
      <c r="B954" s="80"/>
      <c r="C954" s="80"/>
      <c r="D954" s="80"/>
      <c r="E954" s="215"/>
      <c r="F954" s="215"/>
      <c r="G954" s="215"/>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c r="AD954" s="215"/>
      <c r="AE954" s="215"/>
      <c r="AF954" s="215"/>
      <c r="AG954" s="215"/>
      <c r="AH954" s="215"/>
      <c r="AI954" s="215"/>
      <c r="AJ954" s="215"/>
      <c r="AK954" s="215"/>
      <c r="AL954" s="215"/>
      <c r="AM954" s="215"/>
      <c r="AN954" s="215"/>
      <c r="AO954" s="215"/>
      <c r="AP954" s="215"/>
      <c r="AQ954" s="215"/>
      <c r="AR954" s="215"/>
      <c r="AS954" s="215"/>
      <c r="AT954" s="215"/>
      <c r="AU954" s="215"/>
      <c r="AV954" s="215"/>
      <c r="AW954" s="215"/>
      <c r="AX954" s="215"/>
      <c r="AY954" s="215"/>
    </row>
    <row r="955">
      <c r="A955" s="80"/>
      <c r="B955" s="80"/>
      <c r="C955" s="80"/>
      <c r="D955" s="80"/>
      <c r="E955" s="215"/>
      <c r="F955" s="215"/>
      <c r="G955" s="215"/>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c r="AD955" s="215"/>
      <c r="AE955" s="215"/>
      <c r="AF955" s="215"/>
      <c r="AG955" s="215"/>
      <c r="AH955" s="215"/>
      <c r="AI955" s="215"/>
      <c r="AJ955" s="215"/>
      <c r="AK955" s="215"/>
      <c r="AL955" s="215"/>
      <c r="AM955" s="215"/>
      <c r="AN955" s="215"/>
      <c r="AO955" s="215"/>
      <c r="AP955" s="215"/>
      <c r="AQ955" s="215"/>
      <c r="AR955" s="215"/>
      <c r="AS955" s="215"/>
      <c r="AT955" s="215"/>
      <c r="AU955" s="215"/>
      <c r="AV955" s="215"/>
      <c r="AW955" s="215"/>
      <c r="AX955" s="215"/>
      <c r="AY955" s="215"/>
    </row>
    <row r="956">
      <c r="A956" s="80"/>
      <c r="B956" s="80"/>
      <c r="C956" s="80"/>
      <c r="D956" s="80"/>
      <c r="E956" s="215"/>
      <c r="F956" s="215"/>
      <c r="G956" s="215"/>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c r="AD956" s="215"/>
      <c r="AE956" s="215"/>
      <c r="AF956" s="215"/>
      <c r="AG956" s="215"/>
      <c r="AH956" s="215"/>
      <c r="AI956" s="215"/>
      <c r="AJ956" s="215"/>
      <c r="AK956" s="215"/>
      <c r="AL956" s="215"/>
      <c r="AM956" s="215"/>
      <c r="AN956" s="215"/>
      <c r="AO956" s="215"/>
      <c r="AP956" s="215"/>
      <c r="AQ956" s="215"/>
      <c r="AR956" s="215"/>
      <c r="AS956" s="215"/>
      <c r="AT956" s="215"/>
      <c r="AU956" s="215"/>
      <c r="AV956" s="215"/>
      <c r="AW956" s="215"/>
      <c r="AX956" s="215"/>
      <c r="AY956" s="215"/>
    </row>
    <row r="957">
      <c r="A957" s="80"/>
      <c r="B957" s="80"/>
      <c r="C957" s="80"/>
      <c r="D957" s="80"/>
      <c r="E957" s="215"/>
      <c r="F957" s="215"/>
      <c r="G957" s="215"/>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c r="AD957" s="215"/>
      <c r="AE957" s="215"/>
      <c r="AF957" s="215"/>
      <c r="AG957" s="215"/>
      <c r="AH957" s="215"/>
      <c r="AI957" s="215"/>
      <c r="AJ957" s="215"/>
      <c r="AK957" s="215"/>
      <c r="AL957" s="215"/>
      <c r="AM957" s="215"/>
      <c r="AN957" s="215"/>
      <c r="AO957" s="215"/>
      <c r="AP957" s="215"/>
      <c r="AQ957" s="215"/>
      <c r="AR957" s="215"/>
      <c r="AS957" s="215"/>
      <c r="AT957" s="215"/>
      <c r="AU957" s="215"/>
      <c r="AV957" s="215"/>
      <c r="AW957" s="215"/>
      <c r="AX957" s="215"/>
      <c r="AY957" s="215"/>
    </row>
    <row r="958">
      <c r="A958" s="80"/>
      <c r="B958" s="80"/>
      <c r="C958" s="80"/>
      <c r="D958" s="80"/>
      <c r="E958" s="215"/>
      <c r="F958" s="215"/>
      <c r="G958" s="215"/>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c r="AD958" s="215"/>
      <c r="AE958" s="215"/>
      <c r="AF958" s="215"/>
      <c r="AG958" s="215"/>
      <c r="AH958" s="215"/>
      <c r="AI958" s="215"/>
      <c r="AJ958" s="215"/>
      <c r="AK958" s="215"/>
      <c r="AL958" s="215"/>
      <c r="AM958" s="215"/>
      <c r="AN958" s="215"/>
      <c r="AO958" s="215"/>
      <c r="AP958" s="215"/>
      <c r="AQ958" s="215"/>
      <c r="AR958" s="215"/>
      <c r="AS958" s="215"/>
      <c r="AT958" s="215"/>
      <c r="AU958" s="215"/>
      <c r="AV958" s="215"/>
      <c r="AW958" s="215"/>
      <c r="AX958" s="215"/>
      <c r="AY958" s="215"/>
    </row>
    <row r="959">
      <c r="A959" s="80"/>
      <c r="B959" s="80"/>
      <c r="C959" s="80"/>
      <c r="D959" s="80"/>
      <c r="E959" s="215"/>
      <c r="F959" s="215"/>
      <c r="G959" s="215"/>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c r="AD959" s="215"/>
      <c r="AE959" s="215"/>
      <c r="AF959" s="215"/>
      <c r="AG959" s="215"/>
      <c r="AH959" s="215"/>
      <c r="AI959" s="215"/>
      <c r="AJ959" s="215"/>
      <c r="AK959" s="215"/>
      <c r="AL959" s="215"/>
      <c r="AM959" s="215"/>
      <c r="AN959" s="215"/>
      <c r="AO959" s="215"/>
      <c r="AP959" s="215"/>
      <c r="AQ959" s="215"/>
      <c r="AR959" s="215"/>
      <c r="AS959" s="215"/>
      <c r="AT959" s="215"/>
      <c r="AU959" s="215"/>
      <c r="AV959" s="215"/>
      <c r="AW959" s="215"/>
      <c r="AX959" s="215"/>
      <c r="AY959" s="215"/>
    </row>
    <row r="960">
      <c r="A960" s="80"/>
      <c r="B960" s="80"/>
      <c r="C960" s="80"/>
      <c r="D960" s="80"/>
      <c r="E960" s="215"/>
      <c r="F960" s="215"/>
      <c r="G960" s="215"/>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c r="AD960" s="215"/>
      <c r="AE960" s="215"/>
      <c r="AF960" s="215"/>
      <c r="AG960" s="215"/>
      <c r="AH960" s="215"/>
      <c r="AI960" s="215"/>
      <c r="AJ960" s="215"/>
      <c r="AK960" s="215"/>
      <c r="AL960" s="215"/>
      <c r="AM960" s="215"/>
      <c r="AN960" s="215"/>
      <c r="AO960" s="215"/>
      <c r="AP960" s="215"/>
      <c r="AQ960" s="215"/>
      <c r="AR960" s="215"/>
      <c r="AS960" s="215"/>
      <c r="AT960" s="215"/>
      <c r="AU960" s="215"/>
      <c r="AV960" s="215"/>
      <c r="AW960" s="215"/>
      <c r="AX960" s="215"/>
      <c r="AY960" s="215"/>
    </row>
    <row r="961">
      <c r="A961" s="80"/>
      <c r="B961" s="80"/>
      <c r="C961" s="80"/>
      <c r="D961" s="80"/>
      <c r="E961" s="215"/>
      <c r="F961" s="215"/>
      <c r="G961" s="215"/>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c r="AD961" s="215"/>
      <c r="AE961" s="215"/>
      <c r="AF961" s="215"/>
      <c r="AG961" s="215"/>
      <c r="AH961" s="215"/>
      <c r="AI961" s="215"/>
      <c r="AJ961" s="215"/>
      <c r="AK961" s="215"/>
      <c r="AL961" s="215"/>
      <c r="AM961" s="215"/>
      <c r="AN961" s="215"/>
      <c r="AO961" s="215"/>
      <c r="AP961" s="215"/>
      <c r="AQ961" s="215"/>
      <c r="AR961" s="215"/>
      <c r="AS961" s="215"/>
      <c r="AT961" s="215"/>
      <c r="AU961" s="215"/>
      <c r="AV961" s="215"/>
      <c r="AW961" s="215"/>
      <c r="AX961" s="215"/>
      <c r="AY961" s="215"/>
    </row>
    <row r="962">
      <c r="A962" s="80"/>
      <c r="B962" s="80"/>
      <c r="C962" s="80"/>
      <c r="D962" s="80"/>
      <c r="E962" s="215"/>
      <c r="F962" s="215"/>
      <c r="G962" s="215"/>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c r="AD962" s="215"/>
      <c r="AE962" s="215"/>
      <c r="AF962" s="215"/>
      <c r="AG962" s="215"/>
      <c r="AH962" s="215"/>
      <c r="AI962" s="215"/>
      <c r="AJ962" s="215"/>
      <c r="AK962" s="215"/>
      <c r="AL962" s="215"/>
      <c r="AM962" s="215"/>
      <c r="AN962" s="215"/>
      <c r="AO962" s="215"/>
      <c r="AP962" s="215"/>
      <c r="AQ962" s="215"/>
      <c r="AR962" s="215"/>
      <c r="AS962" s="215"/>
      <c r="AT962" s="215"/>
      <c r="AU962" s="215"/>
      <c r="AV962" s="215"/>
      <c r="AW962" s="215"/>
      <c r="AX962" s="215"/>
      <c r="AY962" s="215"/>
    </row>
    <row r="963">
      <c r="A963" s="80"/>
      <c r="B963" s="80"/>
      <c r="C963" s="80"/>
      <c r="D963" s="80"/>
      <c r="E963" s="215"/>
      <c r="F963" s="215"/>
      <c r="G963" s="215"/>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c r="AD963" s="215"/>
      <c r="AE963" s="215"/>
      <c r="AF963" s="215"/>
      <c r="AG963" s="215"/>
      <c r="AH963" s="215"/>
      <c r="AI963" s="215"/>
      <c r="AJ963" s="215"/>
      <c r="AK963" s="215"/>
      <c r="AL963" s="215"/>
      <c r="AM963" s="215"/>
      <c r="AN963" s="215"/>
      <c r="AO963" s="215"/>
      <c r="AP963" s="215"/>
      <c r="AQ963" s="215"/>
      <c r="AR963" s="215"/>
      <c r="AS963" s="215"/>
      <c r="AT963" s="215"/>
      <c r="AU963" s="215"/>
      <c r="AV963" s="215"/>
      <c r="AW963" s="215"/>
      <c r="AX963" s="215"/>
      <c r="AY963" s="215"/>
    </row>
    <row r="964">
      <c r="A964" s="80"/>
      <c r="B964" s="80"/>
      <c r="C964" s="80"/>
      <c r="D964" s="80"/>
      <c r="E964" s="215"/>
      <c r="F964" s="215"/>
      <c r="G964" s="215"/>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c r="AD964" s="215"/>
      <c r="AE964" s="215"/>
      <c r="AF964" s="215"/>
      <c r="AG964" s="215"/>
      <c r="AH964" s="215"/>
      <c r="AI964" s="215"/>
      <c r="AJ964" s="215"/>
      <c r="AK964" s="215"/>
      <c r="AL964" s="215"/>
      <c r="AM964" s="215"/>
      <c r="AN964" s="215"/>
      <c r="AO964" s="215"/>
      <c r="AP964" s="215"/>
      <c r="AQ964" s="215"/>
      <c r="AR964" s="215"/>
      <c r="AS964" s="215"/>
      <c r="AT964" s="215"/>
      <c r="AU964" s="215"/>
      <c r="AV964" s="215"/>
      <c r="AW964" s="215"/>
      <c r="AX964" s="215"/>
      <c r="AY964" s="215"/>
    </row>
    <row r="965">
      <c r="A965" s="80"/>
      <c r="B965" s="80"/>
      <c r="C965" s="80"/>
      <c r="D965" s="80"/>
      <c r="E965" s="215"/>
      <c r="F965" s="215"/>
      <c r="G965" s="215"/>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c r="AD965" s="215"/>
      <c r="AE965" s="215"/>
      <c r="AF965" s="215"/>
      <c r="AG965" s="215"/>
      <c r="AH965" s="215"/>
      <c r="AI965" s="215"/>
      <c r="AJ965" s="215"/>
      <c r="AK965" s="215"/>
      <c r="AL965" s="215"/>
      <c r="AM965" s="215"/>
      <c r="AN965" s="215"/>
      <c r="AO965" s="215"/>
      <c r="AP965" s="215"/>
      <c r="AQ965" s="215"/>
      <c r="AR965" s="215"/>
      <c r="AS965" s="215"/>
      <c r="AT965" s="215"/>
      <c r="AU965" s="215"/>
      <c r="AV965" s="215"/>
      <c r="AW965" s="215"/>
      <c r="AX965" s="215"/>
      <c r="AY965" s="215"/>
    </row>
    <row r="966">
      <c r="A966" s="80"/>
      <c r="B966" s="80"/>
      <c r="C966" s="80"/>
      <c r="D966" s="80"/>
      <c r="E966" s="215"/>
      <c r="F966" s="215"/>
      <c r="G966" s="215"/>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c r="AD966" s="215"/>
      <c r="AE966" s="215"/>
      <c r="AF966" s="215"/>
      <c r="AG966" s="215"/>
      <c r="AH966" s="215"/>
      <c r="AI966" s="215"/>
      <c r="AJ966" s="215"/>
      <c r="AK966" s="215"/>
      <c r="AL966" s="215"/>
      <c r="AM966" s="215"/>
      <c r="AN966" s="215"/>
      <c r="AO966" s="215"/>
      <c r="AP966" s="215"/>
      <c r="AQ966" s="215"/>
      <c r="AR966" s="215"/>
      <c r="AS966" s="215"/>
      <c r="AT966" s="215"/>
      <c r="AU966" s="215"/>
      <c r="AV966" s="215"/>
      <c r="AW966" s="215"/>
      <c r="AX966" s="215"/>
      <c r="AY966" s="215"/>
    </row>
    <row r="967">
      <c r="A967" s="80"/>
      <c r="B967" s="80"/>
      <c r="C967" s="80"/>
      <c r="D967" s="80"/>
      <c r="E967" s="215"/>
      <c r="F967" s="215"/>
      <c r="G967" s="215"/>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c r="AD967" s="215"/>
      <c r="AE967" s="215"/>
      <c r="AF967" s="215"/>
      <c r="AG967" s="215"/>
      <c r="AH967" s="215"/>
      <c r="AI967" s="215"/>
      <c r="AJ967" s="215"/>
      <c r="AK967" s="215"/>
      <c r="AL967" s="215"/>
      <c r="AM967" s="215"/>
      <c r="AN967" s="215"/>
      <c r="AO967" s="215"/>
      <c r="AP967" s="215"/>
      <c r="AQ967" s="215"/>
      <c r="AR967" s="215"/>
      <c r="AS967" s="215"/>
      <c r="AT967" s="215"/>
      <c r="AU967" s="215"/>
      <c r="AV967" s="215"/>
      <c r="AW967" s="215"/>
      <c r="AX967" s="215"/>
      <c r="AY967" s="215"/>
    </row>
    <row r="968">
      <c r="A968" s="80"/>
      <c r="B968" s="80"/>
      <c r="C968" s="80"/>
      <c r="D968" s="80"/>
      <c r="E968" s="215"/>
      <c r="F968" s="215"/>
      <c r="G968" s="215"/>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c r="AD968" s="215"/>
      <c r="AE968" s="215"/>
      <c r="AF968" s="215"/>
      <c r="AG968" s="215"/>
      <c r="AH968" s="215"/>
      <c r="AI968" s="215"/>
      <c r="AJ968" s="215"/>
      <c r="AK968" s="215"/>
      <c r="AL968" s="215"/>
      <c r="AM968" s="215"/>
      <c r="AN968" s="215"/>
      <c r="AO968" s="215"/>
      <c r="AP968" s="215"/>
      <c r="AQ968" s="215"/>
      <c r="AR968" s="215"/>
      <c r="AS968" s="215"/>
      <c r="AT968" s="215"/>
      <c r="AU968" s="215"/>
      <c r="AV968" s="215"/>
      <c r="AW968" s="215"/>
      <c r="AX968" s="215"/>
      <c r="AY968" s="215"/>
    </row>
    <row r="969">
      <c r="A969" s="80"/>
      <c r="B969" s="80"/>
      <c r="C969" s="80"/>
      <c r="D969" s="80"/>
      <c r="E969" s="215"/>
      <c r="F969" s="215"/>
      <c r="G969" s="215"/>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c r="AD969" s="215"/>
      <c r="AE969" s="215"/>
      <c r="AF969" s="215"/>
      <c r="AG969" s="215"/>
      <c r="AH969" s="215"/>
      <c r="AI969" s="215"/>
      <c r="AJ969" s="215"/>
      <c r="AK969" s="215"/>
      <c r="AL969" s="215"/>
      <c r="AM969" s="215"/>
      <c r="AN969" s="215"/>
      <c r="AO969" s="215"/>
      <c r="AP969" s="215"/>
      <c r="AQ969" s="215"/>
      <c r="AR969" s="215"/>
      <c r="AS969" s="215"/>
      <c r="AT969" s="215"/>
      <c r="AU969" s="215"/>
      <c r="AV969" s="215"/>
      <c r="AW969" s="215"/>
      <c r="AX969" s="215"/>
      <c r="AY969" s="215"/>
    </row>
    <row r="970">
      <c r="A970" s="80"/>
      <c r="B970" s="80"/>
      <c r="C970" s="80"/>
      <c r="D970" s="80"/>
      <c r="E970" s="215"/>
      <c r="F970" s="215"/>
      <c r="G970" s="215"/>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c r="AD970" s="215"/>
      <c r="AE970" s="215"/>
      <c r="AF970" s="215"/>
      <c r="AG970" s="215"/>
      <c r="AH970" s="215"/>
      <c r="AI970" s="215"/>
      <c r="AJ970" s="215"/>
      <c r="AK970" s="215"/>
      <c r="AL970" s="215"/>
      <c r="AM970" s="215"/>
      <c r="AN970" s="215"/>
      <c r="AO970" s="215"/>
      <c r="AP970" s="215"/>
      <c r="AQ970" s="215"/>
      <c r="AR970" s="215"/>
      <c r="AS970" s="215"/>
      <c r="AT970" s="215"/>
      <c r="AU970" s="215"/>
      <c r="AV970" s="215"/>
      <c r="AW970" s="215"/>
      <c r="AX970" s="215"/>
      <c r="AY970" s="215"/>
    </row>
    <row r="971">
      <c r="A971" s="80"/>
      <c r="B971" s="80"/>
      <c r="C971" s="80"/>
      <c r="D971" s="80"/>
      <c r="E971" s="215"/>
      <c r="F971" s="215"/>
      <c r="G971" s="215"/>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c r="AD971" s="215"/>
      <c r="AE971" s="215"/>
      <c r="AF971" s="215"/>
      <c r="AG971" s="215"/>
      <c r="AH971" s="215"/>
      <c r="AI971" s="215"/>
      <c r="AJ971" s="215"/>
      <c r="AK971" s="215"/>
      <c r="AL971" s="215"/>
      <c r="AM971" s="215"/>
      <c r="AN971" s="215"/>
      <c r="AO971" s="215"/>
      <c r="AP971" s="215"/>
      <c r="AQ971" s="215"/>
      <c r="AR971" s="215"/>
      <c r="AS971" s="215"/>
      <c r="AT971" s="215"/>
      <c r="AU971" s="215"/>
      <c r="AV971" s="215"/>
      <c r="AW971" s="215"/>
      <c r="AX971" s="215"/>
      <c r="AY971" s="215"/>
    </row>
    <row r="972">
      <c r="A972" s="80"/>
      <c r="B972" s="80"/>
      <c r="C972" s="80"/>
      <c r="D972" s="80"/>
      <c r="E972" s="215"/>
      <c r="F972" s="215"/>
      <c r="G972" s="215"/>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c r="AD972" s="215"/>
      <c r="AE972" s="215"/>
      <c r="AF972" s="215"/>
      <c r="AG972" s="215"/>
      <c r="AH972" s="215"/>
      <c r="AI972" s="215"/>
      <c r="AJ972" s="215"/>
      <c r="AK972" s="215"/>
      <c r="AL972" s="215"/>
      <c r="AM972" s="215"/>
      <c r="AN972" s="215"/>
      <c r="AO972" s="215"/>
      <c r="AP972" s="215"/>
      <c r="AQ972" s="215"/>
      <c r="AR972" s="215"/>
      <c r="AS972" s="215"/>
      <c r="AT972" s="215"/>
      <c r="AU972" s="215"/>
      <c r="AV972" s="215"/>
      <c r="AW972" s="215"/>
      <c r="AX972" s="215"/>
      <c r="AY972" s="215"/>
    </row>
    <row r="973">
      <c r="A973" s="80"/>
      <c r="B973" s="80"/>
      <c r="C973" s="80"/>
      <c r="D973" s="80"/>
      <c r="E973" s="215"/>
      <c r="F973" s="215"/>
      <c r="G973" s="215"/>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c r="AD973" s="215"/>
      <c r="AE973" s="215"/>
      <c r="AF973" s="215"/>
      <c r="AG973" s="215"/>
      <c r="AH973" s="215"/>
      <c r="AI973" s="215"/>
      <c r="AJ973" s="215"/>
      <c r="AK973" s="215"/>
      <c r="AL973" s="215"/>
      <c r="AM973" s="215"/>
      <c r="AN973" s="215"/>
      <c r="AO973" s="215"/>
      <c r="AP973" s="215"/>
      <c r="AQ973" s="215"/>
      <c r="AR973" s="215"/>
      <c r="AS973" s="215"/>
      <c r="AT973" s="215"/>
      <c r="AU973" s="215"/>
      <c r="AV973" s="215"/>
      <c r="AW973" s="215"/>
      <c r="AX973" s="215"/>
      <c r="AY973" s="215"/>
    </row>
    <row r="974">
      <c r="A974" s="80"/>
      <c r="B974" s="80"/>
      <c r="C974" s="80"/>
      <c r="D974" s="80"/>
      <c r="E974" s="215"/>
      <c r="F974" s="215"/>
      <c r="G974" s="215"/>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c r="AD974" s="215"/>
      <c r="AE974" s="215"/>
      <c r="AF974" s="215"/>
      <c r="AG974" s="215"/>
      <c r="AH974" s="215"/>
      <c r="AI974" s="215"/>
      <c r="AJ974" s="215"/>
      <c r="AK974" s="215"/>
      <c r="AL974" s="215"/>
      <c r="AM974" s="215"/>
      <c r="AN974" s="215"/>
      <c r="AO974" s="215"/>
      <c r="AP974" s="215"/>
      <c r="AQ974" s="215"/>
      <c r="AR974" s="215"/>
      <c r="AS974" s="215"/>
      <c r="AT974" s="215"/>
      <c r="AU974" s="215"/>
      <c r="AV974" s="215"/>
      <c r="AW974" s="215"/>
      <c r="AX974" s="215"/>
      <c r="AY974" s="215"/>
    </row>
    <row r="975">
      <c r="A975" s="80"/>
      <c r="B975" s="80"/>
      <c r="C975" s="80"/>
      <c r="D975" s="80"/>
      <c r="E975" s="215"/>
      <c r="F975" s="215"/>
      <c r="G975" s="215"/>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c r="AD975" s="215"/>
      <c r="AE975" s="215"/>
      <c r="AF975" s="215"/>
      <c r="AG975" s="215"/>
      <c r="AH975" s="215"/>
      <c r="AI975" s="215"/>
      <c r="AJ975" s="215"/>
      <c r="AK975" s="215"/>
      <c r="AL975" s="215"/>
      <c r="AM975" s="215"/>
      <c r="AN975" s="215"/>
      <c r="AO975" s="215"/>
      <c r="AP975" s="215"/>
      <c r="AQ975" s="215"/>
      <c r="AR975" s="215"/>
      <c r="AS975" s="215"/>
      <c r="AT975" s="215"/>
      <c r="AU975" s="215"/>
      <c r="AV975" s="215"/>
      <c r="AW975" s="215"/>
      <c r="AX975" s="215"/>
      <c r="AY975" s="215"/>
    </row>
    <row r="976">
      <c r="A976" s="80"/>
      <c r="B976" s="80"/>
      <c r="C976" s="80"/>
      <c r="D976" s="80"/>
      <c r="E976" s="215"/>
      <c r="F976" s="215"/>
      <c r="G976" s="215"/>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c r="AD976" s="215"/>
      <c r="AE976" s="215"/>
      <c r="AF976" s="215"/>
      <c r="AG976" s="215"/>
      <c r="AH976" s="215"/>
      <c r="AI976" s="215"/>
      <c r="AJ976" s="215"/>
      <c r="AK976" s="215"/>
      <c r="AL976" s="215"/>
      <c r="AM976" s="215"/>
      <c r="AN976" s="215"/>
      <c r="AO976" s="215"/>
      <c r="AP976" s="215"/>
      <c r="AQ976" s="215"/>
      <c r="AR976" s="215"/>
      <c r="AS976" s="215"/>
      <c r="AT976" s="215"/>
      <c r="AU976" s="215"/>
      <c r="AV976" s="215"/>
      <c r="AW976" s="215"/>
      <c r="AX976" s="215"/>
      <c r="AY976" s="215"/>
    </row>
    <row r="977">
      <c r="A977" s="80"/>
      <c r="B977" s="80"/>
      <c r="C977" s="80"/>
      <c r="D977" s="80"/>
      <c r="E977" s="215"/>
      <c r="F977" s="215"/>
      <c r="G977" s="215"/>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c r="AD977" s="215"/>
      <c r="AE977" s="215"/>
      <c r="AF977" s="215"/>
      <c r="AG977" s="215"/>
      <c r="AH977" s="215"/>
      <c r="AI977" s="215"/>
      <c r="AJ977" s="215"/>
      <c r="AK977" s="215"/>
      <c r="AL977" s="215"/>
      <c r="AM977" s="215"/>
      <c r="AN977" s="215"/>
      <c r="AO977" s="215"/>
      <c r="AP977" s="215"/>
      <c r="AQ977" s="215"/>
      <c r="AR977" s="215"/>
      <c r="AS977" s="215"/>
      <c r="AT977" s="215"/>
      <c r="AU977" s="215"/>
      <c r="AV977" s="215"/>
      <c r="AW977" s="215"/>
      <c r="AX977" s="215"/>
      <c r="AY977" s="215"/>
    </row>
    <row r="978">
      <c r="A978" s="80"/>
      <c r="B978" s="80"/>
      <c r="C978" s="80"/>
      <c r="D978" s="80"/>
      <c r="E978" s="215"/>
      <c r="F978" s="215"/>
      <c r="G978" s="215"/>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c r="AD978" s="215"/>
      <c r="AE978" s="215"/>
      <c r="AF978" s="215"/>
      <c r="AG978" s="215"/>
      <c r="AH978" s="215"/>
      <c r="AI978" s="215"/>
      <c r="AJ978" s="215"/>
      <c r="AK978" s="215"/>
      <c r="AL978" s="215"/>
      <c r="AM978" s="215"/>
      <c r="AN978" s="215"/>
      <c r="AO978" s="215"/>
      <c r="AP978" s="215"/>
      <c r="AQ978" s="215"/>
      <c r="AR978" s="215"/>
      <c r="AS978" s="215"/>
      <c r="AT978" s="215"/>
      <c r="AU978" s="215"/>
      <c r="AV978" s="215"/>
      <c r="AW978" s="215"/>
      <c r="AX978" s="215"/>
      <c r="AY978" s="215"/>
    </row>
    <row r="979">
      <c r="A979" s="80"/>
      <c r="B979" s="80"/>
      <c r="C979" s="80"/>
      <c r="D979" s="80"/>
      <c r="E979" s="215"/>
      <c r="F979" s="215"/>
      <c r="G979" s="215"/>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c r="AD979" s="215"/>
      <c r="AE979" s="215"/>
      <c r="AF979" s="215"/>
      <c r="AG979" s="215"/>
      <c r="AH979" s="215"/>
      <c r="AI979" s="215"/>
      <c r="AJ979" s="215"/>
      <c r="AK979" s="215"/>
      <c r="AL979" s="215"/>
      <c r="AM979" s="215"/>
      <c r="AN979" s="215"/>
      <c r="AO979" s="215"/>
      <c r="AP979" s="215"/>
      <c r="AQ979" s="215"/>
      <c r="AR979" s="215"/>
      <c r="AS979" s="215"/>
      <c r="AT979" s="215"/>
      <c r="AU979" s="215"/>
      <c r="AV979" s="215"/>
      <c r="AW979" s="215"/>
      <c r="AX979" s="215"/>
      <c r="AY979" s="215"/>
    </row>
    <row r="980">
      <c r="A980" s="80"/>
      <c r="B980" s="80"/>
      <c r="C980" s="80"/>
      <c r="D980" s="80"/>
      <c r="E980" s="215"/>
      <c r="F980" s="215"/>
      <c r="G980" s="215"/>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c r="AD980" s="215"/>
      <c r="AE980" s="215"/>
      <c r="AF980" s="215"/>
      <c r="AG980" s="215"/>
      <c r="AH980" s="215"/>
      <c r="AI980" s="215"/>
      <c r="AJ980" s="215"/>
      <c r="AK980" s="215"/>
      <c r="AL980" s="215"/>
      <c r="AM980" s="215"/>
      <c r="AN980" s="215"/>
      <c r="AO980" s="215"/>
      <c r="AP980" s="215"/>
      <c r="AQ980" s="215"/>
      <c r="AR980" s="215"/>
      <c r="AS980" s="215"/>
      <c r="AT980" s="215"/>
      <c r="AU980" s="215"/>
      <c r="AV980" s="215"/>
      <c r="AW980" s="215"/>
      <c r="AX980" s="215"/>
      <c r="AY980" s="215"/>
    </row>
    <row r="981">
      <c r="A981" s="80"/>
      <c r="B981" s="80"/>
      <c r="C981" s="80"/>
      <c r="D981" s="80"/>
      <c r="E981" s="215"/>
      <c r="F981" s="215"/>
      <c r="G981" s="215"/>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c r="AD981" s="215"/>
      <c r="AE981" s="215"/>
      <c r="AF981" s="215"/>
      <c r="AG981" s="215"/>
      <c r="AH981" s="215"/>
      <c r="AI981" s="215"/>
      <c r="AJ981" s="215"/>
      <c r="AK981" s="215"/>
      <c r="AL981" s="215"/>
      <c r="AM981" s="215"/>
      <c r="AN981" s="215"/>
      <c r="AO981" s="215"/>
      <c r="AP981" s="215"/>
      <c r="AQ981" s="215"/>
      <c r="AR981" s="215"/>
      <c r="AS981" s="215"/>
      <c r="AT981" s="215"/>
      <c r="AU981" s="215"/>
      <c r="AV981" s="215"/>
      <c r="AW981" s="215"/>
      <c r="AX981" s="215"/>
      <c r="AY981" s="215"/>
    </row>
    <row r="982">
      <c r="A982" s="80"/>
      <c r="B982" s="80"/>
      <c r="C982" s="80"/>
      <c r="D982" s="80"/>
      <c r="E982" s="215"/>
      <c r="F982" s="215"/>
      <c r="G982" s="215"/>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c r="AD982" s="215"/>
      <c r="AE982" s="215"/>
      <c r="AF982" s="215"/>
      <c r="AG982" s="215"/>
      <c r="AH982" s="215"/>
      <c r="AI982" s="215"/>
      <c r="AJ982" s="215"/>
      <c r="AK982" s="215"/>
      <c r="AL982" s="215"/>
      <c r="AM982" s="215"/>
      <c r="AN982" s="215"/>
      <c r="AO982" s="215"/>
      <c r="AP982" s="215"/>
      <c r="AQ982" s="215"/>
      <c r="AR982" s="215"/>
      <c r="AS982" s="215"/>
      <c r="AT982" s="215"/>
      <c r="AU982" s="215"/>
      <c r="AV982" s="215"/>
      <c r="AW982" s="215"/>
      <c r="AX982" s="215"/>
      <c r="AY982" s="215"/>
    </row>
    <row r="983">
      <c r="A983" s="80"/>
      <c r="B983" s="80"/>
      <c r="C983" s="80"/>
      <c r="D983" s="80"/>
      <c r="E983" s="215"/>
      <c r="F983" s="215"/>
      <c r="G983" s="215"/>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c r="AD983" s="215"/>
      <c r="AE983" s="215"/>
      <c r="AF983" s="215"/>
      <c r="AG983" s="215"/>
      <c r="AH983" s="215"/>
      <c r="AI983" s="215"/>
      <c r="AJ983" s="215"/>
      <c r="AK983" s="215"/>
      <c r="AL983" s="215"/>
      <c r="AM983" s="215"/>
      <c r="AN983" s="215"/>
      <c r="AO983" s="215"/>
      <c r="AP983" s="215"/>
      <c r="AQ983" s="215"/>
      <c r="AR983" s="215"/>
      <c r="AS983" s="215"/>
      <c r="AT983" s="215"/>
      <c r="AU983" s="215"/>
      <c r="AV983" s="215"/>
      <c r="AW983" s="215"/>
      <c r="AX983" s="215"/>
      <c r="AY983" s="215"/>
    </row>
    <row r="984">
      <c r="A984" s="80"/>
      <c r="B984" s="80"/>
      <c r="C984" s="80"/>
      <c r="D984" s="80"/>
      <c r="E984" s="215"/>
      <c r="F984" s="215"/>
      <c r="G984" s="215"/>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c r="AD984" s="215"/>
      <c r="AE984" s="215"/>
      <c r="AF984" s="215"/>
      <c r="AG984" s="215"/>
      <c r="AH984" s="215"/>
      <c r="AI984" s="215"/>
      <c r="AJ984" s="215"/>
      <c r="AK984" s="215"/>
      <c r="AL984" s="215"/>
      <c r="AM984" s="215"/>
      <c r="AN984" s="215"/>
      <c r="AO984" s="215"/>
      <c r="AP984" s="215"/>
      <c r="AQ984" s="215"/>
      <c r="AR984" s="215"/>
      <c r="AS984" s="215"/>
      <c r="AT984" s="215"/>
      <c r="AU984" s="215"/>
      <c r="AV984" s="215"/>
      <c r="AW984" s="215"/>
      <c r="AX984" s="215"/>
      <c r="AY984" s="215"/>
    </row>
    <row r="985">
      <c r="A985" s="80"/>
      <c r="B985" s="80"/>
      <c r="C985" s="80"/>
      <c r="D985" s="80"/>
      <c r="E985" s="215"/>
      <c r="F985" s="215"/>
      <c r="G985" s="215"/>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c r="AD985" s="215"/>
      <c r="AE985" s="215"/>
      <c r="AF985" s="215"/>
      <c r="AG985" s="215"/>
      <c r="AH985" s="215"/>
      <c r="AI985" s="215"/>
      <c r="AJ985" s="215"/>
      <c r="AK985" s="215"/>
      <c r="AL985" s="215"/>
      <c r="AM985" s="215"/>
      <c r="AN985" s="215"/>
      <c r="AO985" s="215"/>
      <c r="AP985" s="215"/>
      <c r="AQ985" s="215"/>
      <c r="AR985" s="215"/>
      <c r="AS985" s="215"/>
      <c r="AT985" s="215"/>
      <c r="AU985" s="215"/>
      <c r="AV985" s="215"/>
      <c r="AW985" s="215"/>
      <c r="AX985" s="215"/>
      <c r="AY985" s="215"/>
    </row>
    <row r="986">
      <c r="A986" s="80"/>
      <c r="B986" s="80"/>
      <c r="C986" s="80"/>
      <c r="D986" s="80"/>
      <c r="E986" s="215"/>
      <c r="F986" s="215"/>
      <c r="G986" s="215"/>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c r="AD986" s="215"/>
      <c r="AE986" s="215"/>
      <c r="AF986" s="215"/>
      <c r="AG986" s="215"/>
      <c r="AH986" s="215"/>
      <c r="AI986" s="215"/>
      <c r="AJ986" s="215"/>
      <c r="AK986" s="215"/>
      <c r="AL986" s="215"/>
      <c r="AM986" s="215"/>
      <c r="AN986" s="215"/>
      <c r="AO986" s="215"/>
      <c r="AP986" s="215"/>
      <c r="AQ986" s="215"/>
      <c r="AR986" s="215"/>
      <c r="AS986" s="215"/>
      <c r="AT986" s="215"/>
      <c r="AU986" s="215"/>
      <c r="AV986" s="215"/>
      <c r="AW986" s="215"/>
      <c r="AX986" s="215"/>
      <c r="AY986" s="215"/>
    </row>
    <row r="987">
      <c r="A987" s="80"/>
      <c r="B987" s="80"/>
      <c r="C987" s="80"/>
      <c r="D987" s="80"/>
      <c r="E987" s="215"/>
      <c r="F987" s="215"/>
      <c r="G987" s="215"/>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c r="AD987" s="215"/>
      <c r="AE987" s="215"/>
      <c r="AF987" s="215"/>
      <c r="AG987" s="215"/>
      <c r="AH987" s="215"/>
      <c r="AI987" s="215"/>
      <c r="AJ987" s="215"/>
      <c r="AK987" s="215"/>
      <c r="AL987" s="215"/>
      <c r="AM987" s="215"/>
      <c r="AN987" s="215"/>
      <c r="AO987" s="215"/>
      <c r="AP987" s="215"/>
      <c r="AQ987" s="215"/>
      <c r="AR987" s="215"/>
      <c r="AS987" s="215"/>
      <c r="AT987" s="215"/>
      <c r="AU987" s="215"/>
      <c r="AV987" s="215"/>
      <c r="AW987" s="215"/>
      <c r="AX987" s="215"/>
      <c r="AY987" s="215"/>
    </row>
    <row r="988">
      <c r="A988" s="80"/>
      <c r="B988" s="80"/>
      <c r="C988" s="80"/>
      <c r="D988" s="80"/>
      <c r="E988" s="215"/>
      <c r="F988" s="215"/>
      <c r="G988" s="215"/>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c r="AD988" s="215"/>
      <c r="AE988" s="215"/>
      <c r="AF988" s="215"/>
      <c r="AG988" s="215"/>
      <c r="AH988" s="215"/>
      <c r="AI988" s="215"/>
      <c r="AJ988" s="215"/>
      <c r="AK988" s="215"/>
      <c r="AL988" s="215"/>
      <c r="AM988" s="215"/>
      <c r="AN988" s="215"/>
      <c r="AO988" s="215"/>
      <c r="AP988" s="215"/>
      <c r="AQ988" s="215"/>
      <c r="AR988" s="215"/>
      <c r="AS988" s="215"/>
      <c r="AT988" s="215"/>
      <c r="AU988" s="215"/>
      <c r="AV988" s="215"/>
      <c r="AW988" s="215"/>
      <c r="AX988" s="215"/>
      <c r="AY988" s="215"/>
    </row>
    <row r="989">
      <c r="A989" s="80"/>
      <c r="B989" s="80"/>
      <c r="C989" s="80"/>
      <c r="D989" s="80"/>
      <c r="E989" s="215"/>
      <c r="F989" s="215"/>
      <c r="G989" s="215"/>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c r="AD989" s="215"/>
      <c r="AE989" s="215"/>
      <c r="AF989" s="215"/>
      <c r="AG989" s="215"/>
      <c r="AH989" s="215"/>
      <c r="AI989" s="215"/>
      <c r="AJ989" s="215"/>
      <c r="AK989" s="215"/>
      <c r="AL989" s="215"/>
      <c r="AM989" s="215"/>
      <c r="AN989" s="215"/>
      <c r="AO989" s="215"/>
      <c r="AP989" s="215"/>
      <c r="AQ989" s="215"/>
      <c r="AR989" s="215"/>
      <c r="AS989" s="215"/>
      <c r="AT989" s="215"/>
      <c r="AU989" s="215"/>
      <c r="AV989" s="215"/>
      <c r="AW989" s="215"/>
      <c r="AX989" s="215"/>
      <c r="AY989" s="215"/>
    </row>
    <row r="990">
      <c r="A990" s="80"/>
      <c r="B990" s="80"/>
      <c r="C990" s="80"/>
      <c r="D990" s="80"/>
      <c r="E990" s="215"/>
      <c r="F990" s="215"/>
      <c r="G990" s="215"/>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c r="AD990" s="215"/>
      <c r="AE990" s="215"/>
      <c r="AF990" s="215"/>
      <c r="AG990" s="215"/>
      <c r="AH990" s="215"/>
      <c r="AI990" s="215"/>
      <c r="AJ990" s="215"/>
      <c r="AK990" s="215"/>
      <c r="AL990" s="215"/>
      <c r="AM990" s="215"/>
      <c r="AN990" s="215"/>
      <c r="AO990" s="215"/>
      <c r="AP990" s="215"/>
      <c r="AQ990" s="215"/>
      <c r="AR990" s="215"/>
      <c r="AS990" s="215"/>
      <c r="AT990" s="215"/>
      <c r="AU990" s="215"/>
      <c r="AV990" s="215"/>
      <c r="AW990" s="215"/>
      <c r="AX990" s="215"/>
      <c r="AY990" s="215"/>
    </row>
    <row r="991">
      <c r="A991" s="80"/>
      <c r="B991" s="80"/>
      <c r="C991" s="80"/>
      <c r="D991" s="80"/>
      <c r="E991" s="215"/>
      <c r="F991" s="215"/>
      <c r="G991" s="215"/>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c r="AD991" s="215"/>
      <c r="AE991" s="215"/>
      <c r="AF991" s="215"/>
      <c r="AG991" s="215"/>
      <c r="AH991" s="215"/>
      <c r="AI991" s="215"/>
      <c r="AJ991" s="215"/>
      <c r="AK991" s="215"/>
      <c r="AL991" s="215"/>
      <c r="AM991" s="215"/>
      <c r="AN991" s="215"/>
      <c r="AO991" s="215"/>
      <c r="AP991" s="215"/>
      <c r="AQ991" s="215"/>
      <c r="AR991" s="215"/>
      <c r="AS991" s="215"/>
      <c r="AT991" s="215"/>
      <c r="AU991" s="215"/>
      <c r="AV991" s="215"/>
      <c r="AW991" s="215"/>
      <c r="AX991" s="215"/>
      <c r="AY991" s="215"/>
    </row>
    <row r="992">
      <c r="A992" s="80"/>
      <c r="B992" s="80"/>
      <c r="C992" s="80"/>
      <c r="D992" s="80"/>
      <c r="E992" s="215"/>
      <c r="F992" s="215"/>
      <c r="G992" s="215"/>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c r="AD992" s="215"/>
      <c r="AE992" s="215"/>
      <c r="AF992" s="215"/>
      <c r="AG992" s="215"/>
      <c r="AH992" s="215"/>
      <c r="AI992" s="215"/>
      <c r="AJ992" s="215"/>
      <c r="AK992" s="215"/>
      <c r="AL992" s="215"/>
      <c r="AM992" s="215"/>
      <c r="AN992" s="215"/>
      <c r="AO992" s="215"/>
      <c r="AP992" s="215"/>
      <c r="AQ992" s="215"/>
      <c r="AR992" s="215"/>
      <c r="AS992" s="215"/>
      <c r="AT992" s="215"/>
      <c r="AU992" s="215"/>
      <c r="AV992" s="215"/>
      <c r="AW992" s="215"/>
      <c r="AX992" s="215"/>
      <c r="AY992" s="215"/>
    </row>
    <row r="993">
      <c r="A993" s="80"/>
      <c r="B993" s="80"/>
      <c r="C993" s="80"/>
      <c r="D993" s="80"/>
      <c r="E993" s="215"/>
      <c r="F993" s="215"/>
      <c r="G993" s="215"/>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c r="AD993" s="215"/>
      <c r="AE993" s="215"/>
      <c r="AF993" s="215"/>
      <c r="AG993" s="215"/>
      <c r="AH993" s="215"/>
      <c r="AI993" s="215"/>
      <c r="AJ993" s="215"/>
      <c r="AK993" s="215"/>
      <c r="AL993" s="215"/>
      <c r="AM993" s="215"/>
      <c r="AN993" s="215"/>
      <c r="AO993" s="215"/>
      <c r="AP993" s="215"/>
      <c r="AQ993" s="215"/>
      <c r="AR993" s="215"/>
      <c r="AS993" s="215"/>
      <c r="AT993" s="215"/>
      <c r="AU993" s="215"/>
      <c r="AV993" s="215"/>
      <c r="AW993" s="215"/>
      <c r="AX993" s="215"/>
      <c r="AY993" s="215"/>
    </row>
    <row r="994">
      <c r="A994" s="80"/>
      <c r="B994" s="80"/>
      <c r="C994" s="80"/>
      <c r="D994" s="80"/>
      <c r="E994" s="215"/>
      <c r="F994" s="215"/>
      <c r="G994" s="215"/>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c r="AD994" s="215"/>
      <c r="AE994" s="215"/>
      <c r="AF994" s="215"/>
      <c r="AG994" s="215"/>
      <c r="AH994" s="215"/>
      <c r="AI994" s="215"/>
      <c r="AJ994" s="215"/>
      <c r="AK994" s="215"/>
      <c r="AL994" s="215"/>
      <c r="AM994" s="215"/>
      <c r="AN994" s="215"/>
      <c r="AO994" s="215"/>
      <c r="AP994" s="215"/>
      <c r="AQ994" s="215"/>
      <c r="AR994" s="215"/>
      <c r="AS994" s="215"/>
      <c r="AT994" s="215"/>
      <c r="AU994" s="215"/>
      <c r="AV994" s="215"/>
      <c r="AW994" s="215"/>
      <c r="AX994" s="215"/>
      <c r="AY994" s="215"/>
    </row>
    <row r="995">
      <c r="A995" s="80"/>
      <c r="B995" s="80"/>
      <c r="C995" s="80"/>
      <c r="D995" s="80"/>
      <c r="E995" s="215"/>
      <c r="F995" s="215"/>
      <c r="G995" s="215"/>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c r="AD995" s="215"/>
      <c r="AE995" s="215"/>
      <c r="AF995" s="215"/>
      <c r="AG995" s="215"/>
      <c r="AH995" s="215"/>
      <c r="AI995" s="215"/>
      <c r="AJ995" s="215"/>
      <c r="AK995" s="215"/>
      <c r="AL995" s="215"/>
      <c r="AM995" s="215"/>
      <c r="AN995" s="215"/>
      <c r="AO995" s="215"/>
      <c r="AP995" s="215"/>
      <c r="AQ995" s="215"/>
      <c r="AR995" s="215"/>
      <c r="AS995" s="215"/>
      <c r="AT995" s="215"/>
      <c r="AU995" s="215"/>
      <c r="AV995" s="215"/>
      <c r="AW995" s="215"/>
      <c r="AX995" s="215"/>
      <c r="AY995" s="215"/>
    </row>
    <row r="996">
      <c r="A996" s="80"/>
      <c r="B996" s="80"/>
      <c r="C996" s="80"/>
      <c r="D996" s="80"/>
      <c r="E996" s="215"/>
      <c r="F996" s="215"/>
      <c r="G996" s="215"/>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c r="AD996" s="215"/>
      <c r="AE996" s="215"/>
      <c r="AF996" s="215"/>
      <c r="AG996" s="215"/>
      <c r="AH996" s="215"/>
      <c r="AI996" s="215"/>
      <c r="AJ996" s="215"/>
      <c r="AK996" s="215"/>
      <c r="AL996" s="215"/>
      <c r="AM996" s="215"/>
      <c r="AN996" s="215"/>
      <c r="AO996" s="215"/>
      <c r="AP996" s="215"/>
      <c r="AQ996" s="215"/>
      <c r="AR996" s="215"/>
      <c r="AS996" s="215"/>
      <c r="AT996" s="215"/>
      <c r="AU996" s="215"/>
      <c r="AV996" s="215"/>
      <c r="AW996" s="215"/>
      <c r="AX996" s="215"/>
      <c r="AY996" s="215"/>
    </row>
    <row r="997">
      <c r="A997" s="80"/>
      <c r="B997" s="80"/>
      <c r="C997" s="80"/>
      <c r="D997" s="80"/>
      <c r="E997" s="215"/>
      <c r="F997" s="215"/>
      <c r="G997" s="215"/>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c r="AD997" s="215"/>
      <c r="AE997" s="215"/>
      <c r="AF997" s="215"/>
      <c r="AG997" s="215"/>
      <c r="AH997" s="215"/>
      <c r="AI997" s="215"/>
      <c r="AJ997" s="215"/>
      <c r="AK997" s="215"/>
      <c r="AL997" s="215"/>
      <c r="AM997" s="215"/>
      <c r="AN997" s="215"/>
      <c r="AO997" s="215"/>
      <c r="AP997" s="215"/>
      <c r="AQ997" s="215"/>
      <c r="AR997" s="215"/>
      <c r="AS997" s="215"/>
      <c r="AT997" s="215"/>
      <c r="AU997" s="215"/>
      <c r="AV997" s="215"/>
      <c r="AW997" s="215"/>
      <c r="AX997" s="215"/>
      <c r="AY997" s="215"/>
    </row>
    <row r="998">
      <c r="A998" s="80"/>
      <c r="B998" s="80"/>
      <c r="C998" s="80"/>
      <c r="D998" s="80"/>
      <c r="E998" s="215"/>
      <c r="F998" s="215"/>
      <c r="G998" s="215"/>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c r="AD998" s="215"/>
      <c r="AE998" s="215"/>
      <c r="AF998" s="215"/>
      <c r="AG998" s="215"/>
      <c r="AH998" s="215"/>
      <c r="AI998" s="215"/>
      <c r="AJ998" s="215"/>
      <c r="AK998" s="215"/>
      <c r="AL998" s="215"/>
      <c r="AM998" s="215"/>
      <c r="AN998" s="215"/>
      <c r="AO998" s="215"/>
      <c r="AP998" s="215"/>
      <c r="AQ998" s="215"/>
      <c r="AR998" s="215"/>
      <c r="AS998" s="215"/>
      <c r="AT998" s="215"/>
      <c r="AU998" s="215"/>
      <c r="AV998" s="215"/>
      <c r="AW998" s="215"/>
      <c r="AX998" s="215"/>
      <c r="AY998" s="215"/>
    </row>
    <row r="999">
      <c r="A999" s="80"/>
      <c r="B999" s="80"/>
      <c r="C999" s="80"/>
      <c r="D999" s="80"/>
      <c r="E999" s="215"/>
      <c r="F999" s="215"/>
      <c r="G999" s="215"/>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c r="AD999" s="215"/>
      <c r="AE999" s="215"/>
      <c r="AF999" s="215"/>
      <c r="AG999" s="215"/>
      <c r="AH999" s="215"/>
      <c r="AI999" s="215"/>
      <c r="AJ999" s="215"/>
      <c r="AK999" s="215"/>
      <c r="AL999" s="215"/>
      <c r="AM999" s="215"/>
      <c r="AN999" s="215"/>
      <c r="AO999" s="215"/>
      <c r="AP999" s="215"/>
      <c r="AQ999" s="215"/>
      <c r="AR999" s="215"/>
      <c r="AS999" s="215"/>
      <c r="AT999" s="215"/>
      <c r="AU999" s="215"/>
      <c r="AV999" s="215"/>
      <c r="AW999" s="215"/>
      <c r="AX999" s="215"/>
      <c r="AY999" s="215"/>
    </row>
    <row r="1000">
      <c r="A1000" s="80"/>
      <c r="B1000" s="80"/>
      <c r="C1000" s="80"/>
      <c r="D1000" s="80"/>
      <c r="E1000" s="215"/>
      <c r="F1000" s="215"/>
      <c r="G1000" s="215"/>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c r="AD1000" s="215"/>
      <c r="AE1000" s="215"/>
      <c r="AF1000" s="215"/>
      <c r="AG1000" s="215"/>
      <c r="AH1000" s="215"/>
      <c r="AI1000" s="215"/>
      <c r="AJ1000" s="215"/>
      <c r="AK1000" s="215"/>
      <c r="AL1000" s="215"/>
      <c r="AM1000" s="215"/>
      <c r="AN1000" s="215"/>
      <c r="AO1000" s="215"/>
      <c r="AP1000" s="215"/>
      <c r="AQ1000" s="215"/>
      <c r="AR1000" s="215"/>
      <c r="AS1000" s="215"/>
      <c r="AT1000" s="215"/>
      <c r="AU1000" s="215"/>
      <c r="AV1000" s="215"/>
      <c r="AW1000" s="215"/>
      <c r="AX1000" s="215"/>
      <c r="AY1000" s="215"/>
    </row>
    <row r="1001">
      <c r="A1001" s="80"/>
      <c r="B1001" s="80"/>
      <c r="C1001" s="80"/>
      <c r="D1001" s="80"/>
      <c r="E1001" s="215"/>
      <c r="F1001" s="215"/>
      <c r="G1001" s="215"/>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c r="AD1001" s="215"/>
      <c r="AE1001" s="215"/>
      <c r="AF1001" s="215"/>
      <c r="AG1001" s="215"/>
      <c r="AH1001" s="215"/>
      <c r="AI1001" s="215"/>
      <c r="AJ1001" s="215"/>
      <c r="AK1001" s="215"/>
      <c r="AL1001" s="215"/>
      <c r="AM1001" s="215"/>
      <c r="AN1001" s="215"/>
      <c r="AO1001" s="215"/>
      <c r="AP1001" s="215"/>
      <c r="AQ1001" s="215"/>
      <c r="AR1001" s="215"/>
      <c r="AS1001" s="215"/>
      <c r="AT1001" s="215"/>
      <c r="AU1001" s="215"/>
      <c r="AV1001" s="215"/>
      <c r="AW1001" s="215"/>
      <c r="AX1001" s="215"/>
      <c r="AY1001" s="215"/>
    </row>
    <row r="1002">
      <c r="A1002" s="80"/>
      <c r="B1002" s="80"/>
      <c r="C1002" s="80"/>
      <c r="D1002" s="80"/>
      <c r="E1002" s="215"/>
      <c r="F1002" s="215"/>
      <c r="G1002" s="215"/>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c r="AD1002" s="215"/>
      <c r="AE1002" s="215"/>
      <c r="AF1002" s="215"/>
      <c r="AG1002" s="215"/>
      <c r="AH1002" s="215"/>
      <c r="AI1002" s="215"/>
      <c r="AJ1002" s="215"/>
      <c r="AK1002" s="215"/>
      <c r="AL1002" s="215"/>
      <c r="AM1002" s="215"/>
      <c r="AN1002" s="215"/>
      <c r="AO1002" s="215"/>
      <c r="AP1002" s="215"/>
      <c r="AQ1002" s="215"/>
      <c r="AR1002" s="215"/>
      <c r="AS1002" s="215"/>
      <c r="AT1002" s="215"/>
      <c r="AU1002" s="215"/>
      <c r="AV1002" s="215"/>
      <c r="AW1002" s="215"/>
      <c r="AX1002" s="215"/>
      <c r="AY1002" s="215"/>
    </row>
    <row r="1003">
      <c r="A1003" s="80"/>
      <c r="B1003" s="80"/>
      <c r="C1003" s="80"/>
      <c r="D1003" s="80"/>
      <c r="E1003" s="215"/>
      <c r="F1003" s="215"/>
      <c r="G1003" s="215"/>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c r="AD1003" s="215"/>
      <c r="AE1003" s="215"/>
      <c r="AF1003" s="215"/>
      <c r="AG1003" s="215"/>
      <c r="AH1003" s="215"/>
      <c r="AI1003" s="215"/>
      <c r="AJ1003" s="215"/>
      <c r="AK1003" s="215"/>
      <c r="AL1003" s="215"/>
      <c r="AM1003" s="215"/>
      <c r="AN1003" s="215"/>
      <c r="AO1003" s="215"/>
      <c r="AP1003" s="215"/>
      <c r="AQ1003" s="215"/>
      <c r="AR1003" s="215"/>
      <c r="AS1003" s="215"/>
      <c r="AT1003" s="215"/>
      <c r="AU1003" s="215"/>
      <c r="AV1003" s="215"/>
      <c r="AW1003" s="215"/>
      <c r="AX1003" s="215"/>
      <c r="AY1003" s="215"/>
    </row>
    <row r="1004">
      <c r="A1004" s="80"/>
      <c r="B1004" s="80"/>
      <c r="C1004" s="80"/>
      <c r="D1004" s="80"/>
      <c r="E1004" s="215"/>
      <c r="F1004" s="215"/>
      <c r="G1004" s="215"/>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c r="AD1004" s="215"/>
      <c r="AE1004" s="215"/>
      <c r="AF1004" s="215"/>
      <c r="AG1004" s="215"/>
      <c r="AH1004" s="215"/>
      <c r="AI1004" s="215"/>
      <c r="AJ1004" s="215"/>
      <c r="AK1004" s="215"/>
      <c r="AL1004" s="215"/>
      <c r="AM1004" s="215"/>
      <c r="AN1004" s="215"/>
      <c r="AO1004" s="215"/>
      <c r="AP1004" s="215"/>
      <c r="AQ1004" s="215"/>
      <c r="AR1004" s="215"/>
      <c r="AS1004" s="215"/>
      <c r="AT1004" s="215"/>
      <c r="AU1004" s="215"/>
      <c r="AV1004" s="215"/>
      <c r="AW1004" s="215"/>
      <c r="AX1004" s="215"/>
      <c r="AY1004" s="215"/>
    </row>
    <row r="1005">
      <c r="A1005" s="80"/>
      <c r="B1005" s="80"/>
      <c r="C1005" s="80"/>
      <c r="D1005" s="80"/>
      <c r="E1005" s="215"/>
      <c r="F1005" s="215"/>
      <c r="G1005" s="215"/>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c r="AD1005" s="215"/>
      <c r="AE1005" s="215"/>
      <c r="AF1005" s="215"/>
      <c r="AG1005" s="215"/>
      <c r="AH1005" s="215"/>
      <c r="AI1005" s="215"/>
      <c r="AJ1005" s="215"/>
      <c r="AK1005" s="215"/>
      <c r="AL1005" s="215"/>
      <c r="AM1005" s="215"/>
      <c r="AN1005" s="215"/>
      <c r="AO1005" s="215"/>
      <c r="AP1005" s="215"/>
      <c r="AQ1005" s="215"/>
      <c r="AR1005" s="215"/>
      <c r="AS1005" s="215"/>
      <c r="AT1005" s="215"/>
      <c r="AU1005" s="215"/>
      <c r="AV1005" s="215"/>
      <c r="AW1005" s="215"/>
      <c r="AX1005" s="215"/>
      <c r="AY1005" s="215"/>
    </row>
    <row r="1006">
      <c r="A1006" s="80"/>
      <c r="B1006" s="80"/>
      <c r="C1006" s="80"/>
      <c r="D1006" s="80"/>
      <c r="E1006" s="215"/>
      <c r="F1006" s="215"/>
      <c r="G1006" s="215"/>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c r="AD1006" s="215"/>
      <c r="AE1006" s="215"/>
      <c r="AF1006" s="215"/>
      <c r="AG1006" s="215"/>
      <c r="AH1006" s="215"/>
      <c r="AI1006" s="215"/>
      <c r="AJ1006" s="215"/>
      <c r="AK1006" s="215"/>
      <c r="AL1006" s="215"/>
      <c r="AM1006" s="215"/>
      <c r="AN1006" s="215"/>
      <c r="AO1006" s="215"/>
      <c r="AP1006" s="215"/>
      <c r="AQ1006" s="215"/>
      <c r="AR1006" s="215"/>
      <c r="AS1006" s="215"/>
      <c r="AT1006" s="215"/>
      <c r="AU1006" s="215"/>
      <c r="AV1006" s="215"/>
      <c r="AW1006" s="215"/>
      <c r="AX1006" s="215"/>
      <c r="AY1006" s="215"/>
    </row>
    <row r="1007">
      <c r="A1007" s="80"/>
      <c r="B1007" s="80"/>
      <c r="C1007" s="80"/>
      <c r="D1007" s="80"/>
      <c r="E1007" s="215"/>
      <c r="F1007" s="215"/>
      <c r="G1007" s="215"/>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c r="AD1007" s="215"/>
      <c r="AE1007" s="215"/>
      <c r="AF1007" s="215"/>
      <c r="AG1007" s="215"/>
      <c r="AH1007" s="215"/>
      <c r="AI1007" s="215"/>
      <c r="AJ1007" s="215"/>
      <c r="AK1007" s="215"/>
      <c r="AL1007" s="215"/>
      <c r="AM1007" s="215"/>
      <c r="AN1007" s="215"/>
      <c r="AO1007" s="215"/>
      <c r="AP1007" s="215"/>
      <c r="AQ1007" s="215"/>
      <c r="AR1007" s="215"/>
      <c r="AS1007" s="215"/>
      <c r="AT1007" s="215"/>
      <c r="AU1007" s="215"/>
      <c r="AV1007" s="215"/>
      <c r="AW1007" s="215"/>
      <c r="AX1007" s="215"/>
      <c r="AY1007" s="215"/>
    </row>
    <row r="1008">
      <c r="A1008" s="80"/>
      <c r="B1008" s="80"/>
      <c r="C1008" s="80"/>
      <c r="D1008" s="80"/>
      <c r="E1008" s="215"/>
      <c r="F1008" s="215"/>
      <c r="G1008" s="215"/>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c r="AD1008" s="215"/>
      <c r="AE1008" s="215"/>
      <c r="AF1008" s="215"/>
      <c r="AG1008" s="215"/>
      <c r="AH1008" s="215"/>
      <c r="AI1008" s="215"/>
      <c r="AJ1008" s="215"/>
      <c r="AK1008" s="215"/>
      <c r="AL1008" s="215"/>
      <c r="AM1008" s="215"/>
      <c r="AN1008" s="215"/>
      <c r="AO1008" s="215"/>
      <c r="AP1008" s="215"/>
      <c r="AQ1008" s="215"/>
      <c r="AR1008" s="215"/>
      <c r="AS1008" s="215"/>
      <c r="AT1008" s="215"/>
      <c r="AU1008" s="215"/>
      <c r="AV1008" s="215"/>
      <c r="AW1008" s="215"/>
      <c r="AX1008" s="215"/>
      <c r="AY1008" s="215"/>
    </row>
    <row r="1009">
      <c r="A1009" s="80"/>
      <c r="B1009" s="80"/>
      <c r="C1009" s="80"/>
      <c r="D1009" s="80"/>
      <c r="E1009" s="215"/>
      <c r="F1009" s="215"/>
      <c r="G1009" s="215"/>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c r="AD1009" s="215"/>
      <c r="AE1009" s="215"/>
      <c r="AF1009" s="215"/>
      <c r="AG1009" s="215"/>
      <c r="AH1009" s="215"/>
      <c r="AI1009" s="215"/>
      <c r="AJ1009" s="215"/>
      <c r="AK1009" s="215"/>
      <c r="AL1009" s="215"/>
      <c r="AM1009" s="215"/>
      <c r="AN1009" s="215"/>
      <c r="AO1009" s="215"/>
      <c r="AP1009" s="215"/>
      <c r="AQ1009" s="215"/>
      <c r="AR1009" s="215"/>
      <c r="AS1009" s="215"/>
      <c r="AT1009" s="215"/>
      <c r="AU1009" s="215"/>
      <c r="AV1009" s="215"/>
      <c r="AW1009" s="215"/>
      <c r="AX1009" s="215"/>
      <c r="AY1009" s="215"/>
    </row>
    <row r="1010">
      <c r="A1010" s="80"/>
      <c r="B1010" s="80"/>
      <c r="C1010" s="80"/>
      <c r="D1010" s="80"/>
      <c r="E1010" s="215"/>
      <c r="F1010" s="215"/>
      <c r="G1010" s="215"/>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c r="AD1010" s="215"/>
      <c r="AE1010" s="215"/>
      <c r="AF1010" s="215"/>
      <c r="AG1010" s="215"/>
      <c r="AH1010" s="215"/>
      <c r="AI1010" s="215"/>
      <c r="AJ1010" s="215"/>
      <c r="AK1010" s="215"/>
      <c r="AL1010" s="215"/>
      <c r="AM1010" s="215"/>
      <c r="AN1010" s="215"/>
      <c r="AO1010" s="215"/>
      <c r="AP1010" s="215"/>
      <c r="AQ1010" s="215"/>
      <c r="AR1010" s="215"/>
      <c r="AS1010" s="215"/>
      <c r="AT1010" s="215"/>
      <c r="AU1010" s="215"/>
      <c r="AV1010" s="215"/>
      <c r="AW1010" s="215"/>
      <c r="AX1010" s="215"/>
      <c r="AY1010" s="215"/>
    </row>
    <row r="1011">
      <c r="A1011" s="80"/>
      <c r="B1011" s="80"/>
      <c r="C1011" s="80"/>
      <c r="D1011" s="80"/>
      <c r="E1011" s="215"/>
      <c r="F1011" s="215"/>
      <c r="G1011" s="215"/>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c r="AD1011" s="215"/>
      <c r="AE1011" s="215"/>
      <c r="AF1011" s="215"/>
      <c r="AG1011" s="215"/>
      <c r="AH1011" s="215"/>
      <c r="AI1011" s="215"/>
      <c r="AJ1011" s="215"/>
      <c r="AK1011" s="215"/>
      <c r="AL1011" s="215"/>
      <c r="AM1011" s="215"/>
      <c r="AN1011" s="215"/>
      <c r="AO1011" s="215"/>
      <c r="AP1011" s="215"/>
      <c r="AQ1011" s="215"/>
      <c r="AR1011" s="215"/>
      <c r="AS1011" s="215"/>
      <c r="AT1011" s="215"/>
      <c r="AU1011" s="215"/>
      <c r="AV1011" s="215"/>
      <c r="AW1011" s="215"/>
      <c r="AX1011" s="215"/>
      <c r="AY1011" s="215"/>
    </row>
    <row r="1012">
      <c r="A1012" s="80"/>
      <c r="B1012" s="80"/>
      <c r="C1012" s="80"/>
      <c r="D1012" s="80"/>
      <c r="E1012" s="215"/>
      <c r="F1012" s="215"/>
      <c r="G1012" s="215"/>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c r="AD1012" s="215"/>
      <c r="AE1012" s="215"/>
      <c r="AF1012" s="215"/>
      <c r="AG1012" s="215"/>
      <c r="AH1012" s="215"/>
      <c r="AI1012" s="215"/>
      <c r="AJ1012" s="215"/>
      <c r="AK1012" s="215"/>
      <c r="AL1012" s="215"/>
      <c r="AM1012" s="215"/>
      <c r="AN1012" s="215"/>
      <c r="AO1012" s="215"/>
      <c r="AP1012" s="215"/>
      <c r="AQ1012" s="215"/>
      <c r="AR1012" s="215"/>
      <c r="AS1012" s="215"/>
      <c r="AT1012" s="215"/>
      <c r="AU1012" s="215"/>
      <c r="AV1012" s="215"/>
      <c r="AW1012" s="215"/>
      <c r="AX1012" s="215"/>
      <c r="AY1012" s="215"/>
    </row>
    <row r="1013">
      <c r="A1013" s="80"/>
      <c r="B1013" s="80"/>
      <c r="C1013" s="80"/>
      <c r="D1013" s="80"/>
      <c r="E1013" s="215"/>
      <c r="F1013" s="215"/>
      <c r="G1013" s="215"/>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c r="AD1013" s="215"/>
      <c r="AE1013" s="215"/>
      <c r="AF1013" s="215"/>
      <c r="AG1013" s="215"/>
      <c r="AH1013" s="215"/>
      <c r="AI1013" s="215"/>
      <c r="AJ1013" s="215"/>
      <c r="AK1013" s="215"/>
      <c r="AL1013" s="215"/>
      <c r="AM1013" s="215"/>
      <c r="AN1013" s="215"/>
      <c r="AO1013" s="215"/>
      <c r="AP1013" s="215"/>
      <c r="AQ1013" s="215"/>
      <c r="AR1013" s="215"/>
      <c r="AS1013" s="215"/>
      <c r="AT1013" s="215"/>
      <c r="AU1013" s="215"/>
      <c r="AV1013" s="215"/>
      <c r="AW1013" s="215"/>
      <c r="AX1013" s="215"/>
      <c r="AY1013" s="215"/>
    </row>
    <row r="1014">
      <c r="A1014" s="80"/>
      <c r="B1014" s="80"/>
      <c r="C1014" s="80"/>
      <c r="D1014" s="80"/>
      <c r="E1014" s="215"/>
      <c r="F1014" s="215"/>
      <c r="G1014" s="215"/>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c r="AD1014" s="215"/>
      <c r="AE1014" s="215"/>
      <c r="AF1014" s="215"/>
      <c r="AG1014" s="215"/>
      <c r="AH1014" s="215"/>
      <c r="AI1014" s="215"/>
      <c r="AJ1014" s="215"/>
      <c r="AK1014" s="215"/>
      <c r="AL1014" s="215"/>
      <c r="AM1014" s="215"/>
      <c r="AN1014" s="215"/>
      <c r="AO1014" s="215"/>
      <c r="AP1014" s="215"/>
      <c r="AQ1014" s="215"/>
      <c r="AR1014" s="215"/>
      <c r="AS1014" s="215"/>
      <c r="AT1014" s="215"/>
      <c r="AU1014" s="215"/>
      <c r="AV1014" s="215"/>
      <c r="AW1014" s="215"/>
      <c r="AX1014" s="215"/>
      <c r="AY1014" s="215"/>
    </row>
    <row r="1015">
      <c r="A1015" s="80"/>
      <c r="B1015" s="80"/>
      <c r="C1015" s="80"/>
      <c r="D1015" s="80"/>
      <c r="E1015" s="215"/>
      <c r="F1015" s="215"/>
      <c r="G1015" s="215"/>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c r="AD1015" s="215"/>
      <c r="AE1015" s="215"/>
      <c r="AF1015" s="215"/>
      <c r="AG1015" s="215"/>
      <c r="AH1015" s="215"/>
      <c r="AI1015" s="215"/>
      <c r="AJ1015" s="215"/>
      <c r="AK1015" s="215"/>
      <c r="AL1015" s="215"/>
      <c r="AM1015" s="215"/>
      <c r="AN1015" s="215"/>
      <c r="AO1015" s="215"/>
      <c r="AP1015" s="215"/>
      <c r="AQ1015" s="215"/>
      <c r="AR1015" s="215"/>
      <c r="AS1015" s="215"/>
      <c r="AT1015" s="215"/>
      <c r="AU1015" s="215"/>
      <c r="AV1015" s="215"/>
      <c r="AW1015" s="215"/>
      <c r="AX1015" s="215"/>
      <c r="AY1015" s="215"/>
    </row>
    <row r="1016">
      <c r="A1016" s="80"/>
      <c r="B1016" s="80"/>
      <c r="C1016" s="80"/>
      <c r="D1016" s="80"/>
      <c r="E1016" s="215"/>
      <c r="F1016" s="215"/>
      <c r="G1016" s="215"/>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c r="AD1016" s="215"/>
      <c r="AE1016" s="215"/>
      <c r="AF1016" s="215"/>
      <c r="AG1016" s="215"/>
      <c r="AH1016" s="215"/>
      <c r="AI1016" s="215"/>
      <c r="AJ1016" s="215"/>
      <c r="AK1016" s="215"/>
      <c r="AL1016" s="215"/>
      <c r="AM1016" s="215"/>
      <c r="AN1016" s="215"/>
      <c r="AO1016" s="215"/>
      <c r="AP1016" s="215"/>
      <c r="AQ1016" s="215"/>
      <c r="AR1016" s="215"/>
      <c r="AS1016" s="215"/>
      <c r="AT1016" s="215"/>
      <c r="AU1016" s="215"/>
      <c r="AV1016" s="215"/>
      <c r="AW1016" s="215"/>
      <c r="AX1016" s="215"/>
      <c r="AY1016" s="215"/>
    </row>
  </sheetData>
  <mergeCells count="16">
    <mergeCell ref="G22:H22"/>
    <mergeCell ref="G29:H29"/>
    <mergeCell ref="X31:Y31"/>
    <mergeCell ref="P36:Q36"/>
    <mergeCell ref="AD36:AE36"/>
    <mergeCell ref="AD37:AF37"/>
    <mergeCell ref="AE38:AF38"/>
    <mergeCell ref="X43:Z43"/>
    <mergeCell ref="AA43:AB43"/>
    <mergeCell ref="L39:N39"/>
    <mergeCell ref="W39:Z39"/>
    <mergeCell ref="AE39:AF39"/>
    <mergeCell ref="U40:X40"/>
    <mergeCell ref="AE40:AF40"/>
    <mergeCell ref="U41:W41"/>
    <mergeCell ref="AD41:AF41"/>
  </mergeCells>
  <conditionalFormatting sqref="B215:H215 J215:M215 O215 Q215">
    <cfRule type="expression" dxfId="0" priority="1">
      <formula>$G215="No"</formula>
    </cfRule>
  </conditionalFormatting>
  <conditionalFormatting sqref="B215:H215 J215:M215 O215 Q215">
    <cfRule type="expression" dxfId="1" priority="2">
      <formula>$G215=""</formula>
    </cfRule>
  </conditionalFormatting>
  <conditionalFormatting sqref="V215">
    <cfRule type="cellIs" dxfId="2" priority="3" operator="equal">
      <formula>"No"</formula>
    </cfRule>
  </conditionalFormatting>
  <conditionalFormatting sqref="V215">
    <cfRule type="cellIs" dxfId="3" priority="4" operator="equal">
      <formula>"Yes"</formula>
    </cfRule>
  </conditionalFormatting>
  <conditionalFormatting sqref="V215">
    <cfRule type="cellIs" dxfId="5" priority="5" operator="equal">
      <formula>"YesNo"</formula>
    </cfRule>
  </conditionalFormatting>
  <conditionalFormatting sqref="V190">
    <cfRule type="cellIs" dxfId="2" priority="6" operator="equal">
      <formula>"No"</formula>
    </cfRule>
  </conditionalFormatting>
  <conditionalFormatting sqref="V190">
    <cfRule type="cellIs" dxfId="3" priority="7" operator="equal">
      <formula>"Yes"</formula>
    </cfRule>
  </conditionalFormatting>
  <conditionalFormatting sqref="V190">
    <cfRule type="cellIs" dxfId="5" priority="8" operator="equal">
      <formula>"YesNo"</formula>
    </cfRule>
  </conditionalFormatting>
  <conditionalFormatting sqref="B182 D182 F182:I182 K182:R182">
    <cfRule type="expression" dxfId="0" priority="9">
      <formula>$R182="No"</formula>
    </cfRule>
  </conditionalFormatting>
  <conditionalFormatting sqref="B181 D181 F181:M181 O181 Q181">
    <cfRule type="expression" dxfId="1" priority="10">
      <formula>$G181=""</formula>
    </cfRule>
  </conditionalFormatting>
  <conditionalFormatting sqref="B181 D181 F181:M181 O181 Q181">
    <cfRule type="expression" dxfId="0" priority="11">
      <formula>$G181="No"</formula>
    </cfRule>
  </conditionalFormatting>
  <dataValidations>
    <dataValidation type="list" allowBlank="1" showErrorMessage="1" sqref="R77:R88 R101:R108">
      <formula1>'Exclussion basis'!$A$2:B1016</formula1>
    </dataValidation>
    <dataValidation type="list" allowBlank="1" showErrorMessage="1" sqref="O14:O15 O17 O23 Q30:Q35 Q44:Q66">
      <formula1>'Exclussion basis'!$A$2:$A$4</formula1>
    </dataValidation>
  </dataValidations>
  <hyperlinks>
    <hyperlink r:id="rId1" ref="D30"/>
  </hyperlinks>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51.78"/>
  </cols>
  <sheetData>
    <row r="1">
      <c r="A1" s="26" t="s">
        <v>3185</v>
      </c>
    </row>
    <row r="2">
      <c r="A2" s="26" t="s">
        <v>3186</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50.22"/>
    <col customWidth="1" min="2" max="26" width="6.78"/>
  </cols>
  <sheetData>
    <row r="1" ht="134.25" customHeight="1">
      <c r="A1" s="301" t="s">
        <v>3187</v>
      </c>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1.44"/>
    <col customWidth="1" min="2" max="2" width="23.11"/>
    <col customWidth="1" min="3" max="3" width="26.33"/>
    <col customWidth="1" min="4" max="4" width="25.33"/>
    <col customWidth="1" min="5" max="26" width="6.78"/>
  </cols>
  <sheetData>
    <row r="1" ht="14.25" customHeight="1">
      <c r="A1" s="302" t="s">
        <v>3188</v>
      </c>
      <c r="B1" s="302" t="s">
        <v>2507</v>
      </c>
      <c r="C1" s="302" t="s">
        <v>3189</v>
      </c>
      <c r="D1" s="302" t="s">
        <v>2874</v>
      </c>
    </row>
    <row r="2" ht="14.25" customHeight="1">
      <c r="A2" s="303" t="s">
        <v>3190</v>
      </c>
      <c r="B2" s="303" t="s">
        <v>3191</v>
      </c>
      <c r="C2" s="303">
        <v>442.0</v>
      </c>
      <c r="D2" s="303" t="s">
        <v>3192</v>
      </c>
    </row>
    <row r="3" ht="14.25" customHeight="1">
      <c r="A3" s="303" t="s">
        <v>3190</v>
      </c>
      <c r="B3" s="303" t="s">
        <v>3193</v>
      </c>
      <c r="C3" s="304">
        <v>142.0</v>
      </c>
      <c r="D3" s="304" t="s">
        <v>3194</v>
      </c>
    </row>
    <row r="4" ht="14.25" customHeight="1">
      <c r="A4" s="303" t="s">
        <v>3190</v>
      </c>
      <c r="B4" s="303" t="s">
        <v>3195</v>
      </c>
      <c r="C4" s="304">
        <v>140.0</v>
      </c>
      <c r="D4" s="304" t="s">
        <v>3196</v>
      </c>
    </row>
    <row r="5" ht="14.25" customHeight="1">
      <c r="A5" s="305" t="s">
        <v>3197</v>
      </c>
      <c r="B5" s="305" t="s">
        <v>3198</v>
      </c>
      <c r="C5" s="305"/>
      <c r="D5" s="305"/>
    </row>
    <row r="6" ht="14.25" customHeight="1">
      <c r="A6" s="305" t="s">
        <v>3197</v>
      </c>
      <c r="B6" s="305" t="s">
        <v>3199</v>
      </c>
      <c r="C6" s="305"/>
      <c r="D6" s="305"/>
    </row>
    <row r="7" ht="14.25" customHeight="1">
      <c r="A7" s="306" t="s">
        <v>3200</v>
      </c>
      <c r="B7" s="306" t="s">
        <v>3201</v>
      </c>
      <c r="C7" s="306"/>
      <c r="D7" s="306"/>
    </row>
    <row r="8" ht="14.25" customHeight="1">
      <c r="A8" s="306" t="s">
        <v>3200</v>
      </c>
      <c r="B8" s="306" t="s">
        <v>3202</v>
      </c>
      <c r="C8" s="306"/>
      <c r="D8" s="306"/>
    </row>
    <row r="9" ht="14.25" customHeight="1">
      <c r="A9" s="306" t="s">
        <v>3200</v>
      </c>
      <c r="B9" s="306" t="s">
        <v>3203</v>
      </c>
      <c r="C9" s="306"/>
      <c r="D9" s="306"/>
    </row>
    <row r="10" ht="14.25" customHeight="1">
      <c r="A10" s="306" t="s">
        <v>3200</v>
      </c>
      <c r="B10" s="306" t="s">
        <v>3204</v>
      </c>
      <c r="C10" s="306"/>
      <c r="D10" s="306"/>
    </row>
    <row r="11" ht="14.25" customHeight="1">
      <c r="A11" s="307" t="s">
        <v>3205</v>
      </c>
      <c r="B11" s="307" t="s">
        <v>3206</v>
      </c>
      <c r="C11" s="307"/>
      <c r="D11" s="307"/>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6.78"/>
    <col customWidth="1" min="2" max="2" width="27.33"/>
    <col customWidth="1" min="3" max="3" width="13.0"/>
    <col customWidth="1" min="4" max="4" width="9.0"/>
    <col customWidth="1" min="5" max="5" width="7.22"/>
    <col customWidth="1" min="6" max="6" width="10.22"/>
    <col customWidth="1" min="7" max="7" width="13.78"/>
    <col customWidth="1" min="8" max="8" width="12.56"/>
    <col customWidth="1" min="9" max="9" width="10.89"/>
    <col customWidth="1" min="10" max="12" width="13.11"/>
    <col customWidth="1" min="13" max="13" width="12.67"/>
    <col customWidth="1" min="14" max="14" width="14.0"/>
    <col customWidth="1" min="15" max="16" width="10.11"/>
    <col customWidth="1" min="17" max="17" width="6.44"/>
    <col customWidth="1" min="18" max="18" width="6.78"/>
    <col customWidth="1" min="19" max="19" width="11.78"/>
    <col customWidth="1" min="20" max="20" width="7.56"/>
    <col customWidth="1" min="21" max="30" width="6.78"/>
  </cols>
  <sheetData>
    <row r="1" ht="60.0" customHeight="1">
      <c r="A1" s="54" t="s">
        <v>57</v>
      </c>
      <c r="B1" s="54" t="s">
        <v>58</v>
      </c>
      <c r="C1" s="54" t="s">
        <v>59</v>
      </c>
      <c r="D1" s="54" t="s">
        <v>60</v>
      </c>
      <c r="E1" s="308" t="s">
        <v>61</v>
      </c>
      <c r="F1" s="308" t="s">
        <v>62</v>
      </c>
      <c r="G1" s="308" t="s">
        <v>3207</v>
      </c>
      <c r="H1" s="309" t="s">
        <v>3208</v>
      </c>
      <c r="I1" s="309" t="s">
        <v>3209</v>
      </c>
      <c r="J1" s="308" t="s">
        <v>3210</v>
      </c>
      <c r="K1" s="310" t="s">
        <v>3211</v>
      </c>
      <c r="L1" s="309" t="s">
        <v>3212</v>
      </c>
      <c r="M1" s="308" t="s">
        <v>3213</v>
      </c>
      <c r="N1" s="308" t="s">
        <v>3214</v>
      </c>
      <c r="O1" s="308" t="s">
        <v>3215</v>
      </c>
      <c r="P1" s="308" t="s">
        <v>3216</v>
      </c>
      <c r="Q1" s="54" t="s">
        <v>3217</v>
      </c>
      <c r="R1" s="56" t="s">
        <v>944</v>
      </c>
      <c r="S1" s="56" t="s">
        <v>3218</v>
      </c>
      <c r="T1" s="311" t="s">
        <v>3219</v>
      </c>
      <c r="U1" s="57" t="s">
        <v>61</v>
      </c>
      <c r="V1" s="57" t="s">
        <v>62</v>
      </c>
      <c r="W1" s="311" t="s">
        <v>950</v>
      </c>
      <c r="X1" s="311" t="s">
        <v>3220</v>
      </c>
      <c r="Y1" s="312" t="s">
        <v>3221</v>
      </c>
      <c r="Z1" s="312" t="s">
        <v>3222</v>
      </c>
      <c r="AA1" s="312" t="s">
        <v>3223</v>
      </c>
    </row>
    <row r="2" ht="14.25" customHeight="1">
      <c r="A2" s="313" t="s">
        <v>427</v>
      </c>
      <c r="B2" s="313" t="s">
        <v>428</v>
      </c>
      <c r="C2" s="313" t="s">
        <v>88</v>
      </c>
      <c r="D2" s="313" t="s">
        <v>429</v>
      </c>
      <c r="E2" s="313" t="s">
        <v>101</v>
      </c>
      <c r="F2" s="313" t="s">
        <v>430</v>
      </c>
      <c r="G2" s="313" t="s">
        <v>49</v>
      </c>
      <c r="H2" s="314" t="s">
        <v>620</v>
      </c>
      <c r="I2" s="314" t="s">
        <v>3224</v>
      </c>
      <c r="J2" s="314" t="s">
        <v>3225</v>
      </c>
      <c r="K2" s="314" t="s">
        <v>3226</v>
      </c>
      <c r="L2" s="313"/>
      <c r="M2" s="314" t="s">
        <v>3227</v>
      </c>
      <c r="N2" s="314" t="s">
        <v>963</v>
      </c>
      <c r="O2" s="314" t="s">
        <v>3228</v>
      </c>
      <c r="P2" s="313" t="s">
        <v>3229</v>
      </c>
      <c r="Q2" s="314" t="s">
        <v>3002</v>
      </c>
      <c r="R2" s="314" t="s">
        <v>963</v>
      </c>
      <c r="S2" s="314" t="s">
        <v>3230</v>
      </c>
      <c r="T2" s="314" t="s">
        <v>3231</v>
      </c>
      <c r="U2" s="314" t="s">
        <v>3232</v>
      </c>
      <c r="V2" s="314" t="s">
        <v>3233</v>
      </c>
      <c r="W2" s="314" t="s">
        <v>3234</v>
      </c>
      <c r="X2" s="313"/>
      <c r="Y2" s="313"/>
      <c r="Z2" s="313"/>
      <c r="AA2" s="313"/>
      <c r="AB2" s="313"/>
      <c r="AC2" s="313"/>
      <c r="AD2" s="313"/>
    </row>
    <row r="3" ht="14.25" customHeight="1">
      <c r="A3" s="37" t="s">
        <v>432</v>
      </c>
      <c r="B3" s="37" t="s">
        <v>433</v>
      </c>
      <c r="C3" s="37" t="s">
        <v>88</v>
      </c>
      <c r="D3" s="37" t="s">
        <v>125</v>
      </c>
      <c r="E3" s="26" t="s">
        <v>3235</v>
      </c>
      <c r="F3" s="37" t="s">
        <v>209</v>
      </c>
      <c r="G3" s="37" t="s">
        <v>49</v>
      </c>
      <c r="H3" s="26" t="s">
        <v>3236</v>
      </c>
      <c r="I3" s="26" t="s">
        <v>3237</v>
      </c>
      <c r="J3" s="26" t="s">
        <v>3238</v>
      </c>
      <c r="K3" s="26" t="s">
        <v>3239</v>
      </c>
      <c r="L3" s="26" t="s">
        <v>1764</v>
      </c>
      <c r="M3" s="26" t="s">
        <v>3240</v>
      </c>
      <c r="N3" s="26" t="s">
        <v>931</v>
      </c>
      <c r="O3" s="26" t="s">
        <v>2216</v>
      </c>
      <c r="P3" s="37"/>
      <c r="Q3" s="26" t="s">
        <v>2216</v>
      </c>
      <c r="R3" s="26" t="s">
        <v>963</v>
      </c>
      <c r="S3" s="26" t="s">
        <v>3241</v>
      </c>
      <c r="T3" s="26" t="s">
        <v>3242</v>
      </c>
      <c r="U3" s="26" t="s">
        <v>3243</v>
      </c>
      <c r="V3" s="26" t="s">
        <v>3243</v>
      </c>
      <c r="W3" s="26" t="s">
        <v>3244</v>
      </c>
    </row>
    <row r="4" ht="14.25" customHeight="1">
      <c r="A4" s="37" t="s">
        <v>435</v>
      </c>
      <c r="B4" s="37" t="s">
        <v>436</v>
      </c>
      <c r="C4" s="37" t="s">
        <v>88</v>
      </c>
      <c r="D4" s="37" t="s">
        <v>256</v>
      </c>
      <c r="E4" s="37" t="s">
        <v>101</v>
      </c>
      <c r="F4" s="37" t="s">
        <v>102</v>
      </c>
      <c r="G4" s="37" t="s">
        <v>49</v>
      </c>
      <c r="H4" s="26" t="s">
        <v>3245</v>
      </c>
      <c r="I4" s="26" t="s">
        <v>3246</v>
      </c>
      <c r="J4" s="26" t="s">
        <v>3247</v>
      </c>
      <c r="K4" s="26" t="s">
        <v>3239</v>
      </c>
      <c r="L4" s="26" t="s">
        <v>3248</v>
      </c>
      <c r="M4" s="26" t="s">
        <v>3249</v>
      </c>
      <c r="N4" s="26" t="s">
        <v>931</v>
      </c>
      <c r="O4" s="26" t="s">
        <v>2216</v>
      </c>
      <c r="P4" s="37"/>
      <c r="Q4" s="26" t="s">
        <v>2216</v>
      </c>
      <c r="R4" s="26" t="s">
        <v>963</v>
      </c>
      <c r="S4" s="26" t="s">
        <v>3250</v>
      </c>
      <c r="T4" s="26" t="s">
        <v>3251</v>
      </c>
      <c r="U4" s="26" t="s">
        <v>3252</v>
      </c>
      <c r="V4" s="26" t="s">
        <v>3253</v>
      </c>
      <c r="W4" s="26" t="s">
        <v>3244</v>
      </c>
    </row>
    <row r="5" ht="14.25" customHeight="1">
      <c r="A5" s="37" t="s">
        <v>437</v>
      </c>
      <c r="B5" s="37" t="s">
        <v>438</v>
      </c>
      <c r="C5" s="37" t="s">
        <v>88</v>
      </c>
      <c r="D5" s="37" t="s">
        <v>264</v>
      </c>
      <c r="E5" s="37" t="s">
        <v>439</v>
      </c>
      <c r="F5" s="37" t="s">
        <v>440</v>
      </c>
      <c r="G5" s="37" t="s">
        <v>49</v>
      </c>
      <c r="H5" s="26" t="s">
        <v>3254</v>
      </c>
      <c r="I5" s="26" t="s">
        <v>3255</v>
      </c>
      <c r="J5" s="26" t="s">
        <v>3256</v>
      </c>
      <c r="K5" s="26" t="s">
        <v>3257</v>
      </c>
      <c r="L5" s="26" t="s">
        <v>3258</v>
      </c>
      <c r="M5" s="26" t="s">
        <v>3259</v>
      </c>
      <c r="N5" s="26" t="s">
        <v>931</v>
      </c>
      <c r="O5" s="26" t="s">
        <v>2216</v>
      </c>
      <c r="P5" s="37"/>
      <c r="Q5" s="26" t="s">
        <v>2216</v>
      </c>
      <c r="R5" s="26" t="s">
        <v>963</v>
      </c>
      <c r="S5" s="26" t="s">
        <v>3260</v>
      </c>
      <c r="T5" s="26" t="s">
        <v>3261</v>
      </c>
      <c r="U5" s="26" t="s">
        <v>3243</v>
      </c>
      <c r="V5" s="26" t="s">
        <v>3262</v>
      </c>
      <c r="W5" s="26" t="s">
        <v>3263</v>
      </c>
      <c r="X5" s="26" t="s">
        <v>931</v>
      </c>
    </row>
    <row r="6" ht="14.25" customHeight="1">
      <c r="A6" s="37" t="s">
        <v>441</v>
      </c>
      <c r="B6" s="37" t="s">
        <v>442</v>
      </c>
      <c r="C6" s="37" t="s">
        <v>88</v>
      </c>
      <c r="D6" s="37" t="s">
        <v>443</v>
      </c>
      <c r="E6" s="37" t="s">
        <v>444</v>
      </c>
      <c r="F6" s="37" t="s">
        <v>445</v>
      </c>
      <c r="G6" s="37" t="s">
        <v>49</v>
      </c>
      <c r="H6" s="26" t="s">
        <v>3236</v>
      </c>
      <c r="I6" s="26" t="s">
        <v>3264</v>
      </c>
      <c r="J6" s="26" t="s">
        <v>3265</v>
      </c>
      <c r="K6" s="26" t="s">
        <v>3266</v>
      </c>
      <c r="L6" s="26" t="s">
        <v>3267</v>
      </c>
      <c r="M6" s="26" t="s">
        <v>3268</v>
      </c>
      <c r="N6" s="26" t="s">
        <v>931</v>
      </c>
      <c r="O6" s="26" t="s">
        <v>2216</v>
      </c>
      <c r="P6" s="37"/>
      <c r="Q6" s="26" t="s">
        <v>2216</v>
      </c>
      <c r="R6" s="26" t="s">
        <v>963</v>
      </c>
      <c r="S6" s="26" t="s">
        <v>3269</v>
      </c>
      <c r="T6" s="26" t="s">
        <v>3270</v>
      </c>
      <c r="U6" s="26" t="s">
        <v>3271</v>
      </c>
      <c r="V6" s="26" t="s">
        <v>3272</v>
      </c>
      <c r="W6" s="26" t="s">
        <v>3273</v>
      </c>
      <c r="X6" s="26" t="s">
        <v>931</v>
      </c>
    </row>
    <row r="7" ht="14.25" customHeight="1">
      <c r="A7" s="37" t="s">
        <v>446</v>
      </c>
      <c r="B7" s="37" t="s">
        <v>447</v>
      </c>
      <c r="C7" s="37" t="s">
        <v>88</v>
      </c>
      <c r="D7" s="37" t="s">
        <v>187</v>
      </c>
      <c r="E7" s="37" t="s">
        <v>448</v>
      </c>
      <c r="F7" s="37" t="s">
        <v>189</v>
      </c>
      <c r="G7" s="37" t="s">
        <v>49</v>
      </c>
      <c r="H7" s="26" t="s">
        <v>3274</v>
      </c>
      <c r="I7" s="26" t="s">
        <v>3275</v>
      </c>
      <c r="J7" s="26" t="s">
        <v>3276</v>
      </c>
      <c r="K7" s="26" t="s">
        <v>3277</v>
      </c>
      <c r="L7" s="26" t="s">
        <v>3278</v>
      </c>
      <c r="M7" s="26" t="s">
        <v>3279</v>
      </c>
      <c r="N7" s="26" t="s">
        <v>931</v>
      </c>
      <c r="O7" s="26" t="s">
        <v>2216</v>
      </c>
      <c r="P7" s="37"/>
      <c r="Q7" s="26" t="s">
        <v>2216</v>
      </c>
      <c r="R7" s="26" t="s">
        <v>963</v>
      </c>
      <c r="S7" s="26" t="s">
        <v>3280</v>
      </c>
      <c r="T7" s="26" t="s">
        <v>3281</v>
      </c>
      <c r="U7" s="26" t="s">
        <v>3282</v>
      </c>
      <c r="V7" s="26" t="s">
        <v>3283</v>
      </c>
      <c r="W7" s="26" t="s">
        <v>3284</v>
      </c>
      <c r="X7" s="26" t="s">
        <v>931</v>
      </c>
    </row>
    <row r="8" ht="14.25" customHeight="1">
      <c r="A8" s="37" t="s">
        <v>449</v>
      </c>
      <c r="B8" s="37" t="s">
        <v>450</v>
      </c>
      <c r="C8" s="37" t="s">
        <v>88</v>
      </c>
      <c r="D8" s="37" t="s">
        <v>179</v>
      </c>
      <c r="E8" s="37" t="s">
        <v>451</v>
      </c>
      <c r="F8" s="37" t="s">
        <v>280</v>
      </c>
      <c r="G8" s="37" t="s">
        <v>49</v>
      </c>
      <c r="H8" s="26" t="s">
        <v>3285</v>
      </c>
      <c r="I8" s="26" t="s">
        <v>3286</v>
      </c>
      <c r="J8" s="26" t="s">
        <v>3287</v>
      </c>
      <c r="K8" s="26" t="s">
        <v>3288</v>
      </c>
      <c r="L8" s="26" t="s">
        <v>3289</v>
      </c>
      <c r="M8" s="26" t="s">
        <v>3290</v>
      </c>
      <c r="N8" s="26" t="s">
        <v>3291</v>
      </c>
      <c r="O8" s="26" t="s">
        <v>2216</v>
      </c>
      <c r="P8" s="37"/>
      <c r="Q8" s="26" t="s">
        <v>2216</v>
      </c>
      <c r="R8" s="26" t="s">
        <v>963</v>
      </c>
      <c r="S8" s="26" t="s">
        <v>3292</v>
      </c>
      <c r="T8" s="26" t="s">
        <v>3293</v>
      </c>
      <c r="U8" s="26" t="s">
        <v>3294</v>
      </c>
      <c r="V8" s="26" t="s">
        <v>3295</v>
      </c>
      <c r="W8" s="26" t="s">
        <v>3296</v>
      </c>
      <c r="X8" s="26" t="s">
        <v>963</v>
      </c>
    </row>
    <row r="9" ht="14.25" customHeight="1">
      <c r="A9" s="37" t="s">
        <v>452</v>
      </c>
      <c r="B9" s="37" t="s">
        <v>453</v>
      </c>
      <c r="C9" s="37" t="s">
        <v>88</v>
      </c>
      <c r="D9" s="37" t="s">
        <v>454</v>
      </c>
      <c r="E9" s="37" t="s">
        <v>455</v>
      </c>
      <c r="F9" s="37" t="s">
        <v>456</v>
      </c>
      <c r="G9" s="37" t="s">
        <v>49</v>
      </c>
      <c r="H9" s="26" t="s">
        <v>3297</v>
      </c>
      <c r="I9" s="26" t="s">
        <v>3298</v>
      </c>
      <c r="J9" s="26" t="s">
        <v>3299</v>
      </c>
      <c r="K9" s="26" t="s">
        <v>3300</v>
      </c>
      <c r="L9" s="26" t="s">
        <v>3301</v>
      </c>
      <c r="M9" s="26" t="s">
        <v>3302</v>
      </c>
      <c r="N9" s="26" t="s">
        <v>3303</v>
      </c>
      <c r="O9" s="26" t="s">
        <v>2216</v>
      </c>
      <c r="P9" s="37"/>
      <c r="Q9" s="26" t="s">
        <v>2216</v>
      </c>
      <c r="R9" s="26" t="s">
        <v>963</v>
      </c>
      <c r="S9" s="26" t="s">
        <v>3304</v>
      </c>
      <c r="T9" s="26" t="s">
        <v>3305</v>
      </c>
      <c r="U9" s="26" t="s">
        <v>3306</v>
      </c>
      <c r="V9" s="26" t="s">
        <v>3307</v>
      </c>
      <c r="W9" s="26" t="s">
        <v>3308</v>
      </c>
      <c r="X9" s="26" t="s">
        <v>963</v>
      </c>
    </row>
    <row r="10" ht="14.25" customHeight="1">
      <c r="A10" s="37" t="s">
        <v>457</v>
      </c>
      <c r="B10" s="37" t="s">
        <v>458</v>
      </c>
      <c r="C10" s="37" t="s">
        <v>88</v>
      </c>
      <c r="D10" s="37" t="s">
        <v>422</v>
      </c>
      <c r="E10" s="37" t="s">
        <v>162</v>
      </c>
      <c r="F10" s="37" t="s">
        <v>176</v>
      </c>
      <c r="G10" s="37" t="s">
        <v>49</v>
      </c>
      <c r="H10" s="26" t="s">
        <v>3309</v>
      </c>
      <c r="I10" s="26" t="s">
        <v>3310</v>
      </c>
      <c r="J10" s="26" t="s">
        <v>3311</v>
      </c>
      <c r="K10" s="26" t="s">
        <v>3312</v>
      </c>
      <c r="L10" s="26" t="s">
        <v>3313</v>
      </c>
      <c r="M10" s="26" t="s">
        <v>3314</v>
      </c>
      <c r="N10" s="26" t="s">
        <v>931</v>
      </c>
      <c r="O10" s="26" t="s">
        <v>2216</v>
      </c>
      <c r="P10" s="37"/>
      <c r="Q10" s="26" t="s">
        <v>2216</v>
      </c>
      <c r="R10" s="26" t="s">
        <v>963</v>
      </c>
      <c r="S10" s="26" t="s">
        <v>3315</v>
      </c>
      <c r="T10" s="26" t="s">
        <v>3316</v>
      </c>
      <c r="U10" s="26" t="s">
        <v>3317</v>
      </c>
      <c r="V10" s="26" t="s">
        <v>3318</v>
      </c>
      <c r="W10" s="26" t="s">
        <v>3308</v>
      </c>
      <c r="X10" s="26" t="s">
        <v>931</v>
      </c>
    </row>
    <row r="11" ht="14.25" customHeight="1">
      <c r="A11" s="37" t="s">
        <v>459</v>
      </c>
      <c r="B11" s="37" t="s">
        <v>460</v>
      </c>
      <c r="C11" s="37" t="s">
        <v>88</v>
      </c>
      <c r="D11" s="37" t="s">
        <v>461</v>
      </c>
      <c r="E11" s="37" t="s">
        <v>462</v>
      </c>
      <c r="F11" s="37" t="s">
        <v>463</v>
      </c>
      <c r="G11" s="37" t="s">
        <v>49</v>
      </c>
      <c r="H11" s="26" t="s">
        <v>3319</v>
      </c>
      <c r="I11" s="26" t="s">
        <v>3320</v>
      </c>
      <c r="J11" s="26" t="s">
        <v>3321</v>
      </c>
      <c r="K11" s="26" t="s">
        <v>3322</v>
      </c>
      <c r="L11" s="26" t="s">
        <v>3323</v>
      </c>
      <c r="M11" s="26" t="s">
        <v>3324</v>
      </c>
      <c r="N11" s="26" t="s">
        <v>931</v>
      </c>
      <c r="O11" s="26" t="s">
        <v>2216</v>
      </c>
      <c r="P11" s="37"/>
      <c r="Q11" s="26" t="s">
        <v>2216</v>
      </c>
      <c r="R11" s="26" t="s">
        <v>963</v>
      </c>
      <c r="S11" s="26" t="s">
        <v>3325</v>
      </c>
      <c r="T11" s="26" t="s">
        <v>3326</v>
      </c>
      <c r="U11" s="26" t="s">
        <v>3327</v>
      </c>
      <c r="V11" s="26" t="s">
        <v>3328</v>
      </c>
      <c r="W11" s="26" t="s">
        <v>3308</v>
      </c>
      <c r="X11" s="26" t="s">
        <v>931</v>
      </c>
    </row>
    <row r="12" ht="14.25" customHeight="1">
      <c r="A12" s="37" t="s">
        <v>464</v>
      </c>
      <c r="B12" s="37" t="s">
        <v>465</v>
      </c>
      <c r="C12" s="37" t="s">
        <v>88</v>
      </c>
      <c r="D12" s="37" t="s">
        <v>413</v>
      </c>
      <c r="E12" s="37" t="s">
        <v>466</v>
      </c>
      <c r="F12" s="37" t="s">
        <v>398</v>
      </c>
      <c r="G12" s="37" t="s">
        <v>49</v>
      </c>
      <c r="H12" s="26" t="s">
        <v>3329</v>
      </c>
      <c r="I12" s="26" t="s">
        <v>3330</v>
      </c>
      <c r="J12" s="26" t="s">
        <v>3331</v>
      </c>
      <c r="K12" s="26" t="s">
        <v>3332</v>
      </c>
      <c r="L12" s="26" t="s">
        <v>3333</v>
      </c>
      <c r="M12" s="26" t="s">
        <v>3334</v>
      </c>
      <c r="N12" s="26" t="s">
        <v>931</v>
      </c>
      <c r="O12" s="26" t="s">
        <v>2216</v>
      </c>
      <c r="P12" s="37"/>
      <c r="Q12" s="26" t="s">
        <v>2216</v>
      </c>
      <c r="R12" s="26" t="s">
        <v>963</v>
      </c>
      <c r="S12" s="26" t="s">
        <v>3335</v>
      </c>
      <c r="T12" s="26" t="s">
        <v>3336</v>
      </c>
      <c r="U12" s="26" t="s">
        <v>3337</v>
      </c>
      <c r="V12" s="26" t="s">
        <v>3338</v>
      </c>
      <c r="W12" s="26" t="s">
        <v>3308</v>
      </c>
      <c r="X12" s="26" t="s">
        <v>931</v>
      </c>
    </row>
    <row r="13" ht="14.25" customHeight="1">
      <c r="A13" s="315" t="s">
        <v>467</v>
      </c>
      <c r="B13" s="315" t="s">
        <v>468</v>
      </c>
      <c r="C13" s="315" t="s">
        <v>88</v>
      </c>
      <c r="D13" s="315" t="s">
        <v>469</v>
      </c>
      <c r="E13" s="315" t="s">
        <v>470</v>
      </c>
      <c r="F13" s="315" t="s">
        <v>471</v>
      </c>
      <c r="G13" s="315" t="s">
        <v>49</v>
      </c>
      <c r="H13" s="316" t="s">
        <v>3339</v>
      </c>
      <c r="I13" s="316" t="s">
        <v>3340</v>
      </c>
      <c r="J13" s="316" t="s">
        <v>3341</v>
      </c>
      <c r="K13" s="316" t="s">
        <v>3342</v>
      </c>
      <c r="L13" s="316" t="s">
        <v>3343</v>
      </c>
      <c r="M13" s="316" t="s">
        <v>3344</v>
      </c>
      <c r="N13" s="316" t="s">
        <v>963</v>
      </c>
      <c r="O13" s="316" t="s">
        <v>3345</v>
      </c>
      <c r="P13" s="316" t="s">
        <v>2979</v>
      </c>
      <c r="Q13" s="316" t="s">
        <v>2216</v>
      </c>
      <c r="R13" s="316" t="s">
        <v>963</v>
      </c>
      <c r="S13" s="316" t="s">
        <v>3346</v>
      </c>
      <c r="T13" s="316" t="s">
        <v>3347</v>
      </c>
      <c r="U13" s="316" t="s">
        <v>3348</v>
      </c>
      <c r="V13" s="316" t="s">
        <v>3349</v>
      </c>
      <c r="W13" s="316" t="s">
        <v>2495</v>
      </c>
      <c r="X13" s="316" t="s">
        <v>931</v>
      </c>
      <c r="Y13" s="315"/>
      <c r="Z13" s="315"/>
      <c r="AA13" s="315"/>
      <c r="AB13" s="315"/>
      <c r="AC13" s="315"/>
      <c r="AD13" s="315"/>
    </row>
    <row r="14" ht="14.25" customHeight="1">
      <c r="A14" s="37" t="s">
        <v>472</v>
      </c>
      <c r="B14" s="37" t="s">
        <v>473</v>
      </c>
      <c r="C14" s="37" t="s">
        <v>88</v>
      </c>
      <c r="D14" s="37" t="s">
        <v>353</v>
      </c>
      <c r="F14" s="37" t="s">
        <v>474</v>
      </c>
      <c r="G14" s="37" t="s">
        <v>49</v>
      </c>
      <c r="H14" s="26" t="s">
        <v>3350</v>
      </c>
      <c r="I14" s="26" t="s">
        <v>3351</v>
      </c>
      <c r="J14" s="26" t="s">
        <v>3352</v>
      </c>
      <c r="K14" s="26" t="s">
        <v>3353</v>
      </c>
      <c r="L14" s="26" t="s">
        <v>3354</v>
      </c>
      <c r="M14" s="26" t="s">
        <v>3355</v>
      </c>
      <c r="N14" s="26" t="s">
        <v>931</v>
      </c>
      <c r="O14" s="26" t="s">
        <v>2216</v>
      </c>
      <c r="P14" s="37"/>
      <c r="Q14" s="26" t="s">
        <v>2216</v>
      </c>
      <c r="R14" s="26" t="s">
        <v>963</v>
      </c>
      <c r="S14" s="26" t="s">
        <v>3356</v>
      </c>
      <c r="T14" s="26" t="s">
        <v>3357</v>
      </c>
      <c r="U14" s="26" t="s">
        <v>3358</v>
      </c>
      <c r="V14" s="26" t="s">
        <v>3359</v>
      </c>
      <c r="W14" s="26" t="s">
        <v>3308</v>
      </c>
      <c r="X14" s="26" t="s">
        <v>931</v>
      </c>
    </row>
    <row r="15" ht="14.25" customHeight="1">
      <c r="A15" s="37" t="s">
        <v>475</v>
      </c>
      <c r="B15" s="37" t="s">
        <v>476</v>
      </c>
      <c r="C15" s="37" t="s">
        <v>88</v>
      </c>
      <c r="D15" s="37" t="s">
        <v>477</v>
      </c>
      <c r="E15" s="37" t="s">
        <v>101</v>
      </c>
      <c r="F15" s="37" t="s">
        <v>478</v>
      </c>
      <c r="G15" s="37" t="s">
        <v>49</v>
      </c>
      <c r="H15" s="26" t="s">
        <v>3360</v>
      </c>
      <c r="I15" s="26" t="s">
        <v>3361</v>
      </c>
      <c r="J15" s="26" t="s">
        <v>3362</v>
      </c>
      <c r="K15" s="26" t="s">
        <v>3363</v>
      </c>
      <c r="L15" s="26" t="s">
        <v>3364</v>
      </c>
      <c r="M15" s="26" t="s">
        <v>3365</v>
      </c>
      <c r="N15" s="26" t="s">
        <v>931</v>
      </c>
      <c r="O15" s="26" t="s">
        <v>2216</v>
      </c>
      <c r="P15" s="37"/>
      <c r="Q15" s="26" t="s">
        <v>2216</v>
      </c>
      <c r="R15" s="26" t="s">
        <v>963</v>
      </c>
      <c r="S15" s="26" t="s">
        <v>3366</v>
      </c>
      <c r="T15" s="26" t="s">
        <v>3367</v>
      </c>
      <c r="U15" s="26" t="s">
        <v>3368</v>
      </c>
      <c r="V15" s="26" t="s">
        <v>3369</v>
      </c>
      <c r="W15" s="26" t="s">
        <v>3308</v>
      </c>
      <c r="X15" s="26" t="s">
        <v>931</v>
      </c>
    </row>
    <row r="16" ht="14.25" customHeight="1">
      <c r="A16" s="37" t="s">
        <v>486</v>
      </c>
      <c r="B16" s="37" t="s">
        <v>487</v>
      </c>
      <c r="C16" s="37" t="s">
        <v>88</v>
      </c>
      <c r="D16" s="37" t="s">
        <v>488</v>
      </c>
      <c r="E16" s="37" t="s">
        <v>137</v>
      </c>
      <c r="F16" s="37" t="s">
        <v>489</v>
      </c>
      <c r="G16" s="37" t="s">
        <v>49</v>
      </c>
      <c r="H16" s="26" t="s">
        <v>3370</v>
      </c>
      <c r="I16" s="26" t="s">
        <v>3371</v>
      </c>
      <c r="J16" s="26" t="s">
        <v>3372</v>
      </c>
      <c r="K16" s="26" t="s">
        <v>3373</v>
      </c>
      <c r="L16" s="26" t="s">
        <v>3374</v>
      </c>
      <c r="M16" s="26" t="s">
        <v>3375</v>
      </c>
      <c r="N16" s="26" t="s">
        <v>931</v>
      </c>
      <c r="O16" s="26" t="s">
        <v>2216</v>
      </c>
      <c r="P16" s="37"/>
      <c r="Q16" s="26" t="s">
        <v>2216</v>
      </c>
      <c r="R16" s="26" t="s">
        <v>963</v>
      </c>
      <c r="S16" s="26" t="s">
        <v>3376</v>
      </c>
      <c r="T16" s="26" t="s">
        <v>3377</v>
      </c>
      <c r="U16" s="26" t="s">
        <v>3378</v>
      </c>
      <c r="V16" s="26" t="s">
        <v>3379</v>
      </c>
      <c r="W16" s="26" t="s">
        <v>3380</v>
      </c>
      <c r="X16" s="26" t="s">
        <v>931</v>
      </c>
    </row>
    <row r="17" ht="14.25" customHeight="1">
      <c r="A17" s="37" t="s">
        <v>490</v>
      </c>
      <c r="B17" s="37" t="s">
        <v>491</v>
      </c>
      <c r="C17" s="37" t="s">
        <v>88</v>
      </c>
      <c r="D17" s="37" t="s">
        <v>492</v>
      </c>
      <c r="E17" s="37" t="s">
        <v>90</v>
      </c>
      <c r="F17" s="37" t="s">
        <v>493</v>
      </c>
      <c r="G17" s="37" t="s">
        <v>49</v>
      </c>
      <c r="H17" s="26" t="s">
        <v>3381</v>
      </c>
      <c r="I17" s="26" t="s">
        <v>3382</v>
      </c>
      <c r="J17" s="26" t="s">
        <v>3383</v>
      </c>
      <c r="K17" s="26" t="s">
        <v>3384</v>
      </c>
      <c r="L17" s="26" t="s">
        <v>3385</v>
      </c>
      <c r="M17" s="26" t="s">
        <v>3386</v>
      </c>
      <c r="N17" s="26" t="s">
        <v>931</v>
      </c>
      <c r="O17" s="26" t="s">
        <v>2216</v>
      </c>
      <c r="P17" s="37"/>
      <c r="Q17" s="26" t="s">
        <v>2216</v>
      </c>
      <c r="R17" s="26" t="s">
        <v>963</v>
      </c>
      <c r="S17" s="26" t="s">
        <v>3387</v>
      </c>
      <c r="T17" s="26" t="s">
        <v>3388</v>
      </c>
      <c r="U17" s="26" t="s">
        <v>3389</v>
      </c>
      <c r="V17" s="26" t="s">
        <v>3390</v>
      </c>
      <c r="W17" s="26" t="s">
        <v>3308</v>
      </c>
      <c r="X17" s="26" t="s">
        <v>931</v>
      </c>
    </row>
    <row r="18" ht="14.25" customHeight="1">
      <c r="A18" s="37" t="s">
        <v>494</v>
      </c>
      <c r="B18" s="37" t="s">
        <v>495</v>
      </c>
      <c r="C18" s="37" t="s">
        <v>88</v>
      </c>
      <c r="D18" s="37" t="s">
        <v>290</v>
      </c>
      <c r="E18" s="37" t="s">
        <v>162</v>
      </c>
      <c r="F18" s="37" t="s">
        <v>496</v>
      </c>
      <c r="G18" s="37" t="s">
        <v>49</v>
      </c>
      <c r="H18" s="26" t="s">
        <v>3391</v>
      </c>
      <c r="I18" s="26" t="s">
        <v>3392</v>
      </c>
      <c r="J18" s="26" t="s">
        <v>3393</v>
      </c>
      <c r="K18" s="26" t="s">
        <v>3394</v>
      </c>
      <c r="L18" s="26" t="s">
        <v>3395</v>
      </c>
      <c r="M18" s="26" t="s">
        <v>3396</v>
      </c>
      <c r="N18" s="26" t="s">
        <v>931</v>
      </c>
      <c r="O18" s="26" t="s">
        <v>2216</v>
      </c>
      <c r="P18" s="37"/>
      <c r="Q18" s="26" t="s">
        <v>2216</v>
      </c>
      <c r="R18" s="26" t="s">
        <v>963</v>
      </c>
      <c r="S18" s="26" t="s">
        <v>3397</v>
      </c>
      <c r="T18" s="26" t="s">
        <v>3398</v>
      </c>
      <c r="U18" s="26" t="s">
        <v>3399</v>
      </c>
      <c r="V18" s="26" t="s">
        <v>3400</v>
      </c>
      <c r="W18" s="26" t="s">
        <v>3296</v>
      </c>
      <c r="X18" s="26" t="s">
        <v>963</v>
      </c>
    </row>
    <row r="19" ht="14.25" customHeight="1">
      <c r="A19" s="37" t="s">
        <v>497</v>
      </c>
      <c r="B19" s="37" t="s">
        <v>498</v>
      </c>
      <c r="C19" s="37" t="s">
        <v>88</v>
      </c>
      <c r="D19" s="37" t="s">
        <v>122</v>
      </c>
      <c r="E19" s="37" t="s">
        <v>137</v>
      </c>
      <c r="F19" s="37" t="s">
        <v>102</v>
      </c>
      <c r="G19" s="37" t="s">
        <v>49</v>
      </c>
      <c r="H19" s="26" t="s">
        <v>3401</v>
      </c>
      <c r="I19" s="26" t="s">
        <v>3402</v>
      </c>
      <c r="J19" s="26" t="s">
        <v>3403</v>
      </c>
      <c r="K19" s="26" t="s">
        <v>3404</v>
      </c>
      <c r="L19" s="26" t="s">
        <v>3405</v>
      </c>
      <c r="M19" s="26" t="s">
        <v>3406</v>
      </c>
      <c r="N19" s="26" t="s">
        <v>931</v>
      </c>
      <c r="O19" s="26" t="s">
        <v>2216</v>
      </c>
      <c r="P19" s="37"/>
      <c r="Q19" s="26" t="s">
        <v>2216</v>
      </c>
      <c r="R19" s="26" t="s">
        <v>963</v>
      </c>
      <c r="S19" s="26" t="s">
        <v>3407</v>
      </c>
      <c r="T19" s="26" t="s">
        <v>3408</v>
      </c>
      <c r="U19" s="26" t="s">
        <v>3409</v>
      </c>
      <c r="V19" s="26" t="s">
        <v>3410</v>
      </c>
      <c r="W19" s="26" t="s">
        <v>3308</v>
      </c>
      <c r="X19" s="26" t="s">
        <v>931</v>
      </c>
    </row>
    <row r="20" ht="14.25" customHeight="1">
      <c r="A20" s="37" t="s">
        <v>499</v>
      </c>
      <c r="B20" s="37" t="s">
        <v>500</v>
      </c>
      <c r="C20" s="37" t="s">
        <v>88</v>
      </c>
      <c r="D20" s="37" t="s">
        <v>501</v>
      </c>
      <c r="F20" s="37" t="s">
        <v>502</v>
      </c>
      <c r="G20" s="37" t="s">
        <v>49</v>
      </c>
      <c r="H20" s="26" t="s">
        <v>3411</v>
      </c>
      <c r="I20" s="26" t="s">
        <v>3412</v>
      </c>
      <c r="J20" s="26" t="s">
        <v>3413</v>
      </c>
      <c r="K20" s="26" t="s">
        <v>3414</v>
      </c>
      <c r="L20" s="26" t="s">
        <v>3415</v>
      </c>
      <c r="M20" s="26" t="s">
        <v>3416</v>
      </c>
      <c r="N20" s="26" t="s">
        <v>931</v>
      </c>
      <c r="O20" s="26" t="s">
        <v>2216</v>
      </c>
      <c r="P20" s="37"/>
      <c r="Q20" s="26" t="s">
        <v>2216</v>
      </c>
      <c r="R20" s="26" t="s">
        <v>963</v>
      </c>
      <c r="S20" s="26" t="s">
        <v>3417</v>
      </c>
      <c r="T20" s="26" t="s">
        <v>3418</v>
      </c>
      <c r="U20" s="26" t="s">
        <v>3419</v>
      </c>
      <c r="V20" s="26" t="s">
        <v>3420</v>
      </c>
      <c r="W20" s="26" t="s">
        <v>3421</v>
      </c>
      <c r="X20" s="26" t="s">
        <v>931</v>
      </c>
    </row>
    <row r="21" ht="14.25" customHeight="1">
      <c r="A21" s="39" t="s">
        <v>614</v>
      </c>
      <c r="B21" s="39" t="s">
        <v>615</v>
      </c>
      <c r="C21" s="40" t="s">
        <v>616</v>
      </c>
      <c r="D21" s="39" t="s">
        <v>617</v>
      </c>
      <c r="E21" s="39" t="s">
        <v>618</v>
      </c>
      <c r="F21" s="39" t="s">
        <v>619</v>
      </c>
      <c r="G21" s="39" t="s">
        <v>49</v>
      </c>
      <c r="H21" s="39" t="s">
        <v>3422</v>
      </c>
      <c r="I21" s="39" t="s">
        <v>3423</v>
      </c>
      <c r="J21" s="39" t="s">
        <v>3424</v>
      </c>
      <c r="K21" s="26" t="s">
        <v>3425</v>
      </c>
      <c r="L21" s="26" t="s">
        <v>3426</v>
      </c>
      <c r="M21" s="26" t="s">
        <v>3427</v>
      </c>
      <c r="N21" s="26" t="s">
        <v>931</v>
      </c>
      <c r="O21" s="26" t="s">
        <v>2216</v>
      </c>
      <c r="P21" s="26" t="s">
        <v>2216</v>
      </c>
      <c r="Q21" s="26" t="s">
        <v>2216</v>
      </c>
      <c r="R21" s="26" t="s">
        <v>963</v>
      </c>
      <c r="S21" s="26" t="s">
        <v>3428</v>
      </c>
      <c r="T21" s="26" t="s">
        <v>3429</v>
      </c>
      <c r="U21" s="26" t="s">
        <v>3430</v>
      </c>
      <c r="V21" s="26" t="s">
        <v>3431</v>
      </c>
      <c r="W21" s="26" t="s">
        <v>3296</v>
      </c>
      <c r="X21" s="26" t="s">
        <v>963</v>
      </c>
    </row>
    <row r="22" ht="14.25" customHeight="1">
      <c r="A22" s="39" t="s">
        <v>621</v>
      </c>
      <c r="B22" s="39" t="s">
        <v>622</v>
      </c>
      <c r="C22" s="40" t="s">
        <v>616</v>
      </c>
      <c r="D22" s="39" t="s">
        <v>623</v>
      </c>
      <c r="E22" s="39" t="s">
        <v>624</v>
      </c>
      <c r="F22" s="39" t="s">
        <v>189</v>
      </c>
      <c r="G22" s="39" t="s">
        <v>49</v>
      </c>
      <c r="H22" s="39" t="s">
        <v>3432</v>
      </c>
      <c r="I22" s="39" t="s">
        <v>3433</v>
      </c>
      <c r="J22" s="39" t="s">
        <v>3434</v>
      </c>
      <c r="K22" s="26" t="s">
        <v>3435</v>
      </c>
      <c r="L22" s="26" t="s">
        <v>3436</v>
      </c>
      <c r="M22" s="26" t="s">
        <v>3437</v>
      </c>
      <c r="N22" s="26" t="s">
        <v>931</v>
      </c>
      <c r="O22" s="26" t="s">
        <v>2216</v>
      </c>
      <c r="P22" s="26" t="s">
        <v>2216</v>
      </c>
      <c r="Q22" s="26" t="s">
        <v>2216</v>
      </c>
      <c r="R22" s="26" t="s">
        <v>963</v>
      </c>
      <c r="S22" s="26" t="s">
        <v>3438</v>
      </c>
      <c r="T22" s="26" t="s">
        <v>3439</v>
      </c>
      <c r="U22" s="26" t="s">
        <v>3440</v>
      </c>
      <c r="V22" s="26" t="s">
        <v>3441</v>
      </c>
      <c r="W22" s="26" t="s">
        <v>3308</v>
      </c>
      <c r="X22" s="26" t="s">
        <v>931</v>
      </c>
    </row>
    <row r="23" ht="14.25" customHeight="1">
      <c r="A23" s="39" t="s">
        <v>625</v>
      </c>
      <c r="B23" s="39" t="s">
        <v>626</v>
      </c>
      <c r="C23" s="40" t="s">
        <v>616</v>
      </c>
      <c r="D23" s="39" t="s">
        <v>409</v>
      </c>
      <c r="E23" s="39" t="s">
        <v>101</v>
      </c>
      <c r="F23" s="39" t="s">
        <v>627</v>
      </c>
      <c r="G23" s="39" t="s">
        <v>49</v>
      </c>
      <c r="H23" s="39" t="s">
        <v>3442</v>
      </c>
      <c r="I23" s="39" t="s">
        <v>3443</v>
      </c>
      <c r="J23" s="39" t="s">
        <v>3444</v>
      </c>
      <c r="K23" s="26" t="s">
        <v>3445</v>
      </c>
      <c r="L23" s="26" t="s">
        <v>3446</v>
      </c>
      <c r="M23" s="26" t="s">
        <v>3447</v>
      </c>
      <c r="N23" s="26" t="s">
        <v>931</v>
      </c>
      <c r="O23" s="26" t="s">
        <v>2216</v>
      </c>
      <c r="P23" s="26" t="s">
        <v>2216</v>
      </c>
      <c r="R23" s="26" t="s">
        <v>963</v>
      </c>
      <c r="S23" s="26" t="s">
        <v>3448</v>
      </c>
      <c r="T23" s="26" t="s">
        <v>3449</v>
      </c>
      <c r="U23" s="26" t="s">
        <v>3450</v>
      </c>
      <c r="V23" s="26" t="s">
        <v>3451</v>
      </c>
      <c r="W23" s="26" t="s">
        <v>3308</v>
      </c>
      <c r="X23" s="26" t="s">
        <v>931</v>
      </c>
    </row>
    <row r="24" ht="14.25" customHeight="1">
      <c r="A24" s="39" t="s">
        <v>727</v>
      </c>
      <c r="B24" s="39" t="s">
        <v>728</v>
      </c>
      <c r="C24" s="40" t="s">
        <v>616</v>
      </c>
      <c r="D24" s="39" t="s">
        <v>729</v>
      </c>
      <c r="E24" s="39" t="s">
        <v>730</v>
      </c>
      <c r="F24" s="39" t="s">
        <v>209</v>
      </c>
      <c r="G24" s="39" t="s">
        <v>49</v>
      </c>
      <c r="H24" s="39" t="s">
        <v>3452</v>
      </c>
      <c r="I24" s="39" t="s">
        <v>3453</v>
      </c>
      <c r="J24" s="39" t="s">
        <v>3454</v>
      </c>
      <c r="K24" s="26" t="s">
        <v>3455</v>
      </c>
      <c r="L24" s="26" t="s">
        <v>3456</v>
      </c>
      <c r="M24" s="26" t="s">
        <v>3457</v>
      </c>
      <c r="N24" s="26" t="s">
        <v>931</v>
      </c>
      <c r="O24" s="26" t="s">
        <v>2216</v>
      </c>
      <c r="P24" s="26" t="s">
        <v>2216</v>
      </c>
      <c r="R24" s="26" t="s">
        <v>963</v>
      </c>
      <c r="S24" s="26" t="s">
        <v>3458</v>
      </c>
      <c r="T24" s="26" t="s">
        <v>3459</v>
      </c>
      <c r="U24" s="26" t="s">
        <v>3460</v>
      </c>
      <c r="V24" s="26" t="s">
        <v>3461</v>
      </c>
      <c r="W24" s="26" t="s">
        <v>3308</v>
      </c>
      <c r="X24" s="26" t="s">
        <v>931</v>
      </c>
    </row>
    <row r="25" ht="14.25" customHeight="1">
      <c r="A25" s="39" t="s">
        <v>731</v>
      </c>
      <c r="B25" s="39" t="s">
        <v>732</v>
      </c>
      <c r="C25" s="40" t="s">
        <v>616</v>
      </c>
      <c r="D25" s="39" t="s">
        <v>426</v>
      </c>
      <c r="E25" s="39" t="s">
        <v>733</v>
      </c>
      <c r="F25" s="39" t="s">
        <v>142</v>
      </c>
      <c r="G25" s="39" t="s">
        <v>49</v>
      </c>
      <c r="H25" s="39" t="s">
        <v>3462</v>
      </c>
      <c r="I25" s="39" t="s">
        <v>3463</v>
      </c>
      <c r="J25" s="39" t="s">
        <v>3464</v>
      </c>
      <c r="K25" s="26" t="s">
        <v>3465</v>
      </c>
      <c r="L25" s="26" t="s">
        <v>3466</v>
      </c>
      <c r="M25" s="26" t="s">
        <v>3467</v>
      </c>
      <c r="N25" s="26" t="s">
        <v>931</v>
      </c>
      <c r="O25" s="26" t="s">
        <v>2216</v>
      </c>
      <c r="P25" s="26" t="s">
        <v>2216</v>
      </c>
      <c r="Q25" s="26" t="s">
        <v>2216</v>
      </c>
      <c r="R25" s="26" t="s">
        <v>963</v>
      </c>
      <c r="S25" s="26" t="s">
        <v>3468</v>
      </c>
      <c r="T25" s="26" t="s">
        <v>3469</v>
      </c>
      <c r="U25" s="26" t="s">
        <v>3470</v>
      </c>
      <c r="V25" s="26" t="s">
        <v>3471</v>
      </c>
      <c r="W25" s="26" t="s">
        <v>3308</v>
      </c>
      <c r="X25" s="26" t="s">
        <v>931</v>
      </c>
    </row>
    <row r="26" ht="14.25" customHeight="1">
      <c r="A26" s="39" t="s">
        <v>734</v>
      </c>
      <c r="B26" s="39" t="s">
        <v>735</v>
      </c>
      <c r="C26" s="40" t="s">
        <v>616</v>
      </c>
      <c r="D26" s="39" t="s">
        <v>409</v>
      </c>
      <c r="E26" s="39" t="s">
        <v>736</v>
      </c>
      <c r="F26" s="39" t="s">
        <v>244</v>
      </c>
      <c r="G26" s="39" t="s">
        <v>49</v>
      </c>
      <c r="H26" s="39" t="s">
        <v>3472</v>
      </c>
      <c r="I26" s="39" t="s">
        <v>3473</v>
      </c>
      <c r="J26" s="39" t="s">
        <v>3474</v>
      </c>
      <c r="K26" s="26" t="s">
        <v>3475</v>
      </c>
      <c r="L26" s="26" t="s">
        <v>3476</v>
      </c>
      <c r="M26" s="26" t="s">
        <v>3477</v>
      </c>
      <c r="N26" s="26" t="s">
        <v>931</v>
      </c>
      <c r="O26" s="26" t="s">
        <v>2216</v>
      </c>
      <c r="P26" s="26" t="s">
        <v>2216</v>
      </c>
      <c r="Q26" s="26" t="s">
        <v>2216</v>
      </c>
      <c r="R26" s="26" t="s">
        <v>963</v>
      </c>
      <c r="S26" s="26" t="s">
        <v>3478</v>
      </c>
      <c r="T26" s="26" t="s">
        <v>3479</v>
      </c>
      <c r="U26" s="26" t="s">
        <v>3480</v>
      </c>
      <c r="V26" s="26" t="s">
        <v>3481</v>
      </c>
      <c r="W26" s="26" t="s">
        <v>3296</v>
      </c>
      <c r="X26" s="26" t="s">
        <v>931</v>
      </c>
    </row>
    <row r="27" ht="14.25" customHeight="1">
      <c r="A27" s="39" t="s">
        <v>737</v>
      </c>
      <c r="B27" s="39" t="s">
        <v>738</v>
      </c>
      <c r="C27" s="40" t="s">
        <v>616</v>
      </c>
      <c r="D27" s="39" t="s">
        <v>654</v>
      </c>
      <c r="E27" s="39" t="s">
        <v>739</v>
      </c>
      <c r="F27" s="39" t="s">
        <v>639</v>
      </c>
      <c r="G27" s="39" t="s">
        <v>49</v>
      </c>
      <c r="H27" s="39" t="s">
        <v>3482</v>
      </c>
      <c r="I27" s="39" t="s">
        <v>3483</v>
      </c>
      <c r="J27" s="39" t="s">
        <v>3484</v>
      </c>
      <c r="K27" s="26" t="s">
        <v>3485</v>
      </c>
      <c r="L27" s="26" t="s">
        <v>3486</v>
      </c>
      <c r="M27" s="26" t="s">
        <v>3487</v>
      </c>
      <c r="N27" s="26" t="s">
        <v>931</v>
      </c>
      <c r="O27" s="26" t="s">
        <v>2216</v>
      </c>
      <c r="P27" s="26" t="s">
        <v>2216</v>
      </c>
      <c r="Q27" s="26" t="s">
        <v>2216</v>
      </c>
      <c r="R27" s="26" t="s">
        <v>963</v>
      </c>
      <c r="S27" s="26" t="s">
        <v>3488</v>
      </c>
      <c r="T27" s="26" t="s">
        <v>3489</v>
      </c>
      <c r="U27" s="26" t="s">
        <v>3490</v>
      </c>
      <c r="V27" s="26" t="s">
        <v>3491</v>
      </c>
      <c r="W27" s="26" t="s">
        <v>3308</v>
      </c>
      <c r="X27" s="26" t="s">
        <v>931</v>
      </c>
    </row>
    <row r="28" ht="14.25" customHeight="1">
      <c r="A28" s="39" t="s">
        <v>740</v>
      </c>
      <c r="B28" s="39" t="s">
        <v>741</v>
      </c>
      <c r="C28" s="40" t="s">
        <v>616</v>
      </c>
      <c r="D28" s="39" t="s">
        <v>187</v>
      </c>
      <c r="E28" s="39" t="s">
        <v>742</v>
      </c>
      <c r="F28" s="39" t="s">
        <v>189</v>
      </c>
      <c r="G28" s="39" t="s">
        <v>49</v>
      </c>
      <c r="H28" s="39" t="s">
        <v>3492</v>
      </c>
      <c r="I28" s="39" t="s">
        <v>3493</v>
      </c>
      <c r="J28" s="39" t="s">
        <v>3494</v>
      </c>
      <c r="K28" s="26" t="s">
        <v>3495</v>
      </c>
      <c r="L28" s="26" t="s">
        <v>3496</v>
      </c>
      <c r="M28" s="26" t="s">
        <v>3497</v>
      </c>
      <c r="N28" s="26" t="s">
        <v>931</v>
      </c>
      <c r="O28" s="26" t="s">
        <v>2216</v>
      </c>
      <c r="P28" s="26" t="s">
        <v>2216</v>
      </c>
      <c r="Q28" s="26" t="s">
        <v>2216</v>
      </c>
      <c r="R28" s="26" t="s">
        <v>963</v>
      </c>
      <c r="S28" s="26" t="s">
        <v>3498</v>
      </c>
      <c r="T28" s="26" t="s">
        <v>3499</v>
      </c>
      <c r="U28" s="26" t="s">
        <v>3500</v>
      </c>
      <c r="V28" s="26" t="s">
        <v>3501</v>
      </c>
      <c r="W28" s="26" t="s">
        <v>3308</v>
      </c>
      <c r="X28" s="26" t="s">
        <v>931</v>
      </c>
    </row>
    <row r="29" ht="14.25" customHeight="1">
      <c r="A29" s="39" t="s">
        <v>775</v>
      </c>
      <c r="B29" s="39" t="s">
        <v>776</v>
      </c>
      <c r="C29" s="40" t="s">
        <v>616</v>
      </c>
      <c r="D29" s="39" t="s">
        <v>401</v>
      </c>
      <c r="F29" s="39" t="s">
        <v>176</v>
      </c>
      <c r="G29" s="39" t="s">
        <v>49</v>
      </c>
      <c r="H29" s="39" t="s">
        <v>3502</v>
      </c>
      <c r="I29" s="39" t="s">
        <v>3503</v>
      </c>
      <c r="J29" s="39" t="s">
        <v>3504</v>
      </c>
      <c r="K29" s="26" t="s">
        <v>3505</v>
      </c>
      <c r="L29" s="26" t="s">
        <v>3506</v>
      </c>
      <c r="M29" s="26" t="s">
        <v>3507</v>
      </c>
      <c r="N29" s="26" t="s">
        <v>931</v>
      </c>
      <c r="O29" s="26" t="s">
        <v>2216</v>
      </c>
      <c r="P29" s="26" t="s">
        <v>2216</v>
      </c>
      <c r="Q29" s="26" t="s">
        <v>2216</v>
      </c>
      <c r="R29" s="26" t="s">
        <v>963</v>
      </c>
      <c r="S29" s="26" t="s">
        <v>3508</v>
      </c>
      <c r="T29" s="26" t="s">
        <v>3509</v>
      </c>
      <c r="U29" s="26" t="s">
        <v>3510</v>
      </c>
      <c r="V29" s="26" t="s">
        <v>3511</v>
      </c>
      <c r="W29" s="26" t="s">
        <v>3273</v>
      </c>
      <c r="X29" s="26" t="s">
        <v>931</v>
      </c>
    </row>
    <row r="30" ht="14.25" customHeight="1">
      <c r="A30" s="39" t="s">
        <v>777</v>
      </c>
      <c r="B30" s="39" t="s">
        <v>778</v>
      </c>
      <c r="C30" s="40" t="s">
        <v>616</v>
      </c>
      <c r="D30" s="39" t="s">
        <v>779</v>
      </c>
      <c r="E30" s="39" t="s">
        <v>780</v>
      </c>
      <c r="F30" s="39" t="s">
        <v>781</v>
      </c>
      <c r="G30" s="39" t="s">
        <v>49</v>
      </c>
      <c r="H30" s="39" t="s">
        <v>3512</v>
      </c>
      <c r="I30" s="39" t="s">
        <v>3513</v>
      </c>
      <c r="J30" s="39" t="s">
        <v>3514</v>
      </c>
      <c r="K30" s="26" t="s">
        <v>3515</v>
      </c>
      <c r="L30" s="26" t="s">
        <v>3516</v>
      </c>
      <c r="M30" s="26" t="s">
        <v>3517</v>
      </c>
      <c r="N30" s="26" t="s">
        <v>931</v>
      </c>
      <c r="O30" s="26" t="s">
        <v>2216</v>
      </c>
      <c r="P30" s="26" t="s">
        <v>2216</v>
      </c>
      <c r="Q30" s="26" t="s">
        <v>2216</v>
      </c>
      <c r="R30" s="26" t="s">
        <v>963</v>
      </c>
      <c r="S30" s="26" t="s">
        <v>3518</v>
      </c>
      <c r="T30" s="26" t="s">
        <v>3519</v>
      </c>
      <c r="U30" s="26" t="s">
        <v>3520</v>
      </c>
      <c r="V30" s="26" t="s">
        <v>3521</v>
      </c>
      <c r="W30" s="26" t="s">
        <v>3308</v>
      </c>
      <c r="X30" s="26" t="s">
        <v>931</v>
      </c>
    </row>
    <row r="31" ht="14.25" customHeight="1">
      <c r="A31" s="39" t="s">
        <v>782</v>
      </c>
      <c r="B31" s="39" t="s">
        <v>783</v>
      </c>
      <c r="C31" s="40" t="s">
        <v>616</v>
      </c>
      <c r="D31" s="39" t="s">
        <v>784</v>
      </c>
      <c r="E31" s="39" t="s">
        <v>785</v>
      </c>
      <c r="F31" s="39" t="s">
        <v>786</v>
      </c>
      <c r="G31" s="39" t="s">
        <v>49</v>
      </c>
      <c r="H31" s="39" t="s">
        <v>3522</v>
      </c>
      <c r="I31" s="39" t="s">
        <v>3523</v>
      </c>
      <c r="J31" s="39" t="s">
        <v>3524</v>
      </c>
      <c r="K31" s="26" t="s">
        <v>3525</v>
      </c>
      <c r="L31" s="26" t="s">
        <v>3526</v>
      </c>
      <c r="M31" s="26" t="s">
        <v>3527</v>
      </c>
      <c r="N31" s="26" t="s">
        <v>931</v>
      </c>
      <c r="O31" s="26" t="s">
        <v>2216</v>
      </c>
      <c r="P31" s="26" t="s">
        <v>2216</v>
      </c>
      <c r="Q31" s="26" t="s">
        <v>2216</v>
      </c>
      <c r="R31" s="26" t="s">
        <v>963</v>
      </c>
      <c r="S31" s="26" t="s">
        <v>3528</v>
      </c>
      <c r="T31" s="26" t="s">
        <v>3529</v>
      </c>
      <c r="U31" s="26" t="s">
        <v>3530</v>
      </c>
      <c r="V31" s="26" t="s">
        <v>3531</v>
      </c>
      <c r="W31" s="26" t="s">
        <v>3308</v>
      </c>
      <c r="X31" s="26" t="s">
        <v>931</v>
      </c>
    </row>
    <row r="32" ht="14.25" customHeight="1">
      <c r="A32" s="39" t="s">
        <v>787</v>
      </c>
      <c r="B32" s="39" t="s">
        <v>788</v>
      </c>
      <c r="C32" s="40" t="s">
        <v>616</v>
      </c>
      <c r="D32" s="39" t="s">
        <v>789</v>
      </c>
      <c r="E32" s="39" t="s">
        <v>790</v>
      </c>
      <c r="F32" s="39" t="s">
        <v>791</v>
      </c>
      <c r="G32" s="39" t="s">
        <v>49</v>
      </c>
      <c r="H32" s="39" t="s">
        <v>3532</v>
      </c>
      <c r="I32" s="39" t="s">
        <v>3533</v>
      </c>
      <c r="J32" s="39" t="s">
        <v>3534</v>
      </c>
      <c r="K32" s="26" t="s">
        <v>3535</v>
      </c>
      <c r="L32" s="26" t="s">
        <v>3536</v>
      </c>
      <c r="M32" s="26" t="s">
        <v>3537</v>
      </c>
      <c r="N32" s="26" t="s">
        <v>931</v>
      </c>
      <c r="O32" s="26" t="s">
        <v>2216</v>
      </c>
      <c r="P32" s="26" t="s">
        <v>2216</v>
      </c>
      <c r="Q32" s="26" t="s">
        <v>2216</v>
      </c>
      <c r="R32" s="26" t="s">
        <v>963</v>
      </c>
      <c r="S32" s="26" t="s">
        <v>3538</v>
      </c>
      <c r="T32" s="26" t="s">
        <v>3539</v>
      </c>
      <c r="U32" s="26" t="s">
        <v>3540</v>
      </c>
      <c r="V32" s="26" t="s">
        <v>3541</v>
      </c>
      <c r="W32" s="26" t="s">
        <v>3542</v>
      </c>
      <c r="X32" s="26" t="s">
        <v>931</v>
      </c>
    </row>
    <row r="33" ht="14.25" customHeight="1">
      <c r="A33" s="24" t="s">
        <v>792</v>
      </c>
      <c r="B33" s="24" t="s">
        <v>793</v>
      </c>
      <c r="C33" s="317" t="s">
        <v>616</v>
      </c>
      <c r="D33" s="24" t="s">
        <v>794</v>
      </c>
      <c r="F33" s="24" t="s">
        <v>795</v>
      </c>
      <c r="G33" s="24" t="s">
        <v>49</v>
      </c>
      <c r="H33" s="24" t="s">
        <v>3543</v>
      </c>
      <c r="I33" s="24" t="s">
        <v>3544</v>
      </c>
      <c r="J33" s="24" t="s">
        <v>3545</v>
      </c>
      <c r="K33" s="318" t="s">
        <v>3546</v>
      </c>
      <c r="L33" s="318" t="s">
        <v>3547</v>
      </c>
      <c r="M33" s="318" t="s">
        <v>3548</v>
      </c>
      <c r="N33" s="318" t="s">
        <v>963</v>
      </c>
      <c r="O33" s="318" t="s">
        <v>3549</v>
      </c>
      <c r="P33" s="318" t="s">
        <v>2979</v>
      </c>
      <c r="Q33" s="318" t="s">
        <v>2216</v>
      </c>
      <c r="R33" s="318" t="s">
        <v>963</v>
      </c>
      <c r="S33" s="318" t="s">
        <v>3550</v>
      </c>
      <c r="T33" s="318" t="s">
        <v>3551</v>
      </c>
      <c r="U33" s="318" t="s">
        <v>3552</v>
      </c>
      <c r="V33" s="318" t="s">
        <v>3553</v>
      </c>
      <c r="W33" s="318" t="s">
        <v>3554</v>
      </c>
      <c r="X33" s="318" t="s">
        <v>963</v>
      </c>
      <c r="Y33" s="9"/>
      <c r="Z33" s="9"/>
      <c r="AA33" s="9"/>
      <c r="AB33" s="9"/>
      <c r="AC33" s="9"/>
      <c r="AD33" s="9"/>
    </row>
    <row r="34" ht="14.25" customHeight="1">
      <c r="A34" s="39" t="s">
        <v>905</v>
      </c>
      <c r="B34" s="39" t="s">
        <v>906</v>
      </c>
      <c r="C34" s="40" t="s">
        <v>891</v>
      </c>
      <c r="D34" s="39" t="s">
        <v>907</v>
      </c>
      <c r="E34" s="39" t="s">
        <v>101</v>
      </c>
      <c r="F34" s="39" t="s">
        <v>908</v>
      </c>
      <c r="G34" s="39" t="s">
        <v>49</v>
      </c>
      <c r="H34" s="39" t="s">
        <v>3555</v>
      </c>
      <c r="I34" s="39" t="s">
        <v>3556</v>
      </c>
      <c r="J34" s="39" t="s">
        <v>3557</v>
      </c>
      <c r="K34" s="39" t="s">
        <v>3558</v>
      </c>
      <c r="L34" s="39" t="s">
        <v>3559</v>
      </c>
      <c r="M34" s="39" t="s">
        <v>3560</v>
      </c>
      <c r="N34" s="39" t="s">
        <v>931</v>
      </c>
      <c r="O34" s="26" t="s">
        <v>2216</v>
      </c>
      <c r="P34" s="26" t="s">
        <v>2216</v>
      </c>
      <c r="Q34" s="26" t="s">
        <v>2216</v>
      </c>
      <c r="R34" s="26" t="s">
        <v>963</v>
      </c>
      <c r="S34" s="26" t="s">
        <v>3561</v>
      </c>
      <c r="T34" s="26" t="s">
        <v>3562</v>
      </c>
      <c r="U34" s="26" t="s">
        <v>3563</v>
      </c>
      <c r="V34" s="26" t="s">
        <v>3541</v>
      </c>
      <c r="W34" s="26" t="s">
        <v>3564</v>
      </c>
      <c r="X34" s="26" t="s">
        <v>931</v>
      </c>
    </row>
    <row r="35" ht="14.25" customHeight="1">
      <c r="A35" s="319" t="s">
        <v>3565</v>
      </c>
      <c r="B35" s="320"/>
      <c r="C35" s="320"/>
      <c r="D35" s="320"/>
      <c r="E35" s="320"/>
      <c r="F35" s="320"/>
      <c r="G35" s="320"/>
      <c r="H35" s="320"/>
      <c r="I35" s="320"/>
      <c r="J35" s="320"/>
      <c r="K35" s="320"/>
      <c r="L35" s="320"/>
      <c r="M35" s="320"/>
      <c r="N35" s="320"/>
      <c r="O35" s="320"/>
      <c r="P35" s="320"/>
      <c r="Q35" s="320"/>
      <c r="R35" s="320"/>
      <c r="S35" s="320"/>
      <c r="T35" s="320"/>
      <c r="U35" s="320"/>
      <c r="V35" s="320"/>
      <c r="W35" s="320"/>
      <c r="X35" s="320"/>
      <c r="Y35" s="320"/>
      <c r="Z35" s="320"/>
      <c r="AA35" s="320"/>
      <c r="AB35" s="320"/>
      <c r="AC35" s="320"/>
      <c r="AD35" s="321"/>
    </row>
    <row r="36" ht="14.25" customHeight="1">
      <c r="A36" s="39" t="s">
        <v>1182</v>
      </c>
      <c r="B36" s="39" t="s">
        <v>1183</v>
      </c>
      <c r="C36" s="26" t="s">
        <v>2216</v>
      </c>
      <c r="D36" s="26" t="s">
        <v>3566</v>
      </c>
      <c r="E36" s="26" t="s">
        <v>3567</v>
      </c>
      <c r="F36" s="26" t="s">
        <v>3568</v>
      </c>
      <c r="G36" s="26" t="s">
        <v>49</v>
      </c>
      <c r="H36" s="26" t="s">
        <v>3569</v>
      </c>
      <c r="I36" s="26" t="s">
        <v>3570</v>
      </c>
      <c r="J36" s="26" t="s">
        <v>3571</v>
      </c>
      <c r="K36" s="26" t="s">
        <v>3572</v>
      </c>
      <c r="L36" s="26" t="s">
        <v>3573</v>
      </c>
      <c r="M36" s="26" t="s">
        <v>3574</v>
      </c>
      <c r="N36" s="26" t="s">
        <v>931</v>
      </c>
      <c r="O36" s="26" t="s">
        <v>2216</v>
      </c>
      <c r="P36" s="26" t="s">
        <v>2216</v>
      </c>
      <c r="Q36" s="26" t="s">
        <v>2216</v>
      </c>
      <c r="R36" s="26" t="s">
        <v>931</v>
      </c>
      <c r="S36" s="26" t="s">
        <v>3575</v>
      </c>
      <c r="T36" s="26" t="s">
        <v>3576</v>
      </c>
      <c r="U36" s="26" t="s">
        <v>3577</v>
      </c>
      <c r="V36" s="26" t="s">
        <v>3578</v>
      </c>
      <c r="W36" s="26" t="s">
        <v>3308</v>
      </c>
      <c r="X36" s="26" t="s">
        <v>963</v>
      </c>
    </row>
    <row r="37" ht="14.25" customHeight="1">
      <c r="A37" s="39" t="s">
        <v>1190</v>
      </c>
      <c r="B37" s="39" t="s">
        <v>1191</v>
      </c>
      <c r="C37" s="26" t="s">
        <v>2216</v>
      </c>
      <c r="D37" s="26" t="s">
        <v>3579</v>
      </c>
      <c r="E37" s="26" t="s">
        <v>3580</v>
      </c>
      <c r="F37" s="26" t="s">
        <v>3581</v>
      </c>
      <c r="G37" s="26" t="s">
        <v>3582</v>
      </c>
      <c r="H37" s="26" t="s">
        <v>3583</v>
      </c>
      <c r="I37" s="26" t="s">
        <v>3584</v>
      </c>
      <c r="J37" s="26" t="s">
        <v>3585</v>
      </c>
      <c r="K37" s="26" t="s">
        <v>3586</v>
      </c>
      <c r="L37" s="26" t="s">
        <v>3587</v>
      </c>
      <c r="M37" s="26" t="s">
        <v>3588</v>
      </c>
      <c r="N37" s="26" t="s">
        <v>931</v>
      </c>
      <c r="O37" s="26" t="s">
        <v>2216</v>
      </c>
      <c r="P37" s="26" t="s">
        <v>2216</v>
      </c>
      <c r="Q37" s="26" t="s">
        <v>2216</v>
      </c>
      <c r="R37" s="26" t="s">
        <v>931</v>
      </c>
      <c r="S37" s="26" t="s">
        <v>3589</v>
      </c>
      <c r="T37" s="26" t="s">
        <v>3590</v>
      </c>
      <c r="U37" s="26" t="s">
        <v>3591</v>
      </c>
      <c r="V37" s="26" t="s">
        <v>3592</v>
      </c>
      <c r="W37" s="26" t="s">
        <v>3380</v>
      </c>
      <c r="X37" s="26" t="s">
        <v>3593</v>
      </c>
    </row>
    <row r="38" ht="14.25" customHeight="1">
      <c r="A38" s="39" t="s">
        <v>1199</v>
      </c>
      <c r="B38" s="39" t="s">
        <v>1200</v>
      </c>
      <c r="C38" s="26" t="s">
        <v>2216</v>
      </c>
      <c r="D38" s="26" t="s">
        <v>3594</v>
      </c>
      <c r="E38" s="26" t="s">
        <v>3595</v>
      </c>
      <c r="F38" s="26" t="s">
        <v>3596</v>
      </c>
      <c r="G38" s="26" t="s">
        <v>51</v>
      </c>
      <c r="H38" s="26" t="s">
        <v>3597</v>
      </c>
      <c r="I38" s="26" t="s">
        <v>3598</v>
      </c>
      <c r="J38" s="26" t="s">
        <v>3599</v>
      </c>
      <c r="K38" s="26" t="s">
        <v>3600</v>
      </c>
      <c r="L38" s="26" t="s">
        <v>3601</v>
      </c>
      <c r="M38" s="26" t="s">
        <v>3602</v>
      </c>
      <c r="N38" s="26" t="s">
        <v>3603</v>
      </c>
      <c r="O38" s="26" t="s">
        <v>3604</v>
      </c>
      <c r="P38" s="26" t="s">
        <v>3605</v>
      </c>
      <c r="Q38" s="26" t="s">
        <v>2216</v>
      </c>
      <c r="R38" s="26" t="s">
        <v>931</v>
      </c>
      <c r="S38" s="26" t="s">
        <v>3606</v>
      </c>
      <c r="T38" s="26" t="s">
        <v>3607</v>
      </c>
      <c r="U38" s="26" t="s">
        <v>3608</v>
      </c>
      <c r="V38" s="26" t="s">
        <v>3609</v>
      </c>
      <c r="W38" s="26" t="s">
        <v>3308</v>
      </c>
      <c r="X38" s="26" t="s">
        <v>963</v>
      </c>
    </row>
    <row r="39" ht="14.25" customHeight="1">
      <c r="A39" s="39" t="s">
        <v>1211</v>
      </c>
      <c r="B39" s="39" t="s">
        <v>1212</v>
      </c>
      <c r="C39" s="26" t="s">
        <v>2216</v>
      </c>
      <c r="D39" s="26" t="s">
        <v>3610</v>
      </c>
      <c r="E39" s="26" t="s">
        <v>3611</v>
      </c>
      <c r="F39" s="26" t="s">
        <v>3612</v>
      </c>
      <c r="G39" s="26" t="s">
        <v>49</v>
      </c>
      <c r="H39" s="26" t="s">
        <v>3613</v>
      </c>
      <c r="I39" s="26" t="s">
        <v>3614</v>
      </c>
      <c r="J39" s="26" t="s">
        <v>3615</v>
      </c>
      <c r="K39" s="26" t="s">
        <v>3616</v>
      </c>
      <c r="L39" s="26" t="s">
        <v>3617</v>
      </c>
      <c r="M39" s="26" t="s">
        <v>3618</v>
      </c>
      <c r="N39" s="26" t="s">
        <v>931</v>
      </c>
      <c r="O39" s="26" t="s">
        <v>2216</v>
      </c>
      <c r="P39" s="26" t="s">
        <v>2216</v>
      </c>
      <c r="Q39" s="26" t="s">
        <v>2216</v>
      </c>
      <c r="R39" s="26" t="s">
        <v>931</v>
      </c>
      <c r="S39" s="26" t="s">
        <v>3619</v>
      </c>
      <c r="T39" s="26" t="s">
        <v>3620</v>
      </c>
      <c r="U39" s="26" t="s">
        <v>3611</v>
      </c>
      <c r="V39" s="26" t="s">
        <v>3612</v>
      </c>
      <c r="W39" s="26" t="s">
        <v>3621</v>
      </c>
      <c r="X39" s="26" t="s">
        <v>963</v>
      </c>
    </row>
    <row r="40" ht="14.25" customHeight="1">
      <c r="A40" s="39" t="s">
        <v>1220</v>
      </c>
      <c r="B40" s="39" t="s">
        <v>1221</v>
      </c>
      <c r="C40" s="26" t="s">
        <v>2216</v>
      </c>
      <c r="D40" s="26" t="s">
        <v>3622</v>
      </c>
      <c r="E40" s="26" t="s">
        <v>3623</v>
      </c>
      <c r="F40" s="26" t="s">
        <v>3624</v>
      </c>
      <c r="G40" s="26" t="s">
        <v>51</v>
      </c>
      <c r="H40" s="26" t="s">
        <v>3625</v>
      </c>
      <c r="I40" s="26" t="s">
        <v>3626</v>
      </c>
      <c r="J40" s="26" t="s">
        <v>3627</v>
      </c>
      <c r="K40" s="26" t="s">
        <v>3628</v>
      </c>
      <c r="L40" s="26" t="s">
        <v>3629</v>
      </c>
      <c r="M40" s="26" t="s">
        <v>3630</v>
      </c>
      <c r="N40" s="26" t="s">
        <v>931</v>
      </c>
      <c r="O40" s="26" t="s">
        <v>2216</v>
      </c>
      <c r="P40" s="26" t="s">
        <v>2216</v>
      </c>
      <c r="Q40" s="26" t="s">
        <v>2216</v>
      </c>
      <c r="R40" s="26" t="s">
        <v>931</v>
      </c>
      <c r="S40" s="26" t="s">
        <v>3631</v>
      </c>
      <c r="T40" s="26" t="s">
        <v>3632</v>
      </c>
      <c r="U40" s="26" t="s">
        <v>3633</v>
      </c>
      <c r="V40" s="26" t="s">
        <v>3634</v>
      </c>
      <c r="W40" s="26" t="s">
        <v>3308</v>
      </c>
      <c r="X40" s="26" t="s">
        <v>931</v>
      </c>
    </row>
    <row r="41" ht="14.25" customHeight="1">
      <c r="A41" s="322" t="s">
        <v>539</v>
      </c>
      <c r="B41" s="322" t="s">
        <v>540</v>
      </c>
      <c r="C41" s="323" t="s">
        <v>2216</v>
      </c>
      <c r="D41" s="323" t="s">
        <v>3635</v>
      </c>
      <c r="E41" s="324"/>
      <c r="F41" s="323" t="s">
        <v>2216</v>
      </c>
      <c r="G41" s="323" t="s">
        <v>2216</v>
      </c>
      <c r="H41" s="323" t="s">
        <v>2216</v>
      </c>
      <c r="I41" s="323" t="s">
        <v>2216</v>
      </c>
      <c r="J41" s="323" t="s">
        <v>2216</v>
      </c>
      <c r="K41" s="323" t="s">
        <v>2216</v>
      </c>
      <c r="L41" s="323" t="s">
        <v>2216</v>
      </c>
      <c r="M41" s="323" t="s">
        <v>2216</v>
      </c>
      <c r="N41" s="323" t="s">
        <v>2216</v>
      </c>
      <c r="O41" s="323" t="s">
        <v>2216</v>
      </c>
      <c r="P41" s="323" t="s">
        <v>2216</v>
      </c>
      <c r="Q41" s="323" t="s">
        <v>2216</v>
      </c>
      <c r="R41" s="323" t="s">
        <v>2216</v>
      </c>
      <c r="S41" s="323" t="s">
        <v>2216</v>
      </c>
      <c r="T41" s="323" t="s">
        <v>2216</v>
      </c>
      <c r="U41" s="323" t="s">
        <v>2216</v>
      </c>
      <c r="V41" s="323" t="s">
        <v>2216</v>
      </c>
      <c r="W41" s="323" t="s">
        <v>2216</v>
      </c>
      <c r="X41" s="323" t="s">
        <v>2216</v>
      </c>
      <c r="Y41" s="324"/>
      <c r="Z41" s="324"/>
      <c r="AA41" s="324"/>
      <c r="AB41" s="324"/>
      <c r="AC41" s="324"/>
      <c r="AD41" s="324"/>
    </row>
    <row r="42" ht="14.25" customHeight="1">
      <c r="A42" s="39" t="s">
        <v>1230</v>
      </c>
      <c r="B42" s="39" t="s">
        <v>1231</v>
      </c>
      <c r="C42" s="26" t="s">
        <v>2216</v>
      </c>
      <c r="D42" s="26" t="s">
        <v>3636</v>
      </c>
      <c r="E42" s="26" t="s">
        <v>3637</v>
      </c>
      <c r="F42" s="26" t="s">
        <v>3638</v>
      </c>
      <c r="G42" s="26" t="s">
        <v>49</v>
      </c>
      <c r="H42" s="26" t="s">
        <v>3639</v>
      </c>
      <c r="I42" s="26" t="s">
        <v>3640</v>
      </c>
      <c r="J42" s="26" t="s">
        <v>3641</v>
      </c>
      <c r="K42" s="26" t="s">
        <v>3642</v>
      </c>
      <c r="L42" s="26" t="s">
        <v>3643</v>
      </c>
      <c r="M42" s="26" t="s">
        <v>3644</v>
      </c>
      <c r="N42" s="26" t="s">
        <v>931</v>
      </c>
      <c r="O42" s="26" t="s">
        <v>2216</v>
      </c>
      <c r="P42" s="26" t="s">
        <v>2216</v>
      </c>
      <c r="Q42" s="26" t="s">
        <v>2216</v>
      </c>
      <c r="R42" s="26" t="s">
        <v>931</v>
      </c>
      <c r="S42" s="26" t="s">
        <v>3645</v>
      </c>
      <c r="T42" s="26" t="s">
        <v>3646</v>
      </c>
      <c r="U42" s="26" t="s">
        <v>3647</v>
      </c>
      <c r="V42" s="26" t="s">
        <v>3648</v>
      </c>
      <c r="W42" s="26" t="s">
        <v>3308</v>
      </c>
      <c r="X42" s="26" t="s">
        <v>931</v>
      </c>
    </row>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2">
    <mergeCell ref="D29:E29"/>
    <mergeCell ref="D33:E33"/>
  </mergeCells>
  <dataValidations>
    <dataValidation type="list" allowBlank="1" showErrorMessage="1" sqref="P2:P20">
      <formula1>'Exclussion basis'!$A$2:$A$4</formula1>
    </dataValidation>
  </dataValidations>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30.67"/>
    <col customWidth="1" min="3" max="3" width="13.0"/>
    <col customWidth="1" min="4" max="4" width="9.0"/>
    <col customWidth="1" min="5" max="5" width="7.22"/>
    <col customWidth="1" min="6" max="6" width="10.22"/>
    <col customWidth="1" min="7" max="7" width="13.78"/>
    <col customWidth="1" min="8" max="8" width="64.44"/>
    <col customWidth="1" min="9" max="9" width="10.89"/>
    <col customWidth="1" min="10" max="12" width="13.11"/>
    <col customWidth="1" min="13" max="13" width="12.67"/>
    <col customWidth="1" min="14" max="14" width="14.0"/>
    <col customWidth="1" min="15" max="16" width="10.11"/>
    <col customWidth="1" min="17" max="17" width="6.44"/>
    <col customWidth="1" min="18" max="18" width="6.78"/>
    <col customWidth="1" min="19" max="19" width="8.0"/>
    <col customWidth="1" min="20" max="29" width="6.78"/>
  </cols>
  <sheetData>
    <row r="1" ht="14.25" customHeight="1">
      <c r="A1" s="54" t="s">
        <v>57</v>
      </c>
      <c r="B1" s="54" t="s">
        <v>58</v>
      </c>
      <c r="C1" s="54" t="s">
        <v>59</v>
      </c>
      <c r="D1" s="54" t="s">
        <v>60</v>
      </c>
      <c r="E1" s="308" t="s">
        <v>61</v>
      </c>
      <c r="F1" s="308" t="s">
        <v>62</v>
      </c>
      <c r="G1" s="308" t="s">
        <v>3207</v>
      </c>
      <c r="H1" s="309" t="s">
        <v>3208</v>
      </c>
      <c r="I1" s="309" t="s">
        <v>3209</v>
      </c>
      <c r="J1" s="308" t="s">
        <v>3210</v>
      </c>
      <c r="K1" s="310" t="s">
        <v>3649</v>
      </c>
      <c r="L1" s="309" t="s">
        <v>3212</v>
      </c>
      <c r="M1" s="308" t="s">
        <v>3213</v>
      </c>
      <c r="N1" s="308" t="s">
        <v>3214</v>
      </c>
      <c r="O1" s="308" t="s">
        <v>3215</v>
      </c>
      <c r="P1" s="308" t="s">
        <v>3216</v>
      </c>
      <c r="Q1" s="54" t="s">
        <v>3217</v>
      </c>
      <c r="R1" s="56" t="s">
        <v>944</v>
      </c>
      <c r="S1" s="311" t="s">
        <v>3219</v>
      </c>
      <c r="T1" s="311" t="s">
        <v>950</v>
      </c>
      <c r="U1" s="311" t="s">
        <v>951</v>
      </c>
      <c r="V1" s="311" t="s">
        <v>952</v>
      </c>
      <c r="W1" s="311" t="s">
        <v>3650</v>
      </c>
      <c r="X1" s="311" t="s">
        <v>953</v>
      </c>
      <c r="Y1" s="311" t="s">
        <v>3651</v>
      </c>
    </row>
    <row r="2" ht="14.25" customHeight="1">
      <c r="A2" s="37" t="s">
        <v>177</v>
      </c>
      <c r="B2" s="37" t="s">
        <v>178</v>
      </c>
      <c r="C2" s="37" t="s">
        <v>88</v>
      </c>
      <c r="D2" s="37" t="s">
        <v>179</v>
      </c>
      <c r="E2" s="26" t="s">
        <v>3652</v>
      </c>
      <c r="F2" s="26" t="s">
        <v>3653</v>
      </c>
      <c r="G2" s="37" t="s">
        <v>49</v>
      </c>
      <c r="H2" s="26" t="s">
        <v>3654</v>
      </c>
      <c r="I2" s="26" t="s">
        <v>3655</v>
      </c>
      <c r="J2" s="26" t="s">
        <v>3656</v>
      </c>
      <c r="K2" s="26" t="s">
        <v>3657</v>
      </c>
      <c r="L2" s="26" t="s">
        <v>3658</v>
      </c>
      <c r="M2" s="26" t="s">
        <v>3659</v>
      </c>
      <c r="N2" s="26" t="s">
        <v>1210</v>
      </c>
      <c r="O2" s="26" t="s">
        <v>2216</v>
      </c>
      <c r="P2" s="37" t="s">
        <v>3229</v>
      </c>
      <c r="R2" s="26" t="s">
        <v>1457</v>
      </c>
      <c r="S2" s="26"/>
      <c r="T2" s="26" t="s">
        <v>1098</v>
      </c>
      <c r="X2" s="26" t="s">
        <v>2220</v>
      </c>
    </row>
    <row r="3" ht="14.25" customHeight="1">
      <c r="A3" s="37" t="s">
        <v>182</v>
      </c>
      <c r="B3" s="37" t="s">
        <v>183</v>
      </c>
      <c r="C3" s="37" t="s">
        <v>88</v>
      </c>
      <c r="D3" s="37" t="s">
        <v>179</v>
      </c>
      <c r="E3" s="26" t="s">
        <v>3660</v>
      </c>
      <c r="F3" s="26" t="s">
        <v>3661</v>
      </c>
      <c r="G3" s="37" t="s">
        <v>49</v>
      </c>
      <c r="H3" s="26" t="s">
        <v>3662</v>
      </c>
      <c r="I3" s="26" t="s">
        <v>3663</v>
      </c>
      <c r="J3" s="26" t="s">
        <v>3664</v>
      </c>
      <c r="K3" s="26" t="s">
        <v>3665</v>
      </c>
      <c r="L3" s="26" t="s">
        <v>3666</v>
      </c>
      <c r="M3" s="26" t="s">
        <v>3667</v>
      </c>
      <c r="N3" s="26" t="s">
        <v>1210</v>
      </c>
      <c r="O3" s="26" t="s">
        <v>2216</v>
      </c>
      <c r="P3" s="37"/>
      <c r="R3" s="26" t="s">
        <v>1457</v>
      </c>
      <c r="S3" s="26"/>
      <c r="T3" s="26" t="s">
        <v>1002</v>
      </c>
      <c r="X3" s="26" t="s">
        <v>2220</v>
      </c>
    </row>
    <row r="4" ht="14.25" customHeight="1">
      <c r="A4" s="37" t="s">
        <v>185</v>
      </c>
      <c r="B4" s="37" t="s">
        <v>186</v>
      </c>
      <c r="C4" s="37" t="s">
        <v>88</v>
      </c>
      <c r="D4" s="37" t="s">
        <v>187</v>
      </c>
      <c r="E4" s="26" t="s">
        <v>3668</v>
      </c>
      <c r="F4" s="26" t="s">
        <v>3669</v>
      </c>
      <c r="G4" s="37" t="s">
        <v>49</v>
      </c>
      <c r="H4" s="26" t="s">
        <v>3670</v>
      </c>
      <c r="I4" s="26" t="s">
        <v>3671</v>
      </c>
      <c r="J4" s="26" t="s">
        <v>3672</v>
      </c>
      <c r="K4" s="26" t="s">
        <v>3673</v>
      </c>
      <c r="L4" s="26" t="s">
        <v>3666</v>
      </c>
      <c r="M4" s="26" t="s">
        <v>3674</v>
      </c>
      <c r="N4" s="26" t="s">
        <v>1210</v>
      </c>
      <c r="O4" s="26" t="s">
        <v>2216</v>
      </c>
      <c r="P4" s="37"/>
      <c r="R4" s="26" t="s">
        <v>1457</v>
      </c>
      <c r="S4" s="26"/>
      <c r="T4" s="26" t="s">
        <v>1027</v>
      </c>
      <c r="X4" s="26" t="s">
        <v>2220</v>
      </c>
    </row>
    <row r="5" ht="14.25" customHeight="1">
      <c r="A5" s="37" t="s">
        <v>190</v>
      </c>
      <c r="B5" s="37" t="s">
        <v>191</v>
      </c>
      <c r="C5" s="37" t="s">
        <v>88</v>
      </c>
      <c r="D5" s="37" t="s">
        <v>192</v>
      </c>
      <c r="E5" s="26" t="s">
        <v>3675</v>
      </c>
      <c r="F5" s="37" t="s">
        <v>194</v>
      </c>
      <c r="G5" s="37" t="s">
        <v>49</v>
      </c>
      <c r="H5" s="26" t="s">
        <v>3676</v>
      </c>
      <c r="I5" s="26" t="s">
        <v>3677</v>
      </c>
      <c r="J5" s="26" t="s">
        <v>3678</v>
      </c>
      <c r="K5" s="26" t="s">
        <v>3679</v>
      </c>
      <c r="L5" s="26" t="s">
        <v>998</v>
      </c>
      <c r="M5" s="26" t="s">
        <v>3680</v>
      </c>
      <c r="N5" s="26" t="s">
        <v>1210</v>
      </c>
      <c r="O5" s="26" t="s">
        <v>2216</v>
      </c>
      <c r="P5" s="37"/>
      <c r="R5" s="26" t="s">
        <v>1457</v>
      </c>
      <c r="T5" s="26" t="s">
        <v>1260</v>
      </c>
      <c r="V5" s="26" t="s">
        <v>3681</v>
      </c>
      <c r="W5" s="26" t="s">
        <v>3682</v>
      </c>
      <c r="X5" s="26" t="s">
        <v>2220</v>
      </c>
    </row>
    <row r="6" ht="14.25" customHeight="1">
      <c r="A6" s="37" t="s">
        <v>195</v>
      </c>
      <c r="B6" s="37" t="s">
        <v>196</v>
      </c>
      <c r="C6" s="37" t="s">
        <v>88</v>
      </c>
      <c r="D6" s="37" t="s">
        <v>197</v>
      </c>
      <c r="E6" s="26" t="s">
        <v>3683</v>
      </c>
      <c r="F6" s="37" t="s">
        <v>189</v>
      </c>
      <c r="G6" s="37" t="s">
        <v>49</v>
      </c>
      <c r="H6" s="26" t="s">
        <v>3684</v>
      </c>
      <c r="I6" s="26" t="s">
        <v>3685</v>
      </c>
      <c r="J6" s="26" t="s">
        <v>3686</v>
      </c>
      <c r="K6" s="26" t="s">
        <v>3687</v>
      </c>
      <c r="L6" s="26" t="s">
        <v>3688</v>
      </c>
      <c r="M6" s="26" t="s">
        <v>3689</v>
      </c>
      <c r="N6" s="26" t="s">
        <v>1210</v>
      </c>
      <c r="O6" s="26" t="s">
        <v>2216</v>
      </c>
      <c r="P6" s="37"/>
      <c r="R6" s="26" t="s">
        <v>1457</v>
      </c>
      <c r="S6" s="26" t="s">
        <v>3690</v>
      </c>
      <c r="T6" s="26" t="s">
        <v>1027</v>
      </c>
      <c r="U6" s="26">
        <v>2024.0</v>
      </c>
      <c r="V6" s="26" t="s">
        <v>620</v>
      </c>
      <c r="X6" s="26" t="s">
        <v>2220</v>
      </c>
    </row>
    <row r="7" ht="14.25" customHeight="1">
      <c r="A7" s="325" t="s">
        <v>199</v>
      </c>
      <c r="B7" s="325" t="s">
        <v>200</v>
      </c>
      <c r="C7" s="325" t="s">
        <v>88</v>
      </c>
      <c r="D7" s="325" t="s">
        <v>201</v>
      </c>
      <c r="E7" s="325" t="s">
        <v>90</v>
      </c>
      <c r="F7" s="325" t="s">
        <v>142</v>
      </c>
      <c r="G7" s="325" t="s">
        <v>49</v>
      </c>
      <c r="H7" s="326" t="s">
        <v>2216</v>
      </c>
      <c r="I7" s="326" t="s">
        <v>2216</v>
      </c>
      <c r="J7" s="326" t="s">
        <v>2216</v>
      </c>
      <c r="K7" s="326" t="s">
        <v>2216</v>
      </c>
      <c r="L7" s="326" t="s">
        <v>2216</v>
      </c>
      <c r="M7" s="326" t="s">
        <v>2216</v>
      </c>
      <c r="N7" s="326" t="s">
        <v>2216</v>
      </c>
      <c r="O7" s="326" t="s">
        <v>3691</v>
      </c>
      <c r="P7" s="326" t="s">
        <v>3229</v>
      </c>
      <c r="Q7" s="326" t="s">
        <v>3004</v>
      </c>
      <c r="R7" s="325"/>
      <c r="S7" s="325"/>
      <c r="T7" s="325"/>
      <c r="U7" s="325"/>
      <c r="V7" s="325"/>
      <c r="W7" s="325"/>
      <c r="X7" s="325"/>
      <c r="Y7" s="325"/>
      <c r="Z7" s="325"/>
      <c r="AA7" s="325"/>
      <c r="AB7" s="325"/>
      <c r="AC7" s="325"/>
    </row>
    <row r="8" ht="14.25" customHeight="1">
      <c r="A8" s="37" t="s">
        <v>202</v>
      </c>
      <c r="B8" s="37" t="s">
        <v>203</v>
      </c>
      <c r="C8" s="37" t="s">
        <v>88</v>
      </c>
      <c r="D8" s="37" t="s">
        <v>150</v>
      </c>
      <c r="E8" s="37" t="s">
        <v>204</v>
      </c>
      <c r="F8" s="26" t="s">
        <v>3692</v>
      </c>
      <c r="G8" s="37" t="s">
        <v>49</v>
      </c>
      <c r="H8" s="26" t="s">
        <v>3693</v>
      </c>
      <c r="I8" s="26" t="s">
        <v>3694</v>
      </c>
      <c r="J8" s="26" t="s">
        <v>3695</v>
      </c>
      <c r="K8" s="26" t="s">
        <v>3696</v>
      </c>
      <c r="L8" s="26" t="s">
        <v>3697</v>
      </c>
      <c r="M8" s="26" t="s">
        <v>3698</v>
      </c>
      <c r="N8" s="26" t="s">
        <v>1210</v>
      </c>
      <c r="O8" s="26" t="s">
        <v>2216</v>
      </c>
      <c r="P8" s="37"/>
      <c r="R8" s="26" t="s">
        <v>1457</v>
      </c>
      <c r="S8" s="26" t="s">
        <v>3699</v>
      </c>
      <c r="T8" s="26" t="s">
        <v>1260</v>
      </c>
      <c r="U8" s="26">
        <v>2024.0</v>
      </c>
      <c r="V8" s="26" t="s">
        <v>1269</v>
      </c>
      <c r="X8" s="26" t="s">
        <v>2220</v>
      </c>
    </row>
    <row r="9" ht="14.25" customHeight="1">
      <c r="A9" s="37" t="s">
        <v>205</v>
      </c>
      <c r="B9" s="37" t="s">
        <v>206</v>
      </c>
      <c r="C9" s="37" t="s">
        <v>88</v>
      </c>
      <c r="D9" s="37" t="s">
        <v>207</v>
      </c>
      <c r="E9" s="26" t="s">
        <v>3700</v>
      </c>
      <c r="F9" s="26" t="s">
        <v>3701</v>
      </c>
      <c r="G9" s="37" t="s">
        <v>49</v>
      </c>
      <c r="H9" s="26" t="s">
        <v>3702</v>
      </c>
      <c r="I9" s="26" t="s">
        <v>3703</v>
      </c>
      <c r="J9" s="26" t="s">
        <v>3704</v>
      </c>
      <c r="K9" s="26" t="s">
        <v>3705</v>
      </c>
      <c r="L9" s="26" t="s">
        <v>3706</v>
      </c>
      <c r="M9" s="26" t="s">
        <v>3707</v>
      </c>
      <c r="N9" s="26" t="s">
        <v>1210</v>
      </c>
      <c r="O9" s="26" t="s">
        <v>2216</v>
      </c>
      <c r="P9" s="37"/>
      <c r="R9" s="26" t="s">
        <v>1457</v>
      </c>
      <c r="S9" s="26" t="s">
        <v>3708</v>
      </c>
      <c r="T9" s="26" t="s">
        <v>991</v>
      </c>
      <c r="U9" s="26">
        <v>2024.0</v>
      </c>
      <c r="V9" s="26" t="s">
        <v>620</v>
      </c>
      <c r="X9" s="26" t="s">
        <v>2220</v>
      </c>
    </row>
    <row r="10" ht="14.25" customHeight="1">
      <c r="A10" s="37" t="s">
        <v>210</v>
      </c>
      <c r="B10" s="37" t="s">
        <v>211</v>
      </c>
      <c r="C10" s="37" t="s">
        <v>88</v>
      </c>
      <c r="D10" s="37" t="s">
        <v>113</v>
      </c>
      <c r="E10" s="37" t="s">
        <v>212</v>
      </c>
      <c r="F10" s="37" t="s">
        <v>142</v>
      </c>
      <c r="G10" s="37" t="s">
        <v>49</v>
      </c>
      <c r="H10" s="26" t="s">
        <v>3709</v>
      </c>
      <c r="I10" s="26" t="s">
        <v>3710</v>
      </c>
      <c r="J10" s="26" t="s">
        <v>3711</v>
      </c>
      <c r="K10" s="26" t="s">
        <v>3712</v>
      </c>
      <c r="L10" s="26" t="s">
        <v>3713</v>
      </c>
      <c r="M10" s="26" t="s">
        <v>2216</v>
      </c>
      <c r="N10" s="26" t="s">
        <v>1210</v>
      </c>
      <c r="O10" s="26" t="s">
        <v>2216</v>
      </c>
      <c r="P10" s="37"/>
      <c r="R10" s="26" t="s">
        <v>1457</v>
      </c>
      <c r="S10" s="26" t="s">
        <v>3714</v>
      </c>
      <c r="T10" s="26" t="s">
        <v>1098</v>
      </c>
      <c r="U10" s="26">
        <v>2024.0</v>
      </c>
      <c r="V10" s="26" t="s">
        <v>620</v>
      </c>
      <c r="X10" s="26" t="s">
        <v>2220</v>
      </c>
    </row>
    <row r="11" ht="14.25" customHeight="1">
      <c r="A11" s="37" t="s">
        <v>213</v>
      </c>
      <c r="B11" s="37" t="s">
        <v>214</v>
      </c>
      <c r="C11" s="37" t="s">
        <v>88</v>
      </c>
      <c r="D11" s="37" t="s">
        <v>215</v>
      </c>
      <c r="E11" s="26" t="s">
        <v>3715</v>
      </c>
      <c r="F11" s="26" t="s">
        <v>217</v>
      </c>
      <c r="G11" s="37" t="s">
        <v>49</v>
      </c>
      <c r="H11" s="26" t="s">
        <v>3716</v>
      </c>
      <c r="I11" s="26" t="s">
        <v>3717</v>
      </c>
      <c r="J11" s="26" t="s">
        <v>3718</v>
      </c>
      <c r="K11" s="26" t="s">
        <v>3719</v>
      </c>
      <c r="L11" s="26" t="s">
        <v>2216</v>
      </c>
      <c r="M11" s="26" t="s">
        <v>3720</v>
      </c>
      <c r="N11" s="26" t="s">
        <v>1210</v>
      </c>
      <c r="O11" s="26" t="s">
        <v>2216</v>
      </c>
      <c r="P11" s="37"/>
      <c r="R11" s="26" t="s">
        <v>1457</v>
      </c>
      <c r="S11" s="26" t="s">
        <v>3721</v>
      </c>
      <c r="T11" s="26" t="s">
        <v>1069</v>
      </c>
      <c r="U11" s="26">
        <v>2024.0</v>
      </c>
      <c r="V11" s="26" t="s">
        <v>620</v>
      </c>
      <c r="X11" s="26" t="s">
        <v>3722</v>
      </c>
    </row>
    <row r="12" ht="14.25" customHeight="1">
      <c r="A12" s="37" t="s">
        <v>218</v>
      </c>
      <c r="B12" s="37" t="s">
        <v>219</v>
      </c>
      <c r="C12" s="37" t="s">
        <v>88</v>
      </c>
      <c r="D12" s="37" t="s">
        <v>170</v>
      </c>
      <c r="E12" s="37" t="s">
        <v>220</v>
      </c>
      <c r="F12" s="37" t="s">
        <v>221</v>
      </c>
      <c r="G12" s="37" t="s">
        <v>49</v>
      </c>
      <c r="H12" s="26" t="s">
        <v>3723</v>
      </c>
      <c r="I12" s="26" t="s">
        <v>3724</v>
      </c>
      <c r="J12" s="26" t="s">
        <v>3725</v>
      </c>
      <c r="K12" s="26" t="s">
        <v>3726</v>
      </c>
      <c r="L12" s="26" t="s">
        <v>3713</v>
      </c>
      <c r="M12" s="26" t="s">
        <v>3727</v>
      </c>
      <c r="N12" s="26" t="s">
        <v>1210</v>
      </c>
      <c r="O12" s="26" t="s">
        <v>2216</v>
      </c>
      <c r="P12" s="37"/>
      <c r="R12" s="26" t="s">
        <v>1457</v>
      </c>
      <c r="S12" s="26" t="s">
        <v>3728</v>
      </c>
      <c r="T12" s="26" t="s">
        <v>1027</v>
      </c>
      <c r="U12" s="26">
        <v>2024.0</v>
      </c>
      <c r="V12" s="26" t="s">
        <v>620</v>
      </c>
      <c r="X12" s="26" t="s">
        <v>2220</v>
      </c>
    </row>
    <row r="13" ht="14.25" customHeight="1">
      <c r="A13" s="37" t="s">
        <v>222</v>
      </c>
      <c r="B13" s="37" t="s">
        <v>223</v>
      </c>
      <c r="C13" s="37" t="s">
        <v>88</v>
      </c>
      <c r="D13" s="37" t="s">
        <v>224</v>
      </c>
      <c r="E13" s="37" t="s">
        <v>90</v>
      </c>
      <c r="F13" s="37" t="s">
        <v>142</v>
      </c>
      <c r="G13" s="37" t="s">
        <v>49</v>
      </c>
      <c r="H13" s="26" t="s">
        <v>3729</v>
      </c>
      <c r="I13" s="26" t="s">
        <v>3730</v>
      </c>
      <c r="J13" s="26" t="s">
        <v>3731</v>
      </c>
      <c r="K13" s="26" t="s">
        <v>3732</v>
      </c>
      <c r="L13" s="26" t="s">
        <v>998</v>
      </c>
      <c r="M13" s="26" t="s">
        <v>2216</v>
      </c>
      <c r="N13" s="26" t="s">
        <v>1210</v>
      </c>
      <c r="O13" s="26" t="s">
        <v>2216</v>
      </c>
      <c r="P13" s="37"/>
      <c r="R13" s="26" t="s">
        <v>1457</v>
      </c>
      <c r="S13" s="26" t="s">
        <v>3733</v>
      </c>
      <c r="T13" s="26" t="s">
        <v>1027</v>
      </c>
      <c r="U13" s="26">
        <v>2024.0</v>
      </c>
      <c r="V13" s="26" t="s">
        <v>620</v>
      </c>
      <c r="X13" s="26" t="s">
        <v>3734</v>
      </c>
    </row>
    <row r="14" ht="14.25" customHeight="1">
      <c r="A14" s="37" t="s">
        <v>225</v>
      </c>
      <c r="B14" s="37" t="s">
        <v>226</v>
      </c>
      <c r="C14" s="37" t="s">
        <v>88</v>
      </c>
      <c r="D14" s="37" t="s">
        <v>227</v>
      </c>
      <c r="E14" s="37" t="s">
        <v>228</v>
      </c>
      <c r="F14" s="37" t="s">
        <v>189</v>
      </c>
      <c r="G14" s="37" t="s">
        <v>49</v>
      </c>
      <c r="N14" s="26" t="s">
        <v>1210</v>
      </c>
      <c r="O14" s="26" t="s">
        <v>2216</v>
      </c>
      <c r="P14" s="37"/>
      <c r="R14" s="26" t="s">
        <v>1457</v>
      </c>
    </row>
    <row r="15" ht="14.25" customHeight="1">
      <c r="A15" s="37" t="s">
        <v>229</v>
      </c>
      <c r="B15" s="37" t="s">
        <v>230</v>
      </c>
      <c r="C15" s="37" t="s">
        <v>88</v>
      </c>
      <c r="D15" s="37" t="s">
        <v>231</v>
      </c>
      <c r="E15" s="37" t="s">
        <v>232</v>
      </c>
      <c r="F15" s="37" t="s">
        <v>233</v>
      </c>
      <c r="G15" s="37" t="s">
        <v>49</v>
      </c>
      <c r="H15" s="26" t="s">
        <v>3735</v>
      </c>
      <c r="I15" s="26" t="s">
        <v>3736</v>
      </c>
      <c r="J15" s="26" t="s">
        <v>3737</v>
      </c>
      <c r="K15" s="26" t="s">
        <v>3738</v>
      </c>
      <c r="L15" s="26" t="s">
        <v>3666</v>
      </c>
      <c r="M15" s="26" t="s">
        <v>3739</v>
      </c>
      <c r="N15" s="26" t="s">
        <v>1210</v>
      </c>
      <c r="O15" s="26" t="s">
        <v>2216</v>
      </c>
      <c r="P15" s="37"/>
      <c r="R15" s="26" t="s">
        <v>1457</v>
      </c>
      <c r="S15" s="26" t="s">
        <v>3740</v>
      </c>
      <c r="T15" s="26" t="s">
        <v>1027</v>
      </c>
      <c r="U15" s="26">
        <v>2024.0</v>
      </c>
      <c r="V15" s="26" t="s">
        <v>620</v>
      </c>
      <c r="X15" s="26" t="s">
        <v>2220</v>
      </c>
    </row>
    <row r="16" ht="14.25" customHeight="1">
      <c r="A16" s="37" t="s">
        <v>234</v>
      </c>
      <c r="B16" s="37" t="s">
        <v>235</v>
      </c>
      <c r="C16" s="37" t="s">
        <v>88</v>
      </c>
      <c r="D16" s="37" t="s">
        <v>236</v>
      </c>
      <c r="E16" s="37" t="s">
        <v>237</v>
      </c>
      <c r="F16" s="37" t="s">
        <v>189</v>
      </c>
      <c r="G16" s="37" t="s">
        <v>49</v>
      </c>
      <c r="H16" s="26" t="s">
        <v>3741</v>
      </c>
      <c r="I16" s="26" t="s">
        <v>3742</v>
      </c>
      <c r="J16" s="26" t="s">
        <v>3743</v>
      </c>
      <c r="K16" s="26" t="s">
        <v>3744</v>
      </c>
      <c r="L16" s="26" t="s">
        <v>998</v>
      </c>
      <c r="M16" s="26" t="s">
        <v>3745</v>
      </c>
      <c r="N16" s="26" t="s">
        <v>1210</v>
      </c>
      <c r="O16" s="26" t="s">
        <v>2216</v>
      </c>
      <c r="P16" s="37"/>
      <c r="R16" s="26" t="s">
        <v>1457</v>
      </c>
      <c r="S16" s="26" t="s">
        <v>3746</v>
      </c>
      <c r="T16" s="26" t="s">
        <v>1027</v>
      </c>
      <c r="U16" s="26">
        <v>2024.0</v>
      </c>
      <c r="V16" s="26" t="s">
        <v>3681</v>
      </c>
      <c r="X16" s="26" t="s">
        <v>2220</v>
      </c>
    </row>
    <row r="17" ht="14.25" customHeight="1">
      <c r="A17" s="37" t="s">
        <v>238</v>
      </c>
      <c r="B17" s="37" t="s">
        <v>239</v>
      </c>
      <c r="C17" s="37" t="s">
        <v>88</v>
      </c>
      <c r="D17" s="37" t="s">
        <v>179</v>
      </c>
      <c r="E17" s="37" t="s">
        <v>228</v>
      </c>
      <c r="F17" s="37" t="s">
        <v>189</v>
      </c>
      <c r="G17" s="37" t="s">
        <v>49</v>
      </c>
      <c r="H17" s="26" t="s">
        <v>3747</v>
      </c>
      <c r="I17" s="26" t="s">
        <v>3748</v>
      </c>
      <c r="J17" s="26" t="s">
        <v>3749</v>
      </c>
      <c r="K17" s="26" t="s">
        <v>3750</v>
      </c>
      <c r="L17" s="26" t="s">
        <v>3666</v>
      </c>
      <c r="M17" s="26" t="s">
        <v>2216</v>
      </c>
      <c r="N17" s="26" t="s">
        <v>1210</v>
      </c>
      <c r="O17" s="26" t="s">
        <v>2216</v>
      </c>
      <c r="P17" s="37"/>
      <c r="R17" s="26" t="s">
        <v>1457</v>
      </c>
      <c r="S17" s="26" t="s">
        <v>3751</v>
      </c>
      <c r="T17" s="26" t="s">
        <v>1019</v>
      </c>
      <c r="U17" s="26">
        <v>2024.0</v>
      </c>
      <c r="V17" s="26" t="s">
        <v>620</v>
      </c>
      <c r="X17" s="26" t="s">
        <v>2220</v>
      </c>
    </row>
    <row r="18" ht="14.25" customHeight="1">
      <c r="A18" s="37" t="s">
        <v>240</v>
      </c>
      <c r="B18" s="37" t="s">
        <v>241</v>
      </c>
      <c r="C18" s="37" t="s">
        <v>88</v>
      </c>
      <c r="D18" s="37" t="s">
        <v>242</v>
      </c>
      <c r="E18" s="37" t="s">
        <v>243</v>
      </c>
      <c r="F18" s="37" t="s">
        <v>244</v>
      </c>
      <c r="G18" s="37" t="s">
        <v>49</v>
      </c>
      <c r="H18" s="26" t="s">
        <v>3752</v>
      </c>
      <c r="I18" s="26" t="s">
        <v>3753</v>
      </c>
      <c r="J18" s="26" t="s">
        <v>3754</v>
      </c>
      <c r="K18" s="26" t="s">
        <v>3755</v>
      </c>
      <c r="L18" s="26" t="s">
        <v>3756</v>
      </c>
      <c r="M18" s="26" t="s">
        <v>3757</v>
      </c>
      <c r="N18" s="26" t="s">
        <v>1210</v>
      </c>
      <c r="O18" s="26" t="s">
        <v>2216</v>
      </c>
      <c r="P18" s="37"/>
      <c r="R18" s="26" t="s">
        <v>1457</v>
      </c>
      <c r="S18" s="26" t="s">
        <v>3758</v>
      </c>
      <c r="T18" s="26" t="s">
        <v>1027</v>
      </c>
      <c r="U18" s="26">
        <v>2024.0</v>
      </c>
      <c r="V18" s="26" t="s">
        <v>1312</v>
      </c>
      <c r="X18" s="26" t="s">
        <v>2220</v>
      </c>
    </row>
    <row r="19" ht="14.25" customHeight="1">
      <c r="A19" s="37" t="s">
        <v>245</v>
      </c>
      <c r="B19" s="37" t="s">
        <v>246</v>
      </c>
      <c r="C19" s="37" t="s">
        <v>88</v>
      </c>
      <c r="D19" s="37" t="s">
        <v>247</v>
      </c>
      <c r="E19" s="37" t="s">
        <v>248</v>
      </c>
      <c r="F19" s="37" t="s">
        <v>233</v>
      </c>
      <c r="G19" s="26" t="s">
        <v>3759</v>
      </c>
      <c r="H19" s="26" t="s">
        <v>3760</v>
      </c>
      <c r="I19" s="26" t="s">
        <v>3761</v>
      </c>
      <c r="J19" s="26" t="s">
        <v>3762</v>
      </c>
      <c r="K19" s="26" t="s">
        <v>3763</v>
      </c>
      <c r="L19" s="26" t="s">
        <v>3666</v>
      </c>
      <c r="M19" s="26" t="s">
        <v>3764</v>
      </c>
      <c r="N19" s="26" t="s">
        <v>1210</v>
      </c>
      <c r="O19" s="26" t="s">
        <v>2216</v>
      </c>
      <c r="P19" s="37"/>
      <c r="R19" s="26" t="s">
        <v>1457</v>
      </c>
      <c r="S19" s="26" t="s">
        <v>3765</v>
      </c>
      <c r="T19" s="26" t="s">
        <v>1027</v>
      </c>
      <c r="U19" s="26">
        <v>2023.0</v>
      </c>
      <c r="V19" s="26" t="s">
        <v>620</v>
      </c>
      <c r="X19" s="26" t="s">
        <v>2220</v>
      </c>
    </row>
    <row r="20" ht="14.25" customHeight="1">
      <c r="A20" s="37" t="s">
        <v>249</v>
      </c>
      <c r="B20" s="37" t="s">
        <v>250</v>
      </c>
      <c r="C20" s="37" t="s">
        <v>88</v>
      </c>
      <c r="D20" s="37" t="s">
        <v>251</v>
      </c>
      <c r="E20" s="37" t="s">
        <v>252</v>
      </c>
      <c r="F20" s="37" t="s">
        <v>253</v>
      </c>
      <c r="G20" s="37" t="s">
        <v>49</v>
      </c>
      <c r="H20" s="26" t="s">
        <v>3766</v>
      </c>
      <c r="I20" s="26" t="s">
        <v>3767</v>
      </c>
      <c r="J20" s="26" t="s">
        <v>3768</v>
      </c>
      <c r="K20" s="26" t="s">
        <v>3769</v>
      </c>
      <c r="L20" s="26" t="s">
        <v>998</v>
      </c>
      <c r="M20" s="26" t="s">
        <v>2216</v>
      </c>
      <c r="N20" s="26" t="s">
        <v>1210</v>
      </c>
      <c r="O20" s="26" t="s">
        <v>2216</v>
      </c>
      <c r="P20" s="37"/>
      <c r="R20" s="26" t="s">
        <v>1457</v>
      </c>
      <c r="S20" s="26" t="s">
        <v>3770</v>
      </c>
      <c r="T20" s="26" t="s">
        <v>1323</v>
      </c>
      <c r="U20" s="26">
        <v>2024.0</v>
      </c>
      <c r="V20" s="26" t="s">
        <v>620</v>
      </c>
      <c r="X20" s="26" t="s">
        <v>2220</v>
      </c>
    </row>
    <row r="21" ht="14.25" customHeight="1">
      <c r="A21" s="37" t="s">
        <v>254</v>
      </c>
      <c r="B21" s="37" t="s">
        <v>255</v>
      </c>
      <c r="C21" s="37" t="s">
        <v>88</v>
      </c>
      <c r="D21" s="37" t="s">
        <v>256</v>
      </c>
      <c r="E21" s="37" t="s">
        <v>257</v>
      </c>
      <c r="F21" s="37" t="s">
        <v>189</v>
      </c>
      <c r="G21" s="37" t="s">
        <v>49</v>
      </c>
      <c r="H21" s="26" t="s">
        <v>3771</v>
      </c>
      <c r="J21" s="26" t="s">
        <v>3772</v>
      </c>
      <c r="K21" s="26" t="s">
        <v>3773</v>
      </c>
      <c r="L21" s="26" t="s">
        <v>3666</v>
      </c>
      <c r="M21" s="26" t="s">
        <v>2216</v>
      </c>
      <c r="N21" s="26" t="s">
        <v>1210</v>
      </c>
      <c r="O21" s="26" t="s">
        <v>2216</v>
      </c>
      <c r="P21" s="37"/>
      <c r="R21" s="26" t="s">
        <v>1457</v>
      </c>
      <c r="S21" s="26" t="s">
        <v>3774</v>
      </c>
      <c r="T21" s="26" t="s">
        <v>1027</v>
      </c>
      <c r="U21" s="26">
        <v>2023.0</v>
      </c>
      <c r="V21" s="26" t="s">
        <v>620</v>
      </c>
      <c r="X21" s="26" t="s">
        <v>2220</v>
      </c>
    </row>
    <row r="22" ht="14.25" customHeight="1">
      <c r="A22" s="327"/>
      <c r="B22" s="153"/>
      <c r="C22" s="153"/>
      <c r="D22" s="153"/>
      <c r="E22" s="153"/>
      <c r="F22" s="153"/>
      <c r="G22" s="328"/>
      <c r="O22" s="26" t="s">
        <v>2216</v>
      </c>
      <c r="P22" s="37"/>
    </row>
    <row r="23" ht="14.25" customHeight="1">
      <c r="A23" s="50"/>
      <c r="B23" s="16"/>
      <c r="C23" s="16"/>
      <c r="D23" s="16"/>
      <c r="E23" s="16"/>
      <c r="F23" s="16"/>
      <c r="G23" s="329"/>
      <c r="O23" s="26" t="s">
        <v>2216</v>
      </c>
      <c r="P23" s="37"/>
    </row>
    <row r="24" ht="14.25" customHeight="1">
      <c r="A24" s="26" t="s">
        <v>3775</v>
      </c>
    </row>
    <row r="25" ht="14.25" customHeight="1">
      <c r="A25" s="39" t="s">
        <v>652</v>
      </c>
      <c r="B25" s="39" t="s">
        <v>653</v>
      </c>
      <c r="C25" s="40" t="s">
        <v>616</v>
      </c>
      <c r="D25" s="39" t="s">
        <v>654</v>
      </c>
      <c r="E25" s="39" t="s">
        <v>655</v>
      </c>
      <c r="F25" s="39" t="s">
        <v>656</v>
      </c>
      <c r="G25" s="39" t="s">
        <v>49</v>
      </c>
      <c r="H25" s="39" t="s">
        <v>3776</v>
      </c>
      <c r="I25" s="39" t="s">
        <v>3777</v>
      </c>
      <c r="J25" s="39" t="s">
        <v>3778</v>
      </c>
      <c r="K25" s="26" t="s">
        <v>3779</v>
      </c>
      <c r="L25" s="26" t="s">
        <v>3713</v>
      </c>
      <c r="N25" s="26" t="s">
        <v>1210</v>
      </c>
      <c r="R25" s="26" t="s">
        <v>1457</v>
      </c>
      <c r="S25" s="26" t="s">
        <v>3780</v>
      </c>
      <c r="T25" s="26" t="s">
        <v>1027</v>
      </c>
      <c r="U25" s="26">
        <v>2025.0</v>
      </c>
      <c r="V25" s="26" t="s">
        <v>620</v>
      </c>
      <c r="X25" s="26" t="s">
        <v>2220</v>
      </c>
    </row>
    <row r="26" ht="14.25" customHeight="1">
      <c r="A26" s="39" t="s">
        <v>657</v>
      </c>
      <c r="B26" s="39" t="s">
        <v>658</v>
      </c>
      <c r="C26" s="40" t="s">
        <v>616</v>
      </c>
      <c r="D26" s="39" t="s">
        <v>617</v>
      </c>
      <c r="E26" s="39" t="s">
        <v>659</v>
      </c>
      <c r="F26" s="39" t="s">
        <v>385</v>
      </c>
      <c r="G26" s="39" t="s">
        <v>49</v>
      </c>
      <c r="H26" s="39" t="s">
        <v>3781</v>
      </c>
      <c r="I26" s="39" t="s">
        <v>3782</v>
      </c>
      <c r="J26" s="39" t="s">
        <v>3783</v>
      </c>
      <c r="K26" s="26" t="s">
        <v>3784</v>
      </c>
      <c r="L26" s="26" t="s">
        <v>1764</v>
      </c>
      <c r="M26" s="26" t="s">
        <v>3785</v>
      </c>
      <c r="N26" s="26" t="s">
        <v>1210</v>
      </c>
      <c r="S26" s="26" t="s">
        <v>3786</v>
      </c>
      <c r="T26" s="26" t="s">
        <v>1340</v>
      </c>
      <c r="U26" s="26">
        <v>2025.0</v>
      </c>
      <c r="V26" s="26" t="s">
        <v>620</v>
      </c>
      <c r="X26" s="26" t="s">
        <v>2220</v>
      </c>
    </row>
    <row r="27" ht="14.25" customHeight="1">
      <c r="A27" s="330" t="s">
        <v>660</v>
      </c>
      <c r="B27" s="330" t="s">
        <v>661</v>
      </c>
      <c r="C27" s="331" t="s">
        <v>616</v>
      </c>
      <c r="D27" s="330" t="s">
        <v>594</v>
      </c>
      <c r="F27" s="330" t="s">
        <v>662</v>
      </c>
      <c r="G27" s="330" t="s">
        <v>92</v>
      </c>
      <c r="H27" s="330"/>
      <c r="I27" s="332"/>
      <c r="J27" s="330"/>
      <c r="K27" s="315"/>
      <c r="L27" s="315"/>
      <c r="M27" s="315"/>
      <c r="N27" s="316" t="s">
        <v>1457</v>
      </c>
      <c r="O27" s="316" t="s">
        <v>3787</v>
      </c>
      <c r="P27" s="315"/>
      <c r="Q27" s="315"/>
      <c r="R27" s="316" t="s">
        <v>1457</v>
      </c>
      <c r="S27" s="315"/>
      <c r="T27" s="315"/>
      <c r="U27" s="315"/>
      <c r="V27" s="315"/>
      <c r="W27" s="315"/>
      <c r="X27" s="315"/>
      <c r="Y27" s="315"/>
      <c r="Z27" s="315"/>
      <c r="AA27" s="315"/>
      <c r="AB27" s="315"/>
      <c r="AC27" s="315"/>
    </row>
    <row r="28" ht="14.25" customHeight="1">
      <c r="A28" s="39" t="s">
        <v>663</v>
      </c>
      <c r="B28" s="39" t="s">
        <v>664</v>
      </c>
      <c r="C28" s="40" t="s">
        <v>616</v>
      </c>
      <c r="D28" s="39" t="s">
        <v>367</v>
      </c>
      <c r="E28" s="39" t="s">
        <v>665</v>
      </c>
      <c r="F28" s="39" t="s">
        <v>280</v>
      </c>
      <c r="G28" s="39" t="s">
        <v>49</v>
      </c>
      <c r="H28" s="39" t="s">
        <v>3788</v>
      </c>
      <c r="I28" s="39" t="s">
        <v>3789</v>
      </c>
      <c r="J28" s="39" t="s">
        <v>3790</v>
      </c>
      <c r="K28" s="26" t="s">
        <v>3791</v>
      </c>
      <c r="L28" s="26" t="s">
        <v>3792</v>
      </c>
      <c r="M28" s="26" t="s">
        <v>3793</v>
      </c>
      <c r="N28" s="26" t="s">
        <v>1210</v>
      </c>
      <c r="R28" s="26" t="s">
        <v>1457</v>
      </c>
      <c r="S28" s="26" t="s">
        <v>3794</v>
      </c>
      <c r="T28" s="26" t="s">
        <v>1002</v>
      </c>
      <c r="U28" s="26">
        <v>2025.0</v>
      </c>
      <c r="V28" s="26" t="s">
        <v>3795</v>
      </c>
      <c r="X28" s="26" t="s">
        <v>2220</v>
      </c>
    </row>
    <row r="29" ht="14.25" customHeight="1">
      <c r="A29" s="39" t="s">
        <v>666</v>
      </c>
      <c r="B29" s="39" t="s">
        <v>667</v>
      </c>
      <c r="C29" s="40" t="s">
        <v>616</v>
      </c>
      <c r="D29" s="39" t="s">
        <v>170</v>
      </c>
      <c r="E29" s="39"/>
      <c r="F29" s="39" t="s">
        <v>209</v>
      </c>
      <c r="G29" s="39" t="s">
        <v>578</v>
      </c>
      <c r="H29" s="39" t="s">
        <v>3796</v>
      </c>
      <c r="I29" s="39" t="s">
        <v>3797</v>
      </c>
      <c r="J29" s="39" t="s">
        <v>3798</v>
      </c>
      <c r="K29" s="26" t="s">
        <v>3799</v>
      </c>
      <c r="L29" s="26" t="s">
        <v>3800</v>
      </c>
      <c r="M29" s="26" t="s">
        <v>3801</v>
      </c>
      <c r="N29" s="26" t="s">
        <v>1210</v>
      </c>
      <c r="R29" s="26" t="s">
        <v>1457</v>
      </c>
      <c r="S29" s="26" t="s">
        <v>3802</v>
      </c>
      <c r="T29" s="26" t="s">
        <v>1027</v>
      </c>
      <c r="U29" s="26">
        <v>2025.0</v>
      </c>
      <c r="V29" s="26" t="s">
        <v>1003</v>
      </c>
      <c r="X29" s="26" t="s">
        <v>1991</v>
      </c>
    </row>
    <row r="30" ht="14.25" customHeight="1">
      <c r="A30" s="39" t="s">
        <v>703</v>
      </c>
      <c r="B30" s="39" t="s">
        <v>704</v>
      </c>
      <c r="C30" s="40" t="s">
        <v>616</v>
      </c>
      <c r="D30" s="39" t="s">
        <v>264</v>
      </c>
      <c r="E30" s="39" t="s">
        <v>705</v>
      </c>
      <c r="F30" s="39" t="s">
        <v>142</v>
      </c>
      <c r="G30" s="39" t="s">
        <v>49</v>
      </c>
      <c r="H30" s="39" t="s">
        <v>3803</v>
      </c>
      <c r="I30" s="39" t="s">
        <v>2216</v>
      </c>
      <c r="J30" s="39" t="s">
        <v>3804</v>
      </c>
      <c r="K30" s="26" t="s">
        <v>3805</v>
      </c>
      <c r="L30" s="26" t="s">
        <v>3806</v>
      </c>
      <c r="N30" s="26" t="s">
        <v>1210</v>
      </c>
      <c r="R30" s="26" t="s">
        <v>1457</v>
      </c>
      <c r="S30" s="26" t="s">
        <v>3807</v>
      </c>
      <c r="T30" s="26" t="s">
        <v>1027</v>
      </c>
      <c r="U30" s="26">
        <v>2025.0</v>
      </c>
      <c r="V30" s="26" t="s">
        <v>1354</v>
      </c>
      <c r="X30" s="26" t="s">
        <v>2220</v>
      </c>
    </row>
    <row r="31" ht="14.25" customHeight="1">
      <c r="A31" s="39" t="s">
        <v>706</v>
      </c>
      <c r="B31" s="39" t="s">
        <v>707</v>
      </c>
      <c r="C31" s="40" t="s">
        <v>616</v>
      </c>
      <c r="D31" s="39" t="s">
        <v>708</v>
      </c>
      <c r="E31" s="39" t="s">
        <v>198</v>
      </c>
      <c r="F31" s="39" t="s">
        <v>189</v>
      </c>
      <c r="G31" s="39" t="s">
        <v>49</v>
      </c>
      <c r="H31" s="39" t="s">
        <v>3808</v>
      </c>
      <c r="I31" s="39" t="s">
        <v>3809</v>
      </c>
      <c r="J31" s="39" t="s">
        <v>3810</v>
      </c>
      <c r="K31" s="26" t="s">
        <v>3811</v>
      </c>
      <c r="L31" s="26" t="s">
        <v>3713</v>
      </c>
      <c r="M31" s="26" t="s">
        <v>3812</v>
      </c>
      <c r="N31" s="26" t="s">
        <v>1210</v>
      </c>
      <c r="R31" s="26" t="s">
        <v>1457</v>
      </c>
      <c r="S31" s="26" t="s">
        <v>3813</v>
      </c>
      <c r="T31" s="26" t="s">
        <v>1027</v>
      </c>
      <c r="U31" s="26">
        <v>2025.0</v>
      </c>
      <c r="V31" s="26" t="s">
        <v>620</v>
      </c>
      <c r="X31" s="26" t="s">
        <v>2220</v>
      </c>
    </row>
    <row r="32" ht="14.25" customHeight="1">
      <c r="A32" s="39" t="s">
        <v>709</v>
      </c>
      <c r="B32" s="39" t="s">
        <v>710</v>
      </c>
      <c r="C32" s="40" t="s">
        <v>616</v>
      </c>
      <c r="D32" s="39" t="s">
        <v>587</v>
      </c>
      <c r="E32" s="39" t="s">
        <v>711</v>
      </c>
      <c r="F32" s="39" t="s">
        <v>221</v>
      </c>
      <c r="G32" s="39" t="s">
        <v>49</v>
      </c>
      <c r="H32" s="39" t="s">
        <v>3814</v>
      </c>
      <c r="I32" s="39" t="s">
        <v>3815</v>
      </c>
      <c r="J32" s="39" t="s">
        <v>3816</v>
      </c>
      <c r="K32" s="26" t="s">
        <v>3817</v>
      </c>
      <c r="L32" s="26" t="s">
        <v>3818</v>
      </c>
      <c r="M32" s="26" t="s">
        <v>2216</v>
      </c>
      <c r="N32" s="26" t="s">
        <v>1210</v>
      </c>
      <c r="R32" s="26" t="s">
        <v>1457</v>
      </c>
      <c r="S32" s="26" t="s">
        <v>3819</v>
      </c>
      <c r="T32" s="26" t="s">
        <v>1027</v>
      </c>
      <c r="U32" s="26">
        <v>2025.0</v>
      </c>
      <c r="V32" s="26" t="s">
        <v>3820</v>
      </c>
      <c r="X32" s="26" t="s">
        <v>2220</v>
      </c>
    </row>
    <row r="33" ht="14.25" customHeight="1">
      <c r="A33" s="333" t="s">
        <v>796</v>
      </c>
      <c r="B33" s="333" t="s">
        <v>797</v>
      </c>
      <c r="C33" s="334" t="s">
        <v>616</v>
      </c>
      <c r="D33" s="333" t="s">
        <v>343</v>
      </c>
      <c r="E33" s="333" t="s">
        <v>798</v>
      </c>
      <c r="F33" s="333" t="s">
        <v>221</v>
      </c>
      <c r="G33" s="333" t="s">
        <v>49</v>
      </c>
      <c r="H33" s="333"/>
      <c r="I33" s="335"/>
      <c r="J33" s="333"/>
      <c r="K33" s="325"/>
      <c r="L33" s="325"/>
      <c r="M33" s="325"/>
      <c r="N33" s="326" t="s">
        <v>1457</v>
      </c>
      <c r="O33" s="326" t="s">
        <v>3821</v>
      </c>
      <c r="P33" s="325"/>
      <c r="Q33" s="325"/>
      <c r="R33" s="325"/>
      <c r="S33" s="325"/>
      <c r="T33" s="325"/>
      <c r="U33" s="325"/>
      <c r="V33" s="325"/>
      <c r="W33" s="325"/>
      <c r="X33" s="325"/>
      <c r="Y33" s="325"/>
      <c r="Z33" s="325"/>
      <c r="AA33" s="325"/>
      <c r="AB33" s="325"/>
      <c r="AC33" s="325"/>
    </row>
    <row r="34" ht="14.25" customHeight="1">
      <c r="A34" s="330" t="s">
        <v>799</v>
      </c>
      <c r="B34" s="330" t="s">
        <v>800</v>
      </c>
      <c r="C34" s="331" t="s">
        <v>616</v>
      </c>
      <c r="D34" s="330" t="s">
        <v>150</v>
      </c>
      <c r="E34" s="330" t="s">
        <v>726</v>
      </c>
      <c r="F34" s="330" t="s">
        <v>221</v>
      </c>
      <c r="G34" s="330" t="s">
        <v>49</v>
      </c>
      <c r="H34" s="330"/>
      <c r="I34" s="332"/>
      <c r="J34" s="330"/>
      <c r="K34" s="315"/>
      <c r="L34" s="315"/>
      <c r="M34" s="315"/>
      <c r="N34" s="316" t="s">
        <v>1457</v>
      </c>
      <c r="O34" s="316" t="s">
        <v>3822</v>
      </c>
      <c r="P34" s="315"/>
      <c r="Q34" s="315"/>
      <c r="R34" s="315"/>
      <c r="S34" s="315"/>
      <c r="T34" s="316" t="s">
        <v>1340</v>
      </c>
      <c r="U34" s="316">
        <v>2025.0</v>
      </c>
      <c r="V34" s="315"/>
      <c r="W34" s="315"/>
      <c r="X34" s="315"/>
      <c r="Y34" s="315"/>
      <c r="Z34" s="315"/>
      <c r="AA34" s="315"/>
      <c r="AB34" s="315"/>
      <c r="AC34" s="315"/>
    </row>
    <row r="35" ht="14.25" customHeight="1">
      <c r="A35" s="39" t="s">
        <v>801</v>
      </c>
      <c r="B35" s="39" t="s">
        <v>802</v>
      </c>
      <c r="C35" s="40" t="s">
        <v>616</v>
      </c>
      <c r="D35" s="39" t="s">
        <v>406</v>
      </c>
      <c r="E35" s="39"/>
      <c r="F35" s="39" t="s">
        <v>803</v>
      </c>
      <c r="G35" s="39" t="s">
        <v>49</v>
      </c>
      <c r="H35" s="39" t="s">
        <v>3823</v>
      </c>
      <c r="I35" s="39" t="s">
        <v>3824</v>
      </c>
      <c r="J35" s="39" t="s">
        <v>3825</v>
      </c>
      <c r="K35" s="26" t="s">
        <v>3826</v>
      </c>
      <c r="L35" s="26" t="s">
        <v>3827</v>
      </c>
      <c r="N35" s="26" t="s">
        <v>1210</v>
      </c>
      <c r="R35" s="26" t="s">
        <v>1457</v>
      </c>
      <c r="S35" s="26" t="s">
        <v>3828</v>
      </c>
      <c r="T35" s="26" t="s">
        <v>1366</v>
      </c>
      <c r="U35" s="26">
        <v>2025.0</v>
      </c>
      <c r="V35" s="26" t="s">
        <v>1367</v>
      </c>
      <c r="X35" s="26" t="s">
        <v>3829</v>
      </c>
    </row>
    <row r="36" ht="14.25" customHeight="1">
      <c r="A36" s="39" t="s">
        <v>804</v>
      </c>
      <c r="B36" s="39" t="s">
        <v>805</v>
      </c>
      <c r="C36" s="40" t="s">
        <v>616</v>
      </c>
      <c r="D36" s="39" t="s">
        <v>443</v>
      </c>
      <c r="E36" s="39" t="s">
        <v>806</v>
      </c>
      <c r="F36" s="39" t="s">
        <v>536</v>
      </c>
      <c r="G36" s="39" t="s">
        <v>49</v>
      </c>
      <c r="H36" s="39" t="s">
        <v>3830</v>
      </c>
      <c r="I36" s="39" t="s">
        <v>3831</v>
      </c>
      <c r="J36" s="39" t="s">
        <v>3832</v>
      </c>
      <c r="K36" s="26" t="s">
        <v>3833</v>
      </c>
      <c r="L36" s="26" t="s">
        <v>3834</v>
      </c>
      <c r="M36" s="26" t="s">
        <v>3835</v>
      </c>
      <c r="N36" s="26" t="s">
        <v>1210</v>
      </c>
      <c r="R36" s="26" t="s">
        <v>1457</v>
      </c>
      <c r="S36" s="26" t="s">
        <v>3836</v>
      </c>
      <c r="T36" s="26" t="s">
        <v>1027</v>
      </c>
      <c r="U36" s="26">
        <v>2025.0</v>
      </c>
      <c r="V36" s="26" t="s">
        <v>620</v>
      </c>
      <c r="X36" s="26" t="s">
        <v>2220</v>
      </c>
    </row>
    <row r="37" ht="14.25" customHeight="1">
      <c r="A37" s="39" t="s">
        <v>807</v>
      </c>
      <c r="B37" s="39" t="s">
        <v>808</v>
      </c>
      <c r="C37" s="40" t="s">
        <v>616</v>
      </c>
      <c r="D37" s="39" t="s">
        <v>426</v>
      </c>
      <c r="E37" s="39" t="s">
        <v>809</v>
      </c>
      <c r="F37" s="39" t="s">
        <v>189</v>
      </c>
      <c r="G37" s="39" t="s">
        <v>49</v>
      </c>
      <c r="H37" s="39" t="s">
        <v>3837</v>
      </c>
      <c r="I37" s="39" t="s">
        <v>3838</v>
      </c>
      <c r="J37" s="39" t="s">
        <v>3839</v>
      </c>
      <c r="K37" s="26" t="s">
        <v>3840</v>
      </c>
      <c r="L37" s="26" t="s">
        <v>3841</v>
      </c>
      <c r="M37" s="26" t="s">
        <v>2216</v>
      </c>
      <c r="N37" s="26" t="s">
        <v>1210</v>
      </c>
      <c r="R37" s="26" t="s">
        <v>1457</v>
      </c>
      <c r="S37" s="26" t="s">
        <v>3842</v>
      </c>
      <c r="T37" s="26" t="s">
        <v>1027</v>
      </c>
      <c r="U37" s="26">
        <v>2025.0</v>
      </c>
      <c r="V37" s="26" t="s">
        <v>1354</v>
      </c>
      <c r="X37" s="26" t="s">
        <v>2220</v>
      </c>
    </row>
    <row r="38" ht="14.25" customHeight="1">
      <c r="A38" s="333" t="s">
        <v>889</v>
      </c>
      <c r="B38" s="333" t="s">
        <v>890</v>
      </c>
      <c r="C38" s="334" t="s">
        <v>891</v>
      </c>
      <c r="D38" s="333" t="s">
        <v>892</v>
      </c>
      <c r="E38" s="333" t="s">
        <v>514</v>
      </c>
      <c r="F38" s="333" t="s">
        <v>102</v>
      </c>
      <c r="G38" s="333" t="s">
        <v>49</v>
      </c>
      <c r="H38" s="333"/>
      <c r="I38" s="335"/>
      <c r="J38" s="333"/>
      <c r="K38" s="333"/>
      <c r="L38" s="333"/>
      <c r="M38" s="335"/>
      <c r="N38" s="333" t="s">
        <v>1457</v>
      </c>
      <c r="O38" s="326" t="s">
        <v>3843</v>
      </c>
      <c r="P38" s="325"/>
      <c r="Q38" s="325"/>
      <c r="R38" s="325"/>
      <c r="S38" s="325"/>
      <c r="T38" s="325"/>
      <c r="U38" s="325"/>
      <c r="V38" s="325"/>
      <c r="W38" s="325"/>
      <c r="X38" s="325"/>
      <c r="Y38" s="325"/>
      <c r="Z38" s="325"/>
      <c r="AA38" s="325"/>
      <c r="AB38" s="325"/>
      <c r="AC38" s="325"/>
    </row>
    <row r="39" ht="14.25" customHeight="1">
      <c r="A39" s="330" t="s">
        <v>909</v>
      </c>
      <c r="B39" s="330" t="s">
        <v>910</v>
      </c>
      <c r="C39" s="331" t="s">
        <v>891</v>
      </c>
      <c r="D39" s="330" t="s">
        <v>907</v>
      </c>
      <c r="F39" s="330" t="s">
        <v>102</v>
      </c>
      <c r="G39" s="330" t="s">
        <v>49</v>
      </c>
      <c r="H39" s="330"/>
      <c r="J39" s="330"/>
      <c r="K39" s="330"/>
      <c r="L39" s="330"/>
      <c r="M39" s="332"/>
      <c r="N39" s="330" t="s">
        <v>1457</v>
      </c>
      <c r="O39" s="316" t="s">
        <v>3844</v>
      </c>
      <c r="P39" s="315"/>
      <c r="Q39" s="315"/>
      <c r="R39" s="316" t="s">
        <v>1457</v>
      </c>
      <c r="S39" s="315"/>
      <c r="T39" s="316" t="s">
        <v>1323</v>
      </c>
      <c r="U39" s="316">
        <v>2022.0</v>
      </c>
      <c r="V39" s="315"/>
      <c r="W39" s="315"/>
      <c r="X39" s="315"/>
      <c r="Y39" s="315"/>
      <c r="Z39" s="315"/>
      <c r="AA39" s="315"/>
      <c r="AB39" s="315"/>
      <c r="AC39" s="315"/>
    </row>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3">
    <mergeCell ref="D27:E27"/>
    <mergeCell ref="D39:E39"/>
    <mergeCell ref="H39:I39"/>
  </mergeCells>
  <dataValidations>
    <dataValidation type="list" allowBlank="1" showErrorMessage="1" sqref="P2:P23">
      <formula1>'Exclussion basis'!$A$2:$A$4</formula1>
    </dataValidation>
  </dataValidations>
  <printOptions/>
  <pageMargins bottom="0.75" footer="0.0" header="0.0" left="0.7" right="0.7" top="0.75"/>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5.67"/>
    <col customWidth="1" min="2" max="2" width="92.0"/>
    <col customWidth="1" min="3" max="3" width="13.0"/>
    <col customWidth="1" min="4" max="4" width="9.0"/>
    <col customWidth="1" min="5"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7" width="10.11"/>
    <col customWidth="1" min="18" max="18" width="11.56"/>
    <col customWidth="1" min="19" max="19" width="6.44"/>
    <col customWidth="1" min="20" max="20" width="6.78"/>
    <col customWidth="1" min="21" max="21" width="7.44"/>
    <col customWidth="1" min="22" max="22" width="6.78"/>
    <col customWidth="1" min="23" max="23" width="11.33"/>
    <col customWidth="1" min="24" max="30" width="6.78"/>
  </cols>
  <sheetData>
    <row r="1" ht="14.25" customHeight="1">
      <c r="A1" s="54" t="s">
        <v>57</v>
      </c>
      <c r="B1" s="54" t="s">
        <v>58</v>
      </c>
      <c r="C1" s="54" t="s">
        <v>59</v>
      </c>
      <c r="D1" s="54" t="s">
        <v>60</v>
      </c>
      <c r="E1" s="55" t="s">
        <v>943</v>
      </c>
      <c r="F1" s="55" t="s">
        <v>3845</v>
      </c>
      <c r="G1" s="308" t="s">
        <v>61</v>
      </c>
      <c r="H1" s="308" t="s">
        <v>62</v>
      </c>
      <c r="I1" s="308" t="s">
        <v>3207</v>
      </c>
      <c r="J1" s="309" t="s">
        <v>3208</v>
      </c>
      <c r="K1" s="309" t="s">
        <v>3209</v>
      </c>
      <c r="L1" s="308" t="s">
        <v>3210</v>
      </c>
      <c r="M1" s="310" t="s">
        <v>3649</v>
      </c>
      <c r="N1" s="309" t="s">
        <v>3212</v>
      </c>
      <c r="O1" s="308" t="s">
        <v>3213</v>
      </c>
      <c r="P1" s="308" t="s">
        <v>3214</v>
      </c>
      <c r="Q1" s="308" t="s">
        <v>3215</v>
      </c>
      <c r="R1" s="308" t="s">
        <v>3216</v>
      </c>
      <c r="S1" s="54" t="s">
        <v>3217</v>
      </c>
      <c r="T1" s="56" t="s">
        <v>944</v>
      </c>
      <c r="U1" s="311" t="s">
        <v>3219</v>
      </c>
      <c r="V1" s="311" t="s">
        <v>3846</v>
      </c>
      <c r="W1" s="311" t="s">
        <v>3682</v>
      </c>
      <c r="X1" s="311" t="s">
        <v>62</v>
      </c>
      <c r="Y1" s="311" t="s">
        <v>950</v>
      </c>
      <c r="Z1" s="312" t="s">
        <v>3223</v>
      </c>
    </row>
    <row r="2" ht="14.25" customHeight="1">
      <c r="A2" s="313" t="s">
        <v>344</v>
      </c>
      <c r="B2" s="313" t="s">
        <v>345</v>
      </c>
      <c r="C2" s="313" t="s">
        <v>88</v>
      </c>
      <c r="D2" s="313" t="s">
        <v>201</v>
      </c>
      <c r="E2" s="336" t="s">
        <v>3847</v>
      </c>
      <c r="F2" s="313"/>
      <c r="G2" s="313" t="s">
        <v>346</v>
      </c>
      <c r="H2" s="313" t="s">
        <v>209</v>
      </c>
      <c r="I2" s="313" t="s">
        <v>49</v>
      </c>
      <c r="J2" s="314" t="s">
        <v>3848</v>
      </c>
      <c r="K2" s="314" t="s">
        <v>3849</v>
      </c>
      <c r="L2" s="314" t="s">
        <v>3850</v>
      </c>
      <c r="M2" s="314" t="s">
        <v>3851</v>
      </c>
      <c r="N2" s="314" t="s">
        <v>3852</v>
      </c>
      <c r="O2" s="314" t="s">
        <v>3853</v>
      </c>
      <c r="P2" s="314" t="s">
        <v>963</v>
      </c>
      <c r="Q2" s="314" t="s">
        <v>3854</v>
      </c>
      <c r="R2" s="314" t="s">
        <v>2979</v>
      </c>
      <c r="S2" s="313"/>
      <c r="T2" s="314" t="s">
        <v>963</v>
      </c>
      <c r="U2" s="314"/>
      <c r="V2" s="314" t="s">
        <v>3855</v>
      </c>
      <c r="W2" s="314" t="s">
        <v>3856</v>
      </c>
      <c r="X2" s="314"/>
      <c r="Y2" s="314" t="s">
        <v>1216</v>
      </c>
      <c r="Z2" s="313"/>
      <c r="AA2" s="313"/>
      <c r="AB2" s="313"/>
      <c r="AC2" s="313"/>
      <c r="AD2" s="313"/>
    </row>
    <row r="3" ht="14.25" customHeight="1">
      <c r="A3" s="37" t="s">
        <v>348</v>
      </c>
      <c r="B3" s="37" t="s">
        <v>349</v>
      </c>
      <c r="C3" s="37" t="s">
        <v>88</v>
      </c>
      <c r="D3" s="37" t="s">
        <v>179</v>
      </c>
      <c r="E3" s="139" t="s">
        <v>1440</v>
      </c>
      <c r="G3" s="37" t="s">
        <v>350</v>
      </c>
      <c r="H3" s="37" t="s">
        <v>189</v>
      </c>
      <c r="I3" s="37" t="s">
        <v>49</v>
      </c>
      <c r="J3" s="26" t="s">
        <v>3857</v>
      </c>
      <c r="K3" s="26" t="s">
        <v>3858</v>
      </c>
      <c r="L3" s="26" t="s">
        <v>3859</v>
      </c>
      <c r="M3" s="26" t="s">
        <v>3860</v>
      </c>
      <c r="N3" s="26" t="s">
        <v>998</v>
      </c>
      <c r="O3" s="26" t="s">
        <v>3861</v>
      </c>
      <c r="P3" s="26" t="s">
        <v>931</v>
      </c>
      <c r="R3" s="26" t="s">
        <v>2979</v>
      </c>
      <c r="S3" s="26" t="s">
        <v>3862</v>
      </c>
      <c r="T3" s="26" t="s">
        <v>963</v>
      </c>
      <c r="U3" s="26"/>
      <c r="V3" s="26" t="s">
        <v>3855</v>
      </c>
      <c r="W3" s="26" t="s">
        <v>3863</v>
      </c>
      <c r="X3" s="26"/>
      <c r="Y3" s="26" t="s">
        <v>1027</v>
      </c>
    </row>
    <row r="4" ht="14.25" customHeight="1">
      <c r="A4" s="37" t="s">
        <v>351</v>
      </c>
      <c r="B4" s="37" t="s">
        <v>352</v>
      </c>
      <c r="C4" s="37" t="s">
        <v>88</v>
      </c>
      <c r="D4" s="37" t="s">
        <v>353</v>
      </c>
      <c r="E4" s="139" t="s">
        <v>1444</v>
      </c>
      <c r="F4" s="26">
        <v>12.0</v>
      </c>
      <c r="G4" s="37" t="s">
        <v>162</v>
      </c>
      <c r="H4" s="37" t="s">
        <v>354</v>
      </c>
      <c r="I4" s="37" t="s">
        <v>49</v>
      </c>
      <c r="J4" s="26" t="s">
        <v>3864</v>
      </c>
      <c r="K4" s="26" t="s">
        <v>3865</v>
      </c>
      <c r="L4" s="26" t="s">
        <v>3866</v>
      </c>
      <c r="M4" s="26" t="s">
        <v>3867</v>
      </c>
      <c r="N4" s="26" t="s">
        <v>998</v>
      </c>
      <c r="O4" s="26" t="s">
        <v>3868</v>
      </c>
      <c r="P4" s="26" t="s">
        <v>931</v>
      </c>
      <c r="R4" s="26" t="s">
        <v>2979</v>
      </c>
      <c r="T4" s="26" t="s">
        <v>963</v>
      </c>
      <c r="U4" s="26"/>
      <c r="V4" s="26" t="s">
        <v>3855</v>
      </c>
      <c r="W4" s="26" t="s">
        <v>3869</v>
      </c>
      <c r="X4" s="26"/>
      <c r="Y4" s="26" t="s">
        <v>3870</v>
      </c>
    </row>
    <row r="5" ht="14.25" customHeight="1">
      <c r="A5" s="337" t="s">
        <v>3871</v>
      </c>
      <c r="H5" s="337"/>
      <c r="R5" s="37"/>
    </row>
    <row r="6" ht="14.25" customHeight="1">
      <c r="A6" s="37" t="s">
        <v>355</v>
      </c>
      <c r="B6" s="37" t="s">
        <v>356</v>
      </c>
      <c r="C6" s="37" t="s">
        <v>88</v>
      </c>
      <c r="D6" s="37" t="s">
        <v>357</v>
      </c>
      <c r="E6" s="122" t="s">
        <v>1448</v>
      </c>
      <c r="G6" s="37" t="s">
        <v>358</v>
      </c>
      <c r="H6" s="37" t="s">
        <v>189</v>
      </c>
      <c r="I6" s="37" t="s">
        <v>49</v>
      </c>
      <c r="J6" s="26" t="s">
        <v>3872</v>
      </c>
      <c r="K6" s="26" t="s">
        <v>3873</v>
      </c>
      <c r="L6" s="26" t="s">
        <v>3874</v>
      </c>
      <c r="M6" s="26" t="s">
        <v>3875</v>
      </c>
      <c r="N6" s="26" t="s">
        <v>3876</v>
      </c>
      <c r="O6" s="26" t="s">
        <v>3877</v>
      </c>
      <c r="P6" s="26" t="s">
        <v>931</v>
      </c>
      <c r="R6" s="26" t="s">
        <v>2979</v>
      </c>
      <c r="T6" s="26" t="s">
        <v>963</v>
      </c>
      <c r="U6" s="26"/>
      <c r="V6" s="26" t="s">
        <v>3878</v>
      </c>
      <c r="W6" s="26" t="s">
        <v>3879</v>
      </c>
      <c r="X6" s="26"/>
      <c r="Y6" s="26" t="s">
        <v>1456</v>
      </c>
    </row>
    <row r="7" ht="14.25" customHeight="1">
      <c r="A7" s="37" t="s">
        <v>359</v>
      </c>
      <c r="B7" s="37" t="s">
        <v>360</v>
      </c>
      <c r="C7" s="37" t="s">
        <v>88</v>
      </c>
      <c r="D7" s="37" t="s">
        <v>122</v>
      </c>
      <c r="E7" s="139" t="s">
        <v>1454</v>
      </c>
      <c r="G7" s="37" t="s">
        <v>358</v>
      </c>
      <c r="H7" s="37" t="s">
        <v>221</v>
      </c>
      <c r="I7" s="37" t="s">
        <v>49</v>
      </c>
      <c r="J7" s="26" t="s">
        <v>3880</v>
      </c>
      <c r="K7" s="26" t="s">
        <v>3873</v>
      </c>
      <c r="L7" s="26" t="s">
        <v>3881</v>
      </c>
      <c r="M7" s="26" t="s">
        <v>3875</v>
      </c>
      <c r="N7" s="26" t="s">
        <v>3882</v>
      </c>
      <c r="O7" s="26" t="s">
        <v>3883</v>
      </c>
      <c r="P7" s="26" t="s">
        <v>931</v>
      </c>
      <c r="R7" s="26" t="s">
        <v>2979</v>
      </c>
      <c r="T7" s="26" t="s">
        <v>963</v>
      </c>
      <c r="V7" s="26" t="s">
        <v>3884</v>
      </c>
      <c r="W7" s="26" t="s">
        <v>3885</v>
      </c>
      <c r="Y7" s="26" t="s">
        <v>1456</v>
      </c>
    </row>
    <row r="8" ht="14.25" customHeight="1">
      <c r="A8" s="325" t="s">
        <v>361</v>
      </c>
      <c r="B8" s="325" t="s">
        <v>362</v>
      </c>
      <c r="C8" s="325" t="s">
        <v>88</v>
      </c>
      <c r="D8" s="325" t="s">
        <v>363</v>
      </c>
      <c r="E8" s="338" t="s">
        <v>3886</v>
      </c>
      <c r="F8" s="325"/>
      <c r="G8" s="325" t="s">
        <v>142</v>
      </c>
      <c r="H8" s="325" t="s">
        <v>364</v>
      </c>
      <c r="I8" s="325" t="s">
        <v>49</v>
      </c>
      <c r="J8" s="326" t="s">
        <v>2216</v>
      </c>
      <c r="K8" s="326" t="s">
        <v>2216</v>
      </c>
      <c r="L8" s="326" t="s">
        <v>2216</v>
      </c>
      <c r="M8" s="326" t="s">
        <v>2216</v>
      </c>
      <c r="N8" s="326" t="s">
        <v>2216</v>
      </c>
      <c r="O8" s="326" t="s">
        <v>2216</v>
      </c>
      <c r="P8" s="326" t="s">
        <v>2216</v>
      </c>
      <c r="Q8" s="326" t="s">
        <v>2216</v>
      </c>
      <c r="R8" s="325"/>
      <c r="S8" s="326" t="s">
        <v>3059</v>
      </c>
      <c r="T8" s="325"/>
      <c r="U8" s="325"/>
      <c r="V8" s="325"/>
      <c r="W8" s="325"/>
      <c r="X8" s="325"/>
      <c r="Y8" s="325"/>
      <c r="Z8" s="325"/>
      <c r="AA8" s="325"/>
      <c r="AB8" s="325"/>
      <c r="AC8" s="325"/>
      <c r="AD8" s="325"/>
    </row>
    <row r="9" ht="14.25" customHeight="1">
      <c r="A9" s="37" t="s">
        <v>365</v>
      </c>
      <c r="B9" s="37" t="s">
        <v>366</v>
      </c>
      <c r="C9" s="37" t="s">
        <v>88</v>
      </c>
      <c r="D9" s="37" t="s">
        <v>367</v>
      </c>
      <c r="E9" s="139" t="s">
        <v>1460</v>
      </c>
      <c r="G9" s="37" t="s">
        <v>368</v>
      </c>
      <c r="H9" s="37" t="s">
        <v>369</v>
      </c>
      <c r="I9" s="37" t="s">
        <v>49</v>
      </c>
      <c r="J9" s="26" t="s">
        <v>3887</v>
      </c>
      <c r="K9" s="26" t="s">
        <v>3888</v>
      </c>
      <c r="L9" s="26" t="s">
        <v>3889</v>
      </c>
      <c r="M9" s="26" t="s">
        <v>3890</v>
      </c>
      <c r="N9" s="26" t="s">
        <v>3891</v>
      </c>
      <c r="O9" s="26" t="s">
        <v>3892</v>
      </c>
      <c r="P9" s="26" t="s">
        <v>931</v>
      </c>
      <c r="R9" s="26" t="s">
        <v>2979</v>
      </c>
      <c r="S9" s="26" t="s">
        <v>3893</v>
      </c>
      <c r="T9" s="26" t="s">
        <v>963</v>
      </c>
      <c r="V9" s="26" t="s">
        <v>3894</v>
      </c>
      <c r="W9" s="26" t="s">
        <v>3895</v>
      </c>
      <c r="Y9" s="26" t="s">
        <v>1027</v>
      </c>
    </row>
    <row r="10" ht="14.25" customHeight="1">
      <c r="A10" s="37" t="s">
        <v>370</v>
      </c>
      <c r="B10" s="37" t="s">
        <v>371</v>
      </c>
      <c r="C10" s="37" t="s">
        <v>88</v>
      </c>
      <c r="D10" s="37" t="s">
        <v>372</v>
      </c>
      <c r="E10" s="122" t="s">
        <v>1467</v>
      </c>
      <c r="G10" s="37" t="s">
        <v>101</v>
      </c>
      <c r="H10" s="37" t="s">
        <v>373</v>
      </c>
      <c r="I10" s="37" t="s">
        <v>49</v>
      </c>
      <c r="J10" s="26" t="s">
        <v>3896</v>
      </c>
      <c r="K10" s="26" t="s">
        <v>3897</v>
      </c>
      <c r="L10" s="26" t="s">
        <v>3898</v>
      </c>
      <c r="M10" s="26" t="s">
        <v>3899</v>
      </c>
      <c r="N10" s="26" t="s">
        <v>3900</v>
      </c>
      <c r="O10" s="26" t="s">
        <v>3901</v>
      </c>
      <c r="P10" s="26" t="s">
        <v>931</v>
      </c>
      <c r="R10" s="26" t="s">
        <v>2979</v>
      </c>
      <c r="T10" s="26" t="s">
        <v>963</v>
      </c>
      <c r="V10" s="26" t="s">
        <v>3902</v>
      </c>
      <c r="W10" s="26" t="s">
        <v>3903</v>
      </c>
      <c r="Y10" s="26" t="s">
        <v>1027</v>
      </c>
    </row>
    <row r="11" ht="14.25" customHeight="1">
      <c r="A11" s="313" t="s">
        <v>374</v>
      </c>
      <c r="B11" s="313" t="s">
        <v>375</v>
      </c>
      <c r="C11" s="313" t="s">
        <v>88</v>
      </c>
      <c r="D11" s="313" t="s">
        <v>174</v>
      </c>
      <c r="E11" s="339" t="s">
        <v>3904</v>
      </c>
      <c r="F11" s="313"/>
      <c r="G11" s="313" t="s">
        <v>101</v>
      </c>
      <c r="H11" s="313" t="s">
        <v>376</v>
      </c>
      <c r="I11" s="313" t="s">
        <v>49</v>
      </c>
      <c r="J11" s="314" t="s">
        <v>3905</v>
      </c>
      <c r="K11" s="314" t="s">
        <v>3906</v>
      </c>
      <c r="L11" s="314" t="s">
        <v>3907</v>
      </c>
      <c r="M11" s="314" t="s">
        <v>3908</v>
      </c>
      <c r="N11" s="314" t="s">
        <v>3909</v>
      </c>
      <c r="O11" s="314" t="s">
        <v>3910</v>
      </c>
      <c r="P11" s="314" t="s">
        <v>963</v>
      </c>
      <c r="Q11" s="314" t="s">
        <v>3911</v>
      </c>
      <c r="R11" s="314" t="s">
        <v>2979</v>
      </c>
      <c r="S11" s="313"/>
      <c r="T11" s="314" t="s">
        <v>963</v>
      </c>
      <c r="U11" s="313"/>
      <c r="V11" s="314" t="s">
        <v>3912</v>
      </c>
      <c r="W11" s="314" t="s">
        <v>3913</v>
      </c>
      <c r="X11" s="313"/>
      <c r="Y11" s="314" t="s">
        <v>1027</v>
      </c>
      <c r="Z11" s="313"/>
      <c r="AA11" s="313"/>
      <c r="AB11" s="313"/>
      <c r="AC11" s="313"/>
      <c r="AD11" s="313"/>
    </row>
    <row r="12" ht="14.25" customHeight="1">
      <c r="A12" s="37" t="s">
        <v>377</v>
      </c>
      <c r="B12" s="37" t="s">
        <v>378</v>
      </c>
      <c r="C12" s="37" t="s">
        <v>88</v>
      </c>
      <c r="D12" s="37" t="s">
        <v>379</v>
      </c>
      <c r="E12" s="139" t="s">
        <v>1472</v>
      </c>
      <c r="G12" s="37" t="s">
        <v>380</v>
      </c>
      <c r="H12" s="37" t="s">
        <v>189</v>
      </c>
      <c r="I12" s="37" t="s">
        <v>49</v>
      </c>
      <c r="J12" s="26" t="s">
        <v>3914</v>
      </c>
      <c r="K12" s="26" t="s">
        <v>3915</v>
      </c>
      <c r="L12" s="26" t="s">
        <v>3916</v>
      </c>
      <c r="M12" s="26" t="s">
        <v>3917</v>
      </c>
      <c r="N12" s="26" t="s">
        <v>3918</v>
      </c>
      <c r="O12" s="26" t="s">
        <v>3919</v>
      </c>
      <c r="P12" s="26" t="s">
        <v>931</v>
      </c>
      <c r="R12" s="26" t="s">
        <v>2979</v>
      </c>
      <c r="S12" s="26" t="s">
        <v>3920</v>
      </c>
      <c r="T12" s="26" t="s">
        <v>963</v>
      </c>
      <c r="V12" s="26" t="s">
        <v>3884</v>
      </c>
      <c r="W12" s="26" t="s">
        <v>3921</v>
      </c>
      <c r="Y12" s="26" t="s">
        <v>1027</v>
      </c>
    </row>
    <row r="13" ht="14.25" customHeight="1">
      <c r="A13" s="37" t="s">
        <v>381</v>
      </c>
      <c r="B13" s="37" t="s">
        <v>382</v>
      </c>
      <c r="C13" s="37" t="s">
        <v>88</v>
      </c>
      <c r="D13" s="37" t="s">
        <v>383</v>
      </c>
      <c r="E13" s="139" t="s">
        <v>1479</v>
      </c>
      <c r="G13" s="37" t="s">
        <v>384</v>
      </c>
      <c r="H13" s="37" t="s">
        <v>385</v>
      </c>
      <c r="I13" s="37" t="s">
        <v>49</v>
      </c>
      <c r="J13" s="26" t="s">
        <v>3922</v>
      </c>
      <c r="K13" s="26" t="s">
        <v>3923</v>
      </c>
      <c r="L13" s="26" t="s">
        <v>3924</v>
      </c>
      <c r="M13" s="26" t="s">
        <v>3925</v>
      </c>
      <c r="N13" s="26" t="s">
        <v>3926</v>
      </c>
      <c r="O13" s="26" t="s">
        <v>3927</v>
      </c>
      <c r="P13" s="26" t="s">
        <v>931</v>
      </c>
      <c r="R13" s="26" t="s">
        <v>2979</v>
      </c>
      <c r="S13" s="26" t="s">
        <v>3928</v>
      </c>
      <c r="T13" s="26" t="s">
        <v>963</v>
      </c>
      <c r="V13" s="26" t="s">
        <v>3929</v>
      </c>
      <c r="W13" s="26" t="s">
        <v>3930</v>
      </c>
      <c r="Y13" s="26" t="s">
        <v>1027</v>
      </c>
    </row>
    <row r="14" ht="14.25" customHeight="1">
      <c r="A14" s="37" t="s">
        <v>386</v>
      </c>
      <c r="B14" s="37" t="s">
        <v>387</v>
      </c>
      <c r="C14" s="37" t="s">
        <v>88</v>
      </c>
      <c r="D14" s="37" t="s">
        <v>379</v>
      </c>
      <c r="E14" s="139" t="s">
        <v>1484</v>
      </c>
      <c r="G14" s="37" t="s">
        <v>388</v>
      </c>
      <c r="H14" s="37" t="s">
        <v>389</v>
      </c>
      <c r="I14" s="37" t="s">
        <v>49</v>
      </c>
      <c r="J14" s="26" t="s">
        <v>3931</v>
      </c>
      <c r="K14" s="26" t="s">
        <v>3932</v>
      </c>
      <c r="L14" s="26" t="s">
        <v>3933</v>
      </c>
      <c r="M14" s="26" t="s">
        <v>3934</v>
      </c>
      <c r="N14" s="26" t="s">
        <v>3935</v>
      </c>
      <c r="O14" s="26" t="s">
        <v>3936</v>
      </c>
      <c r="P14" s="26" t="s">
        <v>931</v>
      </c>
      <c r="R14" s="26" t="s">
        <v>2979</v>
      </c>
      <c r="T14" s="26" t="s">
        <v>963</v>
      </c>
      <c r="V14" s="26" t="s">
        <v>3937</v>
      </c>
      <c r="W14" s="26" t="s">
        <v>3938</v>
      </c>
      <c r="Y14" s="26" t="s">
        <v>1027</v>
      </c>
    </row>
    <row r="15" ht="14.25" customHeight="1">
      <c r="A15" s="37" t="s">
        <v>390</v>
      </c>
      <c r="B15" s="37" t="s">
        <v>391</v>
      </c>
      <c r="C15" s="37" t="s">
        <v>88</v>
      </c>
      <c r="D15" s="37" t="s">
        <v>392</v>
      </c>
      <c r="E15" s="122" t="s">
        <v>1492</v>
      </c>
      <c r="H15" s="37" t="s">
        <v>393</v>
      </c>
      <c r="I15" s="37" t="s">
        <v>49</v>
      </c>
      <c r="J15" s="26" t="s">
        <v>3939</v>
      </c>
      <c r="K15" s="26" t="s">
        <v>3940</v>
      </c>
      <c r="L15" s="26" t="s">
        <v>3941</v>
      </c>
      <c r="M15" s="26" t="s">
        <v>3942</v>
      </c>
      <c r="N15" s="26" t="s">
        <v>3943</v>
      </c>
      <c r="O15" s="26" t="s">
        <v>3944</v>
      </c>
      <c r="P15" s="26" t="s">
        <v>931</v>
      </c>
      <c r="R15" s="26" t="s">
        <v>2979</v>
      </c>
      <c r="S15" s="26" t="s">
        <v>3945</v>
      </c>
      <c r="T15" s="26" t="s">
        <v>963</v>
      </c>
      <c r="V15" s="26" t="s">
        <v>3946</v>
      </c>
      <c r="W15" s="26" t="s">
        <v>3947</v>
      </c>
      <c r="Y15" s="26" t="s">
        <v>991</v>
      </c>
    </row>
    <row r="16" ht="14.25" customHeight="1">
      <c r="A16" s="37" t="s">
        <v>394</v>
      </c>
      <c r="B16" s="37" t="s">
        <v>395</v>
      </c>
      <c r="C16" s="37" t="s">
        <v>88</v>
      </c>
      <c r="D16" s="37" t="s">
        <v>396</v>
      </c>
      <c r="E16" s="122" t="s">
        <v>1498</v>
      </c>
      <c r="G16" s="37" t="s">
        <v>397</v>
      </c>
      <c r="H16" s="37" t="s">
        <v>398</v>
      </c>
      <c r="I16" s="340" t="s">
        <v>3948</v>
      </c>
      <c r="J16" s="26" t="s">
        <v>3949</v>
      </c>
      <c r="K16" s="26" t="s">
        <v>3950</v>
      </c>
      <c r="L16" s="26" t="s">
        <v>3951</v>
      </c>
      <c r="M16" s="26" t="s">
        <v>3952</v>
      </c>
      <c r="N16" s="26" t="s">
        <v>3248</v>
      </c>
      <c r="O16" s="26" t="s">
        <v>3953</v>
      </c>
      <c r="P16" s="26" t="s">
        <v>931</v>
      </c>
      <c r="R16" s="26" t="s">
        <v>2979</v>
      </c>
      <c r="T16" s="26" t="s">
        <v>963</v>
      </c>
      <c r="V16" s="26" t="s">
        <v>3954</v>
      </c>
      <c r="W16" s="26" t="s">
        <v>3955</v>
      </c>
      <c r="Y16" s="26" t="s">
        <v>1172</v>
      </c>
    </row>
    <row r="17" ht="14.25" customHeight="1">
      <c r="A17" s="37" t="s">
        <v>399</v>
      </c>
      <c r="B17" s="37" t="s">
        <v>400</v>
      </c>
      <c r="C17" s="37" t="s">
        <v>88</v>
      </c>
      <c r="D17" s="37" t="s">
        <v>401</v>
      </c>
      <c r="E17" s="139" t="s">
        <v>1506</v>
      </c>
      <c r="G17" s="37" t="s">
        <v>402</v>
      </c>
      <c r="H17" s="37" t="s">
        <v>403</v>
      </c>
      <c r="I17" s="37" t="s">
        <v>49</v>
      </c>
      <c r="J17" s="26" t="s">
        <v>3956</v>
      </c>
      <c r="K17" s="26" t="s">
        <v>3957</v>
      </c>
      <c r="L17" s="26" t="s">
        <v>3958</v>
      </c>
      <c r="M17" s="26" t="s">
        <v>3959</v>
      </c>
      <c r="N17" s="26" t="s">
        <v>3960</v>
      </c>
      <c r="O17" s="26" t="s">
        <v>3961</v>
      </c>
      <c r="P17" s="26" t="s">
        <v>931</v>
      </c>
      <c r="R17" s="26" t="s">
        <v>2979</v>
      </c>
      <c r="S17" s="26" t="s">
        <v>3962</v>
      </c>
      <c r="T17" s="26" t="s">
        <v>963</v>
      </c>
      <c r="V17" s="26" t="s">
        <v>3963</v>
      </c>
      <c r="W17" s="26" t="s">
        <v>3964</v>
      </c>
      <c r="Y17" s="26" t="s">
        <v>3965</v>
      </c>
    </row>
    <row r="18" ht="14.25" customHeight="1">
      <c r="A18" s="37" t="s">
        <v>404</v>
      </c>
      <c r="B18" s="37" t="s">
        <v>405</v>
      </c>
      <c r="C18" s="37" t="s">
        <v>88</v>
      </c>
      <c r="D18" s="37" t="s">
        <v>406</v>
      </c>
      <c r="E18" s="122" t="s">
        <v>1513</v>
      </c>
      <c r="G18" s="37" t="s">
        <v>265</v>
      </c>
      <c r="H18" s="37" t="s">
        <v>221</v>
      </c>
      <c r="I18" s="37" t="s">
        <v>49</v>
      </c>
      <c r="J18" s="26" t="s">
        <v>3966</v>
      </c>
      <c r="K18" s="26" t="s">
        <v>3967</v>
      </c>
      <c r="L18" s="26" t="s">
        <v>3968</v>
      </c>
      <c r="M18" s="26" t="s">
        <v>3969</v>
      </c>
      <c r="N18" s="26" t="s">
        <v>3970</v>
      </c>
      <c r="O18" s="26" t="s">
        <v>3971</v>
      </c>
      <c r="P18" s="26" t="s">
        <v>931</v>
      </c>
      <c r="R18" s="26" t="s">
        <v>2979</v>
      </c>
      <c r="S18" s="26" t="s">
        <v>3972</v>
      </c>
      <c r="T18" s="26" t="s">
        <v>963</v>
      </c>
      <c r="V18" s="26" t="s">
        <v>3973</v>
      </c>
      <c r="W18" s="26" t="s">
        <v>3974</v>
      </c>
      <c r="Y18" s="26" t="s">
        <v>3234</v>
      </c>
    </row>
    <row r="19" ht="14.25" customHeight="1">
      <c r="A19" s="9" t="s">
        <v>407</v>
      </c>
      <c r="B19" s="9" t="s">
        <v>408</v>
      </c>
      <c r="C19" s="9" t="s">
        <v>88</v>
      </c>
      <c r="D19" s="9" t="s">
        <v>409</v>
      </c>
      <c r="E19" s="341" t="s">
        <v>3975</v>
      </c>
      <c r="F19" s="9"/>
      <c r="G19" s="9"/>
      <c r="H19" s="9" t="s">
        <v>410</v>
      </c>
      <c r="I19" s="9" t="s">
        <v>49</v>
      </c>
      <c r="J19" s="318" t="s">
        <v>3976</v>
      </c>
      <c r="K19" s="318" t="s">
        <v>3977</v>
      </c>
      <c r="L19" s="9"/>
      <c r="M19" s="9"/>
      <c r="N19" s="9"/>
      <c r="O19" s="9"/>
      <c r="P19" s="318" t="s">
        <v>963</v>
      </c>
      <c r="Q19" s="318" t="s">
        <v>3978</v>
      </c>
      <c r="R19" s="318" t="s">
        <v>2979</v>
      </c>
      <c r="S19" s="9"/>
      <c r="T19" s="318" t="s">
        <v>963</v>
      </c>
      <c r="U19" s="9"/>
      <c r="V19" s="318" t="s">
        <v>620</v>
      </c>
      <c r="W19" s="318" t="s">
        <v>3979</v>
      </c>
      <c r="X19" s="9"/>
      <c r="Y19" s="318" t="s">
        <v>1779</v>
      </c>
      <c r="Z19" s="9"/>
      <c r="AA19" s="9"/>
      <c r="AB19" s="9"/>
      <c r="AC19" s="9"/>
      <c r="AD19" s="9"/>
    </row>
    <row r="20" ht="14.25" customHeight="1">
      <c r="A20" s="37" t="s">
        <v>411</v>
      </c>
      <c r="B20" s="37" t="s">
        <v>412</v>
      </c>
      <c r="C20" s="37" t="s">
        <v>88</v>
      </c>
      <c r="D20" s="37" t="s">
        <v>413</v>
      </c>
      <c r="E20" s="139" t="s">
        <v>1519</v>
      </c>
      <c r="G20" s="37" t="s">
        <v>414</v>
      </c>
      <c r="H20" s="37" t="s">
        <v>338</v>
      </c>
      <c r="I20" s="37" t="s">
        <v>49</v>
      </c>
      <c r="J20" s="26" t="s">
        <v>3980</v>
      </c>
      <c r="K20" s="26" t="s">
        <v>3981</v>
      </c>
      <c r="L20" s="26" t="s">
        <v>3982</v>
      </c>
      <c r="M20" s="26" t="s">
        <v>3983</v>
      </c>
      <c r="N20" s="26" t="s">
        <v>3984</v>
      </c>
      <c r="O20" s="26" t="s">
        <v>3985</v>
      </c>
      <c r="P20" s="26" t="s">
        <v>931</v>
      </c>
      <c r="R20" s="26" t="s">
        <v>2979</v>
      </c>
      <c r="T20" s="26" t="s">
        <v>963</v>
      </c>
      <c r="V20" s="26" t="s">
        <v>3973</v>
      </c>
      <c r="W20" s="26" t="s">
        <v>3986</v>
      </c>
      <c r="Y20" s="26" t="s">
        <v>1027</v>
      </c>
    </row>
    <row r="21" ht="14.25" customHeight="1">
      <c r="A21" s="327" t="s">
        <v>415</v>
      </c>
      <c r="B21" s="153" t="s">
        <v>416</v>
      </c>
      <c r="C21" s="153" t="s">
        <v>88</v>
      </c>
      <c r="D21" s="153" t="s">
        <v>417</v>
      </c>
      <c r="E21" s="208" t="s">
        <v>2008</v>
      </c>
      <c r="F21" s="153"/>
      <c r="G21" s="153" t="s">
        <v>418</v>
      </c>
      <c r="H21" s="153" t="s">
        <v>419</v>
      </c>
      <c r="I21" s="153" t="s">
        <v>49</v>
      </c>
      <c r="J21" s="153"/>
      <c r="K21" s="153"/>
      <c r="L21" s="153"/>
      <c r="M21" s="153"/>
      <c r="N21" s="153"/>
      <c r="O21" s="153"/>
      <c r="P21" s="153"/>
      <c r="Q21" s="153"/>
      <c r="R21" s="153"/>
      <c r="S21" s="153"/>
      <c r="T21" s="153"/>
      <c r="U21" s="153"/>
      <c r="V21" s="153"/>
      <c r="W21" s="153"/>
      <c r="X21" s="153"/>
      <c r="Y21" s="153"/>
      <c r="Z21" s="328"/>
    </row>
    <row r="22" ht="14.25" customHeight="1">
      <c r="A22" s="48" t="s">
        <v>420</v>
      </c>
      <c r="B22" s="37" t="s">
        <v>421</v>
      </c>
      <c r="C22" s="37" t="s">
        <v>88</v>
      </c>
      <c r="D22" s="37" t="s">
        <v>422</v>
      </c>
      <c r="E22" s="139" t="s">
        <v>3987</v>
      </c>
      <c r="G22" s="37" t="s">
        <v>423</v>
      </c>
      <c r="H22" s="37" t="s">
        <v>419</v>
      </c>
      <c r="I22" s="37" t="s">
        <v>49</v>
      </c>
      <c r="R22" s="37"/>
      <c r="Z22" s="342"/>
    </row>
    <row r="23" ht="14.25" customHeight="1">
      <c r="A23" s="50" t="s">
        <v>424</v>
      </c>
      <c r="B23" s="16" t="s">
        <v>425</v>
      </c>
      <c r="C23" s="16" t="s">
        <v>88</v>
      </c>
      <c r="D23" s="16" t="s">
        <v>426</v>
      </c>
      <c r="E23" s="127" t="s">
        <v>2012</v>
      </c>
      <c r="F23" s="16"/>
      <c r="G23" s="16" t="s">
        <v>300</v>
      </c>
      <c r="H23" s="16" t="s">
        <v>393</v>
      </c>
      <c r="I23" s="16" t="s">
        <v>49</v>
      </c>
      <c r="J23" s="16"/>
      <c r="K23" s="16"/>
      <c r="L23" s="16"/>
      <c r="M23" s="16"/>
      <c r="N23" s="16"/>
      <c r="O23" s="16"/>
      <c r="P23" s="16"/>
      <c r="Q23" s="16"/>
      <c r="R23" s="16"/>
      <c r="S23" s="16"/>
      <c r="T23" s="16"/>
      <c r="U23" s="16"/>
      <c r="V23" s="16"/>
      <c r="W23" s="16"/>
      <c r="X23" s="16"/>
      <c r="Y23" s="16"/>
      <c r="Z23" s="329"/>
    </row>
    <row r="24" ht="14.25" customHeight="1">
      <c r="A24" s="26" t="s">
        <v>3988</v>
      </c>
      <c r="R24" s="37"/>
    </row>
    <row r="25" ht="14.25" customHeight="1">
      <c r="A25" s="343" t="s">
        <v>635</v>
      </c>
      <c r="B25" s="343" t="s">
        <v>636</v>
      </c>
      <c r="C25" s="344" t="s">
        <v>616</v>
      </c>
      <c r="D25" s="343" t="s">
        <v>637</v>
      </c>
      <c r="E25" s="343"/>
      <c r="F25" s="343"/>
      <c r="G25" s="343" t="s">
        <v>638</v>
      </c>
      <c r="H25" s="343" t="s">
        <v>639</v>
      </c>
      <c r="I25" s="343" t="s">
        <v>49</v>
      </c>
      <c r="J25" s="343"/>
      <c r="K25" s="313"/>
      <c r="L25" s="313"/>
      <c r="M25" s="313"/>
      <c r="N25" s="313"/>
      <c r="O25" s="313"/>
      <c r="P25" s="314" t="s">
        <v>963</v>
      </c>
      <c r="Q25" s="314" t="s">
        <v>3989</v>
      </c>
      <c r="R25" s="314" t="s">
        <v>2979</v>
      </c>
      <c r="S25" s="313"/>
      <c r="T25" s="314" t="s">
        <v>963</v>
      </c>
      <c r="U25" s="313"/>
      <c r="V25" s="313"/>
      <c r="W25" s="313"/>
      <c r="X25" s="313"/>
      <c r="Y25" s="313"/>
      <c r="Z25" s="313"/>
      <c r="AA25" s="313"/>
      <c r="AB25" s="313"/>
      <c r="AC25" s="313"/>
      <c r="AD25" s="313"/>
    </row>
    <row r="26" ht="14.25" customHeight="1">
      <c r="A26" s="39" t="s">
        <v>640</v>
      </c>
      <c r="B26" s="39" t="s">
        <v>641</v>
      </c>
      <c r="C26" s="40" t="s">
        <v>616</v>
      </c>
      <c r="D26" s="39" t="s">
        <v>617</v>
      </c>
      <c r="E26" s="39"/>
      <c r="F26" s="39"/>
      <c r="G26" s="39" t="s">
        <v>642</v>
      </c>
      <c r="H26" s="39" t="s">
        <v>307</v>
      </c>
      <c r="I26" s="39" t="s">
        <v>49</v>
      </c>
      <c r="J26" s="39" t="s">
        <v>3990</v>
      </c>
      <c r="K26" s="26" t="s">
        <v>3991</v>
      </c>
      <c r="L26" s="26" t="s">
        <v>3992</v>
      </c>
      <c r="M26" s="26" t="s">
        <v>3993</v>
      </c>
      <c r="N26" s="26" t="s">
        <v>3994</v>
      </c>
      <c r="O26" s="26" t="s">
        <v>3995</v>
      </c>
      <c r="P26" s="26" t="s">
        <v>931</v>
      </c>
      <c r="R26" s="26" t="s">
        <v>2979</v>
      </c>
      <c r="S26" s="26" t="s">
        <v>3996</v>
      </c>
      <c r="T26" s="26" t="s">
        <v>963</v>
      </c>
      <c r="V26" s="26" t="s">
        <v>3997</v>
      </c>
      <c r="W26" s="26" t="s">
        <v>3998</v>
      </c>
      <c r="Y26" s="26" t="s">
        <v>1027</v>
      </c>
    </row>
    <row r="27" ht="14.25" customHeight="1">
      <c r="A27" s="330" t="s">
        <v>643</v>
      </c>
      <c r="B27" s="330" t="s">
        <v>644</v>
      </c>
      <c r="C27" s="331" t="s">
        <v>616</v>
      </c>
      <c r="D27" s="330" t="s">
        <v>645</v>
      </c>
      <c r="E27" s="330"/>
      <c r="F27" s="330"/>
      <c r="G27" s="330" t="s">
        <v>646</v>
      </c>
      <c r="H27" s="330" t="s">
        <v>233</v>
      </c>
      <c r="I27" s="330" t="s">
        <v>49</v>
      </c>
      <c r="J27" s="316" t="s">
        <v>3999</v>
      </c>
      <c r="K27" s="316" t="s">
        <v>4000</v>
      </c>
      <c r="L27" s="315"/>
      <c r="M27" s="315"/>
      <c r="N27" s="315"/>
      <c r="O27" s="315"/>
      <c r="P27" s="316" t="s">
        <v>963</v>
      </c>
      <c r="Q27" s="316" t="s">
        <v>4001</v>
      </c>
      <c r="R27" s="316" t="s">
        <v>2979</v>
      </c>
      <c r="S27" s="315"/>
      <c r="T27" s="316" t="s">
        <v>963</v>
      </c>
      <c r="U27" s="315"/>
      <c r="V27" s="315"/>
      <c r="W27" s="315"/>
      <c r="X27" s="315"/>
      <c r="Y27" s="315"/>
      <c r="Z27" s="315"/>
      <c r="AA27" s="315"/>
      <c r="AB27" s="315"/>
      <c r="AC27" s="315"/>
      <c r="AD27" s="315"/>
    </row>
    <row r="28" ht="14.25" customHeight="1">
      <c r="A28" s="39" t="s">
        <v>647</v>
      </c>
      <c r="B28" s="39" t="s">
        <v>648</v>
      </c>
      <c r="C28" s="40" t="s">
        <v>616</v>
      </c>
      <c r="D28" s="39" t="s">
        <v>224</v>
      </c>
      <c r="E28" s="39"/>
      <c r="F28" s="39"/>
      <c r="G28" s="39" t="s">
        <v>418</v>
      </c>
      <c r="H28" s="39" t="s">
        <v>189</v>
      </c>
      <c r="I28" s="39" t="s">
        <v>49</v>
      </c>
      <c r="J28" s="39" t="s">
        <v>4002</v>
      </c>
      <c r="K28" s="26" t="s">
        <v>4003</v>
      </c>
      <c r="L28" s="26" t="s">
        <v>4004</v>
      </c>
      <c r="M28" s="26" t="s">
        <v>4005</v>
      </c>
      <c r="N28" s="26" t="s">
        <v>4006</v>
      </c>
      <c r="O28" s="26" t="s">
        <v>4007</v>
      </c>
      <c r="P28" s="26" t="s">
        <v>931</v>
      </c>
      <c r="R28" s="26" t="s">
        <v>2979</v>
      </c>
      <c r="T28" s="26" t="s">
        <v>963</v>
      </c>
      <c r="V28" s="26" t="s">
        <v>4008</v>
      </c>
      <c r="W28" s="26" t="s">
        <v>4009</v>
      </c>
      <c r="Y28" s="26" t="s">
        <v>1027</v>
      </c>
    </row>
    <row r="29" ht="14.25" customHeight="1">
      <c r="A29" s="39" t="s">
        <v>649</v>
      </c>
      <c r="B29" s="39" t="s">
        <v>650</v>
      </c>
      <c r="C29" s="40" t="s">
        <v>616</v>
      </c>
      <c r="D29" s="39" t="s">
        <v>166</v>
      </c>
      <c r="E29" s="39"/>
      <c r="F29" s="39"/>
      <c r="G29" s="39" t="s">
        <v>651</v>
      </c>
      <c r="H29" s="39" t="s">
        <v>189</v>
      </c>
      <c r="I29" s="39" t="s">
        <v>49</v>
      </c>
      <c r="J29" s="39" t="s">
        <v>4010</v>
      </c>
      <c r="K29" s="26" t="s">
        <v>4011</v>
      </c>
      <c r="L29" s="26" t="s">
        <v>4012</v>
      </c>
      <c r="M29" s="26" t="s">
        <v>4013</v>
      </c>
      <c r="N29" s="26" t="s">
        <v>4014</v>
      </c>
      <c r="O29" s="26" t="s">
        <v>4015</v>
      </c>
      <c r="P29" s="26" t="s">
        <v>931</v>
      </c>
      <c r="R29" s="26" t="s">
        <v>2979</v>
      </c>
      <c r="S29" s="26" t="s">
        <v>4016</v>
      </c>
      <c r="T29" s="26" t="s">
        <v>963</v>
      </c>
      <c r="V29" s="26" t="s">
        <v>4017</v>
      </c>
      <c r="W29" s="26" t="s">
        <v>4018</v>
      </c>
      <c r="Y29" s="26" t="s">
        <v>1027</v>
      </c>
    </row>
    <row r="30" ht="14.25" customHeight="1">
      <c r="A30" s="39" t="s">
        <v>722</v>
      </c>
      <c r="B30" s="39" t="s">
        <v>723</v>
      </c>
      <c r="C30" s="40" t="s">
        <v>616</v>
      </c>
      <c r="D30" s="39" t="s">
        <v>100</v>
      </c>
      <c r="E30" s="39"/>
      <c r="F30" s="39"/>
      <c r="G30" s="39" t="s">
        <v>418</v>
      </c>
      <c r="H30" s="39" t="s">
        <v>142</v>
      </c>
      <c r="I30" s="39" t="s">
        <v>49</v>
      </c>
      <c r="J30" s="39" t="s">
        <v>4019</v>
      </c>
      <c r="K30" s="26" t="s">
        <v>4020</v>
      </c>
      <c r="L30" s="26" t="s">
        <v>4021</v>
      </c>
      <c r="M30" s="26" t="s">
        <v>4022</v>
      </c>
      <c r="N30" s="26" t="s">
        <v>3926</v>
      </c>
      <c r="O30" s="26" t="s">
        <v>4023</v>
      </c>
      <c r="P30" s="26" t="s">
        <v>931</v>
      </c>
      <c r="R30" s="26" t="s">
        <v>2979</v>
      </c>
      <c r="T30" s="26" t="s">
        <v>963</v>
      </c>
      <c r="V30" s="26" t="s">
        <v>3997</v>
      </c>
      <c r="W30" s="26" t="s">
        <v>4024</v>
      </c>
      <c r="Y30" s="26" t="s">
        <v>1027</v>
      </c>
    </row>
    <row r="31" ht="14.25" customHeight="1">
      <c r="A31" s="343" t="s">
        <v>724</v>
      </c>
      <c r="B31" s="343" t="s">
        <v>725</v>
      </c>
      <c r="C31" s="344" t="s">
        <v>616</v>
      </c>
      <c r="D31" s="343" t="s">
        <v>179</v>
      </c>
      <c r="E31" s="343"/>
      <c r="F31" s="343"/>
      <c r="G31" s="343" t="s">
        <v>726</v>
      </c>
      <c r="H31" s="343" t="s">
        <v>221</v>
      </c>
      <c r="I31" s="343" t="s">
        <v>49</v>
      </c>
      <c r="J31" s="343" t="s">
        <v>4025</v>
      </c>
      <c r="K31" s="314" t="s">
        <v>4026</v>
      </c>
      <c r="L31" s="313"/>
      <c r="M31" s="313"/>
      <c r="N31" s="313"/>
      <c r="O31" s="313"/>
      <c r="P31" s="314" t="s">
        <v>963</v>
      </c>
      <c r="Q31" s="314" t="s">
        <v>4027</v>
      </c>
      <c r="R31" s="314" t="s">
        <v>2979</v>
      </c>
      <c r="S31" s="313"/>
      <c r="T31" s="314" t="s">
        <v>963</v>
      </c>
      <c r="U31" s="313"/>
      <c r="V31" s="313"/>
      <c r="W31" s="313"/>
      <c r="X31" s="313"/>
      <c r="Y31" s="313"/>
      <c r="Z31" s="313"/>
      <c r="AA31" s="313"/>
      <c r="AB31" s="313"/>
      <c r="AC31" s="313"/>
      <c r="AD31" s="313"/>
    </row>
    <row r="32" ht="14.25" customHeight="1">
      <c r="A32" s="39" t="s">
        <v>743</v>
      </c>
      <c r="B32" s="39" t="s">
        <v>744</v>
      </c>
      <c r="C32" s="40" t="s">
        <v>616</v>
      </c>
      <c r="D32" s="39" t="s">
        <v>745</v>
      </c>
      <c r="E32" s="39"/>
      <c r="F32" s="39"/>
      <c r="G32" s="39" t="s">
        <v>746</v>
      </c>
      <c r="H32" s="39" t="s">
        <v>747</v>
      </c>
      <c r="I32" s="39" t="s">
        <v>49</v>
      </c>
      <c r="J32" s="39" t="s">
        <v>4028</v>
      </c>
      <c r="K32" s="26" t="s">
        <v>4029</v>
      </c>
      <c r="L32" s="26" t="s">
        <v>4030</v>
      </c>
      <c r="M32" s="26" t="s">
        <v>4031</v>
      </c>
      <c r="N32" s="26" t="s">
        <v>3984</v>
      </c>
      <c r="O32" s="26" t="s">
        <v>4032</v>
      </c>
      <c r="P32" s="26" t="s">
        <v>931</v>
      </c>
      <c r="R32" s="26" t="s">
        <v>2979</v>
      </c>
      <c r="T32" s="26" t="s">
        <v>963</v>
      </c>
      <c r="V32" s="26" t="s">
        <v>3963</v>
      </c>
      <c r="W32" s="26" t="s">
        <v>4033</v>
      </c>
      <c r="Y32" s="26" t="s">
        <v>1027</v>
      </c>
    </row>
    <row r="33" ht="14.25" customHeight="1">
      <c r="A33" s="333" t="s">
        <v>748</v>
      </c>
      <c r="B33" s="333" t="s">
        <v>749</v>
      </c>
      <c r="C33" s="334" t="s">
        <v>616</v>
      </c>
      <c r="D33" s="333" t="s">
        <v>379</v>
      </c>
      <c r="E33" s="333"/>
      <c r="F33" s="333"/>
      <c r="G33" s="333" t="s">
        <v>750</v>
      </c>
      <c r="H33" s="333" t="s">
        <v>536</v>
      </c>
      <c r="I33" s="333" t="s">
        <v>49</v>
      </c>
      <c r="J33" s="333"/>
      <c r="K33" s="325"/>
      <c r="L33" s="325"/>
      <c r="M33" s="325"/>
      <c r="N33" s="325"/>
      <c r="O33" s="325"/>
      <c r="P33" s="326" t="s">
        <v>963</v>
      </c>
      <c r="Q33" s="325"/>
      <c r="R33" s="325"/>
      <c r="S33" s="326" t="s">
        <v>4034</v>
      </c>
      <c r="T33" s="325"/>
      <c r="U33" s="325"/>
      <c r="V33" s="325"/>
      <c r="W33" s="325"/>
      <c r="X33" s="325"/>
      <c r="Y33" s="325"/>
      <c r="Z33" s="325"/>
      <c r="AA33" s="325"/>
      <c r="AB33" s="325"/>
      <c r="AC33" s="325"/>
      <c r="AD33" s="325"/>
    </row>
    <row r="34" ht="14.25" customHeight="1">
      <c r="A34" s="39" t="s">
        <v>751</v>
      </c>
      <c r="B34" s="39" t="s">
        <v>752</v>
      </c>
      <c r="C34" s="40" t="s">
        <v>616</v>
      </c>
      <c r="D34" s="39" t="s">
        <v>753</v>
      </c>
      <c r="E34" s="39"/>
      <c r="F34" s="39"/>
      <c r="G34" s="39" t="s">
        <v>137</v>
      </c>
      <c r="H34" s="39" t="s">
        <v>102</v>
      </c>
      <c r="I34" s="39" t="s">
        <v>49</v>
      </c>
      <c r="J34" s="39" t="s">
        <v>4035</v>
      </c>
      <c r="K34" s="26" t="s">
        <v>4036</v>
      </c>
      <c r="L34" s="26" t="s">
        <v>4037</v>
      </c>
      <c r="M34" s="26" t="s">
        <v>4038</v>
      </c>
      <c r="N34" s="26" t="s">
        <v>4039</v>
      </c>
      <c r="O34" s="26" t="s">
        <v>4040</v>
      </c>
      <c r="P34" s="26" t="s">
        <v>931</v>
      </c>
      <c r="R34" s="26" t="s">
        <v>2979</v>
      </c>
      <c r="S34" s="26" t="s">
        <v>4041</v>
      </c>
      <c r="T34" s="26" t="s">
        <v>963</v>
      </c>
      <c r="V34" s="26" t="s">
        <v>4042</v>
      </c>
      <c r="W34" s="26" t="s">
        <v>4043</v>
      </c>
      <c r="Y34" s="26" t="s">
        <v>1027</v>
      </c>
    </row>
    <row r="35" ht="14.25" customHeight="1">
      <c r="A35" s="330" t="s">
        <v>754</v>
      </c>
      <c r="B35" s="330" t="s">
        <v>755</v>
      </c>
      <c r="C35" s="331" t="s">
        <v>616</v>
      </c>
      <c r="D35" s="330" t="s">
        <v>100</v>
      </c>
      <c r="E35" s="330"/>
      <c r="F35" s="330"/>
      <c r="G35" s="330" t="s">
        <v>756</v>
      </c>
      <c r="H35" s="330" t="s">
        <v>530</v>
      </c>
      <c r="I35" s="330" t="s">
        <v>578</v>
      </c>
      <c r="J35" s="330"/>
      <c r="K35" s="315"/>
      <c r="L35" s="315"/>
      <c r="M35" s="315"/>
      <c r="N35" s="315"/>
      <c r="O35" s="315"/>
      <c r="P35" s="316" t="s">
        <v>963</v>
      </c>
      <c r="Q35" s="316" t="s">
        <v>4044</v>
      </c>
      <c r="R35" s="316" t="s">
        <v>2979</v>
      </c>
      <c r="S35" s="315"/>
      <c r="T35" s="315"/>
      <c r="U35" s="315"/>
      <c r="V35" s="315"/>
      <c r="W35" s="315"/>
      <c r="X35" s="315"/>
      <c r="Y35" s="315"/>
      <c r="Z35" s="315"/>
      <c r="AA35" s="315"/>
      <c r="AB35" s="315"/>
      <c r="AC35" s="315"/>
      <c r="AD35" s="315"/>
    </row>
    <row r="36" ht="14.25" customHeight="1">
      <c r="A36" s="39" t="s">
        <v>757</v>
      </c>
      <c r="B36" s="39" t="s">
        <v>758</v>
      </c>
      <c r="C36" s="40" t="s">
        <v>616</v>
      </c>
      <c r="D36" s="39" t="s">
        <v>122</v>
      </c>
      <c r="E36" s="39"/>
      <c r="F36" s="39"/>
      <c r="G36" s="39" t="s">
        <v>198</v>
      </c>
      <c r="H36" s="39" t="s">
        <v>142</v>
      </c>
      <c r="I36" s="39" t="s">
        <v>49</v>
      </c>
      <c r="J36" s="39" t="s">
        <v>4045</v>
      </c>
      <c r="K36" s="26" t="s">
        <v>4046</v>
      </c>
      <c r="L36" s="26" t="s">
        <v>4047</v>
      </c>
      <c r="M36" s="26" t="s">
        <v>4048</v>
      </c>
      <c r="N36" s="26" t="s">
        <v>4049</v>
      </c>
      <c r="O36" s="26" t="s">
        <v>4050</v>
      </c>
      <c r="P36" s="26" t="s">
        <v>931</v>
      </c>
      <c r="R36" s="26" t="s">
        <v>2979</v>
      </c>
      <c r="T36" s="26" t="s">
        <v>963</v>
      </c>
      <c r="V36" s="26" t="s">
        <v>4042</v>
      </c>
      <c r="W36" s="26" t="s">
        <v>4051</v>
      </c>
      <c r="Y36" s="26" t="s">
        <v>1027</v>
      </c>
    </row>
    <row r="37" ht="14.25" customHeight="1">
      <c r="A37" s="39" t="s">
        <v>911</v>
      </c>
      <c r="B37" s="39" t="s">
        <v>912</v>
      </c>
      <c r="C37" s="40" t="s">
        <v>891</v>
      </c>
      <c r="D37" s="39" t="s">
        <v>895</v>
      </c>
      <c r="E37" s="39"/>
      <c r="F37" s="39"/>
      <c r="G37" s="39" t="s">
        <v>126</v>
      </c>
      <c r="H37" s="39" t="s">
        <v>260</v>
      </c>
      <c r="I37" s="39" t="s">
        <v>559</v>
      </c>
      <c r="J37" s="39" t="s">
        <v>4052</v>
      </c>
      <c r="K37" s="39" t="s">
        <v>4053</v>
      </c>
      <c r="L37" s="39" t="s">
        <v>4054</v>
      </c>
      <c r="M37" s="39" t="s">
        <v>4055</v>
      </c>
      <c r="N37" s="39" t="s">
        <v>1432</v>
      </c>
      <c r="P37" s="26" t="s">
        <v>931</v>
      </c>
      <c r="R37" s="26" t="s">
        <v>2979</v>
      </c>
      <c r="T37" s="26" t="s">
        <v>963</v>
      </c>
      <c r="V37" s="26" t="s">
        <v>4056</v>
      </c>
      <c r="W37" s="26" t="s">
        <v>4057</v>
      </c>
      <c r="Y37" s="26" t="s">
        <v>1069</v>
      </c>
    </row>
    <row r="38" ht="14.25" customHeight="1">
      <c r="A38" s="330" t="s">
        <v>692</v>
      </c>
      <c r="B38" s="330" t="s">
        <v>693</v>
      </c>
      <c r="C38" s="331" t="s">
        <v>616</v>
      </c>
      <c r="D38" s="330" t="s">
        <v>215</v>
      </c>
      <c r="E38" s="330"/>
      <c r="F38" s="330"/>
      <c r="G38" s="330" t="s">
        <v>694</v>
      </c>
      <c r="H38" s="330" t="s">
        <v>695</v>
      </c>
      <c r="I38" s="330" t="s">
        <v>49</v>
      </c>
      <c r="J38" s="330"/>
      <c r="K38" s="315"/>
      <c r="L38" s="315"/>
      <c r="M38" s="315"/>
      <c r="N38" s="315"/>
      <c r="O38" s="315"/>
      <c r="P38" s="316" t="s">
        <v>963</v>
      </c>
      <c r="Q38" s="316" t="s">
        <v>4058</v>
      </c>
      <c r="R38" s="316" t="s">
        <v>2979</v>
      </c>
      <c r="S38" s="315"/>
      <c r="T38" s="315"/>
      <c r="U38" s="315"/>
      <c r="V38" s="315"/>
      <c r="W38" s="315"/>
      <c r="X38" s="315"/>
      <c r="Y38" s="315"/>
      <c r="Z38" s="315"/>
      <c r="AA38" s="315"/>
      <c r="AB38" s="315"/>
      <c r="AC38" s="315"/>
      <c r="AD38" s="315"/>
    </row>
    <row r="39" ht="14.25" customHeight="1"/>
    <row r="40" ht="14.25" customHeight="1">
      <c r="A40" s="26" t="s">
        <v>4059</v>
      </c>
    </row>
    <row r="41" ht="14.25" customHeight="1">
      <c r="A41" s="323" t="s">
        <v>787</v>
      </c>
      <c r="B41" s="323" t="s">
        <v>788</v>
      </c>
      <c r="C41" s="324"/>
      <c r="D41" s="324"/>
      <c r="E41" s="324"/>
      <c r="F41" s="324"/>
      <c r="G41" s="324"/>
      <c r="H41" s="324"/>
      <c r="I41" s="324"/>
      <c r="J41" s="324"/>
      <c r="K41" s="324"/>
      <c r="L41" s="324"/>
      <c r="M41" s="324"/>
      <c r="N41" s="324"/>
      <c r="O41" s="324"/>
      <c r="P41" s="323" t="s">
        <v>4060</v>
      </c>
      <c r="Q41" s="324"/>
      <c r="R41" s="324"/>
      <c r="S41" s="324"/>
      <c r="T41" s="324"/>
      <c r="U41" s="324"/>
      <c r="V41" s="324"/>
      <c r="W41" s="324"/>
      <c r="X41" s="324"/>
      <c r="Y41" s="324"/>
      <c r="Z41" s="324"/>
      <c r="AA41" s="324"/>
      <c r="AB41" s="324"/>
      <c r="AC41" s="324"/>
      <c r="AD41" s="324"/>
    </row>
    <row r="42" ht="14.25" customHeight="1">
      <c r="A42" s="326" t="s">
        <v>4061</v>
      </c>
      <c r="B42" s="326" t="s">
        <v>3064</v>
      </c>
      <c r="C42" s="325"/>
      <c r="D42" s="325"/>
      <c r="E42" s="325"/>
      <c r="F42" s="325"/>
      <c r="G42" s="325"/>
      <c r="H42" s="325"/>
      <c r="I42" s="325"/>
      <c r="J42" s="325"/>
      <c r="K42" s="325"/>
      <c r="L42" s="325"/>
      <c r="M42" s="325"/>
      <c r="N42" s="325"/>
      <c r="O42" s="325"/>
      <c r="P42" s="326" t="s">
        <v>4062</v>
      </c>
      <c r="Q42" s="325"/>
      <c r="R42" s="325"/>
      <c r="S42" s="325"/>
      <c r="T42" s="325"/>
      <c r="U42" s="325"/>
      <c r="V42" s="325"/>
      <c r="W42" s="325"/>
      <c r="X42" s="325"/>
      <c r="Y42" s="325"/>
      <c r="Z42" s="325"/>
      <c r="AA42" s="325"/>
      <c r="AB42" s="325"/>
      <c r="AC42" s="325"/>
      <c r="AD42" s="325"/>
    </row>
    <row r="43" ht="14.25" customHeight="1">
      <c r="A43" s="26" t="s">
        <v>1558</v>
      </c>
      <c r="B43" s="26" t="s">
        <v>1559</v>
      </c>
      <c r="I43" s="26" t="s">
        <v>51</v>
      </c>
      <c r="J43" s="26" t="s">
        <v>4063</v>
      </c>
      <c r="K43" s="26" t="s">
        <v>4064</v>
      </c>
      <c r="L43" s="26" t="s">
        <v>4065</v>
      </c>
      <c r="M43" s="26" t="s">
        <v>4066</v>
      </c>
      <c r="N43" s="26" t="s">
        <v>4067</v>
      </c>
      <c r="O43" s="26" t="s">
        <v>4068</v>
      </c>
      <c r="P43" s="26" t="s">
        <v>931</v>
      </c>
      <c r="Q43" s="26" t="s">
        <v>2216</v>
      </c>
      <c r="R43" s="26" t="s">
        <v>2979</v>
      </c>
      <c r="S43" s="26" t="s">
        <v>4069</v>
      </c>
      <c r="T43" s="26" t="s">
        <v>931</v>
      </c>
      <c r="V43" s="26" t="s">
        <v>4070</v>
      </c>
      <c r="W43" s="26" t="s">
        <v>4071</v>
      </c>
      <c r="Y43" s="26" t="s">
        <v>1027</v>
      </c>
    </row>
    <row r="44" ht="14.25" customHeight="1">
      <c r="A44" s="26" t="s">
        <v>4072</v>
      </c>
      <c r="B44" s="26" t="s">
        <v>2981</v>
      </c>
      <c r="I44" s="26" t="s">
        <v>51</v>
      </c>
      <c r="J44" s="26" t="s">
        <v>4073</v>
      </c>
      <c r="K44" s="26" t="s">
        <v>4074</v>
      </c>
      <c r="L44" s="26" t="s">
        <v>4075</v>
      </c>
      <c r="M44" s="26" t="s">
        <v>4076</v>
      </c>
      <c r="N44" s="26" t="s">
        <v>4067</v>
      </c>
      <c r="O44" s="26" t="s">
        <v>4077</v>
      </c>
      <c r="P44" s="26" t="s">
        <v>931</v>
      </c>
      <c r="Q44" s="26" t="s">
        <v>2216</v>
      </c>
      <c r="R44" s="26" t="s">
        <v>2979</v>
      </c>
      <c r="T44" s="26" t="s">
        <v>931</v>
      </c>
      <c r="V44" s="26" t="s">
        <v>4078</v>
      </c>
      <c r="W44" s="26" t="s">
        <v>4079</v>
      </c>
      <c r="Y44" s="26" t="s">
        <v>1027</v>
      </c>
    </row>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howErrorMessage="1" sqref="R2:R20 R22:R24">
      <formula1>'Exclussion basis'!$A$2:$A$4</formula1>
    </dataValidation>
  </dataValidations>
  <hyperlinks>
    <hyperlink r:id="rId1" ref="E2"/>
    <hyperlink r:id="rId2" ref="E3"/>
    <hyperlink r:id="rId3" ref="E4"/>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 r:id="rId16" ref="E18"/>
    <hyperlink r:id="rId17" ref="E19"/>
    <hyperlink r:id="rId18" ref="E20"/>
    <hyperlink r:id="rId19" ref="E21"/>
    <hyperlink r:id="rId20" ref="E22"/>
    <hyperlink r:id="rId21" ref="E23"/>
  </hyperlinks>
  <printOptions/>
  <pageMargins bottom="0.75" footer="0.0" header="0.0" left="0.7" right="0.7" top="0.75"/>
  <pageSetup orientation="landscape"/>
  <drawing r:id="rId2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98.22"/>
    <col customWidth="1" min="3" max="3" width="13.0"/>
    <col customWidth="1" min="4" max="4" width="9.0"/>
    <col customWidth="1" min="5"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8" width="10.11"/>
    <col customWidth="1" min="19" max="19" width="6.44"/>
    <col customWidth="1" min="20" max="20" width="6.78"/>
    <col customWidth="1" min="21" max="21" width="7.22"/>
    <col customWidth="1" min="22" max="28" width="6.78"/>
    <col customWidth="1" min="29" max="29" width="10.0"/>
    <col customWidth="1" min="30" max="34" width="6.78"/>
  </cols>
  <sheetData>
    <row r="1" ht="14.25" customHeight="1">
      <c r="A1" s="54" t="s">
        <v>57</v>
      </c>
      <c r="B1" s="54" t="s">
        <v>58</v>
      </c>
      <c r="C1" s="54" t="s">
        <v>59</v>
      </c>
      <c r="D1" s="54" t="s">
        <v>60</v>
      </c>
      <c r="E1" s="55" t="s">
        <v>943</v>
      </c>
      <c r="F1" s="55" t="s">
        <v>3845</v>
      </c>
      <c r="G1" s="308" t="s">
        <v>61</v>
      </c>
      <c r="H1" s="308" t="s">
        <v>62</v>
      </c>
      <c r="I1" s="308" t="s">
        <v>3207</v>
      </c>
      <c r="J1" s="309" t="s">
        <v>3208</v>
      </c>
      <c r="K1" s="309" t="s">
        <v>3209</v>
      </c>
      <c r="L1" s="308" t="s">
        <v>3210</v>
      </c>
      <c r="M1" s="310" t="s">
        <v>3649</v>
      </c>
      <c r="N1" s="309" t="s">
        <v>3212</v>
      </c>
      <c r="O1" s="308" t="s">
        <v>3213</v>
      </c>
      <c r="P1" s="308" t="s">
        <v>3214</v>
      </c>
      <c r="Q1" s="308" t="s">
        <v>3215</v>
      </c>
      <c r="R1" s="308" t="s">
        <v>3216</v>
      </c>
      <c r="S1" s="54" t="s">
        <v>3217</v>
      </c>
      <c r="T1" s="56" t="s">
        <v>944</v>
      </c>
      <c r="U1" s="311" t="s">
        <v>3219</v>
      </c>
      <c r="V1" s="311" t="s">
        <v>61</v>
      </c>
      <c r="W1" s="311" t="s">
        <v>62</v>
      </c>
      <c r="X1" s="311" t="s">
        <v>3846</v>
      </c>
      <c r="Y1" s="312" t="s">
        <v>4080</v>
      </c>
      <c r="Z1" s="311" t="s">
        <v>4081</v>
      </c>
      <c r="AA1" s="311" t="s">
        <v>4082</v>
      </c>
      <c r="AB1" s="345" t="s">
        <v>4083</v>
      </c>
      <c r="AC1" s="346" t="s">
        <v>4084</v>
      </c>
      <c r="AD1" s="347" t="s">
        <v>950</v>
      </c>
      <c r="AE1" s="311" t="s">
        <v>952</v>
      </c>
      <c r="AF1" s="312" t="s">
        <v>3223</v>
      </c>
      <c r="AG1" s="348"/>
      <c r="AH1" s="348"/>
    </row>
    <row r="2" ht="14.25" customHeight="1">
      <c r="A2" s="215" t="s">
        <v>267</v>
      </c>
      <c r="B2" s="215" t="s">
        <v>268</v>
      </c>
      <c r="C2" s="215" t="s">
        <v>88</v>
      </c>
      <c r="D2" s="215" t="s">
        <v>201</v>
      </c>
      <c r="E2" s="349" t="s">
        <v>4085</v>
      </c>
      <c r="F2" s="42">
        <v>6.0</v>
      </c>
      <c r="G2" s="28" t="s">
        <v>4086</v>
      </c>
      <c r="H2" s="28" t="s">
        <v>4087</v>
      </c>
      <c r="I2" s="215" t="s">
        <v>49</v>
      </c>
      <c r="J2" s="146" t="s">
        <v>4088</v>
      </c>
      <c r="K2" s="146" t="s">
        <v>4089</v>
      </c>
      <c r="L2" s="147" t="s">
        <v>4090</v>
      </c>
      <c r="M2" s="147" t="s">
        <v>4091</v>
      </c>
      <c r="N2" s="147" t="s">
        <v>4092</v>
      </c>
      <c r="O2" s="147" t="s">
        <v>4093</v>
      </c>
      <c r="P2" s="146" t="s">
        <v>931</v>
      </c>
      <c r="Q2" s="350"/>
      <c r="R2" s="146" t="s">
        <v>2979</v>
      </c>
      <c r="S2" s="350"/>
      <c r="T2" s="42" t="s">
        <v>963</v>
      </c>
      <c r="U2" s="147" t="s">
        <v>4091</v>
      </c>
      <c r="V2" s="147"/>
      <c r="W2" s="147"/>
      <c r="X2" s="147" t="s">
        <v>4094</v>
      </c>
      <c r="Y2" s="147" t="s">
        <v>1017</v>
      </c>
      <c r="Z2" s="80"/>
      <c r="AA2" s="77" t="s">
        <v>4095</v>
      </c>
      <c r="AB2" s="85" t="s">
        <v>972</v>
      </c>
      <c r="AC2" s="351"/>
      <c r="AD2" s="85" t="s">
        <v>1027</v>
      </c>
      <c r="AE2" s="85" t="s">
        <v>4096</v>
      </c>
      <c r="AF2" s="80"/>
      <c r="AG2" s="215"/>
      <c r="AH2" s="215"/>
    </row>
    <row r="3" ht="14.25" customHeight="1">
      <c r="A3" s="313" t="s">
        <v>270</v>
      </c>
      <c r="B3" s="313" t="s">
        <v>271</v>
      </c>
      <c r="C3" s="313" t="s">
        <v>88</v>
      </c>
      <c r="D3" s="313" t="s">
        <v>272</v>
      </c>
      <c r="E3" s="352" t="s">
        <v>4097</v>
      </c>
      <c r="F3" s="343">
        <v>6.0</v>
      </c>
      <c r="G3" s="313" t="s">
        <v>4098</v>
      </c>
      <c r="H3" s="314" t="s">
        <v>4099</v>
      </c>
      <c r="I3" s="313" t="s">
        <v>49</v>
      </c>
      <c r="J3" s="313" t="s">
        <v>4100</v>
      </c>
      <c r="K3" s="313" t="s">
        <v>4101</v>
      </c>
      <c r="L3" s="353" t="s">
        <v>4102</v>
      </c>
      <c r="M3" s="353"/>
      <c r="N3" s="353" t="s">
        <v>4103</v>
      </c>
      <c r="O3" s="353" t="s">
        <v>4104</v>
      </c>
      <c r="P3" s="313" t="s">
        <v>963</v>
      </c>
      <c r="Q3" s="313" t="s">
        <v>3005</v>
      </c>
      <c r="R3" s="313" t="s">
        <v>2979</v>
      </c>
      <c r="S3" s="313"/>
      <c r="T3" s="343" t="s">
        <v>963</v>
      </c>
      <c r="U3" s="353"/>
      <c r="V3" s="353"/>
      <c r="W3" s="353"/>
      <c r="X3" s="354" t="s">
        <v>4105</v>
      </c>
      <c r="Y3" s="353" t="s">
        <v>1017</v>
      </c>
      <c r="Z3" s="353"/>
      <c r="AA3" s="353"/>
      <c r="AB3" s="355"/>
      <c r="AC3" s="355"/>
      <c r="AD3" s="356" t="s">
        <v>1027</v>
      </c>
      <c r="AE3" s="356" t="s">
        <v>4096</v>
      </c>
      <c r="AF3" s="353"/>
      <c r="AG3" s="313"/>
      <c r="AH3" s="313"/>
    </row>
    <row r="4" ht="14.25" customHeight="1">
      <c r="A4" s="315" t="s">
        <v>274</v>
      </c>
      <c r="B4" s="315" t="s">
        <v>275</v>
      </c>
      <c r="C4" s="315" t="s">
        <v>88</v>
      </c>
      <c r="D4" s="315" t="s">
        <v>276</v>
      </c>
      <c r="E4" s="357" t="s">
        <v>4106</v>
      </c>
      <c r="F4" s="358"/>
      <c r="G4" s="330" t="s">
        <v>4107</v>
      </c>
      <c r="H4" s="330" t="s">
        <v>4108</v>
      </c>
      <c r="I4" s="359" t="s">
        <v>4109</v>
      </c>
      <c r="J4" s="330" t="s">
        <v>4110</v>
      </c>
      <c r="K4" s="330" t="s">
        <v>4111</v>
      </c>
      <c r="L4" s="360" t="s">
        <v>4112</v>
      </c>
      <c r="M4" s="361" t="s">
        <v>4113</v>
      </c>
      <c r="N4" s="360" t="s">
        <v>4114</v>
      </c>
      <c r="O4" s="360" t="s">
        <v>4115</v>
      </c>
      <c r="P4" s="330" t="s">
        <v>963</v>
      </c>
      <c r="Q4" s="332"/>
      <c r="R4" s="330" t="s">
        <v>2979</v>
      </c>
      <c r="S4" s="330" t="s">
        <v>3006</v>
      </c>
      <c r="T4" s="330" t="s">
        <v>963</v>
      </c>
      <c r="U4" s="360"/>
      <c r="V4" s="360"/>
      <c r="W4" s="360"/>
      <c r="X4" s="360" t="s">
        <v>4094</v>
      </c>
      <c r="Y4" s="360" t="s">
        <v>4116</v>
      </c>
      <c r="AA4" s="360"/>
      <c r="AB4" s="360" t="s">
        <v>4117</v>
      </c>
      <c r="AC4" s="360" t="s">
        <v>4118</v>
      </c>
      <c r="AD4" s="360" t="s">
        <v>970</v>
      </c>
      <c r="AE4" s="360" t="s">
        <v>4096</v>
      </c>
      <c r="AF4" s="362"/>
      <c r="AG4" s="315"/>
      <c r="AH4" s="315"/>
    </row>
    <row r="5" ht="14.25" customHeight="1">
      <c r="A5" s="337" t="s">
        <v>3871</v>
      </c>
      <c r="B5" s="337"/>
      <c r="E5" s="41"/>
      <c r="F5" s="41"/>
      <c r="L5" s="68"/>
      <c r="M5" s="68"/>
      <c r="N5" s="68"/>
      <c r="O5" s="68"/>
      <c r="R5" s="37"/>
      <c r="T5" s="39" t="s">
        <v>963</v>
      </c>
      <c r="U5" s="68"/>
      <c r="V5" s="68"/>
      <c r="W5" s="68"/>
      <c r="X5" s="68"/>
      <c r="Y5" s="363"/>
      <c r="Z5" s="68"/>
      <c r="AA5" s="68"/>
      <c r="AB5" s="363"/>
      <c r="AC5" s="363"/>
      <c r="AD5" s="363"/>
      <c r="AE5" s="363"/>
      <c r="AF5" s="68"/>
    </row>
    <row r="6" ht="16.5" customHeight="1">
      <c r="A6" s="37" t="s">
        <v>277</v>
      </c>
      <c r="B6" s="37" t="s">
        <v>278</v>
      </c>
      <c r="C6" s="37" t="s">
        <v>88</v>
      </c>
      <c r="D6" s="37" t="s">
        <v>247</v>
      </c>
      <c r="E6" s="155" t="s">
        <v>1572</v>
      </c>
      <c r="F6" s="364">
        <v>8.0</v>
      </c>
      <c r="G6" s="39" t="s">
        <v>4119</v>
      </c>
      <c r="H6" s="39" t="s">
        <v>4087</v>
      </c>
      <c r="I6" s="39" t="s">
        <v>49</v>
      </c>
      <c r="J6" s="39" t="s">
        <v>4120</v>
      </c>
      <c r="K6" s="39" t="s">
        <v>4121</v>
      </c>
      <c r="L6" s="84" t="s">
        <v>4122</v>
      </c>
      <c r="M6" s="84" t="s">
        <v>4123</v>
      </c>
      <c r="N6" s="84" t="s">
        <v>4124</v>
      </c>
      <c r="O6" s="84" t="s">
        <v>4125</v>
      </c>
      <c r="P6" s="26" t="s">
        <v>931</v>
      </c>
      <c r="R6" s="37"/>
      <c r="S6" s="39" t="s">
        <v>4126</v>
      </c>
      <c r="T6" s="39" t="s">
        <v>963</v>
      </c>
      <c r="U6" s="68"/>
      <c r="V6" s="68"/>
      <c r="W6" s="68"/>
      <c r="X6" s="68"/>
      <c r="Y6" s="84" t="s">
        <v>1017</v>
      </c>
      <c r="Z6" s="68"/>
      <c r="AA6" s="84" t="s">
        <v>4127</v>
      </c>
      <c r="AB6" s="84" t="s">
        <v>972</v>
      </c>
      <c r="AC6" s="363"/>
      <c r="AD6" s="84" t="s">
        <v>1576</v>
      </c>
      <c r="AE6" s="84" t="s">
        <v>4096</v>
      </c>
      <c r="AF6" s="68"/>
    </row>
    <row r="7" ht="14.25" customHeight="1">
      <c r="A7" s="325" t="s">
        <v>281</v>
      </c>
      <c r="B7" s="325" t="s">
        <v>282</v>
      </c>
      <c r="C7" s="325" t="s">
        <v>88</v>
      </c>
      <c r="D7" s="325" t="s">
        <v>283</v>
      </c>
      <c r="E7" s="365" t="s">
        <v>4128</v>
      </c>
      <c r="F7" s="333" t="s">
        <v>4129</v>
      </c>
      <c r="G7" s="333" t="s">
        <v>284</v>
      </c>
      <c r="H7" s="333" t="s">
        <v>142</v>
      </c>
      <c r="I7" s="333" t="s">
        <v>49</v>
      </c>
      <c r="J7" s="335"/>
      <c r="K7" s="335"/>
      <c r="L7" s="366"/>
      <c r="M7" s="366"/>
      <c r="N7" s="366"/>
      <c r="O7" s="366"/>
      <c r="P7" s="326" t="s">
        <v>963</v>
      </c>
      <c r="Q7" s="326" t="s">
        <v>3007</v>
      </c>
      <c r="R7" s="326" t="s">
        <v>2979</v>
      </c>
      <c r="S7" s="335"/>
      <c r="T7" s="333" t="s">
        <v>963</v>
      </c>
      <c r="U7" s="367"/>
      <c r="V7" s="367"/>
      <c r="W7" s="367"/>
      <c r="X7" s="367"/>
      <c r="Y7" s="366"/>
      <c r="Z7" s="367"/>
      <c r="AA7" s="367"/>
      <c r="AB7" s="366"/>
      <c r="AC7" s="366"/>
      <c r="AD7" s="368" t="s">
        <v>1576</v>
      </c>
      <c r="AE7" s="368" t="s">
        <v>4130</v>
      </c>
      <c r="AF7" s="367"/>
      <c r="AG7" s="325"/>
      <c r="AH7" s="325"/>
    </row>
    <row r="8" ht="14.25" customHeight="1">
      <c r="A8" s="37" t="s">
        <v>285</v>
      </c>
      <c r="B8" s="37" t="s">
        <v>286</v>
      </c>
      <c r="C8" s="37" t="s">
        <v>88</v>
      </c>
      <c r="D8" s="37" t="s">
        <v>287</v>
      </c>
      <c r="E8" s="155" t="s">
        <v>4131</v>
      </c>
      <c r="F8" s="369">
        <v>20.0</v>
      </c>
      <c r="G8" s="39" t="s">
        <v>4132</v>
      </c>
      <c r="H8" s="39" t="s">
        <v>4133</v>
      </c>
      <c r="I8" s="340" t="s">
        <v>4134</v>
      </c>
      <c r="J8" s="39" t="s">
        <v>4135</v>
      </c>
      <c r="K8" s="39" t="s">
        <v>4136</v>
      </c>
      <c r="L8" s="84" t="s">
        <v>4137</v>
      </c>
      <c r="M8" s="84" t="s">
        <v>4138</v>
      </c>
      <c r="N8" s="84" t="s">
        <v>1764</v>
      </c>
      <c r="O8" s="84" t="s">
        <v>4139</v>
      </c>
      <c r="P8" s="26" t="s">
        <v>931</v>
      </c>
      <c r="R8" s="37"/>
      <c r="S8" s="39" t="s">
        <v>4140</v>
      </c>
      <c r="T8" s="39" t="s">
        <v>963</v>
      </c>
      <c r="U8" s="68"/>
      <c r="V8" s="68"/>
      <c r="W8" s="68"/>
      <c r="X8" s="68"/>
      <c r="Y8" s="84" t="s">
        <v>1017</v>
      </c>
      <c r="Z8" s="84" t="s">
        <v>931</v>
      </c>
      <c r="AA8" s="68"/>
      <c r="AB8" s="84" t="s">
        <v>972</v>
      </c>
      <c r="AC8" s="84" t="s">
        <v>4118</v>
      </c>
      <c r="AD8" s="84" t="s">
        <v>1027</v>
      </c>
      <c r="AE8" s="84" t="s">
        <v>4141</v>
      </c>
      <c r="AF8" s="68"/>
    </row>
    <row r="9" ht="14.25" customHeight="1">
      <c r="A9" s="37" t="s">
        <v>288</v>
      </c>
      <c r="B9" s="37" t="s">
        <v>289</v>
      </c>
      <c r="C9" s="37" t="s">
        <v>88</v>
      </c>
      <c r="D9" s="37" t="s">
        <v>290</v>
      </c>
      <c r="E9" s="155" t="s">
        <v>4142</v>
      </c>
      <c r="F9" s="369">
        <v>11.0</v>
      </c>
      <c r="G9" s="39" t="s">
        <v>4143</v>
      </c>
      <c r="H9" s="39" t="s">
        <v>273</v>
      </c>
      <c r="I9" s="39" t="s">
        <v>49</v>
      </c>
      <c r="J9" s="39" t="s">
        <v>4144</v>
      </c>
      <c r="K9" s="39" t="s">
        <v>4145</v>
      </c>
      <c r="L9" s="84" t="s">
        <v>4146</v>
      </c>
      <c r="M9" s="84" t="s">
        <v>4147</v>
      </c>
      <c r="N9" s="84" t="s">
        <v>4148</v>
      </c>
      <c r="O9" s="84" t="s">
        <v>4149</v>
      </c>
      <c r="P9" s="26" t="s">
        <v>931</v>
      </c>
      <c r="R9" s="37"/>
      <c r="S9" s="39" t="s">
        <v>4150</v>
      </c>
      <c r="T9" s="39" t="s">
        <v>963</v>
      </c>
      <c r="U9" s="68"/>
      <c r="V9" s="68"/>
      <c r="W9" s="68"/>
      <c r="X9" s="68"/>
      <c r="Y9" s="84" t="s">
        <v>4151</v>
      </c>
      <c r="Z9" s="68"/>
      <c r="AA9" s="68"/>
      <c r="AB9" s="84" t="s">
        <v>972</v>
      </c>
      <c r="AC9" s="84" t="s">
        <v>4152</v>
      </c>
      <c r="AD9" s="84" t="s">
        <v>1027</v>
      </c>
      <c r="AE9" s="84" t="s">
        <v>4096</v>
      </c>
      <c r="AF9" s="68"/>
    </row>
    <row r="10" ht="14.25" customHeight="1">
      <c r="A10" s="37" t="s">
        <v>293</v>
      </c>
      <c r="B10" s="37" t="s">
        <v>294</v>
      </c>
      <c r="C10" s="37" t="s">
        <v>88</v>
      </c>
      <c r="D10" s="37" t="s">
        <v>295</v>
      </c>
      <c r="E10" s="160" t="s">
        <v>1589</v>
      </c>
      <c r="F10" s="369">
        <v>11.0</v>
      </c>
      <c r="G10" s="37" t="s">
        <v>296</v>
      </c>
      <c r="H10" s="37" t="s">
        <v>221</v>
      </c>
      <c r="I10" s="39" t="s">
        <v>49</v>
      </c>
      <c r="J10" s="26" t="s">
        <v>4153</v>
      </c>
      <c r="K10" s="26" t="s">
        <v>4154</v>
      </c>
      <c r="L10" s="67" t="s">
        <v>4155</v>
      </c>
      <c r="M10" s="67" t="s">
        <v>4156</v>
      </c>
      <c r="N10" s="67" t="s">
        <v>4148</v>
      </c>
      <c r="O10" s="84" t="s">
        <v>4157</v>
      </c>
      <c r="P10" s="26" t="s">
        <v>4158</v>
      </c>
      <c r="R10" s="37"/>
      <c r="S10" s="39" t="s">
        <v>4159</v>
      </c>
      <c r="T10" s="39" t="s">
        <v>963</v>
      </c>
      <c r="U10" s="84" t="s">
        <v>4160</v>
      </c>
      <c r="V10" s="68"/>
      <c r="W10" s="68"/>
      <c r="X10" s="84" t="s">
        <v>4161</v>
      </c>
      <c r="Y10" s="67" t="s">
        <v>1017</v>
      </c>
      <c r="Z10" s="84" t="s">
        <v>4162</v>
      </c>
      <c r="AA10" s="68"/>
      <c r="AB10" s="84" t="s">
        <v>972</v>
      </c>
      <c r="AC10" s="84" t="s">
        <v>4152</v>
      </c>
      <c r="AD10" s="84" t="s">
        <v>1027</v>
      </c>
      <c r="AE10" s="84" t="s">
        <v>4096</v>
      </c>
      <c r="AF10" s="68"/>
    </row>
    <row r="11" ht="14.25" customHeight="1">
      <c r="A11" s="37" t="s">
        <v>297</v>
      </c>
      <c r="B11" s="37" t="s">
        <v>298</v>
      </c>
      <c r="C11" s="37" t="s">
        <v>88</v>
      </c>
      <c r="D11" s="37" t="s">
        <v>299</v>
      </c>
      <c r="E11" s="160" t="s">
        <v>1592</v>
      </c>
      <c r="F11" s="369">
        <v>13.0</v>
      </c>
      <c r="G11" s="37" t="s">
        <v>300</v>
      </c>
      <c r="H11" s="37" t="s">
        <v>301</v>
      </c>
      <c r="I11" s="37" t="s">
        <v>49</v>
      </c>
      <c r="J11" s="39" t="s">
        <v>4163</v>
      </c>
      <c r="K11" s="39" t="s">
        <v>4164</v>
      </c>
      <c r="L11" s="84" t="s">
        <v>4165</v>
      </c>
      <c r="M11" s="84" t="s">
        <v>4166</v>
      </c>
      <c r="N11" s="84" t="s">
        <v>4167</v>
      </c>
      <c r="O11" s="84" t="s">
        <v>4168</v>
      </c>
      <c r="P11" s="26" t="s">
        <v>931</v>
      </c>
      <c r="R11" s="37"/>
      <c r="T11" s="39" t="s">
        <v>963</v>
      </c>
      <c r="U11" s="84" t="s">
        <v>4169</v>
      </c>
      <c r="V11" s="84" t="s">
        <v>4170</v>
      </c>
      <c r="W11" s="84" t="s">
        <v>4171</v>
      </c>
      <c r="X11" s="84" t="s">
        <v>4094</v>
      </c>
      <c r="Y11" s="84" t="s">
        <v>1017</v>
      </c>
      <c r="Z11" s="68"/>
      <c r="AA11" s="68"/>
      <c r="AB11" s="84" t="s">
        <v>4172</v>
      </c>
      <c r="AC11" s="68"/>
      <c r="AD11" s="84" t="s">
        <v>1366</v>
      </c>
      <c r="AE11" s="84" t="s">
        <v>4096</v>
      </c>
      <c r="AF11" s="68"/>
    </row>
    <row r="12" ht="14.25" customHeight="1">
      <c r="A12" s="14" t="s">
        <v>302</v>
      </c>
      <c r="B12" s="14" t="s">
        <v>303</v>
      </c>
      <c r="C12" s="14" t="s">
        <v>88</v>
      </c>
      <c r="D12" s="14" t="s">
        <v>109</v>
      </c>
      <c r="E12" s="370" t="s">
        <v>4173</v>
      </c>
      <c r="F12" s="371">
        <v>6.0</v>
      </c>
      <c r="G12" s="14"/>
      <c r="H12" s="14" t="s">
        <v>217</v>
      </c>
      <c r="I12" s="14" t="s">
        <v>49</v>
      </c>
      <c r="J12" s="372"/>
      <c r="K12" s="372"/>
      <c r="L12" s="373"/>
      <c r="M12" s="373"/>
      <c r="N12" s="374" t="s">
        <v>4174</v>
      </c>
      <c r="O12" s="374"/>
      <c r="P12" s="25" t="s">
        <v>963</v>
      </c>
      <c r="Q12" s="14"/>
      <c r="R12" s="375" t="s">
        <v>2986</v>
      </c>
      <c r="S12" s="14"/>
      <c r="T12" s="25" t="s">
        <v>963</v>
      </c>
      <c r="U12" s="373"/>
      <c r="V12" s="373"/>
      <c r="W12" s="373"/>
      <c r="X12" s="373"/>
      <c r="Y12" s="373"/>
      <c r="Z12" s="376"/>
      <c r="AA12" s="376"/>
      <c r="AB12" s="373"/>
      <c r="AC12" s="373"/>
      <c r="AD12" s="374" t="s">
        <v>1340</v>
      </c>
      <c r="AE12" s="374" t="s">
        <v>4175</v>
      </c>
      <c r="AF12" s="376"/>
      <c r="AG12" s="14"/>
      <c r="AH12" s="14"/>
    </row>
    <row r="13" ht="14.25" customHeight="1">
      <c r="A13" s="37" t="s">
        <v>304</v>
      </c>
      <c r="B13" s="37" t="s">
        <v>305</v>
      </c>
      <c r="C13" s="37" t="s">
        <v>88</v>
      </c>
      <c r="D13" s="37" t="s">
        <v>242</v>
      </c>
      <c r="E13" s="155" t="s">
        <v>4176</v>
      </c>
      <c r="F13" s="369">
        <v>10.0</v>
      </c>
      <c r="G13" s="37" t="s">
        <v>306</v>
      </c>
      <c r="H13" s="37" t="s">
        <v>307</v>
      </c>
      <c r="I13" s="37" t="s">
        <v>49</v>
      </c>
      <c r="J13" s="39" t="s">
        <v>4177</v>
      </c>
      <c r="K13" s="39" t="s">
        <v>4178</v>
      </c>
      <c r="L13" s="84" t="s">
        <v>4179</v>
      </c>
      <c r="M13" s="84" t="s">
        <v>4180</v>
      </c>
      <c r="N13" s="84" t="s">
        <v>1153</v>
      </c>
      <c r="O13" s="84" t="s">
        <v>4181</v>
      </c>
      <c r="P13" s="39" t="s">
        <v>931</v>
      </c>
      <c r="R13" s="37"/>
      <c r="T13" s="39" t="s">
        <v>963</v>
      </c>
      <c r="U13" s="84" t="s">
        <v>4182</v>
      </c>
      <c r="V13" s="84" t="s">
        <v>4183</v>
      </c>
      <c r="W13" s="84" t="s">
        <v>4184</v>
      </c>
      <c r="X13" s="84" t="s">
        <v>4161</v>
      </c>
      <c r="Y13" s="84" t="s">
        <v>1017</v>
      </c>
      <c r="Z13" s="68"/>
      <c r="AA13" s="68"/>
      <c r="AB13" s="84" t="s">
        <v>4185</v>
      </c>
      <c r="AC13" s="84" t="s">
        <v>4152</v>
      </c>
      <c r="AD13" s="84" t="s">
        <v>1027</v>
      </c>
      <c r="AE13" s="84" t="s">
        <v>4096</v>
      </c>
      <c r="AF13" s="68"/>
    </row>
    <row r="14" ht="14.25" customHeight="1">
      <c r="A14" s="37" t="s">
        <v>308</v>
      </c>
      <c r="B14" s="37" t="s">
        <v>309</v>
      </c>
      <c r="C14" s="37" t="s">
        <v>88</v>
      </c>
      <c r="D14" s="37" t="s">
        <v>310</v>
      </c>
      <c r="E14" s="155" t="s">
        <v>4186</v>
      </c>
      <c r="F14" s="369">
        <v>11.0</v>
      </c>
      <c r="G14" s="37" t="s">
        <v>311</v>
      </c>
      <c r="H14" s="37" t="s">
        <v>233</v>
      </c>
      <c r="I14" s="37" t="s">
        <v>49</v>
      </c>
      <c r="J14" s="39" t="s">
        <v>4187</v>
      </c>
      <c r="K14" s="39" t="s">
        <v>4188</v>
      </c>
      <c r="L14" s="84" t="s">
        <v>4189</v>
      </c>
      <c r="M14" s="84" t="s">
        <v>4190</v>
      </c>
      <c r="N14" s="84" t="s">
        <v>4191</v>
      </c>
      <c r="O14" s="84" t="s">
        <v>4192</v>
      </c>
      <c r="P14" s="39" t="s">
        <v>931</v>
      </c>
      <c r="R14" s="37"/>
      <c r="T14" s="39" t="s">
        <v>963</v>
      </c>
      <c r="U14" s="84" t="s">
        <v>4193</v>
      </c>
      <c r="V14" s="84" t="s">
        <v>4194</v>
      </c>
      <c r="W14" s="84" t="s">
        <v>4195</v>
      </c>
      <c r="Y14" s="84" t="s">
        <v>1017</v>
      </c>
      <c r="Z14" s="68"/>
      <c r="AA14" s="68"/>
      <c r="AB14" s="84" t="s">
        <v>972</v>
      </c>
      <c r="AC14" s="84" t="s">
        <v>4152</v>
      </c>
      <c r="AD14" s="84" t="s">
        <v>1027</v>
      </c>
      <c r="AE14" s="84" t="s">
        <v>4096</v>
      </c>
      <c r="AF14" s="68"/>
    </row>
    <row r="15" ht="14.25" customHeight="1">
      <c r="A15" s="14" t="s">
        <v>312</v>
      </c>
      <c r="B15" s="14" t="s">
        <v>313</v>
      </c>
      <c r="C15" s="14" t="s">
        <v>88</v>
      </c>
      <c r="D15" s="14" t="s">
        <v>113</v>
      </c>
      <c r="E15" s="370" t="s">
        <v>4196</v>
      </c>
      <c r="F15" s="371">
        <v>6.0</v>
      </c>
      <c r="G15" s="14" t="s">
        <v>300</v>
      </c>
      <c r="H15" s="14" t="s">
        <v>314</v>
      </c>
      <c r="I15" s="14" t="s">
        <v>49</v>
      </c>
      <c r="J15" s="372"/>
      <c r="K15" s="372"/>
      <c r="L15" s="373"/>
      <c r="M15" s="373"/>
      <c r="N15" s="373"/>
      <c r="O15" s="373"/>
      <c r="P15" s="25" t="s">
        <v>963</v>
      </c>
      <c r="Q15" s="25" t="s">
        <v>3008</v>
      </c>
      <c r="R15" s="25" t="s">
        <v>2986</v>
      </c>
      <c r="S15" s="372"/>
      <c r="T15" s="25" t="s">
        <v>963</v>
      </c>
      <c r="U15" s="373"/>
      <c r="V15" s="373"/>
      <c r="W15" s="373"/>
      <c r="X15" s="373"/>
      <c r="Y15" s="373"/>
      <c r="Z15" s="373"/>
      <c r="AA15" s="373"/>
      <c r="AB15" s="373"/>
      <c r="AC15" s="373"/>
      <c r="AD15" s="373"/>
      <c r="AE15" s="373"/>
      <c r="AF15" s="373"/>
      <c r="AG15" s="372"/>
      <c r="AH15" s="372"/>
    </row>
    <row r="16" ht="14.25" customHeight="1">
      <c r="A16" s="313" t="s">
        <v>315</v>
      </c>
      <c r="B16" s="313" t="s">
        <v>316</v>
      </c>
      <c r="C16" s="313" t="s">
        <v>88</v>
      </c>
      <c r="D16" s="313" t="s">
        <v>264</v>
      </c>
      <c r="E16" s="352" t="s">
        <v>4197</v>
      </c>
      <c r="F16" s="377">
        <v>11.0</v>
      </c>
      <c r="G16" s="313" t="s">
        <v>162</v>
      </c>
      <c r="H16" s="313" t="s">
        <v>317</v>
      </c>
      <c r="I16" s="313" t="s">
        <v>49</v>
      </c>
      <c r="J16" s="343" t="s">
        <v>4198</v>
      </c>
      <c r="K16" s="343" t="s">
        <v>4199</v>
      </c>
      <c r="L16" s="356"/>
      <c r="M16" s="356"/>
      <c r="N16" s="356"/>
      <c r="O16" s="356"/>
      <c r="P16" s="343" t="s">
        <v>963</v>
      </c>
      <c r="Q16" s="343" t="s">
        <v>3009</v>
      </c>
      <c r="S16" s="378"/>
      <c r="T16" s="343" t="s">
        <v>963</v>
      </c>
      <c r="U16" s="356" t="s">
        <v>4200</v>
      </c>
      <c r="V16" s="356"/>
      <c r="W16" s="356"/>
      <c r="X16" s="356"/>
      <c r="Y16" s="356"/>
      <c r="Z16" s="356"/>
      <c r="AA16" s="356"/>
      <c r="AB16" s="356"/>
      <c r="AC16" s="356" t="s">
        <v>4152</v>
      </c>
      <c r="AD16" s="356" t="s">
        <v>1451</v>
      </c>
      <c r="AE16" s="356" t="s">
        <v>4096</v>
      </c>
      <c r="AG16" s="343"/>
      <c r="AH16" s="343"/>
    </row>
    <row r="17" ht="14.25" customHeight="1">
      <c r="A17" s="379" t="s">
        <v>318</v>
      </c>
      <c r="B17" s="380" t="s">
        <v>319</v>
      </c>
      <c r="C17" s="380" t="s">
        <v>88</v>
      </c>
      <c r="D17" s="380" t="s">
        <v>272</v>
      </c>
      <c r="E17" s="381" t="s">
        <v>4201</v>
      </c>
      <c r="F17" s="382">
        <v>19.0</v>
      </c>
      <c r="G17" s="380" t="s">
        <v>162</v>
      </c>
      <c r="H17" s="380" t="s">
        <v>320</v>
      </c>
      <c r="I17" s="380" t="s">
        <v>49</v>
      </c>
      <c r="J17" s="383"/>
      <c r="K17" s="3"/>
      <c r="L17" s="3"/>
      <c r="M17" s="384"/>
      <c r="N17" s="384"/>
      <c r="O17" s="384"/>
      <c r="P17" s="384"/>
      <c r="Q17" s="384"/>
      <c r="R17" s="384"/>
      <c r="S17" s="384"/>
      <c r="T17" s="154" t="s">
        <v>963</v>
      </c>
      <c r="U17" s="384"/>
      <c r="V17" s="384"/>
      <c r="W17" s="384"/>
      <c r="X17" s="384"/>
      <c r="Y17" s="384"/>
      <c r="Z17" s="384"/>
      <c r="AA17" s="384"/>
      <c r="AB17" s="384"/>
      <c r="AC17" s="384"/>
      <c r="AD17" s="384"/>
      <c r="AE17" s="384"/>
      <c r="AF17" s="385"/>
      <c r="AG17" s="41"/>
      <c r="AH17" s="41"/>
    </row>
    <row r="18" ht="14.25" customHeight="1">
      <c r="A18" s="37" t="s">
        <v>321</v>
      </c>
      <c r="B18" s="37" t="s">
        <v>322</v>
      </c>
      <c r="C18" s="37" t="s">
        <v>88</v>
      </c>
      <c r="D18" s="37" t="s">
        <v>247</v>
      </c>
      <c r="E18" s="160" t="s">
        <v>1602</v>
      </c>
      <c r="F18" s="369">
        <v>12.0</v>
      </c>
      <c r="G18" s="37" t="s">
        <v>323</v>
      </c>
      <c r="H18" s="37" t="s">
        <v>233</v>
      </c>
      <c r="I18" s="37" t="s">
        <v>49</v>
      </c>
      <c r="J18" s="84" t="s">
        <v>4202</v>
      </c>
      <c r="K18" s="84" t="s">
        <v>4203</v>
      </c>
      <c r="L18" s="84" t="s">
        <v>4204</v>
      </c>
      <c r="M18" s="84" t="s">
        <v>4205</v>
      </c>
      <c r="N18" s="84" t="s">
        <v>4206</v>
      </c>
      <c r="O18" s="84" t="s">
        <v>4207</v>
      </c>
      <c r="P18" s="84" t="s">
        <v>931</v>
      </c>
      <c r="Q18" s="84"/>
      <c r="R18" s="84"/>
      <c r="S18" s="84"/>
      <c r="T18" s="154" t="s">
        <v>963</v>
      </c>
      <c r="U18" s="84"/>
      <c r="V18" s="84" t="s">
        <v>4208</v>
      </c>
      <c r="W18" s="84" t="s">
        <v>4209</v>
      </c>
      <c r="X18" s="84"/>
      <c r="Y18" s="84" t="s">
        <v>4210</v>
      </c>
      <c r="Z18" s="84"/>
      <c r="AA18" s="84"/>
      <c r="AB18" s="84"/>
      <c r="AC18" s="84"/>
      <c r="AD18" s="84"/>
      <c r="AE18" s="84" t="s">
        <v>4096</v>
      </c>
      <c r="AF18" s="84"/>
      <c r="AG18" s="84"/>
      <c r="AH18" s="39"/>
    </row>
    <row r="19" ht="14.25" customHeight="1">
      <c r="A19" s="37" t="s">
        <v>324</v>
      </c>
      <c r="B19" s="37" t="s">
        <v>325</v>
      </c>
      <c r="C19" s="37" t="s">
        <v>88</v>
      </c>
      <c r="D19" s="37" t="s">
        <v>326</v>
      </c>
      <c r="E19" s="155" t="s">
        <v>4211</v>
      </c>
      <c r="F19" s="369">
        <v>17.0</v>
      </c>
      <c r="G19" s="39" t="s">
        <v>311</v>
      </c>
      <c r="H19" s="39" t="s">
        <v>4212</v>
      </c>
      <c r="I19" s="39" t="s">
        <v>49</v>
      </c>
      <c r="J19" s="84" t="s">
        <v>4213</v>
      </c>
      <c r="K19" s="84" t="s">
        <v>4214</v>
      </c>
      <c r="L19" s="84" t="s">
        <v>4215</v>
      </c>
      <c r="M19" s="84" t="s">
        <v>4216</v>
      </c>
      <c r="N19" s="84" t="s">
        <v>4217</v>
      </c>
      <c r="O19" s="84" t="s">
        <v>4218</v>
      </c>
      <c r="P19" s="84" t="s">
        <v>931</v>
      </c>
      <c r="Q19" s="363"/>
      <c r="R19" s="363"/>
      <c r="S19" s="84" t="s">
        <v>4219</v>
      </c>
      <c r="T19" s="39" t="s">
        <v>963</v>
      </c>
      <c r="U19" s="84" t="s">
        <v>4220</v>
      </c>
      <c r="V19" s="84" t="s">
        <v>4221</v>
      </c>
      <c r="W19" s="84" t="s">
        <v>4222</v>
      </c>
      <c r="X19" s="84" t="s">
        <v>4094</v>
      </c>
      <c r="Y19" s="84" t="s">
        <v>4223</v>
      </c>
      <c r="AB19" s="84" t="s">
        <v>4224</v>
      </c>
      <c r="AC19" s="84" t="s">
        <v>4152</v>
      </c>
      <c r="AD19" s="84" t="s">
        <v>1027</v>
      </c>
      <c r="AE19" s="84" t="s">
        <v>2851</v>
      </c>
      <c r="AG19" s="363"/>
      <c r="AH19" s="39" t="s">
        <v>4225</v>
      </c>
    </row>
    <row r="20" ht="14.25" customHeight="1">
      <c r="A20" s="37" t="s">
        <v>328</v>
      </c>
      <c r="B20" s="37" t="s">
        <v>329</v>
      </c>
      <c r="C20" s="37" t="s">
        <v>88</v>
      </c>
      <c r="D20" s="37" t="s">
        <v>187</v>
      </c>
      <c r="E20" s="155" t="s">
        <v>4226</v>
      </c>
      <c r="F20" s="369">
        <v>20.0</v>
      </c>
      <c r="G20" s="39" t="s">
        <v>330</v>
      </c>
      <c r="H20" s="39" t="s">
        <v>189</v>
      </c>
      <c r="I20" s="340" t="s">
        <v>4227</v>
      </c>
      <c r="J20" s="84" t="s">
        <v>4228</v>
      </c>
      <c r="K20" s="84" t="s">
        <v>4229</v>
      </c>
      <c r="L20" s="84" t="s">
        <v>4230</v>
      </c>
      <c r="M20" s="84" t="s">
        <v>4231</v>
      </c>
      <c r="N20" s="84" t="s">
        <v>4232</v>
      </c>
      <c r="O20" s="84" t="s">
        <v>4233</v>
      </c>
      <c r="P20" s="84" t="s">
        <v>931</v>
      </c>
      <c r="Q20" s="363"/>
      <c r="R20" s="363"/>
      <c r="S20" s="84" t="s">
        <v>4234</v>
      </c>
      <c r="T20" s="39" t="s">
        <v>963</v>
      </c>
      <c r="U20" s="84" t="s">
        <v>4235</v>
      </c>
      <c r="V20" s="84" t="s">
        <v>4236</v>
      </c>
      <c r="W20" s="84" t="s">
        <v>4237</v>
      </c>
      <c r="X20" s="84" t="s">
        <v>4094</v>
      </c>
      <c r="Y20" s="84" t="s">
        <v>4238</v>
      </c>
      <c r="AB20" s="84" t="s">
        <v>4239</v>
      </c>
      <c r="AC20" s="84" t="s">
        <v>4152</v>
      </c>
      <c r="AD20" s="84" t="s">
        <v>1027</v>
      </c>
      <c r="AE20" s="84" t="s">
        <v>2851</v>
      </c>
      <c r="AG20" s="363"/>
      <c r="AH20" s="41"/>
    </row>
    <row r="21" ht="14.25" customHeight="1">
      <c r="A21" s="37" t="s">
        <v>331</v>
      </c>
      <c r="B21" s="37" t="s">
        <v>332</v>
      </c>
      <c r="C21" s="37" t="s">
        <v>88</v>
      </c>
      <c r="D21" s="37" t="s">
        <v>224</v>
      </c>
      <c r="E21" s="155" t="s">
        <v>4240</v>
      </c>
      <c r="F21" s="369">
        <v>14.0</v>
      </c>
      <c r="G21" s="41"/>
      <c r="H21" s="39" t="s">
        <v>333</v>
      </c>
      <c r="I21" s="39" t="s">
        <v>49</v>
      </c>
      <c r="J21" s="84" t="s">
        <v>4241</v>
      </c>
      <c r="K21" s="84" t="s">
        <v>4242</v>
      </c>
      <c r="L21" s="84" t="s">
        <v>4243</v>
      </c>
      <c r="M21" s="84" t="s">
        <v>4244</v>
      </c>
      <c r="N21" s="84" t="s">
        <v>4245</v>
      </c>
      <c r="O21" s="84" t="s">
        <v>4246</v>
      </c>
      <c r="P21" s="84" t="s">
        <v>931</v>
      </c>
      <c r="Q21" s="363"/>
      <c r="R21" s="363"/>
      <c r="S21" s="84" t="s">
        <v>4247</v>
      </c>
      <c r="T21" s="39" t="s">
        <v>963</v>
      </c>
      <c r="U21" s="84" t="s">
        <v>4248</v>
      </c>
      <c r="V21" s="84" t="s">
        <v>4249</v>
      </c>
      <c r="W21" s="84" t="s">
        <v>4250</v>
      </c>
      <c r="X21" s="84" t="s">
        <v>4094</v>
      </c>
      <c r="Y21" s="84" t="s">
        <v>4251</v>
      </c>
      <c r="AD21" s="84" t="s">
        <v>1027</v>
      </c>
      <c r="AE21" s="84" t="s">
        <v>2851</v>
      </c>
      <c r="AG21" s="363"/>
      <c r="AH21" s="41"/>
    </row>
    <row r="22" ht="14.25" customHeight="1">
      <c r="A22" s="327" t="s">
        <v>334</v>
      </c>
      <c r="B22" s="153" t="s">
        <v>335</v>
      </c>
      <c r="C22" s="153" t="s">
        <v>88</v>
      </c>
      <c r="D22" s="153" t="s">
        <v>336</v>
      </c>
      <c r="E22" s="153"/>
      <c r="F22" s="153"/>
      <c r="G22" s="153" t="s">
        <v>337</v>
      </c>
      <c r="H22" s="153" t="s">
        <v>338</v>
      </c>
      <c r="I22" s="153" t="s">
        <v>49</v>
      </c>
      <c r="J22" s="153"/>
      <c r="K22" s="153"/>
      <c r="L22" s="153"/>
      <c r="M22" s="153"/>
      <c r="N22" s="153"/>
      <c r="O22" s="153"/>
      <c r="P22" s="328"/>
      <c r="R22" s="37"/>
      <c r="T22" s="39" t="s">
        <v>963</v>
      </c>
      <c r="U22" s="68"/>
      <c r="V22" s="68"/>
      <c r="W22" s="68"/>
      <c r="X22" s="68"/>
      <c r="Y22" s="68"/>
      <c r="Z22" s="68"/>
      <c r="AA22" s="68"/>
      <c r="AB22" s="68"/>
      <c r="AC22" s="68"/>
      <c r="AD22" s="68"/>
      <c r="AE22" s="68"/>
      <c r="AF22" s="68"/>
      <c r="AG22" s="68"/>
    </row>
    <row r="23" ht="14.25" customHeight="1">
      <c r="A23" s="50" t="s">
        <v>339</v>
      </c>
      <c r="B23" s="16" t="s">
        <v>340</v>
      </c>
      <c r="C23" s="16" t="s">
        <v>88</v>
      </c>
      <c r="D23" s="16" t="s">
        <v>109</v>
      </c>
      <c r="E23" s="16"/>
      <c r="F23" s="16"/>
      <c r="G23" s="16" t="s">
        <v>101</v>
      </c>
      <c r="H23" s="16" t="s">
        <v>155</v>
      </c>
      <c r="I23" s="16" t="s">
        <v>49</v>
      </c>
      <c r="J23" s="16"/>
      <c r="K23" s="16"/>
      <c r="L23" s="16"/>
      <c r="M23" s="16"/>
      <c r="N23" s="16"/>
      <c r="O23" s="16"/>
      <c r="P23" s="329"/>
      <c r="R23" s="37"/>
      <c r="T23" s="39" t="s">
        <v>963</v>
      </c>
      <c r="U23" s="68"/>
      <c r="V23" s="68"/>
      <c r="W23" s="68"/>
      <c r="X23" s="68"/>
      <c r="Y23" s="68"/>
      <c r="Z23" s="68"/>
      <c r="AA23" s="68"/>
      <c r="AB23" s="68"/>
      <c r="AC23" s="68"/>
      <c r="AD23" s="68"/>
      <c r="AE23" s="68"/>
      <c r="AF23" s="68"/>
      <c r="AG23" s="68"/>
    </row>
    <row r="24" ht="14.25" customHeight="1">
      <c r="A24" s="37" t="s">
        <v>341</v>
      </c>
      <c r="B24" s="37" t="s">
        <v>342</v>
      </c>
      <c r="C24" s="37" t="s">
        <v>88</v>
      </c>
      <c r="D24" s="37" t="s">
        <v>343</v>
      </c>
      <c r="E24" s="155" t="s">
        <v>4252</v>
      </c>
      <c r="F24" s="369">
        <v>11.0</v>
      </c>
      <c r="G24" s="39" t="s">
        <v>311</v>
      </c>
      <c r="H24" s="39" t="s">
        <v>233</v>
      </c>
      <c r="I24" s="39" t="s">
        <v>49</v>
      </c>
      <c r="J24" s="84" t="s">
        <v>4253</v>
      </c>
      <c r="K24" s="84" t="s">
        <v>4254</v>
      </c>
      <c r="L24" s="84" t="s">
        <v>4255</v>
      </c>
      <c r="M24" s="84" t="s">
        <v>4256</v>
      </c>
      <c r="N24" s="84" t="s">
        <v>4257</v>
      </c>
      <c r="O24" s="84" t="s">
        <v>4258</v>
      </c>
      <c r="P24" s="84" t="s">
        <v>931</v>
      </c>
      <c r="Q24" s="41"/>
      <c r="R24" s="41"/>
      <c r="S24" s="41"/>
      <c r="T24" s="39" t="s">
        <v>963</v>
      </c>
      <c r="U24" s="84" t="s">
        <v>4259</v>
      </c>
      <c r="V24" s="84" t="s">
        <v>4260</v>
      </c>
      <c r="W24" s="84" t="s">
        <v>4261</v>
      </c>
      <c r="X24" s="84" t="s">
        <v>4262</v>
      </c>
      <c r="Y24" s="84" t="s">
        <v>4263</v>
      </c>
      <c r="AB24" s="84" t="s">
        <v>4264</v>
      </c>
      <c r="AC24" s="84" t="s">
        <v>4152</v>
      </c>
      <c r="AD24" s="84" t="s">
        <v>1027</v>
      </c>
      <c r="AE24" s="84" t="s">
        <v>2851</v>
      </c>
      <c r="AG24" s="68"/>
    </row>
    <row r="25" ht="14.25" customHeight="1">
      <c r="A25" s="39" t="s">
        <v>893</v>
      </c>
      <c r="B25" s="39" t="s">
        <v>894</v>
      </c>
      <c r="C25" s="39" t="s">
        <v>4265</v>
      </c>
      <c r="D25" s="39" t="s">
        <v>895</v>
      </c>
      <c r="E25" s="155" t="s">
        <v>4266</v>
      </c>
      <c r="F25" s="369">
        <v>15.0</v>
      </c>
      <c r="G25" s="39" t="s">
        <v>300</v>
      </c>
      <c r="H25" s="39" t="s">
        <v>260</v>
      </c>
      <c r="I25" s="39" t="s">
        <v>49</v>
      </c>
      <c r="J25" s="84" t="s">
        <v>4267</v>
      </c>
      <c r="K25" s="84" t="s">
        <v>4268</v>
      </c>
      <c r="L25" s="162" t="s">
        <v>4269</v>
      </c>
      <c r="M25" s="84" t="s">
        <v>4270</v>
      </c>
      <c r="N25" s="84" t="s">
        <v>4271</v>
      </c>
      <c r="O25" s="84" t="s">
        <v>4272</v>
      </c>
      <c r="P25" s="84" t="s">
        <v>931</v>
      </c>
      <c r="Q25" s="41"/>
      <c r="R25" s="41"/>
      <c r="S25" s="39" t="s">
        <v>4273</v>
      </c>
      <c r="T25" s="39" t="s">
        <v>963</v>
      </c>
      <c r="U25" s="84" t="s">
        <v>4274</v>
      </c>
      <c r="V25" s="84" t="s">
        <v>4275</v>
      </c>
      <c r="W25" s="84" t="s">
        <v>4276</v>
      </c>
      <c r="X25" s="84" t="s">
        <v>4105</v>
      </c>
      <c r="Y25" s="162" t="s">
        <v>4277</v>
      </c>
      <c r="Z25" s="363"/>
      <c r="AA25" s="84" t="s">
        <v>4278</v>
      </c>
      <c r="AB25" s="84" t="s">
        <v>4279</v>
      </c>
      <c r="AC25" s="84" t="s">
        <v>4152</v>
      </c>
      <c r="AD25" s="162" t="s">
        <v>4280</v>
      </c>
      <c r="AE25" s="84" t="s">
        <v>4281</v>
      </c>
      <c r="AF25" s="363"/>
      <c r="AG25" s="68"/>
    </row>
    <row r="26" ht="14.25" customHeight="1">
      <c r="A26" s="330" t="s">
        <v>876</v>
      </c>
      <c r="B26" s="330" t="s">
        <v>877</v>
      </c>
      <c r="C26" s="386" t="s">
        <v>4282</v>
      </c>
      <c r="D26" s="330" t="s">
        <v>878</v>
      </c>
      <c r="E26" s="357" t="s">
        <v>4283</v>
      </c>
      <c r="F26" s="387">
        <v>20.0</v>
      </c>
      <c r="G26" s="330" t="s">
        <v>101</v>
      </c>
      <c r="H26" s="330" t="s">
        <v>879</v>
      </c>
      <c r="I26" s="330" t="s">
        <v>559</v>
      </c>
      <c r="J26" s="360" t="s">
        <v>4284</v>
      </c>
      <c r="K26" s="360" t="s">
        <v>4285</v>
      </c>
      <c r="L26" s="360" t="s">
        <v>4286</v>
      </c>
      <c r="M26" s="360" t="s">
        <v>4287</v>
      </c>
      <c r="N26" s="360" t="s">
        <v>4288</v>
      </c>
      <c r="O26" s="360" t="s">
        <v>4289</v>
      </c>
      <c r="P26" s="360" t="s">
        <v>963</v>
      </c>
      <c r="Q26" s="332"/>
      <c r="R26" s="332"/>
      <c r="S26" s="330" t="s">
        <v>4290</v>
      </c>
      <c r="T26" s="330" t="s">
        <v>963</v>
      </c>
      <c r="U26" s="360" t="s">
        <v>4291</v>
      </c>
      <c r="V26" s="360" t="s">
        <v>4292</v>
      </c>
      <c r="W26" s="360" t="s">
        <v>4293</v>
      </c>
      <c r="X26" s="360" t="s">
        <v>4262</v>
      </c>
      <c r="Y26" s="388"/>
      <c r="Z26" s="388"/>
      <c r="AA26" s="360" t="s">
        <v>4294</v>
      </c>
      <c r="AB26" s="360" t="s">
        <v>4295</v>
      </c>
      <c r="AC26" s="360" t="s">
        <v>3152</v>
      </c>
      <c r="AD26" s="360" t="s">
        <v>1069</v>
      </c>
      <c r="AE26" s="360" t="s">
        <v>4296</v>
      </c>
      <c r="AH26" s="315"/>
    </row>
    <row r="27" ht="14.25" customHeight="1">
      <c r="A27" s="330" t="s">
        <v>902</v>
      </c>
      <c r="B27" s="330" t="s">
        <v>903</v>
      </c>
      <c r="C27" s="386" t="s">
        <v>4297</v>
      </c>
      <c r="D27" s="330" t="s">
        <v>904</v>
      </c>
      <c r="E27" s="357" t="s">
        <v>4298</v>
      </c>
      <c r="F27" s="387">
        <v>27.0</v>
      </c>
      <c r="G27" s="332"/>
      <c r="H27" s="330" t="s">
        <v>562</v>
      </c>
      <c r="I27" s="330" t="s">
        <v>578</v>
      </c>
      <c r="J27" s="360" t="s">
        <v>4299</v>
      </c>
      <c r="K27" s="360" t="s">
        <v>4300</v>
      </c>
      <c r="L27" s="360" t="s">
        <v>4301</v>
      </c>
      <c r="M27" s="360" t="s">
        <v>4302</v>
      </c>
      <c r="N27" s="360" t="s">
        <v>4303</v>
      </c>
      <c r="O27" s="360" t="s">
        <v>4304</v>
      </c>
      <c r="P27" s="360" t="s">
        <v>963</v>
      </c>
      <c r="Q27" s="332"/>
      <c r="R27" s="332"/>
      <c r="S27" s="330" t="s">
        <v>4305</v>
      </c>
      <c r="T27" s="330" t="s">
        <v>963</v>
      </c>
      <c r="U27" s="360" t="s">
        <v>4306</v>
      </c>
      <c r="V27" s="360" t="s">
        <v>4307</v>
      </c>
      <c r="W27" s="388"/>
      <c r="X27" s="360" t="s">
        <v>4262</v>
      </c>
      <c r="Y27" s="388"/>
      <c r="Z27" s="388"/>
      <c r="AA27" s="388"/>
      <c r="AB27" s="388"/>
      <c r="AC27" s="388"/>
      <c r="AD27" s="360" t="s">
        <v>1576</v>
      </c>
      <c r="AE27" s="360" t="s">
        <v>4308</v>
      </c>
      <c r="AF27" s="360" t="s">
        <v>4309</v>
      </c>
      <c r="AH27" s="315"/>
    </row>
    <row r="28" ht="14.25" customHeight="1">
      <c r="A28" s="39" t="s">
        <v>670</v>
      </c>
      <c r="B28" s="39" t="s">
        <v>671</v>
      </c>
      <c r="C28" s="389" t="s">
        <v>4282</v>
      </c>
      <c r="D28" s="39" t="s">
        <v>555</v>
      </c>
      <c r="E28" s="155" t="s">
        <v>4310</v>
      </c>
      <c r="F28" s="369">
        <v>22.0</v>
      </c>
      <c r="G28" s="39" t="s">
        <v>198</v>
      </c>
      <c r="H28" s="39" t="s">
        <v>672</v>
      </c>
      <c r="I28" s="39" t="s">
        <v>49</v>
      </c>
      <c r="J28" s="84" t="s">
        <v>4311</v>
      </c>
      <c r="K28" s="84" t="s">
        <v>4312</v>
      </c>
      <c r="L28" s="84" t="s">
        <v>4313</v>
      </c>
      <c r="M28" s="84" t="s">
        <v>4314</v>
      </c>
      <c r="N28" s="84" t="s">
        <v>4315</v>
      </c>
      <c r="O28" s="84" t="s">
        <v>4316</v>
      </c>
      <c r="P28" s="84" t="s">
        <v>931</v>
      </c>
      <c r="Q28" s="41"/>
      <c r="R28" s="41"/>
      <c r="S28" s="39" t="s">
        <v>4317</v>
      </c>
      <c r="T28" s="39" t="s">
        <v>963</v>
      </c>
      <c r="U28" s="84" t="s">
        <v>4318</v>
      </c>
      <c r="V28" s="84" t="s">
        <v>4319</v>
      </c>
      <c r="W28" s="84" t="s">
        <v>4320</v>
      </c>
      <c r="X28" s="84" t="s">
        <v>4321</v>
      </c>
      <c r="Y28" s="84" t="s">
        <v>4322</v>
      </c>
      <c r="AB28" s="84" t="s">
        <v>4323</v>
      </c>
      <c r="AC28" s="84" t="s">
        <v>4152</v>
      </c>
      <c r="AD28" s="84" t="s">
        <v>1027</v>
      </c>
      <c r="AE28" s="84" t="s">
        <v>2851</v>
      </c>
      <c r="AG28" s="363"/>
    </row>
    <row r="29" ht="16.5" customHeight="1">
      <c r="A29" s="39" t="s">
        <v>673</v>
      </c>
      <c r="B29" s="39" t="s">
        <v>674</v>
      </c>
      <c r="C29" s="389" t="s">
        <v>4282</v>
      </c>
      <c r="D29" s="39" t="s">
        <v>141</v>
      </c>
      <c r="E29" s="155" t="s">
        <v>4324</v>
      </c>
      <c r="F29" s="369">
        <v>20.0</v>
      </c>
      <c r="G29" s="39" t="s">
        <v>675</v>
      </c>
      <c r="H29" s="39" t="s">
        <v>189</v>
      </c>
      <c r="I29" s="39" t="s">
        <v>49</v>
      </c>
      <c r="J29" s="84" t="s">
        <v>4325</v>
      </c>
      <c r="K29" s="84" t="s">
        <v>4326</v>
      </c>
      <c r="L29" s="84" t="s">
        <v>4327</v>
      </c>
      <c r="M29" s="84" t="s">
        <v>4328</v>
      </c>
      <c r="N29" s="84" t="s">
        <v>4329</v>
      </c>
      <c r="O29" s="84"/>
      <c r="P29" s="84" t="s">
        <v>931</v>
      </c>
      <c r="Q29" s="41"/>
      <c r="R29" s="41"/>
      <c r="S29" s="39" t="s">
        <v>4330</v>
      </c>
      <c r="T29" s="39" t="s">
        <v>963</v>
      </c>
      <c r="U29" s="84" t="s">
        <v>4331</v>
      </c>
      <c r="V29" s="84" t="s">
        <v>4332</v>
      </c>
      <c r="W29" s="84" t="s">
        <v>4184</v>
      </c>
      <c r="X29" s="84" t="s">
        <v>3997</v>
      </c>
      <c r="Y29" s="84" t="s">
        <v>4333</v>
      </c>
      <c r="AB29" s="84" t="s">
        <v>4334</v>
      </c>
      <c r="AC29" s="84" t="s">
        <v>4152</v>
      </c>
      <c r="AD29" s="84" t="s">
        <v>1027</v>
      </c>
      <c r="AE29" s="84" t="s">
        <v>2851</v>
      </c>
      <c r="AG29" s="363"/>
    </row>
    <row r="30" ht="14.25" customHeight="1">
      <c r="A30" s="39" t="s">
        <v>676</v>
      </c>
      <c r="B30" s="39" t="s">
        <v>677</v>
      </c>
      <c r="C30" s="389" t="s">
        <v>88</v>
      </c>
      <c r="D30" s="39" t="s">
        <v>678</v>
      </c>
      <c r="E30" s="155" t="s">
        <v>4335</v>
      </c>
      <c r="F30" s="39">
        <v>18.0</v>
      </c>
      <c r="G30" s="39" t="s">
        <v>137</v>
      </c>
      <c r="H30" s="39" t="s">
        <v>588</v>
      </c>
      <c r="I30" s="39" t="s">
        <v>49</v>
      </c>
      <c r="J30" s="84" t="s">
        <v>4336</v>
      </c>
      <c r="K30" s="84" t="s">
        <v>4337</v>
      </c>
      <c r="L30" s="84" t="s">
        <v>4338</v>
      </c>
      <c r="M30" s="84" t="s">
        <v>4339</v>
      </c>
      <c r="N30" s="84" t="s">
        <v>4340</v>
      </c>
      <c r="O30" s="84" t="s">
        <v>4341</v>
      </c>
      <c r="P30" s="84" t="s">
        <v>931</v>
      </c>
      <c r="Q30" s="41"/>
      <c r="R30" s="41"/>
      <c r="S30" s="39" t="s">
        <v>4342</v>
      </c>
      <c r="T30" s="39" t="s">
        <v>963</v>
      </c>
      <c r="U30" s="84" t="s">
        <v>4343</v>
      </c>
      <c r="V30" s="84" t="s">
        <v>4344</v>
      </c>
      <c r="W30" s="84" t="s">
        <v>4345</v>
      </c>
      <c r="X30" s="84"/>
      <c r="Y30" s="84" t="s">
        <v>4346</v>
      </c>
      <c r="AB30" s="84" t="s">
        <v>4347</v>
      </c>
      <c r="AC30" s="84" t="s">
        <v>4152</v>
      </c>
      <c r="AD30" s="84" t="s">
        <v>1340</v>
      </c>
      <c r="AE30" s="84" t="s">
        <v>2851</v>
      </c>
      <c r="AG30" s="363"/>
    </row>
    <row r="31" ht="14.25" customHeight="1">
      <c r="A31" s="39" t="s">
        <v>679</v>
      </c>
      <c r="B31" s="39" t="s">
        <v>680</v>
      </c>
      <c r="C31" s="389" t="s">
        <v>4282</v>
      </c>
      <c r="D31" s="39" t="s">
        <v>367</v>
      </c>
      <c r="E31" s="155" t="s">
        <v>4348</v>
      </c>
      <c r="F31" s="369">
        <v>19.0</v>
      </c>
      <c r="G31" s="39" t="s">
        <v>681</v>
      </c>
      <c r="H31" s="39" t="s">
        <v>189</v>
      </c>
      <c r="I31" s="39" t="s">
        <v>49</v>
      </c>
      <c r="J31" s="84" t="s">
        <v>4349</v>
      </c>
      <c r="K31" s="84" t="s">
        <v>4350</v>
      </c>
      <c r="L31" s="84" t="s">
        <v>4351</v>
      </c>
      <c r="M31" s="84" t="s">
        <v>4352</v>
      </c>
      <c r="N31" s="84" t="s">
        <v>4353</v>
      </c>
      <c r="O31" s="84" t="s">
        <v>4354</v>
      </c>
      <c r="P31" s="84" t="s">
        <v>931</v>
      </c>
      <c r="Q31" s="41"/>
      <c r="R31" s="41"/>
      <c r="S31" s="39" t="s">
        <v>4355</v>
      </c>
      <c r="T31" s="39" t="s">
        <v>963</v>
      </c>
      <c r="U31" s="84" t="s">
        <v>4356</v>
      </c>
      <c r="V31" s="84" t="s">
        <v>4357</v>
      </c>
      <c r="W31" s="84" t="s">
        <v>4358</v>
      </c>
      <c r="X31" s="84" t="s">
        <v>4262</v>
      </c>
      <c r="Y31" s="84" t="s">
        <v>4359</v>
      </c>
      <c r="AB31" s="84" t="s">
        <v>4360</v>
      </c>
      <c r="AC31" s="84" t="s">
        <v>4152</v>
      </c>
      <c r="AD31" s="84" t="s">
        <v>1027</v>
      </c>
      <c r="AE31" s="84" t="s">
        <v>4361</v>
      </c>
      <c r="AF31" s="84" t="s">
        <v>4362</v>
      </c>
    </row>
    <row r="32" ht="14.25" customHeight="1">
      <c r="A32" s="39" t="s">
        <v>858</v>
      </c>
      <c r="B32" s="39" t="s">
        <v>859</v>
      </c>
      <c r="C32" s="389" t="s">
        <v>4282</v>
      </c>
      <c r="D32" s="39" t="s">
        <v>501</v>
      </c>
      <c r="E32" s="155" t="s">
        <v>4363</v>
      </c>
      <c r="F32" s="369">
        <v>19.0</v>
      </c>
      <c r="G32" s="39" t="s">
        <v>860</v>
      </c>
      <c r="H32" s="39" t="s">
        <v>209</v>
      </c>
      <c r="I32" s="39" t="s">
        <v>578</v>
      </c>
      <c r="J32" s="84" t="s">
        <v>4364</v>
      </c>
      <c r="K32" s="84" t="s">
        <v>4365</v>
      </c>
      <c r="L32" s="84" t="s">
        <v>4366</v>
      </c>
      <c r="M32" s="84" t="s">
        <v>4367</v>
      </c>
      <c r="N32" s="84" t="s">
        <v>4368</v>
      </c>
      <c r="O32" s="84" t="s">
        <v>4369</v>
      </c>
      <c r="P32" s="84" t="s">
        <v>4370</v>
      </c>
      <c r="Q32" s="84"/>
      <c r="R32" s="39" t="s">
        <v>2979</v>
      </c>
      <c r="S32" s="39" t="s">
        <v>4371</v>
      </c>
      <c r="T32" s="39" t="s">
        <v>963</v>
      </c>
      <c r="U32" s="84" t="s">
        <v>4372</v>
      </c>
      <c r="V32" s="84" t="s">
        <v>4373</v>
      </c>
      <c r="W32" s="84"/>
      <c r="X32" s="84" t="s">
        <v>4094</v>
      </c>
      <c r="Y32" s="84" t="s">
        <v>4374</v>
      </c>
      <c r="AB32" s="84" t="s">
        <v>4375</v>
      </c>
      <c r="AC32" s="84" t="s">
        <v>4152</v>
      </c>
      <c r="AD32" s="84" t="s">
        <v>1340</v>
      </c>
      <c r="AE32" s="363"/>
      <c r="AF32" s="84" t="s">
        <v>4376</v>
      </c>
    </row>
    <row r="33" ht="14.25" customHeight="1">
      <c r="A33" s="39" t="s">
        <v>861</v>
      </c>
      <c r="B33" s="39" t="s">
        <v>862</v>
      </c>
      <c r="C33" s="389" t="s">
        <v>4282</v>
      </c>
      <c r="D33" s="39" t="s">
        <v>215</v>
      </c>
      <c r="E33" s="155" t="s">
        <v>4377</v>
      </c>
      <c r="F33" s="369">
        <v>16.0</v>
      </c>
      <c r="G33" s="39" t="s">
        <v>863</v>
      </c>
      <c r="H33" s="39" t="s">
        <v>142</v>
      </c>
      <c r="I33" s="39" t="s">
        <v>49</v>
      </c>
      <c r="J33" s="84" t="s">
        <v>4378</v>
      </c>
      <c r="K33" s="84" t="s">
        <v>4379</v>
      </c>
      <c r="L33" s="84" t="s">
        <v>4380</v>
      </c>
      <c r="M33" s="84" t="s">
        <v>4381</v>
      </c>
      <c r="N33" s="84" t="s">
        <v>4382</v>
      </c>
      <c r="O33" s="84" t="s">
        <v>4383</v>
      </c>
      <c r="P33" s="84" t="s">
        <v>931</v>
      </c>
      <c r="Q33" s="363"/>
      <c r="R33" s="39" t="s">
        <v>2979</v>
      </c>
      <c r="S33" s="39" t="s">
        <v>4384</v>
      </c>
      <c r="T33" s="39" t="s">
        <v>963</v>
      </c>
      <c r="U33" s="84" t="s">
        <v>4385</v>
      </c>
      <c r="V33" s="84" t="s">
        <v>4386</v>
      </c>
      <c r="W33" s="84" t="s">
        <v>4387</v>
      </c>
      <c r="X33" s="84" t="s">
        <v>3997</v>
      </c>
      <c r="Y33" s="84" t="s">
        <v>4388</v>
      </c>
      <c r="Z33" s="84" t="s">
        <v>4389</v>
      </c>
      <c r="AC33" s="84" t="s">
        <v>4390</v>
      </c>
      <c r="AD33" s="84" t="s">
        <v>1027</v>
      </c>
      <c r="AE33" s="363"/>
      <c r="AF33" s="84" t="s">
        <v>4391</v>
      </c>
    </row>
    <row r="34" ht="14.25" customHeight="1">
      <c r="A34" s="39" t="s">
        <v>864</v>
      </c>
      <c r="B34" s="39" t="s">
        <v>865</v>
      </c>
      <c r="C34" s="389" t="s">
        <v>4282</v>
      </c>
      <c r="D34" s="39" t="s">
        <v>866</v>
      </c>
      <c r="E34" s="155" t="s">
        <v>4392</v>
      </c>
      <c r="F34" s="369">
        <v>14.0</v>
      </c>
      <c r="G34" s="165"/>
      <c r="H34" s="39" t="s">
        <v>867</v>
      </c>
      <c r="I34" s="39" t="s">
        <v>49</v>
      </c>
      <c r="J34" s="84" t="s">
        <v>4393</v>
      </c>
      <c r="K34" s="84" t="s">
        <v>4394</v>
      </c>
      <c r="L34" s="84" t="s">
        <v>4395</v>
      </c>
      <c r="M34" s="84" t="s">
        <v>4396</v>
      </c>
      <c r="N34" s="84" t="s">
        <v>4397</v>
      </c>
      <c r="O34" s="84" t="s">
        <v>4398</v>
      </c>
      <c r="P34" s="84" t="s">
        <v>931</v>
      </c>
      <c r="Q34" s="363"/>
      <c r="R34" s="41"/>
      <c r="S34" s="39" t="s">
        <v>4399</v>
      </c>
      <c r="T34" s="39" t="s">
        <v>963</v>
      </c>
      <c r="U34" s="363"/>
      <c r="V34" s="84" t="s">
        <v>4400</v>
      </c>
      <c r="W34" s="84" t="s">
        <v>4401</v>
      </c>
      <c r="Y34" s="84" t="s">
        <v>4402</v>
      </c>
      <c r="Z34" s="363"/>
      <c r="AA34" s="84" t="s">
        <v>4403</v>
      </c>
      <c r="AB34" s="84" t="s">
        <v>4404</v>
      </c>
      <c r="AC34" s="84" t="s">
        <v>4152</v>
      </c>
      <c r="AD34" s="84" t="s">
        <v>1019</v>
      </c>
      <c r="AE34" s="363"/>
      <c r="AF34" s="84" t="s">
        <v>4405</v>
      </c>
    </row>
    <row r="35" ht="14.25" customHeight="1">
      <c r="A35" s="330" t="s">
        <v>868</v>
      </c>
      <c r="B35" s="330" t="s">
        <v>869</v>
      </c>
      <c r="C35" s="386" t="s">
        <v>4282</v>
      </c>
      <c r="D35" s="330" t="s">
        <v>283</v>
      </c>
      <c r="E35" s="357" t="s">
        <v>4406</v>
      </c>
      <c r="F35" s="387">
        <v>17.0</v>
      </c>
      <c r="G35" s="330" t="s">
        <v>870</v>
      </c>
      <c r="H35" s="330" t="s">
        <v>393</v>
      </c>
      <c r="I35" s="330" t="s">
        <v>559</v>
      </c>
      <c r="J35" s="360" t="s">
        <v>4407</v>
      </c>
      <c r="K35" s="360" t="s">
        <v>4408</v>
      </c>
      <c r="L35" s="360" t="s">
        <v>4409</v>
      </c>
      <c r="M35" s="360" t="s">
        <v>4410</v>
      </c>
      <c r="P35" s="360" t="s">
        <v>963</v>
      </c>
      <c r="Q35" s="388"/>
      <c r="R35" s="330" t="s">
        <v>2979</v>
      </c>
      <c r="S35" s="330" t="s">
        <v>4411</v>
      </c>
      <c r="T35" s="330" t="s">
        <v>963</v>
      </c>
      <c r="U35" s="360" t="s">
        <v>4412</v>
      </c>
      <c r="V35" s="360" t="s">
        <v>4413</v>
      </c>
      <c r="W35" s="360" t="s">
        <v>4414</v>
      </c>
      <c r="X35" s="360" t="s">
        <v>4415</v>
      </c>
      <c r="AB35" s="388"/>
      <c r="AC35" s="388"/>
      <c r="AD35" s="360" t="s">
        <v>1691</v>
      </c>
      <c r="AE35" s="360" t="s">
        <v>4416</v>
      </c>
      <c r="AF35" s="360" t="s">
        <v>4417</v>
      </c>
      <c r="AH35" s="315"/>
    </row>
    <row r="36" ht="14.25" customHeight="1">
      <c r="A36" s="24" t="s">
        <v>871</v>
      </c>
      <c r="B36" s="24" t="s">
        <v>872</v>
      </c>
      <c r="C36" s="390" t="s">
        <v>4282</v>
      </c>
      <c r="D36" s="24" t="s">
        <v>873</v>
      </c>
      <c r="E36" s="391" t="s">
        <v>4418</v>
      </c>
      <c r="F36" s="392">
        <v>6.0</v>
      </c>
      <c r="G36" s="24" t="s">
        <v>142</v>
      </c>
      <c r="H36" s="24" t="s">
        <v>142</v>
      </c>
      <c r="I36" s="24" t="s">
        <v>49</v>
      </c>
      <c r="J36" s="393"/>
      <c r="K36" s="393"/>
      <c r="L36" s="393"/>
      <c r="M36" s="393"/>
      <c r="N36" s="393"/>
      <c r="O36" s="393"/>
      <c r="P36" s="394" t="s">
        <v>4419</v>
      </c>
      <c r="Q36" s="393"/>
      <c r="R36" s="24" t="s">
        <v>2986</v>
      </c>
      <c r="S36" s="24" t="s">
        <v>4420</v>
      </c>
      <c r="T36" s="24" t="s">
        <v>963</v>
      </c>
      <c r="U36" s="394"/>
      <c r="V36" s="394" t="s">
        <v>4421</v>
      </c>
      <c r="W36" s="394"/>
      <c r="X36" s="394"/>
      <c r="Y36" s="394"/>
      <c r="Z36" s="393"/>
      <c r="AA36" s="393"/>
      <c r="AB36" s="393"/>
      <c r="AC36" s="393"/>
      <c r="AD36" s="393"/>
      <c r="AE36" s="393"/>
      <c r="AF36" s="394" t="s">
        <v>4422</v>
      </c>
      <c r="AH36" s="9"/>
    </row>
    <row r="37" ht="14.25" customHeight="1">
      <c r="A37" s="24" t="s">
        <v>874</v>
      </c>
      <c r="B37" s="24" t="s">
        <v>875</v>
      </c>
      <c r="C37" s="390" t="s">
        <v>4282</v>
      </c>
      <c r="D37" s="24" t="s">
        <v>529</v>
      </c>
      <c r="E37" s="391" t="s">
        <v>4423</v>
      </c>
      <c r="F37" s="392">
        <v>16.0</v>
      </c>
      <c r="G37" s="24" t="s">
        <v>418</v>
      </c>
      <c r="H37" s="24" t="s">
        <v>114</v>
      </c>
      <c r="I37" s="24" t="s">
        <v>49</v>
      </c>
      <c r="J37" s="394" t="s">
        <v>4424</v>
      </c>
      <c r="K37" s="394" t="s">
        <v>4425</v>
      </c>
      <c r="L37" s="394" t="s">
        <v>4426</v>
      </c>
      <c r="M37" s="393"/>
      <c r="N37" s="393"/>
      <c r="O37" s="393"/>
      <c r="P37" s="394" t="s">
        <v>4419</v>
      </c>
      <c r="Q37" s="393"/>
      <c r="R37" s="24" t="s">
        <v>2986</v>
      </c>
      <c r="S37" s="24" t="s">
        <v>4427</v>
      </c>
      <c r="T37" s="24" t="s">
        <v>963</v>
      </c>
      <c r="U37" s="394" t="s">
        <v>4428</v>
      </c>
      <c r="V37" s="394" t="s">
        <v>3389</v>
      </c>
      <c r="W37" s="394"/>
      <c r="X37" s="394"/>
      <c r="Y37" s="393"/>
      <c r="Z37" s="393"/>
      <c r="AA37" s="393"/>
      <c r="AB37" s="393"/>
      <c r="AC37" s="393"/>
      <c r="AD37" s="394" t="s">
        <v>1516</v>
      </c>
      <c r="AE37" s="394" t="s">
        <v>4429</v>
      </c>
      <c r="AH37" s="9"/>
    </row>
    <row r="38" ht="14.25" customHeight="1">
      <c r="A38" s="395" t="s">
        <v>871</v>
      </c>
      <c r="B38" s="395" t="s">
        <v>872</v>
      </c>
      <c r="C38" s="396" t="s">
        <v>4282</v>
      </c>
      <c r="D38" s="395" t="s">
        <v>873</v>
      </c>
      <c r="E38" s="397" t="s">
        <v>4430</v>
      </c>
      <c r="F38" s="398">
        <v>6.0</v>
      </c>
      <c r="G38" s="395" t="s">
        <v>142</v>
      </c>
      <c r="H38" s="395" t="s">
        <v>142</v>
      </c>
      <c r="I38" s="395" t="s">
        <v>49</v>
      </c>
      <c r="J38" s="399"/>
      <c r="K38" s="399"/>
      <c r="L38" s="399"/>
      <c r="M38" s="399"/>
      <c r="N38" s="399"/>
      <c r="O38" s="399"/>
      <c r="P38" s="399"/>
      <c r="Q38" s="399"/>
      <c r="R38" s="400"/>
      <c r="S38" s="400"/>
      <c r="T38" s="395" t="s">
        <v>963</v>
      </c>
      <c r="U38" s="400"/>
      <c r="V38" s="400"/>
      <c r="W38" s="400"/>
      <c r="X38" s="400"/>
      <c r="Y38" s="400"/>
      <c r="Z38" s="400"/>
      <c r="AA38" s="400"/>
      <c r="AB38" s="400"/>
      <c r="AC38" s="400"/>
      <c r="AD38" s="400"/>
      <c r="AE38" s="400"/>
      <c r="AF38" s="400"/>
      <c r="AG38" s="400"/>
      <c r="AH38" s="13"/>
    </row>
    <row r="39" ht="14.25" customHeight="1">
      <c r="A39" s="330" t="s">
        <v>881</v>
      </c>
      <c r="B39" s="330" t="s">
        <v>882</v>
      </c>
      <c r="C39" s="386" t="s">
        <v>4282</v>
      </c>
      <c r="D39" s="330" t="s">
        <v>422</v>
      </c>
      <c r="E39" s="357" t="s">
        <v>4431</v>
      </c>
      <c r="F39" s="387">
        <v>13.0</v>
      </c>
      <c r="G39" s="330" t="s">
        <v>101</v>
      </c>
      <c r="H39" s="330" t="s">
        <v>110</v>
      </c>
      <c r="I39" s="330" t="s">
        <v>578</v>
      </c>
      <c r="J39" s="360" t="s">
        <v>4432</v>
      </c>
      <c r="K39" s="360" t="s">
        <v>4433</v>
      </c>
      <c r="L39" s="360" t="s">
        <v>4434</v>
      </c>
      <c r="M39" s="360" t="s">
        <v>4435</v>
      </c>
      <c r="N39" s="360" t="s">
        <v>620</v>
      </c>
      <c r="O39" s="388"/>
      <c r="P39" s="360" t="s">
        <v>4419</v>
      </c>
      <c r="Q39" s="388"/>
      <c r="R39" s="330" t="s">
        <v>2979</v>
      </c>
      <c r="S39" s="330" t="s">
        <v>4436</v>
      </c>
      <c r="T39" s="330" t="s">
        <v>963</v>
      </c>
      <c r="U39" s="360" t="s">
        <v>4437</v>
      </c>
      <c r="V39" s="360" t="s">
        <v>4438</v>
      </c>
      <c r="W39" s="360" t="s">
        <v>4439</v>
      </c>
      <c r="X39" s="360" t="s">
        <v>4415</v>
      </c>
      <c r="Y39" s="360" t="s">
        <v>4440</v>
      </c>
      <c r="AB39" s="360" t="s">
        <v>4441</v>
      </c>
      <c r="AD39" s="360" t="s">
        <v>1425</v>
      </c>
      <c r="AE39" s="388"/>
      <c r="AF39" s="388"/>
      <c r="AG39" s="388"/>
      <c r="AH39" s="315"/>
    </row>
    <row r="40" ht="14.25" customHeight="1">
      <c r="T40" s="26" t="s">
        <v>963</v>
      </c>
    </row>
    <row r="41" ht="14.25" customHeight="1">
      <c r="A41" s="37" t="s">
        <v>575</v>
      </c>
      <c r="B41" s="37" t="s">
        <v>576</v>
      </c>
      <c r="C41" s="38" t="s">
        <v>88</v>
      </c>
      <c r="D41" s="68" t="s">
        <v>207</v>
      </c>
      <c r="E41" s="78" t="s">
        <v>2237</v>
      </c>
      <c r="F41" s="67">
        <v>11.0</v>
      </c>
      <c r="G41" s="68" t="s">
        <v>577</v>
      </c>
      <c r="H41" s="68" t="s">
        <v>217</v>
      </c>
      <c r="I41" s="37" t="s">
        <v>578</v>
      </c>
      <c r="J41" s="26" t="s">
        <v>4442</v>
      </c>
      <c r="K41" s="26" t="s">
        <v>4443</v>
      </c>
      <c r="L41" s="26" t="s">
        <v>4444</v>
      </c>
      <c r="N41" s="26" t="s">
        <v>4445</v>
      </c>
      <c r="P41" s="26" t="s">
        <v>931</v>
      </c>
      <c r="T41" s="26" t="s">
        <v>963</v>
      </c>
      <c r="V41" s="67" t="s">
        <v>4446</v>
      </c>
      <c r="W41" s="68"/>
      <c r="X41" s="26" t="s">
        <v>4094</v>
      </c>
      <c r="Y41" s="26" t="s">
        <v>1017</v>
      </c>
      <c r="AB41" s="26" t="s">
        <v>4447</v>
      </c>
      <c r="AC41" s="26" t="s">
        <v>4152</v>
      </c>
      <c r="AD41" s="26" t="s">
        <v>1340</v>
      </c>
      <c r="AE41" s="26" t="s">
        <v>4448</v>
      </c>
      <c r="AF41" s="26" t="s">
        <v>4449</v>
      </c>
    </row>
    <row r="42" ht="14.25" customHeight="1">
      <c r="A42" s="14" t="s">
        <v>579</v>
      </c>
      <c r="B42" s="14" t="s">
        <v>580</v>
      </c>
      <c r="C42" s="401" t="s">
        <v>88</v>
      </c>
      <c r="D42" s="376" t="s">
        <v>113</v>
      </c>
      <c r="E42" s="402" t="s">
        <v>4450</v>
      </c>
      <c r="F42" s="403">
        <v>11.0</v>
      </c>
      <c r="G42" s="376" t="s">
        <v>581</v>
      </c>
      <c r="H42" s="376" t="s">
        <v>582</v>
      </c>
      <c r="I42" s="14" t="s">
        <v>578</v>
      </c>
      <c r="J42" s="14"/>
      <c r="K42" s="14"/>
      <c r="L42" s="14"/>
      <c r="M42" s="14"/>
      <c r="N42" s="14"/>
      <c r="O42" s="14"/>
      <c r="P42" s="375" t="s">
        <v>4451</v>
      </c>
      <c r="Q42" s="14"/>
      <c r="R42" s="375" t="s">
        <v>2986</v>
      </c>
      <c r="S42" s="14"/>
      <c r="T42" s="375" t="s">
        <v>963</v>
      </c>
      <c r="U42" s="14"/>
      <c r="V42" s="14"/>
      <c r="W42" s="14"/>
      <c r="X42" s="14"/>
      <c r="Y42" s="14"/>
      <c r="Z42" s="14"/>
      <c r="AA42" s="14"/>
      <c r="AB42" s="14"/>
      <c r="AC42" s="14"/>
      <c r="AD42" s="375" t="s">
        <v>1216</v>
      </c>
      <c r="AE42" s="14"/>
      <c r="AF42" s="14"/>
      <c r="AG42" s="14"/>
      <c r="AH42" s="14"/>
    </row>
    <row r="43" ht="14.25" customHeight="1">
      <c r="A43" s="9" t="s">
        <v>583</v>
      </c>
      <c r="B43" s="9" t="s">
        <v>584</v>
      </c>
      <c r="C43" s="404" t="s">
        <v>88</v>
      </c>
      <c r="D43" s="405" t="s">
        <v>283</v>
      </c>
      <c r="E43" s="406" t="s">
        <v>4452</v>
      </c>
      <c r="F43" s="405"/>
      <c r="G43" s="405"/>
      <c r="H43" s="405" t="s">
        <v>209</v>
      </c>
      <c r="I43" s="9" t="s">
        <v>578</v>
      </c>
      <c r="J43" s="9"/>
      <c r="K43" s="9"/>
      <c r="L43" s="9"/>
      <c r="M43" s="9"/>
      <c r="N43" s="9"/>
      <c r="O43" s="9"/>
      <c r="P43" s="318" t="s">
        <v>4451</v>
      </c>
      <c r="Q43" s="9"/>
      <c r="R43" s="318" t="s">
        <v>2986</v>
      </c>
      <c r="S43" s="9"/>
      <c r="T43" s="318" t="s">
        <v>963</v>
      </c>
      <c r="U43" s="9"/>
      <c r="V43" s="9"/>
      <c r="W43" s="9"/>
      <c r="X43" s="9"/>
      <c r="Y43" s="9"/>
      <c r="Z43" s="9"/>
      <c r="AA43" s="9"/>
      <c r="AB43" s="9"/>
      <c r="AC43" s="9"/>
      <c r="AD43" s="318" t="s">
        <v>1260</v>
      </c>
      <c r="AE43" s="9"/>
      <c r="AF43" s="9"/>
      <c r="AG43" s="9"/>
      <c r="AH43" s="9"/>
    </row>
    <row r="44" ht="14.25" customHeight="1">
      <c r="A44" s="37" t="s">
        <v>585</v>
      </c>
      <c r="B44" s="37" t="s">
        <v>586</v>
      </c>
      <c r="C44" s="38" t="s">
        <v>88</v>
      </c>
      <c r="D44" s="68" t="s">
        <v>587</v>
      </c>
      <c r="E44" s="78" t="s">
        <v>2246</v>
      </c>
      <c r="F44" s="68"/>
      <c r="G44" s="68" t="s">
        <v>137</v>
      </c>
      <c r="H44" s="68" t="s">
        <v>588</v>
      </c>
      <c r="I44" s="26" t="s">
        <v>4453</v>
      </c>
      <c r="J44" s="26" t="s">
        <v>4454</v>
      </c>
      <c r="K44" s="26" t="s">
        <v>4455</v>
      </c>
      <c r="L44" s="26" t="s">
        <v>4456</v>
      </c>
      <c r="M44" s="26" t="s">
        <v>4457</v>
      </c>
      <c r="N44" s="26" t="s">
        <v>4458</v>
      </c>
      <c r="O44" s="26" t="s">
        <v>4459</v>
      </c>
      <c r="P44" s="26" t="s">
        <v>931</v>
      </c>
      <c r="T44" s="26" t="s">
        <v>963</v>
      </c>
      <c r="V44" s="26" t="s">
        <v>4460</v>
      </c>
      <c r="W44" s="26" t="s">
        <v>4461</v>
      </c>
      <c r="X44" s="26" t="s">
        <v>4094</v>
      </c>
      <c r="Y44" s="26" t="s">
        <v>4462</v>
      </c>
      <c r="AB44" s="26" t="s">
        <v>2248</v>
      </c>
      <c r="AC44" s="26" t="s">
        <v>4152</v>
      </c>
      <c r="AD44" s="26" t="s">
        <v>1069</v>
      </c>
      <c r="AE44" s="26" t="s">
        <v>4463</v>
      </c>
      <c r="AF44" s="26" t="s">
        <v>4464</v>
      </c>
    </row>
    <row r="45" ht="14.25" customHeight="1">
      <c r="A45" s="14" t="s">
        <v>589</v>
      </c>
      <c r="B45" s="14" t="s">
        <v>590</v>
      </c>
      <c r="C45" s="401" t="s">
        <v>88</v>
      </c>
      <c r="D45" s="376" t="s">
        <v>283</v>
      </c>
      <c r="E45" s="407" t="s">
        <v>4465</v>
      </c>
      <c r="F45" s="403">
        <v>19.0</v>
      </c>
      <c r="G45" s="376" t="s">
        <v>591</v>
      </c>
      <c r="H45" s="376" t="s">
        <v>217</v>
      </c>
      <c r="I45" s="14" t="s">
        <v>578</v>
      </c>
      <c r="J45" s="14"/>
      <c r="K45" s="14"/>
      <c r="L45" s="14"/>
      <c r="M45" s="14"/>
      <c r="N45" s="14"/>
      <c r="O45" s="14"/>
      <c r="P45" s="375" t="s">
        <v>963</v>
      </c>
      <c r="Q45" s="14"/>
      <c r="R45" s="375" t="s">
        <v>2986</v>
      </c>
      <c r="S45" s="375" t="s">
        <v>3018</v>
      </c>
      <c r="T45" s="375" t="s">
        <v>963</v>
      </c>
      <c r="U45" s="14"/>
      <c r="V45" s="14"/>
      <c r="W45" s="14"/>
      <c r="X45" s="14"/>
      <c r="Y45" s="14"/>
      <c r="Z45" s="14"/>
      <c r="AA45" s="14"/>
      <c r="AB45" s="14"/>
      <c r="AC45" s="14"/>
      <c r="AD45" s="375" t="s">
        <v>4466</v>
      </c>
      <c r="AE45" s="375" t="s">
        <v>4467</v>
      </c>
      <c r="AF45" s="14"/>
      <c r="AG45" s="14"/>
      <c r="AH45" s="14"/>
    </row>
    <row r="46" ht="14.25" customHeight="1">
      <c r="A46" s="315" t="s">
        <v>592</v>
      </c>
      <c r="B46" s="315" t="s">
        <v>593</v>
      </c>
      <c r="C46" s="408" t="s">
        <v>88</v>
      </c>
      <c r="D46" s="362" t="s">
        <v>594</v>
      </c>
      <c r="E46" s="409" t="s">
        <v>4468</v>
      </c>
      <c r="F46" s="362"/>
      <c r="G46" s="362"/>
      <c r="H46" s="362" t="s">
        <v>209</v>
      </c>
      <c r="I46" s="315" t="s">
        <v>578</v>
      </c>
      <c r="J46" s="315"/>
      <c r="K46" s="315"/>
      <c r="L46" s="315"/>
      <c r="M46" s="315"/>
      <c r="N46" s="315"/>
      <c r="O46" s="315"/>
      <c r="P46" s="316" t="s">
        <v>963</v>
      </c>
      <c r="Q46" s="315"/>
      <c r="R46" s="316" t="s">
        <v>2979</v>
      </c>
      <c r="S46" s="316" t="s">
        <v>3058</v>
      </c>
      <c r="T46" s="316" t="s">
        <v>963</v>
      </c>
      <c r="U46" s="315"/>
      <c r="V46" s="315"/>
      <c r="W46" s="315"/>
      <c r="X46" s="315"/>
      <c r="Y46" s="315"/>
      <c r="Z46" s="315"/>
      <c r="AA46" s="315"/>
      <c r="AB46" s="315"/>
      <c r="AC46" s="315"/>
      <c r="AD46" s="316" t="s">
        <v>2110</v>
      </c>
      <c r="AE46" s="315"/>
      <c r="AF46" s="315"/>
      <c r="AG46" s="315"/>
      <c r="AH46" s="315"/>
    </row>
    <row r="47" ht="14.25" customHeight="1">
      <c r="A47" s="14" t="s">
        <v>595</v>
      </c>
      <c r="B47" s="14" t="s">
        <v>596</v>
      </c>
      <c r="C47" s="401" t="s">
        <v>88</v>
      </c>
      <c r="D47" s="376" t="s">
        <v>409</v>
      </c>
      <c r="E47" s="376"/>
      <c r="F47" s="376"/>
      <c r="G47" s="376" t="s">
        <v>101</v>
      </c>
      <c r="H47" s="376" t="s">
        <v>102</v>
      </c>
      <c r="I47" s="14" t="s">
        <v>578</v>
      </c>
      <c r="J47" s="14"/>
      <c r="K47" s="14"/>
      <c r="L47" s="14"/>
      <c r="M47" s="14"/>
      <c r="N47" s="14"/>
      <c r="O47" s="14"/>
      <c r="P47" s="375" t="s">
        <v>963</v>
      </c>
      <c r="Q47" s="14"/>
      <c r="R47" s="375" t="s">
        <v>2986</v>
      </c>
      <c r="S47" s="375" t="s">
        <v>3018</v>
      </c>
      <c r="T47" s="375" t="s">
        <v>963</v>
      </c>
      <c r="U47" s="14"/>
      <c r="V47" s="14"/>
      <c r="W47" s="14"/>
      <c r="X47" s="14"/>
      <c r="Y47" s="14"/>
      <c r="Z47" s="14"/>
      <c r="AA47" s="14"/>
      <c r="AB47" s="14"/>
      <c r="AC47" s="14"/>
      <c r="AD47" s="375" t="s">
        <v>1027</v>
      </c>
      <c r="AE47" s="14"/>
      <c r="AF47" s="14"/>
      <c r="AG47" s="14"/>
      <c r="AH47" s="14"/>
    </row>
    <row r="48" ht="14.25" customHeight="1">
      <c r="A48" s="315" t="s">
        <v>597</v>
      </c>
      <c r="B48" s="315" t="s">
        <v>598</v>
      </c>
      <c r="C48" s="408" t="s">
        <v>88</v>
      </c>
      <c r="D48" s="362" t="s">
        <v>599</v>
      </c>
      <c r="E48" s="362"/>
      <c r="F48" s="362"/>
      <c r="G48" s="362"/>
      <c r="H48" s="362" t="s">
        <v>600</v>
      </c>
      <c r="I48" s="315" t="s">
        <v>578</v>
      </c>
      <c r="J48" s="315"/>
      <c r="K48" s="315"/>
      <c r="L48" s="315"/>
      <c r="M48" s="315"/>
      <c r="N48" s="315"/>
      <c r="O48" s="315"/>
      <c r="P48" s="316" t="s">
        <v>963</v>
      </c>
      <c r="Q48" s="315"/>
      <c r="R48" s="316" t="s">
        <v>2979</v>
      </c>
      <c r="S48" s="316" t="s">
        <v>3152</v>
      </c>
      <c r="T48" s="316" t="s">
        <v>963</v>
      </c>
      <c r="U48" s="315"/>
      <c r="V48" s="315"/>
      <c r="W48" s="315"/>
      <c r="X48" s="315"/>
      <c r="Y48" s="315"/>
      <c r="Z48" s="315"/>
      <c r="AA48" s="315"/>
      <c r="AB48" s="315"/>
      <c r="AC48" s="315"/>
      <c r="AD48" s="316" t="s">
        <v>1027</v>
      </c>
      <c r="AE48" s="315"/>
      <c r="AF48" s="315"/>
      <c r="AG48" s="315"/>
      <c r="AH48" s="315"/>
    </row>
    <row r="49" ht="14.25" customHeight="1">
      <c r="A49" s="325" t="s">
        <v>601</v>
      </c>
      <c r="B49" s="325" t="s">
        <v>602</v>
      </c>
      <c r="C49" s="410" t="s">
        <v>88</v>
      </c>
      <c r="D49" s="367" t="s">
        <v>197</v>
      </c>
      <c r="E49" s="367"/>
      <c r="F49" s="367"/>
      <c r="G49" s="367"/>
      <c r="H49" s="367" t="s">
        <v>603</v>
      </c>
      <c r="I49" s="325" t="s">
        <v>578</v>
      </c>
      <c r="J49" s="335"/>
      <c r="K49" s="335"/>
      <c r="L49" s="335"/>
      <c r="M49" s="335"/>
      <c r="N49" s="335"/>
      <c r="O49" s="335"/>
      <c r="P49" s="333" t="s">
        <v>963</v>
      </c>
      <c r="Q49" s="335"/>
      <c r="R49" s="326" t="s">
        <v>2979</v>
      </c>
      <c r="S49" s="333" t="s">
        <v>4469</v>
      </c>
      <c r="T49" s="333" t="s">
        <v>963</v>
      </c>
      <c r="U49" s="333"/>
      <c r="V49" s="333"/>
      <c r="W49" s="333"/>
      <c r="X49" s="333"/>
      <c r="Y49" s="333"/>
      <c r="Z49" s="333"/>
      <c r="AA49" s="333"/>
      <c r="AB49" s="333"/>
      <c r="AC49" s="333"/>
      <c r="AD49" s="326" t="s">
        <v>1027</v>
      </c>
      <c r="AE49" s="325"/>
      <c r="AF49" s="325"/>
      <c r="AG49" s="325"/>
      <c r="AH49" s="325"/>
    </row>
    <row r="50" ht="14.25" customHeight="1">
      <c r="A50" s="14" t="s">
        <v>604</v>
      </c>
      <c r="B50" s="14" t="s">
        <v>605</v>
      </c>
      <c r="C50" s="401" t="s">
        <v>88</v>
      </c>
      <c r="D50" s="376" t="s">
        <v>501</v>
      </c>
      <c r="E50" s="376"/>
      <c r="F50" s="376"/>
      <c r="G50" s="376" t="s">
        <v>346</v>
      </c>
      <c r="H50" s="376" t="s">
        <v>138</v>
      </c>
      <c r="I50" s="14" t="s">
        <v>578</v>
      </c>
      <c r="J50" s="372"/>
      <c r="K50" s="372"/>
      <c r="L50" s="372"/>
      <c r="M50" s="372"/>
      <c r="N50" s="372"/>
      <c r="O50" s="372"/>
      <c r="P50" s="25" t="s">
        <v>963</v>
      </c>
      <c r="Q50" s="372"/>
      <c r="R50" s="375" t="s">
        <v>2986</v>
      </c>
      <c r="S50" s="25" t="s">
        <v>3018</v>
      </c>
      <c r="T50" s="25" t="s">
        <v>963</v>
      </c>
      <c r="U50" s="25"/>
      <c r="V50" s="25"/>
      <c r="W50" s="25"/>
      <c r="X50" s="25"/>
      <c r="Y50" s="25"/>
      <c r="Z50" s="25"/>
      <c r="AA50" s="25"/>
      <c r="AB50" s="25"/>
      <c r="AC50" s="25"/>
      <c r="AD50" s="375" t="s">
        <v>1451</v>
      </c>
      <c r="AE50" s="14"/>
      <c r="AF50" s="14"/>
      <c r="AG50" s="14"/>
      <c r="AH50" s="14"/>
    </row>
    <row r="51" ht="14.25" customHeight="1">
      <c r="A51" s="26" t="s">
        <v>2213</v>
      </c>
      <c r="B51" s="39" t="s">
        <v>2214</v>
      </c>
      <c r="C51" s="39"/>
      <c r="D51" s="39"/>
      <c r="E51" s="220"/>
      <c r="F51" s="220"/>
      <c r="G51" s="220"/>
      <c r="H51" s="220"/>
      <c r="I51" s="39" t="s">
        <v>559</v>
      </c>
      <c r="J51" s="41"/>
      <c r="K51" s="41"/>
      <c r="L51" s="41"/>
      <c r="M51" s="41"/>
      <c r="N51" s="41"/>
      <c r="O51" s="41"/>
      <c r="P51" s="39" t="s">
        <v>931</v>
      </c>
      <c r="Q51" s="41"/>
      <c r="R51" s="41"/>
      <c r="S51" s="39"/>
      <c r="T51" s="39" t="s">
        <v>931</v>
      </c>
      <c r="U51" s="39"/>
      <c r="V51" s="39"/>
      <c r="W51" s="39"/>
      <c r="X51" s="39"/>
      <c r="Y51" s="39"/>
      <c r="Z51" s="39"/>
      <c r="AA51" s="39"/>
      <c r="AB51" s="39"/>
      <c r="AC51" s="39"/>
    </row>
    <row r="52" ht="14.25" customHeight="1">
      <c r="A52" s="26" t="s">
        <v>2226</v>
      </c>
      <c r="B52" s="39" t="s">
        <v>2227</v>
      </c>
      <c r="C52" s="39"/>
      <c r="D52" s="39"/>
      <c r="E52" s="220"/>
      <c r="F52" s="220"/>
      <c r="G52" s="220"/>
      <c r="H52" s="220"/>
      <c r="I52" s="39" t="s">
        <v>49</v>
      </c>
      <c r="J52" s="41"/>
      <c r="K52" s="41"/>
      <c r="L52" s="41"/>
      <c r="M52" s="41"/>
      <c r="N52" s="41"/>
      <c r="O52" s="41"/>
      <c r="P52" s="39" t="s">
        <v>931</v>
      </c>
      <c r="Q52" s="41"/>
      <c r="R52" s="41"/>
      <c r="S52" s="39"/>
      <c r="T52" s="39" t="s">
        <v>931</v>
      </c>
      <c r="U52" s="39"/>
      <c r="V52" s="39"/>
      <c r="W52" s="39"/>
      <c r="X52" s="39"/>
      <c r="Y52" s="39"/>
      <c r="Z52" s="39"/>
      <c r="AA52" s="39"/>
      <c r="AB52" s="39"/>
      <c r="AC52" s="39"/>
    </row>
    <row r="53" ht="14.25" customHeight="1">
      <c r="A53" s="39"/>
      <c r="B53" s="39"/>
      <c r="D53" s="411"/>
      <c r="E53" s="220"/>
      <c r="F53" s="220"/>
      <c r="G53" s="220"/>
      <c r="H53" s="220"/>
      <c r="I53" s="220"/>
      <c r="J53" s="220"/>
      <c r="K53" s="220"/>
      <c r="L53" s="220"/>
      <c r="M53" s="41"/>
      <c r="N53" s="41"/>
      <c r="O53" s="41"/>
      <c r="P53" s="41"/>
      <c r="Q53" s="41"/>
      <c r="R53" s="41"/>
      <c r="S53" s="39"/>
      <c r="T53" s="39"/>
      <c r="U53" s="39"/>
      <c r="V53" s="39"/>
      <c r="W53" s="39"/>
      <c r="X53" s="39"/>
      <c r="Y53" s="39"/>
      <c r="Z53" s="39"/>
      <c r="AA53" s="39"/>
      <c r="AB53" s="39"/>
      <c r="AC53" s="39"/>
    </row>
    <row r="54" ht="14.25" customHeight="1">
      <c r="A54" s="41"/>
      <c r="B54" s="41"/>
      <c r="C54" s="41"/>
      <c r="D54" s="41"/>
      <c r="E54" s="41"/>
      <c r="F54" s="41"/>
      <c r="G54" s="41"/>
      <c r="H54" s="41"/>
      <c r="I54" s="41"/>
      <c r="J54" s="41"/>
      <c r="K54" s="41"/>
      <c r="L54" s="41"/>
      <c r="M54" s="41"/>
      <c r="N54" s="41"/>
      <c r="O54" s="41"/>
      <c r="P54" s="41"/>
      <c r="Q54" s="41"/>
      <c r="R54" s="41"/>
      <c r="S54" s="39"/>
      <c r="AC54" s="41"/>
    </row>
    <row r="55" ht="14.25" customHeight="1">
      <c r="A55" s="39"/>
      <c r="B55" s="39"/>
      <c r="C55" s="39"/>
      <c r="D55" s="39"/>
      <c r="E55" s="39"/>
      <c r="F55" s="39"/>
      <c r="G55" s="39"/>
      <c r="H55" s="39"/>
      <c r="I55" s="39"/>
      <c r="J55" s="39"/>
      <c r="K55" s="39"/>
      <c r="L55" s="41"/>
      <c r="M55" s="41"/>
      <c r="N55" s="41"/>
      <c r="O55" s="41"/>
      <c r="P55" s="41"/>
      <c r="Q55" s="41"/>
      <c r="R55" s="41"/>
      <c r="S55" s="39"/>
      <c r="AC55" s="41"/>
    </row>
    <row r="56" ht="14.25" customHeight="1">
      <c r="A56" s="39"/>
      <c r="B56" s="39"/>
      <c r="C56" s="39"/>
      <c r="D56" s="39"/>
      <c r="E56" s="39"/>
      <c r="F56" s="39"/>
      <c r="G56" s="39"/>
      <c r="H56" s="39"/>
      <c r="I56" s="39"/>
      <c r="J56" s="39"/>
      <c r="K56" s="39"/>
      <c r="L56" s="39"/>
      <c r="M56" s="39"/>
      <c r="N56" s="41"/>
      <c r="O56" s="41"/>
      <c r="P56" s="41"/>
      <c r="Q56" s="41"/>
      <c r="R56" s="41"/>
      <c r="S56" s="41"/>
      <c r="T56" s="41"/>
      <c r="U56" s="41"/>
      <c r="V56" s="41"/>
      <c r="W56" s="41"/>
      <c r="X56" s="41"/>
      <c r="Y56" s="41"/>
      <c r="Z56" s="41"/>
      <c r="AA56" s="41"/>
      <c r="AB56" s="41"/>
      <c r="AC56" s="41"/>
    </row>
    <row r="57" ht="14.25" customHeight="1">
      <c r="S57" s="39"/>
      <c r="U57" s="41"/>
      <c r="V57" s="41"/>
      <c r="W57" s="41"/>
      <c r="X57" s="41"/>
      <c r="Y57" s="41"/>
      <c r="Z57" s="41"/>
      <c r="AA57" s="41"/>
      <c r="AB57" s="41"/>
      <c r="AC57" s="41"/>
    </row>
    <row r="58" ht="14.25" customHeight="1">
      <c r="S58" s="39" t="s">
        <v>4470</v>
      </c>
      <c r="U58" s="41"/>
      <c r="V58" s="41"/>
      <c r="W58" s="41"/>
      <c r="X58" s="41"/>
      <c r="Y58" s="41"/>
      <c r="Z58" s="41"/>
      <c r="AA58" s="41"/>
      <c r="AB58" s="41"/>
      <c r="AC58" s="41"/>
    </row>
    <row r="59" ht="14.25" customHeight="1"/>
    <row r="60" ht="14.25" customHeight="1">
      <c r="A60" s="39" t="s">
        <v>934</v>
      </c>
      <c r="B60" s="39" t="s">
        <v>4471</v>
      </c>
      <c r="E60" s="155" t="s">
        <v>4472</v>
      </c>
      <c r="I60" s="41"/>
      <c r="J60" s="41"/>
      <c r="K60" s="41"/>
      <c r="L60" s="41"/>
      <c r="M60" s="41"/>
      <c r="N60" s="41"/>
      <c r="O60" s="41"/>
      <c r="P60" s="41"/>
      <c r="Q60" s="41"/>
      <c r="R60" s="41"/>
      <c r="S60" s="39" t="s">
        <v>4473</v>
      </c>
      <c r="AD60" s="26" t="s">
        <v>4474</v>
      </c>
    </row>
    <row r="61" ht="14.25" customHeight="1">
      <c r="A61" s="39" t="s">
        <v>936</v>
      </c>
      <c r="B61" s="39" t="s">
        <v>4475</v>
      </c>
      <c r="E61" s="155" t="s">
        <v>4476</v>
      </c>
      <c r="I61" s="41"/>
      <c r="J61" s="41"/>
      <c r="K61" s="41"/>
      <c r="L61" s="41"/>
      <c r="M61" s="41"/>
      <c r="N61" s="41"/>
      <c r="O61" s="41"/>
      <c r="P61" s="41"/>
      <c r="Q61" s="41"/>
      <c r="R61" s="41"/>
      <c r="S61" s="39" t="s">
        <v>4473</v>
      </c>
      <c r="AD61" s="26" t="s">
        <v>4477</v>
      </c>
    </row>
    <row r="62" ht="14.25" customHeight="1">
      <c r="A62" s="39" t="s">
        <v>938</v>
      </c>
      <c r="B62" s="39" t="s">
        <v>4478</v>
      </c>
      <c r="D62" s="412" t="s">
        <v>4479</v>
      </c>
      <c r="E62" s="155" t="s">
        <v>4480</v>
      </c>
      <c r="M62" s="41"/>
      <c r="N62" s="41"/>
      <c r="O62" s="41"/>
      <c r="P62" s="41"/>
      <c r="Q62" s="41"/>
      <c r="R62" s="41"/>
      <c r="S62" s="39" t="s">
        <v>4473</v>
      </c>
      <c r="AD62" s="26" t="s">
        <v>4474</v>
      </c>
    </row>
    <row r="63" ht="14.25" customHeight="1">
      <c r="A63" s="41"/>
      <c r="B63" s="41"/>
      <c r="C63" s="41"/>
      <c r="D63" s="41"/>
      <c r="E63" s="41"/>
      <c r="F63" s="41"/>
      <c r="G63" s="41"/>
      <c r="H63" s="41"/>
      <c r="I63" s="41"/>
      <c r="J63" s="41"/>
      <c r="K63" s="41"/>
      <c r="L63" s="41"/>
      <c r="M63" s="41"/>
      <c r="N63" s="41"/>
      <c r="O63" s="41"/>
      <c r="P63" s="41"/>
      <c r="Q63" s="41"/>
      <c r="R63" s="41"/>
      <c r="S63" s="39" t="s">
        <v>4481</v>
      </c>
      <c r="AC63" s="41"/>
      <c r="AD63" s="26" t="s">
        <v>4474</v>
      </c>
    </row>
    <row r="64" ht="14.25" customHeight="1">
      <c r="A64" s="39" t="s">
        <v>4482</v>
      </c>
      <c r="B64" s="39" t="s">
        <v>4483</v>
      </c>
      <c r="L64" s="41"/>
      <c r="M64" s="41"/>
      <c r="N64" s="41"/>
      <c r="O64" s="41"/>
      <c r="P64" s="41"/>
      <c r="Q64" s="41"/>
      <c r="R64" s="41"/>
      <c r="S64" s="39" t="s">
        <v>4481</v>
      </c>
      <c r="AC64" s="41"/>
      <c r="AD64" s="26" t="s">
        <v>4474</v>
      </c>
    </row>
    <row r="65" ht="14.25" customHeight="1">
      <c r="A65" s="39" t="s">
        <v>4484</v>
      </c>
      <c r="B65" s="39" t="s">
        <v>4485</v>
      </c>
      <c r="N65" s="41"/>
      <c r="O65" s="41"/>
      <c r="P65" s="41"/>
      <c r="Q65" s="41"/>
      <c r="R65" s="41"/>
      <c r="S65" s="41"/>
      <c r="T65" s="41"/>
      <c r="U65" s="41"/>
      <c r="V65" s="41"/>
      <c r="W65" s="41"/>
      <c r="X65" s="41"/>
      <c r="Y65" s="41"/>
      <c r="Z65" s="41"/>
      <c r="AA65" s="41"/>
      <c r="AB65" s="41"/>
      <c r="AC65" s="41"/>
    </row>
    <row r="66" ht="14.25" customHeight="1">
      <c r="S66" s="39" t="s">
        <v>4470</v>
      </c>
      <c r="U66" s="41"/>
      <c r="V66" s="41"/>
      <c r="W66" s="41"/>
      <c r="X66" s="41"/>
      <c r="Y66" s="41"/>
      <c r="Z66" s="41"/>
      <c r="AA66" s="41"/>
      <c r="AB66" s="41"/>
      <c r="AC66" s="41"/>
    </row>
    <row r="67" ht="14.25" customHeight="1">
      <c r="S67" s="39" t="s">
        <v>4470</v>
      </c>
      <c r="U67" s="41"/>
      <c r="V67" s="41"/>
      <c r="W67" s="41"/>
      <c r="X67" s="41"/>
      <c r="Y67" s="41"/>
      <c r="Z67" s="41"/>
      <c r="AA67" s="41"/>
      <c r="AB67" s="41"/>
      <c r="AC67" s="41"/>
    </row>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56">
    <mergeCell ref="S61:AC61"/>
    <mergeCell ref="S62:AC62"/>
    <mergeCell ref="S63:AB63"/>
    <mergeCell ref="B64:K64"/>
    <mergeCell ref="S64:AB64"/>
    <mergeCell ref="B65:M65"/>
    <mergeCell ref="S66:T66"/>
    <mergeCell ref="S67:T67"/>
    <mergeCell ref="B60:D60"/>
    <mergeCell ref="E60:H60"/>
    <mergeCell ref="S60:AC60"/>
    <mergeCell ref="B61:D61"/>
    <mergeCell ref="E61:H61"/>
    <mergeCell ref="B62:C62"/>
    <mergeCell ref="E62:L62"/>
    <mergeCell ref="Y4:Z4"/>
    <mergeCell ref="W14:X14"/>
    <mergeCell ref="Q16:R16"/>
    <mergeCell ref="AE16:AF16"/>
    <mergeCell ref="J17:L17"/>
    <mergeCell ref="Y19:AA19"/>
    <mergeCell ref="Y20:AA20"/>
    <mergeCell ref="AE19:AF19"/>
    <mergeCell ref="AE20:AF20"/>
    <mergeCell ref="Y21:AC21"/>
    <mergeCell ref="AE21:AF21"/>
    <mergeCell ref="AE24:AF24"/>
    <mergeCell ref="AE26:AG26"/>
    <mergeCell ref="AF27:AG27"/>
    <mergeCell ref="W34:X34"/>
    <mergeCell ref="M35:O35"/>
    <mergeCell ref="X35:AA35"/>
    <mergeCell ref="AF35:AG35"/>
    <mergeCell ref="AF36:AG36"/>
    <mergeCell ref="AE37:AG37"/>
    <mergeCell ref="AE28:AF28"/>
    <mergeCell ref="AE29:AF29"/>
    <mergeCell ref="AE30:AF30"/>
    <mergeCell ref="AF31:AG31"/>
    <mergeCell ref="AF32:AG32"/>
    <mergeCell ref="AF33:AG33"/>
    <mergeCell ref="AF34:AG34"/>
    <mergeCell ref="Y24:AA24"/>
    <mergeCell ref="Y28:AA28"/>
    <mergeCell ref="Y29:AA29"/>
    <mergeCell ref="Y30:AA30"/>
    <mergeCell ref="Y31:AA31"/>
    <mergeCell ref="Y32:AA32"/>
    <mergeCell ref="Z33:AB33"/>
    <mergeCell ref="Y39:AA39"/>
    <mergeCell ref="AB39:AC39"/>
    <mergeCell ref="B53:C53"/>
    <mergeCell ref="S54:AB54"/>
    <mergeCell ref="S55:AB55"/>
    <mergeCell ref="S57:T57"/>
    <mergeCell ref="S58:T58"/>
  </mergeCells>
  <dataValidations>
    <dataValidation type="list" allowBlank="1" showErrorMessage="1" sqref="R2:R15 R17 R19:R24 R42:R43 R45:R50">
      <formula1>'Exclussion basis'!$A$2:$A$4</formula1>
    </dataValidation>
  </dataValidations>
  <hyperlinks>
    <hyperlink r:id="rId1" ref="E2"/>
    <hyperlink r:id="rId2" ref="E3"/>
    <hyperlink r:id="rId3" ref="E4"/>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 r:id="rId16" ref="E18"/>
    <hyperlink r:id="rId17" ref="E19"/>
    <hyperlink r:id="rId18" ref="E20"/>
    <hyperlink r:id="rId19" ref="E21"/>
    <hyperlink r:id="rId20" ref="E24"/>
    <hyperlink r:id="rId21" ref="E25"/>
    <hyperlink r:id="rId22" ref="E26"/>
    <hyperlink r:id="rId23" ref="E27"/>
    <hyperlink r:id="rId24" ref="E28"/>
    <hyperlink r:id="rId25" ref="E29"/>
    <hyperlink r:id="rId26" ref="E30"/>
    <hyperlink r:id="rId27" ref="E31"/>
    <hyperlink r:id="rId28" ref="E32"/>
    <hyperlink r:id="rId29" ref="E33"/>
    <hyperlink r:id="rId30" ref="E34"/>
    <hyperlink r:id="rId31" ref="E35"/>
    <hyperlink r:id="rId32" ref="E36"/>
    <hyperlink r:id="rId33" ref="E37"/>
    <hyperlink r:id="rId34" ref="E38"/>
    <hyperlink r:id="rId35" ref="E39"/>
    <hyperlink r:id="rId36" ref="E41"/>
    <hyperlink r:id="rId37" ref="E42"/>
    <hyperlink r:id="rId38" ref="E43"/>
    <hyperlink r:id="rId39" ref="E44"/>
    <hyperlink r:id="rId40" ref="E45"/>
    <hyperlink r:id="rId41" ref="E46"/>
    <hyperlink r:id="rId42" ref="E60"/>
    <hyperlink r:id="rId43" ref="E61"/>
    <hyperlink r:id="rId44" ref="D62"/>
    <hyperlink r:id="rId45" ref="E62"/>
  </hyperlinks>
  <printOptions/>
  <pageMargins bottom="0.75" footer="0.0" header="0.0" left="0.7" right="0.7" top="0.75"/>
  <pageSetup orientation="landscape"/>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2.44"/>
    <col customWidth="1" min="3" max="5" width="13.0"/>
    <col customWidth="1" min="6" max="6" width="9.0"/>
    <col customWidth="1" min="7" max="7" width="7.22"/>
    <col customWidth="1" min="8" max="8" width="10.22"/>
    <col customWidth="1" min="9" max="9" width="13.78"/>
    <col customWidth="1" min="10" max="10" width="8.44"/>
    <col customWidth="1" min="11" max="11" width="10.89"/>
    <col customWidth="1" min="12" max="14" width="13.11"/>
    <col customWidth="1" min="15" max="15" width="12.67"/>
    <col customWidth="1" min="16" max="16" width="14.0"/>
    <col customWidth="1" min="17" max="18" width="10.11"/>
    <col customWidth="1" min="19" max="19" width="6.44"/>
    <col customWidth="1" min="20" max="20" width="6.78"/>
    <col customWidth="1" min="21" max="21" width="7.44"/>
    <col customWidth="1" min="22" max="22" width="8.11"/>
    <col customWidth="1" min="23" max="23" width="9.89"/>
    <col customWidth="1" min="24" max="25" width="10.22"/>
    <col customWidth="1" min="26" max="27" width="6.78"/>
    <col customWidth="1" min="28" max="28" width="7.78"/>
    <col customWidth="1" min="29" max="33" width="6.78"/>
  </cols>
  <sheetData>
    <row r="1" ht="14.25" customHeight="1">
      <c r="A1" s="54" t="s">
        <v>57</v>
      </c>
      <c r="B1" s="54" t="s">
        <v>58</v>
      </c>
      <c r="C1" s="53" t="s">
        <v>943</v>
      </c>
      <c r="D1" s="53" t="s">
        <v>3845</v>
      </c>
      <c r="E1" s="54" t="s">
        <v>59</v>
      </c>
      <c r="F1" s="54" t="s">
        <v>60</v>
      </c>
      <c r="G1" s="308" t="s">
        <v>61</v>
      </c>
      <c r="H1" s="308" t="s">
        <v>62</v>
      </c>
      <c r="I1" s="308" t="s">
        <v>3207</v>
      </c>
      <c r="J1" s="309" t="s">
        <v>3208</v>
      </c>
      <c r="K1" s="309" t="s">
        <v>3209</v>
      </c>
      <c r="L1" s="310" t="s">
        <v>4486</v>
      </c>
      <c r="M1" s="308" t="s">
        <v>4487</v>
      </c>
      <c r="N1" s="309" t="s">
        <v>3212</v>
      </c>
      <c r="O1" s="308" t="s">
        <v>3213</v>
      </c>
      <c r="P1" s="308" t="s">
        <v>3214</v>
      </c>
      <c r="Q1" s="308" t="s">
        <v>3215</v>
      </c>
      <c r="R1" s="308" t="s">
        <v>3216</v>
      </c>
      <c r="S1" s="54" t="s">
        <v>3217</v>
      </c>
      <c r="T1" s="56" t="s">
        <v>944</v>
      </c>
      <c r="U1" s="311" t="s">
        <v>3219</v>
      </c>
      <c r="V1" s="311" t="s">
        <v>61</v>
      </c>
      <c r="W1" s="311" t="s">
        <v>62</v>
      </c>
      <c r="X1" s="311" t="s">
        <v>3846</v>
      </c>
      <c r="Y1" s="311" t="s">
        <v>4080</v>
      </c>
      <c r="Z1" s="311" t="s">
        <v>950</v>
      </c>
      <c r="AA1" s="311" t="s">
        <v>4488</v>
      </c>
      <c r="AB1" s="311" t="s">
        <v>4489</v>
      </c>
      <c r="AC1" s="311" t="s">
        <v>952</v>
      </c>
    </row>
    <row r="2" ht="14.25" customHeight="1">
      <c r="A2" s="37" t="s">
        <v>86</v>
      </c>
      <c r="B2" s="37" t="s">
        <v>87</v>
      </c>
      <c r="C2" s="122" t="s">
        <v>1724</v>
      </c>
      <c r="D2" s="26">
        <v>11.0</v>
      </c>
      <c r="E2" s="37" t="s">
        <v>88</v>
      </c>
      <c r="F2" s="37" t="s">
        <v>89</v>
      </c>
      <c r="G2" s="37" t="s">
        <v>90</v>
      </c>
      <c r="H2" s="37" t="s">
        <v>91</v>
      </c>
      <c r="I2" s="37" t="s">
        <v>45</v>
      </c>
      <c r="J2" s="26" t="s">
        <v>4490</v>
      </c>
      <c r="K2" s="26" t="s">
        <v>4491</v>
      </c>
      <c r="L2" s="26" t="s">
        <v>4492</v>
      </c>
      <c r="M2" s="26" t="s">
        <v>4493</v>
      </c>
      <c r="N2" s="26" t="s">
        <v>998</v>
      </c>
      <c r="O2" s="26" t="s">
        <v>620</v>
      </c>
      <c r="P2" s="26" t="s">
        <v>931</v>
      </c>
      <c r="R2" s="37" t="s">
        <v>3229</v>
      </c>
      <c r="T2" s="26" t="s">
        <v>963</v>
      </c>
    </row>
    <row r="3" ht="14.25" customHeight="1">
      <c r="A3" s="37" t="s">
        <v>94</v>
      </c>
      <c r="B3" s="37" t="s">
        <v>95</v>
      </c>
      <c r="C3" s="139" t="s">
        <v>1732</v>
      </c>
      <c r="D3" s="26">
        <v>29.0</v>
      </c>
      <c r="E3" s="37" t="s">
        <v>88</v>
      </c>
      <c r="F3" s="37" t="s">
        <v>96</v>
      </c>
      <c r="H3" s="37" t="s">
        <v>97</v>
      </c>
      <c r="I3" s="37" t="s">
        <v>45</v>
      </c>
      <c r="J3" s="26" t="s">
        <v>4494</v>
      </c>
      <c r="K3" s="26" t="s">
        <v>4495</v>
      </c>
      <c r="L3" s="26" t="s">
        <v>4496</v>
      </c>
      <c r="M3" s="26" t="s">
        <v>4497</v>
      </c>
      <c r="N3" s="26" t="s">
        <v>1733</v>
      </c>
      <c r="O3" s="26" t="s">
        <v>4498</v>
      </c>
      <c r="P3" s="26" t="s">
        <v>931</v>
      </c>
      <c r="R3" s="37"/>
      <c r="T3" s="26" t="s">
        <v>963</v>
      </c>
    </row>
    <row r="4" ht="14.25" customHeight="1">
      <c r="A4" s="37" t="s">
        <v>98</v>
      </c>
      <c r="B4" s="37" t="s">
        <v>99</v>
      </c>
      <c r="C4" s="122" t="s">
        <v>1738</v>
      </c>
      <c r="D4" s="26">
        <v>7.0</v>
      </c>
      <c r="E4" s="37" t="s">
        <v>88</v>
      </c>
      <c r="F4" s="37" t="s">
        <v>100</v>
      </c>
      <c r="G4" s="37" t="s">
        <v>101</v>
      </c>
      <c r="H4" s="37" t="s">
        <v>102</v>
      </c>
      <c r="I4" s="37" t="s">
        <v>45</v>
      </c>
      <c r="J4" s="26" t="s">
        <v>4499</v>
      </c>
      <c r="K4" s="26" t="s">
        <v>4500</v>
      </c>
      <c r="L4" s="26" t="s">
        <v>4501</v>
      </c>
      <c r="M4" s="26" t="s">
        <v>4502</v>
      </c>
      <c r="N4" s="26" t="s">
        <v>998</v>
      </c>
      <c r="O4" s="26" t="s">
        <v>620</v>
      </c>
      <c r="P4" s="26" t="s">
        <v>931</v>
      </c>
      <c r="R4" s="37"/>
      <c r="S4" s="26" t="s">
        <v>4503</v>
      </c>
      <c r="T4" s="26" t="s">
        <v>963</v>
      </c>
      <c r="U4" s="26"/>
      <c r="V4" s="26"/>
      <c r="W4" s="26"/>
      <c r="X4" s="26" t="s">
        <v>3997</v>
      </c>
      <c r="Y4" s="26" t="s">
        <v>4504</v>
      </c>
    </row>
    <row r="5" ht="14.25" customHeight="1">
      <c r="A5" s="37" t="s">
        <v>103</v>
      </c>
      <c r="B5" s="37" t="s">
        <v>104</v>
      </c>
      <c r="C5" s="139" t="s">
        <v>1743</v>
      </c>
      <c r="D5" s="26">
        <v>18.0</v>
      </c>
      <c r="E5" s="37" t="s">
        <v>88</v>
      </c>
      <c r="F5" s="37" t="s">
        <v>105</v>
      </c>
      <c r="H5" s="37" t="s">
        <v>106</v>
      </c>
      <c r="I5" s="37" t="s">
        <v>45</v>
      </c>
      <c r="N5" s="26" t="s">
        <v>1744</v>
      </c>
      <c r="P5" s="26" t="s">
        <v>931</v>
      </c>
      <c r="R5" s="37"/>
      <c r="T5" s="26" t="s">
        <v>963</v>
      </c>
      <c r="U5" s="26" t="s">
        <v>4505</v>
      </c>
      <c r="Z5" s="26" t="s">
        <v>1747</v>
      </c>
    </row>
    <row r="6" ht="14.25" customHeight="1">
      <c r="A6" s="413" t="s">
        <v>107</v>
      </c>
      <c r="B6" s="413" t="s">
        <v>108</v>
      </c>
      <c r="C6" s="414" t="s">
        <v>4506</v>
      </c>
      <c r="D6" s="415">
        <v>7.0</v>
      </c>
      <c r="E6" s="413" t="s">
        <v>88</v>
      </c>
      <c r="F6" s="413" t="s">
        <v>109</v>
      </c>
      <c r="G6" s="413"/>
      <c r="H6" s="413" t="s">
        <v>110</v>
      </c>
      <c r="I6" s="413" t="s">
        <v>45</v>
      </c>
      <c r="J6" s="413"/>
      <c r="K6" s="413"/>
      <c r="L6" s="413"/>
      <c r="M6" s="413"/>
      <c r="N6" s="413"/>
      <c r="O6" s="413"/>
      <c r="P6" s="415" t="s">
        <v>963</v>
      </c>
      <c r="Q6" s="415" t="s">
        <v>4507</v>
      </c>
      <c r="R6" s="415" t="s">
        <v>2979</v>
      </c>
      <c r="S6" s="413"/>
      <c r="T6" s="415" t="s">
        <v>963</v>
      </c>
      <c r="U6" s="415" t="s">
        <v>4508</v>
      </c>
      <c r="V6" s="413"/>
      <c r="W6" s="413"/>
      <c r="X6" s="413"/>
      <c r="Y6" s="413"/>
      <c r="Z6" s="413"/>
      <c r="AA6" s="413"/>
      <c r="AB6" s="413"/>
      <c r="AC6" s="413"/>
      <c r="AD6" s="413"/>
      <c r="AE6" s="413"/>
      <c r="AF6" s="413"/>
      <c r="AG6" s="413"/>
    </row>
    <row r="7" ht="14.25" customHeight="1">
      <c r="A7" s="215" t="s">
        <v>111</v>
      </c>
      <c r="B7" s="215" t="s">
        <v>112</v>
      </c>
      <c r="C7" s="416" t="s">
        <v>1752</v>
      </c>
      <c r="D7" s="28">
        <v>11.0</v>
      </c>
      <c r="E7" s="215" t="s">
        <v>88</v>
      </c>
      <c r="F7" s="215" t="s">
        <v>113</v>
      </c>
      <c r="G7" s="215" t="s">
        <v>90</v>
      </c>
      <c r="H7" s="215" t="s">
        <v>114</v>
      </c>
      <c r="I7" s="215" t="s">
        <v>45</v>
      </c>
      <c r="J7" s="215"/>
      <c r="K7" s="28" t="s">
        <v>4509</v>
      </c>
      <c r="L7" s="28" t="s">
        <v>4510</v>
      </c>
      <c r="M7" s="215"/>
      <c r="N7" s="28" t="s">
        <v>998</v>
      </c>
      <c r="O7" s="28" t="s">
        <v>4511</v>
      </c>
      <c r="P7" s="28" t="s">
        <v>931</v>
      </c>
      <c r="Q7" s="215"/>
      <c r="R7" s="215"/>
      <c r="S7" s="215"/>
      <c r="T7" s="28" t="s">
        <v>963</v>
      </c>
      <c r="U7" s="28" t="s">
        <v>4512</v>
      </c>
      <c r="V7" s="215"/>
      <c r="W7" s="28" t="s">
        <v>4513</v>
      </c>
      <c r="X7" s="28" t="s">
        <v>3997</v>
      </c>
      <c r="Y7" s="215"/>
      <c r="Z7" s="28" t="s">
        <v>4514</v>
      </c>
      <c r="AA7" s="215"/>
      <c r="AB7" s="28" t="s">
        <v>4515</v>
      </c>
      <c r="AC7" s="215"/>
      <c r="AD7" s="215"/>
      <c r="AE7" s="215"/>
      <c r="AF7" s="215"/>
      <c r="AG7" s="215"/>
    </row>
    <row r="8" ht="14.25" customHeight="1">
      <c r="A8" s="37" t="s">
        <v>116</v>
      </c>
      <c r="B8" s="37" t="s">
        <v>117</v>
      </c>
      <c r="C8" s="139" t="s">
        <v>1757</v>
      </c>
      <c r="D8" s="26">
        <v>13.0</v>
      </c>
      <c r="E8" s="37" t="s">
        <v>88</v>
      </c>
      <c r="F8" s="37" t="s">
        <v>118</v>
      </c>
      <c r="H8" s="37" t="s">
        <v>119</v>
      </c>
      <c r="I8" s="37" t="s">
        <v>45</v>
      </c>
      <c r="K8" s="26" t="s">
        <v>4516</v>
      </c>
      <c r="L8" s="26" t="s">
        <v>4517</v>
      </c>
      <c r="M8" s="26" t="s">
        <v>4518</v>
      </c>
      <c r="N8" s="26" t="s">
        <v>1758</v>
      </c>
      <c r="P8" s="26" t="s">
        <v>931</v>
      </c>
      <c r="R8" s="37"/>
      <c r="T8" s="26" t="s">
        <v>963</v>
      </c>
      <c r="Y8" s="26" t="s">
        <v>4519</v>
      </c>
    </row>
    <row r="9" ht="14.25" customHeight="1">
      <c r="A9" s="37" t="s">
        <v>120</v>
      </c>
      <c r="B9" s="37" t="s">
        <v>121</v>
      </c>
      <c r="C9" s="139" t="s">
        <v>4520</v>
      </c>
      <c r="D9" s="26">
        <v>9.0</v>
      </c>
      <c r="E9" s="37" t="s">
        <v>88</v>
      </c>
      <c r="F9" s="37" t="s">
        <v>122</v>
      </c>
      <c r="G9" s="37"/>
      <c r="H9" s="37" t="s">
        <v>102</v>
      </c>
      <c r="I9" s="37" t="s">
        <v>45</v>
      </c>
      <c r="J9" s="37"/>
      <c r="K9" s="26" t="s">
        <v>4521</v>
      </c>
      <c r="L9" s="26" t="s">
        <v>2216</v>
      </c>
      <c r="M9" s="37"/>
      <c r="N9" s="26" t="s">
        <v>1764</v>
      </c>
      <c r="O9" s="37"/>
      <c r="P9" s="26" t="s">
        <v>963</v>
      </c>
      <c r="Q9" s="26" t="s">
        <v>4507</v>
      </c>
      <c r="R9" s="26" t="s">
        <v>2979</v>
      </c>
      <c r="S9" s="37"/>
      <c r="T9" s="26" t="s">
        <v>963</v>
      </c>
      <c r="U9" s="26" t="s">
        <v>4522</v>
      </c>
      <c r="V9" s="37"/>
      <c r="W9" s="26" t="s">
        <v>4523</v>
      </c>
      <c r="X9" s="37"/>
      <c r="Y9" s="37"/>
      <c r="Z9" s="37"/>
      <c r="AA9" s="37"/>
      <c r="AB9" s="37"/>
      <c r="AC9" s="37"/>
      <c r="AD9" s="37"/>
      <c r="AE9" s="37"/>
      <c r="AF9" s="37"/>
      <c r="AG9" s="37"/>
    </row>
    <row r="10" ht="14.25" customHeight="1">
      <c r="A10" s="37" t="s">
        <v>123</v>
      </c>
      <c r="B10" s="37" t="s">
        <v>124</v>
      </c>
      <c r="C10" s="122" t="s">
        <v>1763</v>
      </c>
      <c r="D10" s="26">
        <v>15.0</v>
      </c>
      <c r="E10" s="37" t="s">
        <v>88</v>
      </c>
      <c r="F10" s="37" t="s">
        <v>125</v>
      </c>
      <c r="G10" s="37" t="s">
        <v>126</v>
      </c>
      <c r="H10" s="37" t="s">
        <v>127</v>
      </c>
      <c r="I10" s="37" t="s">
        <v>45</v>
      </c>
      <c r="J10" s="26" t="s">
        <v>4524</v>
      </c>
      <c r="K10" s="26" t="s">
        <v>4525</v>
      </c>
      <c r="L10" s="26" t="s">
        <v>4526</v>
      </c>
      <c r="N10" s="26" t="s">
        <v>1764</v>
      </c>
      <c r="P10" s="26" t="s">
        <v>931</v>
      </c>
      <c r="R10" s="37"/>
      <c r="T10" s="26" t="s">
        <v>963</v>
      </c>
      <c r="U10" s="26" t="s">
        <v>4527</v>
      </c>
      <c r="V10" s="26" t="s">
        <v>4528</v>
      </c>
      <c r="X10" s="26" t="s">
        <v>4529</v>
      </c>
      <c r="Y10" s="26" t="s">
        <v>4530</v>
      </c>
    </row>
    <row r="11" ht="14.25" customHeight="1">
      <c r="A11" s="37" t="s">
        <v>129</v>
      </c>
      <c r="B11" s="37" t="s">
        <v>130</v>
      </c>
      <c r="C11" s="122" t="s">
        <v>1769</v>
      </c>
      <c r="D11" s="26">
        <v>20.0</v>
      </c>
      <c r="E11" s="37" t="s">
        <v>88</v>
      </c>
      <c r="F11" s="37" t="s">
        <v>131</v>
      </c>
      <c r="G11" s="37" t="s">
        <v>132</v>
      </c>
      <c r="H11" s="37" t="s">
        <v>133</v>
      </c>
      <c r="I11" s="37" t="s">
        <v>47</v>
      </c>
      <c r="P11" s="26" t="s">
        <v>931</v>
      </c>
      <c r="R11" s="37"/>
      <c r="T11" s="26" t="s">
        <v>963</v>
      </c>
      <c r="X11" s="26" t="s">
        <v>4531</v>
      </c>
      <c r="Y11" s="26" t="s">
        <v>4532</v>
      </c>
      <c r="AB11" s="26" t="s">
        <v>4533</v>
      </c>
    </row>
    <row r="12" ht="14.25" customHeight="1">
      <c r="A12" s="37" t="s">
        <v>134</v>
      </c>
      <c r="B12" s="37" t="s">
        <v>135</v>
      </c>
      <c r="C12" s="122" t="s">
        <v>1776</v>
      </c>
      <c r="D12" s="26">
        <v>21.0</v>
      </c>
      <c r="E12" s="37" t="s">
        <v>88</v>
      </c>
      <c r="F12" s="37" t="s">
        <v>136</v>
      </c>
      <c r="G12" s="37" t="s">
        <v>137</v>
      </c>
      <c r="H12" s="37" t="s">
        <v>138</v>
      </c>
      <c r="I12" s="37" t="s">
        <v>47</v>
      </c>
      <c r="J12" s="26" t="s">
        <v>4534</v>
      </c>
      <c r="K12" s="26" t="s">
        <v>4521</v>
      </c>
      <c r="L12" s="26" t="s">
        <v>4510</v>
      </c>
      <c r="M12" s="26" t="s">
        <v>4535</v>
      </c>
      <c r="N12" s="26" t="s">
        <v>1764</v>
      </c>
      <c r="O12" s="26" t="s">
        <v>4536</v>
      </c>
      <c r="P12" s="26" t="s">
        <v>931</v>
      </c>
      <c r="R12" s="37"/>
      <c r="T12" s="26" t="s">
        <v>963</v>
      </c>
      <c r="W12" s="26" t="s">
        <v>4537</v>
      </c>
      <c r="Z12" s="26" t="s">
        <v>1779</v>
      </c>
    </row>
    <row r="13" ht="14.25" customHeight="1">
      <c r="A13" s="37" t="s">
        <v>139</v>
      </c>
      <c r="B13" s="37" t="s">
        <v>140</v>
      </c>
      <c r="C13" s="122" t="s">
        <v>1785</v>
      </c>
      <c r="D13" s="26">
        <v>12.0</v>
      </c>
      <c r="E13" s="37" t="s">
        <v>88</v>
      </c>
      <c r="F13" s="37" t="s">
        <v>141</v>
      </c>
      <c r="G13" s="37" t="s">
        <v>142</v>
      </c>
      <c r="H13" s="37" t="s">
        <v>143</v>
      </c>
      <c r="I13" s="37" t="s">
        <v>47</v>
      </c>
      <c r="J13" s="26" t="s">
        <v>4538</v>
      </c>
      <c r="K13" s="26" t="s">
        <v>4539</v>
      </c>
      <c r="L13" s="26" t="s">
        <v>4540</v>
      </c>
      <c r="P13" s="26" t="s">
        <v>931</v>
      </c>
      <c r="R13" s="37"/>
      <c r="T13" s="26" t="s">
        <v>963</v>
      </c>
      <c r="U13" s="26" t="s">
        <v>4541</v>
      </c>
      <c r="V13" s="26" t="s">
        <v>3389</v>
      </c>
      <c r="X13" s="26" t="s">
        <v>4542</v>
      </c>
      <c r="Z13" s="26" t="s">
        <v>4543</v>
      </c>
      <c r="AB13" s="26" t="s">
        <v>4544</v>
      </c>
    </row>
    <row r="14" ht="14.25" customHeight="1">
      <c r="A14" s="37" t="s">
        <v>144</v>
      </c>
      <c r="B14" s="37" t="s">
        <v>145</v>
      </c>
      <c r="C14" s="122" t="s">
        <v>4545</v>
      </c>
      <c r="D14" s="26">
        <v>10.0</v>
      </c>
      <c r="E14" s="37" t="s">
        <v>88</v>
      </c>
      <c r="F14" s="37" t="s">
        <v>141</v>
      </c>
      <c r="G14" s="37" t="s">
        <v>146</v>
      </c>
      <c r="H14" s="37" t="s">
        <v>147</v>
      </c>
      <c r="I14" s="37" t="s">
        <v>47</v>
      </c>
      <c r="J14" s="37"/>
      <c r="K14" s="37"/>
      <c r="L14" s="37"/>
      <c r="M14" s="37"/>
      <c r="N14" s="37"/>
      <c r="O14" s="37"/>
      <c r="P14" s="26" t="s">
        <v>963</v>
      </c>
      <c r="Q14" s="26" t="s">
        <v>4546</v>
      </c>
      <c r="R14" s="26" t="s">
        <v>2979</v>
      </c>
      <c r="S14" s="37"/>
      <c r="T14" s="26" t="s">
        <v>963</v>
      </c>
      <c r="U14" s="37"/>
      <c r="V14" s="37"/>
      <c r="W14" s="37"/>
      <c r="X14" s="37"/>
      <c r="Y14" s="37"/>
      <c r="Z14" s="37"/>
      <c r="AA14" s="37"/>
      <c r="AB14" s="37"/>
      <c r="AC14" s="37"/>
      <c r="AD14" s="37"/>
      <c r="AE14" s="37"/>
      <c r="AF14" s="37"/>
      <c r="AG14" s="37"/>
    </row>
    <row r="15" ht="14.25" customHeight="1">
      <c r="A15" s="37" t="s">
        <v>148</v>
      </c>
      <c r="B15" s="37" t="s">
        <v>149</v>
      </c>
      <c r="C15" s="122" t="s">
        <v>1790</v>
      </c>
      <c r="D15" s="26">
        <v>6.0</v>
      </c>
      <c r="E15" s="37" t="s">
        <v>88</v>
      </c>
      <c r="F15" s="37" t="s">
        <v>150</v>
      </c>
      <c r="H15" s="37" t="s">
        <v>151</v>
      </c>
      <c r="I15" s="26" t="s">
        <v>4547</v>
      </c>
      <c r="J15" s="26" t="s">
        <v>4548</v>
      </c>
      <c r="K15" s="26" t="s">
        <v>4549</v>
      </c>
      <c r="L15" s="26" t="s">
        <v>4510</v>
      </c>
      <c r="M15" s="26" t="s">
        <v>4550</v>
      </c>
      <c r="N15" s="26" t="s">
        <v>1764</v>
      </c>
      <c r="O15" s="26" t="s">
        <v>620</v>
      </c>
      <c r="P15" s="26" t="s">
        <v>931</v>
      </c>
      <c r="R15" s="37"/>
      <c r="T15" s="26" t="s">
        <v>963</v>
      </c>
      <c r="U15" s="26" t="s">
        <v>4551</v>
      </c>
      <c r="V15" s="26" t="s">
        <v>4552</v>
      </c>
      <c r="W15" s="26" t="s">
        <v>4553</v>
      </c>
      <c r="X15" s="26" t="s">
        <v>4554</v>
      </c>
      <c r="Y15" s="26" t="s">
        <v>4555</v>
      </c>
      <c r="Z15" s="26" t="s">
        <v>970</v>
      </c>
    </row>
    <row r="16" ht="14.25" customHeight="1">
      <c r="A16" s="37" t="s">
        <v>152</v>
      </c>
      <c r="B16" s="37" t="s">
        <v>153</v>
      </c>
      <c r="C16" s="122" t="s">
        <v>4556</v>
      </c>
      <c r="D16" s="37"/>
      <c r="E16" s="37" t="s">
        <v>88</v>
      </c>
      <c r="F16" s="37" t="s">
        <v>154</v>
      </c>
      <c r="G16" s="37"/>
      <c r="H16" s="37" t="s">
        <v>155</v>
      </c>
      <c r="I16" s="37" t="s">
        <v>47</v>
      </c>
      <c r="J16" s="37"/>
      <c r="K16" s="37"/>
      <c r="L16" s="37"/>
      <c r="M16" s="37"/>
      <c r="N16" s="37"/>
      <c r="O16" s="37"/>
      <c r="P16" s="26" t="s">
        <v>963</v>
      </c>
      <c r="Q16" s="26" t="s">
        <v>3023</v>
      </c>
      <c r="R16" s="37"/>
      <c r="S16" s="37"/>
      <c r="T16" s="26" t="s">
        <v>963</v>
      </c>
      <c r="U16" s="37"/>
      <c r="V16" s="37"/>
      <c r="W16" s="37"/>
      <c r="X16" s="37"/>
      <c r="Y16" s="37"/>
      <c r="Z16" s="37"/>
      <c r="AA16" s="37"/>
      <c r="AB16" s="37"/>
      <c r="AC16" s="37"/>
      <c r="AD16" s="37"/>
      <c r="AE16" s="37"/>
      <c r="AF16" s="37"/>
      <c r="AG16" s="37"/>
    </row>
    <row r="17" ht="14.25" customHeight="1">
      <c r="A17" s="37" t="s">
        <v>156</v>
      </c>
      <c r="B17" s="37" t="s">
        <v>157</v>
      </c>
      <c r="C17" s="122" t="s">
        <v>1796</v>
      </c>
      <c r="D17" s="26">
        <v>7.0</v>
      </c>
      <c r="E17" s="37" t="s">
        <v>88</v>
      </c>
      <c r="F17" s="37" t="s">
        <v>158</v>
      </c>
      <c r="G17" s="37" t="s">
        <v>101</v>
      </c>
      <c r="H17" s="37" t="s">
        <v>159</v>
      </c>
      <c r="I17" s="37" t="s">
        <v>47</v>
      </c>
      <c r="J17" s="26" t="s">
        <v>4557</v>
      </c>
      <c r="K17" s="26" t="s">
        <v>4558</v>
      </c>
      <c r="L17" s="26" t="s">
        <v>4510</v>
      </c>
      <c r="M17" s="26" t="s">
        <v>4550</v>
      </c>
      <c r="N17" s="26" t="s">
        <v>4510</v>
      </c>
      <c r="O17" s="26" t="s">
        <v>620</v>
      </c>
      <c r="P17" s="26" t="s">
        <v>931</v>
      </c>
      <c r="R17" s="37"/>
      <c r="T17" s="26" t="s">
        <v>963</v>
      </c>
      <c r="U17" s="26" t="s">
        <v>4559</v>
      </c>
      <c r="V17" s="26" t="s">
        <v>4560</v>
      </c>
      <c r="X17" s="26" t="s">
        <v>4542</v>
      </c>
      <c r="Z17" s="26" t="s">
        <v>1027</v>
      </c>
      <c r="AB17" s="26" t="s">
        <v>4561</v>
      </c>
    </row>
    <row r="18" ht="14.25" customHeight="1">
      <c r="A18" s="37" t="s">
        <v>160</v>
      </c>
      <c r="B18" s="37" t="s">
        <v>161</v>
      </c>
      <c r="C18" s="122" t="s">
        <v>1802</v>
      </c>
      <c r="D18" s="26">
        <v>10.0</v>
      </c>
      <c r="E18" s="37" t="s">
        <v>88</v>
      </c>
      <c r="F18" s="37" t="s">
        <v>150</v>
      </c>
      <c r="G18" s="37" t="s">
        <v>162</v>
      </c>
      <c r="H18" s="37" t="s">
        <v>163</v>
      </c>
      <c r="I18" s="37" t="s">
        <v>47</v>
      </c>
      <c r="J18" s="26" t="s">
        <v>4562</v>
      </c>
      <c r="K18" s="26" t="s">
        <v>4563</v>
      </c>
      <c r="L18" s="26" t="s">
        <v>4564</v>
      </c>
      <c r="M18" s="26" t="s">
        <v>4510</v>
      </c>
      <c r="N18" s="26" t="s">
        <v>4565</v>
      </c>
      <c r="O18" s="26" t="s">
        <v>620</v>
      </c>
      <c r="P18" s="26" t="s">
        <v>931</v>
      </c>
      <c r="R18" s="37"/>
      <c r="T18" s="26" t="s">
        <v>963</v>
      </c>
      <c r="U18" s="26" t="s">
        <v>4566</v>
      </c>
      <c r="V18" s="26" t="s">
        <v>4224</v>
      </c>
      <c r="X18" s="26" t="s">
        <v>4542</v>
      </c>
      <c r="Z18" s="26" t="s">
        <v>1779</v>
      </c>
      <c r="AB18" s="26" t="s">
        <v>4567</v>
      </c>
    </row>
    <row r="19" ht="14.25" customHeight="1">
      <c r="A19" s="37" t="s">
        <v>164</v>
      </c>
      <c r="B19" s="37" t="s">
        <v>165</v>
      </c>
      <c r="C19" s="122" t="s">
        <v>4568</v>
      </c>
      <c r="D19" s="26">
        <v>6.0</v>
      </c>
      <c r="E19" s="37" t="s">
        <v>88</v>
      </c>
      <c r="F19" s="37" t="s">
        <v>166</v>
      </c>
      <c r="G19" s="37"/>
      <c r="H19" s="37" t="s">
        <v>167</v>
      </c>
      <c r="I19" s="37" t="s">
        <v>47</v>
      </c>
      <c r="J19" s="37"/>
      <c r="K19" s="37"/>
      <c r="L19" s="37"/>
      <c r="M19" s="37"/>
      <c r="N19" s="37"/>
      <c r="O19" s="37"/>
      <c r="P19" s="26" t="s">
        <v>963</v>
      </c>
      <c r="Q19" s="26" t="s">
        <v>4569</v>
      </c>
      <c r="R19" s="26" t="s">
        <v>2979</v>
      </c>
      <c r="S19" s="37"/>
      <c r="T19" s="26" t="s">
        <v>963</v>
      </c>
      <c r="U19" s="37"/>
      <c r="V19" s="37"/>
      <c r="W19" s="37"/>
      <c r="X19" s="37"/>
      <c r="Y19" s="37"/>
      <c r="Z19" s="26" t="s">
        <v>1027</v>
      </c>
      <c r="AA19" s="37"/>
      <c r="AB19" s="26" t="s">
        <v>4570</v>
      </c>
      <c r="AC19" s="37"/>
      <c r="AD19" s="37"/>
      <c r="AE19" s="37"/>
      <c r="AF19" s="37"/>
      <c r="AG19" s="37"/>
    </row>
    <row r="20" ht="14.25" customHeight="1">
      <c r="A20" s="37" t="s">
        <v>168</v>
      </c>
      <c r="B20" s="37" t="s">
        <v>169</v>
      </c>
      <c r="C20" s="37"/>
      <c r="D20" s="37"/>
      <c r="E20" s="37" t="s">
        <v>88</v>
      </c>
      <c r="F20" s="37" t="s">
        <v>170</v>
      </c>
      <c r="G20" s="37" t="s">
        <v>162</v>
      </c>
      <c r="H20" s="37" t="s">
        <v>171</v>
      </c>
      <c r="I20" s="37" t="s">
        <v>47</v>
      </c>
      <c r="J20" s="37"/>
      <c r="K20" s="37"/>
      <c r="L20" s="37"/>
      <c r="M20" s="37"/>
      <c r="N20" s="37"/>
      <c r="O20" s="37"/>
      <c r="P20" s="26" t="s">
        <v>963</v>
      </c>
      <c r="Q20" s="26" t="s">
        <v>3025</v>
      </c>
      <c r="R20" s="37"/>
      <c r="S20" s="37"/>
      <c r="T20" s="26" t="s">
        <v>963</v>
      </c>
      <c r="U20" s="37"/>
      <c r="V20" s="37"/>
      <c r="W20" s="37"/>
      <c r="X20" s="37"/>
      <c r="Y20" s="37"/>
      <c r="Z20" s="37"/>
      <c r="AA20" s="37"/>
      <c r="AB20" s="37"/>
      <c r="AC20" s="37"/>
      <c r="AD20" s="37"/>
      <c r="AE20" s="37"/>
      <c r="AF20" s="37"/>
      <c r="AG20" s="37"/>
    </row>
    <row r="21" ht="14.25" customHeight="1">
      <c r="A21" s="37" t="s">
        <v>172</v>
      </c>
      <c r="B21" s="37" t="s">
        <v>173</v>
      </c>
      <c r="C21" s="122" t="s">
        <v>4571</v>
      </c>
      <c r="D21" s="26">
        <v>12.0</v>
      </c>
      <c r="E21" s="37" t="s">
        <v>88</v>
      </c>
      <c r="F21" s="37" t="s">
        <v>174</v>
      </c>
      <c r="G21" s="37" t="s">
        <v>175</v>
      </c>
      <c r="H21" s="37" t="s">
        <v>176</v>
      </c>
      <c r="I21" s="37" t="s">
        <v>47</v>
      </c>
      <c r="J21" s="26" t="s">
        <v>4572</v>
      </c>
      <c r="K21" s="26" t="s">
        <v>4573</v>
      </c>
      <c r="L21" s="26" t="s">
        <v>2216</v>
      </c>
      <c r="M21" s="26" t="s">
        <v>4574</v>
      </c>
      <c r="N21" s="26" t="s">
        <v>1764</v>
      </c>
      <c r="P21" s="26" t="s">
        <v>931</v>
      </c>
      <c r="R21" s="37"/>
      <c r="T21" s="26" t="s">
        <v>963</v>
      </c>
      <c r="U21" s="26" t="s">
        <v>4575</v>
      </c>
      <c r="X21" s="26" t="s">
        <v>4529</v>
      </c>
      <c r="Y21" s="26" t="s">
        <v>4576</v>
      </c>
      <c r="Z21" s="26" t="s">
        <v>1691</v>
      </c>
      <c r="AB21" s="26" t="s">
        <v>4577</v>
      </c>
    </row>
    <row r="22" ht="14.25" customHeight="1">
      <c r="A22" s="39" t="s">
        <v>682</v>
      </c>
      <c r="B22" s="39" t="s">
        <v>683</v>
      </c>
      <c r="C22" s="180" t="s">
        <v>1809</v>
      </c>
      <c r="D22" s="39">
        <v>31.0</v>
      </c>
      <c r="E22" s="40" t="s">
        <v>616</v>
      </c>
      <c r="F22" s="39" t="s">
        <v>587</v>
      </c>
      <c r="G22" s="39" t="s">
        <v>684</v>
      </c>
      <c r="H22" s="39" t="s">
        <v>685</v>
      </c>
      <c r="I22" s="39" t="s">
        <v>49</v>
      </c>
      <c r="J22" s="39"/>
      <c r="K22" s="26" t="s">
        <v>4578</v>
      </c>
      <c r="L22" s="26" t="s">
        <v>4579</v>
      </c>
      <c r="N22" s="26" t="s">
        <v>4580</v>
      </c>
      <c r="P22" s="26" t="s">
        <v>931</v>
      </c>
      <c r="R22" s="37"/>
      <c r="T22" s="26" t="s">
        <v>963</v>
      </c>
      <c r="U22" s="26" t="s">
        <v>4581</v>
      </c>
      <c r="V22" s="26" t="s">
        <v>4582</v>
      </c>
      <c r="X22" s="26" t="s">
        <v>4542</v>
      </c>
      <c r="Z22" s="26" t="s">
        <v>1027</v>
      </c>
      <c r="AB22" s="26" t="s">
        <v>4583</v>
      </c>
    </row>
    <row r="23" ht="14.25" customHeight="1">
      <c r="A23" s="39" t="s">
        <v>686</v>
      </c>
      <c r="B23" s="39" t="s">
        <v>687</v>
      </c>
      <c r="C23" s="180" t="s">
        <v>1815</v>
      </c>
      <c r="D23" s="39">
        <v>16.0</v>
      </c>
      <c r="E23" s="40" t="s">
        <v>616</v>
      </c>
      <c r="F23" s="39" t="s">
        <v>417</v>
      </c>
      <c r="G23" s="39" t="s">
        <v>688</v>
      </c>
      <c r="H23" s="39" t="s">
        <v>142</v>
      </c>
      <c r="I23" s="39" t="s">
        <v>49</v>
      </c>
      <c r="J23" s="39"/>
      <c r="K23" s="26" t="s">
        <v>4584</v>
      </c>
      <c r="L23" s="26" t="s">
        <v>4585</v>
      </c>
      <c r="N23" s="26" t="s">
        <v>4586</v>
      </c>
      <c r="O23" s="26" t="s">
        <v>4587</v>
      </c>
      <c r="P23" s="26" t="s">
        <v>931</v>
      </c>
      <c r="R23" s="37"/>
      <c r="T23" s="26" t="s">
        <v>963</v>
      </c>
      <c r="U23" s="26" t="s">
        <v>4588</v>
      </c>
      <c r="V23" s="26" t="s">
        <v>4589</v>
      </c>
      <c r="X23" s="26" t="s">
        <v>4542</v>
      </c>
      <c r="Z23" s="26" t="s">
        <v>1027</v>
      </c>
      <c r="AB23" s="26" t="s">
        <v>4590</v>
      </c>
      <c r="AC23" s="26" t="s">
        <v>620</v>
      </c>
    </row>
    <row r="24" ht="14.25" customHeight="1">
      <c r="A24" s="39" t="s">
        <v>689</v>
      </c>
      <c r="B24" s="39" t="s">
        <v>690</v>
      </c>
      <c r="C24" s="180" t="s">
        <v>1819</v>
      </c>
      <c r="D24" s="39"/>
      <c r="E24" s="40" t="s">
        <v>616</v>
      </c>
      <c r="F24" s="39" t="s">
        <v>256</v>
      </c>
      <c r="G24" s="39" t="s">
        <v>691</v>
      </c>
      <c r="H24" s="39" t="s">
        <v>244</v>
      </c>
      <c r="I24" s="39" t="s">
        <v>49</v>
      </c>
      <c r="J24" s="39"/>
      <c r="K24" s="26" t="s">
        <v>4584</v>
      </c>
      <c r="L24" s="26" t="s">
        <v>4591</v>
      </c>
      <c r="N24" s="26" t="s">
        <v>4592</v>
      </c>
      <c r="P24" s="26" t="s">
        <v>931</v>
      </c>
      <c r="R24" s="37"/>
      <c r="T24" s="26" t="s">
        <v>963</v>
      </c>
      <c r="U24" s="26" t="s">
        <v>4593</v>
      </c>
      <c r="V24" s="26" t="s">
        <v>4594</v>
      </c>
      <c r="X24" s="26" t="s">
        <v>4542</v>
      </c>
      <c r="Z24" s="26" t="s">
        <v>1027</v>
      </c>
      <c r="AB24" s="26" t="s">
        <v>4595</v>
      </c>
      <c r="AC24" s="26" t="s">
        <v>4596</v>
      </c>
    </row>
    <row r="25" ht="14.25" customHeight="1">
      <c r="A25" s="39" t="s">
        <v>716</v>
      </c>
      <c r="B25" s="39" t="s">
        <v>717</v>
      </c>
      <c r="C25" s="180" t="s">
        <v>4597</v>
      </c>
      <c r="D25" s="39"/>
      <c r="E25" s="40" t="s">
        <v>616</v>
      </c>
      <c r="F25" s="39" t="s">
        <v>401</v>
      </c>
      <c r="G25" s="39" t="s">
        <v>718</v>
      </c>
      <c r="H25" s="39" t="s">
        <v>273</v>
      </c>
      <c r="I25" s="39" t="s">
        <v>92</v>
      </c>
      <c r="J25" s="39"/>
      <c r="K25" s="37"/>
      <c r="L25" s="37"/>
      <c r="M25" s="37"/>
      <c r="N25" s="37"/>
      <c r="O25" s="37"/>
      <c r="P25" s="26" t="s">
        <v>963</v>
      </c>
      <c r="Q25" s="26" t="s">
        <v>4598</v>
      </c>
      <c r="R25" s="26" t="s">
        <v>2979</v>
      </c>
      <c r="S25" s="37"/>
      <c r="T25" s="26" t="s">
        <v>963</v>
      </c>
      <c r="U25" s="37"/>
      <c r="V25" s="37"/>
      <c r="W25" s="37"/>
      <c r="X25" s="37"/>
      <c r="Y25" s="37"/>
      <c r="Z25" s="26" t="s">
        <v>1576</v>
      </c>
      <c r="AA25" s="37"/>
      <c r="AB25" s="37"/>
      <c r="AC25" s="37"/>
      <c r="AD25" s="37"/>
      <c r="AE25" s="37"/>
      <c r="AF25" s="37"/>
      <c r="AG25" s="37"/>
    </row>
    <row r="26" ht="14.25" customHeight="1">
      <c r="A26" s="39" t="s">
        <v>719</v>
      </c>
      <c r="B26" s="39" t="s">
        <v>720</v>
      </c>
      <c r="C26" s="180" t="s">
        <v>4599</v>
      </c>
      <c r="D26" s="39"/>
      <c r="E26" s="40" t="s">
        <v>616</v>
      </c>
      <c r="F26" s="39" t="s">
        <v>215</v>
      </c>
      <c r="G26" s="39" t="s">
        <v>721</v>
      </c>
      <c r="H26" s="39" t="s">
        <v>142</v>
      </c>
      <c r="I26" s="39" t="s">
        <v>49</v>
      </c>
      <c r="J26" s="39"/>
      <c r="K26" s="37"/>
      <c r="L26" s="37"/>
      <c r="M26" s="37"/>
      <c r="N26" s="37"/>
      <c r="O26" s="37"/>
      <c r="P26" s="26" t="s">
        <v>963</v>
      </c>
      <c r="Q26" s="26" t="s">
        <v>4598</v>
      </c>
      <c r="R26" s="26" t="s">
        <v>2986</v>
      </c>
      <c r="S26" s="37"/>
      <c r="T26" s="26" t="s">
        <v>963</v>
      </c>
      <c r="U26" s="37"/>
      <c r="V26" s="37"/>
      <c r="W26" s="37"/>
      <c r="X26" s="37"/>
      <c r="Y26" s="37"/>
      <c r="Z26" s="26" t="s">
        <v>1027</v>
      </c>
      <c r="AA26" s="37"/>
      <c r="AB26" s="37"/>
      <c r="AC26" s="37"/>
      <c r="AD26" s="37"/>
      <c r="AE26" s="37"/>
      <c r="AF26" s="37"/>
      <c r="AG26" s="37"/>
    </row>
    <row r="27" ht="14.25" customHeight="1">
      <c r="A27" s="39" t="s">
        <v>823</v>
      </c>
      <c r="B27" s="39" t="s">
        <v>824</v>
      </c>
      <c r="C27" s="180" t="s">
        <v>4600</v>
      </c>
      <c r="D27" s="39">
        <v>12.0</v>
      </c>
      <c r="E27" s="40" t="s">
        <v>616</v>
      </c>
      <c r="F27" s="39" t="s">
        <v>392</v>
      </c>
      <c r="G27" s="39" t="s">
        <v>825</v>
      </c>
      <c r="H27" s="39" t="s">
        <v>685</v>
      </c>
      <c r="I27" s="39" t="s">
        <v>49</v>
      </c>
      <c r="J27" s="39"/>
      <c r="K27" s="37"/>
      <c r="L27" s="37"/>
      <c r="M27" s="37"/>
      <c r="N27" s="37"/>
      <c r="O27" s="37"/>
      <c r="P27" s="26" t="s">
        <v>963</v>
      </c>
      <c r="Q27" s="26" t="s">
        <v>4598</v>
      </c>
      <c r="R27" s="26" t="s">
        <v>2979</v>
      </c>
      <c r="S27" s="37"/>
      <c r="T27" s="26" t="s">
        <v>963</v>
      </c>
      <c r="U27" s="37"/>
      <c r="V27" s="37"/>
      <c r="W27" s="37"/>
      <c r="X27" s="37"/>
      <c r="Y27" s="37"/>
      <c r="Z27" s="26" t="s">
        <v>1027</v>
      </c>
      <c r="AA27" s="37"/>
      <c r="AB27" s="26" t="s">
        <v>4601</v>
      </c>
      <c r="AC27" s="37"/>
      <c r="AD27" s="37"/>
      <c r="AE27" s="37"/>
      <c r="AF27" s="37"/>
      <c r="AG27" s="37"/>
    </row>
    <row r="28" ht="14.25" customHeight="1">
      <c r="A28" s="39" t="s">
        <v>826</v>
      </c>
      <c r="B28" s="39" t="s">
        <v>827</v>
      </c>
      <c r="C28" s="417" t="s">
        <v>4598</v>
      </c>
      <c r="D28" s="39">
        <v>13.0</v>
      </c>
      <c r="E28" s="40" t="s">
        <v>616</v>
      </c>
      <c r="F28" s="39" t="s">
        <v>409</v>
      </c>
      <c r="G28" s="39" t="s">
        <v>828</v>
      </c>
      <c r="H28" s="39" t="s">
        <v>142</v>
      </c>
      <c r="I28" s="39" t="s">
        <v>49</v>
      </c>
      <c r="J28" s="39"/>
      <c r="K28" s="37"/>
      <c r="L28" s="37"/>
      <c r="M28" s="37"/>
      <c r="N28" s="37"/>
      <c r="O28" s="37"/>
      <c r="P28" s="26" t="s">
        <v>963</v>
      </c>
      <c r="Q28" s="26" t="s">
        <v>4598</v>
      </c>
      <c r="R28" s="26" t="s">
        <v>2986</v>
      </c>
      <c r="S28" s="37"/>
      <c r="T28" s="26" t="s">
        <v>963</v>
      </c>
      <c r="U28" s="37"/>
      <c r="V28" s="37"/>
      <c r="W28" s="37"/>
      <c r="X28" s="37"/>
      <c r="Y28" s="37"/>
      <c r="Z28" s="26" t="s">
        <v>1027</v>
      </c>
      <c r="AA28" s="37"/>
      <c r="AB28" s="26" t="s">
        <v>4602</v>
      </c>
      <c r="AC28" s="37"/>
      <c r="AD28" s="37"/>
      <c r="AE28" s="37"/>
      <c r="AF28" s="37"/>
      <c r="AG28" s="37"/>
    </row>
    <row r="29" ht="14.25" customHeight="1">
      <c r="A29" s="39" t="s">
        <v>829</v>
      </c>
      <c r="B29" s="39" t="s">
        <v>830</v>
      </c>
      <c r="C29" s="180" t="s">
        <v>4603</v>
      </c>
      <c r="D29" s="39">
        <v>13.0</v>
      </c>
      <c r="E29" s="40" t="s">
        <v>616</v>
      </c>
      <c r="F29" s="39" t="s">
        <v>242</v>
      </c>
      <c r="G29" s="39" t="s">
        <v>296</v>
      </c>
      <c r="H29" s="39" t="s">
        <v>233</v>
      </c>
      <c r="I29" s="39" t="s">
        <v>49</v>
      </c>
      <c r="J29" s="39"/>
      <c r="K29" s="26" t="s">
        <v>4604</v>
      </c>
      <c r="L29" s="26" t="s">
        <v>4605</v>
      </c>
      <c r="N29" s="26" t="s">
        <v>4606</v>
      </c>
      <c r="O29" s="26" t="s">
        <v>4607</v>
      </c>
      <c r="P29" s="26" t="s">
        <v>931</v>
      </c>
      <c r="R29" s="37"/>
      <c r="T29" s="26" t="s">
        <v>963</v>
      </c>
      <c r="V29" s="26" t="s">
        <v>4608</v>
      </c>
      <c r="X29" s="26" t="s">
        <v>4542</v>
      </c>
      <c r="Z29" s="26" t="s">
        <v>1027</v>
      </c>
      <c r="AB29" s="26" t="s">
        <v>4609</v>
      </c>
    </row>
    <row r="30" ht="14.25" customHeight="1">
      <c r="A30" s="39" t="s">
        <v>831</v>
      </c>
      <c r="B30" s="39" t="s">
        <v>832</v>
      </c>
      <c r="C30" s="181" t="s">
        <v>1824</v>
      </c>
      <c r="D30" s="39">
        <v>21.0</v>
      </c>
      <c r="E30" s="40" t="s">
        <v>616</v>
      </c>
      <c r="F30" s="39" t="s">
        <v>833</v>
      </c>
      <c r="G30" s="39" t="s">
        <v>142</v>
      </c>
      <c r="H30" s="39" t="s">
        <v>385</v>
      </c>
      <c r="I30" s="39" t="s">
        <v>49</v>
      </c>
      <c r="J30" s="39" t="s">
        <v>4610</v>
      </c>
      <c r="K30" s="26" t="s">
        <v>4611</v>
      </c>
      <c r="L30" s="26" t="s">
        <v>4612</v>
      </c>
      <c r="N30" s="26" t="s">
        <v>998</v>
      </c>
      <c r="P30" s="26" t="s">
        <v>931</v>
      </c>
      <c r="R30" s="37"/>
      <c r="T30" s="26" t="s">
        <v>931</v>
      </c>
      <c r="U30" s="26" t="s">
        <v>4613</v>
      </c>
      <c r="V30" s="26" t="s">
        <v>4614</v>
      </c>
      <c r="X30" s="26" t="s">
        <v>4542</v>
      </c>
      <c r="Z30" s="26" t="s">
        <v>1027</v>
      </c>
      <c r="AB30" s="26" t="s">
        <v>4615</v>
      </c>
    </row>
    <row r="31" ht="14.25" customHeight="1">
      <c r="A31" s="39" t="s">
        <v>834</v>
      </c>
      <c r="B31" s="39" t="s">
        <v>835</v>
      </c>
      <c r="C31" s="180" t="s">
        <v>1829</v>
      </c>
      <c r="D31" s="39"/>
      <c r="E31" s="40" t="s">
        <v>616</v>
      </c>
      <c r="F31" s="39" t="s">
        <v>708</v>
      </c>
      <c r="G31" s="39" t="s">
        <v>836</v>
      </c>
      <c r="H31" s="39" t="s">
        <v>221</v>
      </c>
      <c r="I31" s="39" t="s">
        <v>49</v>
      </c>
      <c r="J31" s="39"/>
      <c r="K31" s="26" t="s">
        <v>4604</v>
      </c>
      <c r="L31" s="26" t="s">
        <v>4616</v>
      </c>
      <c r="N31" s="26" t="s">
        <v>998</v>
      </c>
      <c r="P31" s="26" t="s">
        <v>931</v>
      </c>
      <c r="R31" s="37"/>
      <c r="T31" s="26" t="s">
        <v>963</v>
      </c>
      <c r="U31" s="26" t="s">
        <v>4617</v>
      </c>
      <c r="V31" s="26" t="s">
        <v>4618</v>
      </c>
      <c r="X31" s="26" t="s">
        <v>4542</v>
      </c>
      <c r="Z31" s="26" t="s">
        <v>1027</v>
      </c>
      <c r="AB31" s="26" t="s">
        <v>4619</v>
      </c>
    </row>
    <row r="32" ht="14.25" customHeight="1">
      <c r="A32" s="418" t="s">
        <v>921</v>
      </c>
      <c r="B32" s="418" t="s">
        <v>922</v>
      </c>
      <c r="C32" s="419" t="s">
        <v>4620</v>
      </c>
      <c r="D32" s="418">
        <v>10.0</v>
      </c>
      <c r="E32" s="420" t="s">
        <v>891</v>
      </c>
      <c r="F32" s="421" t="s">
        <v>898</v>
      </c>
      <c r="G32" s="421"/>
      <c r="H32" s="421" t="s">
        <v>923</v>
      </c>
      <c r="I32" s="422" t="s">
        <v>92</v>
      </c>
      <c r="J32" s="418"/>
      <c r="K32" s="418"/>
      <c r="L32" s="418"/>
      <c r="M32" s="423"/>
      <c r="N32" s="418" t="s">
        <v>1764</v>
      </c>
      <c r="O32" s="424"/>
      <c r="P32" s="425" t="s">
        <v>963</v>
      </c>
      <c r="Q32" s="425" t="s">
        <v>4621</v>
      </c>
      <c r="R32" s="425" t="s">
        <v>2979</v>
      </c>
      <c r="S32" s="424"/>
      <c r="T32" s="425" t="s">
        <v>963</v>
      </c>
      <c r="U32" s="424"/>
      <c r="V32" s="424"/>
      <c r="W32" s="424"/>
      <c r="X32" s="424"/>
      <c r="Y32" s="424"/>
      <c r="Z32" s="425" t="s">
        <v>4622</v>
      </c>
      <c r="AA32" s="424"/>
      <c r="AB32" s="425" t="s">
        <v>4623</v>
      </c>
      <c r="AC32" s="424"/>
      <c r="AD32" s="424"/>
      <c r="AE32" s="424"/>
      <c r="AF32" s="424"/>
      <c r="AG32" s="424"/>
    </row>
    <row r="33" ht="14.25" customHeight="1">
      <c r="A33" s="330" t="s">
        <v>924</v>
      </c>
      <c r="B33" s="330" t="s">
        <v>925</v>
      </c>
      <c r="C33" s="426" t="s">
        <v>4624</v>
      </c>
      <c r="D33" s="330">
        <v>10.0</v>
      </c>
      <c r="E33" s="427" t="s">
        <v>891</v>
      </c>
      <c r="F33" s="428" t="s">
        <v>907</v>
      </c>
      <c r="G33" s="428"/>
      <c r="H33" s="428" t="s">
        <v>127</v>
      </c>
      <c r="I33" s="429" t="s">
        <v>4625</v>
      </c>
      <c r="J33" s="330"/>
      <c r="K33" s="330" t="s">
        <v>4626</v>
      </c>
      <c r="L33" s="330" t="s">
        <v>4510</v>
      </c>
      <c r="M33" s="332"/>
      <c r="N33" s="330" t="s">
        <v>4510</v>
      </c>
      <c r="O33" s="315"/>
      <c r="P33" s="316" t="s">
        <v>4627</v>
      </c>
      <c r="Q33" s="315"/>
      <c r="R33" s="177" t="s">
        <v>2979</v>
      </c>
      <c r="S33" s="315"/>
      <c r="T33" s="316" t="s">
        <v>963</v>
      </c>
      <c r="U33" s="316" t="s">
        <v>4628</v>
      </c>
      <c r="V33" s="315"/>
      <c r="W33" s="316" t="s">
        <v>4629</v>
      </c>
      <c r="X33" s="316" t="s">
        <v>4129</v>
      </c>
      <c r="Y33" s="315"/>
      <c r="Z33" s="316" t="s">
        <v>4630</v>
      </c>
      <c r="AA33" s="315"/>
      <c r="AB33" s="316" t="s">
        <v>4631</v>
      </c>
      <c r="AC33" s="315"/>
      <c r="AD33" s="315"/>
      <c r="AE33" s="315"/>
      <c r="AF33" s="315"/>
      <c r="AG33" s="315"/>
    </row>
    <row r="34" ht="14.25" customHeight="1">
      <c r="A34" s="430" t="s">
        <v>926</v>
      </c>
      <c r="B34" s="430" t="s">
        <v>927</v>
      </c>
      <c r="C34" s="431" t="s">
        <v>4632</v>
      </c>
      <c r="D34" s="430">
        <v>6.0</v>
      </c>
      <c r="E34" s="432" t="s">
        <v>891</v>
      </c>
      <c r="F34" s="433" t="s">
        <v>917</v>
      </c>
      <c r="G34" s="433" t="s">
        <v>162</v>
      </c>
      <c r="H34" s="433" t="s">
        <v>127</v>
      </c>
      <c r="I34" s="434" t="s">
        <v>92</v>
      </c>
      <c r="J34" s="430" t="s">
        <v>4633</v>
      </c>
      <c r="K34" s="430"/>
      <c r="L34" s="430" t="s">
        <v>4634</v>
      </c>
      <c r="M34" s="435"/>
      <c r="N34" s="430" t="s">
        <v>4510</v>
      </c>
      <c r="O34" s="436"/>
      <c r="P34" s="437" t="s">
        <v>963</v>
      </c>
      <c r="Q34" s="437" t="s">
        <v>4598</v>
      </c>
      <c r="R34" s="437" t="s">
        <v>2979</v>
      </c>
      <c r="S34" s="436"/>
      <c r="T34" s="437" t="s">
        <v>963</v>
      </c>
      <c r="U34" s="436"/>
      <c r="V34" s="436"/>
      <c r="W34" s="436"/>
      <c r="X34" s="436"/>
      <c r="Y34" s="436"/>
      <c r="Z34" s="437" t="s">
        <v>1323</v>
      </c>
      <c r="AA34" s="436"/>
      <c r="AB34" s="437" t="s">
        <v>4635</v>
      </c>
      <c r="AC34" s="436"/>
      <c r="AD34" s="436"/>
      <c r="AE34" s="436"/>
      <c r="AF34" s="436"/>
      <c r="AG34" s="436"/>
    </row>
    <row r="35" ht="14.25" customHeight="1">
      <c r="A35" s="39" t="s">
        <v>913</v>
      </c>
      <c r="B35" s="39" t="s">
        <v>914</v>
      </c>
      <c r="C35" s="180" t="s">
        <v>1833</v>
      </c>
      <c r="D35" s="39">
        <v>27.0</v>
      </c>
      <c r="E35" s="40" t="s">
        <v>891</v>
      </c>
      <c r="F35" s="39" t="s">
        <v>907</v>
      </c>
      <c r="G35" s="39" t="s">
        <v>126</v>
      </c>
      <c r="H35" s="39" t="s">
        <v>523</v>
      </c>
      <c r="I35" s="39" t="s">
        <v>49</v>
      </c>
      <c r="J35" s="39" t="s">
        <v>4636</v>
      </c>
      <c r="K35" s="39" t="s">
        <v>4578</v>
      </c>
      <c r="L35" s="39" t="s">
        <v>4637</v>
      </c>
      <c r="M35" s="41"/>
      <c r="N35" s="39" t="s">
        <v>1834</v>
      </c>
      <c r="O35" s="26" t="s">
        <v>4638</v>
      </c>
      <c r="P35" s="26" t="s">
        <v>931</v>
      </c>
      <c r="R35" s="37"/>
      <c r="T35" s="26" t="s">
        <v>963</v>
      </c>
      <c r="U35" s="26" t="s">
        <v>4639</v>
      </c>
      <c r="V35" s="26" t="s">
        <v>4640</v>
      </c>
      <c r="Z35" s="26" t="s">
        <v>1260</v>
      </c>
      <c r="AB35" s="26" t="s">
        <v>4641</v>
      </c>
    </row>
    <row r="36" ht="14.25" customHeight="1">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row>
    <row r="37" ht="14.25" customHeight="1">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row>
    <row r="38" ht="14.25" customHeight="1">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row>
    <row r="39" ht="14.25" customHeight="1">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row>
    <row r="40" ht="14.25" customHeight="1">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row>
    <row r="41" ht="14.25" customHeight="1">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row>
    <row r="42" ht="14.25" customHeight="1">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row>
    <row r="43" ht="14.25" customHeight="1">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row>
    <row r="44" ht="14.25" customHeight="1">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row>
    <row r="45" ht="14.25"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row>
    <row r="46" ht="14.25"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row>
    <row r="47" ht="14.25" customHeight="1">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row>
    <row r="48" ht="14.25" customHeight="1">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row>
    <row r="49" ht="14.25" customHeight="1">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row>
    <row r="50" ht="14.25" customHeight="1">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row>
    <row r="51" ht="14.25" customHeight="1">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row>
    <row r="52" ht="14.25" customHeight="1">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row>
    <row r="53" ht="14.25" customHeight="1">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row>
    <row r="54" ht="14.25" customHeight="1">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row>
    <row r="55" ht="14.25" customHeight="1">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row>
    <row r="56" ht="14.25" customHeight="1">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row>
    <row r="57" ht="14.25"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row>
    <row r="58" ht="14.25" customHeight="1">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row>
    <row r="59" ht="14.25" customHeight="1">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row>
    <row r="60" ht="14.25" customHeight="1">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row>
    <row r="61" ht="14.25" customHeight="1">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row>
    <row r="62" ht="14.25" customHeight="1">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row>
    <row r="63" ht="14.25" customHeight="1">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row>
    <row r="64" ht="14.25" customHeight="1">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row>
    <row r="65" ht="14.25" customHeight="1">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row>
    <row r="66" ht="14.25" customHeight="1">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row>
    <row r="67" ht="14.25" customHeight="1">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row>
    <row r="68" ht="14.25" customHeight="1">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row>
    <row r="69" ht="14.25"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row>
    <row r="70" ht="14.25" customHeight="1">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row>
    <row r="71" ht="14.25" customHeight="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row>
    <row r="72" ht="14.25" customHeight="1">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row>
    <row r="73" ht="14.25" customHeight="1">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row>
    <row r="74" ht="14.25" customHeight="1">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row>
    <row r="75" ht="14.25" customHeight="1">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row>
    <row r="76" ht="14.25" customHeight="1">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row>
    <row r="77" ht="14.25" customHeight="1">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row>
    <row r="78" ht="14.25" customHeight="1">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row>
    <row r="79" ht="14.25" customHeight="1">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row>
    <row r="80" ht="14.25"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row>
    <row r="81" ht="14.25" customHeight="1">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row>
    <row r="82" ht="14.25" customHeight="1">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row>
    <row r="83" ht="14.25" customHeight="1">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row>
    <row r="84" ht="14.25" customHeight="1">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row>
    <row r="85" ht="14.25" customHeight="1">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row>
    <row r="86" ht="14.25" customHeight="1">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row>
    <row r="87" ht="14.25" customHeight="1">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row>
    <row r="88" ht="14.25" customHeight="1">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row>
    <row r="89" ht="14.25" customHeight="1">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row>
    <row r="90" ht="14.25" customHeight="1">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row>
    <row r="91" ht="14.25"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row>
    <row r="92" ht="14.25" customHeight="1">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row>
    <row r="93" ht="14.25" customHeight="1">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row>
    <row r="94" ht="14.25" customHeight="1">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row>
    <row r="95" ht="14.25" customHeight="1">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row>
    <row r="96" ht="14.25" customHeight="1">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row>
    <row r="97" ht="14.25" customHeight="1">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row>
    <row r="98" ht="14.25" customHeight="1">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row>
    <row r="99" ht="14.25" customHeight="1">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row>
    <row r="100" ht="14.25" customHeight="1">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row>
    <row r="101" ht="14.25" customHeight="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row>
    <row r="102" ht="14.25"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row>
    <row r="103" ht="14.25" customHeight="1">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row>
    <row r="104" ht="14.25" customHeight="1">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row>
    <row r="105" ht="14.25" customHeight="1">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row>
    <row r="106" ht="14.25" customHeight="1">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row>
    <row r="107" ht="14.25" customHeight="1">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row>
    <row r="108" ht="14.25" customHeight="1">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row>
    <row r="109" ht="14.25" customHeight="1">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row>
    <row r="110" ht="14.25" customHeight="1">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row>
    <row r="111" ht="14.25" customHeight="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row>
    <row r="112" ht="14.25" customHeight="1">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row>
    <row r="113" ht="14.25" customHeigh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row>
    <row r="114" ht="14.25" customHeigh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row>
    <row r="115" ht="14.25" customHeigh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row>
    <row r="116" ht="14.25" customHeigh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row>
    <row r="117" ht="14.25" customHeigh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row>
    <row r="118" ht="14.25" customHeight="1">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row>
    <row r="119" ht="14.25" customHeight="1">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row>
    <row r="120" ht="14.25" customHeight="1">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row>
    <row r="121" ht="14.25" customHeight="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row>
    <row r="122" ht="14.25" customHeight="1">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row>
    <row r="123" ht="14.25" customHeight="1">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row>
    <row r="124" ht="14.25" customHeight="1">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row>
    <row r="125" ht="14.25" customHeight="1">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row>
    <row r="126" ht="14.25" customHeight="1">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row>
    <row r="127" ht="14.25" customHeight="1">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row>
    <row r="128" ht="14.25" customHeight="1">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row>
    <row r="129" ht="14.25" customHeight="1">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row>
    <row r="130" ht="14.25" customHeight="1">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row>
    <row r="131" ht="14.25" customHeight="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row>
    <row r="132" ht="14.25" customHeight="1">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row>
    <row r="133" ht="14.25" customHeight="1">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row>
    <row r="134" ht="14.25" customHeight="1">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row>
    <row r="135" ht="14.25" customHeight="1">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row>
    <row r="136" ht="14.25" customHeight="1">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row>
    <row r="137" ht="14.25" customHeight="1">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row>
    <row r="138" ht="14.25" customHeight="1">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row>
    <row r="139" ht="14.25" customHeight="1">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row>
    <row r="140" ht="14.25" customHeigh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row>
    <row r="141" ht="14.25" customHeight="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row>
    <row r="142" ht="14.25" customHeight="1">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row>
    <row r="143" ht="14.25" customHeight="1">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row>
    <row r="144" ht="14.25" customHeight="1">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row>
    <row r="145" ht="14.25" customHeight="1">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row>
    <row r="146" ht="14.25" customHeight="1">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row>
    <row r="147" ht="14.25" customHeight="1">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row>
    <row r="148" ht="14.25" customHeight="1">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row>
    <row r="149" ht="14.25" customHeight="1">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row>
    <row r="150" ht="14.25" customHeight="1">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row>
    <row r="151" ht="14.25"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row>
    <row r="152" ht="14.25" customHeight="1">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row>
    <row r="153" ht="14.25" customHeight="1">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row>
    <row r="154" ht="14.25" customHeight="1">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row>
    <row r="155" ht="14.25" customHeight="1">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row>
    <row r="156" ht="14.25" customHeight="1">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row>
    <row r="157" ht="14.25" customHeight="1">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row>
    <row r="158" ht="14.25" customHeight="1">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row>
    <row r="159" ht="14.25" customHeight="1">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row>
    <row r="160" ht="14.25" customHeight="1">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row>
    <row r="161" ht="14.25" customHeight="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row>
    <row r="162" ht="14.25" customHeight="1">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row>
    <row r="163" ht="14.25" customHeight="1">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row>
    <row r="164" ht="14.25" customHeight="1">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row>
    <row r="165" ht="14.25" customHeight="1">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row>
    <row r="166" ht="14.25" customHeight="1">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row>
    <row r="167" ht="14.25" customHeight="1">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row>
    <row r="168" ht="14.25" customHeight="1">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row>
    <row r="169" ht="14.25" customHeight="1">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row>
    <row r="170" ht="14.25" customHeight="1">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row>
    <row r="171" ht="14.25" customHeight="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row>
    <row r="172" ht="14.25" customHeight="1">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row>
    <row r="173" ht="14.25" customHeight="1">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row>
    <row r="174" ht="14.25" customHeight="1">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row>
    <row r="175" ht="14.25" customHeight="1">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row>
    <row r="176" ht="14.25" customHeight="1">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row>
    <row r="177" ht="14.25" customHeight="1">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row>
    <row r="178" ht="14.25" customHeigh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row>
    <row r="179" ht="14.25" customHeight="1">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row>
    <row r="180" ht="14.25" customHeight="1">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row>
    <row r="181" ht="14.25" customHeight="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row>
    <row r="182" ht="14.25" customHeight="1">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row>
    <row r="183" ht="14.25" customHeight="1">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row>
    <row r="184" ht="14.25" customHeight="1">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row>
    <row r="185" ht="14.25" customHeight="1">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row>
    <row r="186" ht="14.25" customHeight="1">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row>
    <row r="187" ht="14.25" customHeight="1">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row>
    <row r="188" ht="14.25" customHeight="1">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row>
    <row r="189" ht="14.25"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row>
    <row r="190" ht="14.25" customHeight="1">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row>
    <row r="191" ht="14.25" customHeight="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row>
    <row r="192" ht="14.25" customHeight="1">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row>
    <row r="193" ht="14.25" customHeight="1">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row>
    <row r="194" ht="14.25" customHeight="1">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row>
    <row r="195" ht="14.25" customHeight="1">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row>
    <row r="196" ht="14.25" customHeight="1">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row>
    <row r="197" ht="14.25" customHeight="1">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row>
    <row r="198" ht="14.25" customHeight="1">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row>
    <row r="199" ht="14.25" customHeight="1">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row>
    <row r="200" ht="14.25"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row>
    <row r="201" ht="14.25" customHeight="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row>
    <row r="202" ht="14.25" customHeight="1">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row>
    <row r="203" ht="14.25" customHeight="1">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row>
    <row r="204" ht="14.25" customHeight="1">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row>
    <row r="205" ht="14.25" customHeight="1">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row>
    <row r="206" ht="14.25" customHeight="1">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row>
    <row r="207" ht="14.25" customHeight="1">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row>
    <row r="208" ht="14.25" customHeight="1">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row>
    <row r="209" ht="14.25" customHeight="1">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row>
    <row r="210" ht="14.25" customHeight="1">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row>
    <row r="211" ht="14.25" customHeight="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row>
    <row r="212" ht="14.25" customHeight="1">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row>
    <row r="213" ht="14.25" customHeight="1">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row>
    <row r="214" ht="14.25" customHeight="1">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row>
    <row r="215" ht="14.25" customHeight="1">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row>
    <row r="216" ht="14.25" customHeight="1">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row>
    <row r="217" ht="14.25" customHeight="1">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row>
    <row r="218" ht="14.25" customHeight="1">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row>
    <row r="219" ht="14.25" customHeight="1">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row>
    <row r="220" ht="14.25" customHeight="1">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row>
    <row r="221" ht="14.25" customHeight="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row>
    <row r="222" ht="14.25" customHeight="1">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row>
    <row r="223" ht="14.25" customHeight="1">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c r="AA223" s="37"/>
      <c r="AB223" s="37"/>
      <c r="AC223" s="37"/>
      <c r="AD223" s="37"/>
      <c r="AE223" s="37"/>
      <c r="AF223" s="37"/>
      <c r="AG223" s="37"/>
    </row>
    <row r="224" ht="14.25" customHeight="1">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c r="AA224" s="37"/>
      <c r="AB224" s="37"/>
      <c r="AC224" s="37"/>
      <c r="AD224" s="37"/>
      <c r="AE224" s="37"/>
      <c r="AF224" s="37"/>
      <c r="AG224" s="37"/>
    </row>
    <row r="225" ht="14.25" customHeight="1">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c r="AA225" s="37"/>
      <c r="AB225" s="37"/>
      <c r="AC225" s="37"/>
      <c r="AD225" s="37"/>
      <c r="AE225" s="37"/>
      <c r="AF225" s="37"/>
      <c r="AG225" s="37"/>
    </row>
    <row r="226" ht="14.25" customHeight="1">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c r="AA226" s="37"/>
      <c r="AB226" s="37"/>
      <c r="AC226" s="37"/>
      <c r="AD226" s="37"/>
      <c r="AE226" s="37"/>
      <c r="AF226" s="37"/>
      <c r="AG226" s="37"/>
    </row>
    <row r="227" ht="14.25" customHeight="1">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c r="AA227" s="37"/>
      <c r="AB227" s="37"/>
      <c r="AC227" s="37"/>
      <c r="AD227" s="37"/>
      <c r="AE227" s="37"/>
      <c r="AF227" s="37"/>
      <c r="AG227" s="37"/>
    </row>
    <row r="228" ht="14.25" customHeight="1">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c r="AA228" s="37"/>
      <c r="AB228" s="37"/>
      <c r="AC228" s="37"/>
      <c r="AD228" s="37"/>
      <c r="AE228" s="37"/>
      <c r="AF228" s="37"/>
      <c r="AG228" s="37"/>
    </row>
    <row r="229" ht="14.25" customHeight="1">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c r="AA229" s="37"/>
      <c r="AB229" s="37"/>
      <c r="AC229" s="37"/>
      <c r="AD229" s="37"/>
      <c r="AE229" s="37"/>
      <c r="AF229" s="37"/>
      <c r="AG229" s="37"/>
    </row>
    <row r="230" ht="14.25" customHeight="1">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c r="AA230" s="37"/>
      <c r="AB230" s="37"/>
      <c r="AC230" s="37"/>
      <c r="AD230" s="37"/>
      <c r="AE230" s="37"/>
      <c r="AF230" s="37"/>
      <c r="AG230" s="37"/>
    </row>
    <row r="231" ht="14.25" customHeight="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c r="AA231" s="37"/>
      <c r="AB231" s="37"/>
      <c r="AC231" s="37"/>
      <c r="AD231" s="37"/>
      <c r="AE231" s="37"/>
      <c r="AF231" s="37"/>
      <c r="AG231" s="37"/>
    </row>
    <row r="232" ht="14.25" customHeight="1">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c r="AA232" s="37"/>
      <c r="AB232" s="37"/>
      <c r="AC232" s="37"/>
      <c r="AD232" s="37"/>
      <c r="AE232" s="37"/>
      <c r="AF232" s="37"/>
      <c r="AG232" s="37"/>
    </row>
    <row r="233" ht="14.25" customHeight="1">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c r="AA233" s="37"/>
      <c r="AB233" s="37"/>
      <c r="AC233" s="37"/>
      <c r="AD233" s="37"/>
      <c r="AE233" s="37"/>
      <c r="AF233" s="37"/>
      <c r="AG233" s="37"/>
    </row>
    <row r="234" ht="14.25" customHeight="1">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c r="AA234" s="37"/>
      <c r="AB234" s="37"/>
      <c r="AC234" s="37"/>
      <c r="AD234" s="37"/>
      <c r="AE234" s="37"/>
      <c r="AF234" s="37"/>
      <c r="AG234" s="37"/>
    </row>
    <row r="235" ht="14.25" customHeight="1">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c r="AA235" s="37"/>
      <c r="AB235" s="37"/>
      <c r="AC235" s="37"/>
      <c r="AD235" s="37"/>
      <c r="AE235" s="37"/>
      <c r="AF235" s="37"/>
      <c r="AG235" s="37"/>
    </row>
    <row r="236" ht="14.25" customHeight="1">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c r="AA236" s="37"/>
      <c r="AB236" s="37"/>
      <c r="AC236" s="37"/>
      <c r="AD236" s="37"/>
      <c r="AE236" s="37"/>
      <c r="AF236" s="37"/>
      <c r="AG236" s="37"/>
    </row>
    <row r="237" ht="14.25" customHeight="1">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c r="AA237" s="37"/>
      <c r="AB237" s="37"/>
      <c r="AC237" s="37"/>
      <c r="AD237" s="37"/>
      <c r="AE237" s="37"/>
      <c r="AF237" s="37"/>
      <c r="AG237" s="37"/>
    </row>
    <row r="238" ht="14.25" customHeight="1">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c r="AA238" s="37"/>
      <c r="AB238" s="37"/>
      <c r="AC238" s="37"/>
      <c r="AD238" s="37"/>
      <c r="AE238" s="37"/>
      <c r="AF238" s="37"/>
      <c r="AG238" s="37"/>
    </row>
    <row r="239" ht="14.25" customHeight="1">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c r="AA239" s="37"/>
      <c r="AB239" s="37"/>
      <c r="AC239" s="37"/>
      <c r="AD239" s="37"/>
      <c r="AE239" s="37"/>
      <c r="AF239" s="37"/>
      <c r="AG239" s="37"/>
    </row>
    <row r="240" ht="14.25" customHeight="1">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37"/>
    </row>
    <row r="241" ht="14.25" customHeight="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c r="AA241" s="37"/>
      <c r="AB241" s="37"/>
      <c r="AC241" s="37"/>
      <c r="AD241" s="37"/>
      <c r="AE241" s="37"/>
      <c r="AF241" s="37"/>
      <c r="AG241" s="37"/>
    </row>
    <row r="242" ht="14.25" customHeight="1">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c r="AA242" s="37"/>
      <c r="AB242" s="37"/>
      <c r="AC242" s="37"/>
      <c r="AD242" s="37"/>
      <c r="AE242" s="37"/>
      <c r="AF242" s="37"/>
      <c r="AG242" s="37"/>
    </row>
    <row r="243" ht="14.25" customHeight="1">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c r="AA243" s="37"/>
      <c r="AB243" s="37"/>
      <c r="AC243" s="37"/>
      <c r="AD243" s="37"/>
      <c r="AE243" s="37"/>
      <c r="AF243" s="37"/>
      <c r="AG243" s="37"/>
    </row>
    <row r="244" ht="14.25" customHeight="1">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c r="AA244" s="37"/>
      <c r="AB244" s="37"/>
      <c r="AC244" s="37"/>
      <c r="AD244" s="37"/>
      <c r="AE244" s="37"/>
      <c r="AF244" s="37"/>
      <c r="AG244" s="37"/>
    </row>
    <row r="245" ht="14.25" customHeight="1">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c r="AA245" s="37"/>
      <c r="AB245" s="37"/>
      <c r="AC245" s="37"/>
      <c r="AD245" s="37"/>
      <c r="AE245" s="37"/>
      <c r="AF245" s="37"/>
      <c r="AG245" s="37"/>
    </row>
    <row r="246" ht="14.25" customHeight="1">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c r="AA246" s="37"/>
      <c r="AB246" s="37"/>
      <c r="AC246" s="37"/>
      <c r="AD246" s="37"/>
      <c r="AE246" s="37"/>
      <c r="AF246" s="37"/>
      <c r="AG246" s="37"/>
    </row>
    <row r="247" ht="14.25" customHeight="1">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c r="AA247" s="37"/>
      <c r="AB247" s="37"/>
      <c r="AC247" s="37"/>
      <c r="AD247" s="37"/>
      <c r="AE247" s="37"/>
      <c r="AF247" s="37"/>
      <c r="AG247" s="37"/>
    </row>
    <row r="248" ht="14.25" customHeight="1">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c r="AA248" s="37"/>
      <c r="AB248" s="37"/>
      <c r="AC248" s="37"/>
      <c r="AD248" s="37"/>
      <c r="AE248" s="37"/>
      <c r="AF248" s="37"/>
      <c r="AG248" s="37"/>
    </row>
    <row r="249" ht="14.25" customHeight="1">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c r="AA249" s="37"/>
      <c r="AB249" s="37"/>
      <c r="AC249" s="37"/>
      <c r="AD249" s="37"/>
      <c r="AE249" s="37"/>
      <c r="AF249" s="37"/>
      <c r="AG249" s="37"/>
    </row>
    <row r="250" ht="14.25" customHeight="1">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c r="AA250" s="37"/>
      <c r="AB250" s="37"/>
      <c r="AC250" s="37"/>
      <c r="AD250" s="37"/>
      <c r="AE250" s="37"/>
      <c r="AF250" s="37"/>
      <c r="AG250" s="37"/>
    </row>
    <row r="251" ht="14.25" customHeight="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c r="AA251" s="37"/>
      <c r="AB251" s="37"/>
      <c r="AC251" s="37"/>
      <c r="AD251" s="37"/>
      <c r="AE251" s="37"/>
      <c r="AF251" s="37"/>
      <c r="AG251" s="37"/>
    </row>
    <row r="252" ht="14.25" customHeight="1">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c r="AA252" s="37"/>
      <c r="AB252" s="37"/>
      <c r="AC252" s="37"/>
      <c r="AD252" s="37"/>
      <c r="AE252" s="37"/>
      <c r="AF252" s="37"/>
      <c r="AG252" s="37"/>
    </row>
    <row r="253" ht="14.25" customHeight="1">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c r="AA253" s="37"/>
      <c r="AB253" s="37"/>
      <c r="AC253" s="37"/>
      <c r="AD253" s="37"/>
      <c r="AE253" s="37"/>
      <c r="AF253" s="37"/>
      <c r="AG253" s="37"/>
    </row>
    <row r="254" ht="14.25" customHeight="1">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c r="AA254" s="37"/>
      <c r="AB254" s="37"/>
      <c r="AC254" s="37"/>
      <c r="AD254" s="37"/>
      <c r="AE254" s="37"/>
      <c r="AF254" s="37"/>
      <c r="AG254" s="37"/>
    </row>
    <row r="255" ht="14.25" customHeight="1">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c r="AA255" s="37"/>
      <c r="AB255" s="37"/>
      <c r="AC255" s="37"/>
      <c r="AD255" s="37"/>
      <c r="AE255" s="37"/>
      <c r="AF255" s="37"/>
      <c r="AG255" s="37"/>
    </row>
    <row r="256" ht="14.25" customHeight="1">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c r="AA256" s="37"/>
      <c r="AB256" s="37"/>
      <c r="AC256" s="37"/>
      <c r="AD256" s="37"/>
      <c r="AE256" s="37"/>
      <c r="AF256" s="37"/>
      <c r="AG256" s="37"/>
    </row>
    <row r="257" ht="14.25" customHeight="1">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c r="AA257" s="37"/>
      <c r="AB257" s="37"/>
      <c r="AC257" s="37"/>
      <c r="AD257" s="37"/>
      <c r="AE257" s="37"/>
      <c r="AF257" s="37"/>
      <c r="AG257" s="37"/>
    </row>
    <row r="258" ht="14.25" customHeight="1">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c r="AA258" s="37"/>
      <c r="AB258" s="37"/>
      <c r="AC258" s="37"/>
      <c r="AD258" s="37"/>
      <c r="AE258" s="37"/>
      <c r="AF258" s="37"/>
      <c r="AG258" s="37"/>
    </row>
    <row r="259" ht="14.25" customHeight="1">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c r="AA259" s="37"/>
      <c r="AB259" s="37"/>
      <c r="AC259" s="37"/>
      <c r="AD259" s="37"/>
      <c r="AE259" s="37"/>
      <c r="AF259" s="37"/>
      <c r="AG259" s="37"/>
    </row>
    <row r="260" ht="14.25" customHeight="1">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c r="AA260" s="37"/>
      <c r="AB260" s="37"/>
      <c r="AC260" s="37"/>
      <c r="AD260" s="37"/>
      <c r="AE260" s="37"/>
      <c r="AF260" s="37"/>
      <c r="AG260" s="37"/>
    </row>
    <row r="261" ht="14.25" customHeight="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c r="AA261" s="37"/>
      <c r="AB261" s="37"/>
      <c r="AC261" s="37"/>
      <c r="AD261" s="37"/>
      <c r="AE261" s="37"/>
      <c r="AF261" s="37"/>
      <c r="AG261" s="37"/>
    </row>
    <row r="262" ht="14.25" customHeight="1">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c r="AA262" s="37"/>
      <c r="AB262" s="37"/>
      <c r="AC262" s="37"/>
      <c r="AD262" s="37"/>
      <c r="AE262" s="37"/>
      <c r="AF262" s="37"/>
      <c r="AG262" s="37"/>
    </row>
    <row r="263" ht="14.25" customHeight="1">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c r="AA263" s="37"/>
      <c r="AB263" s="37"/>
      <c r="AC263" s="37"/>
      <c r="AD263" s="37"/>
      <c r="AE263" s="37"/>
      <c r="AF263" s="37"/>
      <c r="AG263" s="37"/>
    </row>
    <row r="264" ht="14.25" customHeight="1">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c r="AA264" s="37"/>
      <c r="AB264" s="37"/>
      <c r="AC264" s="37"/>
      <c r="AD264" s="37"/>
      <c r="AE264" s="37"/>
      <c r="AF264" s="37"/>
      <c r="AG264" s="37"/>
    </row>
    <row r="265" ht="14.25" customHeight="1">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c r="AA265" s="37"/>
      <c r="AB265" s="37"/>
      <c r="AC265" s="37"/>
      <c r="AD265" s="37"/>
      <c r="AE265" s="37"/>
      <c r="AF265" s="37"/>
      <c r="AG265" s="37"/>
    </row>
    <row r="266" ht="14.25" customHeight="1">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c r="AA266" s="37"/>
      <c r="AB266" s="37"/>
      <c r="AC266" s="37"/>
      <c r="AD266" s="37"/>
      <c r="AE266" s="37"/>
      <c r="AF266" s="37"/>
      <c r="AG266" s="37"/>
    </row>
    <row r="267" ht="14.25" customHeight="1">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c r="AA267" s="37"/>
      <c r="AB267" s="37"/>
      <c r="AC267" s="37"/>
      <c r="AD267" s="37"/>
      <c r="AE267" s="37"/>
      <c r="AF267" s="37"/>
      <c r="AG267" s="37"/>
    </row>
    <row r="268" ht="14.25" customHeight="1">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c r="AA268" s="37"/>
      <c r="AB268" s="37"/>
      <c r="AC268" s="37"/>
      <c r="AD268" s="37"/>
      <c r="AE268" s="37"/>
      <c r="AF268" s="37"/>
      <c r="AG268" s="37"/>
    </row>
    <row r="269" ht="14.25" customHeight="1">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c r="AA269" s="37"/>
      <c r="AB269" s="37"/>
      <c r="AC269" s="37"/>
      <c r="AD269" s="37"/>
      <c r="AE269" s="37"/>
      <c r="AF269" s="37"/>
      <c r="AG269" s="37"/>
    </row>
    <row r="270" ht="14.25" customHeight="1">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c r="AA270" s="37"/>
      <c r="AB270" s="37"/>
      <c r="AC270" s="37"/>
      <c r="AD270" s="37"/>
      <c r="AE270" s="37"/>
      <c r="AF270" s="37"/>
      <c r="AG270" s="37"/>
    </row>
    <row r="271" ht="14.25" customHeight="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c r="AA271" s="37"/>
      <c r="AB271" s="37"/>
      <c r="AC271" s="37"/>
      <c r="AD271" s="37"/>
      <c r="AE271" s="37"/>
      <c r="AF271" s="37"/>
      <c r="AG271" s="37"/>
    </row>
    <row r="272" ht="14.25" customHeight="1">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c r="AA272" s="37"/>
      <c r="AB272" s="37"/>
      <c r="AC272" s="37"/>
      <c r="AD272" s="37"/>
      <c r="AE272" s="37"/>
      <c r="AF272" s="37"/>
      <c r="AG272" s="37"/>
    </row>
    <row r="273" ht="14.25" customHeight="1">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c r="AA273" s="37"/>
      <c r="AB273" s="37"/>
      <c r="AC273" s="37"/>
      <c r="AD273" s="37"/>
      <c r="AE273" s="37"/>
      <c r="AF273" s="37"/>
      <c r="AG273" s="37"/>
    </row>
    <row r="274" ht="14.25" customHeight="1">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c r="AA274" s="37"/>
      <c r="AB274" s="37"/>
      <c r="AC274" s="37"/>
      <c r="AD274" s="37"/>
      <c r="AE274" s="37"/>
      <c r="AF274" s="37"/>
      <c r="AG274" s="37"/>
    </row>
    <row r="275" ht="14.25" customHeight="1">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c r="AA275" s="37"/>
      <c r="AB275" s="37"/>
      <c r="AC275" s="37"/>
      <c r="AD275" s="37"/>
      <c r="AE275" s="37"/>
      <c r="AF275" s="37"/>
      <c r="AG275" s="37"/>
    </row>
    <row r="276" ht="14.25" customHeight="1">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c r="AA276" s="37"/>
      <c r="AB276" s="37"/>
      <c r="AC276" s="37"/>
      <c r="AD276" s="37"/>
      <c r="AE276" s="37"/>
      <c r="AF276" s="37"/>
      <c r="AG276" s="37"/>
    </row>
    <row r="277" ht="14.25" customHeight="1">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c r="AA277" s="37"/>
      <c r="AB277" s="37"/>
      <c r="AC277" s="37"/>
      <c r="AD277" s="37"/>
      <c r="AE277" s="37"/>
      <c r="AF277" s="37"/>
      <c r="AG277" s="37"/>
    </row>
    <row r="278" ht="14.25" customHeight="1">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c r="AA278" s="37"/>
      <c r="AB278" s="37"/>
      <c r="AC278" s="37"/>
      <c r="AD278" s="37"/>
      <c r="AE278" s="37"/>
      <c r="AF278" s="37"/>
      <c r="AG278" s="37"/>
    </row>
    <row r="279" ht="14.25" customHeight="1">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c r="AA279" s="37"/>
      <c r="AB279" s="37"/>
      <c r="AC279" s="37"/>
      <c r="AD279" s="37"/>
      <c r="AE279" s="37"/>
      <c r="AF279" s="37"/>
      <c r="AG279" s="37"/>
    </row>
    <row r="280" ht="14.25" customHeight="1">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c r="AA280" s="37"/>
      <c r="AB280" s="37"/>
      <c r="AC280" s="37"/>
      <c r="AD280" s="37"/>
      <c r="AE280" s="37"/>
      <c r="AF280" s="37"/>
      <c r="AG280" s="37"/>
    </row>
    <row r="281" ht="14.25" customHeight="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c r="AA281" s="37"/>
      <c r="AB281" s="37"/>
      <c r="AC281" s="37"/>
      <c r="AD281" s="37"/>
      <c r="AE281" s="37"/>
      <c r="AF281" s="37"/>
      <c r="AG281" s="37"/>
    </row>
    <row r="282" ht="14.25" customHeight="1">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c r="AA282" s="37"/>
      <c r="AB282" s="37"/>
      <c r="AC282" s="37"/>
      <c r="AD282" s="37"/>
      <c r="AE282" s="37"/>
      <c r="AF282" s="37"/>
      <c r="AG282" s="37"/>
    </row>
    <row r="283" ht="14.25" customHeight="1">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c r="AA283" s="37"/>
      <c r="AB283" s="37"/>
      <c r="AC283" s="37"/>
      <c r="AD283" s="37"/>
      <c r="AE283" s="37"/>
      <c r="AF283" s="37"/>
      <c r="AG283" s="37"/>
    </row>
    <row r="284" ht="14.25" customHeight="1">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c r="AA284" s="37"/>
      <c r="AB284" s="37"/>
      <c r="AC284" s="37"/>
      <c r="AD284" s="37"/>
      <c r="AE284" s="37"/>
      <c r="AF284" s="37"/>
      <c r="AG284" s="37"/>
    </row>
    <row r="285" ht="14.25" customHeight="1">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c r="AA285" s="37"/>
      <c r="AB285" s="37"/>
      <c r="AC285" s="37"/>
      <c r="AD285" s="37"/>
      <c r="AE285" s="37"/>
      <c r="AF285" s="37"/>
      <c r="AG285" s="37"/>
    </row>
    <row r="286" ht="14.25" customHeight="1">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c r="AA286" s="37"/>
      <c r="AB286" s="37"/>
      <c r="AC286" s="37"/>
      <c r="AD286" s="37"/>
      <c r="AE286" s="37"/>
      <c r="AF286" s="37"/>
      <c r="AG286" s="37"/>
    </row>
    <row r="287" ht="14.25" customHeight="1">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c r="AA287" s="37"/>
      <c r="AB287" s="37"/>
      <c r="AC287" s="37"/>
      <c r="AD287" s="37"/>
      <c r="AE287" s="37"/>
      <c r="AF287" s="37"/>
      <c r="AG287" s="37"/>
    </row>
    <row r="288" ht="14.25" customHeight="1">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37"/>
    </row>
    <row r="289" ht="14.25" customHeight="1">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c r="AA289" s="37"/>
      <c r="AB289" s="37"/>
      <c r="AC289" s="37"/>
      <c r="AD289" s="37"/>
      <c r="AE289" s="37"/>
      <c r="AF289" s="37"/>
      <c r="AG289" s="37"/>
    </row>
    <row r="290" ht="14.25" customHeight="1">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c r="AA290" s="37"/>
      <c r="AB290" s="37"/>
      <c r="AC290" s="37"/>
      <c r="AD290" s="37"/>
      <c r="AE290" s="37"/>
      <c r="AF290" s="37"/>
      <c r="AG290" s="37"/>
    </row>
    <row r="291" ht="14.25" customHeight="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c r="AA291" s="37"/>
      <c r="AB291" s="37"/>
      <c r="AC291" s="37"/>
      <c r="AD291" s="37"/>
      <c r="AE291" s="37"/>
      <c r="AF291" s="37"/>
      <c r="AG291" s="37"/>
    </row>
    <row r="292" ht="14.25" customHeight="1">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c r="AA292" s="37"/>
      <c r="AB292" s="37"/>
      <c r="AC292" s="37"/>
      <c r="AD292" s="37"/>
      <c r="AE292" s="37"/>
      <c r="AF292" s="37"/>
      <c r="AG292" s="37"/>
    </row>
    <row r="293" ht="14.25" customHeight="1">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c r="AA293" s="37"/>
      <c r="AB293" s="37"/>
      <c r="AC293" s="37"/>
      <c r="AD293" s="37"/>
      <c r="AE293" s="37"/>
      <c r="AF293" s="37"/>
      <c r="AG293" s="37"/>
    </row>
    <row r="294" ht="14.25" customHeight="1">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c r="AA294" s="37"/>
      <c r="AB294" s="37"/>
      <c r="AC294" s="37"/>
      <c r="AD294" s="37"/>
      <c r="AE294" s="37"/>
      <c r="AF294" s="37"/>
      <c r="AG294" s="37"/>
    </row>
    <row r="295" ht="14.25" customHeight="1">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c r="AA295" s="37"/>
      <c r="AB295" s="37"/>
      <c r="AC295" s="37"/>
      <c r="AD295" s="37"/>
      <c r="AE295" s="37"/>
      <c r="AF295" s="37"/>
      <c r="AG295" s="37"/>
    </row>
    <row r="296" ht="14.25" customHeight="1">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c r="AA296" s="37"/>
      <c r="AB296" s="37"/>
      <c r="AC296" s="37"/>
      <c r="AD296" s="37"/>
      <c r="AE296" s="37"/>
      <c r="AF296" s="37"/>
      <c r="AG296" s="37"/>
    </row>
    <row r="297" ht="14.25" customHeight="1">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c r="AA297" s="37"/>
      <c r="AB297" s="37"/>
      <c r="AC297" s="37"/>
      <c r="AD297" s="37"/>
      <c r="AE297" s="37"/>
      <c r="AF297" s="37"/>
      <c r="AG297" s="37"/>
    </row>
    <row r="298" ht="14.25" customHeight="1">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c r="AA298" s="37"/>
      <c r="AB298" s="37"/>
      <c r="AC298" s="37"/>
      <c r="AD298" s="37"/>
      <c r="AE298" s="37"/>
      <c r="AF298" s="37"/>
      <c r="AG298" s="37"/>
    </row>
    <row r="299" ht="14.25" customHeight="1">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row>
    <row r="300" ht="14.25" customHeight="1">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c r="AA300" s="37"/>
      <c r="AB300" s="37"/>
      <c r="AC300" s="37"/>
      <c r="AD300" s="37"/>
      <c r="AE300" s="37"/>
      <c r="AF300" s="37"/>
      <c r="AG300" s="37"/>
    </row>
    <row r="301" ht="14.25" customHeight="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c r="AA301" s="37"/>
      <c r="AB301" s="37"/>
      <c r="AC301" s="37"/>
      <c r="AD301" s="37"/>
      <c r="AE301" s="37"/>
      <c r="AF301" s="37"/>
      <c r="AG301" s="37"/>
    </row>
    <row r="302" ht="14.25" customHeight="1">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37"/>
    </row>
    <row r="303" ht="14.25" customHeight="1">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c r="AA303" s="37"/>
      <c r="AB303" s="37"/>
      <c r="AC303" s="37"/>
      <c r="AD303" s="37"/>
      <c r="AE303" s="37"/>
      <c r="AF303" s="37"/>
      <c r="AG303" s="37"/>
    </row>
    <row r="304" ht="14.25" customHeight="1">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c r="AA304" s="37"/>
      <c r="AB304" s="37"/>
      <c r="AC304" s="37"/>
      <c r="AD304" s="37"/>
      <c r="AE304" s="37"/>
      <c r="AF304" s="37"/>
      <c r="AG304" s="37"/>
    </row>
    <row r="305" ht="14.25" customHeight="1">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c r="AA305" s="37"/>
      <c r="AB305" s="37"/>
      <c r="AC305" s="37"/>
      <c r="AD305" s="37"/>
      <c r="AE305" s="37"/>
      <c r="AF305" s="37"/>
      <c r="AG305" s="37"/>
    </row>
    <row r="306" ht="14.25" customHeight="1">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c r="AA306" s="37"/>
      <c r="AB306" s="37"/>
      <c r="AC306" s="37"/>
      <c r="AD306" s="37"/>
      <c r="AE306" s="37"/>
      <c r="AF306" s="37"/>
      <c r="AG306" s="37"/>
    </row>
    <row r="307" ht="14.25" customHeight="1">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c r="AA307" s="37"/>
      <c r="AB307" s="37"/>
      <c r="AC307" s="37"/>
      <c r="AD307" s="37"/>
      <c r="AE307" s="37"/>
      <c r="AF307" s="37"/>
      <c r="AG307" s="37"/>
    </row>
    <row r="308" ht="14.25" customHeight="1">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c r="AA308" s="37"/>
      <c r="AB308" s="37"/>
      <c r="AC308" s="37"/>
      <c r="AD308" s="37"/>
      <c r="AE308" s="37"/>
      <c r="AF308" s="37"/>
      <c r="AG308" s="37"/>
    </row>
    <row r="309" ht="14.25" customHeight="1">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c r="AA309" s="37"/>
      <c r="AB309" s="37"/>
      <c r="AC309" s="37"/>
      <c r="AD309" s="37"/>
      <c r="AE309" s="37"/>
      <c r="AF309" s="37"/>
      <c r="AG309" s="37"/>
    </row>
    <row r="310" ht="14.25" customHeight="1">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c r="AA310" s="37"/>
      <c r="AB310" s="37"/>
      <c r="AC310" s="37"/>
      <c r="AD310" s="37"/>
      <c r="AE310" s="37"/>
      <c r="AF310" s="37"/>
      <c r="AG310" s="37"/>
    </row>
    <row r="311" ht="14.25" customHeight="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c r="AA311" s="37"/>
      <c r="AB311" s="37"/>
      <c r="AC311" s="37"/>
      <c r="AD311" s="37"/>
      <c r="AE311" s="37"/>
      <c r="AF311" s="37"/>
      <c r="AG311" s="37"/>
    </row>
    <row r="312" ht="14.25" customHeight="1">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c r="AA312" s="37"/>
      <c r="AB312" s="37"/>
      <c r="AC312" s="37"/>
      <c r="AD312" s="37"/>
      <c r="AE312" s="37"/>
      <c r="AF312" s="37"/>
      <c r="AG312" s="37"/>
    </row>
    <row r="313" ht="14.25" customHeight="1">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c r="AA313" s="37"/>
      <c r="AB313" s="37"/>
      <c r="AC313" s="37"/>
      <c r="AD313" s="37"/>
      <c r="AE313" s="37"/>
      <c r="AF313" s="37"/>
      <c r="AG313" s="37"/>
    </row>
    <row r="314" ht="14.25" customHeight="1">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c r="AA314" s="37"/>
      <c r="AB314" s="37"/>
      <c r="AC314" s="37"/>
      <c r="AD314" s="37"/>
      <c r="AE314" s="37"/>
      <c r="AF314" s="37"/>
      <c r="AG314" s="37"/>
    </row>
    <row r="315" ht="14.25" customHeight="1">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c r="AA315" s="37"/>
      <c r="AB315" s="37"/>
      <c r="AC315" s="37"/>
      <c r="AD315" s="37"/>
      <c r="AE315" s="37"/>
      <c r="AF315" s="37"/>
      <c r="AG315" s="37"/>
    </row>
    <row r="316" ht="14.25" customHeight="1">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c r="AA316" s="37"/>
      <c r="AB316" s="37"/>
      <c r="AC316" s="37"/>
      <c r="AD316" s="37"/>
      <c r="AE316" s="37"/>
      <c r="AF316" s="37"/>
      <c r="AG316" s="37"/>
    </row>
    <row r="317" ht="14.25" customHeight="1">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c r="AA317" s="37"/>
      <c r="AB317" s="37"/>
      <c r="AC317" s="37"/>
      <c r="AD317" s="37"/>
      <c r="AE317" s="37"/>
      <c r="AF317" s="37"/>
      <c r="AG317" s="37"/>
    </row>
    <row r="318" ht="14.25" customHeight="1">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c r="AA318" s="37"/>
      <c r="AB318" s="37"/>
      <c r="AC318" s="37"/>
      <c r="AD318" s="37"/>
      <c r="AE318" s="37"/>
      <c r="AF318" s="37"/>
      <c r="AG318" s="37"/>
    </row>
    <row r="319" ht="14.25" customHeight="1">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c r="AA319" s="37"/>
      <c r="AB319" s="37"/>
      <c r="AC319" s="37"/>
      <c r="AD319" s="37"/>
      <c r="AE319" s="37"/>
      <c r="AF319" s="37"/>
      <c r="AG319" s="37"/>
    </row>
    <row r="320" ht="14.25" customHeight="1">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c r="AA320" s="37"/>
      <c r="AB320" s="37"/>
      <c r="AC320" s="37"/>
      <c r="AD320" s="37"/>
      <c r="AE320" s="37"/>
      <c r="AF320" s="37"/>
      <c r="AG320" s="37"/>
    </row>
    <row r="321" ht="14.25" customHeight="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c r="AA321" s="37"/>
      <c r="AB321" s="37"/>
      <c r="AC321" s="37"/>
      <c r="AD321" s="37"/>
      <c r="AE321" s="37"/>
      <c r="AF321" s="37"/>
      <c r="AG321" s="37"/>
    </row>
    <row r="322" ht="14.25" customHeight="1">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c r="AA322" s="37"/>
      <c r="AB322" s="37"/>
      <c r="AC322" s="37"/>
      <c r="AD322" s="37"/>
      <c r="AE322" s="37"/>
      <c r="AF322" s="37"/>
      <c r="AG322" s="37"/>
    </row>
    <row r="323" ht="14.25" customHeight="1">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c r="AA323" s="37"/>
      <c r="AB323" s="37"/>
      <c r="AC323" s="37"/>
      <c r="AD323" s="37"/>
      <c r="AE323" s="37"/>
      <c r="AF323" s="37"/>
      <c r="AG323" s="37"/>
    </row>
    <row r="324" ht="14.25" customHeight="1">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c r="AA324" s="37"/>
      <c r="AB324" s="37"/>
      <c r="AC324" s="37"/>
      <c r="AD324" s="37"/>
      <c r="AE324" s="37"/>
      <c r="AF324" s="37"/>
      <c r="AG324" s="37"/>
    </row>
    <row r="325" ht="14.25" customHeight="1">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c r="AA325" s="37"/>
      <c r="AB325" s="37"/>
      <c r="AC325" s="37"/>
      <c r="AD325" s="37"/>
      <c r="AE325" s="37"/>
      <c r="AF325" s="37"/>
      <c r="AG325" s="37"/>
    </row>
    <row r="326" ht="14.25" customHeight="1">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c r="AA326" s="37"/>
      <c r="AB326" s="37"/>
      <c r="AC326" s="37"/>
      <c r="AD326" s="37"/>
      <c r="AE326" s="37"/>
      <c r="AF326" s="37"/>
      <c r="AG326" s="37"/>
    </row>
    <row r="327" ht="14.25" customHeight="1">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c r="AA327" s="37"/>
      <c r="AB327" s="37"/>
      <c r="AC327" s="37"/>
      <c r="AD327" s="37"/>
      <c r="AE327" s="37"/>
      <c r="AF327" s="37"/>
      <c r="AG327" s="37"/>
    </row>
    <row r="328" ht="14.25" customHeight="1">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c r="AA328" s="37"/>
      <c r="AB328" s="37"/>
      <c r="AC328" s="37"/>
      <c r="AD328" s="37"/>
      <c r="AE328" s="37"/>
      <c r="AF328" s="37"/>
      <c r="AG328" s="37"/>
    </row>
    <row r="329" ht="14.25" customHeight="1">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c r="AA329" s="37"/>
      <c r="AB329" s="37"/>
      <c r="AC329" s="37"/>
      <c r="AD329" s="37"/>
      <c r="AE329" s="37"/>
      <c r="AF329" s="37"/>
      <c r="AG329" s="37"/>
    </row>
    <row r="330" ht="14.25" customHeight="1">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c r="AA330" s="37"/>
      <c r="AB330" s="37"/>
      <c r="AC330" s="37"/>
      <c r="AD330" s="37"/>
      <c r="AE330" s="37"/>
      <c r="AF330" s="37"/>
      <c r="AG330" s="37"/>
    </row>
    <row r="331" ht="14.25" customHeight="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c r="AA331" s="37"/>
      <c r="AB331" s="37"/>
      <c r="AC331" s="37"/>
      <c r="AD331" s="37"/>
      <c r="AE331" s="37"/>
      <c r="AF331" s="37"/>
      <c r="AG331" s="37"/>
    </row>
    <row r="332" ht="14.25" customHeight="1">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c r="AA332" s="37"/>
      <c r="AB332" s="37"/>
      <c r="AC332" s="37"/>
      <c r="AD332" s="37"/>
      <c r="AE332" s="37"/>
      <c r="AF332" s="37"/>
      <c r="AG332" s="37"/>
    </row>
    <row r="333" ht="14.25" customHeight="1">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c r="AA333" s="37"/>
      <c r="AB333" s="37"/>
      <c r="AC333" s="37"/>
      <c r="AD333" s="37"/>
      <c r="AE333" s="37"/>
      <c r="AF333" s="37"/>
      <c r="AG333" s="37"/>
    </row>
    <row r="334" ht="14.25" customHeight="1">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37"/>
    </row>
    <row r="335" ht="14.25" customHeight="1">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c r="AA335" s="37"/>
      <c r="AB335" s="37"/>
      <c r="AC335" s="37"/>
      <c r="AD335" s="37"/>
      <c r="AE335" s="37"/>
      <c r="AF335" s="37"/>
      <c r="AG335" s="37"/>
    </row>
    <row r="336" ht="14.25" customHeight="1">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c r="AA336" s="37"/>
      <c r="AB336" s="37"/>
      <c r="AC336" s="37"/>
      <c r="AD336" s="37"/>
      <c r="AE336" s="37"/>
      <c r="AF336" s="37"/>
      <c r="AG336" s="37"/>
    </row>
    <row r="337" ht="14.25" customHeight="1">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c r="AA337" s="37"/>
      <c r="AB337" s="37"/>
      <c r="AC337" s="37"/>
      <c r="AD337" s="37"/>
      <c r="AE337" s="37"/>
      <c r="AF337" s="37"/>
      <c r="AG337" s="37"/>
    </row>
    <row r="338" ht="14.25" customHeight="1">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c r="AA338" s="37"/>
      <c r="AB338" s="37"/>
      <c r="AC338" s="37"/>
      <c r="AD338" s="37"/>
      <c r="AE338" s="37"/>
      <c r="AF338" s="37"/>
      <c r="AG338" s="37"/>
    </row>
    <row r="339" ht="14.25" customHeight="1">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c r="AA339" s="37"/>
      <c r="AB339" s="37"/>
      <c r="AC339" s="37"/>
      <c r="AD339" s="37"/>
      <c r="AE339" s="37"/>
      <c r="AF339" s="37"/>
      <c r="AG339" s="37"/>
    </row>
    <row r="340" ht="14.25" customHeight="1">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c r="AA340" s="37"/>
      <c r="AB340" s="37"/>
      <c r="AC340" s="37"/>
      <c r="AD340" s="37"/>
      <c r="AE340" s="37"/>
      <c r="AF340" s="37"/>
      <c r="AG340" s="37"/>
    </row>
    <row r="341" ht="14.25" customHeight="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c r="AA341" s="37"/>
      <c r="AB341" s="37"/>
      <c r="AC341" s="37"/>
      <c r="AD341" s="37"/>
      <c r="AE341" s="37"/>
      <c r="AF341" s="37"/>
      <c r="AG341" s="37"/>
    </row>
    <row r="342" ht="14.25" customHeight="1">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c r="AA342" s="37"/>
      <c r="AB342" s="37"/>
      <c r="AC342" s="37"/>
      <c r="AD342" s="37"/>
      <c r="AE342" s="37"/>
      <c r="AF342" s="37"/>
      <c r="AG342" s="37"/>
    </row>
    <row r="343" ht="14.25" customHeight="1">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c r="AA343" s="37"/>
      <c r="AB343" s="37"/>
      <c r="AC343" s="37"/>
      <c r="AD343" s="37"/>
      <c r="AE343" s="37"/>
      <c r="AF343" s="37"/>
      <c r="AG343" s="37"/>
    </row>
    <row r="344" ht="14.25" customHeight="1">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c r="AA344" s="37"/>
      <c r="AB344" s="37"/>
      <c r="AC344" s="37"/>
      <c r="AD344" s="37"/>
      <c r="AE344" s="37"/>
      <c r="AF344" s="37"/>
      <c r="AG344" s="37"/>
    </row>
    <row r="345" ht="14.25" customHeight="1">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c r="AA345" s="37"/>
      <c r="AB345" s="37"/>
      <c r="AC345" s="37"/>
      <c r="AD345" s="37"/>
      <c r="AE345" s="37"/>
      <c r="AF345" s="37"/>
      <c r="AG345" s="37"/>
    </row>
    <row r="346" ht="14.25" customHeight="1">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c r="AA346" s="37"/>
      <c r="AB346" s="37"/>
      <c r="AC346" s="37"/>
      <c r="AD346" s="37"/>
      <c r="AE346" s="37"/>
      <c r="AF346" s="37"/>
      <c r="AG346" s="37"/>
    </row>
    <row r="347" ht="14.25" customHeight="1">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c r="AA347" s="37"/>
      <c r="AB347" s="37"/>
      <c r="AC347" s="37"/>
      <c r="AD347" s="37"/>
      <c r="AE347" s="37"/>
      <c r="AF347" s="37"/>
      <c r="AG347" s="37"/>
    </row>
    <row r="348" ht="14.25" customHeight="1">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c r="AA348" s="37"/>
      <c r="AB348" s="37"/>
      <c r="AC348" s="37"/>
      <c r="AD348" s="37"/>
      <c r="AE348" s="37"/>
      <c r="AF348" s="37"/>
      <c r="AG348" s="37"/>
    </row>
    <row r="349" ht="14.25" customHeight="1">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c r="AA349" s="37"/>
      <c r="AB349" s="37"/>
      <c r="AC349" s="37"/>
      <c r="AD349" s="37"/>
      <c r="AE349" s="37"/>
      <c r="AF349" s="37"/>
      <c r="AG349" s="37"/>
    </row>
    <row r="350" ht="14.25" customHeight="1">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c r="AA350" s="37"/>
      <c r="AB350" s="37"/>
      <c r="AC350" s="37"/>
      <c r="AD350" s="37"/>
      <c r="AE350" s="37"/>
      <c r="AF350" s="37"/>
      <c r="AG350" s="37"/>
    </row>
    <row r="351" ht="14.25" customHeight="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c r="AA351" s="37"/>
      <c r="AB351" s="37"/>
      <c r="AC351" s="37"/>
      <c r="AD351" s="37"/>
      <c r="AE351" s="37"/>
      <c r="AF351" s="37"/>
      <c r="AG351" s="37"/>
    </row>
    <row r="352" ht="14.25" customHeight="1">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c r="AA352" s="37"/>
      <c r="AB352" s="37"/>
      <c r="AC352" s="37"/>
      <c r="AD352" s="37"/>
      <c r="AE352" s="37"/>
      <c r="AF352" s="37"/>
      <c r="AG352" s="37"/>
    </row>
    <row r="353" ht="14.25" customHeight="1">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c r="AA353" s="37"/>
      <c r="AB353" s="37"/>
      <c r="AC353" s="37"/>
      <c r="AD353" s="37"/>
      <c r="AE353" s="37"/>
      <c r="AF353" s="37"/>
      <c r="AG353" s="37"/>
    </row>
    <row r="354" ht="14.25" customHeight="1">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c r="AA354" s="37"/>
      <c r="AB354" s="37"/>
      <c r="AC354" s="37"/>
      <c r="AD354" s="37"/>
      <c r="AE354" s="37"/>
      <c r="AF354" s="37"/>
      <c r="AG354" s="37"/>
    </row>
    <row r="355" ht="14.25" customHeight="1">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c r="AA355" s="37"/>
      <c r="AB355" s="37"/>
      <c r="AC355" s="37"/>
      <c r="AD355" s="37"/>
      <c r="AE355" s="37"/>
      <c r="AF355" s="37"/>
      <c r="AG355" s="37"/>
    </row>
    <row r="356" ht="14.25" customHeight="1">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c r="AA356" s="37"/>
      <c r="AB356" s="37"/>
      <c r="AC356" s="37"/>
      <c r="AD356" s="37"/>
      <c r="AE356" s="37"/>
      <c r="AF356" s="37"/>
      <c r="AG356" s="37"/>
    </row>
    <row r="357" ht="14.25" customHeight="1">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c r="AA357" s="37"/>
      <c r="AB357" s="37"/>
      <c r="AC357" s="37"/>
      <c r="AD357" s="37"/>
      <c r="AE357" s="37"/>
      <c r="AF357" s="37"/>
      <c r="AG357" s="37"/>
    </row>
    <row r="358" ht="14.25" customHeight="1">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c r="AA358" s="37"/>
      <c r="AB358" s="37"/>
      <c r="AC358" s="37"/>
      <c r="AD358" s="37"/>
      <c r="AE358" s="37"/>
      <c r="AF358" s="37"/>
      <c r="AG358" s="37"/>
    </row>
    <row r="359" ht="14.25" customHeight="1">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c r="AA359" s="37"/>
      <c r="AB359" s="37"/>
      <c r="AC359" s="37"/>
      <c r="AD359" s="37"/>
      <c r="AE359" s="37"/>
      <c r="AF359" s="37"/>
      <c r="AG359" s="37"/>
    </row>
    <row r="360" ht="14.25" customHeight="1">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c r="AA360" s="37"/>
      <c r="AB360" s="37"/>
      <c r="AC360" s="37"/>
      <c r="AD360" s="37"/>
      <c r="AE360" s="37"/>
      <c r="AF360" s="37"/>
      <c r="AG360" s="37"/>
    </row>
    <row r="361" ht="14.25" customHeight="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c r="AA361" s="37"/>
      <c r="AB361" s="37"/>
      <c r="AC361" s="37"/>
      <c r="AD361" s="37"/>
      <c r="AE361" s="37"/>
      <c r="AF361" s="37"/>
      <c r="AG361" s="37"/>
    </row>
    <row r="362" ht="14.25" customHeight="1">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c r="AA362" s="37"/>
      <c r="AB362" s="37"/>
      <c r="AC362" s="37"/>
      <c r="AD362" s="37"/>
      <c r="AE362" s="37"/>
      <c r="AF362" s="37"/>
      <c r="AG362" s="37"/>
    </row>
    <row r="363" ht="14.25" customHeight="1">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c r="AA363" s="37"/>
      <c r="AB363" s="37"/>
      <c r="AC363" s="37"/>
      <c r="AD363" s="37"/>
      <c r="AE363" s="37"/>
      <c r="AF363" s="37"/>
      <c r="AG363" s="37"/>
    </row>
    <row r="364" ht="14.25" customHeight="1">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c r="AA364" s="37"/>
      <c r="AB364" s="37"/>
      <c r="AC364" s="37"/>
      <c r="AD364" s="37"/>
      <c r="AE364" s="37"/>
      <c r="AF364" s="37"/>
      <c r="AG364" s="37"/>
    </row>
    <row r="365" ht="14.25" customHeight="1">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c r="AA365" s="37"/>
      <c r="AB365" s="37"/>
      <c r="AC365" s="37"/>
      <c r="AD365" s="37"/>
      <c r="AE365" s="37"/>
      <c r="AF365" s="37"/>
      <c r="AG365" s="37"/>
    </row>
    <row r="366" ht="14.25" customHeight="1">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c r="AA366" s="37"/>
      <c r="AB366" s="37"/>
      <c r="AC366" s="37"/>
      <c r="AD366" s="37"/>
      <c r="AE366" s="37"/>
      <c r="AF366" s="37"/>
      <c r="AG366" s="37"/>
    </row>
    <row r="367" ht="14.25" customHeight="1">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c r="AA367" s="37"/>
      <c r="AB367" s="37"/>
      <c r="AC367" s="37"/>
      <c r="AD367" s="37"/>
      <c r="AE367" s="37"/>
      <c r="AF367" s="37"/>
      <c r="AG367" s="37"/>
    </row>
    <row r="368" ht="14.25" customHeight="1">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c r="AA368" s="37"/>
      <c r="AB368" s="37"/>
      <c r="AC368" s="37"/>
      <c r="AD368" s="37"/>
      <c r="AE368" s="37"/>
      <c r="AF368" s="37"/>
      <c r="AG368" s="37"/>
    </row>
    <row r="369" ht="14.25" customHeight="1">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c r="AA369" s="37"/>
      <c r="AB369" s="37"/>
      <c r="AC369" s="37"/>
      <c r="AD369" s="37"/>
      <c r="AE369" s="37"/>
      <c r="AF369" s="37"/>
      <c r="AG369" s="37"/>
    </row>
    <row r="370" ht="14.25" customHeight="1">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c r="AA370" s="37"/>
      <c r="AB370" s="37"/>
      <c r="AC370" s="37"/>
      <c r="AD370" s="37"/>
      <c r="AE370" s="37"/>
      <c r="AF370" s="37"/>
      <c r="AG370" s="37"/>
    </row>
    <row r="371" ht="14.25" customHeight="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c r="AA371" s="37"/>
      <c r="AB371" s="37"/>
      <c r="AC371" s="37"/>
      <c r="AD371" s="37"/>
      <c r="AE371" s="37"/>
      <c r="AF371" s="37"/>
      <c r="AG371" s="37"/>
    </row>
    <row r="372" ht="14.25" customHeight="1">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c r="AA372" s="37"/>
      <c r="AB372" s="37"/>
      <c r="AC372" s="37"/>
      <c r="AD372" s="37"/>
      <c r="AE372" s="37"/>
      <c r="AF372" s="37"/>
      <c r="AG372" s="37"/>
    </row>
    <row r="373" ht="14.25" customHeight="1">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c r="AA373" s="37"/>
      <c r="AB373" s="37"/>
      <c r="AC373" s="37"/>
      <c r="AD373" s="37"/>
      <c r="AE373" s="37"/>
      <c r="AF373" s="37"/>
      <c r="AG373" s="37"/>
    </row>
    <row r="374" ht="14.25" customHeight="1">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c r="AA374" s="37"/>
      <c r="AB374" s="37"/>
      <c r="AC374" s="37"/>
      <c r="AD374" s="37"/>
      <c r="AE374" s="37"/>
      <c r="AF374" s="37"/>
      <c r="AG374" s="37"/>
    </row>
    <row r="375" ht="14.25" customHeight="1">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c r="AA375" s="37"/>
      <c r="AB375" s="37"/>
      <c r="AC375" s="37"/>
      <c r="AD375" s="37"/>
      <c r="AE375" s="37"/>
      <c r="AF375" s="37"/>
      <c r="AG375" s="37"/>
    </row>
    <row r="376" ht="14.25" customHeight="1">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c r="AA376" s="37"/>
      <c r="AB376" s="37"/>
      <c r="AC376" s="37"/>
      <c r="AD376" s="37"/>
      <c r="AE376" s="37"/>
      <c r="AF376" s="37"/>
      <c r="AG376" s="37"/>
    </row>
    <row r="377" ht="14.25" customHeight="1">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c r="AA377" s="37"/>
      <c r="AB377" s="37"/>
      <c r="AC377" s="37"/>
      <c r="AD377" s="37"/>
      <c r="AE377" s="37"/>
      <c r="AF377" s="37"/>
      <c r="AG377" s="37"/>
    </row>
    <row r="378" ht="14.25" customHeight="1">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c r="AA378" s="37"/>
      <c r="AB378" s="37"/>
      <c r="AC378" s="37"/>
      <c r="AD378" s="37"/>
      <c r="AE378" s="37"/>
      <c r="AF378" s="37"/>
      <c r="AG378" s="37"/>
    </row>
    <row r="379" ht="14.25" customHeight="1">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c r="AA379" s="37"/>
      <c r="AB379" s="37"/>
      <c r="AC379" s="37"/>
      <c r="AD379" s="37"/>
      <c r="AE379" s="37"/>
      <c r="AF379" s="37"/>
      <c r="AG379" s="37"/>
    </row>
    <row r="380" ht="14.25" customHeight="1">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c r="AA380" s="37"/>
      <c r="AB380" s="37"/>
      <c r="AC380" s="37"/>
      <c r="AD380" s="37"/>
      <c r="AE380" s="37"/>
      <c r="AF380" s="37"/>
      <c r="AG380" s="37"/>
    </row>
    <row r="381" ht="14.25" customHeight="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c r="AA381" s="37"/>
      <c r="AB381" s="37"/>
      <c r="AC381" s="37"/>
      <c r="AD381" s="37"/>
      <c r="AE381" s="37"/>
      <c r="AF381" s="37"/>
      <c r="AG381" s="37"/>
    </row>
    <row r="382" ht="14.25" customHeight="1">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c r="AA382" s="37"/>
      <c r="AB382" s="37"/>
      <c r="AC382" s="37"/>
      <c r="AD382" s="37"/>
      <c r="AE382" s="37"/>
      <c r="AF382" s="37"/>
      <c r="AG382" s="37"/>
    </row>
    <row r="383" ht="14.25" customHeight="1">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c r="AA383" s="37"/>
      <c r="AB383" s="37"/>
      <c r="AC383" s="37"/>
      <c r="AD383" s="37"/>
      <c r="AE383" s="37"/>
      <c r="AF383" s="37"/>
      <c r="AG383" s="37"/>
    </row>
    <row r="384" ht="14.25" customHeight="1">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c r="AA384" s="37"/>
      <c r="AB384" s="37"/>
      <c r="AC384" s="37"/>
      <c r="AD384" s="37"/>
      <c r="AE384" s="37"/>
      <c r="AF384" s="37"/>
      <c r="AG384" s="37"/>
    </row>
    <row r="385" ht="14.25" customHeight="1">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c r="AA385" s="37"/>
      <c r="AB385" s="37"/>
      <c r="AC385" s="37"/>
      <c r="AD385" s="37"/>
      <c r="AE385" s="37"/>
      <c r="AF385" s="37"/>
      <c r="AG385" s="37"/>
    </row>
    <row r="386" ht="14.25" customHeight="1">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c r="AA386" s="37"/>
      <c r="AB386" s="37"/>
      <c r="AC386" s="37"/>
      <c r="AD386" s="37"/>
      <c r="AE386" s="37"/>
      <c r="AF386" s="37"/>
      <c r="AG386" s="37"/>
    </row>
    <row r="387" ht="14.25" customHeight="1">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c r="AA387" s="37"/>
      <c r="AB387" s="37"/>
      <c r="AC387" s="37"/>
      <c r="AD387" s="37"/>
      <c r="AE387" s="37"/>
      <c r="AF387" s="37"/>
      <c r="AG387" s="37"/>
    </row>
    <row r="388" ht="14.25" customHeight="1">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c r="AA388" s="37"/>
      <c r="AB388" s="37"/>
      <c r="AC388" s="37"/>
      <c r="AD388" s="37"/>
      <c r="AE388" s="37"/>
      <c r="AF388" s="37"/>
      <c r="AG388" s="37"/>
    </row>
    <row r="389" ht="14.25" customHeight="1">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c r="AA389" s="37"/>
      <c r="AB389" s="37"/>
      <c r="AC389" s="37"/>
      <c r="AD389" s="37"/>
      <c r="AE389" s="37"/>
      <c r="AF389" s="37"/>
      <c r="AG389" s="37"/>
    </row>
    <row r="390" ht="14.25" customHeight="1">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c r="AA390" s="37"/>
      <c r="AB390" s="37"/>
      <c r="AC390" s="37"/>
      <c r="AD390" s="37"/>
      <c r="AE390" s="37"/>
      <c r="AF390" s="37"/>
      <c r="AG390" s="37"/>
    </row>
    <row r="391" ht="14.25" customHeight="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c r="AA391" s="37"/>
      <c r="AB391" s="37"/>
      <c r="AC391" s="37"/>
      <c r="AD391" s="37"/>
      <c r="AE391" s="37"/>
      <c r="AF391" s="37"/>
      <c r="AG391" s="37"/>
    </row>
    <row r="392" ht="14.25" customHeight="1">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c r="AA392" s="37"/>
      <c r="AB392" s="37"/>
      <c r="AC392" s="37"/>
      <c r="AD392" s="37"/>
      <c r="AE392" s="37"/>
      <c r="AF392" s="37"/>
      <c r="AG392" s="37"/>
    </row>
    <row r="393" ht="14.25" customHeight="1">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c r="AA393" s="37"/>
      <c r="AB393" s="37"/>
      <c r="AC393" s="37"/>
      <c r="AD393" s="37"/>
      <c r="AE393" s="37"/>
      <c r="AF393" s="37"/>
      <c r="AG393" s="37"/>
    </row>
    <row r="394" ht="14.25" customHeight="1">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c r="AA394" s="37"/>
      <c r="AB394" s="37"/>
      <c r="AC394" s="37"/>
      <c r="AD394" s="37"/>
      <c r="AE394" s="37"/>
      <c r="AF394" s="37"/>
      <c r="AG394" s="37"/>
    </row>
    <row r="395" ht="14.25" customHeight="1">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c r="AA395" s="37"/>
      <c r="AB395" s="37"/>
      <c r="AC395" s="37"/>
      <c r="AD395" s="37"/>
      <c r="AE395" s="37"/>
      <c r="AF395" s="37"/>
      <c r="AG395" s="37"/>
    </row>
    <row r="396" ht="14.25" customHeight="1">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c r="AA396" s="37"/>
      <c r="AB396" s="37"/>
      <c r="AC396" s="37"/>
      <c r="AD396" s="37"/>
      <c r="AE396" s="37"/>
      <c r="AF396" s="37"/>
      <c r="AG396" s="37"/>
    </row>
    <row r="397" ht="14.25" customHeight="1">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c r="AA397" s="37"/>
      <c r="AB397" s="37"/>
      <c r="AC397" s="37"/>
      <c r="AD397" s="37"/>
      <c r="AE397" s="37"/>
      <c r="AF397" s="37"/>
      <c r="AG397" s="37"/>
    </row>
    <row r="398" ht="14.25" customHeight="1">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c r="AA398" s="37"/>
      <c r="AB398" s="37"/>
      <c r="AC398" s="37"/>
      <c r="AD398" s="37"/>
      <c r="AE398" s="37"/>
      <c r="AF398" s="37"/>
      <c r="AG398" s="37"/>
    </row>
    <row r="399" ht="14.25" customHeight="1">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c r="AA399" s="37"/>
      <c r="AB399" s="37"/>
      <c r="AC399" s="37"/>
      <c r="AD399" s="37"/>
      <c r="AE399" s="37"/>
      <c r="AF399" s="37"/>
      <c r="AG399" s="37"/>
    </row>
    <row r="400" ht="14.25" customHeight="1">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c r="AA400" s="37"/>
      <c r="AB400" s="37"/>
      <c r="AC400" s="37"/>
      <c r="AD400" s="37"/>
      <c r="AE400" s="37"/>
      <c r="AF400" s="37"/>
      <c r="AG400" s="37"/>
    </row>
    <row r="401" ht="14.25" customHeight="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c r="AA401" s="37"/>
      <c r="AB401" s="37"/>
      <c r="AC401" s="37"/>
      <c r="AD401" s="37"/>
      <c r="AE401" s="37"/>
      <c r="AF401" s="37"/>
      <c r="AG401" s="37"/>
    </row>
    <row r="402" ht="14.25" customHeight="1">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c r="AA402" s="37"/>
      <c r="AB402" s="37"/>
      <c r="AC402" s="37"/>
      <c r="AD402" s="37"/>
      <c r="AE402" s="37"/>
      <c r="AF402" s="37"/>
      <c r="AG402" s="37"/>
    </row>
    <row r="403" ht="14.25" customHeight="1">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c r="AA403" s="37"/>
      <c r="AB403" s="37"/>
      <c r="AC403" s="37"/>
      <c r="AD403" s="37"/>
      <c r="AE403" s="37"/>
      <c r="AF403" s="37"/>
      <c r="AG403" s="37"/>
    </row>
    <row r="404" ht="14.25" customHeight="1">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c r="AA404" s="37"/>
      <c r="AB404" s="37"/>
      <c r="AC404" s="37"/>
      <c r="AD404" s="37"/>
      <c r="AE404" s="37"/>
      <c r="AF404" s="37"/>
      <c r="AG404" s="37"/>
    </row>
    <row r="405" ht="14.25" customHeight="1">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c r="AA405" s="37"/>
      <c r="AB405" s="37"/>
      <c r="AC405" s="37"/>
      <c r="AD405" s="37"/>
      <c r="AE405" s="37"/>
      <c r="AF405" s="37"/>
      <c r="AG405" s="37"/>
    </row>
    <row r="406" ht="14.25" customHeight="1">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c r="AA406" s="37"/>
      <c r="AB406" s="37"/>
      <c r="AC406" s="37"/>
      <c r="AD406" s="37"/>
      <c r="AE406" s="37"/>
      <c r="AF406" s="37"/>
      <c r="AG406" s="37"/>
    </row>
    <row r="407" ht="14.25" customHeight="1">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c r="AA407" s="37"/>
      <c r="AB407" s="37"/>
      <c r="AC407" s="37"/>
      <c r="AD407" s="37"/>
      <c r="AE407" s="37"/>
      <c r="AF407" s="37"/>
      <c r="AG407" s="37"/>
    </row>
    <row r="408" ht="14.25" customHeight="1">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c r="AA408" s="37"/>
      <c r="AB408" s="37"/>
      <c r="AC408" s="37"/>
      <c r="AD408" s="37"/>
      <c r="AE408" s="37"/>
      <c r="AF408" s="37"/>
      <c r="AG408" s="37"/>
    </row>
    <row r="409" ht="14.25" customHeight="1">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c r="AA409" s="37"/>
      <c r="AB409" s="37"/>
      <c r="AC409" s="37"/>
      <c r="AD409" s="37"/>
      <c r="AE409" s="37"/>
      <c r="AF409" s="37"/>
      <c r="AG409" s="37"/>
    </row>
    <row r="410" ht="14.25" customHeight="1">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c r="AA410" s="37"/>
      <c r="AB410" s="37"/>
      <c r="AC410" s="37"/>
      <c r="AD410" s="37"/>
      <c r="AE410" s="37"/>
      <c r="AF410" s="37"/>
      <c r="AG410" s="37"/>
    </row>
    <row r="411" ht="14.25" customHeight="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c r="AA411" s="37"/>
      <c r="AB411" s="37"/>
      <c r="AC411" s="37"/>
      <c r="AD411" s="37"/>
      <c r="AE411" s="37"/>
      <c r="AF411" s="37"/>
      <c r="AG411" s="37"/>
    </row>
    <row r="412" ht="14.25" customHeight="1">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c r="AA412" s="37"/>
      <c r="AB412" s="37"/>
      <c r="AC412" s="37"/>
      <c r="AD412" s="37"/>
      <c r="AE412" s="37"/>
      <c r="AF412" s="37"/>
      <c r="AG412" s="37"/>
    </row>
    <row r="413" ht="14.25" customHeight="1">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c r="AA413" s="37"/>
      <c r="AB413" s="37"/>
      <c r="AC413" s="37"/>
      <c r="AD413" s="37"/>
      <c r="AE413" s="37"/>
      <c r="AF413" s="37"/>
      <c r="AG413" s="37"/>
    </row>
    <row r="414" ht="14.25" customHeight="1">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c r="AA414" s="37"/>
      <c r="AB414" s="37"/>
      <c r="AC414" s="37"/>
      <c r="AD414" s="37"/>
      <c r="AE414" s="37"/>
      <c r="AF414" s="37"/>
      <c r="AG414" s="37"/>
    </row>
    <row r="415" ht="14.25" customHeight="1">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c r="AA415" s="37"/>
      <c r="AB415" s="37"/>
      <c r="AC415" s="37"/>
      <c r="AD415" s="37"/>
      <c r="AE415" s="37"/>
      <c r="AF415" s="37"/>
      <c r="AG415" s="37"/>
    </row>
    <row r="416" ht="14.25" customHeight="1">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c r="AA416" s="37"/>
      <c r="AB416" s="37"/>
      <c r="AC416" s="37"/>
      <c r="AD416" s="37"/>
      <c r="AE416" s="37"/>
      <c r="AF416" s="37"/>
      <c r="AG416" s="37"/>
    </row>
    <row r="417" ht="14.25" customHeight="1">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c r="AA417" s="37"/>
      <c r="AB417" s="37"/>
      <c r="AC417" s="37"/>
      <c r="AD417" s="37"/>
      <c r="AE417" s="37"/>
      <c r="AF417" s="37"/>
      <c r="AG417" s="37"/>
    </row>
    <row r="418" ht="14.25" customHeight="1">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c r="AA418" s="37"/>
      <c r="AB418" s="37"/>
      <c r="AC418" s="37"/>
      <c r="AD418" s="37"/>
      <c r="AE418" s="37"/>
      <c r="AF418" s="37"/>
      <c r="AG418" s="37"/>
    </row>
    <row r="419" ht="14.25" customHeight="1">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c r="AA419" s="37"/>
      <c r="AB419" s="37"/>
      <c r="AC419" s="37"/>
      <c r="AD419" s="37"/>
      <c r="AE419" s="37"/>
      <c r="AF419" s="37"/>
      <c r="AG419" s="37"/>
    </row>
    <row r="420" ht="14.25" customHeight="1">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c r="AA420" s="37"/>
      <c r="AB420" s="37"/>
      <c r="AC420" s="37"/>
      <c r="AD420" s="37"/>
      <c r="AE420" s="37"/>
      <c r="AF420" s="37"/>
      <c r="AG420" s="37"/>
    </row>
    <row r="421" ht="14.25" customHeight="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c r="AA421" s="37"/>
      <c r="AB421" s="37"/>
      <c r="AC421" s="37"/>
      <c r="AD421" s="37"/>
      <c r="AE421" s="37"/>
      <c r="AF421" s="37"/>
      <c r="AG421" s="37"/>
    </row>
    <row r="422" ht="14.25" customHeight="1">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c r="AA422" s="37"/>
      <c r="AB422" s="37"/>
      <c r="AC422" s="37"/>
      <c r="AD422" s="37"/>
      <c r="AE422" s="37"/>
      <c r="AF422" s="37"/>
      <c r="AG422" s="37"/>
    </row>
    <row r="423" ht="14.25" customHeight="1">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c r="AA423" s="37"/>
      <c r="AB423" s="37"/>
      <c r="AC423" s="37"/>
      <c r="AD423" s="37"/>
      <c r="AE423" s="37"/>
      <c r="AF423" s="37"/>
      <c r="AG423" s="37"/>
    </row>
    <row r="424" ht="14.25" customHeight="1">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37"/>
    </row>
    <row r="425" ht="14.25" customHeight="1">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37"/>
    </row>
    <row r="426" ht="14.25" customHeight="1">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c r="AA426" s="37"/>
      <c r="AB426" s="37"/>
      <c r="AC426" s="37"/>
      <c r="AD426" s="37"/>
      <c r="AE426" s="37"/>
      <c r="AF426" s="37"/>
      <c r="AG426" s="37"/>
    </row>
    <row r="427" ht="14.25" customHeight="1">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c r="AA427" s="37"/>
      <c r="AB427" s="37"/>
      <c r="AC427" s="37"/>
      <c r="AD427" s="37"/>
      <c r="AE427" s="37"/>
      <c r="AF427" s="37"/>
      <c r="AG427" s="37"/>
    </row>
    <row r="428" ht="14.25" customHeight="1">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c r="AA428" s="37"/>
      <c r="AB428" s="37"/>
      <c r="AC428" s="37"/>
      <c r="AD428" s="37"/>
      <c r="AE428" s="37"/>
      <c r="AF428" s="37"/>
      <c r="AG428" s="37"/>
    </row>
    <row r="429" ht="14.25" customHeight="1">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c r="AA429" s="37"/>
      <c r="AB429" s="37"/>
      <c r="AC429" s="37"/>
      <c r="AD429" s="37"/>
      <c r="AE429" s="37"/>
      <c r="AF429" s="37"/>
      <c r="AG429" s="37"/>
    </row>
    <row r="430" ht="14.25" customHeight="1">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c r="AA430" s="37"/>
      <c r="AB430" s="37"/>
      <c r="AC430" s="37"/>
      <c r="AD430" s="37"/>
      <c r="AE430" s="37"/>
      <c r="AF430" s="37"/>
      <c r="AG430" s="37"/>
    </row>
    <row r="431" ht="14.25" customHeight="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c r="AA431" s="37"/>
      <c r="AB431" s="37"/>
      <c r="AC431" s="37"/>
      <c r="AD431" s="37"/>
      <c r="AE431" s="37"/>
      <c r="AF431" s="37"/>
      <c r="AG431" s="37"/>
    </row>
    <row r="432" ht="14.25" customHeight="1">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c r="AA432" s="37"/>
      <c r="AB432" s="37"/>
      <c r="AC432" s="37"/>
      <c r="AD432" s="37"/>
      <c r="AE432" s="37"/>
      <c r="AF432" s="37"/>
      <c r="AG432" s="37"/>
    </row>
    <row r="433" ht="14.25" customHeight="1">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c r="AA433" s="37"/>
      <c r="AB433" s="37"/>
      <c r="AC433" s="37"/>
      <c r="AD433" s="37"/>
      <c r="AE433" s="37"/>
      <c r="AF433" s="37"/>
      <c r="AG433" s="37"/>
    </row>
    <row r="434" ht="14.25" customHeight="1">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c r="AA434" s="37"/>
      <c r="AB434" s="37"/>
      <c r="AC434" s="37"/>
      <c r="AD434" s="37"/>
      <c r="AE434" s="37"/>
      <c r="AF434" s="37"/>
      <c r="AG434" s="37"/>
    </row>
    <row r="435" ht="14.25" customHeight="1">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c r="AA435" s="37"/>
      <c r="AB435" s="37"/>
      <c r="AC435" s="37"/>
      <c r="AD435" s="37"/>
      <c r="AE435" s="37"/>
      <c r="AF435" s="37"/>
      <c r="AG435" s="37"/>
    </row>
    <row r="436" ht="14.25" customHeight="1">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c r="AA436" s="37"/>
      <c r="AB436" s="37"/>
      <c r="AC436" s="37"/>
      <c r="AD436" s="37"/>
      <c r="AE436" s="37"/>
      <c r="AF436" s="37"/>
      <c r="AG436" s="37"/>
    </row>
    <row r="437" ht="14.25" customHeight="1">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c r="AA437" s="37"/>
      <c r="AB437" s="37"/>
      <c r="AC437" s="37"/>
      <c r="AD437" s="37"/>
      <c r="AE437" s="37"/>
      <c r="AF437" s="37"/>
      <c r="AG437" s="37"/>
    </row>
    <row r="438" ht="14.25" customHeight="1">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c r="AA438" s="37"/>
      <c r="AB438" s="37"/>
      <c r="AC438" s="37"/>
      <c r="AD438" s="37"/>
      <c r="AE438" s="37"/>
      <c r="AF438" s="37"/>
      <c r="AG438" s="37"/>
    </row>
    <row r="439" ht="14.25" customHeight="1">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c r="AA439" s="37"/>
      <c r="AB439" s="37"/>
      <c r="AC439" s="37"/>
      <c r="AD439" s="37"/>
      <c r="AE439" s="37"/>
      <c r="AF439" s="37"/>
      <c r="AG439" s="37"/>
    </row>
    <row r="440" ht="14.25" customHeight="1">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c r="AA440" s="37"/>
      <c r="AB440" s="37"/>
      <c r="AC440" s="37"/>
      <c r="AD440" s="37"/>
      <c r="AE440" s="37"/>
      <c r="AF440" s="37"/>
      <c r="AG440" s="37"/>
    </row>
    <row r="441" ht="14.25" customHeight="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c r="AA441" s="37"/>
      <c r="AB441" s="37"/>
      <c r="AC441" s="37"/>
      <c r="AD441" s="37"/>
      <c r="AE441" s="37"/>
      <c r="AF441" s="37"/>
      <c r="AG441" s="37"/>
    </row>
    <row r="442" ht="14.25" customHeight="1">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c r="AA442" s="37"/>
      <c r="AB442" s="37"/>
      <c r="AC442" s="37"/>
      <c r="AD442" s="37"/>
      <c r="AE442" s="37"/>
      <c r="AF442" s="37"/>
      <c r="AG442" s="37"/>
    </row>
    <row r="443" ht="14.25" customHeight="1">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c r="AA443" s="37"/>
      <c r="AB443" s="37"/>
      <c r="AC443" s="37"/>
      <c r="AD443" s="37"/>
      <c r="AE443" s="37"/>
      <c r="AF443" s="37"/>
      <c r="AG443" s="37"/>
    </row>
    <row r="444" ht="14.25" customHeight="1">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c r="AA444" s="37"/>
      <c r="AB444" s="37"/>
      <c r="AC444" s="37"/>
      <c r="AD444" s="37"/>
      <c r="AE444" s="37"/>
      <c r="AF444" s="37"/>
      <c r="AG444" s="37"/>
    </row>
    <row r="445" ht="14.25" customHeight="1">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c r="AA445" s="37"/>
      <c r="AB445" s="37"/>
      <c r="AC445" s="37"/>
      <c r="AD445" s="37"/>
      <c r="AE445" s="37"/>
      <c r="AF445" s="37"/>
      <c r="AG445" s="37"/>
    </row>
    <row r="446" ht="14.25" customHeight="1">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c r="AA446" s="37"/>
      <c r="AB446" s="37"/>
      <c r="AC446" s="37"/>
      <c r="AD446" s="37"/>
      <c r="AE446" s="37"/>
      <c r="AF446" s="37"/>
      <c r="AG446" s="37"/>
    </row>
    <row r="447" ht="14.25" customHeight="1">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c r="AA447" s="37"/>
      <c r="AB447" s="37"/>
      <c r="AC447" s="37"/>
      <c r="AD447" s="37"/>
      <c r="AE447" s="37"/>
      <c r="AF447" s="37"/>
      <c r="AG447" s="37"/>
    </row>
    <row r="448" ht="14.25" customHeight="1">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c r="AA448" s="37"/>
      <c r="AB448" s="37"/>
      <c r="AC448" s="37"/>
      <c r="AD448" s="37"/>
      <c r="AE448" s="37"/>
      <c r="AF448" s="37"/>
      <c r="AG448" s="37"/>
    </row>
    <row r="449" ht="14.25" customHeight="1">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c r="AA449" s="37"/>
      <c r="AB449" s="37"/>
      <c r="AC449" s="37"/>
      <c r="AD449" s="37"/>
      <c r="AE449" s="37"/>
      <c r="AF449" s="37"/>
      <c r="AG449" s="37"/>
    </row>
    <row r="450" ht="14.25" customHeight="1">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c r="AA450" s="37"/>
      <c r="AB450" s="37"/>
      <c r="AC450" s="37"/>
      <c r="AD450" s="37"/>
      <c r="AE450" s="37"/>
      <c r="AF450" s="37"/>
      <c r="AG450" s="37"/>
    </row>
    <row r="451" ht="14.25" customHeight="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c r="AA451" s="37"/>
      <c r="AB451" s="37"/>
      <c r="AC451" s="37"/>
      <c r="AD451" s="37"/>
      <c r="AE451" s="37"/>
      <c r="AF451" s="37"/>
      <c r="AG451" s="37"/>
    </row>
    <row r="452" ht="14.25" customHeight="1">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c r="AA452" s="37"/>
      <c r="AB452" s="37"/>
      <c r="AC452" s="37"/>
      <c r="AD452" s="37"/>
      <c r="AE452" s="37"/>
      <c r="AF452" s="37"/>
      <c r="AG452" s="37"/>
    </row>
    <row r="453" ht="14.25" customHeight="1">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c r="AA453" s="37"/>
      <c r="AB453" s="37"/>
      <c r="AC453" s="37"/>
      <c r="AD453" s="37"/>
      <c r="AE453" s="37"/>
      <c r="AF453" s="37"/>
      <c r="AG453" s="37"/>
    </row>
    <row r="454" ht="14.25" customHeight="1">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c r="AA454" s="37"/>
      <c r="AB454" s="37"/>
      <c r="AC454" s="37"/>
      <c r="AD454" s="37"/>
      <c r="AE454" s="37"/>
      <c r="AF454" s="37"/>
      <c r="AG454" s="37"/>
    </row>
    <row r="455" ht="14.25" customHeight="1">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c r="AA455" s="37"/>
      <c r="AB455" s="37"/>
      <c r="AC455" s="37"/>
      <c r="AD455" s="37"/>
      <c r="AE455" s="37"/>
      <c r="AF455" s="37"/>
      <c r="AG455" s="37"/>
    </row>
    <row r="456" ht="14.25" customHeight="1">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c r="AA456" s="37"/>
      <c r="AB456" s="37"/>
      <c r="AC456" s="37"/>
      <c r="AD456" s="37"/>
      <c r="AE456" s="37"/>
      <c r="AF456" s="37"/>
      <c r="AG456" s="37"/>
    </row>
    <row r="457" ht="14.25" customHeight="1">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c r="AA457" s="37"/>
      <c r="AB457" s="37"/>
      <c r="AC457" s="37"/>
      <c r="AD457" s="37"/>
      <c r="AE457" s="37"/>
      <c r="AF457" s="37"/>
      <c r="AG457" s="37"/>
    </row>
    <row r="458" ht="14.25" customHeight="1">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c r="AA458" s="37"/>
      <c r="AB458" s="37"/>
      <c r="AC458" s="37"/>
      <c r="AD458" s="37"/>
      <c r="AE458" s="37"/>
      <c r="AF458" s="37"/>
      <c r="AG458" s="37"/>
    </row>
    <row r="459" ht="14.25" customHeight="1">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c r="AA459" s="37"/>
      <c r="AB459" s="37"/>
      <c r="AC459" s="37"/>
      <c r="AD459" s="37"/>
      <c r="AE459" s="37"/>
      <c r="AF459" s="37"/>
      <c r="AG459" s="37"/>
    </row>
    <row r="460" ht="14.25" customHeight="1">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c r="AA460" s="37"/>
      <c r="AB460" s="37"/>
      <c r="AC460" s="37"/>
      <c r="AD460" s="37"/>
      <c r="AE460" s="37"/>
      <c r="AF460" s="37"/>
      <c r="AG460" s="37"/>
    </row>
    <row r="461" ht="14.25" customHeight="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c r="AA461" s="37"/>
      <c r="AB461" s="37"/>
      <c r="AC461" s="37"/>
      <c r="AD461" s="37"/>
      <c r="AE461" s="37"/>
      <c r="AF461" s="37"/>
      <c r="AG461" s="37"/>
    </row>
    <row r="462" ht="14.25" customHeight="1">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c r="AA462" s="37"/>
      <c r="AB462" s="37"/>
      <c r="AC462" s="37"/>
      <c r="AD462" s="37"/>
      <c r="AE462" s="37"/>
      <c r="AF462" s="37"/>
      <c r="AG462" s="37"/>
    </row>
    <row r="463" ht="14.25" customHeight="1">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c r="AA463" s="37"/>
      <c r="AB463" s="37"/>
      <c r="AC463" s="37"/>
      <c r="AD463" s="37"/>
      <c r="AE463" s="37"/>
      <c r="AF463" s="37"/>
      <c r="AG463" s="37"/>
    </row>
    <row r="464" ht="14.25" customHeight="1">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c r="AA464" s="37"/>
      <c r="AB464" s="37"/>
      <c r="AC464" s="37"/>
      <c r="AD464" s="37"/>
      <c r="AE464" s="37"/>
      <c r="AF464" s="37"/>
      <c r="AG464" s="37"/>
    </row>
    <row r="465" ht="14.25" customHeight="1">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c r="AA465" s="37"/>
      <c r="AB465" s="37"/>
      <c r="AC465" s="37"/>
      <c r="AD465" s="37"/>
      <c r="AE465" s="37"/>
      <c r="AF465" s="37"/>
      <c r="AG465" s="37"/>
    </row>
    <row r="466" ht="14.25" customHeight="1">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c r="AA466" s="37"/>
      <c r="AB466" s="37"/>
      <c r="AC466" s="37"/>
      <c r="AD466" s="37"/>
      <c r="AE466" s="37"/>
      <c r="AF466" s="37"/>
      <c r="AG466" s="37"/>
    </row>
    <row r="467" ht="14.25" customHeight="1">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c r="AA467" s="37"/>
      <c r="AB467" s="37"/>
      <c r="AC467" s="37"/>
      <c r="AD467" s="37"/>
      <c r="AE467" s="37"/>
      <c r="AF467" s="37"/>
      <c r="AG467" s="37"/>
    </row>
    <row r="468" ht="14.25" customHeight="1">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c r="AA468" s="37"/>
      <c r="AB468" s="37"/>
      <c r="AC468" s="37"/>
      <c r="AD468" s="37"/>
      <c r="AE468" s="37"/>
      <c r="AF468" s="37"/>
      <c r="AG468" s="37"/>
    </row>
    <row r="469" ht="14.25" customHeight="1">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37"/>
    </row>
    <row r="470" ht="14.25" customHeight="1">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37"/>
    </row>
    <row r="471" ht="14.25" customHeight="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37"/>
    </row>
    <row r="472" ht="14.25" customHeight="1">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c r="AA472" s="37"/>
      <c r="AB472" s="37"/>
      <c r="AC472" s="37"/>
      <c r="AD472" s="37"/>
      <c r="AE472" s="37"/>
      <c r="AF472" s="37"/>
      <c r="AG472" s="37"/>
    </row>
    <row r="473" ht="14.25" customHeight="1">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c r="AA473" s="37"/>
      <c r="AB473" s="37"/>
      <c r="AC473" s="37"/>
      <c r="AD473" s="37"/>
      <c r="AE473" s="37"/>
      <c r="AF473" s="37"/>
      <c r="AG473" s="37"/>
    </row>
    <row r="474" ht="14.25" customHeight="1">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c r="AA474" s="37"/>
      <c r="AB474" s="37"/>
      <c r="AC474" s="37"/>
      <c r="AD474" s="37"/>
      <c r="AE474" s="37"/>
      <c r="AF474" s="37"/>
      <c r="AG474" s="37"/>
    </row>
    <row r="475" ht="14.25" customHeight="1">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c r="AA475" s="37"/>
      <c r="AB475" s="37"/>
      <c r="AC475" s="37"/>
      <c r="AD475" s="37"/>
      <c r="AE475" s="37"/>
      <c r="AF475" s="37"/>
      <c r="AG475" s="37"/>
    </row>
    <row r="476" ht="14.25" customHeight="1">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c r="AA476" s="37"/>
      <c r="AB476" s="37"/>
      <c r="AC476" s="37"/>
      <c r="AD476" s="37"/>
      <c r="AE476" s="37"/>
      <c r="AF476" s="37"/>
      <c r="AG476" s="37"/>
    </row>
    <row r="477" ht="14.25" customHeight="1">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c r="AA477" s="37"/>
      <c r="AB477" s="37"/>
      <c r="AC477" s="37"/>
      <c r="AD477" s="37"/>
      <c r="AE477" s="37"/>
      <c r="AF477" s="37"/>
      <c r="AG477" s="37"/>
    </row>
    <row r="478" ht="14.25" customHeight="1">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c r="AA478" s="37"/>
      <c r="AB478" s="37"/>
      <c r="AC478" s="37"/>
      <c r="AD478" s="37"/>
      <c r="AE478" s="37"/>
      <c r="AF478" s="37"/>
      <c r="AG478" s="37"/>
    </row>
    <row r="479" ht="14.25" customHeight="1">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c r="AA479" s="37"/>
      <c r="AB479" s="37"/>
      <c r="AC479" s="37"/>
      <c r="AD479" s="37"/>
      <c r="AE479" s="37"/>
      <c r="AF479" s="37"/>
      <c r="AG479" s="37"/>
    </row>
    <row r="480" ht="14.25" customHeight="1">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c r="AA480" s="37"/>
      <c r="AB480" s="37"/>
      <c r="AC480" s="37"/>
      <c r="AD480" s="37"/>
      <c r="AE480" s="37"/>
      <c r="AF480" s="37"/>
      <c r="AG480" s="37"/>
    </row>
    <row r="481" ht="14.25" customHeight="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c r="AA481" s="37"/>
      <c r="AB481" s="37"/>
      <c r="AC481" s="37"/>
      <c r="AD481" s="37"/>
      <c r="AE481" s="37"/>
      <c r="AF481" s="37"/>
      <c r="AG481" s="37"/>
    </row>
    <row r="482" ht="14.25" customHeight="1">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c r="AA482" s="37"/>
      <c r="AB482" s="37"/>
      <c r="AC482" s="37"/>
      <c r="AD482" s="37"/>
      <c r="AE482" s="37"/>
      <c r="AF482" s="37"/>
      <c r="AG482" s="37"/>
    </row>
    <row r="483" ht="14.25" customHeight="1">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c r="AA483" s="37"/>
      <c r="AB483" s="37"/>
      <c r="AC483" s="37"/>
      <c r="AD483" s="37"/>
      <c r="AE483" s="37"/>
      <c r="AF483" s="37"/>
      <c r="AG483" s="37"/>
    </row>
    <row r="484" ht="14.25" customHeight="1">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c r="AA484" s="37"/>
      <c r="AB484" s="37"/>
      <c r="AC484" s="37"/>
      <c r="AD484" s="37"/>
      <c r="AE484" s="37"/>
      <c r="AF484" s="37"/>
      <c r="AG484" s="37"/>
    </row>
    <row r="485" ht="14.25" customHeight="1">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c r="AA485" s="37"/>
      <c r="AB485" s="37"/>
      <c r="AC485" s="37"/>
      <c r="AD485" s="37"/>
      <c r="AE485" s="37"/>
      <c r="AF485" s="37"/>
      <c r="AG485" s="37"/>
    </row>
    <row r="486" ht="14.25" customHeight="1">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c r="AA486" s="37"/>
      <c r="AB486" s="37"/>
      <c r="AC486" s="37"/>
      <c r="AD486" s="37"/>
      <c r="AE486" s="37"/>
      <c r="AF486" s="37"/>
      <c r="AG486" s="37"/>
    </row>
    <row r="487" ht="14.25" customHeight="1">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c r="AA487" s="37"/>
      <c r="AB487" s="37"/>
      <c r="AC487" s="37"/>
      <c r="AD487" s="37"/>
      <c r="AE487" s="37"/>
      <c r="AF487" s="37"/>
      <c r="AG487" s="37"/>
    </row>
    <row r="488" ht="14.25" customHeight="1">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c r="AA488" s="37"/>
      <c r="AB488" s="37"/>
      <c r="AC488" s="37"/>
      <c r="AD488" s="37"/>
      <c r="AE488" s="37"/>
      <c r="AF488" s="37"/>
      <c r="AG488" s="37"/>
    </row>
    <row r="489" ht="14.25" customHeight="1">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c r="AA489" s="37"/>
      <c r="AB489" s="37"/>
      <c r="AC489" s="37"/>
      <c r="AD489" s="37"/>
      <c r="AE489" s="37"/>
      <c r="AF489" s="37"/>
      <c r="AG489" s="37"/>
    </row>
    <row r="490" ht="14.25" customHeight="1">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c r="AA490" s="37"/>
      <c r="AB490" s="37"/>
      <c r="AC490" s="37"/>
      <c r="AD490" s="37"/>
      <c r="AE490" s="37"/>
      <c r="AF490" s="37"/>
      <c r="AG490" s="37"/>
    </row>
    <row r="491" ht="14.25" customHeight="1">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c r="AA491" s="37"/>
      <c r="AB491" s="37"/>
      <c r="AC491" s="37"/>
      <c r="AD491" s="37"/>
      <c r="AE491" s="37"/>
      <c r="AF491" s="37"/>
      <c r="AG491" s="37"/>
    </row>
    <row r="492" ht="14.25" customHeight="1">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c r="AA492" s="37"/>
      <c r="AB492" s="37"/>
      <c r="AC492" s="37"/>
      <c r="AD492" s="37"/>
      <c r="AE492" s="37"/>
      <c r="AF492" s="37"/>
      <c r="AG492" s="37"/>
    </row>
    <row r="493" ht="14.25" customHeight="1">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c r="AA493" s="37"/>
      <c r="AB493" s="37"/>
      <c r="AC493" s="37"/>
      <c r="AD493" s="37"/>
      <c r="AE493" s="37"/>
      <c r="AF493" s="37"/>
      <c r="AG493" s="37"/>
    </row>
    <row r="494" ht="14.25" customHeight="1">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c r="AA494" s="37"/>
      <c r="AB494" s="37"/>
      <c r="AC494" s="37"/>
      <c r="AD494" s="37"/>
      <c r="AE494" s="37"/>
      <c r="AF494" s="37"/>
      <c r="AG494" s="37"/>
    </row>
    <row r="495" ht="14.25" customHeight="1">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c r="AA495" s="37"/>
      <c r="AB495" s="37"/>
      <c r="AC495" s="37"/>
      <c r="AD495" s="37"/>
      <c r="AE495" s="37"/>
      <c r="AF495" s="37"/>
      <c r="AG495" s="37"/>
    </row>
    <row r="496" ht="14.25" customHeight="1">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c r="AA496" s="37"/>
      <c r="AB496" s="37"/>
      <c r="AC496" s="37"/>
      <c r="AD496" s="37"/>
      <c r="AE496" s="37"/>
      <c r="AF496" s="37"/>
      <c r="AG496" s="37"/>
    </row>
    <row r="497" ht="14.25" customHeight="1">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c r="AA497" s="37"/>
      <c r="AB497" s="37"/>
      <c r="AC497" s="37"/>
      <c r="AD497" s="37"/>
      <c r="AE497" s="37"/>
      <c r="AF497" s="37"/>
      <c r="AG497" s="37"/>
    </row>
    <row r="498" ht="14.25" customHeight="1">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c r="AA498" s="37"/>
      <c r="AB498" s="37"/>
      <c r="AC498" s="37"/>
      <c r="AD498" s="37"/>
      <c r="AE498" s="37"/>
      <c r="AF498" s="37"/>
      <c r="AG498" s="37"/>
    </row>
    <row r="499" ht="14.25" customHeight="1">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c r="AA499" s="37"/>
      <c r="AB499" s="37"/>
      <c r="AC499" s="37"/>
      <c r="AD499" s="37"/>
      <c r="AE499" s="37"/>
      <c r="AF499" s="37"/>
      <c r="AG499" s="37"/>
    </row>
    <row r="500" ht="14.25" customHeight="1">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c r="AA500" s="37"/>
      <c r="AB500" s="37"/>
      <c r="AC500" s="37"/>
      <c r="AD500" s="37"/>
      <c r="AE500" s="37"/>
      <c r="AF500" s="37"/>
      <c r="AG500" s="37"/>
    </row>
    <row r="501" ht="14.25" customHeight="1">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c r="AA501" s="37"/>
      <c r="AB501" s="37"/>
      <c r="AC501" s="37"/>
      <c r="AD501" s="37"/>
      <c r="AE501" s="37"/>
      <c r="AF501" s="37"/>
      <c r="AG501" s="37"/>
    </row>
    <row r="502" ht="14.25" customHeight="1">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c r="AA502" s="37"/>
      <c r="AB502" s="37"/>
      <c r="AC502" s="37"/>
      <c r="AD502" s="37"/>
      <c r="AE502" s="37"/>
      <c r="AF502" s="37"/>
      <c r="AG502" s="37"/>
    </row>
    <row r="503" ht="14.25" customHeight="1">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c r="AA503" s="37"/>
      <c r="AB503" s="37"/>
      <c r="AC503" s="37"/>
      <c r="AD503" s="37"/>
      <c r="AE503" s="37"/>
      <c r="AF503" s="37"/>
      <c r="AG503" s="37"/>
    </row>
    <row r="504" ht="14.25" customHeight="1">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c r="AA504" s="37"/>
      <c r="AB504" s="37"/>
      <c r="AC504" s="37"/>
      <c r="AD504" s="37"/>
      <c r="AE504" s="37"/>
      <c r="AF504" s="37"/>
      <c r="AG504" s="37"/>
    </row>
    <row r="505" ht="14.25" customHeight="1">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c r="AA505" s="37"/>
      <c r="AB505" s="37"/>
      <c r="AC505" s="37"/>
      <c r="AD505" s="37"/>
      <c r="AE505" s="37"/>
      <c r="AF505" s="37"/>
      <c r="AG505" s="37"/>
    </row>
    <row r="506" ht="14.25" customHeight="1">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c r="AA506" s="37"/>
      <c r="AB506" s="37"/>
      <c r="AC506" s="37"/>
      <c r="AD506" s="37"/>
      <c r="AE506" s="37"/>
      <c r="AF506" s="37"/>
      <c r="AG506" s="37"/>
    </row>
    <row r="507" ht="14.25" customHeight="1">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c r="AA507" s="37"/>
      <c r="AB507" s="37"/>
      <c r="AC507" s="37"/>
      <c r="AD507" s="37"/>
      <c r="AE507" s="37"/>
      <c r="AF507" s="37"/>
      <c r="AG507" s="37"/>
    </row>
    <row r="508" ht="14.25" customHeight="1">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c r="AA508" s="37"/>
      <c r="AB508" s="37"/>
      <c r="AC508" s="37"/>
      <c r="AD508" s="37"/>
      <c r="AE508" s="37"/>
      <c r="AF508" s="37"/>
      <c r="AG508" s="37"/>
    </row>
    <row r="509" ht="14.25" customHeight="1">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c r="AA509" s="37"/>
      <c r="AB509" s="37"/>
      <c r="AC509" s="37"/>
      <c r="AD509" s="37"/>
      <c r="AE509" s="37"/>
      <c r="AF509" s="37"/>
      <c r="AG509" s="37"/>
    </row>
    <row r="510" ht="14.25" customHeight="1">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c r="AA510" s="37"/>
      <c r="AB510" s="37"/>
      <c r="AC510" s="37"/>
      <c r="AD510" s="37"/>
      <c r="AE510" s="37"/>
      <c r="AF510" s="37"/>
      <c r="AG510" s="37"/>
    </row>
    <row r="511" ht="14.25" customHeight="1">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c r="AA511" s="37"/>
      <c r="AB511" s="37"/>
      <c r="AC511" s="37"/>
      <c r="AD511" s="37"/>
      <c r="AE511" s="37"/>
      <c r="AF511" s="37"/>
      <c r="AG511" s="37"/>
    </row>
    <row r="512" ht="14.25" customHeight="1">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c r="AA512" s="37"/>
      <c r="AB512" s="37"/>
      <c r="AC512" s="37"/>
      <c r="AD512" s="37"/>
      <c r="AE512" s="37"/>
      <c r="AF512" s="37"/>
      <c r="AG512" s="37"/>
    </row>
    <row r="513" ht="14.25" customHeight="1">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c r="AA513" s="37"/>
      <c r="AB513" s="37"/>
      <c r="AC513" s="37"/>
      <c r="AD513" s="37"/>
      <c r="AE513" s="37"/>
      <c r="AF513" s="37"/>
      <c r="AG513" s="37"/>
    </row>
    <row r="514" ht="14.25" customHeight="1">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c r="AA514" s="37"/>
      <c r="AB514" s="37"/>
      <c r="AC514" s="37"/>
      <c r="AD514" s="37"/>
      <c r="AE514" s="37"/>
      <c r="AF514" s="37"/>
      <c r="AG514" s="37"/>
    </row>
    <row r="515" ht="14.25" customHeight="1">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c r="AA515" s="37"/>
      <c r="AB515" s="37"/>
      <c r="AC515" s="37"/>
      <c r="AD515" s="37"/>
      <c r="AE515" s="37"/>
      <c r="AF515" s="37"/>
      <c r="AG515" s="37"/>
    </row>
    <row r="516" ht="14.25" customHeight="1">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c r="AA516" s="37"/>
      <c r="AB516" s="37"/>
      <c r="AC516" s="37"/>
      <c r="AD516" s="37"/>
      <c r="AE516" s="37"/>
      <c r="AF516" s="37"/>
      <c r="AG516" s="37"/>
    </row>
    <row r="517" ht="14.25" customHeight="1">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c r="AA517" s="37"/>
      <c r="AB517" s="37"/>
      <c r="AC517" s="37"/>
      <c r="AD517" s="37"/>
      <c r="AE517" s="37"/>
      <c r="AF517" s="37"/>
      <c r="AG517" s="37"/>
    </row>
    <row r="518" ht="14.25" customHeight="1">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c r="AA518" s="37"/>
      <c r="AB518" s="37"/>
      <c r="AC518" s="37"/>
      <c r="AD518" s="37"/>
      <c r="AE518" s="37"/>
      <c r="AF518" s="37"/>
      <c r="AG518" s="37"/>
    </row>
    <row r="519" ht="14.25" customHeight="1">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c r="AA519" s="37"/>
      <c r="AB519" s="37"/>
      <c r="AC519" s="37"/>
      <c r="AD519" s="37"/>
      <c r="AE519" s="37"/>
      <c r="AF519" s="37"/>
      <c r="AG519" s="37"/>
    </row>
    <row r="520" ht="14.25" customHeight="1">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c r="AA520" s="37"/>
      <c r="AB520" s="37"/>
      <c r="AC520" s="37"/>
      <c r="AD520" s="37"/>
      <c r="AE520" s="37"/>
      <c r="AF520" s="37"/>
      <c r="AG520" s="37"/>
    </row>
    <row r="521" ht="14.25" customHeight="1">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c r="AA521" s="37"/>
      <c r="AB521" s="37"/>
      <c r="AC521" s="37"/>
      <c r="AD521" s="37"/>
      <c r="AE521" s="37"/>
      <c r="AF521" s="37"/>
      <c r="AG521" s="37"/>
    </row>
    <row r="522" ht="14.25" customHeight="1">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c r="AA522" s="37"/>
      <c r="AB522" s="37"/>
      <c r="AC522" s="37"/>
      <c r="AD522" s="37"/>
      <c r="AE522" s="37"/>
      <c r="AF522" s="37"/>
      <c r="AG522" s="37"/>
    </row>
    <row r="523" ht="14.25" customHeight="1">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c r="AA523" s="37"/>
      <c r="AB523" s="37"/>
      <c r="AC523" s="37"/>
      <c r="AD523" s="37"/>
      <c r="AE523" s="37"/>
      <c r="AF523" s="37"/>
      <c r="AG523" s="37"/>
    </row>
    <row r="524" ht="14.25" customHeight="1">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c r="AA524" s="37"/>
      <c r="AB524" s="37"/>
      <c r="AC524" s="37"/>
      <c r="AD524" s="37"/>
      <c r="AE524" s="37"/>
      <c r="AF524" s="37"/>
      <c r="AG524" s="37"/>
    </row>
    <row r="525" ht="14.25" customHeight="1">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c r="AA525" s="37"/>
      <c r="AB525" s="37"/>
      <c r="AC525" s="37"/>
      <c r="AD525" s="37"/>
      <c r="AE525" s="37"/>
      <c r="AF525" s="37"/>
      <c r="AG525" s="37"/>
    </row>
    <row r="526" ht="14.25" customHeight="1">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c r="AA526" s="37"/>
      <c r="AB526" s="37"/>
      <c r="AC526" s="37"/>
      <c r="AD526" s="37"/>
      <c r="AE526" s="37"/>
      <c r="AF526" s="37"/>
      <c r="AG526" s="37"/>
    </row>
    <row r="527" ht="14.25" customHeight="1">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c r="AA527" s="37"/>
      <c r="AB527" s="37"/>
      <c r="AC527" s="37"/>
      <c r="AD527" s="37"/>
      <c r="AE527" s="37"/>
      <c r="AF527" s="37"/>
      <c r="AG527" s="37"/>
    </row>
    <row r="528" ht="14.25" customHeight="1">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c r="AA528" s="37"/>
      <c r="AB528" s="37"/>
      <c r="AC528" s="37"/>
      <c r="AD528" s="37"/>
      <c r="AE528" s="37"/>
      <c r="AF528" s="37"/>
      <c r="AG528" s="37"/>
    </row>
    <row r="529" ht="14.25" customHeight="1">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c r="AA529" s="37"/>
      <c r="AB529" s="37"/>
      <c r="AC529" s="37"/>
      <c r="AD529" s="37"/>
      <c r="AE529" s="37"/>
      <c r="AF529" s="37"/>
      <c r="AG529" s="37"/>
    </row>
    <row r="530" ht="14.25" customHeight="1">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c r="AA530" s="37"/>
      <c r="AB530" s="37"/>
      <c r="AC530" s="37"/>
      <c r="AD530" s="37"/>
      <c r="AE530" s="37"/>
      <c r="AF530" s="37"/>
      <c r="AG530" s="37"/>
    </row>
    <row r="531" ht="14.25" customHeight="1">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c r="AA531" s="37"/>
      <c r="AB531" s="37"/>
      <c r="AC531" s="37"/>
      <c r="AD531" s="37"/>
      <c r="AE531" s="37"/>
      <c r="AF531" s="37"/>
      <c r="AG531" s="37"/>
    </row>
    <row r="532" ht="14.25" customHeight="1">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c r="AA532" s="37"/>
      <c r="AB532" s="37"/>
      <c r="AC532" s="37"/>
      <c r="AD532" s="37"/>
      <c r="AE532" s="37"/>
      <c r="AF532" s="37"/>
      <c r="AG532" s="37"/>
    </row>
    <row r="533" ht="14.25" customHeight="1">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c r="AA533" s="37"/>
      <c r="AB533" s="37"/>
      <c r="AC533" s="37"/>
      <c r="AD533" s="37"/>
      <c r="AE533" s="37"/>
      <c r="AF533" s="37"/>
      <c r="AG533" s="37"/>
    </row>
    <row r="534" ht="14.25" customHeight="1">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c r="AA534" s="37"/>
      <c r="AB534" s="37"/>
      <c r="AC534" s="37"/>
      <c r="AD534" s="37"/>
      <c r="AE534" s="37"/>
      <c r="AF534" s="37"/>
      <c r="AG534" s="37"/>
    </row>
    <row r="535" ht="14.25" customHeight="1">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c r="AA535" s="37"/>
      <c r="AB535" s="37"/>
      <c r="AC535" s="37"/>
      <c r="AD535" s="37"/>
      <c r="AE535" s="37"/>
      <c r="AF535" s="37"/>
      <c r="AG535" s="37"/>
    </row>
    <row r="536" ht="14.25" customHeight="1">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c r="AA536" s="37"/>
      <c r="AB536" s="37"/>
      <c r="AC536" s="37"/>
      <c r="AD536" s="37"/>
      <c r="AE536" s="37"/>
      <c r="AF536" s="37"/>
      <c r="AG536" s="37"/>
    </row>
    <row r="537" ht="14.25" customHeight="1">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c r="AA537" s="37"/>
      <c r="AB537" s="37"/>
      <c r="AC537" s="37"/>
      <c r="AD537" s="37"/>
      <c r="AE537" s="37"/>
      <c r="AF537" s="37"/>
      <c r="AG537" s="37"/>
    </row>
    <row r="538" ht="14.25" customHeight="1">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c r="AA538" s="37"/>
      <c r="AB538" s="37"/>
      <c r="AC538" s="37"/>
      <c r="AD538" s="37"/>
      <c r="AE538" s="37"/>
      <c r="AF538" s="37"/>
      <c r="AG538" s="37"/>
    </row>
    <row r="539" ht="14.25" customHeight="1">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c r="AA539" s="37"/>
      <c r="AB539" s="37"/>
      <c r="AC539" s="37"/>
      <c r="AD539" s="37"/>
      <c r="AE539" s="37"/>
      <c r="AF539" s="37"/>
      <c r="AG539" s="37"/>
    </row>
    <row r="540" ht="14.25" customHeight="1">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c r="AA540" s="37"/>
      <c r="AB540" s="37"/>
      <c r="AC540" s="37"/>
      <c r="AD540" s="37"/>
      <c r="AE540" s="37"/>
      <c r="AF540" s="37"/>
      <c r="AG540" s="37"/>
    </row>
    <row r="541" ht="14.25" customHeight="1">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c r="AA541" s="37"/>
      <c r="AB541" s="37"/>
      <c r="AC541" s="37"/>
      <c r="AD541" s="37"/>
      <c r="AE541" s="37"/>
      <c r="AF541" s="37"/>
      <c r="AG541" s="37"/>
    </row>
    <row r="542" ht="14.25" customHeight="1">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c r="AA542" s="37"/>
      <c r="AB542" s="37"/>
      <c r="AC542" s="37"/>
      <c r="AD542" s="37"/>
      <c r="AE542" s="37"/>
      <c r="AF542" s="37"/>
      <c r="AG542" s="37"/>
    </row>
    <row r="543" ht="14.25" customHeight="1">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c r="AA543" s="37"/>
      <c r="AB543" s="37"/>
      <c r="AC543" s="37"/>
      <c r="AD543" s="37"/>
      <c r="AE543" s="37"/>
      <c r="AF543" s="37"/>
      <c r="AG543" s="37"/>
    </row>
    <row r="544" ht="14.25" customHeight="1">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c r="AA544" s="37"/>
      <c r="AB544" s="37"/>
      <c r="AC544" s="37"/>
      <c r="AD544" s="37"/>
      <c r="AE544" s="37"/>
      <c r="AF544" s="37"/>
      <c r="AG544" s="37"/>
    </row>
    <row r="545" ht="14.25" customHeight="1">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c r="AA545" s="37"/>
      <c r="AB545" s="37"/>
      <c r="AC545" s="37"/>
      <c r="AD545" s="37"/>
      <c r="AE545" s="37"/>
      <c r="AF545" s="37"/>
      <c r="AG545" s="37"/>
    </row>
    <row r="546" ht="14.25" customHeight="1">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c r="AA546" s="37"/>
      <c r="AB546" s="37"/>
      <c r="AC546" s="37"/>
      <c r="AD546" s="37"/>
      <c r="AE546" s="37"/>
      <c r="AF546" s="37"/>
      <c r="AG546" s="37"/>
    </row>
    <row r="547" ht="14.25" customHeight="1">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c r="AA547" s="37"/>
      <c r="AB547" s="37"/>
      <c r="AC547" s="37"/>
      <c r="AD547" s="37"/>
      <c r="AE547" s="37"/>
      <c r="AF547" s="37"/>
      <c r="AG547" s="37"/>
    </row>
    <row r="548" ht="14.25" customHeight="1">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c r="AA548" s="37"/>
      <c r="AB548" s="37"/>
      <c r="AC548" s="37"/>
      <c r="AD548" s="37"/>
      <c r="AE548" s="37"/>
      <c r="AF548" s="37"/>
      <c r="AG548" s="37"/>
    </row>
    <row r="549" ht="14.25" customHeight="1">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c r="AA549" s="37"/>
      <c r="AB549" s="37"/>
      <c r="AC549" s="37"/>
      <c r="AD549" s="37"/>
      <c r="AE549" s="37"/>
      <c r="AF549" s="37"/>
      <c r="AG549" s="37"/>
    </row>
    <row r="550" ht="14.25" customHeight="1">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c r="AA550" s="37"/>
      <c r="AB550" s="37"/>
      <c r="AC550" s="37"/>
      <c r="AD550" s="37"/>
      <c r="AE550" s="37"/>
      <c r="AF550" s="37"/>
      <c r="AG550" s="37"/>
    </row>
    <row r="551" ht="14.25" customHeight="1">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c r="AA551" s="37"/>
      <c r="AB551" s="37"/>
      <c r="AC551" s="37"/>
      <c r="AD551" s="37"/>
      <c r="AE551" s="37"/>
      <c r="AF551" s="37"/>
      <c r="AG551" s="37"/>
    </row>
    <row r="552" ht="14.25" customHeight="1">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c r="AA552" s="37"/>
      <c r="AB552" s="37"/>
      <c r="AC552" s="37"/>
      <c r="AD552" s="37"/>
      <c r="AE552" s="37"/>
      <c r="AF552" s="37"/>
      <c r="AG552" s="37"/>
    </row>
    <row r="553" ht="14.25" customHeight="1">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c r="AA553" s="37"/>
      <c r="AB553" s="37"/>
      <c r="AC553" s="37"/>
      <c r="AD553" s="37"/>
      <c r="AE553" s="37"/>
      <c r="AF553" s="37"/>
      <c r="AG553" s="37"/>
    </row>
    <row r="554" ht="14.25" customHeight="1">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c r="AA554" s="37"/>
      <c r="AB554" s="37"/>
      <c r="AC554" s="37"/>
      <c r="AD554" s="37"/>
      <c r="AE554" s="37"/>
      <c r="AF554" s="37"/>
      <c r="AG554" s="37"/>
    </row>
    <row r="555" ht="14.25" customHeight="1">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c r="AA555" s="37"/>
      <c r="AB555" s="37"/>
      <c r="AC555" s="37"/>
      <c r="AD555" s="37"/>
      <c r="AE555" s="37"/>
      <c r="AF555" s="37"/>
      <c r="AG555" s="37"/>
    </row>
    <row r="556" ht="14.25" customHeight="1">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c r="AA556" s="37"/>
      <c r="AB556" s="37"/>
      <c r="AC556" s="37"/>
      <c r="AD556" s="37"/>
      <c r="AE556" s="37"/>
      <c r="AF556" s="37"/>
      <c r="AG556" s="37"/>
    </row>
    <row r="557" ht="14.25" customHeight="1">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c r="AA557" s="37"/>
      <c r="AB557" s="37"/>
      <c r="AC557" s="37"/>
      <c r="AD557" s="37"/>
      <c r="AE557" s="37"/>
      <c r="AF557" s="37"/>
      <c r="AG557" s="37"/>
    </row>
    <row r="558" ht="14.25" customHeight="1">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c r="AA558" s="37"/>
      <c r="AB558" s="37"/>
      <c r="AC558" s="37"/>
      <c r="AD558" s="37"/>
      <c r="AE558" s="37"/>
      <c r="AF558" s="37"/>
      <c r="AG558" s="37"/>
    </row>
    <row r="559" ht="14.25" customHeight="1">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c r="AA559" s="37"/>
      <c r="AB559" s="37"/>
      <c r="AC559" s="37"/>
      <c r="AD559" s="37"/>
      <c r="AE559" s="37"/>
      <c r="AF559" s="37"/>
      <c r="AG559" s="37"/>
    </row>
    <row r="560" ht="14.25" customHeight="1">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c r="AA560" s="37"/>
      <c r="AB560" s="37"/>
      <c r="AC560" s="37"/>
      <c r="AD560" s="37"/>
      <c r="AE560" s="37"/>
      <c r="AF560" s="37"/>
      <c r="AG560" s="37"/>
    </row>
    <row r="561" ht="14.25" customHeight="1">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c r="AA561" s="37"/>
      <c r="AB561" s="37"/>
      <c r="AC561" s="37"/>
      <c r="AD561" s="37"/>
      <c r="AE561" s="37"/>
      <c r="AF561" s="37"/>
      <c r="AG561" s="37"/>
    </row>
    <row r="562" ht="14.25" customHeight="1">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c r="AA562" s="37"/>
      <c r="AB562" s="37"/>
      <c r="AC562" s="37"/>
      <c r="AD562" s="37"/>
      <c r="AE562" s="37"/>
      <c r="AF562" s="37"/>
      <c r="AG562" s="37"/>
    </row>
    <row r="563" ht="14.25" customHeight="1">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c r="AA563" s="37"/>
      <c r="AB563" s="37"/>
      <c r="AC563" s="37"/>
      <c r="AD563" s="37"/>
      <c r="AE563" s="37"/>
      <c r="AF563" s="37"/>
      <c r="AG563" s="37"/>
    </row>
    <row r="564" ht="14.25" customHeight="1">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c r="AA564" s="37"/>
      <c r="AB564" s="37"/>
      <c r="AC564" s="37"/>
      <c r="AD564" s="37"/>
      <c r="AE564" s="37"/>
      <c r="AF564" s="37"/>
      <c r="AG564" s="37"/>
    </row>
    <row r="565" ht="14.25" customHeight="1">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c r="AA565" s="37"/>
      <c r="AB565" s="37"/>
      <c r="AC565" s="37"/>
      <c r="AD565" s="37"/>
      <c r="AE565" s="37"/>
      <c r="AF565" s="37"/>
      <c r="AG565" s="37"/>
    </row>
    <row r="566" ht="14.25" customHeight="1">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c r="AA566" s="37"/>
      <c r="AB566" s="37"/>
      <c r="AC566" s="37"/>
      <c r="AD566" s="37"/>
      <c r="AE566" s="37"/>
      <c r="AF566" s="37"/>
      <c r="AG566" s="37"/>
    </row>
    <row r="567" ht="14.25" customHeight="1">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c r="AA567" s="37"/>
      <c r="AB567" s="37"/>
      <c r="AC567" s="37"/>
      <c r="AD567" s="37"/>
      <c r="AE567" s="37"/>
      <c r="AF567" s="37"/>
      <c r="AG567" s="37"/>
    </row>
    <row r="568" ht="14.25" customHeight="1">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c r="AA568" s="37"/>
      <c r="AB568" s="37"/>
      <c r="AC568" s="37"/>
      <c r="AD568" s="37"/>
      <c r="AE568" s="37"/>
      <c r="AF568" s="37"/>
      <c r="AG568" s="37"/>
    </row>
    <row r="569" ht="14.25" customHeight="1">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c r="AA569" s="37"/>
      <c r="AB569" s="37"/>
      <c r="AC569" s="37"/>
      <c r="AD569" s="37"/>
      <c r="AE569" s="37"/>
      <c r="AF569" s="37"/>
      <c r="AG569" s="37"/>
    </row>
    <row r="570" ht="14.25" customHeight="1">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c r="AA570" s="37"/>
      <c r="AB570" s="37"/>
      <c r="AC570" s="37"/>
      <c r="AD570" s="37"/>
      <c r="AE570" s="37"/>
      <c r="AF570" s="37"/>
      <c r="AG570" s="37"/>
    </row>
    <row r="571" ht="14.25" customHeight="1">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c r="AA571" s="37"/>
      <c r="AB571" s="37"/>
      <c r="AC571" s="37"/>
      <c r="AD571" s="37"/>
      <c r="AE571" s="37"/>
      <c r="AF571" s="37"/>
      <c r="AG571" s="37"/>
    </row>
    <row r="572" ht="14.25" customHeight="1">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c r="AA572" s="37"/>
      <c r="AB572" s="37"/>
      <c r="AC572" s="37"/>
      <c r="AD572" s="37"/>
      <c r="AE572" s="37"/>
      <c r="AF572" s="37"/>
      <c r="AG572" s="37"/>
    </row>
    <row r="573" ht="14.25" customHeight="1">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c r="AA573" s="37"/>
      <c r="AB573" s="37"/>
      <c r="AC573" s="37"/>
      <c r="AD573" s="37"/>
      <c r="AE573" s="37"/>
      <c r="AF573" s="37"/>
      <c r="AG573" s="37"/>
    </row>
    <row r="574" ht="14.25" customHeight="1">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c r="AA574" s="37"/>
      <c r="AB574" s="37"/>
      <c r="AC574" s="37"/>
      <c r="AD574" s="37"/>
      <c r="AE574" s="37"/>
      <c r="AF574" s="37"/>
      <c r="AG574" s="37"/>
    </row>
    <row r="575" ht="14.25" customHeight="1">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c r="AA575" s="37"/>
      <c r="AB575" s="37"/>
      <c r="AC575" s="37"/>
      <c r="AD575" s="37"/>
      <c r="AE575" s="37"/>
      <c r="AF575" s="37"/>
      <c r="AG575" s="37"/>
    </row>
    <row r="576" ht="14.25" customHeight="1">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c r="AA576" s="37"/>
      <c r="AB576" s="37"/>
      <c r="AC576" s="37"/>
      <c r="AD576" s="37"/>
      <c r="AE576" s="37"/>
      <c r="AF576" s="37"/>
      <c r="AG576" s="37"/>
    </row>
    <row r="577" ht="14.25" customHeight="1">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c r="AA577" s="37"/>
      <c r="AB577" s="37"/>
      <c r="AC577" s="37"/>
      <c r="AD577" s="37"/>
      <c r="AE577" s="37"/>
      <c r="AF577" s="37"/>
      <c r="AG577" s="37"/>
    </row>
    <row r="578" ht="14.25" customHeight="1">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c r="AA578" s="37"/>
      <c r="AB578" s="37"/>
      <c r="AC578" s="37"/>
      <c r="AD578" s="37"/>
      <c r="AE578" s="37"/>
      <c r="AF578" s="37"/>
      <c r="AG578" s="37"/>
    </row>
    <row r="579" ht="14.25" customHeight="1">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c r="AA579" s="37"/>
      <c r="AB579" s="37"/>
      <c r="AC579" s="37"/>
      <c r="AD579" s="37"/>
      <c r="AE579" s="37"/>
      <c r="AF579" s="37"/>
      <c r="AG579" s="37"/>
    </row>
    <row r="580" ht="14.25" customHeight="1">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c r="AA580" s="37"/>
      <c r="AB580" s="37"/>
      <c r="AC580" s="37"/>
      <c r="AD580" s="37"/>
      <c r="AE580" s="37"/>
      <c r="AF580" s="37"/>
      <c r="AG580" s="37"/>
    </row>
    <row r="581" ht="14.25" customHeight="1">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c r="AA581" s="37"/>
      <c r="AB581" s="37"/>
      <c r="AC581" s="37"/>
      <c r="AD581" s="37"/>
      <c r="AE581" s="37"/>
      <c r="AF581" s="37"/>
      <c r="AG581" s="37"/>
    </row>
    <row r="582" ht="14.25" customHeight="1">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c r="AA582" s="37"/>
      <c r="AB582" s="37"/>
      <c r="AC582" s="37"/>
      <c r="AD582" s="37"/>
      <c r="AE582" s="37"/>
      <c r="AF582" s="37"/>
      <c r="AG582" s="37"/>
    </row>
    <row r="583" ht="14.25" customHeight="1">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c r="AA583" s="37"/>
      <c r="AB583" s="37"/>
      <c r="AC583" s="37"/>
      <c r="AD583" s="37"/>
      <c r="AE583" s="37"/>
      <c r="AF583" s="37"/>
      <c r="AG583" s="37"/>
    </row>
    <row r="584" ht="14.25" customHeight="1">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c r="AA584" s="37"/>
      <c r="AB584" s="37"/>
      <c r="AC584" s="37"/>
      <c r="AD584" s="37"/>
      <c r="AE584" s="37"/>
      <c r="AF584" s="37"/>
      <c r="AG584" s="37"/>
    </row>
    <row r="585" ht="14.25" customHeight="1">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c r="AA585" s="37"/>
      <c r="AB585" s="37"/>
      <c r="AC585" s="37"/>
      <c r="AD585" s="37"/>
      <c r="AE585" s="37"/>
      <c r="AF585" s="37"/>
      <c r="AG585" s="37"/>
    </row>
    <row r="586" ht="14.25" customHeight="1">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c r="AA586" s="37"/>
      <c r="AB586" s="37"/>
      <c r="AC586" s="37"/>
      <c r="AD586" s="37"/>
      <c r="AE586" s="37"/>
      <c r="AF586" s="37"/>
      <c r="AG586" s="37"/>
    </row>
    <row r="587" ht="14.25" customHeight="1">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c r="AA587" s="37"/>
      <c r="AB587" s="37"/>
      <c r="AC587" s="37"/>
      <c r="AD587" s="37"/>
      <c r="AE587" s="37"/>
      <c r="AF587" s="37"/>
      <c r="AG587" s="37"/>
    </row>
    <row r="588" ht="14.25" customHeight="1">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c r="AA588" s="37"/>
      <c r="AB588" s="37"/>
      <c r="AC588" s="37"/>
      <c r="AD588" s="37"/>
      <c r="AE588" s="37"/>
      <c r="AF588" s="37"/>
      <c r="AG588" s="37"/>
    </row>
    <row r="589" ht="14.25" customHeight="1">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c r="AA589" s="37"/>
      <c r="AB589" s="37"/>
      <c r="AC589" s="37"/>
      <c r="AD589" s="37"/>
      <c r="AE589" s="37"/>
      <c r="AF589" s="37"/>
      <c r="AG589" s="37"/>
    </row>
    <row r="590" ht="14.25" customHeight="1">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c r="AA590" s="37"/>
      <c r="AB590" s="37"/>
      <c r="AC590" s="37"/>
      <c r="AD590" s="37"/>
      <c r="AE590" s="37"/>
      <c r="AF590" s="37"/>
      <c r="AG590" s="37"/>
    </row>
    <row r="591" ht="14.25" customHeight="1">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c r="AA591" s="37"/>
      <c r="AB591" s="37"/>
      <c r="AC591" s="37"/>
      <c r="AD591" s="37"/>
      <c r="AE591" s="37"/>
      <c r="AF591" s="37"/>
      <c r="AG591" s="37"/>
    </row>
    <row r="592" ht="14.25" customHeight="1">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c r="AA592" s="37"/>
      <c r="AB592" s="37"/>
      <c r="AC592" s="37"/>
      <c r="AD592" s="37"/>
      <c r="AE592" s="37"/>
      <c r="AF592" s="37"/>
      <c r="AG592" s="37"/>
    </row>
    <row r="593" ht="14.25" customHeight="1">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c r="AA593" s="37"/>
      <c r="AB593" s="37"/>
      <c r="AC593" s="37"/>
      <c r="AD593" s="37"/>
      <c r="AE593" s="37"/>
      <c r="AF593" s="37"/>
      <c r="AG593" s="37"/>
    </row>
    <row r="594" ht="14.25" customHeight="1">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c r="AA594" s="37"/>
      <c r="AB594" s="37"/>
      <c r="AC594" s="37"/>
      <c r="AD594" s="37"/>
      <c r="AE594" s="37"/>
      <c r="AF594" s="37"/>
      <c r="AG594" s="37"/>
    </row>
    <row r="595" ht="14.25" customHeight="1">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c r="AA595" s="37"/>
      <c r="AB595" s="37"/>
      <c r="AC595" s="37"/>
      <c r="AD595" s="37"/>
      <c r="AE595" s="37"/>
      <c r="AF595" s="37"/>
      <c r="AG595" s="37"/>
    </row>
    <row r="596" ht="14.25" customHeight="1">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c r="AA596" s="37"/>
      <c r="AB596" s="37"/>
      <c r="AC596" s="37"/>
      <c r="AD596" s="37"/>
      <c r="AE596" s="37"/>
      <c r="AF596" s="37"/>
      <c r="AG596" s="37"/>
    </row>
    <row r="597" ht="14.25" customHeight="1">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c r="AA597" s="37"/>
      <c r="AB597" s="37"/>
      <c r="AC597" s="37"/>
      <c r="AD597" s="37"/>
      <c r="AE597" s="37"/>
      <c r="AF597" s="37"/>
      <c r="AG597" s="37"/>
    </row>
    <row r="598" ht="14.25" customHeight="1">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c r="AA598" s="37"/>
      <c r="AB598" s="37"/>
      <c r="AC598" s="37"/>
      <c r="AD598" s="37"/>
      <c r="AE598" s="37"/>
      <c r="AF598" s="37"/>
      <c r="AG598" s="37"/>
    </row>
    <row r="599" ht="14.25" customHeight="1">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c r="AA599" s="37"/>
      <c r="AB599" s="37"/>
      <c r="AC599" s="37"/>
      <c r="AD599" s="37"/>
      <c r="AE599" s="37"/>
      <c r="AF599" s="37"/>
      <c r="AG599" s="37"/>
    </row>
    <row r="600" ht="14.25" customHeight="1">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c r="AA600" s="37"/>
      <c r="AB600" s="37"/>
      <c r="AC600" s="37"/>
      <c r="AD600" s="37"/>
      <c r="AE600" s="37"/>
      <c r="AF600" s="37"/>
      <c r="AG600" s="37"/>
    </row>
    <row r="601" ht="14.25" customHeight="1">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c r="AA601" s="37"/>
      <c r="AB601" s="37"/>
      <c r="AC601" s="37"/>
      <c r="AD601" s="37"/>
      <c r="AE601" s="37"/>
      <c r="AF601" s="37"/>
      <c r="AG601" s="37"/>
    </row>
    <row r="602" ht="14.25" customHeight="1">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c r="AA602" s="37"/>
      <c r="AB602" s="37"/>
      <c r="AC602" s="37"/>
      <c r="AD602" s="37"/>
      <c r="AE602" s="37"/>
      <c r="AF602" s="37"/>
      <c r="AG602" s="37"/>
    </row>
    <row r="603" ht="14.25" customHeight="1">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c r="AA603" s="37"/>
      <c r="AB603" s="37"/>
      <c r="AC603" s="37"/>
      <c r="AD603" s="37"/>
      <c r="AE603" s="37"/>
      <c r="AF603" s="37"/>
      <c r="AG603" s="37"/>
    </row>
    <row r="604" ht="14.25" customHeight="1">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c r="AA604" s="37"/>
      <c r="AB604" s="37"/>
      <c r="AC604" s="37"/>
      <c r="AD604" s="37"/>
      <c r="AE604" s="37"/>
      <c r="AF604" s="37"/>
      <c r="AG604" s="37"/>
    </row>
    <row r="605" ht="14.25" customHeight="1">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c r="AA605" s="37"/>
      <c r="AB605" s="37"/>
      <c r="AC605" s="37"/>
      <c r="AD605" s="37"/>
      <c r="AE605" s="37"/>
      <c r="AF605" s="37"/>
      <c r="AG605" s="37"/>
    </row>
    <row r="606" ht="14.25" customHeight="1">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c r="AA606" s="37"/>
      <c r="AB606" s="37"/>
      <c r="AC606" s="37"/>
      <c r="AD606" s="37"/>
      <c r="AE606" s="37"/>
      <c r="AF606" s="37"/>
      <c r="AG606" s="37"/>
    </row>
    <row r="607" ht="14.25" customHeight="1">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c r="AA607" s="37"/>
      <c r="AB607" s="37"/>
      <c r="AC607" s="37"/>
      <c r="AD607" s="37"/>
      <c r="AE607" s="37"/>
      <c r="AF607" s="37"/>
      <c r="AG607" s="37"/>
    </row>
    <row r="608" ht="14.25" customHeight="1">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c r="AA608" s="37"/>
      <c r="AB608" s="37"/>
      <c r="AC608" s="37"/>
      <c r="AD608" s="37"/>
      <c r="AE608" s="37"/>
      <c r="AF608" s="37"/>
      <c r="AG608" s="37"/>
    </row>
    <row r="609" ht="14.25" customHeight="1">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c r="AA609" s="37"/>
      <c r="AB609" s="37"/>
      <c r="AC609" s="37"/>
      <c r="AD609" s="37"/>
      <c r="AE609" s="37"/>
      <c r="AF609" s="37"/>
      <c r="AG609" s="37"/>
    </row>
    <row r="610" ht="14.25" customHeight="1">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c r="AA610" s="37"/>
      <c r="AB610" s="37"/>
      <c r="AC610" s="37"/>
      <c r="AD610" s="37"/>
      <c r="AE610" s="37"/>
      <c r="AF610" s="37"/>
      <c r="AG610" s="37"/>
    </row>
    <row r="611" ht="14.25" customHeight="1">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c r="AA611" s="37"/>
      <c r="AB611" s="37"/>
      <c r="AC611" s="37"/>
      <c r="AD611" s="37"/>
      <c r="AE611" s="37"/>
      <c r="AF611" s="37"/>
      <c r="AG611" s="37"/>
    </row>
    <row r="612" ht="14.25" customHeight="1">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c r="AA612" s="37"/>
      <c r="AB612" s="37"/>
      <c r="AC612" s="37"/>
      <c r="AD612" s="37"/>
      <c r="AE612" s="37"/>
      <c r="AF612" s="37"/>
      <c r="AG612" s="37"/>
    </row>
    <row r="613" ht="14.25" customHeight="1">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c r="AA613" s="37"/>
      <c r="AB613" s="37"/>
      <c r="AC613" s="37"/>
      <c r="AD613" s="37"/>
      <c r="AE613" s="37"/>
      <c r="AF613" s="37"/>
      <c r="AG613" s="37"/>
    </row>
    <row r="614" ht="14.25" customHeight="1">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c r="AA614" s="37"/>
      <c r="AB614" s="37"/>
      <c r="AC614" s="37"/>
      <c r="AD614" s="37"/>
      <c r="AE614" s="37"/>
      <c r="AF614" s="37"/>
      <c r="AG614" s="37"/>
    </row>
    <row r="615" ht="14.25" customHeight="1">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c r="AA615" s="37"/>
      <c r="AB615" s="37"/>
      <c r="AC615" s="37"/>
      <c r="AD615" s="37"/>
      <c r="AE615" s="37"/>
      <c r="AF615" s="37"/>
      <c r="AG615" s="37"/>
    </row>
    <row r="616" ht="14.25" customHeight="1">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c r="AA616" s="37"/>
      <c r="AB616" s="37"/>
      <c r="AC616" s="37"/>
      <c r="AD616" s="37"/>
      <c r="AE616" s="37"/>
      <c r="AF616" s="37"/>
      <c r="AG616" s="37"/>
    </row>
    <row r="617" ht="14.25" customHeight="1">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c r="AA617" s="37"/>
      <c r="AB617" s="37"/>
      <c r="AC617" s="37"/>
      <c r="AD617" s="37"/>
      <c r="AE617" s="37"/>
      <c r="AF617" s="37"/>
      <c r="AG617" s="37"/>
    </row>
    <row r="618" ht="14.25" customHeight="1">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c r="AA618" s="37"/>
      <c r="AB618" s="37"/>
      <c r="AC618" s="37"/>
      <c r="AD618" s="37"/>
      <c r="AE618" s="37"/>
      <c r="AF618" s="37"/>
      <c r="AG618" s="37"/>
    </row>
    <row r="619" ht="14.25" customHeight="1">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c r="AA619" s="37"/>
      <c r="AB619" s="37"/>
      <c r="AC619" s="37"/>
      <c r="AD619" s="37"/>
      <c r="AE619" s="37"/>
      <c r="AF619" s="37"/>
      <c r="AG619" s="37"/>
    </row>
    <row r="620" ht="14.25" customHeight="1">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c r="AA620" s="37"/>
      <c r="AB620" s="37"/>
      <c r="AC620" s="37"/>
      <c r="AD620" s="37"/>
      <c r="AE620" s="37"/>
      <c r="AF620" s="37"/>
      <c r="AG620" s="37"/>
    </row>
    <row r="621" ht="14.25" customHeight="1">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c r="AA621" s="37"/>
      <c r="AB621" s="37"/>
      <c r="AC621" s="37"/>
      <c r="AD621" s="37"/>
      <c r="AE621" s="37"/>
      <c r="AF621" s="37"/>
      <c r="AG621" s="37"/>
    </row>
    <row r="622" ht="14.25" customHeight="1">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c r="AA622" s="37"/>
      <c r="AB622" s="37"/>
      <c r="AC622" s="37"/>
      <c r="AD622" s="37"/>
      <c r="AE622" s="37"/>
      <c r="AF622" s="37"/>
      <c r="AG622" s="37"/>
    </row>
    <row r="623" ht="14.25" customHeight="1">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c r="AA623" s="37"/>
      <c r="AB623" s="37"/>
      <c r="AC623" s="37"/>
      <c r="AD623" s="37"/>
      <c r="AE623" s="37"/>
      <c r="AF623" s="37"/>
      <c r="AG623" s="37"/>
    </row>
    <row r="624" ht="14.25" customHeight="1">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c r="AA624" s="37"/>
      <c r="AB624" s="37"/>
      <c r="AC624" s="37"/>
      <c r="AD624" s="37"/>
      <c r="AE624" s="37"/>
      <c r="AF624" s="37"/>
      <c r="AG624" s="37"/>
    </row>
    <row r="625" ht="14.25" customHeight="1">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c r="AA625" s="37"/>
      <c r="AB625" s="37"/>
      <c r="AC625" s="37"/>
      <c r="AD625" s="37"/>
      <c r="AE625" s="37"/>
      <c r="AF625" s="37"/>
      <c r="AG625" s="37"/>
    </row>
    <row r="626" ht="14.25" customHeight="1">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c r="AA626" s="37"/>
      <c r="AB626" s="37"/>
      <c r="AC626" s="37"/>
      <c r="AD626" s="37"/>
      <c r="AE626" s="37"/>
      <c r="AF626" s="37"/>
      <c r="AG626" s="37"/>
    </row>
    <row r="627" ht="14.25" customHeight="1">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c r="AA627" s="37"/>
      <c r="AB627" s="37"/>
      <c r="AC627" s="37"/>
      <c r="AD627" s="37"/>
      <c r="AE627" s="37"/>
      <c r="AF627" s="37"/>
      <c r="AG627" s="37"/>
    </row>
    <row r="628" ht="14.25" customHeight="1">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c r="AA628" s="37"/>
      <c r="AB628" s="37"/>
      <c r="AC628" s="37"/>
      <c r="AD628" s="37"/>
      <c r="AE628" s="37"/>
      <c r="AF628" s="37"/>
      <c r="AG628" s="37"/>
    </row>
    <row r="629" ht="14.25" customHeight="1">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c r="AA629" s="37"/>
      <c r="AB629" s="37"/>
      <c r="AC629" s="37"/>
      <c r="AD629" s="37"/>
      <c r="AE629" s="37"/>
      <c r="AF629" s="37"/>
      <c r="AG629" s="37"/>
    </row>
    <row r="630" ht="14.25" customHeight="1">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c r="AA630" s="37"/>
      <c r="AB630" s="37"/>
      <c r="AC630" s="37"/>
      <c r="AD630" s="37"/>
      <c r="AE630" s="37"/>
      <c r="AF630" s="37"/>
      <c r="AG630" s="37"/>
    </row>
    <row r="631" ht="14.25" customHeight="1">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c r="AA631" s="37"/>
      <c r="AB631" s="37"/>
      <c r="AC631" s="37"/>
      <c r="AD631" s="37"/>
      <c r="AE631" s="37"/>
      <c r="AF631" s="37"/>
      <c r="AG631" s="37"/>
    </row>
    <row r="632" ht="14.25" customHeight="1">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c r="AA632" s="37"/>
      <c r="AB632" s="37"/>
      <c r="AC632" s="37"/>
      <c r="AD632" s="37"/>
      <c r="AE632" s="37"/>
      <c r="AF632" s="37"/>
      <c r="AG632" s="37"/>
    </row>
    <row r="633" ht="14.25" customHeight="1">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c r="AA633" s="37"/>
      <c r="AB633" s="37"/>
      <c r="AC633" s="37"/>
      <c r="AD633" s="37"/>
      <c r="AE633" s="37"/>
      <c r="AF633" s="37"/>
      <c r="AG633" s="37"/>
    </row>
    <row r="634" ht="14.25" customHeight="1">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c r="AA634" s="37"/>
      <c r="AB634" s="37"/>
      <c r="AC634" s="37"/>
      <c r="AD634" s="37"/>
      <c r="AE634" s="37"/>
      <c r="AF634" s="37"/>
      <c r="AG634" s="37"/>
    </row>
    <row r="635" ht="14.25" customHeight="1">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c r="AA635" s="37"/>
      <c r="AB635" s="37"/>
      <c r="AC635" s="37"/>
      <c r="AD635" s="37"/>
      <c r="AE635" s="37"/>
      <c r="AF635" s="37"/>
      <c r="AG635" s="37"/>
    </row>
    <row r="636" ht="14.25" customHeight="1">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c r="AA636" s="37"/>
      <c r="AB636" s="37"/>
      <c r="AC636" s="37"/>
      <c r="AD636" s="37"/>
      <c r="AE636" s="37"/>
      <c r="AF636" s="37"/>
      <c r="AG636" s="37"/>
    </row>
    <row r="637" ht="14.25" customHeight="1">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c r="AA637" s="37"/>
      <c r="AB637" s="37"/>
      <c r="AC637" s="37"/>
      <c r="AD637" s="37"/>
      <c r="AE637" s="37"/>
      <c r="AF637" s="37"/>
      <c r="AG637" s="37"/>
    </row>
    <row r="638" ht="14.25" customHeight="1">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c r="AA638" s="37"/>
      <c r="AB638" s="37"/>
      <c r="AC638" s="37"/>
      <c r="AD638" s="37"/>
      <c r="AE638" s="37"/>
      <c r="AF638" s="37"/>
      <c r="AG638" s="37"/>
    </row>
    <row r="639" ht="14.25" customHeight="1">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c r="AA639" s="37"/>
      <c r="AB639" s="37"/>
      <c r="AC639" s="37"/>
      <c r="AD639" s="37"/>
      <c r="AE639" s="37"/>
      <c r="AF639" s="37"/>
      <c r="AG639" s="37"/>
    </row>
    <row r="640" ht="14.25" customHeight="1">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c r="AA640" s="37"/>
      <c r="AB640" s="37"/>
      <c r="AC640" s="37"/>
      <c r="AD640" s="37"/>
      <c r="AE640" s="37"/>
      <c r="AF640" s="37"/>
      <c r="AG640" s="37"/>
    </row>
    <row r="641" ht="14.25" customHeight="1">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c r="AA641" s="37"/>
      <c r="AB641" s="37"/>
      <c r="AC641" s="37"/>
      <c r="AD641" s="37"/>
      <c r="AE641" s="37"/>
      <c r="AF641" s="37"/>
      <c r="AG641" s="37"/>
    </row>
    <row r="642" ht="14.25" customHeight="1">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c r="AA642" s="37"/>
      <c r="AB642" s="37"/>
      <c r="AC642" s="37"/>
      <c r="AD642" s="37"/>
      <c r="AE642" s="37"/>
      <c r="AF642" s="37"/>
      <c r="AG642" s="37"/>
    </row>
    <row r="643" ht="14.25" customHeight="1">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c r="AA643" s="37"/>
      <c r="AB643" s="37"/>
      <c r="AC643" s="37"/>
      <c r="AD643" s="37"/>
      <c r="AE643" s="37"/>
      <c r="AF643" s="37"/>
      <c r="AG643" s="37"/>
    </row>
    <row r="644" ht="14.25" customHeight="1">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c r="AA644" s="37"/>
      <c r="AB644" s="37"/>
      <c r="AC644" s="37"/>
      <c r="AD644" s="37"/>
      <c r="AE644" s="37"/>
      <c r="AF644" s="37"/>
      <c r="AG644" s="37"/>
    </row>
    <row r="645" ht="14.25" customHeight="1">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c r="AA645" s="37"/>
      <c r="AB645" s="37"/>
      <c r="AC645" s="37"/>
      <c r="AD645" s="37"/>
      <c r="AE645" s="37"/>
      <c r="AF645" s="37"/>
      <c r="AG645" s="37"/>
    </row>
    <row r="646" ht="14.25" customHeight="1">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c r="AA646" s="37"/>
      <c r="AB646" s="37"/>
      <c r="AC646" s="37"/>
      <c r="AD646" s="37"/>
      <c r="AE646" s="37"/>
      <c r="AF646" s="37"/>
      <c r="AG646" s="37"/>
    </row>
    <row r="647" ht="14.25" customHeight="1">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c r="AA647" s="37"/>
      <c r="AB647" s="37"/>
      <c r="AC647" s="37"/>
      <c r="AD647" s="37"/>
      <c r="AE647" s="37"/>
      <c r="AF647" s="37"/>
      <c r="AG647" s="37"/>
    </row>
    <row r="648" ht="14.25" customHeight="1">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c r="AA648" s="37"/>
      <c r="AB648" s="37"/>
      <c r="AC648" s="37"/>
      <c r="AD648" s="37"/>
      <c r="AE648" s="37"/>
      <c r="AF648" s="37"/>
      <c r="AG648" s="37"/>
    </row>
    <row r="649" ht="14.25" customHeight="1">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c r="AA649" s="37"/>
      <c r="AB649" s="37"/>
      <c r="AC649" s="37"/>
      <c r="AD649" s="37"/>
      <c r="AE649" s="37"/>
      <c r="AF649" s="37"/>
      <c r="AG649" s="37"/>
    </row>
    <row r="650" ht="14.25" customHeight="1">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c r="AA650" s="37"/>
      <c r="AB650" s="37"/>
      <c r="AC650" s="37"/>
      <c r="AD650" s="37"/>
      <c r="AE650" s="37"/>
      <c r="AF650" s="37"/>
      <c r="AG650" s="37"/>
    </row>
    <row r="651" ht="14.25" customHeight="1">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c r="AA651" s="37"/>
      <c r="AB651" s="37"/>
      <c r="AC651" s="37"/>
      <c r="AD651" s="37"/>
      <c r="AE651" s="37"/>
      <c r="AF651" s="37"/>
      <c r="AG651" s="37"/>
    </row>
    <row r="652" ht="14.25" customHeight="1">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c r="AA652" s="37"/>
      <c r="AB652" s="37"/>
      <c r="AC652" s="37"/>
      <c r="AD652" s="37"/>
      <c r="AE652" s="37"/>
      <c r="AF652" s="37"/>
      <c r="AG652" s="37"/>
    </row>
    <row r="653" ht="14.25" customHeight="1">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c r="AA653" s="37"/>
      <c r="AB653" s="37"/>
      <c r="AC653" s="37"/>
      <c r="AD653" s="37"/>
      <c r="AE653" s="37"/>
      <c r="AF653" s="37"/>
      <c r="AG653" s="37"/>
    </row>
    <row r="654" ht="14.25" customHeight="1">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c r="AA654" s="37"/>
      <c r="AB654" s="37"/>
      <c r="AC654" s="37"/>
      <c r="AD654" s="37"/>
      <c r="AE654" s="37"/>
      <c r="AF654" s="37"/>
      <c r="AG654" s="37"/>
    </row>
    <row r="655" ht="14.25" customHeight="1">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c r="AA655" s="37"/>
      <c r="AB655" s="37"/>
      <c r="AC655" s="37"/>
      <c r="AD655" s="37"/>
      <c r="AE655" s="37"/>
      <c r="AF655" s="37"/>
      <c r="AG655" s="37"/>
    </row>
    <row r="656" ht="14.25" customHeight="1">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c r="AA656" s="37"/>
      <c r="AB656" s="37"/>
      <c r="AC656" s="37"/>
      <c r="AD656" s="37"/>
      <c r="AE656" s="37"/>
      <c r="AF656" s="37"/>
      <c r="AG656" s="37"/>
    </row>
    <row r="657" ht="14.25" customHeight="1">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c r="AA657" s="37"/>
      <c r="AB657" s="37"/>
      <c r="AC657" s="37"/>
      <c r="AD657" s="37"/>
      <c r="AE657" s="37"/>
      <c r="AF657" s="37"/>
      <c r="AG657" s="37"/>
    </row>
    <row r="658" ht="14.25" customHeight="1">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c r="AA658" s="37"/>
      <c r="AB658" s="37"/>
      <c r="AC658" s="37"/>
      <c r="AD658" s="37"/>
      <c r="AE658" s="37"/>
      <c r="AF658" s="37"/>
      <c r="AG658" s="37"/>
    </row>
    <row r="659" ht="14.25" customHeight="1">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c r="AA659" s="37"/>
      <c r="AB659" s="37"/>
      <c r="AC659" s="37"/>
      <c r="AD659" s="37"/>
      <c r="AE659" s="37"/>
      <c r="AF659" s="37"/>
      <c r="AG659" s="37"/>
    </row>
    <row r="660" ht="14.25" customHeight="1">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c r="AA660" s="37"/>
      <c r="AB660" s="37"/>
      <c r="AC660" s="37"/>
      <c r="AD660" s="37"/>
      <c r="AE660" s="37"/>
      <c r="AF660" s="37"/>
      <c r="AG660" s="37"/>
    </row>
    <row r="661" ht="14.25" customHeight="1">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c r="AA661" s="37"/>
      <c r="AB661" s="37"/>
      <c r="AC661" s="37"/>
      <c r="AD661" s="37"/>
      <c r="AE661" s="37"/>
      <c r="AF661" s="37"/>
      <c r="AG661" s="37"/>
    </row>
    <row r="662" ht="14.25" customHeight="1">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c r="AA662" s="37"/>
      <c r="AB662" s="37"/>
      <c r="AC662" s="37"/>
      <c r="AD662" s="37"/>
      <c r="AE662" s="37"/>
      <c r="AF662" s="37"/>
      <c r="AG662" s="37"/>
    </row>
    <row r="663" ht="14.25" customHeight="1">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c r="AA663" s="37"/>
      <c r="AB663" s="37"/>
      <c r="AC663" s="37"/>
      <c r="AD663" s="37"/>
      <c r="AE663" s="37"/>
      <c r="AF663" s="37"/>
      <c r="AG663" s="37"/>
    </row>
    <row r="664" ht="14.25" customHeight="1">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c r="AA664" s="37"/>
      <c r="AB664" s="37"/>
      <c r="AC664" s="37"/>
      <c r="AD664" s="37"/>
      <c r="AE664" s="37"/>
      <c r="AF664" s="37"/>
      <c r="AG664" s="37"/>
    </row>
    <row r="665" ht="14.25" customHeight="1">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c r="AA665" s="37"/>
      <c r="AB665" s="37"/>
      <c r="AC665" s="37"/>
      <c r="AD665" s="37"/>
      <c r="AE665" s="37"/>
      <c r="AF665" s="37"/>
      <c r="AG665" s="37"/>
    </row>
    <row r="666" ht="14.25" customHeight="1">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c r="AA666" s="37"/>
      <c r="AB666" s="37"/>
      <c r="AC666" s="37"/>
      <c r="AD666" s="37"/>
      <c r="AE666" s="37"/>
      <c r="AF666" s="37"/>
      <c r="AG666" s="37"/>
    </row>
    <row r="667" ht="14.25" customHeight="1">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c r="AA667" s="37"/>
      <c r="AB667" s="37"/>
      <c r="AC667" s="37"/>
      <c r="AD667" s="37"/>
      <c r="AE667" s="37"/>
      <c r="AF667" s="37"/>
      <c r="AG667" s="37"/>
    </row>
    <row r="668" ht="14.25" customHeight="1">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c r="AA668" s="37"/>
      <c r="AB668" s="37"/>
      <c r="AC668" s="37"/>
      <c r="AD668" s="37"/>
      <c r="AE668" s="37"/>
      <c r="AF668" s="37"/>
      <c r="AG668" s="37"/>
    </row>
    <row r="669" ht="14.25" customHeight="1">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c r="AA669" s="37"/>
      <c r="AB669" s="37"/>
      <c r="AC669" s="37"/>
      <c r="AD669" s="37"/>
      <c r="AE669" s="37"/>
      <c r="AF669" s="37"/>
      <c r="AG669" s="37"/>
    </row>
    <row r="670" ht="14.25" customHeight="1">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c r="AA670" s="37"/>
      <c r="AB670" s="37"/>
      <c r="AC670" s="37"/>
      <c r="AD670" s="37"/>
      <c r="AE670" s="37"/>
      <c r="AF670" s="37"/>
      <c r="AG670" s="37"/>
    </row>
    <row r="671" ht="14.25" customHeight="1">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c r="AA671" s="37"/>
      <c r="AB671" s="37"/>
      <c r="AC671" s="37"/>
      <c r="AD671" s="37"/>
      <c r="AE671" s="37"/>
      <c r="AF671" s="37"/>
      <c r="AG671" s="37"/>
    </row>
    <row r="672" ht="14.25" customHeight="1">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c r="AA672" s="37"/>
      <c r="AB672" s="37"/>
      <c r="AC672" s="37"/>
      <c r="AD672" s="37"/>
      <c r="AE672" s="37"/>
      <c r="AF672" s="37"/>
      <c r="AG672" s="37"/>
    </row>
    <row r="673" ht="14.25" customHeight="1">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c r="AA673" s="37"/>
      <c r="AB673" s="37"/>
      <c r="AC673" s="37"/>
      <c r="AD673" s="37"/>
      <c r="AE673" s="37"/>
      <c r="AF673" s="37"/>
      <c r="AG673" s="37"/>
    </row>
    <row r="674" ht="14.25" customHeight="1">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c r="AA674" s="37"/>
      <c r="AB674" s="37"/>
      <c r="AC674" s="37"/>
      <c r="AD674" s="37"/>
      <c r="AE674" s="37"/>
      <c r="AF674" s="37"/>
      <c r="AG674" s="37"/>
    </row>
    <row r="675" ht="14.25" customHeight="1">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c r="AA675" s="37"/>
      <c r="AB675" s="37"/>
      <c r="AC675" s="37"/>
      <c r="AD675" s="37"/>
      <c r="AE675" s="37"/>
      <c r="AF675" s="37"/>
      <c r="AG675" s="37"/>
    </row>
    <row r="676" ht="14.25" customHeight="1">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c r="AA676" s="37"/>
      <c r="AB676" s="37"/>
      <c r="AC676" s="37"/>
      <c r="AD676" s="37"/>
      <c r="AE676" s="37"/>
      <c r="AF676" s="37"/>
      <c r="AG676" s="37"/>
    </row>
    <row r="677" ht="14.25" customHeight="1">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c r="AA677" s="37"/>
      <c r="AB677" s="37"/>
      <c r="AC677" s="37"/>
      <c r="AD677" s="37"/>
      <c r="AE677" s="37"/>
      <c r="AF677" s="37"/>
      <c r="AG677" s="37"/>
    </row>
    <row r="678" ht="14.25" customHeight="1">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c r="AA678" s="37"/>
      <c r="AB678" s="37"/>
      <c r="AC678" s="37"/>
      <c r="AD678" s="37"/>
      <c r="AE678" s="37"/>
      <c r="AF678" s="37"/>
      <c r="AG678" s="37"/>
    </row>
    <row r="679" ht="14.25" customHeight="1">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c r="AA679" s="37"/>
      <c r="AB679" s="37"/>
      <c r="AC679" s="37"/>
      <c r="AD679" s="37"/>
      <c r="AE679" s="37"/>
      <c r="AF679" s="37"/>
      <c r="AG679" s="37"/>
    </row>
    <row r="680" ht="14.25" customHeight="1">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c r="AA680" s="37"/>
      <c r="AB680" s="37"/>
      <c r="AC680" s="37"/>
      <c r="AD680" s="37"/>
      <c r="AE680" s="37"/>
      <c r="AF680" s="37"/>
      <c r="AG680" s="37"/>
    </row>
    <row r="681" ht="14.25" customHeight="1">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c r="AA681" s="37"/>
      <c r="AB681" s="37"/>
      <c r="AC681" s="37"/>
      <c r="AD681" s="37"/>
      <c r="AE681" s="37"/>
      <c r="AF681" s="37"/>
      <c r="AG681" s="37"/>
    </row>
    <row r="682" ht="14.25" customHeight="1">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c r="AA682" s="37"/>
      <c r="AB682" s="37"/>
      <c r="AC682" s="37"/>
      <c r="AD682" s="37"/>
      <c r="AE682" s="37"/>
      <c r="AF682" s="37"/>
      <c r="AG682" s="37"/>
    </row>
    <row r="683" ht="14.25" customHeight="1">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c r="AA683" s="37"/>
      <c r="AB683" s="37"/>
      <c r="AC683" s="37"/>
      <c r="AD683" s="37"/>
      <c r="AE683" s="37"/>
      <c r="AF683" s="37"/>
      <c r="AG683" s="37"/>
    </row>
    <row r="684" ht="14.25" customHeight="1">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c r="AA684" s="37"/>
      <c r="AB684" s="37"/>
      <c r="AC684" s="37"/>
      <c r="AD684" s="37"/>
      <c r="AE684" s="37"/>
      <c r="AF684" s="37"/>
      <c r="AG684" s="37"/>
    </row>
    <row r="685" ht="14.25" customHeight="1">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c r="AA685" s="37"/>
      <c r="AB685" s="37"/>
      <c r="AC685" s="37"/>
      <c r="AD685" s="37"/>
      <c r="AE685" s="37"/>
      <c r="AF685" s="37"/>
      <c r="AG685" s="37"/>
    </row>
    <row r="686" ht="14.25" customHeight="1">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c r="AA686" s="37"/>
      <c r="AB686" s="37"/>
      <c r="AC686" s="37"/>
      <c r="AD686" s="37"/>
      <c r="AE686" s="37"/>
      <c r="AF686" s="37"/>
      <c r="AG686" s="37"/>
    </row>
    <row r="687" ht="14.25" customHeight="1">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c r="AA687" s="37"/>
      <c r="AB687" s="37"/>
      <c r="AC687" s="37"/>
      <c r="AD687" s="37"/>
      <c r="AE687" s="37"/>
      <c r="AF687" s="37"/>
      <c r="AG687" s="37"/>
    </row>
    <row r="688" ht="14.25" customHeight="1">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c r="AA688" s="37"/>
      <c r="AB688" s="37"/>
      <c r="AC688" s="37"/>
      <c r="AD688" s="37"/>
      <c r="AE688" s="37"/>
      <c r="AF688" s="37"/>
      <c r="AG688" s="37"/>
    </row>
    <row r="689" ht="14.25" customHeight="1">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c r="AA689" s="37"/>
      <c r="AB689" s="37"/>
      <c r="AC689" s="37"/>
      <c r="AD689" s="37"/>
      <c r="AE689" s="37"/>
      <c r="AF689" s="37"/>
      <c r="AG689" s="37"/>
    </row>
    <row r="690" ht="14.25" customHeight="1">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c r="AA690" s="37"/>
      <c r="AB690" s="37"/>
      <c r="AC690" s="37"/>
      <c r="AD690" s="37"/>
      <c r="AE690" s="37"/>
      <c r="AF690" s="37"/>
      <c r="AG690" s="37"/>
    </row>
    <row r="691" ht="14.25" customHeight="1">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c r="AA691" s="37"/>
      <c r="AB691" s="37"/>
      <c r="AC691" s="37"/>
      <c r="AD691" s="37"/>
      <c r="AE691" s="37"/>
      <c r="AF691" s="37"/>
      <c r="AG691" s="37"/>
    </row>
    <row r="692" ht="14.25" customHeight="1">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c r="AA692" s="37"/>
      <c r="AB692" s="37"/>
      <c r="AC692" s="37"/>
      <c r="AD692" s="37"/>
      <c r="AE692" s="37"/>
      <c r="AF692" s="37"/>
      <c r="AG692" s="37"/>
    </row>
    <row r="693" ht="14.25" customHeight="1">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c r="AA693" s="37"/>
      <c r="AB693" s="37"/>
      <c r="AC693" s="37"/>
      <c r="AD693" s="37"/>
      <c r="AE693" s="37"/>
      <c r="AF693" s="37"/>
      <c r="AG693" s="37"/>
    </row>
    <row r="694" ht="14.25" customHeight="1">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c r="AA694" s="37"/>
      <c r="AB694" s="37"/>
      <c r="AC694" s="37"/>
      <c r="AD694" s="37"/>
      <c r="AE694" s="37"/>
      <c r="AF694" s="37"/>
      <c r="AG694" s="37"/>
    </row>
    <row r="695" ht="14.25" customHeight="1">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c r="AA695" s="37"/>
      <c r="AB695" s="37"/>
      <c r="AC695" s="37"/>
      <c r="AD695" s="37"/>
      <c r="AE695" s="37"/>
      <c r="AF695" s="37"/>
      <c r="AG695" s="37"/>
    </row>
    <row r="696" ht="14.25" customHeight="1">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c r="AA696" s="37"/>
      <c r="AB696" s="37"/>
      <c r="AC696" s="37"/>
      <c r="AD696" s="37"/>
      <c r="AE696" s="37"/>
      <c r="AF696" s="37"/>
      <c r="AG696" s="37"/>
    </row>
    <row r="697" ht="14.25" customHeight="1">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c r="AA697" s="37"/>
      <c r="AB697" s="37"/>
      <c r="AC697" s="37"/>
      <c r="AD697" s="37"/>
      <c r="AE697" s="37"/>
      <c r="AF697" s="37"/>
      <c r="AG697" s="37"/>
    </row>
    <row r="698" ht="14.25" customHeight="1">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c r="AA698" s="37"/>
      <c r="AB698" s="37"/>
      <c r="AC698" s="37"/>
      <c r="AD698" s="37"/>
      <c r="AE698" s="37"/>
      <c r="AF698" s="37"/>
      <c r="AG698" s="37"/>
    </row>
    <row r="699" ht="14.25" customHeight="1">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c r="AA699" s="37"/>
      <c r="AB699" s="37"/>
      <c r="AC699" s="37"/>
      <c r="AD699" s="37"/>
      <c r="AE699" s="37"/>
      <c r="AF699" s="37"/>
      <c r="AG699" s="37"/>
    </row>
    <row r="700" ht="14.25" customHeight="1">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c r="AA700" s="37"/>
      <c r="AB700" s="37"/>
      <c r="AC700" s="37"/>
      <c r="AD700" s="37"/>
      <c r="AE700" s="37"/>
      <c r="AF700" s="37"/>
      <c r="AG700" s="37"/>
    </row>
    <row r="701" ht="14.25" customHeight="1">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c r="AA701" s="37"/>
      <c r="AB701" s="37"/>
      <c r="AC701" s="37"/>
      <c r="AD701" s="37"/>
      <c r="AE701" s="37"/>
      <c r="AF701" s="37"/>
      <c r="AG701" s="37"/>
    </row>
    <row r="702" ht="14.25" customHeight="1">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c r="AA702" s="37"/>
      <c r="AB702" s="37"/>
      <c r="AC702" s="37"/>
      <c r="AD702" s="37"/>
      <c r="AE702" s="37"/>
      <c r="AF702" s="37"/>
      <c r="AG702" s="37"/>
    </row>
    <row r="703" ht="14.25" customHeight="1">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c r="AA703" s="37"/>
      <c r="AB703" s="37"/>
      <c r="AC703" s="37"/>
      <c r="AD703" s="37"/>
      <c r="AE703" s="37"/>
      <c r="AF703" s="37"/>
      <c r="AG703" s="37"/>
    </row>
    <row r="704" ht="14.25" customHeight="1">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c r="AA704" s="37"/>
      <c r="AB704" s="37"/>
      <c r="AC704" s="37"/>
      <c r="AD704" s="37"/>
      <c r="AE704" s="37"/>
      <c r="AF704" s="37"/>
      <c r="AG704" s="37"/>
    </row>
    <row r="705" ht="14.25" customHeight="1">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c r="AA705" s="37"/>
      <c r="AB705" s="37"/>
      <c r="AC705" s="37"/>
      <c r="AD705" s="37"/>
      <c r="AE705" s="37"/>
      <c r="AF705" s="37"/>
      <c r="AG705" s="37"/>
    </row>
    <row r="706" ht="14.25" customHeight="1">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c r="AA706" s="37"/>
      <c r="AB706" s="37"/>
      <c r="AC706" s="37"/>
      <c r="AD706" s="37"/>
      <c r="AE706" s="37"/>
      <c r="AF706" s="37"/>
      <c r="AG706" s="37"/>
    </row>
    <row r="707" ht="14.25" customHeight="1">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c r="AA707" s="37"/>
      <c r="AB707" s="37"/>
      <c r="AC707" s="37"/>
      <c r="AD707" s="37"/>
      <c r="AE707" s="37"/>
      <c r="AF707" s="37"/>
      <c r="AG707" s="37"/>
    </row>
    <row r="708" ht="14.25" customHeight="1">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c r="AA708" s="37"/>
      <c r="AB708" s="37"/>
      <c r="AC708" s="37"/>
      <c r="AD708" s="37"/>
      <c r="AE708" s="37"/>
      <c r="AF708" s="37"/>
      <c r="AG708" s="37"/>
    </row>
    <row r="709" ht="14.25" customHeight="1">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c r="AA709" s="37"/>
      <c r="AB709" s="37"/>
      <c r="AC709" s="37"/>
      <c r="AD709" s="37"/>
      <c r="AE709" s="37"/>
      <c r="AF709" s="37"/>
      <c r="AG709" s="37"/>
    </row>
    <row r="710" ht="14.25" customHeight="1">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c r="AA710" s="37"/>
      <c r="AB710" s="37"/>
      <c r="AC710" s="37"/>
      <c r="AD710" s="37"/>
      <c r="AE710" s="37"/>
      <c r="AF710" s="37"/>
      <c r="AG710" s="37"/>
    </row>
    <row r="711" ht="14.25" customHeight="1">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c r="AA711" s="37"/>
      <c r="AB711" s="37"/>
      <c r="AC711" s="37"/>
      <c r="AD711" s="37"/>
      <c r="AE711" s="37"/>
      <c r="AF711" s="37"/>
      <c r="AG711" s="37"/>
    </row>
    <row r="712" ht="14.25" customHeight="1">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c r="AA712" s="37"/>
      <c r="AB712" s="37"/>
      <c r="AC712" s="37"/>
      <c r="AD712" s="37"/>
      <c r="AE712" s="37"/>
      <c r="AF712" s="37"/>
      <c r="AG712" s="37"/>
    </row>
    <row r="713" ht="14.25" customHeight="1">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c r="AA713" s="37"/>
      <c r="AB713" s="37"/>
      <c r="AC713" s="37"/>
      <c r="AD713" s="37"/>
      <c r="AE713" s="37"/>
      <c r="AF713" s="37"/>
      <c r="AG713" s="37"/>
    </row>
    <row r="714" ht="14.25" customHeight="1">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c r="AA714" s="37"/>
      <c r="AB714" s="37"/>
      <c r="AC714" s="37"/>
      <c r="AD714" s="37"/>
      <c r="AE714" s="37"/>
      <c r="AF714" s="37"/>
      <c r="AG714" s="37"/>
    </row>
    <row r="715" ht="14.25" customHeight="1">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c r="AA715" s="37"/>
      <c r="AB715" s="37"/>
      <c r="AC715" s="37"/>
      <c r="AD715" s="37"/>
      <c r="AE715" s="37"/>
      <c r="AF715" s="37"/>
      <c r="AG715" s="37"/>
    </row>
    <row r="716" ht="14.25" customHeight="1">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c r="AA716" s="37"/>
      <c r="AB716" s="37"/>
      <c r="AC716" s="37"/>
      <c r="AD716" s="37"/>
      <c r="AE716" s="37"/>
      <c r="AF716" s="37"/>
      <c r="AG716" s="37"/>
    </row>
    <row r="717" ht="14.25" customHeight="1">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c r="AA717" s="37"/>
      <c r="AB717" s="37"/>
      <c r="AC717" s="37"/>
      <c r="AD717" s="37"/>
      <c r="AE717" s="37"/>
      <c r="AF717" s="37"/>
      <c r="AG717" s="37"/>
    </row>
    <row r="718" ht="14.25" customHeight="1">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c r="AA718" s="37"/>
      <c r="AB718" s="37"/>
      <c r="AC718" s="37"/>
      <c r="AD718" s="37"/>
      <c r="AE718" s="37"/>
      <c r="AF718" s="37"/>
      <c r="AG718" s="37"/>
    </row>
    <row r="719" ht="14.25" customHeight="1">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c r="AA719" s="37"/>
      <c r="AB719" s="37"/>
      <c r="AC719" s="37"/>
      <c r="AD719" s="37"/>
      <c r="AE719" s="37"/>
      <c r="AF719" s="37"/>
      <c r="AG719" s="37"/>
    </row>
    <row r="720" ht="14.25" customHeight="1">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c r="AA720" s="37"/>
      <c r="AB720" s="37"/>
      <c r="AC720" s="37"/>
      <c r="AD720" s="37"/>
      <c r="AE720" s="37"/>
      <c r="AF720" s="37"/>
      <c r="AG720" s="37"/>
    </row>
    <row r="721" ht="14.25" customHeight="1">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c r="AA721" s="37"/>
      <c r="AB721" s="37"/>
      <c r="AC721" s="37"/>
      <c r="AD721" s="37"/>
      <c r="AE721" s="37"/>
      <c r="AF721" s="37"/>
      <c r="AG721" s="37"/>
    </row>
    <row r="722" ht="14.25" customHeight="1">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c r="AA722" s="37"/>
      <c r="AB722" s="37"/>
      <c r="AC722" s="37"/>
      <c r="AD722" s="37"/>
      <c r="AE722" s="37"/>
      <c r="AF722" s="37"/>
      <c r="AG722" s="37"/>
    </row>
    <row r="723" ht="14.25" customHeight="1">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c r="AA723" s="37"/>
      <c r="AB723" s="37"/>
      <c r="AC723" s="37"/>
      <c r="AD723" s="37"/>
      <c r="AE723" s="37"/>
      <c r="AF723" s="37"/>
      <c r="AG723" s="37"/>
    </row>
    <row r="724" ht="14.25" customHeight="1">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c r="AA724" s="37"/>
      <c r="AB724" s="37"/>
      <c r="AC724" s="37"/>
      <c r="AD724" s="37"/>
      <c r="AE724" s="37"/>
      <c r="AF724" s="37"/>
      <c r="AG724" s="37"/>
    </row>
    <row r="725" ht="14.25" customHeight="1">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c r="AA725" s="37"/>
      <c r="AB725" s="37"/>
      <c r="AC725" s="37"/>
      <c r="AD725" s="37"/>
      <c r="AE725" s="37"/>
      <c r="AF725" s="37"/>
      <c r="AG725" s="37"/>
    </row>
    <row r="726" ht="14.25" customHeight="1">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c r="AA726" s="37"/>
      <c r="AB726" s="37"/>
      <c r="AC726" s="37"/>
      <c r="AD726" s="37"/>
      <c r="AE726" s="37"/>
      <c r="AF726" s="37"/>
      <c r="AG726" s="37"/>
    </row>
    <row r="727" ht="14.25" customHeight="1">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c r="AA727" s="37"/>
      <c r="AB727" s="37"/>
      <c r="AC727" s="37"/>
      <c r="AD727" s="37"/>
      <c r="AE727" s="37"/>
      <c r="AF727" s="37"/>
      <c r="AG727" s="37"/>
    </row>
    <row r="728" ht="14.25" customHeight="1">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c r="AA728" s="37"/>
      <c r="AB728" s="37"/>
      <c r="AC728" s="37"/>
      <c r="AD728" s="37"/>
      <c r="AE728" s="37"/>
      <c r="AF728" s="37"/>
      <c r="AG728" s="37"/>
    </row>
    <row r="729" ht="14.25" customHeight="1">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c r="AA729" s="37"/>
      <c r="AB729" s="37"/>
      <c r="AC729" s="37"/>
      <c r="AD729" s="37"/>
      <c r="AE729" s="37"/>
      <c r="AF729" s="37"/>
      <c r="AG729" s="37"/>
    </row>
    <row r="730" ht="14.25" customHeight="1">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c r="AA730" s="37"/>
      <c r="AB730" s="37"/>
      <c r="AC730" s="37"/>
      <c r="AD730" s="37"/>
      <c r="AE730" s="37"/>
      <c r="AF730" s="37"/>
      <c r="AG730" s="37"/>
    </row>
    <row r="731" ht="14.25" customHeight="1">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c r="AA731" s="37"/>
      <c r="AB731" s="37"/>
      <c r="AC731" s="37"/>
      <c r="AD731" s="37"/>
      <c r="AE731" s="37"/>
      <c r="AF731" s="37"/>
      <c r="AG731" s="37"/>
    </row>
    <row r="732" ht="14.25" customHeight="1">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c r="AA732" s="37"/>
      <c r="AB732" s="37"/>
      <c r="AC732" s="37"/>
      <c r="AD732" s="37"/>
      <c r="AE732" s="37"/>
      <c r="AF732" s="37"/>
      <c r="AG732" s="37"/>
    </row>
    <row r="733" ht="14.25" customHeight="1">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c r="AA733" s="37"/>
      <c r="AB733" s="37"/>
      <c r="AC733" s="37"/>
      <c r="AD733" s="37"/>
      <c r="AE733" s="37"/>
      <c r="AF733" s="37"/>
      <c r="AG733" s="37"/>
    </row>
    <row r="734" ht="14.25" customHeight="1">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c r="AA734" s="37"/>
      <c r="AB734" s="37"/>
      <c r="AC734" s="37"/>
      <c r="AD734" s="37"/>
      <c r="AE734" s="37"/>
      <c r="AF734" s="37"/>
      <c r="AG734" s="37"/>
    </row>
    <row r="735" ht="14.25" customHeight="1">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c r="AA735" s="37"/>
      <c r="AB735" s="37"/>
      <c r="AC735" s="37"/>
      <c r="AD735" s="37"/>
      <c r="AE735" s="37"/>
      <c r="AF735" s="37"/>
      <c r="AG735" s="37"/>
    </row>
    <row r="736" ht="14.25" customHeight="1">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c r="AA736" s="37"/>
      <c r="AB736" s="37"/>
      <c r="AC736" s="37"/>
      <c r="AD736" s="37"/>
      <c r="AE736" s="37"/>
      <c r="AF736" s="37"/>
      <c r="AG736" s="37"/>
    </row>
    <row r="737" ht="14.25" customHeight="1">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c r="AA737" s="37"/>
      <c r="AB737" s="37"/>
      <c r="AC737" s="37"/>
      <c r="AD737" s="37"/>
      <c r="AE737" s="37"/>
      <c r="AF737" s="37"/>
      <c r="AG737" s="37"/>
    </row>
    <row r="738" ht="14.25" customHeight="1">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c r="AA738" s="37"/>
      <c r="AB738" s="37"/>
      <c r="AC738" s="37"/>
      <c r="AD738" s="37"/>
      <c r="AE738" s="37"/>
      <c r="AF738" s="37"/>
      <c r="AG738" s="37"/>
    </row>
    <row r="739" ht="14.25" customHeight="1">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c r="AA739" s="37"/>
      <c r="AB739" s="37"/>
      <c r="AC739" s="37"/>
      <c r="AD739" s="37"/>
      <c r="AE739" s="37"/>
      <c r="AF739" s="37"/>
      <c r="AG739" s="37"/>
    </row>
    <row r="740" ht="14.25" customHeight="1">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c r="AA740" s="37"/>
      <c r="AB740" s="37"/>
      <c r="AC740" s="37"/>
      <c r="AD740" s="37"/>
      <c r="AE740" s="37"/>
      <c r="AF740" s="37"/>
      <c r="AG740" s="37"/>
    </row>
    <row r="741" ht="14.25" customHeight="1">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c r="AA741" s="37"/>
      <c r="AB741" s="37"/>
      <c r="AC741" s="37"/>
      <c r="AD741" s="37"/>
      <c r="AE741" s="37"/>
      <c r="AF741" s="37"/>
      <c r="AG741" s="37"/>
    </row>
    <row r="742" ht="14.25" customHeight="1">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c r="AA742" s="37"/>
      <c r="AB742" s="37"/>
      <c r="AC742" s="37"/>
      <c r="AD742" s="37"/>
      <c r="AE742" s="37"/>
      <c r="AF742" s="37"/>
      <c r="AG742" s="37"/>
    </row>
    <row r="743" ht="14.25" customHeight="1">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c r="AA743" s="37"/>
      <c r="AB743" s="37"/>
      <c r="AC743" s="37"/>
      <c r="AD743" s="37"/>
      <c r="AE743" s="37"/>
      <c r="AF743" s="37"/>
      <c r="AG743" s="37"/>
    </row>
    <row r="744" ht="14.25" customHeight="1">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c r="AA744" s="37"/>
      <c r="AB744" s="37"/>
      <c r="AC744" s="37"/>
      <c r="AD744" s="37"/>
      <c r="AE744" s="37"/>
      <c r="AF744" s="37"/>
      <c r="AG744" s="37"/>
    </row>
    <row r="745" ht="14.25" customHeight="1">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c r="AA745" s="37"/>
      <c r="AB745" s="37"/>
      <c r="AC745" s="37"/>
      <c r="AD745" s="37"/>
      <c r="AE745" s="37"/>
      <c r="AF745" s="37"/>
      <c r="AG745" s="37"/>
    </row>
    <row r="746" ht="14.25" customHeight="1">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c r="AA746" s="37"/>
      <c r="AB746" s="37"/>
      <c r="AC746" s="37"/>
      <c r="AD746" s="37"/>
      <c r="AE746" s="37"/>
      <c r="AF746" s="37"/>
      <c r="AG746" s="37"/>
    </row>
    <row r="747" ht="14.25" customHeight="1">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c r="AA747" s="37"/>
      <c r="AB747" s="37"/>
      <c r="AC747" s="37"/>
      <c r="AD747" s="37"/>
      <c r="AE747" s="37"/>
      <c r="AF747" s="37"/>
      <c r="AG747" s="37"/>
    </row>
    <row r="748" ht="14.25" customHeight="1">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c r="AA748" s="37"/>
      <c r="AB748" s="37"/>
      <c r="AC748" s="37"/>
      <c r="AD748" s="37"/>
      <c r="AE748" s="37"/>
      <c r="AF748" s="37"/>
      <c r="AG748" s="37"/>
    </row>
    <row r="749" ht="14.25" customHeight="1">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c r="AA749" s="37"/>
      <c r="AB749" s="37"/>
      <c r="AC749" s="37"/>
      <c r="AD749" s="37"/>
      <c r="AE749" s="37"/>
      <c r="AF749" s="37"/>
      <c r="AG749" s="37"/>
    </row>
    <row r="750" ht="14.25" customHeight="1">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c r="AA750" s="37"/>
      <c r="AB750" s="37"/>
      <c r="AC750" s="37"/>
      <c r="AD750" s="37"/>
      <c r="AE750" s="37"/>
      <c r="AF750" s="37"/>
      <c r="AG750" s="37"/>
    </row>
    <row r="751" ht="14.25" customHeight="1">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c r="AA751" s="37"/>
      <c r="AB751" s="37"/>
      <c r="AC751" s="37"/>
      <c r="AD751" s="37"/>
      <c r="AE751" s="37"/>
      <c r="AF751" s="37"/>
      <c r="AG751" s="37"/>
    </row>
    <row r="752" ht="14.25" customHeight="1">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c r="AA752" s="37"/>
      <c r="AB752" s="37"/>
      <c r="AC752" s="37"/>
      <c r="AD752" s="37"/>
      <c r="AE752" s="37"/>
      <c r="AF752" s="37"/>
      <c r="AG752" s="37"/>
    </row>
    <row r="753" ht="14.25" customHeight="1">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c r="AA753" s="37"/>
      <c r="AB753" s="37"/>
      <c r="AC753" s="37"/>
      <c r="AD753" s="37"/>
      <c r="AE753" s="37"/>
      <c r="AF753" s="37"/>
      <c r="AG753" s="37"/>
    </row>
    <row r="754" ht="14.25" customHeight="1">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c r="AA754" s="37"/>
      <c r="AB754" s="37"/>
      <c r="AC754" s="37"/>
      <c r="AD754" s="37"/>
      <c r="AE754" s="37"/>
      <c r="AF754" s="37"/>
      <c r="AG754" s="37"/>
    </row>
    <row r="755" ht="14.25" customHeight="1">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c r="AA755" s="37"/>
      <c r="AB755" s="37"/>
      <c r="AC755" s="37"/>
      <c r="AD755" s="37"/>
      <c r="AE755" s="37"/>
      <c r="AF755" s="37"/>
      <c r="AG755" s="37"/>
    </row>
    <row r="756" ht="14.25" customHeight="1">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c r="AA756" s="37"/>
      <c r="AB756" s="37"/>
      <c r="AC756" s="37"/>
      <c r="AD756" s="37"/>
      <c r="AE756" s="37"/>
      <c r="AF756" s="37"/>
      <c r="AG756" s="37"/>
    </row>
    <row r="757" ht="14.25" customHeight="1">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c r="AA757" s="37"/>
      <c r="AB757" s="37"/>
      <c r="AC757" s="37"/>
      <c r="AD757" s="37"/>
      <c r="AE757" s="37"/>
      <c r="AF757" s="37"/>
      <c r="AG757" s="37"/>
    </row>
    <row r="758" ht="14.25" customHeight="1">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c r="AA758" s="37"/>
      <c r="AB758" s="37"/>
      <c r="AC758" s="37"/>
      <c r="AD758" s="37"/>
      <c r="AE758" s="37"/>
      <c r="AF758" s="37"/>
      <c r="AG758" s="37"/>
    </row>
    <row r="759" ht="14.25" customHeight="1">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c r="AA759" s="37"/>
      <c r="AB759" s="37"/>
      <c r="AC759" s="37"/>
      <c r="AD759" s="37"/>
      <c r="AE759" s="37"/>
      <c r="AF759" s="37"/>
      <c r="AG759" s="37"/>
    </row>
    <row r="760" ht="14.25" customHeight="1">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c r="AA760" s="37"/>
      <c r="AB760" s="37"/>
      <c r="AC760" s="37"/>
      <c r="AD760" s="37"/>
      <c r="AE760" s="37"/>
      <c r="AF760" s="37"/>
      <c r="AG760" s="37"/>
    </row>
    <row r="761" ht="14.25" customHeight="1">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c r="AA761" s="37"/>
      <c r="AB761" s="37"/>
      <c r="AC761" s="37"/>
      <c r="AD761" s="37"/>
      <c r="AE761" s="37"/>
      <c r="AF761" s="37"/>
      <c r="AG761" s="37"/>
    </row>
    <row r="762" ht="14.25" customHeight="1">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c r="AA762" s="37"/>
      <c r="AB762" s="37"/>
      <c r="AC762" s="37"/>
      <c r="AD762" s="37"/>
      <c r="AE762" s="37"/>
      <c r="AF762" s="37"/>
      <c r="AG762" s="37"/>
    </row>
    <row r="763" ht="14.25" customHeight="1">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c r="AA763" s="37"/>
      <c r="AB763" s="37"/>
      <c r="AC763" s="37"/>
      <c r="AD763" s="37"/>
      <c r="AE763" s="37"/>
      <c r="AF763" s="37"/>
      <c r="AG763" s="37"/>
    </row>
    <row r="764" ht="14.25" customHeight="1">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c r="AA764" s="37"/>
      <c r="AB764" s="37"/>
      <c r="AC764" s="37"/>
      <c r="AD764" s="37"/>
      <c r="AE764" s="37"/>
      <c r="AF764" s="37"/>
      <c r="AG764" s="37"/>
    </row>
    <row r="765" ht="14.25" customHeight="1">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c r="AA765" s="37"/>
      <c r="AB765" s="37"/>
      <c r="AC765" s="37"/>
      <c r="AD765" s="37"/>
      <c r="AE765" s="37"/>
      <c r="AF765" s="37"/>
      <c r="AG765" s="37"/>
    </row>
    <row r="766" ht="14.25" customHeight="1">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c r="AA766" s="37"/>
      <c r="AB766" s="37"/>
      <c r="AC766" s="37"/>
      <c r="AD766" s="37"/>
      <c r="AE766" s="37"/>
      <c r="AF766" s="37"/>
      <c r="AG766" s="37"/>
    </row>
    <row r="767" ht="14.25" customHeight="1">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c r="AA767" s="37"/>
      <c r="AB767" s="37"/>
      <c r="AC767" s="37"/>
      <c r="AD767" s="37"/>
      <c r="AE767" s="37"/>
      <c r="AF767" s="37"/>
      <c r="AG767" s="37"/>
    </row>
    <row r="768" ht="14.25" customHeight="1">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c r="AA768" s="37"/>
      <c r="AB768" s="37"/>
      <c r="AC768" s="37"/>
      <c r="AD768" s="37"/>
      <c r="AE768" s="37"/>
      <c r="AF768" s="37"/>
      <c r="AG768" s="37"/>
    </row>
    <row r="769" ht="14.25" customHeight="1">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c r="AA769" s="37"/>
      <c r="AB769" s="37"/>
      <c r="AC769" s="37"/>
      <c r="AD769" s="37"/>
      <c r="AE769" s="37"/>
      <c r="AF769" s="37"/>
      <c r="AG769" s="37"/>
    </row>
    <row r="770" ht="14.25" customHeight="1">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c r="AA770" s="37"/>
      <c r="AB770" s="37"/>
      <c r="AC770" s="37"/>
      <c r="AD770" s="37"/>
      <c r="AE770" s="37"/>
      <c r="AF770" s="37"/>
      <c r="AG770" s="37"/>
    </row>
    <row r="771" ht="14.25" customHeight="1">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c r="AA771" s="37"/>
      <c r="AB771" s="37"/>
      <c r="AC771" s="37"/>
      <c r="AD771" s="37"/>
      <c r="AE771" s="37"/>
      <c r="AF771" s="37"/>
      <c r="AG771" s="37"/>
    </row>
    <row r="772" ht="14.25" customHeight="1">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c r="AA772" s="37"/>
      <c r="AB772" s="37"/>
      <c r="AC772" s="37"/>
      <c r="AD772" s="37"/>
      <c r="AE772" s="37"/>
      <c r="AF772" s="37"/>
      <c r="AG772" s="37"/>
    </row>
    <row r="773" ht="14.25" customHeight="1">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c r="AA773" s="37"/>
      <c r="AB773" s="37"/>
      <c r="AC773" s="37"/>
      <c r="AD773" s="37"/>
      <c r="AE773" s="37"/>
      <c r="AF773" s="37"/>
      <c r="AG773" s="37"/>
    </row>
    <row r="774" ht="14.25" customHeight="1">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c r="AA774" s="37"/>
      <c r="AB774" s="37"/>
      <c r="AC774" s="37"/>
      <c r="AD774" s="37"/>
      <c r="AE774" s="37"/>
      <c r="AF774" s="37"/>
      <c r="AG774" s="37"/>
    </row>
    <row r="775" ht="14.25" customHeight="1">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c r="AA775" s="37"/>
      <c r="AB775" s="37"/>
      <c r="AC775" s="37"/>
      <c r="AD775" s="37"/>
      <c r="AE775" s="37"/>
      <c r="AF775" s="37"/>
      <c r="AG775" s="37"/>
    </row>
    <row r="776" ht="14.25" customHeight="1">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c r="AA776" s="37"/>
      <c r="AB776" s="37"/>
      <c r="AC776" s="37"/>
      <c r="AD776" s="37"/>
      <c r="AE776" s="37"/>
      <c r="AF776" s="37"/>
      <c r="AG776" s="37"/>
    </row>
    <row r="777" ht="14.25" customHeight="1">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c r="AA777" s="37"/>
      <c r="AB777" s="37"/>
      <c r="AC777" s="37"/>
      <c r="AD777" s="37"/>
      <c r="AE777" s="37"/>
      <c r="AF777" s="37"/>
      <c r="AG777" s="37"/>
    </row>
    <row r="778" ht="14.25" customHeight="1">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c r="AA778" s="37"/>
      <c r="AB778" s="37"/>
      <c r="AC778" s="37"/>
      <c r="AD778" s="37"/>
      <c r="AE778" s="37"/>
      <c r="AF778" s="37"/>
      <c r="AG778" s="37"/>
    </row>
    <row r="779" ht="14.25" customHeight="1">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c r="AA779" s="37"/>
      <c r="AB779" s="37"/>
      <c r="AC779" s="37"/>
      <c r="AD779" s="37"/>
      <c r="AE779" s="37"/>
      <c r="AF779" s="37"/>
      <c r="AG779" s="37"/>
    </row>
    <row r="780" ht="14.25" customHeight="1">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c r="AA780" s="37"/>
      <c r="AB780" s="37"/>
      <c r="AC780" s="37"/>
      <c r="AD780" s="37"/>
      <c r="AE780" s="37"/>
      <c r="AF780" s="37"/>
      <c r="AG780" s="37"/>
    </row>
    <row r="781" ht="14.25" customHeight="1">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c r="AA781" s="37"/>
      <c r="AB781" s="37"/>
      <c r="AC781" s="37"/>
      <c r="AD781" s="37"/>
      <c r="AE781" s="37"/>
      <c r="AF781" s="37"/>
      <c r="AG781" s="37"/>
    </row>
    <row r="782" ht="14.25" customHeight="1">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c r="AA782" s="37"/>
      <c r="AB782" s="37"/>
      <c r="AC782" s="37"/>
      <c r="AD782" s="37"/>
      <c r="AE782" s="37"/>
      <c r="AF782" s="37"/>
      <c r="AG782" s="37"/>
    </row>
    <row r="783" ht="14.25" customHeight="1">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c r="AA783" s="37"/>
      <c r="AB783" s="37"/>
      <c r="AC783" s="37"/>
      <c r="AD783" s="37"/>
      <c r="AE783" s="37"/>
      <c r="AF783" s="37"/>
      <c r="AG783" s="37"/>
    </row>
    <row r="784" ht="14.25" customHeight="1">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c r="AA784" s="37"/>
      <c r="AB784" s="37"/>
      <c r="AC784" s="37"/>
      <c r="AD784" s="37"/>
      <c r="AE784" s="37"/>
      <c r="AF784" s="37"/>
      <c r="AG784" s="37"/>
    </row>
    <row r="785" ht="14.25" customHeight="1">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c r="AA785" s="37"/>
      <c r="AB785" s="37"/>
      <c r="AC785" s="37"/>
      <c r="AD785" s="37"/>
      <c r="AE785" s="37"/>
      <c r="AF785" s="37"/>
      <c r="AG785" s="37"/>
    </row>
    <row r="786" ht="14.25" customHeight="1">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c r="AA786" s="37"/>
      <c r="AB786" s="37"/>
      <c r="AC786" s="37"/>
      <c r="AD786" s="37"/>
      <c r="AE786" s="37"/>
      <c r="AF786" s="37"/>
      <c r="AG786" s="37"/>
    </row>
    <row r="787" ht="14.25" customHeight="1">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c r="AA787" s="37"/>
      <c r="AB787" s="37"/>
      <c r="AC787" s="37"/>
      <c r="AD787" s="37"/>
      <c r="AE787" s="37"/>
      <c r="AF787" s="37"/>
      <c r="AG787" s="37"/>
    </row>
    <row r="788" ht="14.25" customHeight="1">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c r="AA788" s="37"/>
      <c r="AB788" s="37"/>
      <c r="AC788" s="37"/>
      <c r="AD788" s="37"/>
      <c r="AE788" s="37"/>
      <c r="AF788" s="37"/>
      <c r="AG788" s="37"/>
    </row>
    <row r="789" ht="14.25" customHeight="1">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c r="AA789" s="37"/>
      <c r="AB789" s="37"/>
      <c r="AC789" s="37"/>
      <c r="AD789" s="37"/>
      <c r="AE789" s="37"/>
      <c r="AF789" s="37"/>
      <c r="AG789" s="37"/>
    </row>
    <row r="790" ht="14.25" customHeight="1">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c r="AA790" s="37"/>
      <c r="AB790" s="37"/>
      <c r="AC790" s="37"/>
      <c r="AD790" s="37"/>
      <c r="AE790" s="37"/>
      <c r="AF790" s="37"/>
      <c r="AG790" s="37"/>
    </row>
    <row r="791" ht="14.25" customHeight="1">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c r="AA791" s="37"/>
      <c r="AB791" s="37"/>
      <c r="AC791" s="37"/>
      <c r="AD791" s="37"/>
      <c r="AE791" s="37"/>
      <c r="AF791" s="37"/>
      <c r="AG791" s="37"/>
    </row>
    <row r="792" ht="14.25" customHeight="1">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c r="AA792" s="37"/>
      <c r="AB792" s="37"/>
      <c r="AC792" s="37"/>
      <c r="AD792" s="37"/>
      <c r="AE792" s="37"/>
      <c r="AF792" s="37"/>
      <c r="AG792" s="37"/>
    </row>
    <row r="793" ht="14.25" customHeight="1">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c r="AA793" s="37"/>
      <c r="AB793" s="37"/>
      <c r="AC793" s="37"/>
      <c r="AD793" s="37"/>
      <c r="AE793" s="37"/>
      <c r="AF793" s="37"/>
      <c r="AG793" s="37"/>
    </row>
    <row r="794" ht="14.25" customHeight="1">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c r="AA794" s="37"/>
      <c r="AB794" s="37"/>
      <c r="AC794" s="37"/>
      <c r="AD794" s="37"/>
      <c r="AE794" s="37"/>
      <c r="AF794" s="37"/>
      <c r="AG794" s="37"/>
    </row>
    <row r="795" ht="14.25" customHeight="1">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c r="AA795" s="37"/>
      <c r="AB795" s="37"/>
      <c r="AC795" s="37"/>
      <c r="AD795" s="37"/>
      <c r="AE795" s="37"/>
      <c r="AF795" s="37"/>
      <c r="AG795" s="37"/>
    </row>
    <row r="796" ht="14.25" customHeight="1">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c r="AA796" s="37"/>
      <c r="AB796" s="37"/>
      <c r="AC796" s="37"/>
      <c r="AD796" s="37"/>
      <c r="AE796" s="37"/>
      <c r="AF796" s="37"/>
      <c r="AG796" s="37"/>
    </row>
    <row r="797" ht="14.25" customHeight="1">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c r="AA797" s="37"/>
      <c r="AB797" s="37"/>
      <c r="AC797" s="37"/>
      <c r="AD797" s="37"/>
      <c r="AE797" s="37"/>
      <c r="AF797" s="37"/>
      <c r="AG797" s="37"/>
    </row>
    <row r="798" ht="14.25" customHeight="1">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c r="AA798" s="37"/>
      <c r="AB798" s="37"/>
      <c r="AC798" s="37"/>
      <c r="AD798" s="37"/>
      <c r="AE798" s="37"/>
      <c r="AF798" s="37"/>
      <c r="AG798" s="37"/>
    </row>
    <row r="799" ht="14.25" customHeight="1">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c r="AA799" s="37"/>
      <c r="AB799" s="37"/>
      <c r="AC799" s="37"/>
      <c r="AD799" s="37"/>
      <c r="AE799" s="37"/>
      <c r="AF799" s="37"/>
      <c r="AG799" s="37"/>
    </row>
    <row r="800" ht="14.25" customHeight="1">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c r="AA800" s="37"/>
      <c r="AB800" s="37"/>
      <c r="AC800" s="37"/>
      <c r="AD800" s="37"/>
      <c r="AE800" s="37"/>
      <c r="AF800" s="37"/>
      <c r="AG800" s="37"/>
    </row>
    <row r="801" ht="14.25" customHeight="1">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c r="AA801" s="37"/>
      <c r="AB801" s="37"/>
      <c r="AC801" s="37"/>
      <c r="AD801" s="37"/>
      <c r="AE801" s="37"/>
      <c r="AF801" s="37"/>
      <c r="AG801" s="37"/>
    </row>
    <row r="802" ht="14.25" customHeight="1">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c r="AA802" s="37"/>
      <c r="AB802" s="37"/>
      <c r="AC802" s="37"/>
      <c r="AD802" s="37"/>
      <c r="AE802" s="37"/>
      <c r="AF802" s="37"/>
      <c r="AG802" s="37"/>
    </row>
    <row r="803" ht="14.25" customHeight="1">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c r="AA803" s="37"/>
      <c r="AB803" s="37"/>
      <c r="AC803" s="37"/>
      <c r="AD803" s="37"/>
      <c r="AE803" s="37"/>
      <c r="AF803" s="37"/>
      <c r="AG803" s="37"/>
    </row>
    <row r="804" ht="14.25" customHeight="1">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c r="AA804" s="37"/>
      <c r="AB804" s="37"/>
      <c r="AC804" s="37"/>
      <c r="AD804" s="37"/>
      <c r="AE804" s="37"/>
      <c r="AF804" s="37"/>
      <c r="AG804" s="37"/>
    </row>
    <row r="805" ht="14.25" customHeight="1">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c r="AA805" s="37"/>
      <c r="AB805" s="37"/>
      <c r="AC805" s="37"/>
      <c r="AD805" s="37"/>
      <c r="AE805" s="37"/>
      <c r="AF805" s="37"/>
      <c r="AG805" s="37"/>
    </row>
    <row r="806" ht="14.25" customHeight="1">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c r="AA806" s="37"/>
      <c r="AB806" s="37"/>
      <c r="AC806" s="37"/>
      <c r="AD806" s="37"/>
      <c r="AE806" s="37"/>
      <c r="AF806" s="37"/>
      <c r="AG806" s="37"/>
    </row>
    <row r="807" ht="14.25" customHeight="1">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c r="AA807" s="37"/>
      <c r="AB807" s="37"/>
      <c r="AC807" s="37"/>
      <c r="AD807" s="37"/>
      <c r="AE807" s="37"/>
      <c r="AF807" s="37"/>
      <c r="AG807" s="37"/>
    </row>
    <row r="808" ht="14.25" customHeight="1">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c r="AA808" s="37"/>
      <c r="AB808" s="37"/>
      <c r="AC808" s="37"/>
      <c r="AD808" s="37"/>
      <c r="AE808" s="37"/>
      <c r="AF808" s="37"/>
      <c r="AG808" s="37"/>
    </row>
    <row r="809" ht="14.25" customHeight="1">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c r="AA809" s="37"/>
      <c r="AB809" s="37"/>
      <c r="AC809" s="37"/>
      <c r="AD809" s="37"/>
      <c r="AE809" s="37"/>
      <c r="AF809" s="37"/>
      <c r="AG809" s="37"/>
    </row>
    <row r="810" ht="14.25" customHeight="1">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c r="AA810" s="37"/>
      <c r="AB810" s="37"/>
      <c r="AC810" s="37"/>
      <c r="AD810" s="37"/>
      <c r="AE810" s="37"/>
      <c r="AF810" s="37"/>
      <c r="AG810" s="37"/>
    </row>
    <row r="811" ht="14.25" customHeight="1">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c r="AA811" s="37"/>
      <c r="AB811" s="37"/>
      <c r="AC811" s="37"/>
      <c r="AD811" s="37"/>
      <c r="AE811" s="37"/>
      <c r="AF811" s="37"/>
      <c r="AG811" s="37"/>
    </row>
    <row r="812" ht="14.25" customHeight="1">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c r="AA812" s="37"/>
      <c r="AB812" s="37"/>
      <c r="AC812" s="37"/>
      <c r="AD812" s="37"/>
      <c r="AE812" s="37"/>
      <c r="AF812" s="37"/>
      <c r="AG812" s="37"/>
    </row>
    <row r="813" ht="14.25" customHeight="1">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c r="AA813" s="37"/>
      <c r="AB813" s="37"/>
      <c r="AC813" s="37"/>
      <c r="AD813" s="37"/>
      <c r="AE813" s="37"/>
      <c r="AF813" s="37"/>
      <c r="AG813" s="37"/>
    </row>
    <row r="814" ht="14.25" customHeight="1">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c r="AA814" s="37"/>
      <c r="AB814" s="37"/>
      <c r="AC814" s="37"/>
      <c r="AD814" s="37"/>
      <c r="AE814" s="37"/>
      <c r="AF814" s="37"/>
      <c r="AG814" s="37"/>
    </row>
    <row r="815" ht="14.25" customHeight="1">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c r="AA815" s="37"/>
      <c r="AB815" s="37"/>
      <c r="AC815" s="37"/>
      <c r="AD815" s="37"/>
      <c r="AE815" s="37"/>
      <c r="AF815" s="37"/>
      <c r="AG815" s="37"/>
    </row>
    <row r="816" ht="14.25" customHeight="1">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c r="AA816" s="37"/>
      <c r="AB816" s="37"/>
      <c r="AC816" s="37"/>
      <c r="AD816" s="37"/>
      <c r="AE816" s="37"/>
      <c r="AF816" s="37"/>
      <c r="AG816" s="37"/>
    </row>
    <row r="817" ht="14.25" customHeight="1">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c r="AA817" s="37"/>
      <c r="AB817" s="37"/>
      <c r="AC817" s="37"/>
      <c r="AD817" s="37"/>
      <c r="AE817" s="37"/>
      <c r="AF817" s="37"/>
      <c r="AG817" s="37"/>
    </row>
    <row r="818" ht="14.25" customHeight="1">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c r="AA818" s="37"/>
      <c r="AB818" s="37"/>
      <c r="AC818" s="37"/>
      <c r="AD818" s="37"/>
      <c r="AE818" s="37"/>
      <c r="AF818" s="37"/>
      <c r="AG818" s="37"/>
    </row>
    <row r="819" ht="14.25" customHeight="1">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c r="AA819" s="37"/>
      <c r="AB819" s="37"/>
      <c r="AC819" s="37"/>
      <c r="AD819" s="37"/>
      <c r="AE819" s="37"/>
      <c r="AF819" s="37"/>
      <c r="AG819" s="37"/>
    </row>
    <row r="820" ht="14.25" customHeight="1">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c r="AA820" s="37"/>
      <c r="AB820" s="37"/>
      <c r="AC820" s="37"/>
      <c r="AD820" s="37"/>
      <c r="AE820" s="37"/>
      <c r="AF820" s="37"/>
      <c r="AG820" s="37"/>
    </row>
    <row r="821" ht="14.25" customHeight="1">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c r="AA821" s="37"/>
      <c r="AB821" s="37"/>
      <c r="AC821" s="37"/>
      <c r="AD821" s="37"/>
      <c r="AE821" s="37"/>
      <c r="AF821" s="37"/>
      <c r="AG821" s="37"/>
    </row>
    <row r="822" ht="14.25" customHeight="1">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c r="AA822" s="37"/>
      <c r="AB822" s="37"/>
      <c r="AC822" s="37"/>
      <c r="AD822" s="37"/>
      <c r="AE822" s="37"/>
      <c r="AF822" s="37"/>
      <c r="AG822" s="37"/>
    </row>
    <row r="823" ht="14.25" customHeight="1">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c r="AA823" s="37"/>
      <c r="AB823" s="37"/>
      <c r="AC823" s="37"/>
      <c r="AD823" s="37"/>
      <c r="AE823" s="37"/>
      <c r="AF823" s="37"/>
      <c r="AG823" s="37"/>
    </row>
    <row r="824" ht="14.25" customHeight="1">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c r="AA824" s="37"/>
      <c r="AB824" s="37"/>
      <c r="AC824" s="37"/>
      <c r="AD824" s="37"/>
      <c r="AE824" s="37"/>
      <c r="AF824" s="37"/>
      <c r="AG824" s="37"/>
    </row>
    <row r="825" ht="14.25" customHeight="1">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c r="AA825" s="37"/>
      <c r="AB825" s="37"/>
      <c r="AC825" s="37"/>
      <c r="AD825" s="37"/>
      <c r="AE825" s="37"/>
      <c r="AF825" s="37"/>
      <c r="AG825" s="37"/>
    </row>
    <row r="826" ht="14.25" customHeight="1">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c r="AA826" s="37"/>
      <c r="AB826" s="37"/>
      <c r="AC826" s="37"/>
      <c r="AD826" s="37"/>
      <c r="AE826" s="37"/>
      <c r="AF826" s="37"/>
      <c r="AG826" s="37"/>
    </row>
    <row r="827" ht="14.25" customHeight="1">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c r="AA827" s="37"/>
      <c r="AB827" s="37"/>
      <c r="AC827" s="37"/>
      <c r="AD827" s="37"/>
      <c r="AE827" s="37"/>
      <c r="AF827" s="37"/>
      <c r="AG827" s="37"/>
    </row>
    <row r="828" ht="14.25" customHeight="1">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c r="AA828" s="37"/>
      <c r="AB828" s="37"/>
      <c r="AC828" s="37"/>
      <c r="AD828" s="37"/>
      <c r="AE828" s="37"/>
      <c r="AF828" s="37"/>
      <c r="AG828" s="37"/>
    </row>
    <row r="829" ht="14.25" customHeight="1">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c r="AA829" s="37"/>
      <c r="AB829" s="37"/>
      <c r="AC829" s="37"/>
      <c r="AD829" s="37"/>
      <c r="AE829" s="37"/>
      <c r="AF829" s="37"/>
      <c r="AG829" s="37"/>
    </row>
    <row r="830" ht="14.25" customHeight="1">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c r="AA830" s="37"/>
      <c r="AB830" s="37"/>
      <c r="AC830" s="37"/>
      <c r="AD830" s="37"/>
      <c r="AE830" s="37"/>
      <c r="AF830" s="37"/>
      <c r="AG830" s="37"/>
    </row>
    <row r="831" ht="14.25" customHeight="1">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c r="AA831" s="37"/>
      <c r="AB831" s="37"/>
      <c r="AC831" s="37"/>
      <c r="AD831" s="37"/>
      <c r="AE831" s="37"/>
      <c r="AF831" s="37"/>
      <c r="AG831" s="37"/>
    </row>
    <row r="832" ht="14.25" customHeight="1">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c r="AA832" s="37"/>
      <c r="AB832" s="37"/>
      <c r="AC832" s="37"/>
      <c r="AD832" s="37"/>
      <c r="AE832" s="37"/>
      <c r="AF832" s="37"/>
      <c r="AG832" s="37"/>
    </row>
    <row r="833" ht="14.25" customHeight="1">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c r="AA833" s="37"/>
      <c r="AB833" s="37"/>
      <c r="AC833" s="37"/>
      <c r="AD833" s="37"/>
      <c r="AE833" s="37"/>
      <c r="AF833" s="37"/>
      <c r="AG833" s="37"/>
    </row>
    <row r="834" ht="14.25" customHeight="1">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c r="AA834" s="37"/>
      <c r="AB834" s="37"/>
      <c r="AC834" s="37"/>
      <c r="AD834" s="37"/>
      <c r="AE834" s="37"/>
      <c r="AF834" s="37"/>
      <c r="AG834" s="37"/>
    </row>
    <row r="835" ht="14.25" customHeight="1">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c r="AA835" s="37"/>
      <c r="AB835" s="37"/>
      <c r="AC835" s="37"/>
      <c r="AD835" s="37"/>
      <c r="AE835" s="37"/>
      <c r="AF835" s="37"/>
      <c r="AG835" s="37"/>
    </row>
    <row r="836" ht="14.25" customHeight="1">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c r="AA836" s="37"/>
      <c r="AB836" s="37"/>
      <c r="AC836" s="37"/>
      <c r="AD836" s="37"/>
      <c r="AE836" s="37"/>
      <c r="AF836" s="37"/>
      <c r="AG836" s="37"/>
    </row>
    <row r="837" ht="14.25" customHeight="1">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c r="AA837" s="37"/>
      <c r="AB837" s="37"/>
      <c r="AC837" s="37"/>
      <c r="AD837" s="37"/>
      <c r="AE837" s="37"/>
      <c r="AF837" s="37"/>
      <c r="AG837" s="37"/>
    </row>
    <row r="838" ht="14.25" customHeight="1">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c r="AA838" s="37"/>
      <c r="AB838" s="37"/>
      <c r="AC838" s="37"/>
      <c r="AD838" s="37"/>
      <c r="AE838" s="37"/>
      <c r="AF838" s="37"/>
      <c r="AG838" s="37"/>
    </row>
    <row r="839" ht="14.25" customHeight="1">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c r="AA839" s="37"/>
      <c r="AB839" s="37"/>
      <c r="AC839" s="37"/>
      <c r="AD839" s="37"/>
      <c r="AE839" s="37"/>
      <c r="AF839" s="37"/>
      <c r="AG839" s="37"/>
    </row>
    <row r="840" ht="14.25" customHeight="1">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c r="AA840" s="37"/>
      <c r="AB840" s="37"/>
      <c r="AC840" s="37"/>
      <c r="AD840" s="37"/>
      <c r="AE840" s="37"/>
      <c r="AF840" s="37"/>
      <c r="AG840" s="37"/>
    </row>
    <row r="841" ht="14.25" customHeight="1">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c r="AA841" s="37"/>
      <c r="AB841" s="37"/>
      <c r="AC841" s="37"/>
      <c r="AD841" s="37"/>
      <c r="AE841" s="37"/>
      <c r="AF841" s="37"/>
      <c r="AG841" s="37"/>
    </row>
    <row r="842" ht="14.25" customHeight="1">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c r="AA842" s="37"/>
      <c r="AB842" s="37"/>
      <c r="AC842" s="37"/>
      <c r="AD842" s="37"/>
      <c r="AE842" s="37"/>
      <c r="AF842" s="37"/>
      <c r="AG842" s="37"/>
    </row>
    <row r="843" ht="14.25" customHeight="1">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c r="AA843" s="37"/>
      <c r="AB843" s="37"/>
      <c r="AC843" s="37"/>
      <c r="AD843" s="37"/>
      <c r="AE843" s="37"/>
      <c r="AF843" s="37"/>
      <c r="AG843" s="37"/>
    </row>
    <row r="844" ht="14.25" customHeight="1">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c r="AA844" s="37"/>
      <c r="AB844" s="37"/>
      <c r="AC844" s="37"/>
      <c r="AD844" s="37"/>
      <c r="AE844" s="37"/>
      <c r="AF844" s="37"/>
      <c r="AG844" s="37"/>
    </row>
    <row r="845" ht="14.25" customHeight="1">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c r="AA845" s="37"/>
      <c r="AB845" s="37"/>
      <c r="AC845" s="37"/>
      <c r="AD845" s="37"/>
      <c r="AE845" s="37"/>
      <c r="AF845" s="37"/>
      <c r="AG845" s="37"/>
    </row>
    <row r="846" ht="14.25" customHeight="1">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c r="AA846" s="37"/>
      <c r="AB846" s="37"/>
      <c r="AC846" s="37"/>
      <c r="AD846" s="37"/>
      <c r="AE846" s="37"/>
      <c r="AF846" s="37"/>
      <c r="AG846" s="37"/>
    </row>
    <row r="847" ht="14.25" customHeight="1">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c r="AA847" s="37"/>
      <c r="AB847" s="37"/>
      <c r="AC847" s="37"/>
      <c r="AD847" s="37"/>
      <c r="AE847" s="37"/>
      <c r="AF847" s="37"/>
      <c r="AG847" s="37"/>
    </row>
    <row r="848" ht="14.25" customHeight="1">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c r="AA848" s="37"/>
      <c r="AB848" s="37"/>
      <c r="AC848" s="37"/>
      <c r="AD848" s="37"/>
      <c r="AE848" s="37"/>
      <c r="AF848" s="37"/>
      <c r="AG848" s="37"/>
    </row>
    <row r="849" ht="14.25" customHeight="1">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c r="AA849" s="37"/>
      <c r="AB849" s="37"/>
      <c r="AC849" s="37"/>
      <c r="AD849" s="37"/>
      <c r="AE849" s="37"/>
      <c r="AF849" s="37"/>
      <c r="AG849" s="37"/>
    </row>
    <row r="850" ht="14.25" customHeight="1">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c r="AA850" s="37"/>
      <c r="AB850" s="37"/>
      <c r="AC850" s="37"/>
      <c r="AD850" s="37"/>
      <c r="AE850" s="37"/>
      <c r="AF850" s="37"/>
      <c r="AG850" s="37"/>
    </row>
    <row r="851" ht="14.25" customHeight="1">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c r="AA851" s="37"/>
      <c r="AB851" s="37"/>
      <c r="AC851" s="37"/>
      <c r="AD851" s="37"/>
      <c r="AE851" s="37"/>
      <c r="AF851" s="37"/>
      <c r="AG851" s="37"/>
    </row>
    <row r="852" ht="14.25" customHeight="1">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c r="AA852" s="37"/>
      <c r="AB852" s="37"/>
      <c r="AC852" s="37"/>
      <c r="AD852" s="37"/>
      <c r="AE852" s="37"/>
      <c r="AF852" s="37"/>
      <c r="AG852" s="37"/>
    </row>
    <row r="853" ht="14.25" customHeight="1">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c r="AA853" s="37"/>
      <c r="AB853" s="37"/>
      <c r="AC853" s="37"/>
      <c r="AD853" s="37"/>
      <c r="AE853" s="37"/>
      <c r="AF853" s="37"/>
      <c r="AG853" s="37"/>
    </row>
    <row r="854" ht="14.25" customHeight="1">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c r="AA854" s="37"/>
      <c r="AB854" s="37"/>
      <c r="AC854" s="37"/>
      <c r="AD854" s="37"/>
      <c r="AE854" s="37"/>
      <c r="AF854" s="37"/>
      <c r="AG854" s="37"/>
    </row>
    <row r="855" ht="14.25" customHeight="1">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c r="AA855" s="37"/>
      <c r="AB855" s="37"/>
      <c r="AC855" s="37"/>
      <c r="AD855" s="37"/>
      <c r="AE855" s="37"/>
      <c r="AF855" s="37"/>
      <c r="AG855" s="37"/>
    </row>
    <row r="856" ht="14.25" customHeight="1">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c r="AA856" s="37"/>
      <c r="AB856" s="37"/>
      <c r="AC856" s="37"/>
      <c r="AD856" s="37"/>
      <c r="AE856" s="37"/>
      <c r="AF856" s="37"/>
      <c r="AG856" s="37"/>
    </row>
    <row r="857" ht="14.25" customHeight="1">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c r="AA857" s="37"/>
      <c r="AB857" s="37"/>
      <c r="AC857" s="37"/>
      <c r="AD857" s="37"/>
      <c r="AE857" s="37"/>
      <c r="AF857" s="37"/>
      <c r="AG857" s="37"/>
    </row>
    <row r="858" ht="14.25" customHeight="1">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c r="AA858" s="37"/>
      <c r="AB858" s="37"/>
      <c r="AC858" s="37"/>
      <c r="AD858" s="37"/>
      <c r="AE858" s="37"/>
      <c r="AF858" s="37"/>
      <c r="AG858" s="37"/>
    </row>
    <row r="859" ht="14.25" customHeight="1">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c r="AA859" s="37"/>
      <c r="AB859" s="37"/>
      <c r="AC859" s="37"/>
      <c r="AD859" s="37"/>
      <c r="AE859" s="37"/>
      <c r="AF859" s="37"/>
      <c r="AG859" s="37"/>
    </row>
    <row r="860" ht="14.25" customHeight="1">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c r="AA860" s="37"/>
      <c r="AB860" s="37"/>
      <c r="AC860" s="37"/>
      <c r="AD860" s="37"/>
      <c r="AE860" s="37"/>
      <c r="AF860" s="37"/>
      <c r="AG860" s="37"/>
    </row>
    <row r="861" ht="14.25" customHeight="1">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c r="AA861" s="37"/>
      <c r="AB861" s="37"/>
      <c r="AC861" s="37"/>
      <c r="AD861" s="37"/>
      <c r="AE861" s="37"/>
      <c r="AF861" s="37"/>
      <c r="AG861" s="37"/>
    </row>
    <row r="862" ht="14.25" customHeight="1">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c r="AA862" s="37"/>
      <c r="AB862" s="37"/>
      <c r="AC862" s="37"/>
      <c r="AD862" s="37"/>
      <c r="AE862" s="37"/>
      <c r="AF862" s="37"/>
      <c r="AG862" s="37"/>
    </row>
    <row r="863" ht="14.25" customHeight="1">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c r="AA863" s="37"/>
      <c r="AB863" s="37"/>
      <c r="AC863" s="37"/>
      <c r="AD863" s="37"/>
      <c r="AE863" s="37"/>
      <c r="AF863" s="37"/>
      <c r="AG863" s="37"/>
    </row>
    <row r="864" ht="14.25" customHeight="1">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c r="AA864" s="37"/>
      <c r="AB864" s="37"/>
      <c r="AC864" s="37"/>
      <c r="AD864" s="37"/>
      <c r="AE864" s="37"/>
      <c r="AF864" s="37"/>
      <c r="AG864" s="37"/>
    </row>
    <row r="865" ht="14.25" customHeight="1">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c r="AA865" s="37"/>
      <c r="AB865" s="37"/>
      <c r="AC865" s="37"/>
      <c r="AD865" s="37"/>
      <c r="AE865" s="37"/>
      <c r="AF865" s="37"/>
      <c r="AG865" s="37"/>
    </row>
    <row r="866" ht="14.25" customHeight="1">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c r="AA866" s="37"/>
      <c r="AB866" s="37"/>
      <c r="AC866" s="37"/>
      <c r="AD866" s="37"/>
      <c r="AE866" s="37"/>
      <c r="AF866" s="37"/>
      <c r="AG866" s="37"/>
    </row>
    <row r="867" ht="14.25" customHeight="1">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c r="AA867" s="37"/>
      <c r="AB867" s="37"/>
      <c r="AC867" s="37"/>
      <c r="AD867" s="37"/>
      <c r="AE867" s="37"/>
      <c r="AF867" s="37"/>
      <c r="AG867" s="37"/>
    </row>
    <row r="868" ht="14.25" customHeight="1">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c r="AA868" s="37"/>
      <c r="AB868" s="37"/>
      <c r="AC868" s="37"/>
      <c r="AD868" s="37"/>
      <c r="AE868" s="37"/>
      <c r="AF868" s="37"/>
      <c r="AG868" s="37"/>
    </row>
    <row r="869" ht="14.25" customHeight="1">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c r="AA869" s="37"/>
      <c r="AB869" s="37"/>
      <c r="AC869" s="37"/>
      <c r="AD869" s="37"/>
      <c r="AE869" s="37"/>
      <c r="AF869" s="37"/>
      <c r="AG869" s="37"/>
    </row>
    <row r="870" ht="14.25" customHeight="1">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c r="AA870" s="37"/>
      <c r="AB870" s="37"/>
      <c r="AC870" s="37"/>
      <c r="AD870" s="37"/>
      <c r="AE870" s="37"/>
      <c r="AF870" s="37"/>
      <c r="AG870" s="37"/>
    </row>
    <row r="871" ht="14.25" customHeight="1">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c r="AA871" s="37"/>
      <c r="AB871" s="37"/>
      <c r="AC871" s="37"/>
      <c r="AD871" s="37"/>
      <c r="AE871" s="37"/>
      <c r="AF871" s="37"/>
      <c r="AG871" s="37"/>
    </row>
    <row r="872" ht="14.25" customHeight="1">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c r="AA872" s="37"/>
      <c r="AB872" s="37"/>
      <c r="AC872" s="37"/>
      <c r="AD872" s="37"/>
      <c r="AE872" s="37"/>
      <c r="AF872" s="37"/>
      <c r="AG872" s="37"/>
    </row>
    <row r="873" ht="14.25" customHeight="1">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c r="AA873" s="37"/>
      <c r="AB873" s="37"/>
      <c r="AC873" s="37"/>
      <c r="AD873" s="37"/>
      <c r="AE873" s="37"/>
      <c r="AF873" s="37"/>
      <c r="AG873" s="37"/>
    </row>
    <row r="874" ht="14.25" customHeight="1">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c r="AA874" s="37"/>
      <c r="AB874" s="37"/>
      <c r="AC874" s="37"/>
      <c r="AD874" s="37"/>
      <c r="AE874" s="37"/>
      <c r="AF874" s="37"/>
      <c r="AG874" s="37"/>
    </row>
    <row r="875" ht="14.25" customHeight="1">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c r="AA875" s="37"/>
      <c r="AB875" s="37"/>
      <c r="AC875" s="37"/>
      <c r="AD875" s="37"/>
      <c r="AE875" s="37"/>
      <c r="AF875" s="37"/>
      <c r="AG875" s="37"/>
    </row>
    <row r="876" ht="14.25" customHeight="1">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c r="AA876" s="37"/>
      <c r="AB876" s="37"/>
      <c r="AC876" s="37"/>
      <c r="AD876" s="37"/>
      <c r="AE876" s="37"/>
      <c r="AF876" s="37"/>
      <c r="AG876" s="37"/>
    </row>
    <row r="877" ht="14.25" customHeight="1">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c r="AA877" s="37"/>
      <c r="AB877" s="37"/>
      <c r="AC877" s="37"/>
      <c r="AD877" s="37"/>
      <c r="AE877" s="37"/>
      <c r="AF877" s="37"/>
      <c r="AG877" s="37"/>
    </row>
    <row r="878" ht="14.25" customHeight="1">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c r="AA878" s="37"/>
      <c r="AB878" s="37"/>
      <c r="AC878" s="37"/>
      <c r="AD878" s="37"/>
      <c r="AE878" s="37"/>
      <c r="AF878" s="37"/>
      <c r="AG878" s="37"/>
    </row>
    <row r="879" ht="14.25" customHeight="1">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c r="AA879" s="37"/>
      <c r="AB879" s="37"/>
      <c r="AC879" s="37"/>
      <c r="AD879" s="37"/>
      <c r="AE879" s="37"/>
      <c r="AF879" s="37"/>
      <c r="AG879" s="37"/>
    </row>
    <row r="880" ht="14.25" customHeight="1">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c r="AA880" s="37"/>
      <c r="AB880" s="37"/>
      <c r="AC880" s="37"/>
      <c r="AD880" s="37"/>
      <c r="AE880" s="37"/>
      <c r="AF880" s="37"/>
      <c r="AG880" s="37"/>
    </row>
    <row r="881" ht="14.25" customHeight="1">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c r="AA881" s="37"/>
      <c r="AB881" s="37"/>
      <c r="AC881" s="37"/>
      <c r="AD881" s="37"/>
      <c r="AE881" s="37"/>
      <c r="AF881" s="37"/>
      <c r="AG881" s="37"/>
    </row>
    <row r="882" ht="14.25" customHeight="1">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c r="AA882" s="37"/>
      <c r="AB882" s="37"/>
      <c r="AC882" s="37"/>
      <c r="AD882" s="37"/>
      <c r="AE882" s="37"/>
      <c r="AF882" s="37"/>
      <c r="AG882" s="37"/>
    </row>
    <row r="883" ht="14.25" customHeight="1">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c r="AA883" s="37"/>
      <c r="AB883" s="37"/>
      <c r="AC883" s="37"/>
      <c r="AD883" s="37"/>
      <c r="AE883" s="37"/>
      <c r="AF883" s="37"/>
      <c r="AG883" s="37"/>
    </row>
    <row r="884" ht="14.25" customHeight="1">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c r="AA884" s="37"/>
      <c r="AB884" s="37"/>
      <c r="AC884" s="37"/>
      <c r="AD884" s="37"/>
      <c r="AE884" s="37"/>
      <c r="AF884" s="37"/>
      <c r="AG884" s="37"/>
    </row>
    <row r="885" ht="14.25" customHeight="1">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c r="AA885" s="37"/>
      <c r="AB885" s="37"/>
      <c r="AC885" s="37"/>
      <c r="AD885" s="37"/>
      <c r="AE885" s="37"/>
      <c r="AF885" s="37"/>
      <c r="AG885" s="37"/>
    </row>
    <row r="886" ht="14.25" customHeight="1">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c r="AA886" s="37"/>
      <c r="AB886" s="37"/>
      <c r="AC886" s="37"/>
      <c r="AD886" s="37"/>
      <c r="AE886" s="37"/>
      <c r="AF886" s="37"/>
      <c r="AG886" s="37"/>
    </row>
    <row r="887" ht="14.25" customHeight="1">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c r="AA887" s="37"/>
      <c r="AB887" s="37"/>
      <c r="AC887" s="37"/>
      <c r="AD887" s="37"/>
      <c r="AE887" s="37"/>
      <c r="AF887" s="37"/>
      <c r="AG887" s="37"/>
    </row>
    <row r="888" ht="14.25" customHeight="1">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c r="AA888" s="37"/>
      <c r="AB888" s="37"/>
      <c r="AC888" s="37"/>
      <c r="AD888" s="37"/>
      <c r="AE888" s="37"/>
      <c r="AF888" s="37"/>
      <c r="AG888" s="37"/>
    </row>
    <row r="889" ht="14.25" customHeight="1">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c r="AA889" s="37"/>
      <c r="AB889" s="37"/>
      <c r="AC889" s="37"/>
      <c r="AD889" s="37"/>
      <c r="AE889" s="37"/>
      <c r="AF889" s="37"/>
      <c r="AG889" s="37"/>
    </row>
    <row r="890" ht="14.25" customHeight="1">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c r="AA890" s="37"/>
      <c r="AB890" s="37"/>
      <c r="AC890" s="37"/>
      <c r="AD890" s="37"/>
      <c r="AE890" s="37"/>
      <c r="AF890" s="37"/>
      <c r="AG890" s="37"/>
    </row>
    <row r="891" ht="14.25" customHeight="1">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c r="AA891" s="37"/>
      <c r="AB891" s="37"/>
      <c r="AC891" s="37"/>
      <c r="AD891" s="37"/>
      <c r="AE891" s="37"/>
      <c r="AF891" s="37"/>
      <c r="AG891" s="37"/>
    </row>
    <row r="892" ht="14.25" customHeight="1">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c r="AA892" s="37"/>
      <c r="AB892" s="37"/>
      <c r="AC892" s="37"/>
      <c r="AD892" s="37"/>
      <c r="AE892" s="37"/>
      <c r="AF892" s="37"/>
      <c r="AG892" s="37"/>
    </row>
    <row r="893" ht="14.25" customHeight="1">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c r="AA893" s="37"/>
      <c r="AB893" s="37"/>
      <c r="AC893" s="37"/>
      <c r="AD893" s="37"/>
      <c r="AE893" s="37"/>
      <c r="AF893" s="37"/>
      <c r="AG893" s="37"/>
    </row>
    <row r="894" ht="14.25" customHeight="1">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c r="AA894" s="37"/>
      <c r="AB894" s="37"/>
      <c r="AC894" s="37"/>
      <c r="AD894" s="37"/>
      <c r="AE894" s="37"/>
      <c r="AF894" s="37"/>
      <c r="AG894" s="37"/>
    </row>
    <row r="895" ht="14.25" customHeight="1">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c r="AA895" s="37"/>
      <c r="AB895" s="37"/>
      <c r="AC895" s="37"/>
      <c r="AD895" s="37"/>
      <c r="AE895" s="37"/>
      <c r="AF895" s="37"/>
      <c r="AG895" s="37"/>
    </row>
    <row r="896" ht="14.25" customHeight="1">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c r="AA896" s="37"/>
      <c r="AB896" s="37"/>
      <c r="AC896" s="37"/>
      <c r="AD896" s="37"/>
      <c r="AE896" s="37"/>
      <c r="AF896" s="37"/>
      <c r="AG896" s="37"/>
    </row>
    <row r="897" ht="14.25" customHeight="1">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c r="AA897" s="37"/>
      <c r="AB897" s="37"/>
      <c r="AC897" s="37"/>
      <c r="AD897" s="37"/>
      <c r="AE897" s="37"/>
      <c r="AF897" s="37"/>
      <c r="AG897" s="37"/>
    </row>
    <row r="898" ht="14.25" customHeight="1">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c r="AA898" s="37"/>
      <c r="AB898" s="37"/>
      <c r="AC898" s="37"/>
      <c r="AD898" s="37"/>
      <c r="AE898" s="37"/>
      <c r="AF898" s="37"/>
      <c r="AG898" s="37"/>
    </row>
    <row r="899" ht="14.25" customHeight="1">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c r="AA899" s="37"/>
      <c r="AB899" s="37"/>
      <c r="AC899" s="37"/>
      <c r="AD899" s="37"/>
      <c r="AE899" s="37"/>
      <c r="AF899" s="37"/>
      <c r="AG899" s="37"/>
    </row>
    <row r="900" ht="14.25" customHeight="1">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c r="AA900" s="37"/>
      <c r="AB900" s="37"/>
      <c r="AC900" s="37"/>
      <c r="AD900" s="37"/>
      <c r="AE900" s="37"/>
      <c r="AF900" s="37"/>
      <c r="AG900" s="37"/>
    </row>
    <row r="901" ht="14.25" customHeight="1">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c r="AA901" s="37"/>
      <c r="AB901" s="37"/>
      <c r="AC901" s="37"/>
      <c r="AD901" s="37"/>
      <c r="AE901" s="37"/>
      <c r="AF901" s="37"/>
      <c r="AG901" s="37"/>
    </row>
    <row r="902" ht="14.25" customHeight="1">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c r="AA902" s="37"/>
      <c r="AB902" s="37"/>
      <c r="AC902" s="37"/>
      <c r="AD902" s="37"/>
      <c r="AE902" s="37"/>
      <c r="AF902" s="37"/>
      <c r="AG902" s="37"/>
    </row>
    <row r="903" ht="14.25" customHeight="1">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c r="AA903" s="37"/>
      <c r="AB903" s="37"/>
      <c r="AC903" s="37"/>
      <c r="AD903" s="37"/>
      <c r="AE903" s="37"/>
      <c r="AF903" s="37"/>
      <c r="AG903" s="37"/>
    </row>
    <row r="904" ht="14.25" customHeight="1">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c r="AA904" s="37"/>
      <c r="AB904" s="37"/>
      <c r="AC904" s="37"/>
      <c r="AD904" s="37"/>
      <c r="AE904" s="37"/>
      <c r="AF904" s="37"/>
      <c r="AG904" s="37"/>
    </row>
    <row r="905" ht="14.25" customHeight="1">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c r="AA905" s="37"/>
      <c r="AB905" s="37"/>
      <c r="AC905" s="37"/>
      <c r="AD905" s="37"/>
      <c r="AE905" s="37"/>
      <c r="AF905" s="37"/>
      <c r="AG905" s="37"/>
    </row>
    <row r="906" ht="14.25" customHeight="1">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c r="AA906" s="37"/>
      <c r="AB906" s="37"/>
      <c r="AC906" s="37"/>
      <c r="AD906" s="37"/>
      <c r="AE906" s="37"/>
      <c r="AF906" s="37"/>
      <c r="AG906" s="37"/>
    </row>
    <row r="907" ht="14.25" customHeight="1">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c r="AA907" s="37"/>
      <c r="AB907" s="37"/>
      <c r="AC907" s="37"/>
      <c r="AD907" s="37"/>
      <c r="AE907" s="37"/>
      <c r="AF907" s="37"/>
      <c r="AG907" s="37"/>
    </row>
    <row r="908" ht="14.25" customHeight="1">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c r="AA908" s="37"/>
      <c r="AB908" s="37"/>
      <c r="AC908" s="37"/>
      <c r="AD908" s="37"/>
      <c r="AE908" s="37"/>
      <c r="AF908" s="37"/>
      <c r="AG908" s="37"/>
    </row>
    <row r="909" ht="14.25" customHeight="1">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c r="AA909" s="37"/>
      <c r="AB909" s="37"/>
      <c r="AC909" s="37"/>
      <c r="AD909" s="37"/>
      <c r="AE909" s="37"/>
      <c r="AF909" s="37"/>
      <c r="AG909" s="37"/>
    </row>
    <row r="910" ht="14.25" customHeight="1">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c r="AA910" s="37"/>
      <c r="AB910" s="37"/>
      <c r="AC910" s="37"/>
      <c r="AD910" s="37"/>
      <c r="AE910" s="37"/>
      <c r="AF910" s="37"/>
      <c r="AG910" s="37"/>
    </row>
    <row r="911" ht="14.25" customHeight="1">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c r="AA911" s="37"/>
      <c r="AB911" s="37"/>
      <c r="AC911" s="37"/>
      <c r="AD911" s="37"/>
      <c r="AE911" s="37"/>
      <c r="AF911" s="37"/>
      <c r="AG911" s="37"/>
    </row>
    <row r="912" ht="14.25" customHeight="1">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c r="AA912" s="37"/>
      <c r="AB912" s="37"/>
      <c r="AC912" s="37"/>
      <c r="AD912" s="37"/>
      <c r="AE912" s="37"/>
      <c r="AF912" s="37"/>
      <c r="AG912" s="37"/>
    </row>
    <row r="913" ht="14.25" customHeight="1">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c r="AA913" s="37"/>
      <c r="AB913" s="37"/>
      <c r="AC913" s="37"/>
      <c r="AD913" s="37"/>
      <c r="AE913" s="37"/>
      <c r="AF913" s="37"/>
      <c r="AG913" s="37"/>
    </row>
    <row r="914" ht="14.25" customHeight="1">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c r="AA914" s="37"/>
      <c r="AB914" s="37"/>
      <c r="AC914" s="37"/>
      <c r="AD914" s="37"/>
      <c r="AE914" s="37"/>
      <c r="AF914" s="37"/>
      <c r="AG914" s="37"/>
    </row>
    <row r="915" ht="14.25" customHeight="1">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c r="AA915" s="37"/>
      <c r="AB915" s="37"/>
      <c r="AC915" s="37"/>
      <c r="AD915" s="37"/>
      <c r="AE915" s="37"/>
      <c r="AF915" s="37"/>
      <c r="AG915" s="37"/>
    </row>
    <row r="916" ht="14.25" customHeight="1">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c r="AA916" s="37"/>
      <c r="AB916" s="37"/>
      <c r="AC916" s="37"/>
      <c r="AD916" s="37"/>
      <c r="AE916" s="37"/>
      <c r="AF916" s="37"/>
      <c r="AG916" s="37"/>
    </row>
    <row r="917" ht="14.25" customHeight="1">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c r="AA917" s="37"/>
      <c r="AB917" s="37"/>
      <c r="AC917" s="37"/>
      <c r="AD917" s="37"/>
      <c r="AE917" s="37"/>
      <c r="AF917" s="37"/>
      <c r="AG917" s="37"/>
    </row>
    <row r="918" ht="14.25" customHeight="1">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c r="AA918" s="37"/>
      <c r="AB918" s="37"/>
      <c r="AC918" s="37"/>
      <c r="AD918" s="37"/>
      <c r="AE918" s="37"/>
      <c r="AF918" s="37"/>
      <c r="AG918" s="37"/>
    </row>
    <row r="919" ht="14.25" customHeight="1">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c r="AA919" s="37"/>
      <c r="AB919" s="37"/>
      <c r="AC919" s="37"/>
      <c r="AD919" s="37"/>
      <c r="AE919" s="37"/>
      <c r="AF919" s="37"/>
      <c r="AG919" s="37"/>
    </row>
    <row r="920" ht="14.25" customHeight="1">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c r="AA920" s="37"/>
      <c r="AB920" s="37"/>
      <c r="AC920" s="37"/>
      <c r="AD920" s="37"/>
      <c r="AE920" s="37"/>
      <c r="AF920" s="37"/>
      <c r="AG920" s="37"/>
    </row>
    <row r="921" ht="14.25" customHeight="1">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c r="AA921" s="37"/>
      <c r="AB921" s="37"/>
      <c r="AC921" s="37"/>
      <c r="AD921" s="37"/>
      <c r="AE921" s="37"/>
      <c r="AF921" s="37"/>
      <c r="AG921" s="37"/>
    </row>
    <row r="922" ht="14.25" customHeight="1">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c r="AA922" s="37"/>
      <c r="AB922" s="37"/>
      <c r="AC922" s="37"/>
      <c r="AD922" s="37"/>
      <c r="AE922" s="37"/>
      <c r="AF922" s="37"/>
      <c r="AG922" s="37"/>
    </row>
    <row r="923" ht="14.25" customHeight="1">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c r="AA923" s="37"/>
      <c r="AB923" s="37"/>
      <c r="AC923" s="37"/>
      <c r="AD923" s="37"/>
      <c r="AE923" s="37"/>
      <c r="AF923" s="37"/>
      <c r="AG923" s="37"/>
    </row>
    <row r="924" ht="14.25" customHeight="1">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c r="AA924" s="37"/>
      <c r="AB924" s="37"/>
      <c r="AC924" s="37"/>
      <c r="AD924" s="37"/>
      <c r="AE924" s="37"/>
      <c r="AF924" s="37"/>
      <c r="AG924" s="37"/>
    </row>
    <row r="925" ht="14.25" customHeight="1">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c r="AA925" s="37"/>
      <c r="AB925" s="37"/>
      <c r="AC925" s="37"/>
      <c r="AD925" s="37"/>
      <c r="AE925" s="37"/>
      <c r="AF925" s="37"/>
      <c r="AG925" s="37"/>
    </row>
    <row r="926" ht="14.25" customHeight="1">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c r="AA926" s="37"/>
      <c r="AB926" s="37"/>
      <c r="AC926" s="37"/>
      <c r="AD926" s="37"/>
      <c r="AE926" s="37"/>
      <c r="AF926" s="37"/>
      <c r="AG926" s="37"/>
    </row>
    <row r="927" ht="14.25" customHeight="1">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c r="AA927" s="37"/>
      <c r="AB927" s="37"/>
      <c r="AC927" s="37"/>
      <c r="AD927" s="37"/>
      <c r="AE927" s="37"/>
      <c r="AF927" s="37"/>
      <c r="AG927" s="37"/>
    </row>
    <row r="928" ht="14.25" customHeight="1">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c r="AA928" s="37"/>
      <c r="AB928" s="37"/>
      <c r="AC928" s="37"/>
      <c r="AD928" s="37"/>
      <c r="AE928" s="37"/>
      <c r="AF928" s="37"/>
      <c r="AG928" s="37"/>
    </row>
    <row r="929" ht="14.25" customHeight="1">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c r="AA929" s="37"/>
      <c r="AB929" s="37"/>
      <c r="AC929" s="37"/>
      <c r="AD929" s="37"/>
      <c r="AE929" s="37"/>
      <c r="AF929" s="37"/>
      <c r="AG929" s="37"/>
    </row>
    <row r="930" ht="14.25" customHeight="1">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c r="AA930" s="37"/>
      <c r="AB930" s="37"/>
      <c r="AC930" s="37"/>
      <c r="AD930" s="37"/>
      <c r="AE930" s="37"/>
      <c r="AF930" s="37"/>
      <c r="AG930" s="37"/>
    </row>
    <row r="931" ht="14.25" customHeight="1">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c r="AA931" s="37"/>
      <c r="AB931" s="37"/>
      <c r="AC931" s="37"/>
      <c r="AD931" s="37"/>
      <c r="AE931" s="37"/>
      <c r="AF931" s="37"/>
      <c r="AG931" s="37"/>
    </row>
    <row r="932" ht="14.25" customHeight="1">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c r="AA932" s="37"/>
      <c r="AB932" s="37"/>
      <c r="AC932" s="37"/>
      <c r="AD932" s="37"/>
      <c r="AE932" s="37"/>
      <c r="AF932" s="37"/>
      <c r="AG932" s="37"/>
    </row>
    <row r="933" ht="14.25" customHeight="1">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c r="AA933" s="37"/>
      <c r="AB933" s="37"/>
      <c r="AC933" s="37"/>
      <c r="AD933" s="37"/>
      <c r="AE933" s="37"/>
      <c r="AF933" s="37"/>
      <c r="AG933" s="37"/>
    </row>
    <row r="934" ht="14.25" customHeight="1">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c r="AA934" s="37"/>
      <c r="AB934" s="37"/>
      <c r="AC934" s="37"/>
      <c r="AD934" s="37"/>
      <c r="AE934" s="37"/>
      <c r="AF934" s="37"/>
      <c r="AG934" s="37"/>
    </row>
    <row r="935" ht="14.25" customHeight="1">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c r="AA935" s="37"/>
      <c r="AB935" s="37"/>
      <c r="AC935" s="37"/>
      <c r="AD935" s="37"/>
      <c r="AE935" s="37"/>
      <c r="AF935" s="37"/>
      <c r="AG935" s="37"/>
    </row>
    <row r="936" ht="14.25" customHeight="1">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c r="AA936" s="37"/>
      <c r="AB936" s="37"/>
      <c r="AC936" s="37"/>
      <c r="AD936" s="37"/>
      <c r="AE936" s="37"/>
      <c r="AF936" s="37"/>
      <c r="AG936" s="37"/>
    </row>
    <row r="937" ht="14.25" customHeight="1">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c r="AA937" s="37"/>
      <c r="AB937" s="37"/>
      <c r="AC937" s="37"/>
      <c r="AD937" s="37"/>
      <c r="AE937" s="37"/>
      <c r="AF937" s="37"/>
      <c r="AG937" s="37"/>
    </row>
    <row r="938" ht="14.25" customHeight="1">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c r="AA938" s="37"/>
      <c r="AB938" s="37"/>
      <c r="AC938" s="37"/>
      <c r="AD938" s="37"/>
      <c r="AE938" s="37"/>
      <c r="AF938" s="37"/>
      <c r="AG938" s="37"/>
    </row>
    <row r="939" ht="14.25" customHeight="1">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c r="AA939" s="37"/>
      <c r="AB939" s="37"/>
      <c r="AC939" s="37"/>
      <c r="AD939" s="37"/>
      <c r="AE939" s="37"/>
      <c r="AF939" s="37"/>
      <c r="AG939" s="37"/>
    </row>
    <row r="940" ht="14.25" customHeight="1">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c r="AA940" s="37"/>
      <c r="AB940" s="37"/>
      <c r="AC940" s="37"/>
      <c r="AD940" s="37"/>
      <c r="AE940" s="37"/>
      <c r="AF940" s="37"/>
      <c r="AG940" s="37"/>
    </row>
    <row r="941" ht="14.25" customHeight="1">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c r="AA941" s="37"/>
      <c r="AB941" s="37"/>
      <c r="AC941" s="37"/>
      <c r="AD941" s="37"/>
      <c r="AE941" s="37"/>
      <c r="AF941" s="37"/>
      <c r="AG941" s="37"/>
    </row>
    <row r="942" ht="14.25" customHeight="1">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c r="AA942" s="37"/>
      <c r="AB942" s="37"/>
      <c r="AC942" s="37"/>
      <c r="AD942" s="37"/>
      <c r="AE942" s="37"/>
      <c r="AF942" s="37"/>
      <c r="AG942" s="37"/>
    </row>
    <row r="943" ht="14.25" customHeight="1">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c r="AA943" s="37"/>
      <c r="AB943" s="37"/>
      <c r="AC943" s="37"/>
      <c r="AD943" s="37"/>
      <c r="AE943" s="37"/>
      <c r="AF943" s="37"/>
      <c r="AG943" s="37"/>
    </row>
    <row r="944" ht="14.25" customHeight="1">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c r="AA944" s="37"/>
      <c r="AB944" s="37"/>
      <c r="AC944" s="37"/>
      <c r="AD944" s="37"/>
      <c r="AE944" s="37"/>
      <c r="AF944" s="37"/>
      <c r="AG944" s="37"/>
    </row>
    <row r="945" ht="14.25" customHeight="1">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c r="AA945" s="37"/>
      <c r="AB945" s="37"/>
      <c r="AC945" s="37"/>
      <c r="AD945" s="37"/>
      <c r="AE945" s="37"/>
      <c r="AF945" s="37"/>
      <c r="AG945" s="37"/>
    </row>
    <row r="946" ht="14.25" customHeight="1">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c r="AA946" s="37"/>
      <c r="AB946" s="37"/>
      <c r="AC946" s="37"/>
      <c r="AD946" s="37"/>
      <c r="AE946" s="37"/>
      <c r="AF946" s="37"/>
      <c r="AG946" s="37"/>
    </row>
    <row r="947" ht="14.25" customHeight="1">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c r="AA947" s="37"/>
      <c r="AB947" s="37"/>
      <c r="AC947" s="37"/>
      <c r="AD947" s="37"/>
      <c r="AE947" s="37"/>
      <c r="AF947" s="37"/>
      <c r="AG947" s="37"/>
    </row>
    <row r="948" ht="14.25" customHeight="1">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c r="AA948" s="37"/>
      <c r="AB948" s="37"/>
      <c r="AC948" s="37"/>
      <c r="AD948" s="37"/>
      <c r="AE948" s="37"/>
      <c r="AF948" s="37"/>
      <c r="AG948" s="37"/>
    </row>
    <row r="949" ht="14.25" customHeight="1">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c r="AA949" s="37"/>
      <c r="AB949" s="37"/>
      <c r="AC949" s="37"/>
      <c r="AD949" s="37"/>
      <c r="AE949" s="37"/>
      <c r="AF949" s="37"/>
      <c r="AG949" s="37"/>
    </row>
    <row r="950" ht="14.25" customHeight="1">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c r="AA950" s="37"/>
      <c r="AB950" s="37"/>
      <c r="AC950" s="37"/>
      <c r="AD950" s="37"/>
      <c r="AE950" s="37"/>
      <c r="AF950" s="37"/>
      <c r="AG950" s="37"/>
    </row>
    <row r="951" ht="14.25" customHeight="1">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c r="AA951" s="37"/>
      <c r="AB951" s="37"/>
      <c r="AC951" s="37"/>
      <c r="AD951" s="37"/>
      <c r="AE951" s="37"/>
      <c r="AF951" s="37"/>
      <c r="AG951" s="37"/>
    </row>
    <row r="952" ht="14.25" customHeight="1">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c r="AA952" s="37"/>
      <c r="AB952" s="37"/>
      <c r="AC952" s="37"/>
      <c r="AD952" s="37"/>
      <c r="AE952" s="37"/>
      <c r="AF952" s="37"/>
      <c r="AG952" s="37"/>
    </row>
    <row r="953" ht="14.25" customHeight="1">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c r="AA953" s="37"/>
      <c r="AB953" s="37"/>
      <c r="AC953" s="37"/>
      <c r="AD953" s="37"/>
      <c r="AE953" s="37"/>
      <c r="AF953" s="37"/>
      <c r="AG953" s="37"/>
    </row>
    <row r="954" ht="14.25" customHeight="1">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c r="AA954" s="37"/>
      <c r="AB954" s="37"/>
      <c r="AC954" s="37"/>
      <c r="AD954" s="37"/>
      <c r="AE954" s="37"/>
      <c r="AF954" s="37"/>
      <c r="AG954" s="37"/>
    </row>
    <row r="955" ht="14.25" customHeight="1">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c r="AA955" s="37"/>
      <c r="AB955" s="37"/>
      <c r="AC955" s="37"/>
      <c r="AD955" s="37"/>
      <c r="AE955" s="37"/>
      <c r="AF955" s="37"/>
      <c r="AG955" s="37"/>
    </row>
    <row r="956" ht="14.25" customHeight="1">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c r="AA956" s="37"/>
      <c r="AB956" s="37"/>
      <c r="AC956" s="37"/>
      <c r="AD956" s="37"/>
      <c r="AE956" s="37"/>
      <c r="AF956" s="37"/>
      <c r="AG956" s="37"/>
    </row>
    <row r="957" ht="14.25" customHeight="1">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c r="AA957" s="37"/>
      <c r="AB957" s="37"/>
      <c r="AC957" s="37"/>
      <c r="AD957" s="37"/>
      <c r="AE957" s="37"/>
      <c r="AF957" s="37"/>
      <c r="AG957" s="37"/>
    </row>
    <row r="958" ht="14.25" customHeight="1">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c r="AA958" s="37"/>
      <c r="AB958" s="37"/>
      <c r="AC958" s="37"/>
      <c r="AD958" s="37"/>
      <c r="AE958" s="37"/>
      <c r="AF958" s="37"/>
      <c r="AG958" s="37"/>
    </row>
    <row r="959" ht="14.25" customHeight="1">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c r="AA959" s="37"/>
      <c r="AB959" s="37"/>
      <c r="AC959" s="37"/>
      <c r="AD959" s="37"/>
      <c r="AE959" s="37"/>
      <c r="AF959" s="37"/>
      <c r="AG959" s="37"/>
    </row>
    <row r="960" ht="14.25" customHeight="1">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c r="AA960" s="37"/>
      <c r="AB960" s="37"/>
      <c r="AC960" s="37"/>
      <c r="AD960" s="37"/>
      <c r="AE960" s="37"/>
      <c r="AF960" s="37"/>
      <c r="AG960" s="37"/>
    </row>
    <row r="961" ht="14.25" customHeight="1">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c r="AA961" s="37"/>
      <c r="AB961" s="37"/>
      <c r="AC961" s="37"/>
      <c r="AD961" s="37"/>
      <c r="AE961" s="37"/>
      <c r="AF961" s="37"/>
      <c r="AG961" s="37"/>
    </row>
    <row r="962" ht="14.25" customHeight="1">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c r="AA962" s="37"/>
      <c r="AB962" s="37"/>
      <c r="AC962" s="37"/>
      <c r="AD962" s="37"/>
      <c r="AE962" s="37"/>
      <c r="AF962" s="37"/>
      <c r="AG962" s="37"/>
    </row>
    <row r="963" ht="14.25" customHeight="1">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c r="AA963" s="37"/>
      <c r="AB963" s="37"/>
      <c r="AC963" s="37"/>
      <c r="AD963" s="37"/>
      <c r="AE963" s="37"/>
      <c r="AF963" s="37"/>
      <c r="AG963" s="37"/>
    </row>
    <row r="964" ht="14.25" customHeight="1">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c r="AA964" s="37"/>
      <c r="AB964" s="37"/>
      <c r="AC964" s="37"/>
      <c r="AD964" s="37"/>
      <c r="AE964" s="37"/>
      <c r="AF964" s="37"/>
      <c r="AG964" s="37"/>
    </row>
    <row r="965" ht="14.25" customHeight="1">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c r="AA965" s="37"/>
      <c r="AB965" s="37"/>
      <c r="AC965" s="37"/>
      <c r="AD965" s="37"/>
      <c r="AE965" s="37"/>
      <c r="AF965" s="37"/>
      <c r="AG965" s="37"/>
    </row>
    <row r="966" ht="14.25" customHeight="1">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c r="AA966" s="37"/>
      <c r="AB966" s="37"/>
      <c r="AC966" s="37"/>
      <c r="AD966" s="37"/>
      <c r="AE966" s="37"/>
      <c r="AF966" s="37"/>
      <c r="AG966" s="37"/>
    </row>
    <row r="967" ht="14.25" customHeight="1">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c r="AA967" s="37"/>
      <c r="AB967" s="37"/>
      <c r="AC967" s="37"/>
      <c r="AD967" s="37"/>
      <c r="AE967" s="37"/>
      <c r="AF967" s="37"/>
      <c r="AG967" s="37"/>
    </row>
    <row r="968" ht="14.25" customHeight="1">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c r="AA968" s="37"/>
      <c r="AB968" s="37"/>
      <c r="AC968" s="37"/>
      <c r="AD968" s="37"/>
      <c r="AE968" s="37"/>
      <c r="AF968" s="37"/>
      <c r="AG968" s="37"/>
    </row>
    <row r="969" ht="14.25" customHeight="1">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c r="AA969" s="37"/>
      <c r="AB969" s="37"/>
      <c r="AC969" s="37"/>
      <c r="AD969" s="37"/>
      <c r="AE969" s="37"/>
      <c r="AF969" s="37"/>
      <c r="AG969" s="37"/>
    </row>
    <row r="970" ht="14.25" customHeight="1">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c r="AA970" s="37"/>
      <c r="AB970" s="37"/>
      <c r="AC970" s="37"/>
      <c r="AD970" s="37"/>
      <c r="AE970" s="37"/>
      <c r="AF970" s="37"/>
      <c r="AG970" s="37"/>
    </row>
    <row r="971" ht="14.25" customHeight="1">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c r="AA971" s="37"/>
      <c r="AB971" s="37"/>
      <c r="AC971" s="37"/>
      <c r="AD971" s="37"/>
      <c r="AE971" s="37"/>
      <c r="AF971" s="37"/>
      <c r="AG971" s="37"/>
    </row>
    <row r="972" ht="14.25" customHeight="1">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c r="AA972" s="37"/>
      <c r="AB972" s="37"/>
      <c r="AC972" s="37"/>
      <c r="AD972" s="37"/>
      <c r="AE972" s="37"/>
      <c r="AF972" s="37"/>
      <c r="AG972" s="37"/>
    </row>
    <row r="973" ht="14.25" customHeight="1">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c r="AA973" s="37"/>
      <c r="AB973" s="37"/>
      <c r="AC973" s="37"/>
      <c r="AD973" s="37"/>
      <c r="AE973" s="37"/>
      <c r="AF973" s="37"/>
      <c r="AG973" s="37"/>
    </row>
    <row r="974" ht="14.25" customHeight="1">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c r="AA974" s="37"/>
      <c r="AB974" s="37"/>
      <c r="AC974" s="37"/>
      <c r="AD974" s="37"/>
      <c r="AE974" s="37"/>
      <c r="AF974" s="37"/>
      <c r="AG974" s="37"/>
    </row>
    <row r="975" ht="14.25" customHeight="1">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c r="AA975" s="37"/>
      <c r="AB975" s="37"/>
      <c r="AC975" s="37"/>
      <c r="AD975" s="37"/>
      <c r="AE975" s="37"/>
      <c r="AF975" s="37"/>
      <c r="AG975" s="37"/>
    </row>
    <row r="976" ht="14.25" customHeight="1">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c r="AA976" s="37"/>
      <c r="AB976" s="37"/>
      <c r="AC976" s="37"/>
      <c r="AD976" s="37"/>
      <c r="AE976" s="37"/>
      <c r="AF976" s="37"/>
      <c r="AG976" s="37"/>
    </row>
    <row r="977" ht="14.25" customHeight="1">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c r="AA977" s="37"/>
      <c r="AB977" s="37"/>
      <c r="AC977" s="37"/>
      <c r="AD977" s="37"/>
      <c r="AE977" s="37"/>
      <c r="AF977" s="37"/>
      <c r="AG977" s="37"/>
    </row>
    <row r="978" ht="14.25" customHeight="1">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c r="AA978" s="37"/>
      <c r="AB978" s="37"/>
      <c r="AC978" s="37"/>
      <c r="AD978" s="37"/>
      <c r="AE978" s="37"/>
      <c r="AF978" s="37"/>
      <c r="AG978" s="37"/>
    </row>
    <row r="979" ht="14.25" customHeight="1">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c r="AA979" s="37"/>
      <c r="AB979" s="37"/>
      <c r="AC979" s="37"/>
      <c r="AD979" s="37"/>
      <c r="AE979" s="37"/>
      <c r="AF979" s="37"/>
      <c r="AG979" s="37"/>
    </row>
    <row r="980" ht="14.25" customHeight="1">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c r="AA980" s="37"/>
      <c r="AB980" s="37"/>
      <c r="AC980" s="37"/>
      <c r="AD980" s="37"/>
      <c r="AE980" s="37"/>
      <c r="AF980" s="37"/>
      <c r="AG980" s="37"/>
    </row>
    <row r="981" ht="14.25" customHeight="1">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c r="AA981" s="37"/>
      <c r="AB981" s="37"/>
      <c r="AC981" s="37"/>
      <c r="AD981" s="37"/>
      <c r="AE981" s="37"/>
      <c r="AF981" s="37"/>
      <c r="AG981" s="37"/>
    </row>
    <row r="982" ht="14.25" customHeight="1">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c r="AA982" s="37"/>
      <c r="AB982" s="37"/>
      <c r="AC982" s="37"/>
      <c r="AD982" s="37"/>
      <c r="AE982" s="37"/>
      <c r="AF982" s="37"/>
      <c r="AG982" s="37"/>
    </row>
    <row r="983" ht="14.25" customHeight="1">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c r="AA983" s="37"/>
      <c r="AB983" s="37"/>
      <c r="AC983" s="37"/>
      <c r="AD983" s="37"/>
      <c r="AE983" s="37"/>
      <c r="AF983" s="37"/>
      <c r="AG983" s="37"/>
    </row>
    <row r="984" ht="14.25" customHeight="1">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c r="AA984" s="37"/>
      <c r="AB984" s="37"/>
      <c r="AC984" s="37"/>
      <c r="AD984" s="37"/>
      <c r="AE984" s="37"/>
      <c r="AF984" s="37"/>
      <c r="AG984" s="37"/>
    </row>
    <row r="985" ht="14.25" customHeight="1">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c r="AA985" s="37"/>
      <c r="AB985" s="37"/>
      <c r="AC985" s="37"/>
      <c r="AD985" s="37"/>
      <c r="AE985" s="37"/>
      <c r="AF985" s="37"/>
      <c r="AG985" s="37"/>
    </row>
    <row r="986" ht="14.25" customHeight="1">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c r="AA986" s="37"/>
      <c r="AB986" s="37"/>
      <c r="AC986" s="37"/>
      <c r="AD986" s="37"/>
      <c r="AE986" s="37"/>
      <c r="AF986" s="37"/>
      <c r="AG986" s="37"/>
    </row>
    <row r="987" ht="14.25" customHeight="1">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c r="AA987" s="37"/>
      <c r="AB987" s="37"/>
      <c r="AC987" s="37"/>
      <c r="AD987" s="37"/>
      <c r="AE987" s="37"/>
      <c r="AF987" s="37"/>
      <c r="AG987" s="37"/>
    </row>
    <row r="988" ht="14.25" customHeight="1">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c r="AA988" s="37"/>
      <c r="AB988" s="37"/>
      <c r="AC988" s="37"/>
      <c r="AD988" s="37"/>
      <c r="AE988" s="37"/>
      <c r="AF988" s="37"/>
      <c r="AG988" s="37"/>
    </row>
    <row r="989" ht="14.25" customHeight="1">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c r="AA989" s="37"/>
      <c r="AB989" s="37"/>
      <c r="AC989" s="37"/>
      <c r="AD989" s="37"/>
      <c r="AE989" s="37"/>
      <c r="AF989" s="37"/>
      <c r="AG989" s="37"/>
    </row>
    <row r="990" ht="14.25" customHeight="1">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c r="AA990" s="37"/>
      <c r="AB990" s="37"/>
      <c r="AC990" s="37"/>
      <c r="AD990" s="37"/>
      <c r="AE990" s="37"/>
      <c r="AF990" s="37"/>
      <c r="AG990" s="37"/>
    </row>
    <row r="991" ht="14.25" customHeight="1">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c r="AA991" s="37"/>
      <c r="AB991" s="37"/>
      <c r="AC991" s="37"/>
      <c r="AD991" s="37"/>
      <c r="AE991" s="37"/>
      <c r="AF991" s="37"/>
      <c r="AG991" s="37"/>
    </row>
    <row r="992" ht="14.25" customHeight="1">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c r="AA992" s="37"/>
      <c r="AB992" s="37"/>
      <c r="AC992" s="37"/>
      <c r="AD992" s="37"/>
      <c r="AE992" s="37"/>
      <c r="AF992" s="37"/>
      <c r="AG992" s="37"/>
    </row>
    <row r="993" ht="14.25" customHeight="1">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c r="AA993" s="37"/>
      <c r="AB993" s="37"/>
      <c r="AC993" s="37"/>
      <c r="AD993" s="37"/>
      <c r="AE993" s="37"/>
      <c r="AF993" s="37"/>
      <c r="AG993" s="37"/>
    </row>
    <row r="994" ht="14.25" customHeight="1">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c r="AA994" s="37"/>
      <c r="AB994" s="37"/>
      <c r="AC994" s="37"/>
      <c r="AD994" s="37"/>
      <c r="AE994" s="37"/>
      <c r="AF994" s="37"/>
      <c r="AG994" s="37"/>
    </row>
    <row r="995" ht="14.25" customHeight="1">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c r="AA995" s="37"/>
      <c r="AB995" s="37"/>
      <c r="AC995" s="37"/>
      <c r="AD995" s="37"/>
      <c r="AE995" s="37"/>
      <c r="AF995" s="37"/>
      <c r="AG995" s="37"/>
    </row>
    <row r="996" ht="14.25" customHeight="1">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c r="AA996" s="37"/>
      <c r="AB996" s="37"/>
      <c r="AC996" s="37"/>
      <c r="AD996" s="37"/>
      <c r="AE996" s="37"/>
      <c r="AF996" s="37"/>
      <c r="AG996" s="37"/>
    </row>
    <row r="997" ht="14.25" customHeight="1">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c r="AA997" s="37"/>
      <c r="AB997" s="37"/>
      <c r="AC997" s="37"/>
      <c r="AD997" s="37"/>
      <c r="AE997" s="37"/>
      <c r="AF997" s="37"/>
      <c r="AG997" s="37"/>
    </row>
    <row r="998" ht="14.25" customHeight="1">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c r="AA998" s="37"/>
      <c r="AB998" s="37"/>
      <c r="AC998" s="37"/>
      <c r="AD998" s="37"/>
      <c r="AE998" s="37"/>
      <c r="AF998" s="37"/>
      <c r="AG998" s="37"/>
    </row>
    <row r="999" ht="14.25" customHeight="1">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c r="AA999" s="37"/>
      <c r="AB999" s="37"/>
      <c r="AC999" s="37"/>
      <c r="AD999" s="37"/>
      <c r="AE999" s="37"/>
      <c r="AF999" s="37"/>
      <c r="AG999" s="37"/>
    </row>
  </sheetData>
  <conditionalFormatting sqref="A2:AG999">
    <cfRule type="expression" dxfId="0" priority="1">
      <formula>$P2="No"</formula>
    </cfRule>
  </conditionalFormatting>
  <conditionalFormatting sqref="A2:AG999">
    <cfRule type="expression" dxfId="1" priority="2">
      <formula>$P2=""</formula>
    </cfRule>
  </conditionalFormatting>
  <dataValidations>
    <dataValidation type="list" allowBlank="1" showErrorMessage="1" sqref="R2:R35">
      <formula1>'Exclussion basis'!$A$2:$A$4</formula1>
    </dataValidation>
  </dataValidation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1"/>
    <hyperlink r:id="rId20" ref="C22"/>
    <hyperlink r:id="rId21" ref="C23"/>
    <hyperlink r:id="rId22" ref="C24"/>
    <hyperlink r:id="rId23" ref="C25"/>
    <hyperlink r:id="rId24" ref="C26"/>
    <hyperlink r:id="rId25" ref="C27"/>
    <hyperlink r:id="rId26" ref="C29"/>
    <hyperlink r:id="rId27" ref="C30"/>
    <hyperlink r:id="rId28" ref="C31"/>
    <hyperlink r:id="rId29" ref="C32"/>
    <hyperlink r:id="rId30" ref="C33"/>
    <hyperlink r:id="rId31" ref="C34"/>
    <hyperlink r:id="rId32" ref="C35"/>
  </hyperlinks>
  <printOptions/>
  <pageMargins bottom="0.75" footer="0.0" header="0.0" left="0.7" right="0.7" top="0.75"/>
  <pageSetup orientation="landscape"/>
  <drawing r:id="rId3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2" width="33.44"/>
    <col customWidth="1" min="3" max="3" width="14.67"/>
    <col customWidth="1" min="4" max="4" width="33.44"/>
    <col customWidth="1" min="5" max="5" width="7.22"/>
    <col customWidth="1" min="6" max="6" width="7.33"/>
    <col customWidth="1" min="7" max="8" width="33.44"/>
    <col customWidth="1" min="9" max="9" width="16.11"/>
    <col customWidth="1" min="10" max="13" width="33.44"/>
    <col customWidth="1" min="14" max="14" width="25.22"/>
    <col customWidth="1" min="15" max="15" width="33.44"/>
    <col customWidth="1" min="16" max="16" width="14.0"/>
    <col customWidth="1" min="17" max="17" width="33.44"/>
    <col customWidth="1" min="18" max="18" width="14.89"/>
    <col customWidth="1" min="19" max="19" width="33.44"/>
    <col customWidth="1" min="20" max="20" width="6.78"/>
    <col customWidth="1" min="21" max="21" width="7.78"/>
    <col customWidth="1" min="22" max="22" width="6.78"/>
    <col customWidth="1" min="23" max="23" width="6.89"/>
    <col customWidth="1" min="24" max="24" width="33.44"/>
    <col customWidth="1" min="25" max="25" width="6.78"/>
    <col customWidth="1" min="26" max="28" width="6.89"/>
    <col customWidth="1" min="29" max="32" width="6.78"/>
  </cols>
  <sheetData>
    <row r="1" ht="28.5" customHeight="1">
      <c r="A1" s="438" t="s">
        <v>57</v>
      </c>
      <c r="B1" s="438" t="s">
        <v>58</v>
      </c>
      <c r="C1" s="438" t="s">
        <v>59</v>
      </c>
      <c r="D1" s="438" t="s">
        <v>60</v>
      </c>
      <c r="E1" s="52" t="s">
        <v>943</v>
      </c>
      <c r="F1" s="52" t="s">
        <v>3845</v>
      </c>
      <c r="G1" s="438" t="s">
        <v>61</v>
      </c>
      <c r="H1" s="438" t="s">
        <v>62</v>
      </c>
      <c r="I1" s="438" t="s">
        <v>3207</v>
      </c>
      <c r="J1" s="438" t="s">
        <v>3208</v>
      </c>
      <c r="K1" s="438" t="s">
        <v>3209</v>
      </c>
      <c r="L1" s="438" t="s">
        <v>3210</v>
      </c>
      <c r="M1" s="52" t="s">
        <v>3649</v>
      </c>
      <c r="N1" s="438" t="s">
        <v>3212</v>
      </c>
      <c r="O1" s="438" t="s">
        <v>3213</v>
      </c>
      <c r="P1" s="438" t="s">
        <v>3214</v>
      </c>
      <c r="Q1" s="438" t="s">
        <v>3215</v>
      </c>
      <c r="R1" s="438" t="s">
        <v>3216</v>
      </c>
      <c r="S1" s="438" t="s">
        <v>3217</v>
      </c>
      <c r="T1" s="438" t="s">
        <v>944</v>
      </c>
      <c r="U1" s="52" t="s">
        <v>3219</v>
      </c>
      <c r="V1" s="52" t="s">
        <v>61</v>
      </c>
      <c r="W1" s="52" t="s">
        <v>62</v>
      </c>
      <c r="X1" s="52" t="s">
        <v>4642</v>
      </c>
      <c r="Y1" s="52" t="s">
        <v>950</v>
      </c>
      <c r="Z1" s="52" t="s">
        <v>4643</v>
      </c>
      <c r="AA1" s="438" t="s">
        <v>3222</v>
      </c>
      <c r="AB1" s="438" t="s">
        <v>3223</v>
      </c>
    </row>
    <row r="2" ht="14.25" customHeight="1">
      <c r="A2" s="439" t="s">
        <v>503</v>
      </c>
      <c r="B2" s="439" t="s">
        <v>504</v>
      </c>
      <c r="C2" s="439" t="s">
        <v>88</v>
      </c>
      <c r="D2" s="439" t="s">
        <v>505</v>
      </c>
      <c r="E2" s="439"/>
      <c r="F2" s="439"/>
      <c r="G2" s="439"/>
      <c r="H2" s="439" t="s">
        <v>506</v>
      </c>
      <c r="I2" s="439" t="s">
        <v>49</v>
      </c>
      <c r="J2" s="39" t="s">
        <v>4644</v>
      </c>
      <c r="K2" s="39" t="s">
        <v>4645</v>
      </c>
      <c r="L2" s="440" t="s">
        <v>4262</v>
      </c>
      <c r="M2" s="39" t="s">
        <v>4646</v>
      </c>
      <c r="N2" s="39" t="s">
        <v>4647</v>
      </c>
      <c r="O2" s="39" t="s">
        <v>4648</v>
      </c>
      <c r="P2" s="440" t="s">
        <v>931</v>
      </c>
      <c r="Q2" s="439"/>
      <c r="R2" s="439" t="s">
        <v>3229</v>
      </c>
      <c r="S2" s="439"/>
      <c r="T2" s="439"/>
      <c r="U2" s="440"/>
      <c r="V2" s="440"/>
      <c r="W2" s="440"/>
      <c r="X2" s="440" t="s">
        <v>4649</v>
      </c>
      <c r="Y2" s="439"/>
      <c r="Z2" s="440" t="s">
        <v>963</v>
      </c>
      <c r="AA2" s="439"/>
      <c r="AB2" s="439"/>
    </row>
    <row r="3" ht="14.25" customHeight="1">
      <c r="A3" s="439" t="s">
        <v>508</v>
      </c>
      <c r="B3" s="439" t="s">
        <v>509</v>
      </c>
      <c r="C3" s="439" t="s">
        <v>88</v>
      </c>
      <c r="D3" s="439" t="s">
        <v>510</v>
      </c>
      <c r="E3" s="439"/>
      <c r="F3" s="439"/>
      <c r="G3" s="439" t="s">
        <v>511</v>
      </c>
      <c r="H3" s="439" t="s">
        <v>233</v>
      </c>
      <c r="I3" s="439" t="s">
        <v>49</v>
      </c>
      <c r="J3" s="440" t="s">
        <v>4650</v>
      </c>
      <c r="K3" s="440" t="s">
        <v>4651</v>
      </c>
      <c r="L3" s="440" t="s">
        <v>4652</v>
      </c>
      <c r="M3" s="440" t="s">
        <v>4653</v>
      </c>
      <c r="N3" s="440" t="s">
        <v>998</v>
      </c>
      <c r="O3" s="440" t="s">
        <v>4654</v>
      </c>
      <c r="P3" s="440" t="s">
        <v>931</v>
      </c>
      <c r="Q3" s="439"/>
      <c r="R3" s="441"/>
      <c r="S3" s="439"/>
      <c r="T3" s="439"/>
      <c r="U3" s="440"/>
      <c r="V3" s="440"/>
      <c r="W3" s="440"/>
      <c r="X3" s="440" t="s">
        <v>4655</v>
      </c>
      <c r="Y3" s="439"/>
      <c r="Z3" s="440" t="s">
        <v>1862</v>
      </c>
      <c r="AA3" s="439"/>
      <c r="AB3" s="439"/>
    </row>
    <row r="4" ht="14.25" customHeight="1">
      <c r="A4" s="439" t="s">
        <v>512</v>
      </c>
      <c r="B4" s="439" t="s">
        <v>513</v>
      </c>
      <c r="C4" s="439" t="s">
        <v>88</v>
      </c>
      <c r="D4" s="439" t="s">
        <v>207</v>
      </c>
      <c r="E4" s="439"/>
      <c r="F4" s="439"/>
      <c r="G4" s="439" t="s">
        <v>514</v>
      </c>
      <c r="H4" s="439" t="s">
        <v>515</v>
      </c>
      <c r="I4" s="439" t="s">
        <v>49</v>
      </c>
      <c r="J4" s="440" t="s">
        <v>4656</v>
      </c>
      <c r="K4" s="440" t="s">
        <v>4657</v>
      </c>
      <c r="L4" s="440" t="s">
        <v>4658</v>
      </c>
      <c r="M4" s="440" t="s">
        <v>4659</v>
      </c>
      <c r="N4" s="440" t="s">
        <v>998</v>
      </c>
      <c r="O4" s="440" t="s">
        <v>4660</v>
      </c>
      <c r="P4" s="440" t="s">
        <v>931</v>
      </c>
      <c r="Q4" s="439"/>
      <c r="R4" s="441"/>
      <c r="S4" s="439"/>
      <c r="T4" s="439"/>
      <c r="U4" s="440"/>
      <c r="V4" s="440"/>
      <c r="W4" s="440"/>
      <c r="X4" s="440" t="s">
        <v>4661</v>
      </c>
      <c r="Y4" s="439"/>
      <c r="Z4" s="440" t="s">
        <v>963</v>
      </c>
      <c r="AA4" s="439"/>
      <c r="AB4" s="439"/>
    </row>
    <row r="5" ht="14.25" customHeight="1">
      <c r="A5" s="439" t="s">
        <v>516</v>
      </c>
      <c r="B5" s="439" t="s">
        <v>517</v>
      </c>
      <c r="C5" s="439" t="s">
        <v>88</v>
      </c>
      <c r="D5" s="439" t="s">
        <v>518</v>
      </c>
      <c r="E5" s="439"/>
      <c r="F5" s="439"/>
      <c r="G5" s="439" t="s">
        <v>418</v>
      </c>
      <c r="H5" s="439" t="s">
        <v>419</v>
      </c>
      <c r="I5" s="439" t="s">
        <v>49</v>
      </c>
      <c r="J5" s="440" t="s">
        <v>4662</v>
      </c>
      <c r="K5" s="440" t="s">
        <v>4663</v>
      </c>
      <c r="L5" s="440" t="s">
        <v>4664</v>
      </c>
      <c r="M5" s="440" t="s">
        <v>4664</v>
      </c>
      <c r="N5" s="440" t="s">
        <v>4665</v>
      </c>
      <c r="O5" s="440" t="s">
        <v>4666</v>
      </c>
      <c r="P5" s="440" t="s">
        <v>931</v>
      </c>
      <c r="Q5" s="439"/>
      <c r="R5" s="441"/>
      <c r="S5" s="439"/>
      <c r="T5" s="439"/>
      <c r="U5" s="440"/>
      <c r="V5" s="440"/>
      <c r="W5" s="440"/>
      <c r="X5" s="440" t="s">
        <v>4667</v>
      </c>
      <c r="Y5" s="439"/>
      <c r="Z5" s="440" t="s">
        <v>963</v>
      </c>
      <c r="AA5" s="439"/>
      <c r="AB5" s="439"/>
    </row>
    <row r="6" ht="14.25" customHeight="1">
      <c r="A6" s="439" t="s">
        <v>519</v>
      </c>
      <c r="B6" s="439" t="s">
        <v>520</v>
      </c>
      <c r="C6" s="439" t="s">
        <v>88</v>
      </c>
      <c r="D6" s="439" t="s">
        <v>521</v>
      </c>
      <c r="E6" s="439"/>
      <c r="F6" s="439"/>
      <c r="G6" s="439" t="s">
        <v>522</v>
      </c>
      <c r="H6" s="439" t="s">
        <v>523</v>
      </c>
      <c r="I6" s="439" t="s">
        <v>49</v>
      </c>
      <c r="J6" s="440" t="s">
        <v>4668</v>
      </c>
      <c r="K6" s="440" t="s">
        <v>4669</v>
      </c>
      <c r="L6" s="440" t="s">
        <v>4670</v>
      </c>
      <c r="M6" s="440" t="s">
        <v>4670</v>
      </c>
      <c r="N6" s="440" t="s">
        <v>998</v>
      </c>
      <c r="O6" s="440" t="s">
        <v>4671</v>
      </c>
      <c r="P6" s="440" t="s">
        <v>931</v>
      </c>
      <c r="Q6" s="439"/>
      <c r="R6" s="441"/>
      <c r="S6" s="439"/>
      <c r="T6" s="439"/>
      <c r="U6" s="440"/>
      <c r="V6" s="440"/>
      <c r="W6" s="440"/>
      <c r="X6" s="440" t="s">
        <v>4672</v>
      </c>
      <c r="Y6" s="439"/>
      <c r="Z6" s="440" t="s">
        <v>1877</v>
      </c>
      <c r="AA6" s="439"/>
      <c r="AB6" s="439"/>
    </row>
    <row r="7">
      <c r="A7" s="439" t="s">
        <v>524</v>
      </c>
      <c r="B7" s="439" t="s">
        <v>525</v>
      </c>
      <c r="C7" s="439" t="s">
        <v>88</v>
      </c>
      <c r="D7" s="439" t="s">
        <v>287</v>
      </c>
      <c r="E7" s="439"/>
      <c r="F7" s="439"/>
      <c r="G7" s="439" t="s">
        <v>346</v>
      </c>
      <c r="H7" s="439" t="s">
        <v>526</v>
      </c>
      <c r="I7" s="439" t="s">
        <v>49</v>
      </c>
      <c r="J7" s="440" t="s">
        <v>4673</v>
      </c>
      <c r="K7" s="440" t="s">
        <v>4674</v>
      </c>
      <c r="L7" s="440" t="s">
        <v>4675</v>
      </c>
      <c r="M7" s="439"/>
      <c r="N7" s="440" t="s">
        <v>998</v>
      </c>
      <c r="O7" s="440" t="s">
        <v>4676</v>
      </c>
      <c r="P7" s="440" t="s">
        <v>931</v>
      </c>
      <c r="Q7" s="439"/>
      <c r="R7" s="441"/>
      <c r="S7" s="440" t="s">
        <v>4677</v>
      </c>
      <c r="T7" s="439"/>
      <c r="U7" s="439"/>
      <c r="V7" s="439"/>
      <c r="W7" s="439"/>
      <c r="X7" s="440" t="s">
        <v>4678</v>
      </c>
      <c r="Y7" s="439"/>
      <c r="Z7" s="440" t="s">
        <v>963</v>
      </c>
      <c r="AA7" s="439"/>
      <c r="AB7" s="439"/>
    </row>
    <row r="8" ht="14.25" customHeight="1">
      <c r="A8" s="442" t="s">
        <v>527</v>
      </c>
      <c r="B8" s="442" t="s">
        <v>528</v>
      </c>
      <c r="C8" s="442" t="s">
        <v>88</v>
      </c>
      <c r="D8" s="442" t="s">
        <v>529</v>
      </c>
      <c r="E8" s="442"/>
      <c r="F8" s="442"/>
      <c r="G8" s="442" t="s">
        <v>137</v>
      </c>
      <c r="H8" s="442" t="s">
        <v>530</v>
      </c>
      <c r="I8" s="442" t="s">
        <v>49</v>
      </c>
      <c r="J8" s="443" t="s">
        <v>4679</v>
      </c>
      <c r="K8" s="443" t="s">
        <v>4680</v>
      </c>
      <c r="L8" s="443" t="s">
        <v>4681</v>
      </c>
      <c r="M8" s="442"/>
      <c r="N8" s="443" t="s">
        <v>4682</v>
      </c>
      <c r="O8" s="443" t="s">
        <v>4683</v>
      </c>
      <c r="P8" s="443" t="s">
        <v>963</v>
      </c>
      <c r="Q8" s="443" t="s">
        <v>4684</v>
      </c>
      <c r="R8" s="443" t="s">
        <v>2979</v>
      </c>
      <c r="S8" s="442"/>
      <c r="T8" s="442"/>
      <c r="U8" s="442"/>
      <c r="V8" s="442"/>
      <c r="W8" s="442"/>
      <c r="X8" s="443" t="s">
        <v>4685</v>
      </c>
      <c r="Y8" s="442"/>
      <c r="Z8" s="443" t="s">
        <v>963</v>
      </c>
      <c r="AA8" s="442"/>
      <c r="AB8" s="442"/>
      <c r="AC8" s="315"/>
      <c r="AD8" s="315"/>
      <c r="AE8" s="315"/>
      <c r="AF8" s="315"/>
    </row>
    <row r="9" ht="14.25" customHeight="1">
      <c r="A9" s="439" t="s">
        <v>531</v>
      </c>
      <c r="B9" s="439" t="s">
        <v>532</v>
      </c>
      <c r="C9" s="439" t="s">
        <v>88</v>
      </c>
      <c r="D9" s="439" t="s">
        <v>363</v>
      </c>
      <c r="E9" s="439"/>
      <c r="F9" s="439"/>
      <c r="G9" s="439" t="s">
        <v>126</v>
      </c>
      <c r="H9" s="439" t="s">
        <v>393</v>
      </c>
      <c r="I9" s="439" t="s">
        <v>49</v>
      </c>
      <c r="J9" s="440" t="s">
        <v>4686</v>
      </c>
      <c r="K9" s="440" t="s">
        <v>4687</v>
      </c>
      <c r="L9" s="440" t="s">
        <v>4688</v>
      </c>
      <c r="M9" s="439"/>
      <c r="N9" s="440" t="s">
        <v>998</v>
      </c>
      <c r="O9" s="440" t="s">
        <v>4689</v>
      </c>
      <c r="P9" s="440" t="s">
        <v>931</v>
      </c>
      <c r="Q9" s="439"/>
      <c r="R9" s="441"/>
      <c r="S9" s="440" t="s">
        <v>4690</v>
      </c>
      <c r="T9" s="439"/>
      <c r="U9" s="439"/>
      <c r="V9" s="439"/>
      <c r="W9" s="439"/>
      <c r="X9" s="440" t="s">
        <v>4691</v>
      </c>
      <c r="Y9" s="439"/>
      <c r="Z9" s="440" t="s">
        <v>1888</v>
      </c>
      <c r="AA9" s="439"/>
      <c r="AB9" s="439"/>
    </row>
    <row r="10" ht="14.25" customHeight="1">
      <c r="A10" s="439" t="s">
        <v>533</v>
      </c>
      <c r="B10" s="439" t="s">
        <v>534</v>
      </c>
      <c r="C10" s="439" t="s">
        <v>88</v>
      </c>
      <c r="D10" s="439" t="s">
        <v>227</v>
      </c>
      <c r="E10" s="439"/>
      <c r="F10" s="439"/>
      <c r="G10" s="439" t="s">
        <v>535</v>
      </c>
      <c r="H10" s="439" t="s">
        <v>536</v>
      </c>
      <c r="I10" s="439" t="s">
        <v>49</v>
      </c>
      <c r="J10" s="440" t="s">
        <v>4692</v>
      </c>
      <c r="K10" s="440" t="s">
        <v>4693</v>
      </c>
      <c r="L10" s="440" t="s">
        <v>4694</v>
      </c>
      <c r="M10" s="439"/>
      <c r="N10" s="440" t="s">
        <v>1153</v>
      </c>
      <c r="O10" s="440" t="s">
        <v>4695</v>
      </c>
      <c r="P10" s="440" t="s">
        <v>931</v>
      </c>
      <c r="Q10" s="439"/>
      <c r="R10" s="441"/>
      <c r="S10" s="439"/>
      <c r="T10" s="439"/>
      <c r="U10" s="439"/>
      <c r="V10" s="439"/>
      <c r="W10" s="439"/>
      <c r="X10" s="440" t="s">
        <v>4696</v>
      </c>
      <c r="Y10" s="439"/>
      <c r="Z10" s="440" t="s">
        <v>1894</v>
      </c>
      <c r="AA10" s="439"/>
      <c r="AB10" s="439"/>
    </row>
    <row r="11" ht="14.25" customHeight="1">
      <c r="A11" s="444" t="s">
        <v>537</v>
      </c>
      <c r="B11" s="444" t="s">
        <v>538</v>
      </c>
      <c r="C11" s="444" t="s">
        <v>88</v>
      </c>
      <c r="D11" s="444" t="s">
        <v>406</v>
      </c>
      <c r="E11" s="444"/>
      <c r="F11" s="444"/>
      <c r="G11" s="444" t="s">
        <v>142</v>
      </c>
      <c r="H11" s="444" t="s">
        <v>142</v>
      </c>
      <c r="I11" s="444" t="s">
        <v>49</v>
      </c>
      <c r="J11" s="445" t="s">
        <v>4697</v>
      </c>
      <c r="K11" s="445" t="s">
        <v>4698</v>
      </c>
      <c r="L11" s="445" t="s">
        <v>4699</v>
      </c>
      <c r="M11" s="445" t="s">
        <v>4700</v>
      </c>
      <c r="N11" s="445" t="s">
        <v>998</v>
      </c>
      <c r="O11" s="445" t="s">
        <v>4701</v>
      </c>
      <c r="P11" s="445" t="s">
        <v>931</v>
      </c>
      <c r="Q11" s="444"/>
      <c r="R11" s="446"/>
      <c r="S11" s="444"/>
      <c r="T11" s="444"/>
      <c r="U11" s="444"/>
      <c r="V11" s="444"/>
      <c r="W11" s="444"/>
      <c r="X11" s="445" t="s">
        <v>4702</v>
      </c>
      <c r="Y11" s="444"/>
      <c r="Z11" s="445" t="s">
        <v>963</v>
      </c>
      <c r="AA11" s="444"/>
      <c r="AB11" s="444"/>
    </row>
    <row r="12" ht="14.25" customHeight="1">
      <c r="A12" s="439" t="s">
        <v>539</v>
      </c>
      <c r="B12" s="439" t="s">
        <v>540</v>
      </c>
      <c r="C12" s="439" t="s">
        <v>88</v>
      </c>
      <c r="D12" s="439" t="s">
        <v>224</v>
      </c>
      <c r="E12" s="439"/>
      <c r="F12" s="439"/>
      <c r="G12" s="439" t="s">
        <v>162</v>
      </c>
      <c r="H12" s="439" t="s">
        <v>541</v>
      </c>
      <c r="I12" s="439" t="s">
        <v>49</v>
      </c>
      <c r="J12" s="440" t="s">
        <v>4703</v>
      </c>
      <c r="K12" s="440" t="s">
        <v>4704</v>
      </c>
      <c r="L12" s="440" t="s">
        <v>4705</v>
      </c>
      <c r="M12" s="439"/>
      <c r="N12" s="440" t="s">
        <v>4706</v>
      </c>
      <c r="O12" s="440" t="s">
        <v>4707</v>
      </c>
      <c r="P12" s="440" t="s">
        <v>931</v>
      </c>
      <c r="Q12" s="439"/>
      <c r="R12" s="440" t="s">
        <v>2979</v>
      </c>
      <c r="S12" s="440" t="s">
        <v>4708</v>
      </c>
      <c r="T12" s="439"/>
      <c r="U12" s="439"/>
      <c r="V12" s="439"/>
      <c r="W12" s="439"/>
      <c r="X12" s="440" t="s">
        <v>4709</v>
      </c>
      <c r="Y12" s="439"/>
      <c r="Z12" s="440" t="s">
        <v>963</v>
      </c>
      <c r="AA12" s="439"/>
      <c r="AB12" s="439"/>
      <c r="AC12" s="447"/>
      <c r="AD12" s="447"/>
      <c r="AE12" s="447"/>
      <c r="AF12" s="447"/>
    </row>
    <row r="13" ht="14.25" customHeight="1">
      <c r="A13" s="442" t="s">
        <v>542</v>
      </c>
      <c r="B13" s="442" t="s">
        <v>543</v>
      </c>
      <c r="C13" s="442" t="s">
        <v>88</v>
      </c>
      <c r="D13" s="442" t="s">
        <v>197</v>
      </c>
      <c r="E13" s="442"/>
      <c r="F13" s="442"/>
      <c r="G13" s="442"/>
      <c r="H13" s="442" t="s">
        <v>301</v>
      </c>
      <c r="I13" s="442" t="s">
        <v>49</v>
      </c>
      <c r="J13" s="443" t="s">
        <v>4710</v>
      </c>
      <c r="K13" s="443" t="s">
        <v>4711</v>
      </c>
      <c r="L13" s="443" t="s">
        <v>4712</v>
      </c>
      <c r="M13" s="442"/>
      <c r="N13" s="443" t="s">
        <v>998</v>
      </c>
      <c r="O13" s="443" t="s">
        <v>4713</v>
      </c>
      <c r="P13" s="443" t="s">
        <v>963</v>
      </c>
      <c r="Q13" s="443" t="s">
        <v>4714</v>
      </c>
      <c r="R13" s="443" t="s">
        <v>2979</v>
      </c>
      <c r="S13" s="443" t="s">
        <v>4715</v>
      </c>
      <c r="T13" s="442"/>
      <c r="U13" s="442"/>
      <c r="V13" s="442"/>
      <c r="W13" s="442"/>
      <c r="X13" s="443" t="s">
        <v>4716</v>
      </c>
      <c r="Y13" s="442"/>
      <c r="Z13" s="443" t="s">
        <v>963</v>
      </c>
      <c r="AA13" s="442"/>
      <c r="AB13" s="442"/>
      <c r="AC13" s="315"/>
      <c r="AD13" s="315"/>
      <c r="AE13" s="315"/>
      <c r="AF13" s="315"/>
    </row>
    <row r="14" ht="14.25" customHeight="1">
      <c r="A14" s="439" t="s">
        <v>544</v>
      </c>
      <c r="B14" s="439" t="s">
        <v>545</v>
      </c>
      <c r="C14" s="439" t="s">
        <v>88</v>
      </c>
      <c r="D14" s="439" t="s">
        <v>429</v>
      </c>
      <c r="E14" s="439"/>
      <c r="F14" s="439"/>
      <c r="G14" s="439" t="s">
        <v>162</v>
      </c>
      <c r="H14" s="439" t="s">
        <v>171</v>
      </c>
      <c r="I14" s="439" t="s">
        <v>49</v>
      </c>
      <c r="J14" s="440" t="s">
        <v>4717</v>
      </c>
      <c r="K14" s="440" t="s">
        <v>4718</v>
      </c>
      <c r="L14" s="440" t="s">
        <v>4719</v>
      </c>
      <c r="M14" s="439"/>
      <c r="N14" s="440" t="s">
        <v>4720</v>
      </c>
      <c r="O14" s="440" t="s">
        <v>4721</v>
      </c>
      <c r="P14" s="440" t="s">
        <v>1210</v>
      </c>
      <c r="Q14" s="439"/>
      <c r="R14" s="441"/>
      <c r="S14" s="440" t="s">
        <v>4722</v>
      </c>
      <c r="T14" s="439"/>
      <c r="U14" s="439"/>
      <c r="V14" s="439"/>
      <c r="W14" s="439"/>
      <c r="X14" s="440" t="s">
        <v>4723</v>
      </c>
      <c r="Y14" s="439"/>
      <c r="Z14" s="440" t="s">
        <v>1894</v>
      </c>
      <c r="AA14" s="439"/>
      <c r="AB14" s="439"/>
    </row>
    <row r="15" ht="14.25" customHeight="1">
      <c r="A15" s="448" t="s">
        <v>546</v>
      </c>
      <c r="B15" s="448" t="s">
        <v>547</v>
      </c>
      <c r="C15" s="448" t="s">
        <v>88</v>
      </c>
      <c r="D15" s="448" t="s">
        <v>125</v>
      </c>
      <c r="E15" s="448"/>
      <c r="F15" s="448"/>
      <c r="G15" s="448" t="s">
        <v>548</v>
      </c>
      <c r="H15" s="448" t="s">
        <v>209</v>
      </c>
      <c r="I15" s="448" t="s">
        <v>49</v>
      </c>
      <c r="J15" s="449" t="s">
        <v>2216</v>
      </c>
      <c r="K15" s="449" t="s">
        <v>2216</v>
      </c>
      <c r="L15" s="449" t="s">
        <v>2216</v>
      </c>
      <c r="M15" s="449" t="s">
        <v>2216</v>
      </c>
      <c r="N15" s="449" t="s">
        <v>2216</v>
      </c>
      <c r="O15" s="449" t="s">
        <v>2216</v>
      </c>
      <c r="P15" s="449" t="s">
        <v>2216</v>
      </c>
      <c r="Q15" s="448"/>
      <c r="R15" s="450"/>
      <c r="S15" s="449" t="s">
        <v>4724</v>
      </c>
      <c r="T15" s="448"/>
      <c r="U15" s="448"/>
      <c r="V15" s="448"/>
      <c r="W15" s="448"/>
      <c r="X15" s="448"/>
      <c r="Y15" s="448"/>
      <c r="Z15" s="449" t="s">
        <v>963</v>
      </c>
      <c r="AA15" s="448"/>
      <c r="AB15" s="448"/>
      <c r="AC15" s="325"/>
      <c r="AD15" s="325"/>
      <c r="AE15" s="325"/>
      <c r="AF15" s="325"/>
    </row>
    <row r="16" ht="14.25" customHeight="1">
      <c r="A16" s="439" t="s">
        <v>549</v>
      </c>
      <c r="B16" s="439" t="s">
        <v>550</v>
      </c>
      <c r="C16" s="439" t="s">
        <v>88</v>
      </c>
      <c r="D16" s="439" t="s">
        <v>551</v>
      </c>
      <c r="E16" s="439"/>
      <c r="F16" s="439"/>
      <c r="G16" s="439"/>
      <c r="H16" s="439" t="s">
        <v>552</v>
      </c>
      <c r="I16" s="439" t="s">
        <v>49</v>
      </c>
      <c r="J16" s="440" t="s">
        <v>4725</v>
      </c>
      <c r="K16" s="440" t="s">
        <v>4726</v>
      </c>
      <c r="L16" s="440" t="s">
        <v>4727</v>
      </c>
      <c r="M16" s="439"/>
      <c r="N16" s="440" t="s">
        <v>4728</v>
      </c>
      <c r="O16" s="440" t="s">
        <v>4729</v>
      </c>
      <c r="P16" s="440" t="s">
        <v>931</v>
      </c>
      <c r="Q16" s="439"/>
      <c r="R16" s="441"/>
      <c r="S16" s="439"/>
      <c r="T16" s="439"/>
      <c r="U16" s="439"/>
      <c r="V16" s="439"/>
      <c r="W16" s="439"/>
      <c r="X16" s="440" t="s">
        <v>4730</v>
      </c>
      <c r="Y16" s="439"/>
      <c r="Z16" s="440" t="s">
        <v>963</v>
      </c>
      <c r="AA16" s="439"/>
      <c r="AB16" s="439"/>
    </row>
    <row r="17" ht="14.25" customHeight="1">
      <c r="A17" s="442" t="s">
        <v>553</v>
      </c>
      <c r="B17" s="442" t="s">
        <v>554</v>
      </c>
      <c r="C17" s="442" t="s">
        <v>88</v>
      </c>
      <c r="D17" s="442" t="s">
        <v>555</v>
      </c>
      <c r="E17" s="442"/>
      <c r="F17" s="442"/>
      <c r="G17" s="442" t="s">
        <v>142</v>
      </c>
      <c r="H17" s="442" t="s">
        <v>556</v>
      </c>
      <c r="I17" s="442" t="s">
        <v>49</v>
      </c>
      <c r="J17" s="443" t="s">
        <v>4731</v>
      </c>
      <c r="K17" s="443" t="s">
        <v>4732</v>
      </c>
      <c r="L17" s="443" t="s">
        <v>4733</v>
      </c>
      <c r="M17" s="442"/>
      <c r="N17" s="443" t="s">
        <v>4734</v>
      </c>
      <c r="O17" s="443" t="s">
        <v>4735</v>
      </c>
      <c r="P17" s="443" t="s">
        <v>963</v>
      </c>
      <c r="Q17" s="443" t="s">
        <v>4736</v>
      </c>
      <c r="R17" s="443" t="s">
        <v>2979</v>
      </c>
      <c r="S17" s="442"/>
      <c r="T17" s="442"/>
      <c r="U17" s="442"/>
      <c r="V17" s="442"/>
      <c r="W17" s="442"/>
      <c r="X17" s="443" t="s">
        <v>4737</v>
      </c>
      <c r="Y17" s="442"/>
      <c r="Z17" s="443" t="s">
        <v>963</v>
      </c>
      <c r="AA17" s="442"/>
      <c r="AB17" s="442"/>
      <c r="AC17" s="315"/>
      <c r="AD17" s="315"/>
      <c r="AE17" s="315"/>
      <c r="AF17" s="315"/>
    </row>
    <row r="18" ht="14.25" customHeight="1">
      <c r="A18" s="39" t="s">
        <v>628</v>
      </c>
      <c r="B18" s="39" t="s">
        <v>629</v>
      </c>
      <c r="C18" s="40" t="s">
        <v>616</v>
      </c>
      <c r="D18" s="39" t="s">
        <v>630</v>
      </c>
      <c r="E18" s="39"/>
      <c r="F18" s="39"/>
      <c r="G18" s="39" t="s">
        <v>631</v>
      </c>
      <c r="H18" s="39" t="s">
        <v>221</v>
      </c>
      <c r="I18" s="439" t="s">
        <v>49</v>
      </c>
      <c r="J18" s="39" t="s">
        <v>4738</v>
      </c>
      <c r="K18" s="440" t="s">
        <v>4739</v>
      </c>
      <c r="L18" s="440" t="s">
        <v>4740</v>
      </c>
      <c r="M18" s="440" t="s">
        <v>4741</v>
      </c>
      <c r="N18" s="440" t="s">
        <v>4742</v>
      </c>
      <c r="O18" s="440" t="s">
        <v>4743</v>
      </c>
      <c r="P18" s="440" t="s">
        <v>931</v>
      </c>
      <c r="Q18" s="439"/>
      <c r="R18" s="441"/>
      <c r="S18" s="440" t="s">
        <v>4744</v>
      </c>
      <c r="T18" s="439"/>
      <c r="U18" s="439"/>
      <c r="V18" s="439"/>
      <c r="W18" s="439"/>
      <c r="X18" s="440" t="s">
        <v>4745</v>
      </c>
      <c r="Y18" s="439"/>
      <c r="Z18" s="440" t="s">
        <v>1920</v>
      </c>
      <c r="AA18" s="439"/>
      <c r="AB18" s="439"/>
    </row>
    <row r="19" ht="14.25" customHeight="1">
      <c r="A19" s="39" t="s">
        <v>632</v>
      </c>
      <c r="B19" s="39" t="s">
        <v>633</v>
      </c>
      <c r="C19" s="40" t="s">
        <v>616</v>
      </c>
      <c r="D19" s="39" t="s">
        <v>179</v>
      </c>
      <c r="E19" s="39"/>
      <c r="F19" s="39"/>
      <c r="G19" s="39" t="s">
        <v>198</v>
      </c>
      <c r="H19" s="39" t="s">
        <v>634</v>
      </c>
      <c r="I19" s="439" t="s">
        <v>49</v>
      </c>
      <c r="J19" s="39" t="s">
        <v>4746</v>
      </c>
      <c r="K19" s="439"/>
      <c r="L19" s="440" t="s">
        <v>4747</v>
      </c>
      <c r="M19" s="439"/>
      <c r="N19" s="440" t="s">
        <v>4742</v>
      </c>
      <c r="O19" s="440" t="s">
        <v>4748</v>
      </c>
      <c r="P19" s="440" t="s">
        <v>931</v>
      </c>
      <c r="Q19" s="439"/>
      <c r="R19" s="441"/>
      <c r="S19" s="440" t="s">
        <v>4744</v>
      </c>
      <c r="T19" s="439"/>
      <c r="U19" s="439"/>
      <c r="V19" s="439"/>
      <c r="W19" s="439"/>
      <c r="X19" s="440" t="s">
        <v>4749</v>
      </c>
      <c r="Y19" s="439"/>
      <c r="Z19" s="440" t="s">
        <v>4750</v>
      </c>
      <c r="AA19" s="439"/>
      <c r="AB19" s="439"/>
    </row>
    <row r="20" ht="14.25" customHeight="1">
      <c r="A20" s="330" t="s">
        <v>696</v>
      </c>
      <c r="B20" s="330" t="s">
        <v>697</v>
      </c>
      <c r="C20" s="331" t="s">
        <v>616</v>
      </c>
      <c r="D20" s="330" t="s">
        <v>100</v>
      </c>
      <c r="E20" s="330"/>
      <c r="F20" s="330"/>
      <c r="G20" s="330" t="s">
        <v>698</v>
      </c>
      <c r="H20" s="330" t="s">
        <v>260</v>
      </c>
      <c r="I20" s="442" t="s">
        <v>49</v>
      </c>
      <c r="J20" s="330" t="s">
        <v>4751</v>
      </c>
      <c r="K20" s="330" t="s">
        <v>4752</v>
      </c>
      <c r="L20" s="443" t="s">
        <v>4753</v>
      </c>
      <c r="M20" s="442"/>
      <c r="N20" s="443" t="s">
        <v>1153</v>
      </c>
      <c r="O20" s="443" t="s">
        <v>4754</v>
      </c>
      <c r="P20" s="443" t="s">
        <v>963</v>
      </c>
      <c r="Q20" s="443" t="s">
        <v>4755</v>
      </c>
      <c r="R20" s="443" t="s">
        <v>2979</v>
      </c>
      <c r="S20" s="443" t="s">
        <v>4756</v>
      </c>
      <c r="T20" s="442"/>
      <c r="U20" s="442"/>
      <c r="V20" s="442"/>
      <c r="W20" s="442"/>
      <c r="X20" s="443" t="s">
        <v>4757</v>
      </c>
      <c r="Y20" s="442"/>
      <c r="Z20" s="443" t="s">
        <v>963</v>
      </c>
      <c r="AA20" s="442"/>
      <c r="AB20" s="442"/>
      <c r="AC20" s="315"/>
      <c r="AD20" s="315"/>
      <c r="AE20" s="315"/>
      <c r="AF20" s="315"/>
    </row>
    <row r="21" ht="14.25" customHeight="1">
      <c r="A21" s="39" t="s">
        <v>712</v>
      </c>
      <c r="B21" s="39" t="s">
        <v>713</v>
      </c>
      <c r="C21" s="40" t="s">
        <v>616</v>
      </c>
      <c r="D21" s="39" t="s">
        <v>256</v>
      </c>
      <c r="E21" s="39"/>
      <c r="F21" s="39"/>
      <c r="G21" s="39" t="s">
        <v>4758</v>
      </c>
      <c r="H21" s="39" t="s">
        <v>142</v>
      </c>
      <c r="I21" s="439" t="s">
        <v>49</v>
      </c>
      <c r="J21" s="39" t="s">
        <v>4759</v>
      </c>
      <c r="K21" s="440" t="s">
        <v>4760</v>
      </c>
      <c r="L21" s="440" t="s">
        <v>4761</v>
      </c>
      <c r="M21" s="439"/>
      <c r="N21" s="440" t="s">
        <v>4762</v>
      </c>
      <c r="O21" s="440" t="s">
        <v>4763</v>
      </c>
      <c r="P21" s="440" t="s">
        <v>931</v>
      </c>
      <c r="Q21" s="439"/>
      <c r="R21" s="441"/>
      <c r="S21" s="440" t="s">
        <v>4744</v>
      </c>
      <c r="T21" s="439"/>
      <c r="U21" s="439"/>
      <c r="V21" s="439"/>
      <c r="W21" s="439"/>
      <c r="X21" s="440" t="s">
        <v>4723</v>
      </c>
      <c r="Y21" s="439"/>
      <c r="Z21" s="440" t="s">
        <v>1894</v>
      </c>
      <c r="AA21" s="439"/>
      <c r="AB21" s="439"/>
    </row>
    <row r="22" ht="14.25" customHeight="1">
      <c r="A22" s="39" t="s">
        <v>714</v>
      </c>
      <c r="B22" s="39" t="s">
        <v>715</v>
      </c>
      <c r="C22" s="40" t="s">
        <v>616</v>
      </c>
      <c r="D22" s="39" t="s">
        <v>125</v>
      </c>
      <c r="E22" s="39"/>
      <c r="F22" s="39"/>
      <c r="G22" s="39" t="s">
        <v>142</v>
      </c>
      <c r="H22" s="39" t="s">
        <v>142</v>
      </c>
      <c r="I22" s="439" t="s">
        <v>49</v>
      </c>
      <c r="J22" s="39" t="s">
        <v>4764</v>
      </c>
      <c r="K22" s="440" t="s">
        <v>4765</v>
      </c>
      <c r="L22" s="440" t="s">
        <v>4766</v>
      </c>
      <c r="M22" s="439"/>
      <c r="N22" s="440" t="s">
        <v>1153</v>
      </c>
      <c r="O22" s="440" t="s">
        <v>4767</v>
      </c>
      <c r="P22" s="440" t="s">
        <v>931</v>
      </c>
      <c r="Q22" s="440" t="s">
        <v>4768</v>
      </c>
      <c r="R22" s="440" t="s">
        <v>2979</v>
      </c>
      <c r="S22" s="440" t="s">
        <v>4769</v>
      </c>
      <c r="T22" s="439"/>
      <c r="U22" s="439"/>
      <c r="V22" s="439"/>
      <c r="W22" s="439"/>
      <c r="X22" s="440" t="s">
        <v>4770</v>
      </c>
      <c r="Y22" s="439"/>
      <c r="Z22" s="440" t="s">
        <v>1894</v>
      </c>
      <c r="AA22" s="439"/>
      <c r="AB22" s="439"/>
    </row>
    <row r="23" ht="14.25" customHeight="1">
      <c r="A23" s="39" t="s">
        <v>769</v>
      </c>
      <c r="B23" s="39" t="s">
        <v>770</v>
      </c>
      <c r="C23" s="40" t="s">
        <v>616</v>
      </c>
      <c r="D23" s="39" t="s">
        <v>599</v>
      </c>
      <c r="E23" s="39"/>
      <c r="F23" s="39"/>
      <c r="G23" s="39" t="s">
        <v>771</v>
      </c>
      <c r="H23" s="39" t="s">
        <v>221</v>
      </c>
      <c r="I23" s="39" t="s">
        <v>49</v>
      </c>
      <c r="J23" s="39" t="s">
        <v>4771</v>
      </c>
      <c r="K23" s="440" t="s">
        <v>4772</v>
      </c>
      <c r="L23" s="440" t="s">
        <v>4773</v>
      </c>
      <c r="M23" s="439"/>
      <c r="N23" s="440" t="s">
        <v>1153</v>
      </c>
      <c r="O23" s="440" t="s">
        <v>4774</v>
      </c>
      <c r="P23" s="440" t="s">
        <v>931</v>
      </c>
      <c r="Q23" s="439"/>
      <c r="R23" s="441"/>
      <c r="S23" s="440" t="s">
        <v>4744</v>
      </c>
      <c r="T23" s="439"/>
      <c r="U23" s="439"/>
      <c r="V23" s="439"/>
      <c r="W23" s="439"/>
      <c r="X23" s="440" t="s">
        <v>4723</v>
      </c>
      <c r="Y23" s="439"/>
      <c r="Z23" s="440" t="s">
        <v>1877</v>
      </c>
      <c r="AA23" s="439"/>
      <c r="AB23" s="439"/>
    </row>
    <row r="24" ht="14.25" customHeight="1">
      <c r="A24" s="39" t="s">
        <v>899</v>
      </c>
      <c r="B24" s="39" t="s">
        <v>900</v>
      </c>
      <c r="C24" s="40" t="s">
        <v>891</v>
      </c>
      <c r="D24" s="39" t="s">
        <v>901</v>
      </c>
      <c r="E24" s="39"/>
      <c r="F24" s="39"/>
      <c r="G24" s="39" t="s">
        <v>162</v>
      </c>
      <c r="H24" s="39" t="s">
        <v>260</v>
      </c>
      <c r="I24" s="39" t="s">
        <v>49</v>
      </c>
      <c r="J24" s="39" t="s">
        <v>4775</v>
      </c>
      <c r="K24" s="39" t="s">
        <v>4776</v>
      </c>
      <c r="L24" s="39" t="s">
        <v>4777</v>
      </c>
      <c r="M24" s="41"/>
      <c r="N24" s="39" t="s">
        <v>1016</v>
      </c>
      <c r="O24" s="440" t="s">
        <v>4778</v>
      </c>
      <c r="P24" s="440" t="s">
        <v>931</v>
      </c>
      <c r="Q24" s="439"/>
      <c r="R24" s="446"/>
      <c r="S24" s="440" t="s">
        <v>4779</v>
      </c>
      <c r="T24" s="439"/>
      <c r="U24" s="439"/>
      <c r="V24" s="439"/>
      <c r="W24" s="439"/>
      <c r="X24" s="440" t="s">
        <v>4780</v>
      </c>
      <c r="Y24" s="439"/>
      <c r="Z24" s="440" t="s">
        <v>963</v>
      </c>
      <c r="AA24" s="439"/>
      <c r="AB24" s="439"/>
    </row>
    <row r="25" ht="14.25" customHeight="1">
      <c r="A25" s="330" t="s">
        <v>915</v>
      </c>
      <c r="B25" s="330" t="s">
        <v>916</v>
      </c>
      <c r="C25" s="331" t="s">
        <v>891</v>
      </c>
      <c r="D25" s="330" t="s">
        <v>917</v>
      </c>
      <c r="E25" s="330"/>
      <c r="F25" s="330"/>
      <c r="G25" s="330"/>
      <c r="H25" s="330" t="s">
        <v>260</v>
      </c>
      <c r="I25" s="330" t="s">
        <v>49</v>
      </c>
      <c r="J25" s="330" t="s">
        <v>4781</v>
      </c>
      <c r="K25" s="330" t="s">
        <v>4782</v>
      </c>
      <c r="L25" s="330" t="s">
        <v>4783</v>
      </c>
      <c r="M25" s="332"/>
      <c r="N25" s="330" t="s">
        <v>4784</v>
      </c>
      <c r="O25" s="443" t="s">
        <v>4785</v>
      </c>
      <c r="P25" s="443" t="s">
        <v>963</v>
      </c>
      <c r="Q25" s="443" t="s">
        <v>4786</v>
      </c>
      <c r="R25" s="443" t="s">
        <v>2979</v>
      </c>
      <c r="S25" s="442"/>
      <c r="T25" s="442"/>
      <c r="U25" s="442"/>
      <c r="V25" s="442"/>
      <c r="W25" s="442"/>
      <c r="X25" s="443" t="s">
        <v>4787</v>
      </c>
      <c r="Y25" s="442"/>
      <c r="Z25" s="443" t="s">
        <v>963</v>
      </c>
      <c r="AA25" s="442"/>
      <c r="AB25" s="442"/>
      <c r="AC25" s="315"/>
      <c r="AD25" s="315"/>
      <c r="AE25" s="315"/>
      <c r="AF25" s="315"/>
    </row>
    <row r="26" ht="14.25" customHeight="1">
      <c r="A26" s="39" t="s">
        <v>854</v>
      </c>
      <c r="B26" s="39" t="s">
        <v>855</v>
      </c>
      <c r="C26" s="40" t="s">
        <v>616</v>
      </c>
      <c r="D26" s="39" t="s">
        <v>264</v>
      </c>
      <c r="E26" s="39"/>
      <c r="F26" s="39"/>
      <c r="G26" s="39" t="s">
        <v>856</v>
      </c>
      <c r="H26" s="39" t="s">
        <v>857</v>
      </c>
      <c r="I26" s="439" t="s">
        <v>49</v>
      </c>
      <c r="J26" s="39" t="s">
        <v>4788</v>
      </c>
      <c r="K26" s="440" t="s">
        <v>4789</v>
      </c>
      <c r="L26" s="440" t="s">
        <v>4790</v>
      </c>
      <c r="M26" s="440" t="s">
        <v>4791</v>
      </c>
      <c r="N26" s="440" t="s">
        <v>1016</v>
      </c>
      <c r="O26" s="440" t="s">
        <v>4792</v>
      </c>
      <c r="P26" s="440" t="s">
        <v>931</v>
      </c>
      <c r="Q26" s="439"/>
      <c r="R26" s="441"/>
      <c r="S26" s="440" t="s">
        <v>4793</v>
      </c>
      <c r="T26" s="439"/>
      <c r="U26" s="439"/>
      <c r="V26" s="439"/>
      <c r="W26" s="439"/>
      <c r="X26" s="440" t="s">
        <v>4794</v>
      </c>
      <c r="Y26" s="439"/>
      <c r="Z26" s="440" t="s">
        <v>1894</v>
      </c>
      <c r="AA26" s="439"/>
      <c r="AB26" s="439"/>
    </row>
    <row r="27" ht="14.25" customHeight="1">
      <c r="A27" s="39" t="s">
        <v>668</v>
      </c>
      <c r="B27" s="39" t="s">
        <v>669</v>
      </c>
      <c r="C27" s="40" t="s">
        <v>616</v>
      </c>
      <c r="D27" s="39" t="s">
        <v>287</v>
      </c>
      <c r="E27" s="39"/>
      <c r="F27" s="39"/>
      <c r="G27" s="39"/>
      <c r="H27" s="39" t="s">
        <v>627</v>
      </c>
      <c r="I27" s="439" t="s">
        <v>49</v>
      </c>
      <c r="J27" s="39" t="s">
        <v>4795</v>
      </c>
      <c r="K27" s="440" t="s">
        <v>4796</v>
      </c>
      <c r="L27" s="440" t="s">
        <v>4797</v>
      </c>
      <c r="M27" s="439"/>
      <c r="N27" s="440" t="s">
        <v>4798</v>
      </c>
      <c r="O27" s="440" t="s">
        <v>4799</v>
      </c>
      <c r="P27" s="440" t="s">
        <v>931</v>
      </c>
      <c r="Q27" s="439"/>
      <c r="R27" s="441"/>
      <c r="S27" s="440" t="s">
        <v>4800</v>
      </c>
      <c r="T27" s="439"/>
      <c r="U27" s="439"/>
      <c r="V27" s="439"/>
      <c r="W27" s="439"/>
      <c r="X27" s="440" t="s">
        <v>4801</v>
      </c>
      <c r="Y27" s="439"/>
      <c r="Z27" s="440" t="s">
        <v>963</v>
      </c>
      <c r="AA27" s="439"/>
      <c r="AB27" s="439"/>
    </row>
    <row r="28" ht="14.25" customHeight="1">
      <c r="A28" s="439" t="s">
        <v>557</v>
      </c>
      <c r="B28" s="439" t="s">
        <v>558</v>
      </c>
      <c r="C28" s="439" t="s">
        <v>88</v>
      </c>
      <c r="D28" s="439" t="s">
        <v>283</v>
      </c>
      <c r="E28" s="439"/>
      <c r="F28" s="439"/>
      <c r="G28" s="439" t="s">
        <v>204</v>
      </c>
      <c r="H28" s="439" t="s">
        <v>189</v>
      </c>
      <c r="I28" s="439" t="s">
        <v>559</v>
      </c>
      <c r="J28" s="440" t="s">
        <v>4802</v>
      </c>
      <c r="K28" s="440" t="s">
        <v>4803</v>
      </c>
      <c r="L28" s="440" t="s">
        <v>4804</v>
      </c>
      <c r="M28" s="439"/>
      <c r="N28" s="440" t="s">
        <v>1949</v>
      </c>
      <c r="O28" s="440" t="s">
        <v>4805</v>
      </c>
      <c r="P28" s="440" t="s">
        <v>931</v>
      </c>
      <c r="Q28" s="439"/>
      <c r="R28" s="441"/>
      <c r="S28" s="439"/>
      <c r="T28" s="439"/>
      <c r="U28" s="439"/>
      <c r="V28" s="439"/>
      <c r="W28" s="439"/>
      <c r="X28" s="440" t="s">
        <v>4806</v>
      </c>
      <c r="Y28" s="439"/>
      <c r="Z28" s="440" t="s">
        <v>963</v>
      </c>
      <c r="AA28" s="439"/>
      <c r="AB28" s="439"/>
    </row>
    <row r="29" ht="14.25" customHeight="1">
      <c r="A29" s="439" t="s">
        <v>563</v>
      </c>
      <c r="B29" s="439" t="s">
        <v>564</v>
      </c>
      <c r="C29" s="439" t="s">
        <v>88</v>
      </c>
      <c r="D29" s="439" t="s">
        <v>363</v>
      </c>
      <c r="E29" s="439"/>
      <c r="F29" s="439"/>
      <c r="G29" s="439" t="s">
        <v>565</v>
      </c>
      <c r="H29" s="439" t="s">
        <v>189</v>
      </c>
      <c r="I29" s="439" t="s">
        <v>559</v>
      </c>
      <c r="J29" s="440" t="s">
        <v>4807</v>
      </c>
      <c r="K29" s="440" t="s">
        <v>4808</v>
      </c>
      <c r="L29" s="440" t="s">
        <v>4809</v>
      </c>
      <c r="M29" s="439"/>
      <c r="N29" s="440" t="s">
        <v>4734</v>
      </c>
      <c r="O29" s="440" t="s">
        <v>4810</v>
      </c>
      <c r="P29" s="440" t="s">
        <v>931</v>
      </c>
      <c r="Q29" s="439"/>
      <c r="R29" s="441"/>
      <c r="S29" s="440" t="s">
        <v>4811</v>
      </c>
      <c r="T29" s="439"/>
      <c r="U29" s="439"/>
      <c r="V29" s="439"/>
      <c r="W29" s="439"/>
      <c r="X29" s="440" t="s">
        <v>4812</v>
      </c>
      <c r="Y29" s="439"/>
      <c r="Z29" s="440" t="s">
        <v>963</v>
      </c>
      <c r="AA29" s="439"/>
      <c r="AB29" s="439"/>
    </row>
    <row r="30" ht="14.25" customHeight="1">
      <c r="A30" s="451" t="s">
        <v>569</v>
      </c>
      <c r="B30" s="451" t="s">
        <v>570</v>
      </c>
      <c r="C30" s="451" t="s">
        <v>88</v>
      </c>
      <c r="D30" s="451" t="s">
        <v>571</v>
      </c>
      <c r="E30" s="451"/>
      <c r="F30" s="451"/>
      <c r="G30" s="451"/>
      <c r="H30" s="451" t="s">
        <v>217</v>
      </c>
      <c r="I30" s="451" t="s">
        <v>559</v>
      </c>
      <c r="J30" s="452" t="s">
        <v>4813</v>
      </c>
      <c r="K30" s="452" t="s">
        <v>4814</v>
      </c>
      <c r="L30" s="452" t="s">
        <v>4815</v>
      </c>
      <c r="M30" s="451"/>
      <c r="N30" s="452" t="s">
        <v>4816</v>
      </c>
      <c r="O30" s="451"/>
      <c r="P30" s="452" t="s">
        <v>963</v>
      </c>
      <c r="Q30" s="452" t="s">
        <v>4817</v>
      </c>
      <c r="R30" s="452" t="s">
        <v>2979</v>
      </c>
      <c r="S30" s="451"/>
      <c r="T30" s="451"/>
      <c r="U30" s="451"/>
      <c r="V30" s="451"/>
      <c r="W30" s="451"/>
      <c r="X30" s="452" t="s">
        <v>4818</v>
      </c>
      <c r="Y30" s="451"/>
      <c r="Z30" s="452" t="s">
        <v>963</v>
      </c>
      <c r="AA30" s="451"/>
      <c r="AB30" s="451"/>
      <c r="AC30" s="313"/>
      <c r="AD30" s="313"/>
      <c r="AE30" s="313"/>
      <c r="AF30" s="313"/>
    </row>
    <row r="31" ht="14.25" customHeight="1">
      <c r="A31" s="439" t="s">
        <v>572</v>
      </c>
      <c r="B31" s="439" t="s">
        <v>573</v>
      </c>
      <c r="C31" s="439" t="s">
        <v>88</v>
      </c>
      <c r="D31" s="439" t="s">
        <v>227</v>
      </c>
      <c r="E31" s="439"/>
      <c r="F31" s="439"/>
      <c r="G31" s="439"/>
      <c r="H31" s="439" t="s">
        <v>574</v>
      </c>
      <c r="I31" s="439" t="s">
        <v>559</v>
      </c>
      <c r="J31" s="440" t="s">
        <v>4819</v>
      </c>
      <c r="K31" s="440" t="s">
        <v>4820</v>
      </c>
      <c r="L31" s="440" t="s">
        <v>4821</v>
      </c>
      <c r="M31" s="439"/>
      <c r="N31" s="440" t="s">
        <v>998</v>
      </c>
      <c r="O31" s="440" t="s">
        <v>4822</v>
      </c>
      <c r="P31" s="440" t="s">
        <v>931</v>
      </c>
      <c r="Q31" s="439"/>
      <c r="R31" s="441"/>
      <c r="S31" s="439"/>
      <c r="T31" s="439"/>
      <c r="U31" s="439"/>
      <c r="V31" s="439"/>
      <c r="W31" s="439"/>
      <c r="X31" s="440" t="s">
        <v>4823</v>
      </c>
      <c r="Y31" s="439"/>
      <c r="Z31" s="440" t="s">
        <v>963</v>
      </c>
      <c r="AA31" s="439"/>
      <c r="AB31" s="439"/>
    </row>
    <row r="32" ht="14.25" customHeight="1">
      <c r="A32" s="39" t="s">
        <v>699</v>
      </c>
      <c r="B32" s="39" t="s">
        <v>700</v>
      </c>
      <c r="C32" s="40" t="s">
        <v>616</v>
      </c>
      <c r="D32" s="39" t="s">
        <v>256</v>
      </c>
      <c r="E32" s="39"/>
      <c r="F32" s="39"/>
      <c r="G32" s="39" t="s">
        <v>4824</v>
      </c>
      <c r="H32" s="39" t="s">
        <v>702</v>
      </c>
      <c r="I32" s="39" t="s">
        <v>559</v>
      </c>
      <c r="J32" s="39" t="s">
        <v>4825</v>
      </c>
      <c r="K32" s="39" t="s">
        <v>4826</v>
      </c>
      <c r="L32" s="440" t="s">
        <v>4827</v>
      </c>
      <c r="M32" s="439"/>
      <c r="N32" s="440" t="s">
        <v>1153</v>
      </c>
      <c r="O32" s="440" t="s">
        <v>4828</v>
      </c>
      <c r="P32" s="440" t="s">
        <v>931</v>
      </c>
      <c r="Q32" s="439"/>
      <c r="R32" s="441"/>
      <c r="S32" s="439"/>
      <c r="T32" s="439"/>
      <c r="U32" s="439"/>
      <c r="V32" s="439"/>
      <c r="W32" s="439"/>
      <c r="X32" s="440" t="s">
        <v>4829</v>
      </c>
      <c r="Y32" s="439"/>
      <c r="Z32" s="440" t="s">
        <v>963</v>
      </c>
      <c r="AA32" s="439"/>
      <c r="AB32" s="439"/>
    </row>
    <row r="33" ht="14.25" customHeight="1">
      <c r="A33" s="39" t="s">
        <v>772</v>
      </c>
      <c r="B33" s="39" t="s">
        <v>773</v>
      </c>
      <c r="C33" s="40" t="s">
        <v>616</v>
      </c>
      <c r="D33" s="39" t="s">
        <v>109</v>
      </c>
      <c r="E33" s="39"/>
      <c r="F33" s="39"/>
      <c r="G33" s="39" t="s">
        <v>774</v>
      </c>
      <c r="H33" s="39" t="s">
        <v>142</v>
      </c>
      <c r="I33" s="39" t="s">
        <v>559</v>
      </c>
      <c r="J33" s="39" t="s">
        <v>4830</v>
      </c>
      <c r="K33" s="439"/>
      <c r="L33" s="440" t="s">
        <v>4831</v>
      </c>
      <c r="M33" s="439"/>
      <c r="N33" s="440" t="s">
        <v>1153</v>
      </c>
      <c r="O33" s="440" t="s">
        <v>4832</v>
      </c>
      <c r="P33" s="440" t="s">
        <v>931</v>
      </c>
      <c r="Q33" s="439"/>
      <c r="R33" s="441"/>
      <c r="S33" s="440" t="s">
        <v>4744</v>
      </c>
      <c r="T33" s="439"/>
      <c r="U33" s="439"/>
      <c r="V33" s="439"/>
      <c r="W33" s="439"/>
      <c r="X33" s="440" t="s">
        <v>4723</v>
      </c>
      <c r="Y33" s="439"/>
      <c r="Z33" s="440" t="s">
        <v>1966</v>
      </c>
      <c r="AA33" s="439"/>
      <c r="AB33" s="439"/>
    </row>
    <row r="34" ht="14.25" customHeight="1">
      <c r="A34" s="330" t="s">
        <v>883</v>
      </c>
      <c r="B34" s="330" t="s">
        <v>884</v>
      </c>
      <c r="C34" s="331" t="s">
        <v>616</v>
      </c>
      <c r="D34" s="330" t="s">
        <v>885</v>
      </c>
      <c r="E34" s="330"/>
      <c r="F34" s="330"/>
      <c r="G34" s="330"/>
      <c r="H34" s="330" t="s">
        <v>523</v>
      </c>
      <c r="I34" s="330" t="s">
        <v>559</v>
      </c>
      <c r="J34" s="330"/>
      <c r="K34" s="330" t="s">
        <v>4833</v>
      </c>
      <c r="L34" s="330" t="s">
        <v>4834</v>
      </c>
      <c r="M34" s="330" t="s">
        <v>4835</v>
      </c>
      <c r="N34" s="332"/>
      <c r="O34" s="330"/>
      <c r="P34" s="330" t="s">
        <v>963</v>
      </c>
      <c r="Q34" s="330" t="s">
        <v>4836</v>
      </c>
      <c r="R34" s="443" t="s">
        <v>2979</v>
      </c>
      <c r="S34" s="330" t="s">
        <v>4837</v>
      </c>
      <c r="T34" s="332"/>
      <c r="U34" s="332"/>
      <c r="V34" s="332"/>
      <c r="W34" s="332"/>
      <c r="X34" s="332"/>
      <c r="Y34" s="442"/>
      <c r="Z34" s="443" t="s">
        <v>963</v>
      </c>
      <c r="AA34" s="442"/>
      <c r="AB34" s="442"/>
      <c r="AC34" s="315"/>
      <c r="AD34" s="315"/>
      <c r="AE34" s="315"/>
      <c r="AF34" s="315"/>
    </row>
    <row r="35" ht="14.25" customHeight="1">
      <c r="A35" s="39" t="s">
        <v>886</v>
      </c>
      <c r="B35" s="39" t="s">
        <v>887</v>
      </c>
      <c r="C35" s="40" t="s">
        <v>616</v>
      </c>
      <c r="D35" s="39" t="s">
        <v>413</v>
      </c>
      <c r="E35" s="39"/>
      <c r="F35" s="39"/>
      <c r="G35" s="39" t="s">
        <v>888</v>
      </c>
      <c r="H35" s="39" t="s">
        <v>217</v>
      </c>
      <c r="I35" s="39" t="s">
        <v>559</v>
      </c>
      <c r="J35" s="39" t="s">
        <v>4838</v>
      </c>
      <c r="K35" s="39" t="s">
        <v>4839</v>
      </c>
      <c r="L35" s="39" t="s">
        <v>4840</v>
      </c>
      <c r="M35" s="41"/>
      <c r="N35" s="39" t="s">
        <v>4784</v>
      </c>
      <c r="O35" s="39" t="s">
        <v>4841</v>
      </c>
      <c r="P35" s="39" t="s">
        <v>931</v>
      </c>
      <c r="Q35" s="41"/>
      <c r="R35" s="441"/>
      <c r="S35" s="41"/>
      <c r="T35" s="41"/>
      <c r="U35" s="41"/>
      <c r="V35" s="41"/>
      <c r="W35" s="41"/>
      <c r="X35" s="39" t="s">
        <v>4842</v>
      </c>
      <c r="Y35" s="439"/>
      <c r="Z35" s="440" t="s">
        <v>963</v>
      </c>
      <c r="AA35" s="439"/>
      <c r="AB35" s="439"/>
    </row>
    <row r="36" ht="14.25" customHeight="1">
      <c r="A36" s="439" t="s">
        <v>560</v>
      </c>
      <c r="B36" s="439" t="s">
        <v>561</v>
      </c>
      <c r="C36" s="439" t="s">
        <v>88</v>
      </c>
      <c r="D36" s="439" t="s">
        <v>276</v>
      </c>
      <c r="E36" s="439"/>
      <c r="F36" s="439"/>
      <c r="G36" s="439" t="s">
        <v>101</v>
      </c>
      <c r="H36" s="439" t="s">
        <v>562</v>
      </c>
      <c r="I36" s="440" t="s">
        <v>4843</v>
      </c>
      <c r="J36" s="440" t="s">
        <v>4844</v>
      </c>
      <c r="K36" s="440" t="s">
        <v>4845</v>
      </c>
      <c r="L36" s="440" t="s">
        <v>4846</v>
      </c>
      <c r="M36" s="439"/>
      <c r="N36" s="440" t="s">
        <v>4742</v>
      </c>
      <c r="O36" s="440" t="s">
        <v>4847</v>
      </c>
      <c r="P36" s="440" t="s">
        <v>931</v>
      </c>
      <c r="Q36" s="439"/>
      <c r="R36" s="441"/>
      <c r="S36" s="440" t="s">
        <v>4744</v>
      </c>
      <c r="T36" s="439"/>
      <c r="U36" s="439"/>
      <c r="V36" s="439"/>
      <c r="W36" s="439"/>
      <c r="X36" s="440" t="s">
        <v>4848</v>
      </c>
      <c r="Y36" s="439"/>
      <c r="Z36" s="440" t="s">
        <v>963</v>
      </c>
      <c r="AA36" s="439"/>
      <c r="AB36" s="439"/>
    </row>
    <row r="37" ht="14.25" customHeight="1">
      <c r="A37" s="439" t="s">
        <v>566</v>
      </c>
      <c r="B37" s="439" t="s">
        <v>567</v>
      </c>
      <c r="C37" s="439" t="s">
        <v>88</v>
      </c>
      <c r="D37" s="439" t="s">
        <v>568</v>
      </c>
      <c r="E37" s="439"/>
      <c r="F37" s="439"/>
      <c r="G37" s="439"/>
      <c r="H37" s="439" t="s">
        <v>398</v>
      </c>
      <c r="I37" s="440" t="s">
        <v>4849</v>
      </c>
      <c r="J37" s="440" t="s">
        <v>4850</v>
      </c>
      <c r="K37" s="440" t="s">
        <v>4851</v>
      </c>
      <c r="L37" s="440" t="s">
        <v>4852</v>
      </c>
      <c r="M37" s="440" t="s">
        <v>4853</v>
      </c>
      <c r="N37" s="440" t="s">
        <v>4742</v>
      </c>
      <c r="O37" s="440" t="s">
        <v>4854</v>
      </c>
      <c r="P37" s="440" t="s">
        <v>931</v>
      </c>
      <c r="Q37" s="439"/>
      <c r="R37" s="441"/>
      <c r="S37" s="440" t="s">
        <v>4744</v>
      </c>
      <c r="T37" s="439"/>
      <c r="U37" s="439"/>
      <c r="V37" s="439"/>
      <c r="W37" s="439"/>
      <c r="X37" s="440" t="s">
        <v>4855</v>
      </c>
      <c r="Y37" s="439"/>
      <c r="Z37" s="440" t="s">
        <v>963</v>
      </c>
      <c r="AA37" s="439"/>
      <c r="AB37" s="439"/>
    </row>
    <row r="38" ht="14.25" customHeight="1">
      <c r="A38" s="337"/>
      <c r="B38" s="453" t="s">
        <v>1986</v>
      </c>
      <c r="C38" s="441"/>
      <c r="D38" s="439"/>
      <c r="E38" s="454" t="s">
        <v>4856</v>
      </c>
      <c r="F38" s="439"/>
      <c r="G38" s="440"/>
      <c r="H38" s="440" t="s">
        <v>4857</v>
      </c>
      <c r="I38" s="440" t="s">
        <v>559</v>
      </c>
      <c r="J38" s="440" t="s">
        <v>4858</v>
      </c>
      <c r="K38" s="440" t="s">
        <v>4859</v>
      </c>
      <c r="L38" s="439"/>
      <c r="M38" s="440" t="s">
        <v>4860</v>
      </c>
      <c r="N38" s="440" t="s">
        <v>4784</v>
      </c>
      <c r="O38" s="440" t="s">
        <v>4861</v>
      </c>
      <c r="P38" s="440" t="s">
        <v>931</v>
      </c>
      <c r="Q38" s="439"/>
      <c r="R38" s="441"/>
      <c r="S38" s="440" t="s">
        <v>1991</v>
      </c>
      <c r="T38" s="439"/>
      <c r="U38" s="439"/>
      <c r="V38" s="439"/>
      <c r="W38" s="439"/>
      <c r="X38" s="440" t="s">
        <v>4862</v>
      </c>
      <c r="Y38" s="439"/>
      <c r="Z38" s="440" t="s">
        <v>963</v>
      </c>
      <c r="AA38" s="439"/>
      <c r="AB38" s="439"/>
    </row>
    <row r="39" ht="14.25" customHeight="1">
      <c r="A39" s="337"/>
      <c r="B39" s="454" t="s">
        <v>1996</v>
      </c>
      <c r="C39" s="441"/>
      <c r="D39" s="439"/>
      <c r="E39" s="454" t="s">
        <v>4863</v>
      </c>
      <c r="F39" s="439"/>
      <c r="G39" s="439"/>
      <c r="H39" s="440" t="s">
        <v>4864</v>
      </c>
      <c r="I39" s="440" t="s">
        <v>559</v>
      </c>
      <c r="J39" s="440" t="s">
        <v>4865</v>
      </c>
      <c r="K39" s="440" t="s">
        <v>4866</v>
      </c>
      <c r="L39" s="440" t="s">
        <v>4867</v>
      </c>
      <c r="M39" s="439"/>
      <c r="N39" s="439"/>
      <c r="O39" s="440" t="s">
        <v>4868</v>
      </c>
      <c r="P39" s="440" t="s">
        <v>931</v>
      </c>
      <c r="Q39" s="439"/>
      <c r="R39" s="441"/>
      <c r="S39" s="440" t="s">
        <v>1991</v>
      </c>
      <c r="T39" s="439"/>
      <c r="U39" s="439"/>
      <c r="V39" s="439"/>
      <c r="W39" s="439"/>
      <c r="X39" s="440" t="s">
        <v>4869</v>
      </c>
      <c r="Y39" s="439"/>
      <c r="Z39" s="440" t="s">
        <v>963</v>
      </c>
      <c r="AA39" s="439"/>
      <c r="AB39" s="439"/>
    </row>
    <row r="40" ht="14.25" customHeight="1">
      <c r="A40" s="337"/>
      <c r="B40" s="455" t="s">
        <v>2003</v>
      </c>
      <c r="C40" s="441"/>
      <c r="D40" s="439"/>
      <c r="E40" s="455" t="s">
        <v>4870</v>
      </c>
      <c r="F40" s="439"/>
      <c r="G40" s="439"/>
      <c r="H40" s="440" t="s">
        <v>4871</v>
      </c>
      <c r="I40" s="440" t="s">
        <v>559</v>
      </c>
      <c r="J40" s="440" t="s">
        <v>4872</v>
      </c>
      <c r="K40" s="440" t="s">
        <v>4873</v>
      </c>
      <c r="L40" s="439"/>
      <c r="M40" s="440" t="s">
        <v>4874</v>
      </c>
      <c r="N40" s="440" t="s">
        <v>4784</v>
      </c>
      <c r="O40" s="440" t="s">
        <v>4868</v>
      </c>
      <c r="P40" s="440" t="s">
        <v>931</v>
      </c>
      <c r="Q40" s="439"/>
      <c r="R40" s="441"/>
      <c r="S40" s="440" t="s">
        <v>1991</v>
      </c>
      <c r="T40" s="439"/>
      <c r="U40" s="439"/>
      <c r="V40" s="439"/>
      <c r="W40" s="439"/>
      <c r="X40" s="440" t="s">
        <v>4869</v>
      </c>
      <c r="Y40" s="439"/>
      <c r="Z40" s="440" t="s">
        <v>963</v>
      </c>
      <c r="AA40" s="439"/>
      <c r="AB40" s="439"/>
    </row>
    <row r="41" ht="14.25" customHeight="1"/>
    <row r="42" ht="14.25" customHeight="1"/>
    <row r="43" ht="14.25" customHeight="1"/>
    <row r="44" ht="14.25" customHeight="1"/>
    <row r="45" ht="14.25" customHeight="1"/>
    <row r="46" ht="14.25" customHeight="1"/>
    <row r="47" ht="14.25" customHeight="1">
      <c r="A47" s="456" t="s">
        <v>2874</v>
      </c>
    </row>
    <row r="48" ht="14.25" customHeight="1">
      <c r="A48" s="457" t="s">
        <v>4875</v>
      </c>
    </row>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mergeCells count="2">
    <mergeCell ref="A47:E47"/>
    <mergeCell ref="A48:I56"/>
  </mergeCells>
  <printOptions/>
  <pageMargins bottom="0.75" footer="0.0" header="0.0" left="0.7" right="0.7" top="0.75"/>
  <pageSetup orientation="landscape"/>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2.89"/>
    <col customWidth="1" min="2" max="2" width="13.0"/>
    <col customWidth="1" min="3" max="3" width="14.44"/>
    <col customWidth="1" min="4" max="4" width="15.0"/>
    <col customWidth="1" min="5" max="5" width="28.22"/>
    <col customWidth="1" min="6" max="6" width="7.22"/>
    <col customWidth="1" min="7" max="7" width="19.33"/>
    <col customWidth="1" min="8" max="8" width="10.22"/>
    <col customWidth="1" min="9" max="9" width="13.78"/>
    <col customWidth="1" min="10" max="10" width="15.56"/>
    <col customWidth="1" min="11" max="11" width="15.11"/>
    <col customWidth="1" min="12" max="14" width="13.11"/>
    <col customWidth="1" min="15" max="15" width="12.67"/>
    <col customWidth="1" min="16" max="16" width="14.0"/>
    <col customWidth="1" min="17" max="18" width="10.11"/>
    <col customWidth="1" min="19" max="19" width="6.44"/>
    <col customWidth="1" min="20" max="20" width="6.78"/>
    <col customWidth="1" min="21" max="21" width="7.78"/>
    <col customWidth="1" min="22" max="50" width="6.78"/>
  </cols>
  <sheetData>
    <row r="1" ht="14.25" customHeight="1">
      <c r="A1" s="54" t="s">
        <v>57</v>
      </c>
      <c r="B1" s="54" t="s">
        <v>58</v>
      </c>
      <c r="C1" s="54" t="s">
        <v>59</v>
      </c>
      <c r="D1" s="54" t="s">
        <v>60</v>
      </c>
      <c r="E1" s="55" t="s">
        <v>943</v>
      </c>
      <c r="F1" s="55" t="s">
        <v>3845</v>
      </c>
      <c r="G1" s="308" t="s">
        <v>61</v>
      </c>
      <c r="H1" s="308" t="s">
        <v>62</v>
      </c>
      <c r="I1" s="308" t="s">
        <v>3207</v>
      </c>
      <c r="J1" s="309" t="s">
        <v>3208</v>
      </c>
      <c r="K1" s="309" t="s">
        <v>3209</v>
      </c>
      <c r="L1" s="308" t="s">
        <v>3210</v>
      </c>
      <c r="M1" s="310" t="s">
        <v>3649</v>
      </c>
      <c r="N1" s="309" t="s">
        <v>3212</v>
      </c>
      <c r="O1" s="308" t="s">
        <v>3213</v>
      </c>
      <c r="P1" s="308" t="s">
        <v>3214</v>
      </c>
      <c r="Q1" s="308" t="s">
        <v>3215</v>
      </c>
      <c r="R1" s="308" t="s">
        <v>3216</v>
      </c>
      <c r="S1" s="54" t="s">
        <v>3217</v>
      </c>
      <c r="T1" s="56" t="s">
        <v>944</v>
      </c>
      <c r="U1" s="311" t="s">
        <v>3219</v>
      </c>
      <c r="V1" s="311" t="s">
        <v>61</v>
      </c>
      <c r="W1" s="311" t="s">
        <v>62</v>
      </c>
      <c r="X1" s="311" t="s">
        <v>4642</v>
      </c>
      <c r="Y1" s="311" t="s">
        <v>950</v>
      </c>
      <c r="Z1" s="312" t="s">
        <v>3221</v>
      </c>
      <c r="AA1" s="312" t="s">
        <v>3222</v>
      </c>
      <c r="AB1" s="312" t="s">
        <v>3223</v>
      </c>
    </row>
    <row r="2" ht="18.0" customHeight="1">
      <c r="A2" s="123" t="s">
        <v>415</v>
      </c>
      <c r="B2" s="123" t="s">
        <v>416</v>
      </c>
      <c r="C2" s="123" t="s">
        <v>88</v>
      </c>
      <c r="D2" s="123" t="s">
        <v>417</v>
      </c>
      <c r="E2" s="237" t="s">
        <v>2008</v>
      </c>
      <c r="F2" s="123"/>
      <c r="G2" s="123" t="s">
        <v>418</v>
      </c>
      <c r="H2" s="123" t="s">
        <v>419</v>
      </c>
      <c r="I2" s="123" t="s">
        <v>49</v>
      </c>
      <c r="J2" s="458" t="s">
        <v>4876</v>
      </c>
      <c r="K2" s="124" t="s">
        <v>4877</v>
      </c>
      <c r="L2" s="458" t="s">
        <v>4878</v>
      </c>
      <c r="M2" s="458" t="s">
        <v>4879</v>
      </c>
      <c r="N2" s="458" t="s">
        <v>4880</v>
      </c>
      <c r="O2" s="458" t="s">
        <v>4881</v>
      </c>
      <c r="P2" s="459" t="s">
        <v>1210</v>
      </c>
      <c r="Q2" s="72" t="s">
        <v>4882</v>
      </c>
      <c r="R2" s="123"/>
      <c r="S2" s="123"/>
      <c r="T2" s="72" t="s">
        <v>1457</v>
      </c>
      <c r="U2" s="27" t="s">
        <v>4883</v>
      </c>
      <c r="V2" s="27" t="s">
        <v>4884</v>
      </c>
      <c r="W2" s="124" t="s">
        <v>4885</v>
      </c>
      <c r="X2" s="124" t="s">
        <v>4886</v>
      </c>
      <c r="Y2" s="72" t="s">
        <v>1027</v>
      </c>
      <c r="Z2" s="123"/>
    </row>
    <row r="3" ht="15.75" customHeight="1">
      <c r="A3" s="123" t="s">
        <v>420</v>
      </c>
      <c r="B3" s="123" t="s">
        <v>421</v>
      </c>
      <c r="C3" s="123" t="s">
        <v>88</v>
      </c>
      <c r="D3" s="123" t="s">
        <v>422</v>
      </c>
      <c r="E3" s="134" t="s">
        <v>3987</v>
      </c>
      <c r="F3" s="123"/>
      <c r="G3" s="123" t="s">
        <v>423</v>
      </c>
      <c r="H3" s="123" t="s">
        <v>419</v>
      </c>
      <c r="I3" s="123" t="s">
        <v>49</v>
      </c>
      <c r="J3" s="27" t="s">
        <v>4887</v>
      </c>
      <c r="K3" s="124" t="s">
        <v>4888</v>
      </c>
      <c r="L3" s="458" t="s">
        <v>4889</v>
      </c>
      <c r="M3" s="458" t="s">
        <v>4890</v>
      </c>
      <c r="N3" s="124" t="s">
        <v>4891</v>
      </c>
      <c r="O3" s="124" t="s">
        <v>4892</v>
      </c>
      <c r="P3" s="72" t="s">
        <v>1210</v>
      </c>
      <c r="Q3" s="72" t="s">
        <v>4893</v>
      </c>
      <c r="R3" s="123"/>
      <c r="S3" s="123"/>
      <c r="T3" s="72" t="s">
        <v>1457</v>
      </c>
      <c r="U3" s="27" t="s">
        <v>4894</v>
      </c>
      <c r="V3" s="124" t="s">
        <v>4895</v>
      </c>
      <c r="W3" s="124" t="s">
        <v>4896</v>
      </c>
      <c r="X3" s="124" t="s">
        <v>4897</v>
      </c>
      <c r="Y3" s="72" t="s">
        <v>1027</v>
      </c>
      <c r="Z3" s="123"/>
    </row>
    <row r="4" ht="17.25" customHeight="1">
      <c r="A4" s="123" t="s">
        <v>424</v>
      </c>
      <c r="B4" s="123" t="s">
        <v>425</v>
      </c>
      <c r="C4" s="123" t="s">
        <v>88</v>
      </c>
      <c r="D4" s="123" t="s">
        <v>426</v>
      </c>
      <c r="E4" s="134" t="s">
        <v>2012</v>
      </c>
      <c r="F4" s="123"/>
      <c r="G4" s="123" t="s">
        <v>300</v>
      </c>
      <c r="H4" s="123" t="s">
        <v>393</v>
      </c>
      <c r="I4" s="123" t="s">
        <v>49</v>
      </c>
      <c r="J4" s="124" t="s">
        <v>4898</v>
      </c>
      <c r="K4" s="124" t="s">
        <v>4899</v>
      </c>
      <c r="L4" s="27" t="s">
        <v>4900</v>
      </c>
      <c r="M4" s="27" t="s">
        <v>4901</v>
      </c>
      <c r="N4" s="124" t="s">
        <v>4902</v>
      </c>
      <c r="O4" s="124" t="s">
        <v>4903</v>
      </c>
      <c r="P4" s="72" t="s">
        <v>1210</v>
      </c>
      <c r="Q4" s="72" t="s">
        <v>4904</v>
      </c>
      <c r="R4" s="123"/>
      <c r="S4" s="123"/>
      <c r="T4" s="72" t="s">
        <v>1457</v>
      </c>
      <c r="U4" s="27" t="s">
        <v>4905</v>
      </c>
      <c r="V4" s="124" t="s">
        <v>4906</v>
      </c>
      <c r="W4" s="124" t="s">
        <v>4907</v>
      </c>
      <c r="X4" s="124" t="s">
        <v>4897</v>
      </c>
      <c r="Y4" s="72" t="s">
        <v>1019</v>
      </c>
      <c r="Z4" s="123"/>
    </row>
    <row r="5" ht="18.0" customHeight="1">
      <c r="A5" s="37" t="s">
        <v>258</v>
      </c>
      <c r="B5" s="37" t="s">
        <v>259</v>
      </c>
      <c r="C5" s="37" t="s">
        <v>88</v>
      </c>
      <c r="D5" s="37" t="s">
        <v>122</v>
      </c>
      <c r="G5" s="37" t="s">
        <v>216</v>
      </c>
      <c r="H5" s="37" t="s">
        <v>260</v>
      </c>
      <c r="I5" s="37" t="s">
        <v>49</v>
      </c>
      <c r="J5" s="27" t="s">
        <v>4908</v>
      </c>
      <c r="K5" s="27" t="s">
        <v>4909</v>
      </c>
      <c r="L5" s="27" t="s">
        <v>4910</v>
      </c>
      <c r="M5" s="27" t="s">
        <v>4911</v>
      </c>
      <c r="N5" s="27" t="s">
        <v>4912</v>
      </c>
      <c r="O5" s="27" t="s">
        <v>4913</v>
      </c>
      <c r="P5" s="72" t="s">
        <v>1210</v>
      </c>
      <c r="Q5" s="26" t="s">
        <v>4914</v>
      </c>
      <c r="R5" s="123"/>
      <c r="T5" s="26" t="s">
        <v>1457</v>
      </c>
      <c r="U5" s="27" t="s">
        <v>4915</v>
      </c>
      <c r="V5" s="27" t="s">
        <v>4916</v>
      </c>
      <c r="W5" s="26" t="s">
        <v>4917</v>
      </c>
      <c r="X5" s="27" t="s">
        <v>4918</v>
      </c>
      <c r="Y5" s="26" t="s">
        <v>1366</v>
      </c>
    </row>
    <row r="6" ht="15.0" customHeight="1">
      <c r="A6" s="37" t="s">
        <v>262</v>
      </c>
      <c r="B6" s="37" t="s">
        <v>263</v>
      </c>
      <c r="C6" s="37" t="s">
        <v>88</v>
      </c>
      <c r="D6" s="37" t="s">
        <v>264</v>
      </c>
      <c r="G6" s="37" t="s">
        <v>265</v>
      </c>
      <c r="H6" s="37" t="s">
        <v>266</v>
      </c>
      <c r="I6" s="37" t="s">
        <v>49</v>
      </c>
      <c r="J6" s="27" t="s">
        <v>4919</v>
      </c>
      <c r="K6" s="27" t="s">
        <v>4920</v>
      </c>
      <c r="L6" s="27" t="s">
        <v>4921</v>
      </c>
      <c r="M6" s="27" t="s">
        <v>4922</v>
      </c>
      <c r="N6" s="27" t="s">
        <v>4923</v>
      </c>
      <c r="O6" s="27" t="s">
        <v>4924</v>
      </c>
      <c r="P6" s="72" t="s">
        <v>1210</v>
      </c>
      <c r="Q6" s="26" t="s">
        <v>4925</v>
      </c>
      <c r="R6" s="123"/>
      <c r="T6" s="26" t="s">
        <v>1457</v>
      </c>
      <c r="U6" s="27" t="s">
        <v>4926</v>
      </c>
      <c r="V6" s="460" t="s">
        <v>265</v>
      </c>
      <c r="W6" s="460" t="s">
        <v>266</v>
      </c>
      <c r="X6" s="27" t="s">
        <v>4927</v>
      </c>
      <c r="Y6" s="27" t="s">
        <v>1027</v>
      </c>
    </row>
    <row r="7" ht="15.75" customHeight="1">
      <c r="A7" s="37" t="s">
        <v>479</v>
      </c>
      <c r="B7" s="37" t="s">
        <v>480</v>
      </c>
      <c r="C7" s="37" t="s">
        <v>88</v>
      </c>
      <c r="D7" s="37" t="s">
        <v>363</v>
      </c>
      <c r="G7" s="37" t="s">
        <v>481</v>
      </c>
      <c r="H7" s="37" t="s">
        <v>189</v>
      </c>
      <c r="I7" s="37" t="s">
        <v>49</v>
      </c>
      <c r="J7" s="27" t="s">
        <v>4928</v>
      </c>
      <c r="K7" s="27" t="s">
        <v>4929</v>
      </c>
      <c r="L7" s="27" t="s">
        <v>4930</v>
      </c>
      <c r="M7" s="27" t="s">
        <v>4931</v>
      </c>
      <c r="N7" s="27" t="s">
        <v>4932</v>
      </c>
      <c r="O7" s="27" t="s">
        <v>4933</v>
      </c>
      <c r="P7" s="72" t="s">
        <v>1210</v>
      </c>
      <c r="Q7" s="26" t="s">
        <v>4925</v>
      </c>
      <c r="R7" s="123"/>
      <c r="T7" s="26" t="s">
        <v>1457</v>
      </c>
      <c r="U7" s="27" t="s">
        <v>4934</v>
      </c>
      <c r="V7" s="27" t="s">
        <v>4935</v>
      </c>
      <c r="W7" s="27" t="s">
        <v>4936</v>
      </c>
      <c r="X7" s="27" t="s">
        <v>4937</v>
      </c>
      <c r="Y7" s="26" t="s">
        <v>1011</v>
      </c>
    </row>
    <row r="8" ht="15.0" customHeight="1">
      <c r="A8" s="37" t="s">
        <v>482</v>
      </c>
      <c r="B8" s="37" t="s">
        <v>483</v>
      </c>
      <c r="C8" s="37" t="s">
        <v>88</v>
      </c>
      <c r="D8" s="37" t="s">
        <v>426</v>
      </c>
      <c r="G8" s="37" t="s">
        <v>484</v>
      </c>
      <c r="H8" s="37" t="s">
        <v>485</v>
      </c>
      <c r="I8" s="37" t="s">
        <v>49</v>
      </c>
      <c r="J8" s="27" t="s">
        <v>4938</v>
      </c>
      <c r="K8" s="27" t="s">
        <v>4939</v>
      </c>
      <c r="L8" s="27" t="s">
        <v>4940</v>
      </c>
      <c r="M8" s="27" t="s">
        <v>4941</v>
      </c>
      <c r="N8" s="27" t="s">
        <v>4942</v>
      </c>
      <c r="O8" s="27" t="s">
        <v>4943</v>
      </c>
      <c r="P8" s="72" t="s">
        <v>1210</v>
      </c>
      <c r="Q8" s="26" t="s">
        <v>4944</v>
      </c>
      <c r="R8" s="123"/>
      <c r="T8" s="26" t="s">
        <v>1457</v>
      </c>
      <c r="U8" s="27" t="s">
        <v>4945</v>
      </c>
      <c r="V8" s="37" t="s">
        <v>484</v>
      </c>
      <c r="W8" s="37" t="s">
        <v>485</v>
      </c>
      <c r="X8" s="26" t="s">
        <v>4946</v>
      </c>
      <c r="Y8" s="26" t="s">
        <v>1027</v>
      </c>
    </row>
    <row r="9" ht="14.25" customHeight="1">
      <c r="A9" s="37" t="s">
        <v>318</v>
      </c>
      <c r="B9" s="37" t="s">
        <v>319</v>
      </c>
      <c r="C9" s="37" t="s">
        <v>88</v>
      </c>
      <c r="D9" s="37" t="s">
        <v>272</v>
      </c>
      <c r="E9" s="155" t="s">
        <v>4947</v>
      </c>
      <c r="F9" s="369">
        <v>19.0</v>
      </c>
      <c r="G9" s="37" t="s">
        <v>162</v>
      </c>
      <c r="H9" s="37" t="s">
        <v>320</v>
      </c>
      <c r="I9" s="37" t="s">
        <v>49</v>
      </c>
      <c r="J9" s="27" t="s">
        <v>4948</v>
      </c>
      <c r="K9" s="27" t="s">
        <v>4949</v>
      </c>
      <c r="L9" s="27" t="s">
        <v>4950</v>
      </c>
      <c r="M9" s="27" t="s">
        <v>4951</v>
      </c>
      <c r="N9" s="27" t="s">
        <v>4952</v>
      </c>
      <c r="O9" s="27" t="s">
        <v>4953</v>
      </c>
      <c r="P9" s="39" t="s">
        <v>1210</v>
      </c>
      <c r="Q9" s="39" t="s">
        <v>4944</v>
      </c>
      <c r="R9" s="39"/>
      <c r="S9" s="39"/>
      <c r="T9" s="39" t="s">
        <v>1457</v>
      </c>
      <c r="U9" s="27" t="s">
        <v>4954</v>
      </c>
      <c r="V9" s="27" t="s">
        <v>4955</v>
      </c>
      <c r="W9" s="461" t="s">
        <v>4956</v>
      </c>
      <c r="X9" s="27" t="s">
        <v>4957</v>
      </c>
      <c r="Y9" s="39" t="s">
        <v>1019</v>
      </c>
      <c r="Z9" s="39"/>
      <c r="AA9" s="39"/>
      <c r="AB9" s="39"/>
      <c r="AE9" s="41"/>
      <c r="AF9" s="41"/>
      <c r="AG9" s="41"/>
      <c r="AH9" s="41"/>
      <c r="AI9" s="41"/>
      <c r="AJ9" s="41"/>
      <c r="AK9" s="41"/>
      <c r="AL9" s="41"/>
      <c r="AM9" s="41"/>
      <c r="AN9" s="41"/>
      <c r="AO9" s="41"/>
      <c r="AP9" s="41"/>
      <c r="AQ9" s="41"/>
      <c r="AR9" s="41"/>
      <c r="AS9" s="41"/>
      <c r="AT9" s="41"/>
      <c r="AU9" s="41"/>
      <c r="AV9" s="41"/>
      <c r="AW9" s="41"/>
      <c r="AX9" s="41"/>
    </row>
    <row r="10" ht="15.75" customHeight="1">
      <c r="A10" s="123" t="s">
        <v>334</v>
      </c>
      <c r="B10" s="123" t="s">
        <v>335</v>
      </c>
      <c r="C10" s="123" t="s">
        <v>88</v>
      </c>
      <c r="D10" s="123" t="s">
        <v>336</v>
      </c>
      <c r="E10" s="123"/>
      <c r="F10" s="123"/>
      <c r="G10" s="123"/>
      <c r="H10" s="72" t="s">
        <v>142</v>
      </c>
      <c r="I10" s="26" t="s">
        <v>49</v>
      </c>
      <c r="J10" s="27" t="s">
        <v>4958</v>
      </c>
      <c r="K10" s="124" t="s">
        <v>4959</v>
      </c>
      <c r="L10" s="27" t="s">
        <v>4960</v>
      </c>
      <c r="M10" s="27" t="s">
        <v>4961</v>
      </c>
      <c r="N10" s="27" t="s">
        <v>4962</v>
      </c>
      <c r="O10" s="124" t="s">
        <v>4963</v>
      </c>
      <c r="P10" s="72" t="s">
        <v>1210</v>
      </c>
      <c r="Q10" s="26" t="s">
        <v>4944</v>
      </c>
      <c r="R10" s="37"/>
      <c r="T10" s="26" t="s">
        <v>1457</v>
      </c>
      <c r="U10" s="27" t="s">
        <v>4964</v>
      </c>
      <c r="V10" s="37" t="s">
        <v>162</v>
      </c>
      <c r="W10" s="124" t="s">
        <v>4965</v>
      </c>
      <c r="X10" s="27" t="s">
        <v>4966</v>
      </c>
      <c r="Y10" s="26" t="s">
        <v>2041</v>
      </c>
    </row>
    <row r="11" ht="18.0" customHeight="1">
      <c r="A11" s="123" t="s">
        <v>339</v>
      </c>
      <c r="B11" s="123" t="s">
        <v>340</v>
      </c>
      <c r="C11" s="123" t="s">
        <v>88</v>
      </c>
      <c r="D11" s="123" t="s">
        <v>109</v>
      </c>
      <c r="E11" s="123"/>
      <c r="F11" s="123"/>
      <c r="G11" s="123"/>
      <c r="H11" s="124" t="s">
        <v>4967</v>
      </c>
      <c r="I11" s="72" t="s">
        <v>49</v>
      </c>
      <c r="J11" s="27" t="s">
        <v>4968</v>
      </c>
      <c r="K11" s="27" t="s">
        <v>4969</v>
      </c>
      <c r="L11" s="27" t="s">
        <v>4970</v>
      </c>
      <c r="M11" s="27" t="s">
        <v>4971</v>
      </c>
      <c r="N11" s="27" t="s">
        <v>4972</v>
      </c>
      <c r="O11" s="27" t="s">
        <v>4973</v>
      </c>
      <c r="P11" s="72" t="s">
        <v>1210</v>
      </c>
      <c r="Q11" s="26" t="s">
        <v>4925</v>
      </c>
      <c r="R11" s="37"/>
      <c r="T11" s="26" t="s">
        <v>1457</v>
      </c>
      <c r="U11" s="27" t="s">
        <v>4974</v>
      </c>
      <c r="V11" s="27" t="s">
        <v>4975</v>
      </c>
      <c r="W11" s="27" t="s">
        <v>4976</v>
      </c>
      <c r="X11" s="27" t="s">
        <v>4977</v>
      </c>
      <c r="Y11" s="26" t="s">
        <v>2045</v>
      </c>
    </row>
    <row r="12" ht="15.0" customHeight="1">
      <c r="A12" s="39" t="s">
        <v>759</v>
      </c>
      <c r="B12" s="39" t="s">
        <v>760</v>
      </c>
      <c r="C12" s="40" t="s">
        <v>616</v>
      </c>
      <c r="D12" s="39" t="s">
        <v>568</v>
      </c>
      <c r="E12" s="39"/>
      <c r="F12" s="39"/>
      <c r="G12" s="39" t="s">
        <v>761</v>
      </c>
      <c r="H12" s="39" t="s">
        <v>273</v>
      </c>
      <c r="I12" s="37" t="s">
        <v>49</v>
      </c>
      <c r="J12" s="27" t="s">
        <v>4978</v>
      </c>
      <c r="K12" s="27" t="s">
        <v>4979</v>
      </c>
      <c r="L12" s="27" t="s">
        <v>4980</v>
      </c>
      <c r="M12" s="27" t="s">
        <v>4981</v>
      </c>
      <c r="N12" s="27" t="s">
        <v>4982</v>
      </c>
      <c r="O12" s="27" t="s">
        <v>4983</v>
      </c>
      <c r="P12" s="26" t="s">
        <v>1210</v>
      </c>
      <c r="Q12" s="26" t="s">
        <v>4984</v>
      </c>
      <c r="T12" s="26" t="s">
        <v>1457</v>
      </c>
      <c r="U12" s="27" t="s">
        <v>4985</v>
      </c>
      <c r="V12" s="461" t="s">
        <v>761</v>
      </c>
      <c r="W12" s="39" t="s">
        <v>273</v>
      </c>
      <c r="X12" s="27" t="s">
        <v>4986</v>
      </c>
      <c r="Y12" s="26" t="s">
        <v>1019</v>
      </c>
      <c r="AD12" s="447"/>
      <c r="AE12" s="447"/>
      <c r="AF12" s="447"/>
      <c r="AG12" s="447"/>
      <c r="AH12" s="447"/>
      <c r="AI12" s="447"/>
      <c r="AJ12" s="447"/>
      <c r="AK12" s="447"/>
      <c r="AL12" s="447"/>
      <c r="AM12" s="447"/>
      <c r="AN12" s="447"/>
      <c r="AO12" s="447"/>
      <c r="AP12" s="447"/>
      <c r="AQ12" s="447"/>
      <c r="AR12" s="447"/>
      <c r="AS12" s="447"/>
      <c r="AT12" s="447"/>
      <c r="AU12" s="447"/>
      <c r="AV12" s="447"/>
      <c r="AW12" s="447"/>
      <c r="AX12" s="447"/>
    </row>
    <row r="13" ht="14.25" customHeight="1">
      <c r="A13" s="39" t="s">
        <v>762</v>
      </c>
      <c r="B13" s="39" t="s">
        <v>763</v>
      </c>
      <c r="C13" s="40" t="s">
        <v>616</v>
      </c>
      <c r="D13" s="39" t="s">
        <v>708</v>
      </c>
      <c r="E13" s="39"/>
      <c r="F13" s="39"/>
      <c r="G13" s="39" t="s">
        <v>764</v>
      </c>
      <c r="H13" s="39" t="s">
        <v>389</v>
      </c>
      <c r="I13" s="37" t="s">
        <v>49</v>
      </c>
      <c r="J13" s="27" t="s">
        <v>4987</v>
      </c>
      <c r="K13" s="27" t="s">
        <v>4988</v>
      </c>
      <c r="L13" s="27" t="s">
        <v>4989</v>
      </c>
      <c r="M13" s="27" t="s">
        <v>4990</v>
      </c>
      <c r="N13" s="27" t="s">
        <v>4991</v>
      </c>
      <c r="O13" s="27" t="s">
        <v>4992</v>
      </c>
      <c r="P13" s="26" t="s">
        <v>1210</v>
      </c>
      <c r="Q13" s="26" t="s">
        <v>4993</v>
      </c>
      <c r="T13" s="26" t="s">
        <v>1457</v>
      </c>
      <c r="U13" s="27" t="s">
        <v>4994</v>
      </c>
      <c r="V13" s="27" t="s">
        <v>4995</v>
      </c>
      <c r="W13" s="27" t="s">
        <v>4996</v>
      </c>
      <c r="X13" s="27" t="s">
        <v>4986</v>
      </c>
      <c r="Y13" s="26" t="s">
        <v>1456</v>
      </c>
    </row>
    <row r="14" ht="15.75" customHeight="1">
      <c r="A14" s="39" t="s">
        <v>765</v>
      </c>
      <c r="B14" s="39" t="s">
        <v>766</v>
      </c>
      <c r="C14" s="40" t="s">
        <v>616</v>
      </c>
      <c r="D14" s="39" t="s">
        <v>767</v>
      </c>
      <c r="E14" s="39"/>
      <c r="F14" s="39"/>
      <c r="G14" s="39" t="s">
        <v>514</v>
      </c>
      <c r="H14" s="39" t="s">
        <v>768</v>
      </c>
      <c r="I14" s="39" t="s">
        <v>49</v>
      </c>
      <c r="J14" s="27" t="s">
        <v>4997</v>
      </c>
      <c r="K14" s="27" t="s">
        <v>4998</v>
      </c>
      <c r="L14" s="27" t="s">
        <v>4999</v>
      </c>
      <c r="M14" s="27" t="s">
        <v>5000</v>
      </c>
      <c r="N14" s="27" t="s">
        <v>5001</v>
      </c>
      <c r="O14" s="27" t="s">
        <v>5002</v>
      </c>
      <c r="P14" s="26" t="s">
        <v>5003</v>
      </c>
      <c r="Q14" s="26" t="s">
        <v>5004</v>
      </c>
      <c r="T14" s="26" t="s">
        <v>1457</v>
      </c>
      <c r="U14" s="27" t="s">
        <v>5005</v>
      </c>
      <c r="V14" s="27" t="s">
        <v>5006</v>
      </c>
      <c r="W14" s="27" t="s">
        <v>5007</v>
      </c>
      <c r="X14" s="27" t="s">
        <v>5008</v>
      </c>
      <c r="Y14" s="27" t="s">
        <v>5009</v>
      </c>
    </row>
    <row r="15" ht="14.25" customHeight="1">
      <c r="A15" s="333" t="s">
        <v>810</v>
      </c>
      <c r="B15" s="333" t="s">
        <v>811</v>
      </c>
      <c r="C15" s="334" t="s">
        <v>616</v>
      </c>
      <c r="D15" s="333" t="s">
        <v>215</v>
      </c>
      <c r="E15" s="333"/>
      <c r="F15" s="333"/>
      <c r="G15" s="333" t="s">
        <v>137</v>
      </c>
      <c r="H15" s="333" t="s">
        <v>260</v>
      </c>
      <c r="I15" s="325" t="s">
        <v>49</v>
      </c>
      <c r="J15" s="333"/>
      <c r="K15" s="325"/>
      <c r="L15" s="325"/>
      <c r="M15" s="462"/>
      <c r="N15" s="325"/>
      <c r="O15" s="325"/>
      <c r="P15" s="326" t="s">
        <v>5010</v>
      </c>
      <c r="Q15" s="325"/>
      <c r="R15" s="325"/>
      <c r="S15" s="326" t="s">
        <v>3036</v>
      </c>
      <c r="T15" s="325"/>
      <c r="U15" s="325"/>
      <c r="V15" s="325"/>
      <c r="W15" s="325"/>
      <c r="X15" s="325"/>
      <c r="Y15" s="326" t="s">
        <v>1069</v>
      </c>
      <c r="Z15" s="325"/>
      <c r="AA15" s="325"/>
      <c r="AB15" s="325"/>
      <c r="AC15" s="325"/>
      <c r="AD15" s="325"/>
      <c r="AE15" s="325"/>
      <c r="AF15" s="325"/>
      <c r="AG15" s="325"/>
      <c r="AH15" s="325"/>
      <c r="AI15" s="325"/>
      <c r="AJ15" s="325"/>
      <c r="AK15" s="325"/>
      <c r="AL15" s="325"/>
      <c r="AM15" s="325"/>
      <c r="AN15" s="325"/>
      <c r="AO15" s="325"/>
      <c r="AP15" s="325"/>
      <c r="AQ15" s="325"/>
      <c r="AR15" s="325"/>
      <c r="AS15" s="325"/>
      <c r="AT15" s="325"/>
      <c r="AU15" s="325"/>
      <c r="AV15" s="325"/>
      <c r="AW15" s="325"/>
      <c r="AX15" s="325"/>
    </row>
    <row r="16" ht="12.75" customHeight="1">
      <c r="A16" s="39" t="s">
        <v>812</v>
      </c>
      <c r="B16" s="39" t="s">
        <v>813</v>
      </c>
      <c r="C16" s="40" t="s">
        <v>616</v>
      </c>
      <c r="D16" s="39" t="s">
        <v>409</v>
      </c>
      <c r="E16" s="39"/>
      <c r="F16" s="39"/>
      <c r="G16" s="39" t="s">
        <v>101</v>
      </c>
      <c r="H16" s="39" t="s">
        <v>627</v>
      </c>
      <c r="I16" s="37" t="s">
        <v>49</v>
      </c>
      <c r="J16" s="27" t="s">
        <v>5011</v>
      </c>
      <c r="K16" s="27" t="s">
        <v>5012</v>
      </c>
      <c r="L16" s="27" t="s">
        <v>5013</v>
      </c>
      <c r="M16" s="27" t="s">
        <v>5014</v>
      </c>
      <c r="N16" s="27" t="s">
        <v>5015</v>
      </c>
      <c r="O16" s="27" t="s">
        <v>5016</v>
      </c>
      <c r="P16" s="26" t="s">
        <v>1210</v>
      </c>
      <c r="Q16" s="26" t="s">
        <v>5017</v>
      </c>
      <c r="T16" s="26" t="s">
        <v>1457</v>
      </c>
      <c r="U16" s="27" t="s">
        <v>5018</v>
      </c>
      <c r="V16" s="27" t="s">
        <v>5019</v>
      </c>
      <c r="W16" s="27" t="s">
        <v>5020</v>
      </c>
      <c r="X16" s="27" t="s">
        <v>4986</v>
      </c>
      <c r="Y16" s="26" t="s">
        <v>1027</v>
      </c>
    </row>
    <row r="17" ht="14.25" customHeight="1">
      <c r="A17" s="39" t="s">
        <v>814</v>
      </c>
      <c r="B17" s="39" t="s">
        <v>815</v>
      </c>
      <c r="C17" s="40" t="s">
        <v>616</v>
      </c>
      <c r="D17" s="39" t="s">
        <v>201</v>
      </c>
      <c r="E17" s="39"/>
      <c r="F17" s="39"/>
      <c r="G17" s="39" t="s">
        <v>681</v>
      </c>
      <c r="H17" s="39" t="s">
        <v>816</v>
      </c>
      <c r="I17" s="37" t="s">
        <v>49</v>
      </c>
      <c r="J17" s="27" t="s">
        <v>5021</v>
      </c>
      <c r="K17" s="27" t="s">
        <v>5022</v>
      </c>
      <c r="L17" s="27" t="s">
        <v>5023</v>
      </c>
      <c r="M17" s="27" t="s">
        <v>5024</v>
      </c>
      <c r="N17" s="27" t="s">
        <v>5025</v>
      </c>
      <c r="O17" s="27" t="s">
        <v>5026</v>
      </c>
      <c r="P17" s="26" t="s">
        <v>1210</v>
      </c>
      <c r="Q17" s="26" t="s">
        <v>4944</v>
      </c>
      <c r="T17" s="26" t="s">
        <v>1457</v>
      </c>
      <c r="U17" s="27" t="s">
        <v>5027</v>
      </c>
      <c r="V17" s="27" t="s">
        <v>5028</v>
      </c>
      <c r="W17" s="27" t="s">
        <v>5029</v>
      </c>
      <c r="X17" s="27" t="s">
        <v>4986</v>
      </c>
      <c r="Y17" s="26" t="s">
        <v>5030</v>
      </c>
    </row>
    <row r="18" ht="15.75" customHeight="1">
      <c r="A18" s="39" t="s">
        <v>817</v>
      </c>
      <c r="B18" s="39" t="s">
        <v>818</v>
      </c>
      <c r="C18" s="40" t="s">
        <v>616</v>
      </c>
      <c r="D18" s="39" t="s">
        <v>125</v>
      </c>
      <c r="E18" s="39"/>
      <c r="F18" s="39"/>
      <c r="G18" s="39" t="s">
        <v>819</v>
      </c>
      <c r="H18" s="39" t="s">
        <v>820</v>
      </c>
      <c r="I18" s="39" t="s">
        <v>49</v>
      </c>
      <c r="J18" s="27" t="s">
        <v>5031</v>
      </c>
      <c r="K18" s="27" t="s">
        <v>5032</v>
      </c>
      <c r="L18" s="27" t="s">
        <v>5033</v>
      </c>
      <c r="M18" s="27" t="s">
        <v>5034</v>
      </c>
      <c r="N18" s="27" t="s">
        <v>5035</v>
      </c>
      <c r="O18" s="27" t="s">
        <v>5036</v>
      </c>
      <c r="P18" s="26" t="s">
        <v>1210</v>
      </c>
      <c r="T18" s="26" t="s">
        <v>1457</v>
      </c>
      <c r="U18" s="27" t="s">
        <v>5037</v>
      </c>
      <c r="V18" s="27" t="s">
        <v>5038</v>
      </c>
      <c r="W18" s="27" t="s">
        <v>5039</v>
      </c>
      <c r="X18" s="27" t="s">
        <v>5040</v>
      </c>
      <c r="Y18" s="26" t="s">
        <v>2073</v>
      </c>
    </row>
    <row r="19" ht="15.75" customHeight="1">
      <c r="A19" s="39" t="s">
        <v>821</v>
      </c>
      <c r="B19" s="39" t="s">
        <v>822</v>
      </c>
      <c r="C19" s="40" t="s">
        <v>616</v>
      </c>
      <c r="D19" s="39" t="s">
        <v>779</v>
      </c>
      <c r="E19" s="39"/>
      <c r="F19" s="39"/>
      <c r="G19" s="39" t="s">
        <v>484</v>
      </c>
      <c r="H19" s="39" t="s">
        <v>189</v>
      </c>
      <c r="I19" s="37" t="s">
        <v>49</v>
      </c>
      <c r="J19" s="27" t="s">
        <v>5041</v>
      </c>
      <c r="K19" s="27" t="s">
        <v>5042</v>
      </c>
      <c r="L19" s="27" t="s">
        <v>5043</v>
      </c>
      <c r="M19" s="27" t="s">
        <v>5044</v>
      </c>
      <c r="N19" s="27" t="s">
        <v>5045</v>
      </c>
      <c r="O19" s="27" t="s">
        <v>5046</v>
      </c>
      <c r="P19" s="26" t="s">
        <v>1210</v>
      </c>
      <c r="Q19" s="26" t="s">
        <v>4914</v>
      </c>
      <c r="T19" s="26" t="s">
        <v>1210</v>
      </c>
      <c r="U19" s="27" t="s">
        <v>5047</v>
      </c>
      <c r="V19" s="27" t="s">
        <v>5048</v>
      </c>
      <c r="W19" s="27" t="s">
        <v>5049</v>
      </c>
      <c r="X19" s="27" t="s">
        <v>5050</v>
      </c>
      <c r="Y19" s="26" t="s">
        <v>1027</v>
      </c>
    </row>
    <row r="20" ht="14.25" customHeight="1">
      <c r="A20" s="333" t="s">
        <v>837</v>
      </c>
      <c r="B20" s="333" t="s">
        <v>838</v>
      </c>
      <c r="C20" s="334" t="s">
        <v>616</v>
      </c>
      <c r="D20" s="333" t="s">
        <v>729</v>
      </c>
      <c r="E20" s="333"/>
      <c r="F20" s="333"/>
      <c r="G20" s="333" t="s">
        <v>839</v>
      </c>
      <c r="H20" s="333" t="s">
        <v>280</v>
      </c>
      <c r="I20" s="325" t="s">
        <v>49</v>
      </c>
      <c r="J20" s="333"/>
      <c r="K20" s="325"/>
      <c r="L20" s="325"/>
      <c r="M20" s="325"/>
      <c r="N20" s="325"/>
      <c r="O20" s="325"/>
      <c r="P20" s="326" t="s">
        <v>5010</v>
      </c>
      <c r="Q20" s="325"/>
      <c r="R20" s="325"/>
      <c r="S20" s="326" t="s">
        <v>3036</v>
      </c>
      <c r="T20" s="325"/>
      <c r="U20" s="325"/>
      <c r="V20" s="325"/>
      <c r="W20" s="325"/>
      <c r="X20" s="325"/>
      <c r="Y20" s="325"/>
      <c r="Z20" s="325"/>
      <c r="AA20" s="325"/>
      <c r="AB20" s="325"/>
      <c r="AC20" s="325"/>
      <c r="AD20" s="325"/>
      <c r="AE20" s="325"/>
      <c r="AF20" s="325"/>
      <c r="AG20" s="325"/>
      <c r="AH20" s="325"/>
      <c r="AI20" s="325"/>
      <c r="AJ20" s="325"/>
      <c r="AK20" s="325"/>
      <c r="AL20" s="325"/>
      <c r="AM20" s="325"/>
      <c r="AN20" s="325"/>
      <c r="AO20" s="325"/>
      <c r="AP20" s="325"/>
      <c r="AQ20" s="325"/>
      <c r="AR20" s="325"/>
      <c r="AS20" s="325"/>
      <c r="AT20" s="325"/>
      <c r="AU20" s="325"/>
      <c r="AV20" s="325"/>
      <c r="AW20" s="325"/>
      <c r="AX20" s="325"/>
    </row>
    <row r="21" ht="13.5" customHeight="1">
      <c r="A21" s="39" t="s">
        <v>840</v>
      </c>
      <c r="B21" s="39" t="s">
        <v>841</v>
      </c>
      <c r="C21" s="40" t="s">
        <v>616</v>
      </c>
      <c r="D21" s="39" t="s">
        <v>833</v>
      </c>
      <c r="E21" s="39"/>
      <c r="F21" s="39"/>
      <c r="G21" s="39" t="s">
        <v>842</v>
      </c>
      <c r="H21" s="39" t="s">
        <v>843</v>
      </c>
      <c r="I21" s="37" t="s">
        <v>49</v>
      </c>
      <c r="J21" s="27" t="s">
        <v>5051</v>
      </c>
      <c r="K21" s="27" t="s">
        <v>5052</v>
      </c>
      <c r="L21" s="27" t="s">
        <v>5053</v>
      </c>
      <c r="M21" s="27" t="s">
        <v>5054</v>
      </c>
      <c r="N21" s="27" t="s">
        <v>5055</v>
      </c>
      <c r="O21" s="27" t="s">
        <v>5056</v>
      </c>
      <c r="P21" s="26" t="s">
        <v>1210</v>
      </c>
      <c r="Q21" s="26" t="s">
        <v>5017</v>
      </c>
      <c r="T21" s="26" t="s">
        <v>1457</v>
      </c>
      <c r="U21" s="27" t="s">
        <v>5057</v>
      </c>
      <c r="V21" s="27" t="s">
        <v>5058</v>
      </c>
      <c r="W21" s="27" t="s">
        <v>5059</v>
      </c>
      <c r="X21" s="27" t="s">
        <v>5060</v>
      </c>
      <c r="Y21" s="26" t="s">
        <v>5030</v>
      </c>
    </row>
    <row r="22" ht="14.25" customHeight="1">
      <c r="A22" s="39" t="s">
        <v>844</v>
      </c>
      <c r="B22" s="39" t="s">
        <v>845</v>
      </c>
      <c r="C22" s="40" t="s">
        <v>616</v>
      </c>
      <c r="D22" s="39" t="s">
        <v>846</v>
      </c>
      <c r="E22" s="39"/>
      <c r="F22" s="39"/>
      <c r="G22" s="39" t="s">
        <v>101</v>
      </c>
      <c r="H22" s="39" t="s">
        <v>847</v>
      </c>
      <c r="I22" s="37" t="s">
        <v>49</v>
      </c>
      <c r="J22" s="27" t="s">
        <v>5061</v>
      </c>
      <c r="K22" s="27" t="s">
        <v>5062</v>
      </c>
      <c r="L22" s="27" t="s">
        <v>5063</v>
      </c>
      <c r="M22" s="27" t="s">
        <v>5064</v>
      </c>
      <c r="N22" s="27" t="s">
        <v>3943</v>
      </c>
      <c r="O22" s="27" t="s">
        <v>5065</v>
      </c>
      <c r="P22" s="26" t="s">
        <v>1210</v>
      </c>
      <c r="T22" s="26" t="s">
        <v>1457</v>
      </c>
      <c r="U22" s="27" t="s">
        <v>5066</v>
      </c>
      <c r="V22" s="27" t="s">
        <v>5067</v>
      </c>
      <c r="W22" s="27" t="s">
        <v>5068</v>
      </c>
      <c r="X22" s="27" t="s">
        <v>5069</v>
      </c>
      <c r="Y22" s="26" t="s">
        <v>1576</v>
      </c>
    </row>
    <row r="23" ht="14.25" customHeight="1">
      <c r="A23" s="39" t="s">
        <v>848</v>
      </c>
      <c r="B23" s="39" t="s">
        <v>849</v>
      </c>
      <c r="C23" s="40" t="s">
        <v>616</v>
      </c>
      <c r="D23" s="39" t="s">
        <v>109</v>
      </c>
      <c r="E23" s="39"/>
      <c r="F23" s="39"/>
      <c r="G23" s="39" t="s">
        <v>850</v>
      </c>
      <c r="H23" s="39" t="s">
        <v>221</v>
      </c>
      <c r="I23" s="37" t="s">
        <v>49</v>
      </c>
      <c r="J23" s="27" t="s">
        <v>5070</v>
      </c>
      <c r="K23" s="27" t="s">
        <v>5071</v>
      </c>
      <c r="L23" s="27" t="s">
        <v>5072</v>
      </c>
      <c r="M23" s="27" t="s">
        <v>5073</v>
      </c>
      <c r="N23" s="27" t="s">
        <v>5074</v>
      </c>
      <c r="O23" s="27" t="s">
        <v>5075</v>
      </c>
      <c r="P23" s="26" t="s">
        <v>5003</v>
      </c>
      <c r="T23" s="26" t="s">
        <v>5076</v>
      </c>
      <c r="U23" s="27" t="s">
        <v>5077</v>
      </c>
      <c r="V23" s="27" t="s">
        <v>5078</v>
      </c>
      <c r="W23" s="27" t="s">
        <v>5079</v>
      </c>
      <c r="X23" s="27" t="s">
        <v>5080</v>
      </c>
      <c r="Y23" s="26" t="s">
        <v>1027</v>
      </c>
    </row>
    <row r="24" ht="14.25" customHeight="1">
      <c r="A24" s="39" t="s">
        <v>851</v>
      </c>
      <c r="B24" s="39" t="s">
        <v>852</v>
      </c>
      <c r="C24" s="40" t="s">
        <v>616</v>
      </c>
      <c r="D24" s="39" t="s">
        <v>401</v>
      </c>
      <c r="E24" s="39"/>
      <c r="F24" s="39"/>
      <c r="G24" s="39" t="s">
        <v>853</v>
      </c>
      <c r="H24" s="39" t="s">
        <v>142</v>
      </c>
      <c r="I24" s="37" t="s">
        <v>49</v>
      </c>
      <c r="J24" s="27" t="s">
        <v>5081</v>
      </c>
      <c r="K24" s="27" t="s">
        <v>5082</v>
      </c>
      <c r="L24" s="27" t="s">
        <v>5083</v>
      </c>
      <c r="M24" s="27" t="s">
        <v>5084</v>
      </c>
      <c r="N24" s="27" t="s">
        <v>5085</v>
      </c>
      <c r="O24" s="27" t="s">
        <v>5086</v>
      </c>
      <c r="P24" s="26" t="s">
        <v>1210</v>
      </c>
      <c r="T24" s="26" t="s">
        <v>1457</v>
      </c>
      <c r="U24" s="27" t="s">
        <v>5087</v>
      </c>
      <c r="V24" s="27" t="s">
        <v>5088</v>
      </c>
      <c r="W24" s="27" t="s">
        <v>5089</v>
      </c>
      <c r="X24" s="27" t="s">
        <v>5090</v>
      </c>
      <c r="Y24" s="26" t="s">
        <v>5030</v>
      </c>
    </row>
    <row r="25" ht="15.0" customHeight="1">
      <c r="A25" s="39" t="s">
        <v>896</v>
      </c>
      <c r="B25" s="39" t="s">
        <v>897</v>
      </c>
      <c r="C25" s="40" t="s">
        <v>891</v>
      </c>
      <c r="D25" s="39" t="s">
        <v>898</v>
      </c>
      <c r="E25" s="39"/>
      <c r="F25" s="39"/>
      <c r="G25" s="27" t="s">
        <v>5091</v>
      </c>
      <c r="H25" s="39" t="s">
        <v>209</v>
      </c>
      <c r="I25" s="39" t="s">
        <v>49</v>
      </c>
      <c r="J25" s="27" t="s">
        <v>5092</v>
      </c>
      <c r="K25" s="27" t="s">
        <v>5093</v>
      </c>
      <c r="L25" s="27" t="s">
        <v>5094</v>
      </c>
      <c r="M25" s="27" t="s">
        <v>5095</v>
      </c>
      <c r="N25" s="27" t="s">
        <v>5096</v>
      </c>
      <c r="O25" s="27" t="s">
        <v>5097</v>
      </c>
      <c r="P25" s="26" t="s">
        <v>5003</v>
      </c>
      <c r="T25" s="26" t="s">
        <v>1457</v>
      </c>
      <c r="U25" s="27" t="s">
        <v>5098</v>
      </c>
      <c r="V25" s="27" t="s">
        <v>5099</v>
      </c>
      <c r="W25" s="27" t="s">
        <v>5100</v>
      </c>
      <c r="X25" s="27" t="s">
        <v>5101</v>
      </c>
      <c r="Y25" s="26" t="s">
        <v>1069</v>
      </c>
    </row>
    <row r="26" ht="13.5" customHeight="1">
      <c r="A26" s="39" t="s">
        <v>918</v>
      </c>
      <c r="B26" s="39" t="s">
        <v>919</v>
      </c>
      <c r="C26" s="40" t="s">
        <v>891</v>
      </c>
      <c r="D26" s="39" t="s">
        <v>907</v>
      </c>
      <c r="E26" s="39"/>
      <c r="F26" s="39"/>
      <c r="G26" s="27" t="s">
        <v>5102</v>
      </c>
      <c r="H26" s="39" t="s">
        <v>920</v>
      </c>
      <c r="I26" s="39" t="s">
        <v>559</v>
      </c>
      <c r="J26" s="27" t="s">
        <v>5103</v>
      </c>
      <c r="K26" s="27" t="s">
        <v>5104</v>
      </c>
      <c r="L26" s="27" t="s">
        <v>5105</v>
      </c>
      <c r="M26" s="27" t="s">
        <v>5106</v>
      </c>
      <c r="N26" s="27" t="s">
        <v>5107</v>
      </c>
      <c r="O26" s="27" t="s">
        <v>5108</v>
      </c>
      <c r="P26" s="26" t="s">
        <v>1210</v>
      </c>
      <c r="T26" s="26" t="s">
        <v>1457</v>
      </c>
      <c r="U26" s="27" t="s">
        <v>5109</v>
      </c>
      <c r="V26" s="27" t="s">
        <v>5110</v>
      </c>
      <c r="W26" s="27" t="s">
        <v>5111</v>
      </c>
      <c r="X26" s="27" t="s">
        <v>5112</v>
      </c>
      <c r="Y26" s="26" t="s">
        <v>5113</v>
      </c>
    </row>
    <row r="27" ht="14.25" customHeight="1">
      <c r="A27" s="463" t="s">
        <v>606</v>
      </c>
      <c r="B27" s="463" t="s">
        <v>607</v>
      </c>
      <c r="C27" s="464" t="s">
        <v>88</v>
      </c>
      <c r="D27" s="463" t="s">
        <v>283</v>
      </c>
      <c r="E27" s="463"/>
      <c r="F27" s="463" t="s">
        <v>608</v>
      </c>
      <c r="G27" s="463" t="s">
        <v>92</v>
      </c>
      <c r="H27" s="463"/>
      <c r="I27" s="463" t="s">
        <v>76</v>
      </c>
      <c r="J27" s="463"/>
      <c r="K27" s="463"/>
      <c r="L27" s="463"/>
      <c r="M27" s="463"/>
      <c r="N27" s="463"/>
      <c r="O27" s="463"/>
      <c r="P27" s="465" t="s">
        <v>5010</v>
      </c>
      <c r="Q27" s="463"/>
      <c r="R27" s="463"/>
      <c r="S27" s="463"/>
      <c r="T27" s="463"/>
      <c r="U27" s="463"/>
      <c r="V27" s="463"/>
      <c r="W27" s="463"/>
      <c r="X27" s="463"/>
      <c r="Y27" s="463"/>
      <c r="Z27" s="463"/>
      <c r="AA27" s="463"/>
      <c r="AB27" s="463"/>
      <c r="AC27" s="463"/>
      <c r="AD27" s="463"/>
      <c r="AE27" s="463"/>
      <c r="AF27" s="463"/>
      <c r="AG27" s="463"/>
      <c r="AH27" s="463"/>
      <c r="AI27" s="463"/>
      <c r="AJ27" s="466"/>
      <c r="AK27" s="466"/>
      <c r="AL27" s="466"/>
      <c r="AM27" s="466"/>
      <c r="AN27" s="466"/>
      <c r="AO27" s="466"/>
      <c r="AP27" s="466"/>
      <c r="AQ27" s="466"/>
      <c r="AR27" s="466"/>
      <c r="AS27" s="466"/>
      <c r="AT27" s="466"/>
      <c r="AU27" s="466"/>
      <c r="AV27" s="466"/>
      <c r="AW27" s="466"/>
      <c r="AX27" s="466"/>
    </row>
    <row r="28" ht="14.25" customHeight="1">
      <c r="A28" s="463" t="s">
        <v>609</v>
      </c>
      <c r="B28" s="463" t="s">
        <v>610</v>
      </c>
      <c r="C28" s="464" t="s">
        <v>88</v>
      </c>
      <c r="D28" s="463" t="s">
        <v>295</v>
      </c>
      <c r="E28" s="463"/>
      <c r="F28" s="463" t="s">
        <v>515</v>
      </c>
      <c r="G28" s="463" t="s">
        <v>92</v>
      </c>
      <c r="H28" s="463"/>
      <c r="I28" s="463" t="s">
        <v>76</v>
      </c>
      <c r="J28" s="463"/>
      <c r="K28" s="463"/>
      <c r="L28" s="463"/>
      <c r="M28" s="463"/>
      <c r="N28" s="463"/>
      <c r="O28" s="463"/>
      <c r="P28" s="465" t="s">
        <v>5114</v>
      </c>
      <c r="Q28" s="463"/>
      <c r="R28" s="463"/>
      <c r="S28" s="463"/>
      <c r="T28" s="463"/>
      <c r="U28" s="463"/>
      <c r="V28" s="463"/>
      <c r="W28" s="463"/>
      <c r="X28" s="463"/>
      <c r="Y28" s="463"/>
      <c r="Z28" s="463"/>
      <c r="AA28" s="463"/>
      <c r="AB28" s="463"/>
      <c r="AC28" s="463"/>
      <c r="AD28" s="463"/>
      <c r="AE28" s="463"/>
      <c r="AF28" s="463"/>
      <c r="AG28" s="463"/>
      <c r="AH28" s="463"/>
      <c r="AI28" s="463"/>
      <c r="AJ28" s="466"/>
      <c r="AK28" s="466"/>
      <c r="AL28" s="466"/>
      <c r="AM28" s="466"/>
      <c r="AN28" s="466"/>
      <c r="AO28" s="466"/>
      <c r="AP28" s="466"/>
      <c r="AQ28" s="466"/>
      <c r="AR28" s="466"/>
      <c r="AS28" s="466"/>
      <c r="AT28" s="466"/>
      <c r="AU28" s="466"/>
      <c r="AV28" s="466"/>
      <c r="AW28" s="466"/>
      <c r="AX28" s="466"/>
    </row>
    <row r="29" ht="14.25" customHeight="1">
      <c r="A29" s="456"/>
    </row>
    <row r="30" ht="14.25" customHeight="1">
      <c r="A30" s="467"/>
    </row>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AB9:AD9"/>
    <mergeCell ref="A29:E29"/>
    <mergeCell ref="A30:E38"/>
  </mergeCells>
  <dataValidations>
    <dataValidation type="list" allowBlank="1" showErrorMessage="1" sqref="R2:R8 AJ9 R10:R11">
      <formula1>'Exclussion basis'!$A$2:$A$4</formula1>
    </dataValidation>
  </dataValidations>
  <hyperlinks>
    <hyperlink r:id="rId2" ref="E2"/>
    <hyperlink r:id="rId3" ref="E3"/>
    <hyperlink r:id="rId4" ref="E4"/>
    <hyperlink r:id="rId5" ref="E9"/>
  </hyperlinks>
  <printOptions/>
  <pageMargins bottom="0.75" footer="0.0" header="0.0" left="0.7" right="0.7" top="0.75"/>
  <pageSetup orientation="landscape"/>
  <drawing r:id="rId6"/>
  <legacyDrawing r:id="rId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22"/>
    <col customWidth="1" min="2" max="26" width="6.78"/>
  </cols>
  <sheetData>
    <row r="1" ht="14.25" customHeight="1">
      <c r="A1" s="468" t="s">
        <v>5115</v>
      </c>
    </row>
    <row r="2" ht="14.25" customHeight="1">
      <c r="A2" s="37" t="s">
        <v>2986</v>
      </c>
    </row>
    <row r="3" ht="14.25" customHeight="1">
      <c r="A3" s="26" t="s">
        <v>5116</v>
      </c>
    </row>
    <row r="4" ht="14.25" customHeight="1">
      <c r="A4" s="37" t="s">
        <v>2979</v>
      </c>
    </row>
    <row r="5" ht="14.25" customHeight="1">
      <c r="A5" s="37" t="s">
        <v>3229</v>
      </c>
    </row>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6.78"/>
    <col customWidth="1" min="2" max="2" width="16.11"/>
    <col customWidth="1" min="3" max="26" width="6.78"/>
  </cols>
  <sheetData>
    <row r="1" ht="14.25" customHeight="1">
      <c r="A1" s="37" t="s">
        <v>58</v>
      </c>
      <c r="B1" s="37" t="s">
        <v>3207</v>
      </c>
      <c r="C1" s="37" t="s">
        <v>5117</v>
      </c>
      <c r="D1" s="37" t="s">
        <v>5118</v>
      </c>
      <c r="E1" s="37" t="s">
        <v>5119</v>
      </c>
    </row>
    <row r="2" ht="14.25" customHeight="1">
      <c r="D2" s="37"/>
      <c r="E2" s="37" t="s">
        <v>5120</v>
      </c>
    </row>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howErrorMessage="1" sqref="D2">
      <formula1>Reviewers!$A$2:$A$7</formula1>
    </dataValidation>
  </dataValidations>
  <printOptions/>
  <pageMargins bottom="0.75" footer="0.0" header="0.0" left="0.7" right="0.7" top="0.75"/>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56"/>
    <col customWidth="1" min="2" max="26" width="6.78"/>
  </cols>
  <sheetData>
    <row r="1" ht="14.25" customHeight="1">
      <c r="A1" s="29" t="s">
        <v>5121</v>
      </c>
      <c r="B1" s="469" t="s">
        <v>5122</v>
      </c>
    </row>
    <row r="2" ht="14.25" customHeight="1">
      <c r="A2" s="37" t="s">
        <v>431</v>
      </c>
      <c r="B2" s="26" t="s">
        <v>5123</v>
      </c>
    </row>
    <row r="3" ht="14.25" customHeight="1">
      <c r="A3" s="37" t="s">
        <v>181</v>
      </c>
      <c r="B3" s="26" t="s">
        <v>2861</v>
      </c>
    </row>
    <row r="4" ht="14.25" customHeight="1">
      <c r="A4" s="37" t="s">
        <v>347</v>
      </c>
      <c r="B4" s="26" t="s">
        <v>5124</v>
      </c>
    </row>
    <row r="5" ht="14.25" customHeight="1">
      <c r="A5" s="37" t="s">
        <v>269</v>
      </c>
      <c r="B5" s="26" t="s">
        <v>2857</v>
      </c>
    </row>
    <row r="6" ht="14.25" customHeight="1">
      <c r="A6" s="37" t="s">
        <v>93</v>
      </c>
      <c r="B6" s="26" t="s">
        <v>2859</v>
      </c>
    </row>
    <row r="7" ht="14.25" customHeight="1">
      <c r="A7" s="37" t="s">
        <v>507</v>
      </c>
      <c r="B7" s="26" t="s">
        <v>5125</v>
      </c>
    </row>
    <row r="8" ht="14.25" customHeight="1">
      <c r="A8" s="26" t="s">
        <v>261</v>
      </c>
      <c r="B8" s="26" t="s">
        <v>2863</v>
      </c>
    </row>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23.11"/>
  </cols>
  <sheetData>
    <row r="1">
      <c r="A1" s="1" t="s">
        <v>3</v>
      </c>
      <c r="B1" s="1" t="s">
        <v>5126</v>
      </c>
      <c r="C1" s="1" t="s">
        <v>5127</v>
      </c>
      <c r="D1" s="1" t="s">
        <v>5128</v>
      </c>
      <c r="E1" s="1" t="s">
        <v>5129</v>
      </c>
      <c r="F1" s="1" t="s">
        <v>5130</v>
      </c>
      <c r="G1" s="1" t="s">
        <v>5131</v>
      </c>
      <c r="H1" s="1" t="s">
        <v>5132</v>
      </c>
      <c r="I1" s="1" t="s">
        <v>5133</v>
      </c>
      <c r="J1" s="1" t="s">
        <v>5134</v>
      </c>
      <c r="K1" s="1" t="s">
        <v>5133</v>
      </c>
      <c r="L1" s="1" t="s">
        <v>5134</v>
      </c>
      <c r="M1" s="470" t="s">
        <v>5135</v>
      </c>
      <c r="N1" s="470" t="s">
        <v>5135</v>
      </c>
      <c r="O1" s="470" t="s">
        <v>5136</v>
      </c>
      <c r="P1" s="470" t="s">
        <v>5137</v>
      </c>
      <c r="Q1" s="471" t="s">
        <v>5138</v>
      </c>
    </row>
    <row r="2">
      <c r="A2" s="8" t="s">
        <v>5139</v>
      </c>
      <c r="B2" s="472"/>
      <c r="C2" s="472"/>
      <c r="D2" s="472"/>
      <c r="E2" s="472"/>
      <c r="F2" s="473"/>
      <c r="G2" s="473"/>
      <c r="H2" s="474" t="s">
        <v>5140</v>
      </c>
      <c r="I2" s="475"/>
      <c r="J2" s="475"/>
      <c r="K2" s="475"/>
      <c r="L2" s="475"/>
      <c r="M2" s="476"/>
      <c r="N2" s="477"/>
      <c r="O2" s="477"/>
      <c r="P2" s="477"/>
      <c r="Q2" s="478" t="s">
        <v>5141</v>
      </c>
    </row>
    <row r="3">
      <c r="A3" s="8" t="s">
        <v>7</v>
      </c>
      <c r="B3" s="475"/>
      <c r="C3" s="472"/>
      <c r="D3" s="472"/>
      <c r="E3" s="472"/>
      <c r="F3" s="473"/>
      <c r="G3" s="473"/>
      <c r="H3" s="474" t="s">
        <v>5140</v>
      </c>
      <c r="I3" s="475"/>
      <c r="J3" s="475"/>
      <c r="K3" s="475"/>
      <c r="L3" s="475"/>
      <c r="M3" s="476"/>
      <c r="N3" s="477"/>
      <c r="O3" s="477"/>
      <c r="P3" s="477"/>
      <c r="Q3" s="479"/>
    </row>
    <row r="4">
      <c r="A4" s="8" t="s">
        <v>8</v>
      </c>
      <c r="B4" s="472"/>
      <c r="C4" s="472"/>
      <c r="D4" s="472"/>
      <c r="E4" s="472"/>
      <c r="F4" s="480"/>
      <c r="G4" s="480"/>
      <c r="H4" s="480"/>
      <c r="I4" s="475"/>
      <c r="J4" s="475"/>
      <c r="K4" s="475"/>
      <c r="L4" s="475"/>
      <c r="M4" s="476"/>
      <c r="N4" s="477"/>
      <c r="O4" s="477"/>
      <c r="P4" s="477"/>
      <c r="Q4" s="479"/>
    </row>
    <row r="5">
      <c r="A5" s="8" t="s">
        <v>9</v>
      </c>
      <c r="B5" s="475"/>
      <c r="C5" s="472"/>
      <c r="D5" s="472"/>
      <c r="E5" s="472"/>
      <c r="F5" s="473"/>
      <c r="G5" s="475"/>
      <c r="H5" s="475"/>
      <c r="I5" s="481"/>
      <c r="J5" s="475"/>
      <c r="K5" s="481"/>
      <c r="L5" s="475"/>
      <c r="M5" s="476"/>
      <c r="N5" s="477"/>
      <c r="O5" s="477"/>
      <c r="P5" s="477"/>
      <c r="Q5" s="479"/>
    </row>
    <row r="6">
      <c r="A6" s="8" t="s">
        <v>10</v>
      </c>
      <c r="B6" s="475"/>
      <c r="C6" s="475"/>
      <c r="D6" s="472"/>
      <c r="E6" s="472"/>
      <c r="F6" s="473"/>
      <c r="G6" s="473"/>
      <c r="H6" s="473"/>
      <c r="I6" s="474" t="s">
        <v>5142</v>
      </c>
      <c r="J6" s="475"/>
      <c r="K6" s="475"/>
      <c r="L6" s="475"/>
      <c r="M6" s="476"/>
      <c r="N6" s="477"/>
      <c r="O6" s="477"/>
      <c r="P6" s="477"/>
      <c r="Q6" s="479"/>
    </row>
    <row r="7">
      <c r="A7" s="8" t="s">
        <v>7</v>
      </c>
      <c r="B7" s="475"/>
      <c r="C7" s="475"/>
      <c r="D7" s="475"/>
      <c r="E7" s="475"/>
      <c r="F7" s="475"/>
      <c r="G7" s="475"/>
      <c r="H7" s="475"/>
      <c r="I7" s="473"/>
      <c r="J7" s="473"/>
      <c r="K7" s="473"/>
      <c r="L7" s="475"/>
      <c r="M7" s="476"/>
      <c r="N7" s="477"/>
      <c r="O7" s="477"/>
      <c r="P7" s="477"/>
      <c r="Q7" s="479"/>
    </row>
    <row r="8">
      <c r="A8" s="8" t="s">
        <v>15</v>
      </c>
      <c r="B8" s="475"/>
      <c r="C8" s="475"/>
      <c r="D8" s="475"/>
      <c r="E8" s="475"/>
      <c r="F8" s="475"/>
      <c r="G8" s="475"/>
      <c r="H8" s="475"/>
      <c r="I8" s="473"/>
      <c r="J8" s="474" t="s">
        <v>5143</v>
      </c>
      <c r="K8" s="473"/>
      <c r="L8" s="474" t="s">
        <v>5143</v>
      </c>
      <c r="M8" s="482"/>
      <c r="N8" s="483" t="s">
        <v>5143</v>
      </c>
      <c r="O8" s="483"/>
      <c r="P8" s="483" t="s">
        <v>5143</v>
      </c>
      <c r="Q8" s="479"/>
    </row>
    <row r="9">
      <c r="A9" s="8" t="s">
        <v>5144</v>
      </c>
      <c r="B9" s="475"/>
      <c r="C9" s="475"/>
      <c r="D9" s="475"/>
      <c r="E9" s="475"/>
      <c r="F9" s="475"/>
      <c r="G9" s="475"/>
      <c r="H9" s="475"/>
      <c r="I9" s="473"/>
      <c r="J9" s="474" t="s">
        <v>5145</v>
      </c>
      <c r="K9" s="473"/>
      <c r="L9" s="474" t="s">
        <v>5145</v>
      </c>
      <c r="M9" s="482"/>
      <c r="N9" s="483" t="s">
        <v>5145</v>
      </c>
      <c r="O9" s="483"/>
      <c r="P9" s="483" t="s">
        <v>5145</v>
      </c>
      <c r="Q9" s="479"/>
    </row>
    <row r="10">
      <c r="A10" s="8" t="s">
        <v>5146</v>
      </c>
      <c r="B10" s="475"/>
      <c r="C10" s="475"/>
      <c r="D10" s="475"/>
      <c r="E10" s="475"/>
      <c r="F10" s="475"/>
      <c r="G10" s="475"/>
      <c r="H10" s="475"/>
      <c r="I10" s="475"/>
      <c r="J10" s="475"/>
      <c r="K10" s="475"/>
      <c r="L10" s="475"/>
      <c r="M10" s="482" t="s">
        <v>5147</v>
      </c>
      <c r="N10" s="477"/>
      <c r="O10" s="483" t="s">
        <v>5147</v>
      </c>
      <c r="P10" s="477"/>
      <c r="Q10" s="479"/>
    </row>
    <row r="11">
      <c r="A11" s="8" t="s">
        <v>16</v>
      </c>
      <c r="B11" s="475"/>
      <c r="C11" s="475"/>
      <c r="D11" s="475"/>
      <c r="E11" s="475"/>
      <c r="F11" s="475"/>
      <c r="G11" s="475"/>
      <c r="H11" s="475"/>
      <c r="I11" s="475"/>
      <c r="J11" s="475"/>
      <c r="K11" s="475"/>
      <c r="L11" s="475"/>
      <c r="M11" s="482"/>
      <c r="N11" s="483" t="s">
        <v>5148</v>
      </c>
      <c r="O11" s="483"/>
      <c r="P11" s="483" t="s">
        <v>5148</v>
      </c>
      <c r="Q11" s="484"/>
    </row>
    <row r="12">
      <c r="A12" s="41"/>
      <c r="B12" s="41"/>
      <c r="C12" s="41"/>
      <c r="D12" s="41"/>
      <c r="E12" s="41"/>
      <c r="F12" s="41"/>
      <c r="G12" s="41"/>
      <c r="H12" s="41"/>
      <c r="I12" s="41"/>
      <c r="J12" s="41"/>
      <c r="K12" s="41"/>
    </row>
    <row r="13">
      <c r="A13" s="41"/>
      <c r="B13" s="41"/>
      <c r="C13" s="41"/>
      <c r="D13" s="41"/>
      <c r="E13" s="41"/>
      <c r="F13" s="41"/>
      <c r="G13" s="41"/>
      <c r="H13" s="41"/>
      <c r="I13" s="41"/>
      <c r="J13" s="41"/>
      <c r="K13" s="41"/>
    </row>
    <row r="14">
      <c r="A14" s="21" t="s">
        <v>19</v>
      </c>
      <c r="B14" s="41"/>
      <c r="C14" s="41"/>
      <c r="D14" s="41"/>
      <c r="E14" s="41"/>
      <c r="F14" s="41"/>
      <c r="G14" s="41"/>
      <c r="H14" s="41"/>
      <c r="I14" s="41"/>
      <c r="J14" s="41"/>
      <c r="K14" s="41"/>
    </row>
    <row r="15">
      <c r="A15" s="22" t="s">
        <v>20</v>
      </c>
      <c r="B15" s="41"/>
      <c r="C15" s="41"/>
      <c r="D15" s="41"/>
      <c r="E15" s="41"/>
      <c r="F15" s="41"/>
      <c r="G15" s="41"/>
      <c r="H15" s="41"/>
      <c r="I15" s="41"/>
      <c r="J15" s="41"/>
      <c r="K15" s="41"/>
    </row>
    <row r="16">
      <c r="A16" s="23" t="s">
        <v>21</v>
      </c>
      <c r="B16" s="41"/>
      <c r="C16" s="41"/>
      <c r="D16" s="41"/>
      <c r="E16" s="41"/>
      <c r="F16" s="41"/>
      <c r="G16" s="41"/>
      <c r="H16" s="41"/>
      <c r="I16" s="41"/>
      <c r="J16" s="41"/>
      <c r="K16" s="41"/>
    </row>
    <row r="17">
      <c r="A17" s="24" t="s">
        <v>22</v>
      </c>
      <c r="B17" s="41"/>
      <c r="C17" s="41"/>
      <c r="D17" s="41"/>
      <c r="E17" s="41"/>
      <c r="F17" s="41"/>
      <c r="G17" s="41"/>
      <c r="H17" s="41"/>
      <c r="I17" s="41"/>
      <c r="J17" s="41"/>
      <c r="K17" s="41"/>
    </row>
    <row r="18">
      <c r="A18" s="25" t="s">
        <v>23</v>
      </c>
      <c r="B18" s="41"/>
      <c r="C18" s="41"/>
      <c r="D18" s="41"/>
      <c r="E18" s="41"/>
      <c r="F18" s="41"/>
      <c r="G18" s="41"/>
      <c r="H18" s="41"/>
      <c r="I18" s="41"/>
      <c r="J18" s="41"/>
      <c r="K18" s="41"/>
    </row>
  </sheetData>
  <mergeCells count="1">
    <mergeCell ref="Q2:Q1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3" max="3" width="14.78"/>
  </cols>
  <sheetData>
    <row r="1">
      <c r="A1" s="52" t="s">
        <v>5149</v>
      </c>
      <c r="B1" s="54" t="s">
        <v>57</v>
      </c>
      <c r="C1" s="54" t="s">
        <v>58</v>
      </c>
      <c r="D1" s="54" t="s">
        <v>59</v>
      </c>
      <c r="E1" s="54" t="s">
        <v>60</v>
      </c>
      <c r="F1" s="55" t="s">
        <v>943</v>
      </c>
      <c r="G1" s="55" t="s">
        <v>3845</v>
      </c>
      <c r="H1" s="308" t="s">
        <v>61</v>
      </c>
      <c r="I1" s="308" t="s">
        <v>62</v>
      </c>
      <c r="J1" s="308" t="s">
        <v>3207</v>
      </c>
      <c r="K1" s="309" t="s">
        <v>3208</v>
      </c>
      <c r="L1" s="309" t="s">
        <v>3209</v>
      </c>
      <c r="M1" s="308" t="s">
        <v>3210</v>
      </c>
      <c r="N1" s="310" t="s">
        <v>3649</v>
      </c>
      <c r="O1" s="309" t="s">
        <v>3212</v>
      </c>
      <c r="P1" s="308" t="s">
        <v>3213</v>
      </c>
      <c r="Q1" s="308" t="s">
        <v>3214</v>
      </c>
      <c r="R1" s="308" t="s">
        <v>3215</v>
      </c>
      <c r="S1" s="308" t="s">
        <v>3216</v>
      </c>
      <c r="T1" s="54" t="s">
        <v>3217</v>
      </c>
      <c r="U1" s="56" t="s">
        <v>944</v>
      </c>
      <c r="V1" s="311" t="s">
        <v>3219</v>
      </c>
      <c r="W1" s="311" t="s">
        <v>61</v>
      </c>
      <c r="X1" s="311" t="s">
        <v>62</v>
      </c>
      <c r="Y1" s="311" t="s">
        <v>3846</v>
      </c>
      <c r="Z1" s="312" t="s">
        <v>4080</v>
      </c>
      <c r="AA1" s="311" t="s">
        <v>4081</v>
      </c>
      <c r="AB1" s="311" t="s">
        <v>4082</v>
      </c>
      <c r="AC1" s="345" t="s">
        <v>4083</v>
      </c>
      <c r="AD1" s="346" t="s">
        <v>4084</v>
      </c>
      <c r="AE1" s="347" t="s">
        <v>950</v>
      </c>
      <c r="AF1" s="311" t="s">
        <v>952</v>
      </c>
      <c r="AG1" s="311" t="s">
        <v>5150</v>
      </c>
    </row>
    <row r="2">
      <c r="A2" s="485" t="s">
        <v>123</v>
      </c>
      <c r="B2" s="485" t="s">
        <v>1671</v>
      </c>
      <c r="C2" s="485" t="s">
        <v>1672</v>
      </c>
      <c r="D2" s="485"/>
      <c r="E2" s="485"/>
      <c r="F2" s="486" t="s">
        <v>1673</v>
      </c>
      <c r="G2" s="487">
        <v>8.0</v>
      </c>
      <c r="H2" s="123"/>
      <c r="I2" s="123"/>
      <c r="J2" s="72" t="s">
        <v>45</v>
      </c>
      <c r="K2" s="72" t="s">
        <v>5151</v>
      </c>
      <c r="L2" s="72" t="s">
        <v>5152</v>
      </c>
      <c r="M2" s="72" t="s">
        <v>5153</v>
      </c>
      <c r="N2" s="72" t="s">
        <v>5154</v>
      </c>
      <c r="O2" s="72" t="s">
        <v>5155</v>
      </c>
      <c r="P2" s="72" t="s">
        <v>5156</v>
      </c>
      <c r="Q2" s="72" t="s">
        <v>931</v>
      </c>
      <c r="R2" s="123"/>
      <c r="S2" s="123"/>
      <c r="T2" s="123"/>
      <c r="U2" s="138" t="s">
        <v>931</v>
      </c>
      <c r="V2" s="72" t="s">
        <v>5157</v>
      </c>
      <c r="W2" s="72" t="s">
        <v>5158</v>
      </c>
      <c r="X2" s="72" t="s">
        <v>5159</v>
      </c>
      <c r="Y2" s="123"/>
      <c r="Z2" s="26" t="s">
        <v>1017</v>
      </c>
      <c r="AC2" s="26" t="s">
        <v>5160</v>
      </c>
      <c r="AD2" s="26" t="s">
        <v>4152</v>
      </c>
      <c r="AE2" s="26" t="s">
        <v>1676</v>
      </c>
      <c r="AF2" s="26" t="s">
        <v>2851</v>
      </c>
      <c r="AG2" s="26" t="s">
        <v>5161</v>
      </c>
    </row>
    <row r="3">
      <c r="A3" s="485" t="s">
        <v>123</v>
      </c>
      <c r="B3" s="485" t="s">
        <v>1680</v>
      </c>
      <c r="C3" s="485" t="s">
        <v>1681</v>
      </c>
      <c r="D3" s="485"/>
      <c r="E3" s="485"/>
      <c r="F3" s="486" t="s">
        <v>1682</v>
      </c>
      <c r="G3" s="485"/>
      <c r="H3" s="123"/>
      <c r="I3" s="123"/>
      <c r="J3" s="72" t="s">
        <v>45</v>
      </c>
      <c r="K3" s="72" t="s">
        <v>5162</v>
      </c>
      <c r="L3" s="72" t="s">
        <v>5163</v>
      </c>
      <c r="M3" s="72"/>
      <c r="N3" s="72" t="s">
        <v>5164</v>
      </c>
      <c r="O3" s="72" t="s">
        <v>5165</v>
      </c>
      <c r="P3" s="72" t="s">
        <v>5166</v>
      </c>
      <c r="Q3" s="72" t="s">
        <v>931</v>
      </c>
      <c r="R3" s="123"/>
      <c r="S3" s="123"/>
      <c r="T3" s="72" t="s">
        <v>5167</v>
      </c>
      <c r="U3" s="138" t="s">
        <v>931</v>
      </c>
      <c r="V3" s="72" t="s">
        <v>5168</v>
      </c>
      <c r="W3" s="72" t="s">
        <v>5169</v>
      </c>
      <c r="X3" s="123"/>
      <c r="Y3" s="72" t="s">
        <v>5170</v>
      </c>
      <c r="Z3" s="26" t="s">
        <v>5171</v>
      </c>
      <c r="AA3" s="26" t="s">
        <v>4081</v>
      </c>
      <c r="AC3" s="26" t="s">
        <v>5172</v>
      </c>
      <c r="AE3" s="26" t="s">
        <v>5173</v>
      </c>
      <c r="AF3" s="26" t="s">
        <v>2851</v>
      </c>
      <c r="AG3" s="26" t="s">
        <v>5161</v>
      </c>
    </row>
    <row r="4" ht="14.25" customHeight="1">
      <c r="A4" s="485" t="s">
        <v>123</v>
      </c>
      <c r="B4" s="485" t="s">
        <v>1687</v>
      </c>
      <c r="C4" s="485" t="s">
        <v>1688</v>
      </c>
      <c r="D4" s="485"/>
      <c r="E4" s="485"/>
      <c r="F4" s="486" t="s">
        <v>1689</v>
      </c>
      <c r="G4" s="485"/>
      <c r="H4" s="123"/>
      <c r="I4" s="123"/>
      <c r="J4" s="72" t="s">
        <v>559</v>
      </c>
      <c r="K4" s="72" t="s">
        <v>5174</v>
      </c>
      <c r="L4" s="72" t="s">
        <v>5175</v>
      </c>
      <c r="M4" s="72" t="s">
        <v>5176</v>
      </c>
      <c r="N4" s="72" t="s">
        <v>5177</v>
      </c>
      <c r="O4" s="72" t="s">
        <v>5178</v>
      </c>
      <c r="P4" s="72" t="s">
        <v>5179</v>
      </c>
      <c r="Q4" s="72" t="s">
        <v>931</v>
      </c>
      <c r="R4" s="72"/>
      <c r="S4" s="39" t="s">
        <v>2986</v>
      </c>
      <c r="T4" s="72" t="s">
        <v>5180</v>
      </c>
      <c r="U4" s="138" t="s">
        <v>931</v>
      </c>
      <c r="V4" s="72" t="s">
        <v>5181</v>
      </c>
      <c r="W4" s="72" t="s">
        <v>5182</v>
      </c>
      <c r="X4" s="72" t="s">
        <v>5183</v>
      </c>
      <c r="Y4" s="72" t="s">
        <v>5184</v>
      </c>
      <c r="Z4" s="26" t="s">
        <v>1017</v>
      </c>
      <c r="AA4" s="26" t="s">
        <v>4081</v>
      </c>
      <c r="AC4" s="26" t="s">
        <v>5185</v>
      </c>
      <c r="AD4" s="26" t="s">
        <v>5186</v>
      </c>
      <c r="AE4" s="26" t="s">
        <v>1691</v>
      </c>
      <c r="AF4" s="26" t="s">
        <v>2945</v>
      </c>
      <c r="AG4" s="26" t="s">
        <v>5187</v>
      </c>
    </row>
    <row r="5">
      <c r="A5" s="485" t="s">
        <v>123</v>
      </c>
      <c r="B5" s="485" t="s">
        <v>5188</v>
      </c>
      <c r="C5" s="485" t="s">
        <v>3037</v>
      </c>
      <c r="D5" s="485"/>
      <c r="E5" s="485"/>
      <c r="F5" s="486" t="s">
        <v>5189</v>
      </c>
      <c r="G5" s="485"/>
      <c r="H5" s="123"/>
      <c r="I5" s="123"/>
      <c r="J5" s="123"/>
      <c r="K5" s="123"/>
      <c r="L5" s="123"/>
      <c r="M5" s="123"/>
      <c r="N5" s="123"/>
      <c r="O5" s="123"/>
      <c r="P5" s="123"/>
      <c r="Q5" s="72" t="s">
        <v>963</v>
      </c>
      <c r="R5" s="72" t="s">
        <v>5190</v>
      </c>
      <c r="S5" s="39" t="s">
        <v>2986</v>
      </c>
      <c r="T5" s="123"/>
      <c r="U5" s="138" t="s">
        <v>931</v>
      </c>
      <c r="V5" s="123"/>
      <c r="W5" s="123"/>
      <c r="X5" s="123"/>
      <c r="Y5" s="123"/>
      <c r="AG5" s="26" t="s">
        <v>5191</v>
      </c>
    </row>
    <row r="6">
      <c r="A6" s="485" t="s">
        <v>123</v>
      </c>
      <c r="B6" s="485" t="s">
        <v>1695</v>
      </c>
      <c r="C6" s="485" t="s">
        <v>1696</v>
      </c>
      <c r="D6" s="485"/>
      <c r="E6" s="485"/>
      <c r="F6" s="486" t="s">
        <v>1697</v>
      </c>
      <c r="G6" s="485"/>
      <c r="H6" s="123"/>
      <c r="I6" s="123"/>
      <c r="J6" s="72" t="s">
        <v>45</v>
      </c>
      <c r="K6" s="72" t="s">
        <v>5192</v>
      </c>
      <c r="L6" s="72" t="s">
        <v>5193</v>
      </c>
      <c r="M6" s="123"/>
      <c r="N6" s="72" t="s">
        <v>5194</v>
      </c>
      <c r="O6" s="72" t="s">
        <v>5195</v>
      </c>
      <c r="P6" s="72" t="s">
        <v>5196</v>
      </c>
      <c r="Q6" s="72" t="s">
        <v>931</v>
      </c>
      <c r="R6" s="123"/>
      <c r="S6" s="39" t="s">
        <v>2986</v>
      </c>
      <c r="T6" s="72" t="s">
        <v>5197</v>
      </c>
      <c r="U6" s="138" t="s">
        <v>931</v>
      </c>
      <c r="V6" s="72" t="s">
        <v>5198</v>
      </c>
      <c r="W6" s="72" t="s">
        <v>5199</v>
      </c>
      <c r="X6" s="72" t="s">
        <v>5200</v>
      </c>
      <c r="Y6" s="72"/>
      <c r="Z6" s="26" t="s">
        <v>5201</v>
      </c>
      <c r="AC6" s="26" t="s">
        <v>5202</v>
      </c>
      <c r="AD6" s="26" t="s">
        <v>4152</v>
      </c>
      <c r="AE6" s="26" t="s">
        <v>1027</v>
      </c>
      <c r="AF6" s="26" t="s">
        <v>5203</v>
      </c>
      <c r="AG6" s="26" t="s">
        <v>5204</v>
      </c>
    </row>
    <row r="7">
      <c r="A7" s="485" t="s">
        <v>103</v>
      </c>
      <c r="B7" s="485" t="s">
        <v>5205</v>
      </c>
      <c r="C7" s="485" t="s">
        <v>3039</v>
      </c>
      <c r="D7" s="485"/>
      <c r="E7" s="485"/>
      <c r="F7" s="488" t="s">
        <v>5206</v>
      </c>
      <c r="G7" s="485"/>
      <c r="H7" s="123"/>
      <c r="I7" s="123"/>
      <c r="J7" s="72" t="s">
        <v>45</v>
      </c>
      <c r="K7" s="72" t="s">
        <v>5207</v>
      </c>
      <c r="L7" s="72" t="s">
        <v>5208</v>
      </c>
      <c r="M7" s="72" t="s">
        <v>5209</v>
      </c>
      <c r="N7" s="72" t="s">
        <v>5210</v>
      </c>
      <c r="O7" s="72" t="s">
        <v>998</v>
      </c>
      <c r="P7" s="123"/>
      <c r="Q7" s="72" t="s">
        <v>963</v>
      </c>
      <c r="R7" s="123"/>
      <c r="S7" s="39" t="s">
        <v>2986</v>
      </c>
      <c r="T7" s="72" t="s">
        <v>5211</v>
      </c>
      <c r="U7" s="138" t="s">
        <v>931</v>
      </c>
      <c r="V7" s="72" t="s">
        <v>5212</v>
      </c>
      <c r="W7" s="72" t="s">
        <v>5213</v>
      </c>
      <c r="X7" s="72" t="s">
        <v>5214</v>
      </c>
      <c r="Y7" s="72" t="s">
        <v>5215</v>
      </c>
      <c r="Z7" s="26" t="s">
        <v>1017</v>
      </c>
      <c r="AC7" s="26" t="s">
        <v>5216</v>
      </c>
      <c r="AD7" s="26" t="s">
        <v>4152</v>
      </c>
      <c r="AE7" s="26" t="s">
        <v>1027</v>
      </c>
      <c r="AF7" s="26" t="s">
        <v>5217</v>
      </c>
      <c r="AG7" s="26" t="s">
        <v>5218</v>
      </c>
    </row>
    <row r="8">
      <c r="A8" s="485" t="s">
        <v>116</v>
      </c>
      <c r="B8" s="485" t="s">
        <v>5219</v>
      </c>
      <c r="C8" s="485" t="s">
        <v>3040</v>
      </c>
      <c r="D8" s="485"/>
      <c r="E8" s="485"/>
      <c r="F8" s="486" t="s">
        <v>5220</v>
      </c>
      <c r="G8" s="485"/>
      <c r="H8" s="123"/>
      <c r="I8" s="123"/>
      <c r="J8" s="123"/>
      <c r="K8" s="123"/>
      <c r="L8" s="123"/>
      <c r="M8" s="123"/>
      <c r="N8" s="123"/>
      <c r="O8" s="123"/>
      <c r="P8" s="123"/>
      <c r="Q8" s="72" t="s">
        <v>963</v>
      </c>
      <c r="R8" s="72" t="s">
        <v>5221</v>
      </c>
      <c r="S8" s="39" t="s">
        <v>2986</v>
      </c>
      <c r="T8" s="72" t="s">
        <v>5222</v>
      </c>
      <c r="U8" s="138" t="s">
        <v>931</v>
      </c>
      <c r="V8" s="123"/>
      <c r="W8" s="123"/>
      <c r="X8" s="123"/>
      <c r="Y8" s="123"/>
    </row>
    <row r="9">
      <c r="A9" s="485" t="s">
        <v>103</v>
      </c>
      <c r="B9" s="485" t="s">
        <v>5223</v>
      </c>
      <c r="C9" s="485" t="s">
        <v>3041</v>
      </c>
      <c r="D9" s="485"/>
      <c r="E9" s="485"/>
      <c r="F9" s="485"/>
      <c r="G9" s="485"/>
      <c r="H9" s="123"/>
      <c r="I9" s="123"/>
      <c r="J9" s="123"/>
      <c r="K9" s="123"/>
      <c r="L9" s="123"/>
      <c r="M9" s="123"/>
      <c r="N9" s="123"/>
      <c r="O9" s="123"/>
      <c r="P9" s="123"/>
      <c r="Q9" s="72" t="s">
        <v>963</v>
      </c>
      <c r="R9" s="72" t="s">
        <v>5221</v>
      </c>
      <c r="S9" s="39" t="s">
        <v>2986</v>
      </c>
      <c r="T9" s="123"/>
      <c r="U9" s="138" t="s">
        <v>931</v>
      </c>
      <c r="V9" s="123"/>
      <c r="W9" s="123"/>
      <c r="X9" s="123"/>
      <c r="Y9" s="123"/>
    </row>
    <row r="10">
      <c r="A10" s="485" t="s">
        <v>123</v>
      </c>
      <c r="B10" s="485" t="s">
        <v>5224</v>
      </c>
      <c r="C10" s="485" t="s">
        <v>3042</v>
      </c>
      <c r="D10" s="485"/>
      <c r="E10" s="485"/>
      <c r="F10" s="486" t="s">
        <v>5225</v>
      </c>
      <c r="G10" s="485"/>
      <c r="H10" s="123"/>
      <c r="I10" s="123"/>
      <c r="J10" s="72" t="s">
        <v>559</v>
      </c>
      <c r="K10" s="123"/>
      <c r="L10" s="123"/>
      <c r="M10" s="123"/>
      <c r="N10" s="123"/>
      <c r="O10" s="123"/>
      <c r="P10" s="123"/>
      <c r="Q10" s="72" t="s">
        <v>963</v>
      </c>
      <c r="R10" s="72" t="s">
        <v>5221</v>
      </c>
      <c r="S10" s="39" t="s">
        <v>2986</v>
      </c>
      <c r="T10" s="123"/>
      <c r="U10" s="138" t="s">
        <v>931</v>
      </c>
      <c r="V10" s="123"/>
      <c r="W10" s="123"/>
      <c r="X10" s="123"/>
      <c r="Y10" s="123"/>
    </row>
    <row r="11">
      <c r="A11" s="485" t="s">
        <v>86</v>
      </c>
      <c r="B11" s="485" t="s">
        <v>5226</v>
      </c>
      <c r="C11" s="485" t="s">
        <v>3043</v>
      </c>
      <c r="D11" s="485"/>
      <c r="E11" s="485"/>
      <c r="F11" s="486" t="s">
        <v>5227</v>
      </c>
      <c r="G11" s="485"/>
      <c r="H11" s="123"/>
      <c r="I11" s="123"/>
      <c r="J11" s="123"/>
      <c r="K11" s="123"/>
      <c r="L11" s="123"/>
      <c r="M11" s="123"/>
      <c r="N11" s="123"/>
      <c r="O11" s="72"/>
      <c r="P11" s="123"/>
      <c r="Q11" s="72" t="s">
        <v>963</v>
      </c>
      <c r="R11" s="72" t="s">
        <v>5221</v>
      </c>
      <c r="S11" s="39" t="s">
        <v>2986</v>
      </c>
      <c r="T11" s="72" t="s">
        <v>5228</v>
      </c>
      <c r="U11" s="138" t="s">
        <v>931</v>
      </c>
      <c r="V11" s="123"/>
      <c r="W11" s="123"/>
      <c r="X11" s="123"/>
      <c r="Y11" s="123"/>
    </row>
    <row r="12">
      <c r="A12" s="485" t="s">
        <v>103</v>
      </c>
      <c r="B12" s="485" t="s">
        <v>5229</v>
      </c>
      <c r="C12" s="485" t="s">
        <v>3044</v>
      </c>
      <c r="D12" s="485"/>
      <c r="E12" s="485"/>
      <c r="F12" s="486" t="s">
        <v>5230</v>
      </c>
      <c r="G12" s="485"/>
      <c r="H12" s="123"/>
      <c r="I12" s="123"/>
      <c r="J12" s="123"/>
      <c r="K12" s="123"/>
      <c r="L12" s="123"/>
      <c r="M12" s="123"/>
      <c r="N12" s="123"/>
      <c r="O12" s="123"/>
      <c r="P12" s="123"/>
      <c r="Q12" s="72" t="s">
        <v>963</v>
      </c>
      <c r="R12" s="72" t="s">
        <v>5231</v>
      </c>
      <c r="S12" s="39" t="s">
        <v>2986</v>
      </c>
      <c r="T12" s="72"/>
      <c r="U12" s="195"/>
      <c r="V12" s="123"/>
      <c r="W12" s="123"/>
      <c r="X12" s="123"/>
      <c r="Y12" s="123"/>
    </row>
    <row r="13">
      <c r="A13" s="485" t="s">
        <v>123</v>
      </c>
      <c r="B13" s="485" t="s">
        <v>1702</v>
      </c>
      <c r="C13" s="485" t="s">
        <v>1703</v>
      </c>
      <c r="D13" s="485"/>
      <c r="E13" s="485"/>
      <c r="F13" s="486" t="s">
        <v>1704</v>
      </c>
      <c r="G13" s="485"/>
      <c r="H13" s="123"/>
      <c r="I13" s="123"/>
      <c r="J13" s="72" t="s">
        <v>45</v>
      </c>
      <c r="K13" s="72" t="s">
        <v>5232</v>
      </c>
      <c r="L13" s="72" t="s">
        <v>5233</v>
      </c>
      <c r="M13" s="72" t="s">
        <v>5234</v>
      </c>
      <c r="N13" s="123"/>
      <c r="O13" s="72" t="s">
        <v>5235</v>
      </c>
      <c r="P13" s="72" t="s">
        <v>5236</v>
      </c>
      <c r="Q13" s="72" t="s">
        <v>931</v>
      </c>
      <c r="R13" s="123"/>
      <c r="S13" s="39" t="s">
        <v>2986</v>
      </c>
      <c r="T13" s="72" t="s">
        <v>5237</v>
      </c>
      <c r="U13" s="138" t="s">
        <v>931</v>
      </c>
      <c r="V13" s="72" t="s">
        <v>5238</v>
      </c>
      <c r="W13" s="72" t="s">
        <v>5239</v>
      </c>
      <c r="X13" s="72" t="s">
        <v>5240</v>
      </c>
      <c r="Y13" s="72" t="s">
        <v>2216</v>
      </c>
      <c r="Z13" s="26" t="s">
        <v>5241</v>
      </c>
      <c r="AC13" s="26" t="s">
        <v>5242</v>
      </c>
      <c r="AD13" s="26" t="s">
        <v>4152</v>
      </c>
      <c r="AE13" s="26" t="s">
        <v>1027</v>
      </c>
      <c r="AF13" s="26" t="s">
        <v>5243</v>
      </c>
      <c r="AG13" s="26" t="s">
        <v>5244</v>
      </c>
    </row>
    <row r="14">
      <c r="A14" s="485" t="s">
        <v>123</v>
      </c>
      <c r="B14" s="485" t="s">
        <v>1711</v>
      </c>
      <c r="C14" s="485" t="s">
        <v>1712</v>
      </c>
      <c r="D14" s="485"/>
      <c r="E14" s="485"/>
      <c r="F14" s="486" t="s">
        <v>1713</v>
      </c>
      <c r="G14" s="485"/>
      <c r="H14" s="123"/>
      <c r="I14" s="123"/>
      <c r="J14" s="72" t="s">
        <v>45</v>
      </c>
      <c r="K14" s="72" t="s">
        <v>5245</v>
      </c>
      <c r="L14" s="72" t="s">
        <v>5246</v>
      </c>
      <c r="M14" s="72"/>
      <c r="N14" s="72" t="s">
        <v>5247</v>
      </c>
      <c r="O14" s="72" t="s">
        <v>5155</v>
      </c>
      <c r="P14" s="72" t="s">
        <v>5248</v>
      </c>
      <c r="Q14" s="72" t="s">
        <v>931</v>
      </c>
      <c r="R14" s="123"/>
      <c r="S14" s="123"/>
      <c r="T14" s="72" t="s">
        <v>5249</v>
      </c>
      <c r="U14" s="138" t="s">
        <v>931</v>
      </c>
      <c r="V14" s="72" t="s">
        <v>5250</v>
      </c>
      <c r="W14" s="72" t="s">
        <v>5251</v>
      </c>
      <c r="X14" s="72" t="s">
        <v>5252</v>
      </c>
      <c r="Y14" s="72" t="s">
        <v>5253</v>
      </c>
      <c r="Z14" s="26" t="s">
        <v>1017</v>
      </c>
      <c r="AC14" s="26" t="s">
        <v>5242</v>
      </c>
      <c r="AD14" s="26" t="s">
        <v>4152</v>
      </c>
      <c r="AE14" s="26" t="s">
        <v>5254</v>
      </c>
      <c r="AF14" s="26" t="s">
        <v>5187</v>
      </c>
      <c r="AG14" s="26" t="s">
        <v>5187</v>
      </c>
    </row>
    <row r="15">
      <c r="A15" s="485"/>
      <c r="B15" s="485" t="s">
        <v>1719</v>
      </c>
      <c r="C15" s="485" t="s">
        <v>1720</v>
      </c>
      <c r="D15" s="485"/>
      <c r="E15" s="485"/>
      <c r="F15" s="486" t="s">
        <v>1721</v>
      </c>
      <c r="G15" s="485"/>
      <c r="H15" s="123"/>
      <c r="I15" s="123"/>
      <c r="J15" s="72" t="s">
        <v>45</v>
      </c>
      <c r="K15" s="72" t="s">
        <v>5255</v>
      </c>
      <c r="L15" s="72" t="s">
        <v>5256</v>
      </c>
      <c r="M15" s="72" t="s">
        <v>5257</v>
      </c>
      <c r="N15" s="123"/>
      <c r="O15" s="72" t="s">
        <v>5258</v>
      </c>
      <c r="P15" s="72" t="s">
        <v>5259</v>
      </c>
      <c r="Q15" s="72" t="s">
        <v>931</v>
      </c>
      <c r="R15" s="123"/>
      <c r="S15" s="123"/>
      <c r="T15" s="72" t="s">
        <v>4744</v>
      </c>
      <c r="U15" s="138" t="s">
        <v>931</v>
      </c>
      <c r="V15" s="72" t="s">
        <v>5260</v>
      </c>
      <c r="W15" s="72" t="s">
        <v>2257</v>
      </c>
      <c r="X15" s="72" t="s">
        <v>5261</v>
      </c>
      <c r="Y15" s="72" t="s">
        <v>5170</v>
      </c>
      <c r="Z15" s="26" t="s">
        <v>5241</v>
      </c>
      <c r="AC15" s="26" t="s">
        <v>5242</v>
      </c>
      <c r="AD15" s="26" t="s">
        <v>4152</v>
      </c>
      <c r="AE15" s="26" t="s">
        <v>1027</v>
      </c>
      <c r="AF15" s="26" t="s">
        <v>2945</v>
      </c>
      <c r="AG15" s="26" t="s">
        <v>5244</v>
      </c>
    </row>
    <row r="16">
      <c r="A16" s="485"/>
      <c r="B16" s="485" t="s">
        <v>5262</v>
      </c>
      <c r="C16" s="485" t="s">
        <v>3045</v>
      </c>
      <c r="D16" s="485"/>
      <c r="E16" s="485"/>
      <c r="F16" s="486" t="s">
        <v>5263</v>
      </c>
      <c r="G16" s="485"/>
      <c r="H16" s="123"/>
      <c r="I16" s="123"/>
      <c r="J16" s="123"/>
      <c r="K16" s="123"/>
      <c r="L16" s="123"/>
      <c r="M16" s="123"/>
      <c r="N16" s="123"/>
      <c r="O16" s="123"/>
      <c r="P16" s="123"/>
      <c r="Q16" s="72" t="s">
        <v>963</v>
      </c>
      <c r="R16" s="72" t="s">
        <v>1374</v>
      </c>
      <c r="S16" s="39" t="s">
        <v>2979</v>
      </c>
      <c r="T16" s="123"/>
      <c r="U16" s="195"/>
      <c r="V16" s="123"/>
      <c r="W16" s="123"/>
      <c r="X16" s="123"/>
      <c r="Y16" s="123"/>
    </row>
    <row r="17">
      <c r="A17" s="485"/>
      <c r="B17" s="485" t="s">
        <v>5264</v>
      </c>
      <c r="C17" s="485" t="s">
        <v>3046</v>
      </c>
      <c r="D17" s="485"/>
      <c r="E17" s="485"/>
      <c r="F17" s="486" t="s">
        <v>5265</v>
      </c>
      <c r="G17" s="485"/>
      <c r="H17" s="123"/>
      <c r="I17" s="123"/>
      <c r="J17" s="123"/>
      <c r="K17" s="123"/>
      <c r="L17" s="123"/>
      <c r="M17" s="123"/>
      <c r="N17" s="123"/>
      <c r="O17" s="123"/>
      <c r="P17" s="123"/>
      <c r="Q17" s="72" t="s">
        <v>963</v>
      </c>
      <c r="R17" s="72" t="s">
        <v>1374</v>
      </c>
      <c r="S17" s="39" t="s">
        <v>2979</v>
      </c>
      <c r="T17" s="123"/>
      <c r="U17" s="195"/>
      <c r="V17" s="123"/>
      <c r="W17" s="123"/>
      <c r="X17" s="123"/>
      <c r="Y17" s="123"/>
    </row>
    <row r="18">
      <c r="A18" s="485"/>
      <c r="B18" s="485" t="s">
        <v>5266</v>
      </c>
      <c r="C18" s="485" t="s">
        <v>3047</v>
      </c>
      <c r="D18" s="485"/>
      <c r="E18" s="485"/>
      <c r="F18" s="486" t="s">
        <v>5267</v>
      </c>
      <c r="G18" s="485"/>
      <c r="H18" s="123"/>
      <c r="I18" s="123"/>
      <c r="J18" s="123"/>
      <c r="K18" s="123"/>
      <c r="L18" s="123"/>
      <c r="M18" s="123"/>
      <c r="N18" s="123"/>
      <c r="O18" s="123"/>
      <c r="P18" s="123"/>
      <c r="Q18" s="72" t="s">
        <v>963</v>
      </c>
      <c r="R18" s="72" t="s">
        <v>1374</v>
      </c>
      <c r="S18" s="39" t="s">
        <v>2986</v>
      </c>
      <c r="T18" s="123"/>
      <c r="U18" s="195"/>
      <c r="V18" s="123"/>
      <c r="W18" s="123"/>
      <c r="X18" s="123"/>
      <c r="Y18" s="123"/>
    </row>
    <row r="19">
      <c r="A19" s="195"/>
      <c r="B19" s="195"/>
      <c r="C19" s="138" t="s">
        <v>3048</v>
      </c>
      <c r="D19" s="123"/>
      <c r="E19" s="123"/>
      <c r="F19" s="235" t="s">
        <v>5268</v>
      </c>
      <c r="G19" s="123"/>
      <c r="H19" s="123"/>
      <c r="I19" s="123"/>
      <c r="J19" s="72" t="s">
        <v>5269</v>
      </c>
      <c r="K19" s="123"/>
      <c r="L19" s="123"/>
      <c r="M19" s="123"/>
      <c r="N19" s="123"/>
      <c r="O19" s="123"/>
      <c r="P19" s="123"/>
      <c r="Q19" s="72" t="s">
        <v>963</v>
      </c>
      <c r="R19" s="72" t="s">
        <v>5221</v>
      </c>
      <c r="S19" s="39" t="s">
        <v>5116</v>
      </c>
      <c r="T19" s="123"/>
      <c r="U19" s="195"/>
      <c r="V19" s="123"/>
      <c r="W19" s="123"/>
      <c r="X19" s="123"/>
      <c r="Y19" s="123"/>
    </row>
    <row r="20">
      <c r="A20" s="195"/>
      <c r="B20" s="195"/>
      <c r="C20" s="138" t="s">
        <v>3049</v>
      </c>
      <c r="D20" s="123"/>
      <c r="E20" s="123"/>
      <c r="F20" s="237" t="s">
        <v>5270</v>
      </c>
      <c r="G20" s="123"/>
      <c r="H20" s="123"/>
      <c r="I20" s="123"/>
      <c r="J20" s="72" t="s">
        <v>5269</v>
      </c>
      <c r="K20" s="123"/>
      <c r="L20" s="123"/>
      <c r="M20" s="123"/>
      <c r="N20" s="123"/>
      <c r="O20" s="123"/>
      <c r="P20" s="123"/>
      <c r="Q20" s="72" t="s">
        <v>963</v>
      </c>
      <c r="R20" s="72" t="s">
        <v>5221</v>
      </c>
      <c r="S20" s="39" t="s">
        <v>5116</v>
      </c>
      <c r="T20" s="123"/>
      <c r="U20" s="195"/>
      <c r="V20" s="123"/>
      <c r="W20" s="123"/>
      <c r="X20" s="123"/>
      <c r="Y20" s="123"/>
    </row>
    <row r="21">
      <c r="A21" s="195"/>
      <c r="B21" s="195"/>
      <c r="C21" s="138" t="s">
        <v>3050</v>
      </c>
      <c r="D21" s="123"/>
      <c r="E21" s="123"/>
      <c r="F21" s="235" t="s">
        <v>5271</v>
      </c>
      <c r="G21" s="123"/>
      <c r="H21" s="123"/>
      <c r="I21" s="123"/>
      <c r="J21" s="72" t="s">
        <v>5269</v>
      </c>
      <c r="K21" s="123"/>
      <c r="L21" s="123"/>
      <c r="M21" s="123"/>
      <c r="N21" s="123"/>
      <c r="O21" s="123"/>
      <c r="P21" s="123"/>
      <c r="Q21" s="72" t="s">
        <v>963</v>
      </c>
      <c r="R21" s="72" t="s">
        <v>5272</v>
      </c>
      <c r="S21" s="39" t="s">
        <v>5116</v>
      </c>
      <c r="T21" s="123"/>
      <c r="U21" s="195"/>
      <c r="V21" s="123"/>
      <c r="W21" s="123"/>
      <c r="X21" s="123"/>
      <c r="Y21" s="123"/>
    </row>
    <row r="22">
      <c r="A22" s="195"/>
      <c r="B22" s="195"/>
      <c r="C22" s="138" t="s">
        <v>3051</v>
      </c>
      <c r="D22" s="123"/>
      <c r="E22" s="123"/>
      <c r="F22" s="235" t="s">
        <v>5273</v>
      </c>
      <c r="G22" s="123"/>
      <c r="H22" s="123"/>
      <c r="I22" s="123"/>
      <c r="J22" s="72" t="s">
        <v>5269</v>
      </c>
      <c r="K22" s="123"/>
      <c r="L22" s="123"/>
      <c r="M22" s="123"/>
      <c r="N22" s="123"/>
      <c r="O22" s="123"/>
      <c r="P22" s="123"/>
      <c r="Q22" s="72" t="s">
        <v>963</v>
      </c>
      <c r="R22" s="72" t="s">
        <v>5274</v>
      </c>
      <c r="S22" s="39" t="s">
        <v>2986</v>
      </c>
      <c r="T22" s="123"/>
      <c r="U22" s="195"/>
      <c r="V22" s="123"/>
      <c r="W22" s="123"/>
      <c r="X22" s="123"/>
      <c r="Y22" s="123"/>
    </row>
    <row r="23">
      <c r="A23" s="195"/>
      <c r="B23" s="195"/>
      <c r="C23" s="138" t="s">
        <v>3052</v>
      </c>
      <c r="D23" s="123"/>
      <c r="E23" s="123"/>
      <c r="F23" s="235" t="s">
        <v>5275</v>
      </c>
      <c r="G23" s="123"/>
      <c r="H23" s="123"/>
      <c r="I23" s="123"/>
      <c r="J23" s="72" t="s">
        <v>5269</v>
      </c>
      <c r="K23" s="123"/>
      <c r="L23" s="123"/>
      <c r="M23" s="123"/>
      <c r="N23" s="123"/>
      <c r="O23" s="123"/>
      <c r="P23" s="123"/>
      <c r="Q23" s="72" t="s">
        <v>963</v>
      </c>
      <c r="R23" s="72" t="s">
        <v>5272</v>
      </c>
      <c r="S23" s="39" t="s">
        <v>2986</v>
      </c>
      <c r="T23" s="123"/>
      <c r="U23" s="195"/>
      <c r="V23" s="123"/>
      <c r="W23" s="123"/>
      <c r="X23" s="123"/>
      <c r="Y23" s="123"/>
    </row>
    <row r="24">
      <c r="A24" s="195"/>
      <c r="B24" s="195"/>
      <c r="C24" s="138" t="s">
        <v>3053</v>
      </c>
      <c r="D24" s="123"/>
      <c r="E24" s="123"/>
      <c r="F24" s="235" t="s">
        <v>5276</v>
      </c>
      <c r="G24" s="123"/>
      <c r="H24" s="123"/>
      <c r="I24" s="123"/>
      <c r="J24" s="72" t="s">
        <v>5269</v>
      </c>
      <c r="K24" s="123"/>
      <c r="L24" s="123"/>
      <c r="M24" s="123"/>
      <c r="N24" s="123"/>
      <c r="O24" s="123"/>
      <c r="P24" s="123"/>
      <c r="Q24" s="72" t="s">
        <v>963</v>
      </c>
      <c r="R24" s="72" t="s">
        <v>5221</v>
      </c>
      <c r="S24" s="39" t="s">
        <v>2986</v>
      </c>
      <c r="T24" s="123"/>
      <c r="U24" s="195"/>
      <c r="V24" s="123"/>
      <c r="W24" s="123"/>
      <c r="X24" s="123"/>
      <c r="Y24" s="123"/>
    </row>
    <row r="25">
      <c r="A25" s="195"/>
      <c r="B25" s="195"/>
      <c r="C25" s="138" t="s">
        <v>3054</v>
      </c>
      <c r="D25" s="123"/>
      <c r="E25" s="123"/>
      <c r="F25" s="235" t="s">
        <v>5277</v>
      </c>
      <c r="G25" s="123"/>
      <c r="H25" s="123"/>
      <c r="I25" s="123"/>
      <c r="J25" s="72" t="s">
        <v>5269</v>
      </c>
      <c r="K25" s="123"/>
      <c r="L25" s="123"/>
      <c r="M25" s="123"/>
      <c r="N25" s="123"/>
      <c r="O25" s="123"/>
      <c r="P25" s="123"/>
      <c r="Q25" s="72" t="s">
        <v>963</v>
      </c>
      <c r="R25" s="72" t="s">
        <v>4569</v>
      </c>
      <c r="S25" s="39" t="s">
        <v>5116</v>
      </c>
      <c r="T25" s="123"/>
      <c r="U25" s="195"/>
      <c r="V25" s="123"/>
      <c r="W25" s="123"/>
      <c r="X25" s="123"/>
      <c r="Y25" s="123"/>
    </row>
    <row r="26">
      <c r="A26" s="195"/>
      <c r="B26" s="195"/>
      <c r="C26" s="138" t="s">
        <v>3055</v>
      </c>
      <c r="D26" s="123"/>
      <c r="E26" s="123"/>
      <c r="F26" s="235" t="s">
        <v>5278</v>
      </c>
      <c r="G26" s="123"/>
      <c r="H26" s="123"/>
      <c r="I26" s="123"/>
      <c r="J26" s="72" t="s">
        <v>5269</v>
      </c>
      <c r="K26" s="123"/>
      <c r="L26" s="123"/>
      <c r="M26" s="123"/>
      <c r="N26" s="123"/>
      <c r="O26" s="123"/>
      <c r="P26" s="123"/>
      <c r="Q26" s="72" t="s">
        <v>963</v>
      </c>
      <c r="R26" s="72" t="s">
        <v>4569</v>
      </c>
      <c r="S26" s="39" t="s">
        <v>2979</v>
      </c>
      <c r="T26" s="123"/>
      <c r="U26" s="195"/>
      <c r="V26" s="123"/>
      <c r="W26" s="123"/>
      <c r="X26" s="123"/>
      <c r="Y26" s="123"/>
    </row>
    <row r="27">
      <c r="A27" s="195"/>
      <c r="B27" s="195"/>
      <c r="C27" s="138" t="s">
        <v>3056</v>
      </c>
      <c r="D27" s="123"/>
      <c r="E27" s="123"/>
      <c r="F27" s="235" t="s">
        <v>5279</v>
      </c>
      <c r="G27" s="123"/>
      <c r="H27" s="123"/>
      <c r="I27" s="123"/>
      <c r="J27" s="72" t="s">
        <v>5280</v>
      </c>
      <c r="K27" s="123"/>
      <c r="L27" s="123"/>
      <c r="M27" s="123"/>
      <c r="N27" s="123"/>
      <c r="O27" s="123"/>
      <c r="P27" s="123"/>
      <c r="Q27" s="72" t="s">
        <v>963</v>
      </c>
      <c r="R27" s="72" t="s">
        <v>4569</v>
      </c>
      <c r="S27" s="39" t="s">
        <v>5116</v>
      </c>
      <c r="T27" s="123"/>
      <c r="U27" s="195"/>
      <c r="V27" s="123"/>
      <c r="W27" s="123"/>
      <c r="X27" s="123"/>
      <c r="Y27" s="123"/>
    </row>
    <row r="28">
      <c r="A28" s="195"/>
      <c r="B28" s="195"/>
      <c r="C28" s="138" t="s">
        <v>3057</v>
      </c>
      <c r="D28" s="123"/>
      <c r="E28" s="123"/>
      <c r="F28" s="235" t="s">
        <v>5281</v>
      </c>
      <c r="G28" s="123"/>
      <c r="H28" s="123"/>
      <c r="I28" s="123"/>
      <c r="J28" s="72" t="s">
        <v>45</v>
      </c>
      <c r="K28" s="123"/>
      <c r="L28" s="72" t="s">
        <v>5282</v>
      </c>
      <c r="M28" s="123"/>
      <c r="N28" s="123"/>
      <c r="O28" s="123"/>
      <c r="P28" s="123"/>
      <c r="Q28" s="72" t="s">
        <v>963</v>
      </c>
      <c r="R28" s="123"/>
      <c r="S28" s="39" t="s">
        <v>2979</v>
      </c>
      <c r="T28" s="123"/>
      <c r="U28" s="195"/>
      <c r="V28" s="123"/>
      <c r="W28" s="123"/>
      <c r="X28" s="123"/>
      <c r="Y28" s="123"/>
    </row>
    <row r="29">
      <c r="A29" s="195"/>
      <c r="B29" s="195"/>
      <c r="C29" s="138"/>
      <c r="D29" s="123"/>
      <c r="E29" s="123"/>
      <c r="F29" s="72"/>
      <c r="G29" s="123"/>
      <c r="H29" s="123"/>
      <c r="I29" s="123"/>
      <c r="J29" s="72"/>
      <c r="K29" s="123"/>
      <c r="L29" s="123"/>
      <c r="M29" s="123"/>
      <c r="N29" s="123"/>
      <c r="O29" s="123"/>
      <c r="P29" s="123"/>
      <c r="Q29" s="72"/>
      <c r="R29" s="72"/>
      <c r="S29" s="39"/>
      <c r="T29" s="123"/>
      <c r="U29" s="195"/>
      <c r="V29" s="123"/>
      <c r="W29" s="123"/>
      <c r="X29" s="123"/>
      <c r="Y29" s="123"/>
    </row>
    <row r="30">
      <c r="A30" s="195"/>
      <c r="B30" s="195"/>
      <c r="C30" s="138"/>
      <c r="D30" s="123"/>
      <c r="E30" s="123"/>
      <c r="F30" s="72"/>
      <c r="G30" s="123"/>
      <c r="H30" s="123"/>
      <c r="I30" s="123"/>
      <c r="J30" s="72"/>
      <c r="K30" s="123"/>
      <c r="L30" s="123"/>
      <c r="M30" s="123"/>
      <c r="N30" s="123"/>
      <c r="O30" s="123"/>
      <c r="P30" s="123"/>
      <c r="Q30" s="72"/>
      <c r="R30" s="72"/>
      <c r="S30" s="39"/>
      <c r="T30" s="123"/>
      <c r="U30" s="195"/>
      <c r="V30" s="123"/>
      <c r="W30" s="123"/>
      <c r="X30" s="123"/>
      <c r="Y30" s="123"/>
    </row>
    <row r="31">
      <c r="A31" s="195"/>
      <c r="B31" s="195"/>
      <c r="C31" s="138"/>
      <c r="D31" s="123"/>
      <c r="E31" s="123"/>
      <c r="F31" s="72"/>
      <c r="G31" s="123"/>
      <c r="H31" s="123"/>
      <c r="I31" s="123"/>
      <c r="J31" s="72"/>
      <c r="K31" s="123"/>
      <c r="L31" s="72"/>
      <c r="M31" s="123"/>
      <c r="N31" s="123"/>
      <c r="O31" s="123"/>
      <c r="P31" s="123"/>
      <c r="Q31" s="72"/>
      <c r="R31" s="123"/>
      <c r="S31" s="39"/>
      <c r="T31" s="123"/>
      <c r="U31" s="195"/>
      <c r="V31" s="123"/>
      <c r="W31" s="123"/>
      <c r="X31" s="123"/>
      <c r="Y31" s="123"/>
    </row>
    <row r="32">
      <c r="A32" s="195"/>
      <c r="B32" s="195"/>
      <c r="C32" s="195"/>
      <c r="D32" s="123"/>
      <c r="E32" s="123"/>
      <c r="F32" s="123"/>
      <c r="G32" s="123"/>
      <c r="H32" s="123"/>
      <c r="I32" s="123"/>
      <c r="J32" s="123"/>
      <c r="K32" s="123"/>
      <c r="L32" s="123"/>
      <c r="M32" s="123"/>
      <c r="N32" s="123"/>
      <c r="O32" s="123"/>
      <c r="P32" s="123"/>
      <c r="Q32" s="123"/>
      <c r="R32" s="123"/>
      <c r="S32" s="123"/>
      <c r="T32" s="123"/>
      <c r="U32" s="195"/>
      <c r="V32" s="123"/>
      <c r="W32" s="123"/>
      <c r="X32" s="123"/>
      <c r="Y32" s="123"/>
    </row>
    <row r="33">
      <c r="A33" s="195"/>
      <c r="B33" s="195"/>
      <c r="C33" s="195"/>
      <c r="D33" s="123"/>
      <c r="E33" s="123"/>
      <c r="F33" s="123"/>
      <c r="G33" s="123"/>
      <c r="H33" s="123"/>
      <c r="I33" s="123"/>
      <c r="J33" s="123"/>
      <c r="K33" s="123"/>
      <c r="L33" s="123"/>
      <c r="M33" s="123"/>
      <c r="N33" s="123"/>
      <c r="O33" s="123"/>
      <c r="P33" s="123"/>
      <c r="Q33" s="123"/>
      <c r="R33" s="123"/>
      <c r="S33" s="123"/>
      <c r="T33" s="123"/>
      <c r="U33" s="195"/>
      <c r="V33" s="123"/>
      <c r="W33" s="123"/>
      <c r="X33" s="123"/>
      <c r="Y33" s="123"/>
    </row>
    <row r="34">
      <c r="A34" s="195"/>
      <c r="B34" s="195"/>
      <c r="C34" s="195"/>
      <c r="D34" s="123"/>
      <c r="E34" s="123"/>
      <c r="F34" s="123"/>
      <c r="G34" s="123"/>
      <c r="H34" s="123"/>
      <c r="I34" s="123"/>
      <c r="J34" s="123"/>
      <c r="K34" s="123"/>
      <c r="L34" s="123"/>
      <c r="M34" s="123"/>
      <c r="N34" s="123"/>
      <c r="O34" s="123"/>
      <c r="P34" s="123"/>
      <c r="Q34" s="123"/>
      <c r="R34" s="123"/>
      <c r="S34" s="123"/>
      <c r="T34" s="123"/>
      <c r="U34" s="195"/>
      <c r="V34" s="123"/>
      <c r="W34" s="123"/>
      <c r="X34" s="123"/>
      <c r="Y34" s="123"/>
    </row>
    <row r="35">
      <c r="A35" s="195"/>
      <c r="B35" s="195"/>
      <c r="C35" s="195"/>
      <c r="D35" s="123"/>
      <c r="E35" s="123"/>
      <c r="F35" s="123"/>
      <c r="G35" s="123"/>
      <c r="H35" s="123"/>
      <c r="I35" s="123"/>
      <c r="J35" s="123"/>
      <c r="K35" s="123"/>
      <c r="L35" s="123"/>
      <c r="M35" s="123"/>
      <c r="N35" s="123"/>
      <c r="O35" s="123"/>
      <c r="P35" s="123"/>
      <c r="Q35" s="123"/>
      <c r="R35" s="123"/>
      <c r="S35" s="123"/>
      <c r="T35" s="123"/>
      <c r="U35" s="195"/>
      <c r="V35" s="123"/>
      <c r="W35" s="123"/>
      <c r="X35" s="123"/>
      <c r="Y35" s="123"/>
    </row>
    <row r="36">
      <c r="A36" s="195"/>
      <c r="B36" s="195"/>
      <c r="C36" s="195"/>
      <c r="D36" s="123"/>
      <c r="E36" s="123"/>
      <c r="F36" s="123"/>
      <c r="G36" s="123"/>
      <c r="H36" s="123"/>
      <c r="I36" s="123"/>
      <c r="J36" s="123"/>
      <c r="K36" s="123"/>
      <c r="L36" s="123"/>
      <c r="M36" s="123"/>
      <c r="N36" s="123"/>
      <c r="O36" s="123"/>
      <c r="P36" s="123"/>
      <c r="Q36" s="123"/>
      <c r="R36" s="123"/>
      <c r="S36" s="123"/>
      <c r="T36" s="123"/>
      <c r="U36" s="195"/>
      <c r="V36" s="123"/>
      <c r="W36" s="123"/>
      <c r="X36" s="123"/>
      <c r="Y36" s="123"/>
    </row>
    <row r="37">
      <c r="A37" s="195"/>
      <c r="B37" s="195"/>
      <c r="C37" s="195"/>
      <c r="D37" s="123"/>
      <c r="E37" s="123"/>
      <c r="F37" s="123"/>
      <c r="G37" s="123"/>
      <c r="H37" s="123"/>
      <c r="I37" s="123"/>
      <c r="J37" s="123"/>
      <c r="K37" s="123"/>
      <c r="L37" s="123"/>
      <c r="M37" s="123"/>
      <c r="N37" s="123"/>
      <c r="O37" s="123"/>
      <c r="P37" s="123"/>
      <c r="Q37" s="123"/>
      <c r="R37" s="123"/>
      <c r="S37" s="123"/>
      <c r="T37" s="123"/>
      <c r="U37" s="195"/>
      <c r="V37" s="123"/>
      <c r="W37" s="123"/>
      <c r="X37" s="123"/>
      <c r="Y37" s="123"/>
    </row>
    <row r="38">
      <c r="A38" s="195"/>
      <c r="B38" s="195"/>
      <c r="C38" s="195"/>
      <c r="D38" s="123"/>
      <c r="E38" s="123"/>
      <c r="F38" s="123"/>
      <c r="G38" s="123"/>
      <c r="H38" s="123"/>
      <c r="I38" s="123"/>
      <c r="J38" s="123"/>
      <c r="K38" s="123"/>
      <c r="L38" s="123"/>
      <c r="M38" s="123"/>
      <c r="N38" s="123"/>
      <c r="O38" s="123"/>
      <c r="P38" s="123"/>
      <c r="Q38" s="123"/>
      <c r="R38" s="123"/>
      <c r="S38" s="123"/>
      <c r="T38" s="123"/>
      <c r="U38" s="195"/>
      <c r="V38" s="123"/>
      <c r="W38" s="123"/>
      <c r="X38" s="123"/>
      <c r="Y38" s="123"/>
    </row>
    <row r="39">
      <c r="A39" s="195"/>
      <c r="B39" s="195"/>
      <c r="C39" s="195"/>
      <c r="D39" s="123"/>
      <c r="E39" s="123"/>
      <c r="F39" s="123"/>
      <c r="G39" s="123"/>
      <c r="H39" s="123"/>
      <c r="I39" s="123"/>
      <c r="J39" s="123"/>
      <c r="K39" s="123"/>
      <c r="L39" s="123"/>
      <c r="M39" s="123"/>
      <c r="N39" s="123"/>
      <c r="O39" s="123"/>
      <c r="P39" s="123"/>
      <c r="Q39" s="123"/>
      <c r="R39" s="123"/>
      <c r="S39" s="123"/>
      <c r="T39" s="123"/>
      <c r="U39" s="195"/>
      <c r="V39" s="123"/>
      <c r="W39" s="123"/>
      <c r="X39" s="123"/>
      <c r="Y39" s="123"/>
    </row>
    <row r="40">
      <c r="A40" s="195"/>
      <c r="B40" s="195"/>
      <c r="C40" s="195"/>
      <c r="D40" s="123"/>
      <c r="E40" s="123"/>
      <c r="F40" s="123"/>
      <c r="G40" s="123"/>
      <c r="H40" s="123"/>
      <c r="I40" s="123"/>
      <c r="J40" s="123"/>
      <c r="K40" s="123"/>
      <c r="L40" s="123"/>
      <c r="M40" s="123"/>
      <c r="N40" s="123"/>
      <c r="O40" s="123"/>
      <c r="P40" s="123"/>
      <c r="Q40" s="123"/>
      <c r="R40" s="123"/>
      <c r="S40" s="123"/>
      <c r="T40" s="123"/>
      <c r="U40" s="195"/>
      <c r="V40" s="123"/>
      <c r="W40" s="123"/>
      <c r="X40" s="123"/>
      <c r="Y40" s="123"/>
    </row>
    <row r="41">
      <c r="A41" s="195"/>
      <c r="B41" s="195"/>
      <c r="C41" s="195"/>
      <c r="D41" s="123"/>
      <c r="E41" s="123"/>
      <c r="F41" s="123"/>
      <c r="G41" s="123"/>
      <c r="H41" s="123"/>
      <c r="I41" s="123"/>
      <c r="J41" s="123"/>
      <c r="K41" s="123"/>
      <c r="L41" s="123"/>
      <c r="M41" s="123"/>
      <c r="N41" s="123"/>
      <c r="O41" s="123"/>
      <c r="P41" s="123"/>
      <c r="Q41" s="123"/>
      <c r="R41" s="123"/>
      <c r="S41" s="123"/>
      <c r="T41" s="123"/>
      <c r="U41" s="195"/>
      <c r="V41" s="123"/>
      <c r="W41" s="123"/>
      <c r="X41" s="123"/>
      <c r="Y41" s="123"/>
    </row>
    <row r="42">
      <c r="A42" s="195"/>
      <c r="B42" s="195"/>
      <c r="C42" s="195"/>
      <c r="D42" s="123"/>
      <c r="E42" s="123"/>
      <c r="F42" s="123"/>
      <c r="G42" s="123"/>
      <c r="H42" s="123"/>
      <c r="I42" s="123"/>
      <c r="J42" s="123"/>
      <c r="K42" s="123"/>
      <c r="L42" s="123"/>
      <c r="M42" s="123"/>
      <c r="N42" s="123"/>
      <c r="O42" s="123"/>
      <c r="P42" s="123"/>
      <c r="Q42" s="123"/>
      <c r="R42" s="123"/>
      <c r="S42" s="123"/>
      <c r="T42" s="123"/>
      <c r="U42" s="195"/>
      <c r="V42" s="123"/>
      <c r="W42" s="123"/>
      <c r="X42" s="123"/>
      <c r="Y42" s="123"/>
    </row>
    <row r="43">
      <c r="A43" s="195"/>
      <c r="B43" s="195"/>
      <c r="C43" s="195"/>
      <c r="D43" s="123"/>
      <c r="E43" s="123"/>
      <c r="F43" s="123"/>
      <c r="G43" s="123"/>
      <c r="H43" s="123"/>
      <c r="I43" s="123"/>
      <c r="J43" s="123"/>
      <c r="K43" s="123"/>
      <c r="L43" s="123"/>
      <c r="M43" s="123"/>
      <c r="N43" s="123"/>
      <c r="O43" s="123"/>
      <c r="P43" s="123"/>
      <c r="Q43" s="123"/>
      <c r="R43" s="123"/>
      <c r="S43" s="123"/>
      <c r="T43" s="123"/>
      <c r="U43" s="195"/>
      <c r="V43" s="123"/>
      <c r="W43" s="123"/>
      <c r="X43" s="123"/>
      <c r="Y43" s="123"/>
    </row>
    <row r="44">
      <c r="A44" s="195"/>
      <c r="B44" s="195"/>
      <c r="C44" s="195"/>
      <c r="D44" s="123"/>
      <c r="E44" s="123"/>
      <c r="F44" s="123"/>
      <c r="G44" s="123"/>
      <c r="H44" s="123"/>
      <c r="I44" s="123"/>
      <c r="J44" s="123"/>
      <c r="K44" s="123"/>
      <c r="L44" s="123"/>
      <c r="M44" s="123"/>
      <c r="N44" s="123"/>
      <c r="O44" s="123"/>
      <c r="P44" s="123"/>
      <c r="Q44" s="123"/>
      <c r="R44" s="123"/>
      <c r="S44" s="123"/>
      <c r="T44" s="123"/>
      <c r="U44" s="195"/>
      <c r="V44" s="123"/>
      <c r="W44" s="123"/>
      <c r="X44" s="123"/>
      <c r="Y44" s="123"/>
    </row>
    <row r="45">
      <c r="A45" s="195"/>
      <c r="B45" s="195"/>
      <c r="C45" s="195"/>
      <c r="D45" s="123"/>
      <c r="E45" s="123"/>
      <c r="F45" s="123"/>
      <c r="G45" s="123"/>
      <c r="H45" s="123"/>
      <c r="I45" s="123"/>
      <c r="J45" s="123"/>
      <c r="K45" s="123"/>
      <c r="L45" s="123"/>
      <c r="M45" s="123"/>
      <c r="N45" s="123"/>
      <c r="O45" s="123"/>
      <c r="P45" s="123"/>
      <c r="Q45" s="123"/>
      <c r="R45" s="123"/>
      <c r="S45" s="123"/>
      <c r="T45" s="123"/>
      <c r="U45" s="195"/>
      <c r="V45" s="123"/>
      <c r="W45" s="123"/>
      <c r="X45" s="123"/>
      <c r="Y45" s="123"/>
    </row>
    <row r="46">
      <c r="A46" s="195"/>
      <c r="B46" s="195"/>
      <c r="C46" s="195"/>
      <c r="D46" s="123"/>
      <c r="E46" s="123"/>
      <c r="F46" s="123"/>
      <c r="G46" s="123"/>
      <c r="H46" s="123"/>
      <c r="I46" s="123"/>
      <c r="J46" s="123"/>
      <c r="K46" s="123"/>
      <c r="L46" s="123"/>
      <c r="M46" s="123"/>
      <c r="N46" s="123"/>
      <c r="O46" s="123"/>
      <c r="P46" s="123"/>
      <c r="Q46" s="123"/>
      <c r="R46" s="123"/>
      <c r="S46" s="123"/>
      <c r="T46" s="123"/>
      <c r="U46" s="195"/>
      <c r="V46" s="123"/>
      <c r="W46" s="123"/>
      <c r="X46" s="123"/>
      <c r="Y46" s="123"/>
    </row>
    <row r="47">
      <c r="A47" s="195"/>
      <c r="B47" s="195"/>
      <c r="C47" s="195"/>
      <c r="D47" s="123"/>
      <c r="E47" s="123"/>
      <c r="F47" s="123"/>
      <c r="G47" s="123"/>
      <c r="H47" s="123"/>
      <c r="I47" s="123"/>
      <c r="J47" s="123"/>
      <c r="K47" s="123"/>
      <c r="L47" s="123"/>
      <c r="M47" s="123"/>
      <c r="N47" s="123"/>
      <c r="O47" s="123"/>
      <c r="P47" s="123"/>
      <c r="Q47" s="123"/>
      <c r="R47" s="123"/>
      <c r="S47" s="123"/>
      <c r="T47" s="123"/>
      <c r="U47" s="195"/>
      <c r="V47" s="123"/>
      <c r="W47" s="123"/>
      <c r="X47" s="123"/>
      <c r="Y47" s="123"/>
    </row>
    <row r="48">
      <c r="A48" s="195"/>
      <c r="B48" s="195"/>
      <c r="C48" s="195"/>
      <c r="D48" s="123"/>
      <c r="E48" s="123"/>
      <c r="F48" s="123"/>
      <c r="G48" s="123"/>
      <c r="H48" s="123"/>
      <c r="I48" s="123"/>
      <c r="J48" s="123"/>
      <c r="K48" s="123"/>
      <c r="L48" s="123"/>
      <c r="M48" s="123"/>
      <c r="N48" s="123"/>
      <c r="O48" s="123"/>
      <c r="P48" s="123"/>
      <c r="Q48" s="123"/>
      <c r="R48" s="123"/>
      <c r="S48" s="123"/>
      <c r="T48" s="123"/>
      <c r="U48" s="195"/>
      <c r="V48" s="123"/>
      <c r="W48" s="123"/>
      <c r="X48" s="123"/>
      <c r="Y48" s="123"/>
    </row>
    <row r="49">
      <c r="A49" s="195"/>
      <c r="B49" s="195"/>
      <c r="C49" s="195"/>
      <c r="D49" s="123"/>
      <c r="E49" s="123"/>
      <c r="F49" s="123"/>
      <c r="G49" s="123"/>
      <c r="H49" s="123"/>
      <c r="I49" s="123"/>
      <c r="J49" s="123"/>
      <c r="K49" s="123"/>
      <c r="L49" s="123"/>
      <c r="M49" s="123"/>
      <c r="N49" s="123"/>
      <c r="O49" s="123"/>
      <c r="P49" s="123"/>
      <c r="Q49" s="123"/>
      <c r="R49" s="123"/>
      <c r="S49" s="123"/>
      <c r="T49" s="123"/>
      <c r="U49" s="195"/>
      <c r="V49" s="123"/>
      <c r="W49" s="123"/>
      <c r="X49" s="123"/>
      <c r="Y49" s="123"/>
    </row>
    <row r="50">
      <c r="A50" s="195"/>
      <c r="B50" s="195"/>
      <c r="C50" s="195"/>
      <c r="D50" s="123"/>
      <c r="E50" s="123"/>
      <c r="F50" s="123"/>
      <c r="G50" s="123"/>
      <c r="H50" s="123"/>
      <c r="I50" s="123"/>
      <c r="J50" s="123"/>
      <c r="K50" s="123"/>
      <c r="L50" s="123"/>
      <c r="M50" s="123"/>
      <c r="N50" s="123"/>
      <c r="O50" s="123"/>
      <c r="P50" s="123"/>
      <c r="Q50" s="123"/>
      <c r="R50" s="123"/>
      <c r="S50" s="123"/>
      <c r="T50" s="123"/>
      <c r="U50" s="195"/>
      <c r="V50" s="123"/>
      <c r="W50" s="123"/>
      <c r="X50" s="123"/>
      <c r="Y50" s="123"/>
    </row>
    <row r="51">
      <c r="A51" s="195"/>
      <c r="B51" s="195"/>
      <c r="C51" s="195"/>
      <c r="D51" s="123"/>
      <c r="E51" s="123"/>
      <c r="F51" s="123"/>
      <c r="G51" s="123"/>
      <c r="H51" s="123"/>
      <c r="I51" s="123"/>
      <c r="J51" s="123"/>
      <c r="K51" s="123"/>
      <c r="L51" s="123"/>
      <c r="M51" s="123"/>
      <c r="N51" s="123"/>
      <c r="O51" s="123"/>
      <c r="P51" s="123"/>
      <c r="Q51" s="123"/>
      <c r="R51" s="123"/>
      <c r="S51" s="123"/>
      <c r="T51" s="123"/>
      <c r="U51" s="195"/>
      <c r="V51" s="123"/>
      <c r="W51" s="123"/>
      <c r="X51" s="123"/>
      <c r="Y51" s="123"/>
    </row>
    <row r="52">
      <c r="A52" s="195"/>
      <c r="B52" s="195"/>
      <c r="C52" s="195"/>
      <c r="D52" s="123"/>
      <c r="E52" s="123"/>
      <c r="F52" s="123"/>
      <c r="G52" s="123"/>
      <c r="H52" s="123"/>
      <c r="I52" s="123"/>
      <c r="J52" s="123"/>
      <c r="K52" s="123"/>
      <c r="L52" s="123"/>
      <c r="M52" s="123"/>
      <c r="N52" s="123"/>
      <c r="O52" s="123"/>
      <c r="P52" s="123"/>
      <c r="Q52" s="123"/>
      <c r="R52" s="123"/>
      <c r="S52" s="123"/>
      <c r="T52" s="123"/>
      <c r="U52" s="195"/>
      <c r="V52" s="123"/>
      <c r="W52" s="123"/>
      <c r="X52" s="123"/>
      <c r="Y52" s="123"/>
    </row>
    <row r="53">
      <c r="A53" s="195"/>
      <c r="B53" s="195"/>
      <c r="C53" s="195"/>
      <c r="D53" s="123"/>
      <c r="E53" s="123"/>
      <c r="F53" s="123"/>
      <c r="G53" s="123"/>
      <c r="H53" s="123"/>
      <c r="I53" s="123"/>
      <c r="J53" s="123"/>
      <c r="K53" s="123"/>
      <c r="L53" s="123"/>
      <c r="M53" s="123"/>
      <c r="N53" s="123"/>
      <c r="O53" s="123"/>
      <c r="P53" s="123"/>
      <c r="Q53" s="123"/>
      <c r="R53" s="123"/>
      <c r="S53" s="123"/>
      <c r="T53" s="123"/>
      <c r="U53" s="195"/>
      <c r="V53" s="123"/>
      <c r="W53" s="123"/>
      <c r="X53" s="123"/>
      <c r="Y53" s="123"/>
    </row>
    <row r="54">
      <c r="A54" s="195"/>
      <c r="B54" s="195"/>
      <c r="C54" s="195"/>
      <c r="D54" s="123"/>
      <c r="E54" s="123"/>
      <c r="F54" s="123"/>
      <c r="G54" s="123"/>
      <c r="H54" s="123"/>
      <c r="I54" s="123"/>
      <c r="J54" s="123"/>
      <c r="K54" s="123"/>
      <c r="L54" s="123"/>
      <c r="M54" s="123"/>
      <c r="N54" s="123"/>
      <c r="O54" s="123"/>
      <c r="P54" s="123"/>
      <c r="Q54" s="123"/>
      <c r="R54" s="123"/>
      <c r="S54" s="123"/>
      <c r="T54" s="123"/>
      <c r="U54" s="195"/>
      <c r="V54" s="123"/>
      <c r="W54" s="123"/>
      <c r="X54" s="123"/>
      <c r="Y54" s="123"/>
    </row>
    <row r="55">
      <c r="A55" s="195"/>
      <c r="B55" s="195"/>
      <c r="C55" s="195"/>
      <c r="D55" s="123"/>
      <c r="E55" s="123"/>
      <c r="F55" s="123"/>
      <c r="G55" s="123"/>
      <c r="H55" s="123"/>
      <c r="I55" s="123"/>
      <c r="J55" s="123"/>
      <c r="K55" s="123"/>
      <c r="L55" s="123"/>
      <c r="M55" s="123"/>
      <c r="N55" s="123"/>
      <c r="O55" s="123"/>
      <c r="P55" s="123"/>
      <c r="Q55" s="123"/>
      <c r="R55" s="123"/>
      <c r="S55" s="123"/>
      <c r="T55" s="123"/>
      <c r="U55" s="195"/>
      <c r="V55" s="123"/>
      <c r="W55" s="123"/>
      <c r="X55" s="123"/>
      <c r="Y55" s="123"/>
    </row>
    <row r="56">
      <c r="A56" s="195"/>
      <c r="B56" s="195"/>
      <c r="C56" s="195"/>
      <c r="D56" s="123"/>
      <c r="E56" s="123"/>
      <c r="F56" s="123"/>
      <c r="G56" s="123"/>
      <c r="H56" s="123"/>
      <c r="I56" s="123"/>
      <c r="J56" s="123"/>
      <c r="K56" s="123"/>
      <c r="L56" s="123"/>
      <c r="M56" s="123"/>
      <c r="N56" s="123"/>
      <c r="O56" s="123"/>
      <c r="P56" s="123"/>
      <c r="Q56" s="123"/>
      <c r="R56" s="123"/>
      <c r="S56" s="123"/>
      <c r="T56" s="123"/>
      <c r="U56" s="195"/>
      <c r="V56" s="123"/>
      <c r="W56" s="123"/>
      <c r="X56" s="123"/>
      <c r="Y56" s="123"/>
    </row>
    <row r="57">
      <c r="A57" s="195"/>
      <c r="B57" s="195"/>
      <c r="C57" s="195"/>
      <c r="D57" s="123"/>
      <c r="E57" s="123"/>
      <c r="F57" s="123"/>
      <c r="G57" s="123"/>
      <c r="H57" s="123"/>
      <c r="I57" s="123"/>
      <c r="J57" s="123"/>
      <c r="K57" s="123"/>
      <c r="L57" s="123"/>
      <c r="M57" s="123"/>
      <c r="N57" s="123"/>
      <c r="O57" s="123"/>
      <c r="P57" s="123"/>
      <c r="Q57" s="123"/>
      <c r="R57" s="123"/>
      <c r="S57" s="123"/>
      <c r="T57" s="123"/>
      <c r="U57" s="195"/>
      <c r="V57" s="123"/>
      <c r="W57" s="123"/>
      <c r="X57" s="123"/>
      <c r="Y57" s="123"/>
    </row>
    <row r="58">
      <c r="A58" s="195"/>
      <c r="B58" s="195"/>
      <c r="C58" s="195"/>
      <c r="D58" s="123"/>
      <c r="E58" s="123"/>
      <c r="F58" s="123"/>
      <c r="G58" s="123"/>
      <c r="H58" s="123"/>
      <c r="I58" s="123"/>
      <c r="J58" s="123"/>
      <c r="K58" s="123"/>
      <c r="L58" s="123"/>
      <c r="M58" s="123"/>
      <c r="N58" s="123"/>
      <c r="O58" s="123"/>
      <c r="P58" s="123"/>
      <c r="Q58" s="123"/>
      <c r="R58" s="123"/>
      <c r="S58" s="123"/>
      <c r="T58" s="123"/>
      <c r="U58" s="195"/>
      <c r="V58" s="123"/>
      <c r="W58" s="123"/>
      <c r="X58" s="123"/>
      <c r="Y58" s="123"/>
    </row>
    <row r="59">
      <c r="A59" s="195"/>
      <c r="B59" s="195"/>
      <c r="C59" s="195"/>
      <c r="D59" s="123"/>
      <c r="E59" s="123"/>
      <c r="F59" s="123"/>
      <c r="G59" s="123"/>
      <c r="H59" s="123"/>
      <c r="I59" s="123"/>
      <c r="J59" s="123"/>
      <c r="K59" s="123"/>
      <c r="L59" s="123"/>
      <c r="M59" s="123"/>
      <c r="N59" s="123"/>
      <c r="O59" s="123"/>
      <c r="P59" s="123"/>
      <c r="Q59" s="123"/>
      <c r="R59" s="123"/>
      <c r="S59" s="123"/>
      <c r="T59" s="123"/>
      <c r="U59" s="195"/>
      <c r="V59" s="123"/>
      <c r="W59" s="123"/>
      <c r="X59" s="123"/>
      <c r="Y59" s="123"/>
    </row>
    <row r="60">
      <c r="A60" s="195"/>
      <c r="B60" s="195"/>
      <c r="C60" s="195"/>
      <c r="D60" s="123"/>
      <c r="E60" s="123"/>
      <c r="F60" s="123"/>
      <c r="G60" s="123"/>
      <c r="H60" s="123"/>
      <c r="I60" s="123"/>
      <c r="J60" s="123"/>
      <c r="K60" s="123"/>
      <c r="L60" s="123"/>
      <c r="M60" s="123"/>
      <c r="N60" s="123"/>
      <c r="O60" s="123"/>
      <c r="P60" s="123"/>
      <c r="Q60" s="123"/>
      <c r="R60" s="123"/>
      <c r="S60" s="123"/>
      <c r="T60" s="123"/>
      <c r="U60" s="195"/>
      <c r="V60" s="123"/>
      <c r="W60" s="123"/>
      <c r="X60" s="123"/>
      <c r="Y60" s="123"/>
    </row>
    <row r="61">
      <c r="A61" s="195"/>
      <c r="B61" s="195"/>
      <c r="C61" s="195"/>
      <c r="D61" s="123"/>
      <c r="E61" s="123"/>
      <c r="F61" s="123"/>
      <c r="G61" s="123"/>
      <c r="H61" s="123"/>
      <c r="I61" s="123"/>
      <c r="J61" s="123"/>
      <c r="K61" s="123"/>
      <c r="L61" s="123"/>
      <c r="M61" s="123"/>
      <c r="N61" s="123"/>
      <c r="O61" s="123"/>
      <c r="P61" s="123"/>
      <c r="Q61" s="123"/>
      <c r="R61" s="123"/>
      <c r="S61" s="123"/>
      <c r="T61" s="123"/>
      <c r="U61" s="195"/>
      <c r="V61" s="123"/>
      <c r="W61" s="123"/>
      <c r="X61" s="123"/>
      <c r="Y61" s="123"/>
    </row>
    <row r="62">
      <c r="A62" s="195"/>
      <c r="B62" s="195"/>
      <c r="C62" s="195"/>
      <c r="D62" s="123"/>
      <c r="E62" s="123"/>
      <c r="F62" s="123"/>
      <c r="G62" s="123"/>
      <c r="H62" s="123"/>
      <c r="I62" s="123"/>
      <c r="J62" s="123"/>
      <c r="K62" s="123"/>
      <c r="L62" s="123"/>
      <c r="M62" s="123"/>
      <c r="N62" s="123"/>
      <c r="O62" s="123"/>
      <c r="P62" s="123"/>
      <c r="Q62" s="123"/>
      <c r="R62" s="123"/>
      <c r="S62" s="123"/>
      <c r="T62" s="123"/>
      <c r="U62" s="195"/>
      <c r="V62" s="123"/>
      <c r="W62" s="123"/>
      <c r="X62" s="123"/>
      <c r="Y62" s="123"/>
    </row>
    <row r="63">
      <c r="A63" s="195"/>
      <c r="B63" s="195"/>
      <c r="C63" s="195"/>
      <c r="D63" s="123"/>
      <c r="E63" s="123"/>
      <c r="F63" s="123"/>
      <c r="G63" s="123"/>
      <c r="H63" s="123"/>
      <c r="I63" s="123"/>
      <c r="J63" s="123"/>
      <c r="K63" s="123"/>
      <c r="L63" s="123"/>
      <c r="M63" s="123"/>
      <c r="N63" s="123"/>
      <c r="O63" s="123"/>
      <c r="P63" s="123"/>
      <c r="Q63" s="123"/>
      <c r="R63" s="123"/>
      <c r="S63" s="123"/>
      <c r="T63" s="123"/>
      <c r="U63" s="195"/>
      <c r="V63" s="123"/>
      <c r="W63" s="123"/>
      <c r="X63" s="123"/>
      <c r="Y63" s="123"/>
    </row>
    <row r="64">
      <c r="A64" s="195"/>
      <c r="B64" s="195"/>
      <c r="C64" s="195"/>
      <c r="D64" s="123"/>
      <c r="E64" s="123"/>
      <c r="F64" s="123"/>
      <c r="G64" s="123"/>
      <c r="H64" s="123"/>
      <c r="I64" s="123"/>
      <c r="J64" s="123"/>
      <c r="K64" s="123"/>
      <c r="L64" s="123"/>
      <c r="M64" s="123"/>
      <c r="N64" s="123"/>
      <c r="O64" s="123"/>
      <c r="P64" s="123"/>
      <c r="Q64" s="123"/>
      <c r="R64" s="123"/>
      <c r="S64" s="123"/>
      <c r="T64" s="123"/>
      <c r="U64" s="195"/>
      <c r="V64" s="123"/>
      <c r="W64" s="123"/>
      <c r="X64" s="123"/>
      <c r="Y64" s="123"/>
    </row>
    <row r="65">
      <c r="A65" s="195"/>
      <c r="B65" s="195"/>
      <c r="C65" s="195"/>
      <c r="D65" s="123"/>
      <c r="E65" s="123"/>
      <c r="F65" s="123"/>
      <c r="G65" s="123"/>
      <c r="H65" s="123"/>
      <c r="I65" s="123"/>
      <c r="J65" s="123"/>
      <c r="K65" s="123"/>
      <c r="L65" s="123"/>
      <c r="M65" s="123"/>
      <c r="N65" s="123"/>
      <c r="O65" s="123"/>
      <c r="P65" s="123"/>
      <c r="Q65" s="123"/>
      <c r="R65" s="123"/>
      <c r="S65" s="123"/>
      <c r="T65" s="123"/>
      <c r="U65" s="195"/>
      <c r="V65" s="123"/>
      <c r="W65" s="123"/>
      <c r="X65" s="123"/>
      <c r="Y65" s="123"/>
    </row>
    <row r="66">
      <c r="A66" s="195"/>
      <c r="B66" s="195"/>
      <c r="C66" s="195"/>
      <c r="D66" s="123"/>
      <c r="E66" s="123"/>
      <c r="F66" s="123"/>
      <c r="G66" s="123"/>
      <c r="H66" s="123"/>
      <c r="I66" s="123"/>
      <c r="J66" s="123"/>
      <c r="K66" s="123"/>
      <c r="L66" s="123"/>
      <c r="M66" s="123"/>
      <c r="N66" s="123"/>
      <c r="O66" s="123"/>
      <c r="P66" s="123"/>
      <c r="Q66" s="123"/>
      <c r="R66" s="123"/>
      <c r="S66" s="123"/>
      <c r="T66" s="123"/>
      <c r="U66" s="195"/>
      <c r="V66" s="123"/>
      <c r="W66" s="123"/>
      <c r="X66" s="123"/>
      <c r="Y66" s="123"/>
    </row>
    <row r="67">
      <c r="A67" s="195"/>
      <c r="B67" s="195"/>
      <c r="C67" s="195"/>
      <c r="D67" s="123"/>
      <c r="E67" s="123"/>
      <c r="F67" s="123"/>
      <c r="G67" s="123"/>
      <c r="H67" s="123"/>
      <c r="I67" s="123"/>
      <c r="J67" s="123"/>
      <c r="K67" s="123"/>
      <c r="L67" s="123"/>
      <c r="M67" s="123"/>
      <c r="N67" s="123"/>
      <c r="O67" s="123"/>
      <c r="P67" s="123"/>
      <c r="Q67" s="123"/>
      <c r="R67" s="123"/>
      <c r="S67" s="123"/>
      <c r="T67" s="123"/>
      <c r="U67" s="195"/>
      <c r="V67" s="123"/>
      <c r="W67" s="123"/>
      <c r="X67" s="123"/>
      <c r="Y67" s="123"/>
    </row>
    <row r="68">
      <c r="A68" s="195"/>
      <c r="B68" s="195"/>
      <c r="C68" s="195"/>
      <c r="D68" s="123"/>
      <c r="E68" s="123"/>
      <c r="F68" s="123"/>
      <c r="G68" s="123"/>
      <c r="H68" s="123"/>
      <c r="I68" s="123"/>
      <c r="J68" s="123"/>
      <c r="K68" s="123"/>
      <c r="L68" s="123"/>
      <c r="M68" s="123"/>
      <c r="N68" s="123"/>
      <c r="O68" s="123"/>
      <c r="P68" s="123"/>
      <c r="Q68" s="123"/>
      <c r="R68" s="123"/>
      <c r="S68" s="123"/>
      <c r="T68" s="123"/>
      <c r="U68" s="195"/>
      <c r="V68" s="123"/>
      <c r="W68" s="123"/>
      <c r="X68" s="123"/>
      <c r="Y68" s="123"/>
    </row>
    <row r="69">
      <c r="A69" s="195"/>
      <c r="B69" s="195"/>
      <c r="C69" s="195"/>
      <c r="D69" s="123"/>
      <c r="E69" s="123"/>
      <c r="F69" s="123"/>
      <c r="G69" s="123"/>
      <c r="H69" s="123"/>
      <c r="I69" s="123"/>
      <c r="J69" s="123"/>
      <c r="K69" s="123"/>
      <c r="L69" s="123"/>
      <c r="M69" s="123"/>
      <c r="N69" s="123"/>
      <c r="O69" s="123"/>
      <c r="P69" s="123"/>
      <c r="Q69" s="123"/>
      <c r="R69" s="123"/>
      <c r="S69" s="123"/>
      <c r="T69" s="123"/>
      <c r="U69" s="195"/>
      <c r="V69" s="123"/>
      <c r="W69" s="123"/>
      <c r="X69" s="123"/>
      <c r="Y69" s="123"/>
    </row>
    <row r="70">
      <c r="A70" s="195"/>
      <c r="B70" s="195"/>
      <c r="C70" s="195"/>
      <c r="D70" s="123"/>
      <c r="E70" s="123"/>
      <c r="F70" s="123"/>
      <c r="G70" s="123"/>
      <c r="H70" s="123"/>
      <c r="I70" s="123"/>
      <c r="J70" s="123"/>
      <c r="K70" s="123"/>
      <c r="L70" s="123"/>
      <c r="M70" s="123"/>
      <c r="N70" s="123"/>
      <c r="O70" s="123"/>
      <c r="P70" s="123"/>
      <c r="Q70" s="123"/>
      <c r="R70" s="123"/>
      <c r="S70" s="123"/>
      <c r="T70" s="123"/>
      <c r="U70" s="195"/>
      <c r="V70" s="123"/>
      <c r="W70" s="123"/>
      <c r="X70" s="123"/>
      <c r="Y70" s="123"/>
    </row>
    <row r="71">
      <c r="A71" s="195"/>
      <c r="B71" s="195"/>
      <c r="C71" s="195"/>
      <c r="D71" s="123"/>
      <c r="E71" s="123"/>
      <c r="F71" s="123"/>
      <c r="G71" s="123"/>
      <c r="H71" s="123"/>
      <c r="I71" s="123"/>
      <c r="J71" s="123"/>
      <c r="K71" s="123"/>
      <c r="L71" s="123"/>
      <c r="M71" s="123"/>
      <c r="N71" s="123"/>
      <c r="O71" s="123"/>
      <c r="P71" s="123"/>
      <c r="Q71" s="123"/>
      <c r="R71" s="123"/>
      <c r="S71" s="123"/>
      <c r="T71" s="123"/>
      <c r="U71" s="195"/>
      <c r="V71" s="123"/>
      <c r="W71" s="123"/>
      <c r="X71" s="123"/>
      <c r="Y71" s="123"/>
    </row>
    <row r="72">
      <c r="A72" s="195"/>
      <c r="B72" s="195"/>
      <c r="C72" s="195"/>
      <c r="D72" s="123"/>
      <c r="E72" s="123"/>
      <c r="F72" s="123"/>
      <c r="G72" s="123"/>
      <c r="H72" s="123"/>
      <c r="I72" s="123"/>
      <c r="J72" s="123"/>
      <c r="K72" s="123"/>
      <c r="L72" s="123"/>
      <c r="M72" s="123"/>
      <c r="N72" s="123"/>
      <c r="O72" s="123"/>
      <c r="P72" s="123"/>
      <c r="Q72" s="123"/>
      <c r="R72" s="123"/>
      <c r="S72" s="123"/>
      <c r="T72" s="123"/>
      <c r="U72" s="195"/>
      <c r="V72" s="123"/>
      <c r="W72" s="123"/>
      <c r="X72" s="123"/>
      <c r="Y72" s="123"/>
    </row>
    <row r="73">
      <c r="A73" s="195"/>
      <c r="B73" s="195"/>
      <c r="C73" s="195"/>
      <c r="D73" s="123"/>
      <c r="E73" s="123"/>
      <c r="F73" s="123"/>
      <c r="G73" s="123"/>
      <c r="H73" s="123"/>
      <c r="I73" s="123"/>
      <c r="J73" s="123"/>
      <c r="K73" s="123"/>
      <c r="L73" s="123"/>
      <c r="M73" s="123"/>
      <c r="N73" s="123"/>
      <c r="O73" s="123"/>
      <c r="P73" s="123"/>
      <c r="Q73" s="123"/>
      <c r="R73" s="123"/>
      <c r="S73" s="123"/>
      <c r="T73" s="123"/>
      <c r="U73" s="195"/>
      <c r="V73" s="123"/>
      <c r="W73" s="123"/>
      <c r="X73" s="123"/>
      <c r="Y73" s="123"/>
    </row>
    <row r="74">
      <c r="A74" s="195"/>
      <c r="B74" s="195"/>
      <c r="C74" s="195"/>
      <c r="D74" s="123"/>
      <c r="E74" s="123"/>
      <c r="F74" s="123"/>
      <c r="G74" s="123"/>
      <c r="H74" s="123"/>
      <c r="I74" s="123"/>
      <c r="J74" s="123"/>
      <c r="K74" s="123"/>
      <c r="L74" s="123"/>
      <c r="M74" s="123"/>
      <c r="N74" s="123"/>
      <c r="O74" s="123"/>
      <c r="P74" s="123"/>
      <c r="Q74" s="123"/>
      <c r="R74" s="123"/>
      <c r="S74" s="123"/>
      <c r="T74" s="123"/>
      <c r="U74" s="195"/>
      <c r="V74" s="123"/>
      <c r="W74" s="123"/>
      <c r="X74" s="123"/>
      <c r="Y74" s="123"/>
    </row>
    <row r="75">
      <c r="A75" s="195"/>
      <c r="B75" s="195"/>
      <c r="C75" s="195"/>
      <c r="D75" s="123"/>
      <c r="E75" s="123"/>
      <c r="F75" s="123"/>
      <c r="G75" s="123"/>
      <c r="H75" s="123"/>
      <c r="I75" s="123"/>
      <c r="J75" s="123"/>
      <c r="K75" s="123"/>
      <c r="L75" s="123"/>
      <c r="M75" s="123"/>
      <c r="N75" s="123"/>
      <c r="O75" s="123"/>
      <c r="P75" s="123"/>
      <c r="Q75" s="123"/>
      <c r="R75" s="123"/>
      <c r="S75" s="123"/>
      <c r="T75" s="123"/>
      <c r="U75" s="195"/>
      <c r="V75" s="123"/>
      <c r="W75" s="123"/>
      <c r="X75" s="123"/>
      <c r="Y75" s="123"/>
    </row>
    <row r="76">
      <c r="A76" s="195"/>
      <c r="B76" s="195"/>
      <c r="C76" s="195"/>
      <c r="D76" s="123"/>
      <c r="E76" s="123"/>
      <c r="F76" s="123"/>
      <c r="G76" s="123"/>
      <c r="H76" s="123"/>
      <c r="I76" s="123"/>
      <c r="J76" s="123"/>
      <c r="K76" s="123"/>
      <c r="L76" s="123"/>
      <c r="M76" s="123"/>
      <c r="N76" s="123"/>
      <c r="O76" s="123"/>
      <c r="P76" s="123"/>
      <c r="Q76" s="123"/>
      <c r="R76" s="123"/>
      <c r="S76" s="123"/>
      <c r="T76" s="123"/>
      <c r="U76" s="195"/>
      <c r="V76" s="123"/>
      <c r="W76" s="123"/>
      <c r="X76" s="123"/>
      <c r="Y76" s="123"/>
    </row>
    <row r="77">
      <c r="A77" s="195"/>
      <c r="B77" s="195"/>
      <c r="C77" s="195"/>
      <c r="D77" s="123"/>
      <c r="E77" s="123"/>
      <c r="F77" s="123"/>
      <c r="G77" s="123"/>
      <c r="H77" s="123"/>
      <c r="I77" s="123"/>
      <c r="J77" s="123"/>
      <c r="K77" s="123"/>
      <c r="L77" s="123"/>
      <c r="M77" s="123"/>
      <c r="N77" s="123"/>
      <c r="O77" s="123"/>
      <c r="P77" s="123"/>
      <c r="Q77" s="123"/>
      <c r="R77" s="123"/>
      <c r="S77" s="123"/>
      <c r="T77" s="123"/>
      <c r="U77" s="195"/>
      <c r="V77" s="123"/>
      <c r="W77" s="123"/>
      <c r="X77" s="123"/>
      <c r="Y77" s="123"/>
    </row>
    <row r="78">
      <c r="A78" s="195"/>
      <c r="B78" s="195"/>
      <c r="C78" s="195"/>
      <c r="D78" s="123"/>
      <c r="E78" s="123"/>
      <c r="F78" s="123"/>
      <c r="G78" s="123"/>
      <c r="H78" s="123"/>
      <c r="I78" s="123"/>
      <c r="J78" s="123"/>
      <c r="K78" s="123"/>
      <c r="L78" s="123"/>
      <c r="M78" s="123"/>
      <c r="N78" s="123"/>
      <c r="O78" s="123"/>
      <c r="P78" s="123"/>
      <c r="Q78" s="123"/>
      <c r="R78" s="123"/>
      <c r="S78" s="123"/>
      <c r="T78" s="123"/>
      <c r="U78" s="195"/>
      <c r="V78" s="123"/>
      <c r="W78" s="123"/>
      <c r="X78" s="123"/>
      <c r="Y78" s="123"/>
    </row>
    <row r="79">
      <c r="A79" s="195"/>
      <c r="B79" s="195"/>
      <c r="C79" s="195"/>
      <c r="D79" s="123"/>
      <c r="E79" s="123"/>
      <c r="F79" s="123"/>
      <c r="G79" s="123"/>
      <c r="H79" s="123"/>
      <c r="I79" s="123"/>
      <c r="J79" s="123"/>
      <c r="K79" s="123"/>
      <c r="L79" s="123"/>
      <c r="M79" s="123"/>
      <c r="N79" s="123"/>
      <c r="O79" s="123"/>
      <c r="P79" s="123"/>
      <c r="Q79" s="123"/>
      <c r="R79" s="123"/>
      <c r="S79" s="123"/>
      <c r="T79" s="123"/>
      <c r="U79" s="195"/>
      <c r="V79" s="123"/>
      <c r="W79" s="123"/>
      <c r="X79" s="123"/>
      <c r="Y79" s="123"/>
    </row>
    <row r="80">
      <c r="A80" s="195"/>
      <c r="B80" s="195"/>
      <c r="C80" s="195"/>
      <c r="D80" s="123"/>
      <c r="E80" s="123"/>
      <c r="F80" s="123"/>
      <c r="G80" s="123"/>
      <c r="H80" s="123"/>
      <c r="I80" s="123"/>
      <c r="J80" s="123"/>
      <c r="K80" s="123"/>
      <c r="L80" s="123"/>
      <c r="M80" s="123"/>
      <c r="N80" s="123"/>
      <c r="O80" s="123"/>
      <c r="P80" s="123"/>
      <c r="Q80" s="123"/>
      <c r="R80" s="123"/>
      <c r="S80" s="123"/>
      <c r="T80" s="123"/>
      <c r="U80" s="195"/>
      <c r="V80" s="123"/>
      <c r="W80" s="123"/>
      <c r="X80" s="123"/>
      <c r="Y80" s="123"/>
    </row>
    <row r="81">
      <c r="A81" s="195"/>
      <c r="B81" s="195"/>
      <c r="C81" s="195"/>
      <c r="D81" s="123"/>
      <c r="E81" s="123"/>
      <c r="F81" s="123"/>
      <c r="G81" s="123"/>
      <c r="H81" s="123"/>
      <c r="I81" s="123"/>
      <c r="J81" s="123"/>
      <c r="K81" s="123"/>
      <c r="L81" s="123"/>
      <c r="M81" s="123"/>
      <c r="N81" s="123"/>
      <c r="O81" s="123"/>
      <c r="P81" s="123"/>
      <c r="Q81" s="123"/>
      <c r="R81" s="123"/>
      <c r="S81" s="123"/>
      <c r="T81" s="123"/>
      <c r="U81" s="195"/>
      <c r="V81" s="123"/>
      <c r="W81" s="123"/>
      <c r="X81" s="123"/>
      <c r="Y81" s="123"/>
    </row>
    <row r="82">
      <c r="A82" s="195"/>
      <c r="B82" s="195"/>
      <c r="C82" s="195"/>
      <c r="D82" s="123"/>
      <c r="E82" s="123"/>
      <c r="F82" s="123"/>
      <c r="G82" s="123"/>
      <c r="H82" s="123"/>
      <c r="I82" s="123"/>
      <c r="J82" s="123"/>
      <c r="K82" s="123"/>
      <c r="L82" s="123"/>
      <c r="M82" s="123"/>
      <c r="N82" s="123"/>
      <c r="O82" s="123"/>
      <c r="P82" s="123"/>
      <c r="Q82" s="123"/>
      <c r="R82" s="123"/>
      <c r="S82" s="123"/>
      <c r="T82" s="123"/>
      <c r="U82" s="195"/>
      <c r="V82" s="123"/>
      <c r="W82" s="123"/>
      <c r="X82" s="123"/>
      <c r="Y82" s="123"/>
    </row>
    <row r="83">
      <c r="A83" s="195"/>
      <c r="B83" s="195"/>
      <c r="C83" s="195"/>
      <c r="D83" s="123"/>
      <c r="E83" s="123"/>
      <c r="F83" s="123"/>
      <c r="G83" s="123"/>
      <c r="H83" s="123"/>
      <c r="I83" s="123"/>
      <c r="J83" s="123"/>
      <c r="K83" s="123"/>
      <c r="L83" s="123"/>
      <c r="M83" s="123"/>
      <c r="N83" s="123"/>
      <c r="O83" s="123"/>
      <c r="P83" s="123"/>
      <c r="Q83" s="123"/>
      <c r="R83" s="123"/>
      <c r="S83" s="123"/>
      <c r="T83" s="123"/>
      <c r="U83" s="195"/>
      <c r="V83" s="123"/>
      <c r="W83" s="123"/>
      <c r="X83" s="123"/>
      <c r="Y83" s="123"/>
    </row>
    <row r="84">
      <c r="A84" s="195"/>
      <c r="B84" s="195"/>
      <c r="C84" s="195"/>
      <c r="D84" s="123"/>
      <c r="E84" s="123"/>
      <c r="F84" s="123"/>
      <c r="G84" s="123"/>
      <c r="H84" s="123"/>
      <c r="I84" s="123"/>
      <c r="J84" s="123"/>
      <c r="K84" s="123"/>
      <c r="L84" s="123"/>
      <c r="M84" s="123"/>
      <c r="N84" s="123"/>
      <c r="O84" s="123"/>
      <c r="P84" s="123"/>
      <c r="Q84" s="123"/>
      <c r="R84" s="123"/>
      <c r="S84" s="123"/>
      <c r="T84" s="123"/>
      <c r="U84" s="195"/>
      <c r="V84" s="123"/>
      <c r="W84" s="123"/>
      <c r="X84" s="123"/>
      <c r="Y84" s="123"/>
    </row>
    <row r="85">
      <c r="A85" s="195"/>
      <c r="B85" s="195"/>
      <c r="C85" s="195"/>
      <c r="D85" s="123"/>
      <c r="E85" s="123"/>
      <c r="F85" s="123"/>
      <c r="G85" s="123"/>
      <c r="H85" s="123"/>
      <c r="I85" s="123"/>
      <c r="J85" s="123"/>
      <c r="K85" s="123"/>
      <c r="L85" s="123"/>
      <c r="M85" s="123"/>
      <c r="N85" s="123"/>
      <c r="O85" s="123"/>
      <c r="P85" s="123"/>
      <c r="Q85" s="123"/>
      <c r="R85" s="123"/>
      <c r="S85" s="123"/>
      <c r="T85" s="123"/>
      <c r="U85" s="195"/>
      <c r="V85" s="123"/>
      <c r="W85" s="123"/>
      <c r="X85" s="123"/>
      <c r="Y85" s="123"/>
    </row>
    <row r="86">
      <c r="A86" s="195"/>
      <c r="B86" s="195"/>
      <c r="C86" s="195"/>
      <c r="D86" s="123"/>
      <c r="E86" s="123"/>
      <c r="F86" s="123"/>
      <c r="G86" s="123"/>
      <c r="H86" s="123"/>
      <c r="I86" s="123"/>
      <c r="J86" s="123"/>
      <c r="K86" s="123"/>
      <c r="L86" s="123"/>
      <c r="M86" s="123"/>
      <c r="N86" s="123"/>
      <c r="O86" s="123"/>
      <c r="P86" s="123"/>
      <c r="Q86" s="123"/>
      <c r="R86" s="123"/>
      <c r="S86" s="123"/>
      <c r="T86" s="123"/>
      <c r="U86" s="195"/>
      <c r="V86" s="123"/>
      <c r="W86" s="123"/>
      <c r="X86" s="123"/>
      <c r="Y86" s="123"/>
    </row>
    <row r="87">
      <c r="A87" s="195"/>
      <c r="B87" s="195"/>
      <c r="C87" s="195"/>
      <c r="D87" s="123"/>
      <c r="E87" s="123"/>
      <c r="F87" s="123"/>
      <c r="G87" s="123"/>
      <c r="H87" s="123"/>
      <c r="I87" s="123"/>
      <c r="J87" s="123"/>
      <c r="K87" s="123"/>
      <c r="L87" s="123"/>
      <c r="M87" s="123"/>
      <c r="N87" s="123"/>
      <c r="O87" s="123"/>
      <c r="P87" s="123"/>
      <c r="Q87" s="123"/>
      <c r="R87" s="123"/>
      <c r="S87" s="123"/>
      <c r="T87" s="123"/>
      <c r="U87" s="195"/>
      <c r="V87" s="123"/>
      <c r="W87" s="123"/>
      <c r="X87" s="123"/>
      <c r="Y87" s="123"/>
    </row>
    <row r="88">
      <c r="A88" s="195"/>
      <c r="B88" s="195"/>
      <c r="C88" s="195"/>
      <c r="D88" s="123"/>
      <c r="E88" s="123"/>
      <c r="F88" s="123"/>
      <c r="G88" s="123"/>
      <c r="H88" s="123"/>
      <c r="I88" s="123"/>
      <c r="J88" s="123"/>
      <c r="K88" s="123"/>
      <c r="L88" s="123"/>
      <c r="M88" s="123"/>
      <c r="N88" s="123"/>
      <c r="O88" s="123"/>
      <c r="P88" s="123"/>
      <c r="Q88" s="123"/>
      <c r="R88" s="123"/>
      <c r="S88" s="123"/>
      <c r="T88" s="123"/>
      <c r="U88" s="195"/>
      <c r="V88" s="123"/>
      <c r="W88" s="123"/>
      <c r="X88" s="123"/>
      <c r="Y88" s="123"/>
    </row>
    <row r="89">
      <c r="A89" s="195"/>
      <c r="B89" s="195"/>
      <c r="C89" s="195"/>
      <c r="D89" s="123"/>
      <c r="E89" s="123"/>
      <c r="F89" s="123"/>
      <c r="G89" s="123"/>
      <c r="H89" s="123"/>
      <c r="I89" s="123"/>
      <c r="J89" s="123"/>
      <c r="K89" s="123"/>
      <c r="L89" s="123"/>
      <c r="M89" s="123"/>
      <c r="N89" s="123"/>
      <c r="O89" s="123"/>
      <c r="P89" s="123"/>
      <c r="Q89" s="123"/>
      <c r="R89" s="123"/>
      <c r="S89" s="123"/>
      <c r="T89" s="123"/>
      <c r="U89" s="195"/>
      <c r="V89" s="123"/>
      <c r="W89" s="123"/>
      <c r="X89" s="123"/>
      <c r="Y89" s="123"/>
    </row>
    <row r="90">
      <c r="A90" s="195"/>
      <c r="B90" s="195"/>
      <c r="C90" s="195"/>
      <c r="D90" s="123"/>
      <c r="E90" s="123"/>
      <c r="F90" s="123"/>
      <c r="G90" s="123"/>
      <c r="H90" s="123"/>
      <c r="I90" s="123"/>
      <c r="J90" s="123"/>
      <c r="K90" s="123"/>
      <c r="L90" s="123"/>
      <c r="M90" s="123"/>
      <c r="N90" s="123"/>
      <c r="O90" s="123"/>
      <c r="P90" s="123"/>
      <c r="Q90" s="123"/>
      <c r="R90" s="123"/>
      <c r="S90" s="123"/>
      <c r="T90" s="123"/>
      <c r="U90" s="195"/>
      <c r="V90" s="123"/>
      <c r="W90" s="123"/>
      <c r="X90" s="123"/>
      <c r="Y90" s="123"/>
    </row>
    <row r="91">
      <c r="A91" s="195"/>
      <c r="B91" s="195"/>
      <c r="C91" s="195"/>
      <c r="D91" s="123"/>
      <c r="E91" s="123"/>
      <c r="F91" s="123"/>
      <c r="G91" s="123"/>
      <c r="H91" s="123"/>
      <c r="I91" s="123"/>
      <c r="J91" s="123"/>
      <c r="K91" s="123"/>
      <c r="L91" s="123"/>
      <c r="M91" s="123"/>
      <c r="N91" s="123"/>
      <c r="O91" s="123"/>
      <c r="P91" s="123"/>
      <c r="Q91" s="123"/>
      <c r="R91" s="123"/>
      <c r="S91" s="123"/>
      <c r="T91" s="123"/>
      <c r="U91" s="195"/>
      <c r="V91" s="123"/>
      <c r="W91" s="123"/>
      <c r="X91" s="123"/>
      <c r="Y91" s="123"/>
    </row>
    <row r="92">
      <c r="A92" s="195"/>
      <c r="B92" s="195"/>
      <c r="C92" s="195"/>
      <c r="D92" s="123"/>
      <c r="E92" s="123"/>
      <c r="F92" s="123"/>
      <c r="G92" s="123"/>
      <c r="H92" s="123"/>
      <c r="I92" s="123"/>
      <c r="J92" s="123"/>
      <c r="K92" s="123"/>
      <c r="L92" s="123"/>
      <c r="M92" s="123"/>
      <c r="N92" s="123"/>
      <c r="O92" s="123"/>
      <c r="P92" s="123"/>
      <c r="Q92" s="123"/>
      <c r="R92" s="123"/>
      <c r="S92" s="123"/>
      <c r="T92" s="123"/>
      <c r="U92" s="195"/>
      <c r="V92" s="123"/>
      <c r="W92" s="123"/>
      <c r="X92" s="123"/>
      <c r="Y92" s="123"/>
    </row>
    <row r="93">
      <c r="A93" s="195"/>
      <c r="B93" s="195"/>
      <c r="C93" s="195"/>
      <c r="D93" s="123"/>
      <c r="E93" s="123"/>
      <c r="F93" s="123"/>
      <c r="G93" s="123"/>
      <c r="H93" s="123"/>
      <c r="I93" s="123"/>
      <c r="J93" s="123"/>
      <c r="K93" s="123"/>
      <c r="L93" s="123"/>
      <c r="M93" s="123"/>
      <c r="N93" s="123"/>
      <c r="O93" s="123"/>
      <c r="P93" s="123"/>
      <c r="Q93" s="123"/>
      <c r="R93" s="123"/>
      <c r="S93" s="123"/>
      <c r="T93" s="123"/>
      <c r="U93" s="195"/>
      <c r="V93" s="123"/>
      <c r="W93" s="123"/>
      <c r="X93" s="123"/>
      <c r="Y93" s="123"/>
    </row>
    <row r="94">
      <c r="A94" s="195"/>
      <c r="B94" s="195"/>
      <c r="C94" s="195"/>
      <c r="D94" s="123"/>
      <c r="E94" s="123"/>
      <c r="F94" s="123"/>
      <c r="G94" s="123"/>
      <c r="H94" s="123"/>
      <c r="I94" s="123"/>
      <c r="J94" s="123"/>
      <c r="K94" s="123"/>
      <c r="L94" s="123"/>
      <c r="M94" s="123"/>
      <c r="N94" s="123"/>
      <c r="O94" s="123"/>
      <c r="P94" s="123"/>
      <c r="Q94" s="123"/>
      <c r="R94" s="123"/>
      <c r="S94" s="123"/>
      <c r="T94" s="123"/>
      <c r="U94" s="195"/>
      <c r="V94" s="123"/>
      <c r="W94" s="123"/>
      <c r="X94" s="123"/>
      <c r="Y94" s="123"/>
    </row>
    <row r="95">
      <c r="A95" s="195"/>
      <c r="B95" s="195"/>
      <c r="C95" s="195"/>
      <c r="D95" s="123"/>
      <c r="E95" s="123"/>
      <c r="F95" s="123"/>
      <c r="G95" s="123"/>
      <c r="H95" s="123"/>
      <c r="I95" s="123"/>
      <c r="J95" s="123"/>
      <c r="K95" s="123"/>
      <c r="L95" s="123"/>
      <c r="M95" s="123"/>
      <c r="N95" s="123"/>
      <c r="O95" s="123"/>
      <c r="P95" s="123"/>
      <c r="Q95" s="123"/>
      <c r="R95" s="123"/>
      <c r="S95" s="123"/>
      <c r="T95" s="123"/>
      <c r="U95" s="195"/>
      <c r="V95" s="123"/>
      <c r="W95" s="123"/>
      <c r="X95" s="123"/>
      <c r="Y95" s="123"/>
    </row>
    <row r="96">
      <c r="A96" s="195"/>
      <c r="B96" s="195"/>
      <c r="C96" s="195"/>
      <c r="D96" s="123"/>
      <c r="E96" s="123"/>
      <c r="F96" s="123"/>
      <c r="G96" s="123"/>
      <c r="H96" s="123"/>
      <c r="I96" s="123"/>
      <c r="J96" s="123"/>
      <c r="K96" s="123"/>
      <c r="L96" s="123"/>
      <c r="M96" s="123"/>
      <c r="N96" s="123"/>
      <c r="O96" s="123"/>
      <c r="P96" s="123"/>
      <c r="Q96" s="123"/>
      <c r="R96" s="123"/>
      <c r="S96" s="123"/>
      <c r="T96" s="123"/>
      <c r="U96" s="195"/>
      <c r="V96" s="123"/>
      <c r="W96" s="123"/>
      <c r="X96" s="123"/>
      <c r="Y96" s="123"/>
    </row>
    <row r="97">
      <c r="A97" s="195"/>
      <c r="B97" s="195"/>
      <c r="C97" s="195"/>
      <c r="D97" s="123"/>
      <c r="E97" s="123"/>
      <c r="F97" s="123"/>
      <c r="G97" s="123"/>
      <c r="H97" s="123"/>
      <c r="I97" s="123"/>
      <c r="J97" s="123"/>
      <c r="K97" s="123"/>
      <c r="L97" s="123"/>
      <c r="M97" s="123"/>
      <c r="N97" s="123"/>
      <c r="O97" s="123"/>
      <c r="P97" s="123"/>
      <c r="Q97" s="123"/>
      <c r="R97" s="123"/>
      <c r="S97" s="123"/>
      <c r="T97" s="123"/>
      <c r="U97" s="195"/>
      <c r="V97" s="123"/>
      <c r="W97" s="123"/>
      <c r="X97" s="123"/>
      <c r="Y97" s="123"/>
    </row>
    <row r="98">
      <c r="A98" s="195"/>
      <c r="B98" s="195"/>
      <c r="C98" s="195"/>
      <c r="D98" s="123"/>
      <c r="E98" s="123"/>
      <c r="F98" s="123"/>
      <c r="G98" s="123"/>
      <c r="H98" s="123"/>
      <c r="I98" s="123"/>
      <c r="J98" s="123"/>
      <c r="K98" s="123"/>
      <c r="L98" s="123"/>
      <c r="M98" s="123"/>
      <c r="N98" s="123"/>
      <c r="O98" s="123"/>
      <c r="P98" s="123"/>
      <c r="Q98" s="123"/>
      <c r="R98" s="123"/>
      <c r="S98" s="123"/>
      <c r="T98" s="123"/>
      <c r="U98" s="195"/>
      <c r="V98" s="123"/>
      <c r="W98" s="123"/>
      <c r="X98" s="123"/>
      <c r="Y98" s="123"/>
    </row>
    <row r="99">
      <c r="A99" s="195"/>
      <c r="B99" s="195"/>
      <c r="C99" s="195"/>
      <c r="D99" s="123"/>
      <c r="E99" s="123"/>
      <c r="F99" s="123"/>
      <c r="G99" s="123"/>
      <c r="H99" s="123"/>
      <c r="I99" s="123"/>
      <c r="J99" s="123"/>
      <c r="K99" s="123"/>
      <c r="L99" s="123"/>
      <c r="M99" s="123"/>
      <c r="N99" s="123"/>
      <c r="O99" s="123"/>
      <c r="P99" s="123"/>
      <c r="Q99" s="123"/>
      <c r="R99" s="123"/>
      <c r="S99" s="123"/>
      <c r="T99" s="123"/>
      <c r="U99" s="195"/>
      <c r="V99" s="123"/>
      <c r="W99" s="123"/>
      <c r="X99" s="123"/>
      <c r="Y99" s="123"/>
    </row>
    <row r="100">
      <c r="A100" s="195"/>
      <c r="B100" s="195"/>
      <c r="C100" s="195"/>
      <c r="D100" s="123"/>
      <c r="E100" s="123"/>
      <c r="F100" s="123"/>
      <c r="G100" s="123"/>
      <c r="H100" s="123"/>
      <c r="I100" s="123"/>
      <c r="J100" s="123"/>
      <c r="K100" s="123"/>
      <c r="L100" s="123"/>
      <c r="M100" s="123"/>
      <c r="N100" s="123"/>
      <c r="O100" s="123"/>
      <c r="P100" s="123"/>
      <c r="Q100" s="123"/>
      <c r="R100" s="123"/>
      <c r="S100" s="123"/>
      <c r="T100" s="123"/>
      <c r="U100" s="195"/>
      <c r="V100" s="123"/>
      <c r="W100" s="123"/>
      <c r="X100" s="123"/>
      <c r="Y100" s="123"/>
    </row>
    <row r="101">
      <c r="A101" s="195"/>
      <c r="B101" s="195"/>
      <c r="C101" s="195"/>
      <c r="D101" s="123"/>
      <c r="E101" s="123"/>
      <c r="F101" s="123"/>
      <c r="G101" s="123"/>
      <c r="H101" s="123"/>
      <c r="I101" s="123"/>
      <c r="J101" s="123"/>
      <c r="K101" s="123"/>
      <c r="L101" s="123"/>
      <c r="M101" s="123"/>
      <c r="N101" s="123"/>
      <c r="O101" s="123"/>
      <c r="P101" s="123"/>
      <c r="Q101" s="123"/>
      <c r="R101" s="123"/>
      <c r="S101" s="123"/>
      <c r="T101" s="123"/>
      <c r="U101" s="195"/>
      <c r="V101" s="123"/>
      <c r="W101" s="123"/>
      <c r="X101" s="123"/>
      <c r="Y101" s="123"/>
    </row>
    <row r="102">
      <c r="A102" s="195"/>
      <c r="B102" s="195"/>
      <c r="C102" s="195"/>
      <c r="D102" s="123"/>
      <c r="E102" s="123"/>
      <c r="F102" s="123"/>
      <c r="G102" s="123"/>
      <c r="H102" s="123"/>
      <c r="I102" s="123"/>
      <c r="J102" s="123"/>
      <c r="K102" s="123"/>
      <c r="L102" s="123"/>
      <c r="M102" s="123"/>
      <c r="N102" s="123"/>
      <c r="O102" s="123"/>
      <c r="P102" s="123"/>
      <c r="Q102" s="123"/>
      <c r="R102" s="123"/>
      <c r="S102" s="123"/>
      <c r="T102" s="123"/>
      <c r="U102" s="195"/>
      <c r="V102" s="123"/>
      <c r="W102" s="123"/>
      <c r="X102" s="123"/>
      <c r="Y102" s="123"/>
    </row>
    <row r="103">
      <c r="A103" s="195"/>
      <c r="B103" s="195"/>
      <c r="C103" s="195"/>
      <c r="D103" s="123"/>
      <c r="E103" s="123"/>
      <c r="F103" s="123"/>
      <c r="G103" s="123"/>
      <c r="H103" s="123"/>
      <c r="I103" s="123"/>
      <c r="J103" s="123"/>
      <c r="K103" s="123"/>
      <c r="L103" s="123"/>
      <c r="M103" s="123"/>
      <c r="N103" s="123"/>
      <c r="O103" s="123"/>
      <c r="P103" s="123"/>
      <c r="Q103" s="123"/>
      <c r="R103" s="123"/>
      <c r="S103" s="123"/>
      <c r="T103" s="123"/>
      <c r="U103" s="195"/>
      <c r="V103" s="123"/>
      <c r="W103" s="123"/>
      <c r="X103" s="123"/>
      <c r="Y103" s="123"/>
    </row>
    <row r="104">
      <c r="A104" s="195"/>
      <c r="B104" s="195"/>
      <c r="C104" s="195"/>
      <c r="D104" s="123"/>
      <c r="E104" s="123"/>
      <c r="F104" s="123"/>
      <c r="G104" s="123"/>
      <c r="H104" s="123"/>
      <c r="I104" s="123"/>
      <c r="J104" s="123"/>
      <c r="K104" s="123"/>
      <c r="L104" s="123"/>
      <c r="M104" s="123"/>
      <c r="N104" s="123"/>
      <c r="O104" s="123"/>
      <c r="P104" s="123"/>
      <c r="Q104" s="123"/>
      <c r="R104" s="123"/>
      <c r="S104" s="123"/>
      <c r="T104" s="123"/>
      <c r="U104" s="195"/>
      <c r="V104" s="123"/>
      <c r="W104" s="123"/>
      <c r="X104" s="123"/>
      <c r="Y104" s="123"/>
    </row>
    <row r="105">
      <c r="A105" s="195"/>
      <c r="B105" s="195"/>
      <c r="C105" s="195"/>
      <c r="D105" s="123"/>
      <c r="E105" s="123"/>
      <c r="F105" s="123"/>
      <c r="G105" s="123"/>
      <c r="H105" s="123"/>
      <c r="I105" s="123"/>
      <c r="J105" s="123"/>
      <c r="K105" s="123"/>
      <c r="L105" s="123"/>
      <c r="M105" s="123"/>
      <c r="N105" s="123"/>
      <c r="O105" s="123"/>
      <c r="P105" s="123"/>
      <c r="Q105" s="123"/>
      <c r="R105" s="123"/>
      <c r="S105" s="123"/>
      <c r="T105" s="123"/>
      <c r="U105" s="195"/>
      <c r="V105" s="123"/>
      <c r="W105" s="123"/>
      <c r="X105" s="123"/>
      <c r="Y105" s="123"/>
    </row>
    <row r="106">
      <c r="A106" s="195"/>
      <c r="B106" s="195"/>
      <c r="C106" s="195"/>
      <c r="D106" s="123"/>
      <c r="E106" s="123"/>
      <c r="F106" s="123"/>
      <c r="G106" s="123"/>
      <c r="H106" s="123"/>
      <c r="I106" s="123"/>
      <c r="J106" s="123"/>
      <c r="K106" s="123"/>
      <c r="L106" s="123"/>
      <c r="M106" s="123"/>
      <c r="N106" s="123"/>
      <c r="O106" s="123"/>
      <c r="P106" s="123"/>
      <c r="Q106" s="123"/>
      <c r="R106" s="123"/>
      <c r="S106" s="123"/>
      <c r="T106" s="123"/>
      <c r="U106" s="195"/>
      <c r="V106" s="123"/>
      <c r="W106" s="123"/>
      <c r="X106" s="123"/>
      <c r="Y106" s="123"/>
    </row>
    <row r="107">
      <c r="A107" s="195"/>
      <c r="B107" s="195"/>
      <c r="C107" s="195"/>
      <c r="D107" s="123"/>
      <c r="E107" s="123"/>
      <c r="F107" s="123"/>
      <c r="G107" s="123"/>
      <c r="H107" s="123"/>
      <c r="I107" s="123"/>
      <c r="J107" s="123"/>
      <c r="K107" s="123"/>
      <c r="L107" s="123"/>
      <c r="M107" s="123"/>
      <c r="N107" s="123"/>
      <c r="O107" s="123"/>
      <c r="P107" s="123"/>
      <c r="Q107" s="123"/>
      <c r="R107" s="123"/>
      <c r="S107" s="123"/>
      <c r="T107" s="123"/>
      <c r="U107" s="195"/>
      <c r="V107" s="123"/>
      <c r="W107" s="123"/>
      <c r="X107" s="123"/>
      <c r="Y107" s="123"/>
    </row>
  </sheetData>
  <conditionalFormatting sqref="A2:U999">
    <cfRule type="expression" dxfId="10" priority="1">
      <formula>$Q2="No"</formula>
    </cfRule>
  </conditionalFormatting>
  <dataValidations>
    <dataValidation type="list" allowBlank="1" showErrorMessage="1" sqref="S4:S13 S16:S31">
      <formula1>'Exclussion basis'!$A$2:A999</formula1>
    </dataValidation>
  </dataValidations>
  <hyperlinks>
    <hyperlink r:id="rId1" ref="F2"/>
    <hyperlink r:id="rId2" ref="F3"/>
    <hyperlink r:id="rId3" ref="F4"/>
    <hyperlink r:id="rId4" ref="F5"/>
    <hyperlink r:id="rId5" ref="F6"/>
    <hyperlink r:id="rId6" ref="F7"/>
    <hyperlink r:id="rId7" ref="F8"/>
    <hyperlink r:id="rId8" ref="F10"/>
    <hyperlink r:id="rId9" ref="F11"/>
    <hyperlink r:id="rId10" ref="F12"/>
    <hyperlink r:id="rId11" ref="F13"/>
    <hyperlink r:id="rId12" ref="F14"/>
    <hyperlink r:id="rId13" ref="F15"/>
    <hyperlink r:id="rId14" ref="F16"/>
    <hyperlink r:id="rId15" ref="F17"/>
    <hyperlink r:id="rId16" ref="F18"/>
    <hyperlink r:id="rId17" ref="F19"/>
    <hyperlink r:id="rId18" ref="F20"/>
    <hyperlink r:id="rId19" ref="F21"/>
    <hyperlink r:id="rId20" ref="F22"/>
    <hyperlink r:id="rId21" ref="F23"/>
    <hyperlink r:id="rId22" ref="F24"/>
    <hyperlink r:id="rId23" ref="F25"/>
    <hyperlink r:id="rId24" ref="F26"/>
    <hyperlink r:id="rId25" ref="F27"/>
    <hyperlink r:id="rId26" ref="F28"/>
  </hyperlinks>
  <drawing r:id="rId27"/>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1.22" defaultRowHeight="15.0"/>
  <cols>
    <col customWidth="1" min="3" max="3" width="46.0"/>
    <col customWidth="1" min="23" max="23" width="16.89"/>
    <col customWidth="1" min="24" max="24" width="16.11"/>
    <col customWidth="1" min="25" max="25" width="14.56"/>
  </cols>
  <sheetData>
    <row r="1">
      <c r="A1" s="138" t="s">
        <v>5283</v>
      </c>
      <c r="B1" s="195" t="s">
        <v>57</v>
      </c>
      <c r="C1" s="195" t="s">
        <v>58</v>
      </c>
      <c r="D1" s="195" t="s">
        <v>59</v>
      </c>
      <c r="E1" s="195" t="s">
        <v>60</v>
      </c>
      <c r="F1" s="195" t="s">
        <v>61</v>
      </c>
      <c r="G1" s="195" t="s">
        <v>62</v>
      </c>
      <c r="H1" s="195" t="s">
        <v>3207</v>
      </c>
      <c r="I1" s="195" t="s">
        <v>3208</v>
      </c>
      <c r="J1" s="195" t="s">
        <v>3209</v>
      </c>
      <c r="K1" s="195" t="s">
        <v>3210</v>
      </c>
      <c r="L1" s="195" t="s">
        <v>3649</v>
      </c>
      <c r="M1" s="195" t="s">
        <v>3212</v>
      </c>
      <c r="N1" s="195" t="s">
        <v>3213</v>
      </c>
      <c r="O1" s="195" t="s">
        <v>3214</v>
      </c>
      <c r="P1" s="195" t="s">
        <v>3215</v>
      </c>
      <c r="Q1" s="195" t="s">
        <v>3216</v>
      </c>
      <c r="R1" s="195" t="s">
        <v>944</v>
      </c>
      <c r="S1" s="195" t="s">
        <v>3219</v>
      </c>
      <c r="T1" s="195" t="s">
        <v>950</v>
      </c>
      <c r="U1" s="195" t="s">
        <v>951</v>
      </c>
      <c r="V1" s="195" t="s">
        <v>952</v>
      </c>
      <c r="W1" s="195" t="s">
        <v>3650</v>
      </c>
      <c r="X1" s="195" t="s">
        <v>953</v>
      </c>
      <c r="Y1" s="195" t="s">
        <v>3651</v>
      </c>
    </row>
    <row r="2" ht="13.5" customHeight="1">
      <c r="A2" s="138" t="s">
        <v>261</v>
      </c>
      <c r="B2" s="195" t="s">
        <v>2103</v>
      </c>
      <c r="C2" s="195" t="s">
        <v>2104</v>
      </c>
      <c r="D2" s="72" t="s">
        <v>5284</v>
      </c>
      <c r="E2" s="124" t="s">
        <v>5285</v>
      </c>
      <c r="F2" s="72" t="s">
        <v>5286</v>
      </c>
      <c r="G2" s="124" t="s">
        <v>5287</v>
      </c>
      <c r="H2" s="72" t="s">
        <v>49</v>
      </c>
      <c r="I2" s="124" t="s">
        <v>5288</v>
      </c>
      <c r="J2" s="124" t="s">
        <v>5289</v>
      </c>
      <c r="K2" s="27" t="s">
        <v>5290</v>
      </c>
      <c r="L2" s="27" t="s">
        <v>5291</v>
      </c>
      <c r="M2" s="27" t="s">
        <v>2106</v>
      </c>
      <c r="N2" s="124" t="s">
        <v>5292</v>
      </c>
      <c r="O2" s="72" t="s">
        <v>1210</v>
      </c>
      <c r="P2" s="72" t="s">
        <v>5293</v>
      </c>
      <c r="Q2" s="72" t="s">
        <v>4342</v>
      </c>
      <c r="R2" s="72" t="s">
        <v>1457</v>
      </c>
      <c r="S2" s="27" t="s">
        <v>5294</v>
      </c>
      <c r="T2" s="72" t="s">
        <v>2110</v>
      </c>
      <c r="U2" s="195" t="s">
        <v>2573</v>
      </c>
      <c r="V2" s="72" t="s">
        <v>1003</v>
      </c>
      <c r="W2" s="27" t="s">
        <v>5295</v>
      </c>
      <c r="X2" s="124" t="s">
        <v>5296</v>
      </c>
      <c r="Y2" s="27" t="s">
        <v>5297</v>
      </c>
    </row>
    <row r="3" ht="12.0" customHeight="1">
      <c r="A3" s="138" t="s">
        <v>261</v>
      </c>
      <c r="B3" s="195" t="s">
        <v>2115</v>
      </c>
      <c r="C3" s="195" t="s">
        <v>2116</v>
      </c>
      <c r="D3" s="72" t="s">
        <v>5298</v>
      </c>
      <c r="E3" s="27" t="s">
        <v>5299</v>
      </c>
      <c r="F3" s="124" t="s">
        <v>5300</v>
      </c>
      <c r="G3" s="124" t="s">
        <v>5301</v>
      </c>
      <c r="H3" s="72" t="s">
        <v>49</v>
      </c>
      <c r="I3" s="27" t="s">
        <v>5302</v>
      </c>
      <c r="J3" s="124" t="s">
        <v>5303</v>
      </c>
      <c r="K3" s="27" t="s">
        <v>5304</v>
      </c>
      <c r="L3" s="27" t="s">
        <v>5305</v>
      </c>
      <c r="M3" s="124" t="s">
        <v>2118</v>
      </c>
      <c r="N3" s="124" t="s">
        <v>5306</v>
      </c>
      <c r="O3" s="72" t="s">
        <v>1210</v>
      </c>
      <c r="P3" s="72" t="s">
        <v>5293</v>
      </c>
      <c r="Q3" s="72" t="s">
        <v>4342</v>
      </c>
      <c r="R3" s="72" t="s">
        <v>1457</v>
      </c>
      <c r="S3" s="27" t="s">
        <v>5307</v>
      </c>
      <c r="T3" s="72" t="s">
        <v>1002</v>
      </c>
      <c r="U3" s="489">
        <v>2025.0</v>
      </c>
      <c r="V3" s="124" t="s">
        <v>5308</v>
      </c>
      <c r="W3" s="124" t="s">
        <v>5309</v>
      </c>
      <c r="X3" s="27" t="s">
        <v>5310</v>
      </c>
      <c r="Y3" s="27" t="s">
        <v>5311</v>
      </c>
    </row>
    <row r="4">
      <c r="A4" s="138" t="s">
        <v>261</v>
      </c>
      <c r="B4" s="195" t="s">
        <v>5312</v>
      </c>
      <c r="C4" s="490" t="s">
        <v>2994</v>
      </c>
      <c r="D4" s="123"/>
      <c r="E4" s="123"/>
      <c r="F4" s="123"/>
      <c r="G4" s="123"/>
      <c r="H4" s="123"/>
      <c r="I4" s="123"/>
      <c r="J4" s="123"/>
      <c r="K4" s="123"/>
      <c r="L4" s="123"/>
      <c r="M4" s="123"/>
      <c r="N4" s="123"/>
      <c r="O4" s="72" t="s">
        <v>5114</v>
      </c>
      <c r="P4" s="123"/>
      <c r="Q4" s="123"/>
      <c r="R4" s="123"/>
      <c r="S4" s="123"/>
      <c r="T4" s="123"/>
      <c r="U4" s="195" t="s">
        <v>2573</v>
      </c>
      <c r="V4" s="123"/>
      <c r="W4" s="123"/>
      <c r="X4" s="123"/>
      <c r="Y4" s="123"/>
    </row>
    <row r="5" ht="12.75" customHeight="1">
      <c r="A5" s="138" t="s">
        <v>261</v>
      </c>
      <c r="B5" s="195" t="s">
        <v>2123</v>
      </c>
      <c r="C5" s="195" t="s">
        <v>2124</v>
      </c>
      <c r="D5" s="72" t="s">
        <v>5284</v>
      </c>
      <c r="E5" s="27" t="s">
        <v>5313</v>
      </c>
      <c r="F5" s="27" t="s">
        <v>5314</v>
      </c>
      <c r="G5" s="124" t="s">
        <v>5315</v>
      </c>
      <c r="H5" s="72" t="s">
        <v>49</v>
      </c>
      <c r="I5" s="27" t="s">
        <v>5316</v>
      </c>
      <c r="J5" s="27" t="s">
        <v>5317</v>
      </c>
      <c r="K5" s="27" t="s">
        <v>5318</v>
      </c>
      <c r="L5" s="124" t="s">
        <v>5319</v>
      </c>
      <c r="M5" s="27" t="s">
        <v>2126</v>
      </c>
      <c r="N5" s="27" t="s">
        <v>5320</v>
      </c>
      <c r="O5" s="72" t="s">
        <v>1210</v>
      </c>
      <c r="P5" s="72" t="s">
        <v>2129</v>
      </c>
      <c r="Q5" s="72" t="s">
        <v>2129</v>
      </c>
      <c r="R5" s="72" t="s">
        <v>1457</v>
      </c>
      <c r="S5" s="27" t="s">
        <v>5321</v>
      </c>
      <c r="T5" s="72" t="s">
        <v>1027</v>
      </c>
      <c r="U5" s="195" t="s">
        <v>2573</v>
      </c>
      <c r="V5" s="124" t="s">
        <v>5322</v>
      </c>
      <c r="W5" s="27" t="s">
        <v>5323</v>
      </c>
      <c r="X5" s="27" t="s">
        <v>5324</v>
      </c>
      <c r="Y5" s="27" t="s">
        <v>5325</v>
      </c>
    </row>
    <row r="6" ht="15.75" customHeight="1">
      <c r="A6" s="138" t="s">
        <v>261</v>
      </c>
      <c r="B6" s="195" t="s">
        <v>2131</v>
      </c>
      <c r="C6" s="195" t="s">
        <v>2132</v>
      </c>
      <c r="D6" s="72" t="s">
        <v>5298</v>
      </c>
      <c r="E6" s="27" t="s">
        <v>5326</v>
      </c>
      <c r="F6" s="124" t="s">
        <v>5327</v>
      </c>
      <c r="G6" s="27" t="s">
        <v>5328</v>
      </c>
      <c r="H6" s="72" t="s">
        <v>49</v>
      </c>
      <c r="I6" s="124" t="s">
        <v>5329</v>
      </c>
      <c r="J6" s="124" t="s">
        <v>5330</v>
      </c>
      <c r="K6" s="27" t="s">
        <v>5331</v>
      </c>
      <c r="L6" s="27" t="s">
        <v>5332</v>
      </c>
      <c r="M6" s="124" t="s">
        <v>2134</v>
      </c>
      <c r="N6" s="124" t="s">
        <v>5333</v>
      </c>
      <c r="O6" s="72" t="s">
        <v>1210</v>
      </c>
      <c r="P6" s="72" t="s">
        <v>2129</v>
      </c>
      <c r="Q6" s="72" t="s">
        <v>2129</v>
      </c>
      <c r="R6" s="72" t="s">
        <v>1457</v>
      </c>
      <c r="S6" s="27" t="s">
        <v>5334</v>
      </c>
      <c r="T6" s="72" t="s">
        <v>5335</v>
      </c>
      <c r="U6" s="195" t="s">
        <v>2573</v>
      </c>
      <c r="V6" s="124" t="s">
        <v>5336</v>
      </c>
      <c r="W6" s="124" t="s">
        <v>5337</v>
      </c>
      <c r="X6" s="27" t="s">
        <v>5338</v>
      </c>
      <c r="Y6" s="27" t="s">
        <v>5339</v>
      </c>
    </row>
    <row r="7" ht="15.0" customHeight="1">
      <c r="A7" s="138" t="s">
        <v>261</v>
      </c>
      <c r="B7" s="195" t="s">
        <v>5340</v>
      </c>
      <c r="C7" s="490" t="s">
        <v>3146</v>
      </c>
      <c r="D7" s="72" t="s">
        <v>5284</v>
      </c>
      <c r="E7" s="124" t="s">
        <v>5341</v>
      </c>
      <c r="F7" s="27" t="s">
        <v>5342</v>
      </c>
      <c r="G7" s="124" t="s">
        <v>5343</v>
      </c>
      <c r="H7" s="72" t="s">
        <v>49</v>
      </c>
      <c r="I7" s="124" t="s">
        <v>5344</v>
      </c>
      <c r="J7" s="124" t="s">
        <v>5345</v>
      </c>
      <c r="K7" s="27" t="s">
        <v>5346</v>
      </c>
      <c r="L7" s="124" t="s">
        <v>5347</v>
      </c>
      <c r="M7" s="124" t="s">
        <v>5348</v>
      </c>
      <c r="N7" s="124" t="s">
        <v>5349</v>
      </c>
      <c r="O7" s="72" t="s">
        <v>1210</v>
      </c>
      <c r="P7" s="123"/>
      <c r="Q7" s="123"/>
      <c r="R7" s="72" t="s">
        <v>1457</v>
      </c>
      <c r="S7" s="27" t="s">
        <v>5350</v>
      </c>
      <c r="T7" s="72" t="s">
        <v>1027</v>
      </c>
      <c r="U7" s="195" t="s">
        <v>2571</v>
      </c>
      <c r="V7" s="124" t="s">
        <v>5351</v>
      </c>
      <c r="W7" s="124" t="s">
        <v>5352</v>
      </c>
      <c r="X7" s="124" t="s">
        <v>5353</v>
      </c>
      <c r="Y7" s="27" t="s">
        <v>5354</v>
      </c>
    </row>
    <row r="8" ht="15.0" customHeight="1">
      <c r="A8" s="138" t="s">
        <v>261</v>
      </c>
      <c r="B8" s="195" t="s">
        <v>2140</v>
      </c>
      <c r="C8" s="195" t="s">
        <v>2141</v>
      </c>
      <c r="D8" s="72" t="s">
        <v>5284</v>
      </c>
      <c r="E8" s="124" t="s">
        <v>5355</v>
      </c>
      <c r="F8" s="124" t="s">
        <v>5356</v>
      </c>
      <c r="G8" s="124" t="s">
        <v>5357</v>
      </c>
      <c r="H8" s="72" t="s">
        <v>49</v>
      </c>
      <c r="I8" s="124" t="s">
        <v>5358</v>
      </c>
      <c r="J8" s="124" t="s">
        <v>5359</v>
      </c>
      <c r="K8" s="27" t="s">
        <v>5360</v>
      </c>
      <c r="L8" s="27" t="s">
        <v>5361</v>
      </c>
      <c r="M8" s="124" t="s">
        <v>2143</v>
      </c>
      <c r="N8" s="124" t="s">
        <v>5362</v>
      </c>
      <c r="O8" s="72" t="s">
        <v>1210</v>
      </c>
      <c r="P8" s="123"/>
      <c r="Q8" s="123"/>
      <c r="R8" s="72" t="s">
        <v>1210</v>
      </c>
      <c r="S8" s="27" t="s">
        <v>5363</v>
      </c>
      <c r="T8" s="72" t="s">
        <v>1002</v>
      </c>
      <c r="U8" s="195" t="s">
        <v>2571</v>
      </c>
      <c r="V8" s="124" t="s">
        <v>5364</v>
      </c>
      <c r="W8" s="72" t="s">
        <v>5365</v>
      </c>
      <c r="X8" s="124" t="s">
        <v>5366</v>
      </c>
      <c r="Y8" s="124" t="s">
        <v>5367</v>
      </c>
    </row>
    <row r="9" ht="16.5" customHeight="1">
      <c r="A9" s="138" t="s">
        <v>261</v>
      </c>
      <c r="B9" s="195" t="s">
        <v>5368</v>
      </c>
      <c r="C9" s="490" t="s">
        <v>3065</v>
      </c>
      <c r="D9" s="72" t="s">
        <v>5298</v>
      </c>
      <c r="E9" s="124" t="s">
        <v>3066</v>
      </c>
      <c r="F9" s="72" t="s">
        <v>5369</v>
      </c>
      <c r="G9" s="124" t="s">
        <v>5370</v>
      </c>
      <c r="H9" s="124" t="s">
        <v>5371</v>
      </c>
      <c r="I9" s="124" t="s">
        <v>5372</v>
      </c>
      <c r="J9" s="124" t="s">
        <v>5373</v>
      </c>
      <c r="K9" s="124" t="s">
        <v>5374</v>
      </c>
      <c r="L9" s="124" t="s">
        <v>5375</v>
      </c>
      <c r="M9" s="72" t="s">
        <v>5365</v>
      </c>
      <c r="N9" s="124" t="s">
        <v>5376</v>
      </c>
      <c r="O9" s="72" t="s">
        <v>1457</v>
      </c>
      <c r="P9" s="27" t="s">
        <v>5377</v>
      </c>
      <c r="Q9" s="27" t="s">
        <v>5378</v>
      </c>
      <c r="R9" s="72" t="s">
        <v>1457</v>
      </c>
      <c r="S9" s="27" t="s">
        <v>5379</v>
      </c>
      <c r="T9" s="72" t="s">
        <v>5380</v>
      </c>
      <c r="U9" s="195" t="s">
        <v>2571</v>
      </c>
      <c r="V9" s="27" t="s">
        <v>5381</v>
      </c>
      <c r="W9" s="124" t="s">
        <v>5382</v>
      </c>
      <c r="X9" s="124" t="s">
        <v>5383</v>
      </c>
      <c r="Y9" s="27" t="s">
        <v>5384</v>
      </c>
    </row>
    <row r="10" ht="17.25" customHeight="1">
      <c r="A10" s="138" t="s">
        <v>261</v>
      </c>
      <c r="B10" s="195" t="s">
        <v>2147</v>
      </c>
      <c r="C10" s="195" t="s">
        <v>2148</v>
      </c>
      <c r="D10" s="72" t="s">
        <v>5284</v>
      </c>
      <c r="E10" s="124" t="s">
        <v>5385</v>
      </c>
      <c r="F10" s="124" t="s">
        <v>5386</v>
      </c>
      <c r="G10" s="72" t="s">
        <v>5387</v>
      </c>
      <c r="H10" s="72" t="s">
        <v>49</v>
      </c>
      <c r="I10" s="124" t="s">
        <v>5388</v>
      </c>
      <c r="J10" s="124" t="s">
        <v>5389</v>
      </c>
      <c r="K10" s="124" t="s">
        <v>5390</v>
      </c>
      <c r="L10" s="124" t="s">
        <v>5391</v>
      </c>
      <c r="M10" s="124" t="s">
        <v>2150</v>
      </c>
      <c r="N10" s="124" t="s">
        <v>5392</v>
      </c>
      <c r="O10" s="72" t="s">
        <v>1210</v>
      </c>
      <c r="P10" s="123"/>
      <c r="Q10" s="123"/>
      <c r="R10" s="72" t="s">
        <v>1210</v>
      </c>
      <c r="S10" s="27" t="s">
        <v>5393</v>
      </c>
      <c r="T10" s="72" t="s">
        <v>1027</v>
      </c>
      <c r="U10" s="195" t="s">
        <v>2571</v>
      </c>
      <c r="V10" s="27" t="s">
        <v>5394</v>
      </c>
      <c r="W10" s="72" t="s">
        <v>5395</v>
      </c>
      <c r="X10" s="27" t="s">
        <v>5396</v>
      </c>
      <c r="Y10" s="124" t="s">
        <v>5397</v>
      </c>
    </row>
    <row r="11" ht="16.5" customHeight="1">
      <c r="A11" s="138" t="s">
        <v>261</v>
      </c>
      <c r="B11" s="195" t="s">
        <v>2155</v>
      </c>
      <c r="C11" s="195" t="s">
        <v>2156</v>
      </c>
      <c r="D11" s="72" t="s">
        <v>5284</v>
      </c>
      <c r="E11" s="27" t="s">
        <v>5398</v>
      </c>
      <c r="F11" s="27" t="s">
        <v>5399</v>
      </c>
      <c r="G11" s="27" t="s">
        <v>5400</v>
      </c>
      <c r="H11" s="72" t="s">
        <v>49</v>
      </c>
      <c r="I11" s="27" t="s">
        <v>5401</v>
      </c>
      <c r="J11" s="27" t="s">
        <v>5402</v>
      </c>
      <c r="K11" s="27" t="s">
        <v>5403</v>
      </c>
      <c r="L11" s="27" t="s">
        <v>5404</v>
      </c>
      <c r="M11" s="27" t="s">
        <v>2158</v>
      </c>
      <c r="N11" s="124" t="s">
        <v>5405</v>
      </c>
      <c r="O11" s="72" t="s">
        <v>1210</v>
      </c>
      <c r="P11" s="123"/>
      <c r="Q11" s="123"/>
      <c r="R11" s="72" t="s">
        <v>1210</v>
      </c>
      <c r="S11" s="27" t="s">
        <v>5406</v>
      </c>
      <c r="T11" s="72" t="s">
        <v>5407</v>
      </c>
      <c r="U11" s="195" t="s">
        <v>2571</v>
      </c>
      <c r="V11" s="124" t="s">
        <v>5408</v>
      </c>
      <c r="W11" s="27" t="s">
        <v>5409</v>
      </c>
      <c r="X11" s="27" t="s">
        <v>5410</v>
      </c>
      <c r="Y11" s="27" t="s">
        <v>5411</v>
      </c>
    </row>
    <row r="12" ht="15.0" customHeight="1">
      <c r="A12" s="138" t="s">
        <v>261</v>
      </c>
      <c r="B12" s="195" t="s">
        <v>2163</v>
      </c>
      <c r="C12" s="195" t="s">
        <v>2164</v>
      </c>
      <c r="D12" s="72" t="s">
        <v>5284</v>
      </c>
      <c r="E12" s="27" t="s">
        <v>5412</v>
      </c>
      <c r="F12" s="72" t="s">
        <v>2167</v>
      </c>
      <c r="G12" s="72" t="s">
        <v>1674</v>
      </c>
      <c r="H12" s="72" t="s">
        <v>559</v>
      </c>
      <c r="I12" s="27" t="s">
        <v>5413</v>
      </c>
      <c r="J12" s="72" t="s">
        <v>5414</v>
      </c>
      <c r="K12" s="27" t="s">
        <v>5415</v>
      </c>
      <c r="L12" s="27" t="s">
        <v>5416</v>
      </c>
      <c r="M12" s="27" t="s">
        <v>2166</v>
      </c>
      <c r="N12" s="27" t="s">
        <v>5417</v>
      </c>
      <c r="O12" s="72" t="s">
        <v>1210</v>
      </c>
      <c r="P12" s="123"/>
      <c r="Q12" s="123"/>
      <c r="R12" s="72" t="s">
        <v>1210</v>
      </c>
      <c r="S12" s="27" t="s">
        <v>5418</v>
      </c>
      <c r="T12" s="72" t="s">
        <v>1027</v>
      </c>
      <c r="U12" s="195" t="s">
        <v>2571</v>
      </c>
      <c r="V12" s="124" t="s">
        <v>5419</v>
      </c>
      <c r="W12" s="27" t="s">
        <v>5420</v>
      </c>
      <c r="X12" s="27" t="s">
        <v>5421</v>
      </c>
      <c r="Y12" s="27" t="s">
        <v>5422</v>
      </c>
    </row>
    <row r="13" ht="15.0" customHeight="1">
      <c r="A13" s="138" t="s">
        <v>261</v>
      </c>
      <c r="B13" s="195" t="s">
        <v>5423</v>
      </c>
      <c r="C13" s="490" t="s">
        <v>2996</v>
      </c>
      <c r="D13" s="72" t="s">
        <v>5284</v>
      </c>
      <c r="E13" s="27" t="s">
        <v>5424</v>
      </c>
      <c r="F13" s="27" t="s">
        <v>5425</v>
      </c>
      <c r="G13" s="27" t="s">
        <v>5426</v>
      </c>
      <c r="H13" s="72" t="s">
        <v>49</v>
      </c>
      <c r="I13" s="27" t="s">
        <v>5427</v>
      </c>
      <c r="J13" s="27" t="s">
        <v>5428</v>
      </c>
      <c r="K13" s="27" t="s">
        <v>5429</v>
      </c>
      <c r="L13" s="27" t="s">
        <v>5430</v>
      </c>
      <c r="M13" s="27" t="s">
        <v>5431</v>
      </c>
      <c r="N13" s="27" t="s">
        <v>5432</v>
      </c>
      <c r="O13" s="72" t="s">
        <v>1210</v>
      </c>
      <c r="P13" s="123"/>
      <c r="Q13" s="123"/>
      <c r="R13" s="72" t="s">
        <v>1210</v>
      </c>
      <c r="S13" s="27" t="s">
        <v>5433</v>
      </c>
      <c r="T13" s="72" t="s">
        <v>3234</v>
      </c>
      <c r="U13" s="195" t="s">
        <v>2571</v>
      </c>
      <c r="V13" s="26" t="s">
        <v>2851</v>
      </c>
      <c r="W13" s="27" t="s">
        <v>4422</v>
      </c>
      <c r="X13" s="27" t="s">
        <v>5434</v>
      </c>
      <c r="Y13" s="27" t="s">
        <v>5435</v>
      </c>
    </row>
    <row r="14" ht="15.75" customHeight="1">
      <c r="A14" s="138" t="s">
        <v>261</v>
      </c>
      <c r="B14" s="195" t="s">
        <v>5436</v>
      </c>
      <c r="C14" s="490" t="s">
        <v>3067</v>
      </c>
      <c r="D14" s="72" t="s">
        <v>5284</v>
      </c>
      <c r="E14" s="124" t="s">
        <v>3068</v>
      </c>
      <c r="F14" s="26" t="s">
        <v>5437</v>
      </c>
      <c r="G14" s="72" t="s">
        <v>5438</v>
      </c>
      <c r="H14" s="72" t="s">
        <v>49</v>
      </c>
      <c r="I14" s="124" t="s">
        <v>5439</v>
      </c>
      <c r="J14" s="124" t="s">
        <v>5440</v>
      </c>
      <c r="K14" s="27" t="s">
        <v>5441</v>
      </c>
      <c r="L14" s="124" t="s">
        <v>5442</v>
      </c>
      <c r="M14" s="124" t="s">
        <v>5443</v>
      </c>
      <c r="N14" s="124" t="s">
        <v>5444</v>
      </c>
      <c r="O14" s="72" t="s">
        <v>1457</v>
      </c>
      <c r="P14" s="27" t="s">
        <v>5445</v>
      </c>
      <c r="Q14" s="27" t="s">
        <v>5446</v>
      </c>
      <c r="R14" s="72" t="s">
        <v>1457</v>
      </c>
      <c r="S14" s="124" t="s">
        <v>5447</v>
      </c>
      <c r="T14" s="72" t="s">
        <v>5448</v>
      </c>
      <c r="U14" s="195" t="s">
        <v>2571</v>
      </c>
      <c r="V14" s="124" t="s">
        <v>5449</v>
      </c>
      <c r="W14" s="72" t="s">
        <v>5450</v>
      </c>
      <c r="X14" s="124" t="s">
        <v>5451</v>
      </c>
      <c r="Y14" s="124" t="s">
        <v>5452</v>
      </c>
    </row>
    <row r="15" ht="17.25" customHeight="1">
      <c r="A15" s="138" t="s">
        <v>261</v>
      </c>
      <c r="B15" s="195" t="s">
        <v>5453</v>
      </c>
      <c r="C15" s="490" t="s">
        <v>3069</v>
      </c>
      <c r="D15" s="123"/>
      <c r="E15" s="123"/>
      <c r="F15" s="123"/>
      <c r="G15" s="123"/>
      <c r="H15" s="123"/>
      <c r="I15" s="123"/>
      <c r="J15" s="123"/>
      <c r="K15" s="123"/>
      <c r="L15" s="123"/>
      <c r="M15" s="123"/>
      <c r="N15" s="123"/>
      <c r="O15" s="72" t="s">
        <v>1457</v>
      </c>
      <c r="P15" s="124" t="s">
        <v>5454</v>
      </c>
      <c r="Q15" s="124" t="s">
        <v>5455</v>
      </c>
      <c r="R15" s="72" t="s">
        <v>1457</v>
      </c>
      <c r="S15" s="123"/>
      <c r="T15" s="123"/>
      <c r="U15" s="195" t="s">
        <v>2571</v>
      </c>
      <c r="V15" s="123"/>
      <c r="W15" s="123"/>
      <c r="X15" s="123"/>
      <c r="Y15" s="123"/>
    </row>
    <row r="16" ht="16.5" customHeight="1">
      <c r="A16" s="138" t="s">
        <v>261</v>
      </c>
      <c r="B16" s="195" t="s">
        <v>5456</v>
      </c>
      <c r="C16" s="490" t="s">
        <v>3070</v>
      </c>
      <c r="D16" s="72" t="s">
        <v>5298</v>
      </c>
      <c r="E16" s="124" t="s">
        <v>3071</v>
      </c>
      <c r="F16" s="27" t="s">
        <v>5457</v>
      </c>
      <c r="G16" s="27" t="s">
        <v>5458</v>
      </c>
      <c r="H16" s="72" t="s">
        <v>49</v>
      </c>
      <c r="I16" s="27" t="s">
        <v>5459</v>
      </c>
      <c r="J16" s="27" t="s">
        <v>5460</v>
      </c>
      <c r="K16" s="27" t="s">
        <v>5461</v>
      </c>
      <c r="L16" s="27" t="s">
        <v>5462</v>
      </c>
      <c r="M16" s="27" t="s">
        <v>5463</v>
      </c>
      <c r="N16" s="27" t="s">
        <v>5464</v>
      </c>
      <c r="O16" s="72" t="s">
        <v>1457</v>
      </c>
      <c r="P16" s="27" t="s">
        <v>5465</v>
      </c>
      <c r="Q16" s="72" t="s">
        <v>5466</v>
      </c>
      <c r="R16" s="72" t="s">
        <v>1457</v>
      </c>
      <c r="S16" s="27" t="s">
        <v>5467</v>
      </c>
      <c r="T16" s="72" t="s">
        <v>5468</v>
      </c>
      <c r="U16" s="195" t="s">
        <v>2571</v>
      </c>
      <c r="V16" s="72" t="s">
        <v>5469</v>
      </c>
      <c r="W16" s="27" t="s">
        <v>5470</v>
      </c>
      <c r="X16" s="124" t="s">
        <v>5471</v>
      </c>
      <c r="Y16" s="27" t="s">
        <v>5472</v>
      </c>
    </row>
    <row r="17" ht="14.25" customHeight="1">
      <c r="A17" s="138" t="s">
        <v>261</v>
      </c>
      <c r="B17" s="195" t="s">
        <v>5473</v>
      </c>
      <c r="C17" s="490" t="s">
        <v>3150</v>
      </c>
      <c r="D17" s="72" t="s">
        <v>5284</v>
      </c>
      <c r="E17" s="27" t="s">
        <v>5474</v>
      </c>
      <c r="F17" s="26" t="s">
        <v>5475</v>
      </c>
      <c r="G17" s="27" t="s">
        <v>5476</v>
      </c>
      <c r="H17" s="72" t="s">
        <v>559</v>
      </c>
      <c r="I17" s="27" t="s">
        <v>5477</v>
      </c>
      <c r="J17" s="27" t="s">
        <v>5478</v>
      </c>
      <c r="K17" s="27" t="s">
        <v>5479</v>
      </c>
      <c r="L17" s="27" t="s">
        <v>5480</v>
      </c>
      <c r="M17" s="27" t="s">
        <v>5481</v>
      </c>
      <c r="N17" s="27" t="s">
        <v>5482</v>
      </c>
      <c r="O17" s="72" t="s">
        <v>5003</v>
      </c>
      <c r="P17" s="123"/>
      <c r="Q17" s="123"/>
      <c r="R17" s="72" t="s">
        <v>5003</v>
      </c>
      <c r="S17" s="27" t="s">
        <v>5483</v>
      </c>
      <c r="T17" s="72" t="s">
        <v>1779</v>
      </c>
      <c r="U17" s="195" t="s">
        <v>2571</v>
      </c>
      <c r="V17" s="27" t="s">
        <v>5484</v>
      </c>
      <c r="W17" s="27" t="s">
        <v>5485</v>
      </c>
      <c r="X17" s="27" t="s">
        <v>5486</v>
      </c>
      <c r="Y17" s="27" t="s">
        <v>5487</v>
      </c>
    </row>
    <row r="18" ht="13.5" customHeight="1">
      <c r="A18" s="138" t="s">
        <v>261</v>
      </c>
      <c r="B18" s="195" t="s">
        <v>5488</v>
      </c>
      <c r="C18" s="490" t="s">
        <v>3072</v>
      </c>
      <c r="D18" s="72" t="s">
        <v>5298</v>
      </c>
      <c r="E18" s="27" t="s">
        <v>3073</v>
      </c>
      <c r="F18" s="27" t="s">
        <v>5489</v>
      </c>
      <c r="G18" s="26" t="s">
        <v>5490</v>
      </c>
      <c r="H18" s="72" t="s">
        <v>49</v>
      </c>
      <c r="I18" s="27" t="s">
        <v>5491</v>
      </c>
      <c r="J18" s="124" t="s">
        <v>5492</v>
      </c>
      <c r="K18" s="27" t="s">
        <v>5493</v>
      </c>
      <c r="L18" s="27" t="s">
        <v>5494</v>
      </c>
      <c r="M18" s="27" t="s">
        <v>5495</v>
      </c>
      <c r="N18" s="27" t="s">
        <v>5496</v>
      </c>
      <c r="O18" s="72" t="s">
        <v>1457</v>
      </c>
      <c r="P18" s="27" t="s">
        <v>5497</v>
      </c>
      <c r="Q18" s="27" t="s">
        <v>5498</v>
      </c>
      <c r="R18" s="72" t="s">
        <v>1457</v>
      </c>
      <c r="S18" s="27" t="s">
        <v>5499</v>
      </c>
      <c r="T18" s="72" t="s">
        <v>5500</v>
      </c>
      <c r="U18" s="195" t="s">
        <v>2571</v>
      </c>
      <c r="V18" s="27" t="s">
        <v>5501</v>
      </c>
      <c r="W18" s="27" t="s">
        <v>5502</v>
      </c>
      <c r="X18" s="27" t="s">
        <v>5503</v>
      </c>
      <c r="Y18" s="27" t="s">
        <v>5504</v>
      </c>
    </row>
    <row r="19" ht="12.75" customHeight="1">
      <c r="A19" s="138" t="s">
        <v>261</v>
      </c>
      <c r="B19" s="195" t="s">
        <v>5505</v>
      </c>
      <c r="C19" s="490" t="s">
        <v>3074</v>
      </c>
      <c r="D19" s="72" t="s">
        <v>5284</v>
      </c>
      <c r="E19" s="26" t="s">
        <v>3075</v>
      </c>
      <c r="F19" s="26" t="s">
        <v>5506</v>
      </c>
      <c r="G19" s="72" t="s">
        <v>5507</v>
      </c>
      <c r="H19" s="124" t="s">
        <v>5508</v>
      </c>
      <c r="I19" s="27" t="s">
        <v>5509</v>
      </c>
      <c r="J19" s="27" t="s">
        <v>5510</v>
      </c>
      <c r="K19" s="27" t="s">
        <v>5511</v>
      </c>
      <c r="L19" s="27" t="s">
        <v>5512</v>
      </c>
      <c r="M19" s="72" t="s">
        <v>5513</v>
      </c>
      <c r="N19" s="27" t="s">
        <v>5514</v>
      </c>
      <c r="O19" s="72" t="s">
        <v>1457</v>
      </c>
      <c r="P19" s="27" t="s">
        <v>5515</v>
      </c>
      <c r="Q19" s="27" t="s">
        <v>5516</v>
      </c>
      <c r="R19" s="72" t="s">
        <v>1457</v>
      </c>
      <c r="S19" s="27" t="s">
        <v>5517</v>
      </c>
      <c r="T19" s="72" t="s">
        <v>5518</v>
      </c>
      <c r="U19" s="195" t="s">
        <v>2571</v>
      </c>
      <c r="V19" s="124" t="s">
        <v>5519</v>
      </c>
      <c r="W19" s="27" t="s">
        <v>5520</v>
      </c>
      <c r="X19" s="27" t="s">
        <v>5521</v>
      </c>
      <c r="Y19" s="26" t="s">
        <v>5522</v>
      </c>
    </row>
    <row r="20" ht="15.75" customHeight="1">
      <c r="A20" s="138" t="s">
        <v>261</v>
      </c>
      <c r="B20" s="195" t="s">
        <v>5523</v>
      </c>
      <c r="C20" s="490" t="s">
        <v>3076</v>
      </c>
      <c r="D20" s="72" t="s">
        <v>5298</v>
      </c>
      <c r="E20" s="27" t="s">
        <v>3077</v>
      </c>
      <c r="F20" s="27" t="s">
        <v>5524</v>
      </c>
      <c r="G20" s="27" t="s">
        <v>5525</v>
      </c>
      <c r="H20" s="72" t="s">
        <v>49</v>
      </c>
      <c r="I20" s="27" t="s">
        <v>5526</v>
      </c>
      <c r="J20" s="27" t="s">
        <v>5527</v>
      </c>
      <c r="K20" s="27" t="s">
        <v>5528</v>
      </c>
      <c r="L20" s="27" t="s">
        <v>5529</v>
      </c>
      <c r="M20" s="124" t="s">
        <v>5481</v>
      </c>
      <c r="N20" s="27" t="s">
        <v>5530</v>
      </c>
      <c r="O20" s="72" t="s">
        <v>1457</v>
      </c>
      <c r="P20" s="27" t="s">
        <v>5531</v>
      </c>
      <c r="Q20" s="27" t="s">
        <v>5532</v>
      </c>
      <c r="R20" s="72" t="s">
        <v>1457</v>
      </c>
      <c r="S20" s="27" t="s">
        <v>5533</v>
      </c>
      <c r="T20" s="72" t="s">
        <v>5030</v>
      </c>
      <c r="U20" s="195" t="s">
        <v>2571</v>
      </c>
      <c r="V20" s="27" t="s">
        <v>5534</v>
      </c>
      <c r="W20" s="27" t="s">
        <v>5535</v>
      </c>
      <c r="X20" s="27" t="s">
        <v>5536</v>
      </c>
      <c r="Y20" s="27" t="s">
        <v>5537</v>
      </c>
    </row>
    <row r="21">
      <c r="A21" s="138" t="s">
        <v>261</v>
      </c>
      <c r="B21" s="195" t="s">
        <v>5538</v>
      </c>
      <c r="C21" s="490" t="s">
        <v>2997</v>
      </c>
      <c r="D21" s="123"/>
      <c r="E21" s="123"/>
      <c r="F21" s="123"/>
      <c r="G21" s="123"/>
      <c r="H21" s="123"/>
      <c r="I21" s="123"/>
      <c r="J21" s="123"/>
      <c r="K21" s="123"/>
      <c r="L21" s="123"/>
      <c r="M21" s="123"/>
      <c r="N21" s="123"/>
      <c r="O21" s="72" t="s">
        <v>5114</v>
      </c>
      <c r="P21" s="123"/>
      <c r="Q21" s="123"/>
      <c r="R21" s="72" t="s">
        <v>1210</v>
      </c>
      <c r="S21" s="123"/>
      <c r="T21" s="123"/>
      <c r="U21" s="195" t="s">
        <v>2571</v>
      </c>
      <c r="V21" s="123"/>
      <c r="W21" s="123"/>
      <c r="X21" s="123"/>
      <c r="Y21" s="123"/>
    </row>
    <row r="22" ht="15.0" customHeight="1">
      <c r="A22" s="138" t="s">
        <v>261</v>
      </c>
      <c r="B22" s="195" t="s">
        <v>2172</v>
      </c>
      <c r="C22" s="195" t="s">
        <v>2173</v>
      </c>
      <c r="D22" s="72" t="s">
        <v>5284</v>
      </c>
      <c r="E22" s="27" t="s">
        <v>5539</v>
      </c>
      <c r="F22" s="27" t="s">
        <v>5540</v>
      </c>
      <c r="G22" s="27" t="s">
        <v>5541</v>
      </c>
      <c r="H22" s="72" t="s">
        <v>559</v>
      </c>
      <c r="I22" s="27" t="s">
        <v>5542</v>
      </c>
      <c r="J22" s="27" t="s">
        <v>5543</v>
      </c>
      <c r="K22" s="27" t="s">
        <v>5544</v>
      </c>
      <c r="L22" s="27" t="s">
        <v>5545</v>
      </c>
      <c r="M22" s="124" t="s">
        <v>2175</v>
      </c>
      <c r="N22" s="27" t="s">
        <v>5546</v>
      </c>
      <c r="O22" s="72" t="s">
        <v>1210</v>
      </c>
      <c r="P22" s="123"/>
      <c r="Q22" s="123"/>
      <c r="R22" s="72" t="s">
        <v>1210</v>
      </c>
      <c r="S22" s="27" t="s">
        <v>5547</v>
      </c>
      <c r="T22" s="72" t="s">
        <v>5030</v>
      </c>
      <c r="U22" s="195" t="s">
        <v>2571</v>
      </c>
      <c r="V22" s="124" t="s">
        <v>5548</v>
      </c>
      <c r="W22" s="27" t="s">
        <v>5549</v>
      </c>
      <c r="X22" s="27" t="s">
        <v>5550</v>
      </c>
      <c r="Y22" s="27" t="s">
        <v>5551</v>
      </c>
    </row>
    <row r="23" ht="15.75" customHeight="1">
      <c r="A23" s="138" t="s">
        <v>261</v>
      </c>
      <c r="B23" s="195" t="s">
        <v>5552</v>
      </c>
      <c r="C23" s="490" t="s">
        <v>3160</v>
      </c>
      <c r="D23" s="72" t="s">
        <v>5284</v>
      </c>
      <c r="E23" s="27" t="s">
        <v>5553</v>
      </c>
      <c r="F23" s="27" t="s">
        <v>5554</v>
      </c>
      <c r="G23" s="27" t="s">
        <v>5555</v>
      </c>
      <c r="H23" s="72" t="s">
        <v>49</v>
      </c>
      <c r="I23" s="27" t="s">
        <v>5556</v>
      </c>
      <c r="J23" s="27" t="s">
        <v>5557</v>
      </c>
      <c r="K23" s="27" t="s">
        <v>5558</v>
      </c>
      <c r="L23" s="27" t="s">
        <v>5559</v>
      </c>
      <c r="M23" s="27" t="s">
        <v>5560</v>
      </c>
      <c r="N23" s="27" t="s">
        <v>5561</v>
      </c>
      <c r="O23" s="72" t="s">
        <v>1210</v>
      </c>
      <c r="P23" s="123"/>
      <c r="Q23" s="123"/>
      <c r="R23" s="72" t="s">
        <v>1210</v>
      </c>
      <c r="S23" s="27" t="s">
        <v>5562</v>
      </c>
      <c r="T23" s="72" t="s">
        <v>5030</v>
      </c>
      <c r="U23" s="195" t="s">
        <v>2571</v>
      </c>
      <c r="V23" s="27" t="s">
        <v>5563</v>
      </c>
      <c r="W23" s="27" t="s">
        <v>5564</v>
      </c>
      <c r="X23" s="27" t="s">
        <v>5565</v>
      </c>
      <c r="Y23" s="27" t="s">
        <v>5566</v>
      </c>
    </row>
    <row r="24" ht="13.5" customHeight="1">
      <c r="A24" s="138" t="s">
        <v>261</v>
      </c>
      <c r="B24" s="195" t="s">
        <v>2179</v>
      </c>
      <c r="C24" s="195" t="s">
        <v>2180</v>
      </c>
      <c r="D24" s="72" t="s">
        <v>5284</v>
      </c>
      <c r="E24" s="27" t="s">
        <v>5567</v>
      </c>
      <c r="F24" s="27" t="s">
        <v>5568</v>
      </c>
      <c r="G24" s="27" t="s">
        <v>5569</v>
      </c>
      <c r="H24" s="72" t="s">
        <v>559</v>
      </c>
      <c r="I24" s="27" t="s">
        <v>5570</v>
      </c>
      <c r="J24" s="27" t="s">
        <v>5571</v>
      </c>
      <c r="K24" s="27" t="s">
        <v>5572</v>
      </c>
      <c r="L24" s="27" t="s">
        <v>5573</v>
      </c>
      <c r="M24" s="27" t="s">
        <v>2182</v>
      </c>
      <c r="N24" s="27" t="s">
        <v>5574</v>
      </c>
      <c r="O24" s="72" t="s">
        <v>5003</v>
      </c>
      <c r="P24" s="123"/>
      <c r="Q24" s="123"/>
      <c r="R24" s="72" t="s">
        <v>5003</v>
      </c>
      <c r="S24" s="27" t="s">
        <v>5575</v>
      </c>
      <c r="T24" s="72" t="s">
        <v>1340</v>
      </c>
      <c r="U24" s="195" t="s">
        <v>2571</v>
      </c>
      <c r="V24" s="27" t="s">
        <v>5576</v>
      </c>
      <c r="W24" s="27" t="s">
        <v>5577</v>
      </c>
      <c r="X24" s="27" t="s">
        <v>5578</v>
      </c>
      <c r="Y24" s="27" t="s">
        <v>5579</v>
      </c>
    </row>
    <row r="25" ht="15.75" customHeight="1">
      <c r="A25" s="138" t="s">
        <v>261</v>
      </c>
      <c r="B25" s="195" t="s">
        <v>5580</v>
      </c>
      <c r="C25" s="490" t="s">
        <v>2999</v>
      </c>
      <c r="D25" s="72" t="s">
        <v>5284</v>
      </c>
      <c r="E25" s="27" t="s">
        <v>5581</v>
      </c>
      <c r="F25" s="27" t="s">
        <v>5582</v>
      </c>
      <c r="G25" s="27" t="s">
        <v>5583</v>
      </c>
      <c r="H25" s="72" t="s">
        <v>49</v>
      </c>
      <c r="I25" s="27" t="s">
        <v>5584</v>
      </c>
      <c r="J25" s="27" t="s">
        <v>5585</v>
      </c>
      <c r="K25" s="27" t="s">
        <v>5586</v>
      </c>
      <c r="L25" s="27" t="s">
        <v>5587</v>
      </c>
      <c r="M25" s="27" t="s">
        <v>5588</v>
      </c>
      <c r="N25" s="27" t="s">
        <v>5589</v>
      </c>
      <c r="O25" s="72" t="s">
        <v>931</v>
      </c>
      <c r="P25" s="123"/>
      <c r="Q25" s="123"/>
      <c r="R25" s="72" t="s">
        <v>1210</v>
      </c>
      <c r="S25" s="27" t="s">
        <v>5590</v>
      </c>
      <c r="T25" s="27" t="s">
        <v>5591</v>
      </c>
      <c r="U25" s="195" t="s">
        <v>2571</v>
      </c>
      <c r="V25" s="27" t="s">
        <v>5592</v>
      </c>
      <c r="W25" s="27" t="s">
        <v>5593</v>
      </c>
      <c r="X25" s="27" t="s">
        <v>5594</v>
      </c>
      <c r="Y25" s="27" t="s">
        <v>5595</v>
      </c>
    </row>
    <row r="26" ht="15.0" customHeight="1">
      <c r="A26" s="138" t="s">
        <v>261</v>
      </c>
      <c r="B26" s="195" t="s">
        <v>5596</v>
      </c>
      <c r="C26" s="490" t="s">
        <v>3154</v>
      </c>
      <c r="D26" s="72" t="s">
        <v>5284</v>
      </c>
      <c r="E26" s="27" t="s">
        <v>5597</v>
      </c>
      <c r="F26" s="27" t="s">
        <v>3158</v>
      </c>
      <c r="G26" s="27" t="s">
        <v>3157</v>
      </c>
      <c r="H26" s="72" t="s">
        <v>559</v>
      </c>
      <c r="I26" s="27" t="s">
        <v>5598</v>
      </c>
      <c r="J26" s="27" t="s">
        <v>5599</v>
      </c>
      <c r="K26" s="27" t="s">
        <v>5600</v>
      </c>
      <c r="L26" s="27" t="s">
        <v>5601</v>
      </c>
      <c r="M26" s="27" t="s">
        <v>3156</v>
      </c>
      <c r="N26" s="27" t="s">
        <v>5602</v>
      </c>
      <c r="O26" s="72" t="s">
        <v>1210</v>
      </c>
      <c r="P26" s="123"/>
      <c r="Q26" s="123"/>
      <c r="R26" s="72" t="s">
        <v>1210</v>
      </c>
      <c r="S26" s="27" t="s">
        <v>5603</v>
      </c>
      <c r="T26" s="72" t="s">
        <v>3159</v>
      </c>
      <c r="U26" s="195" t="s">
        <v>2571</v>
      </c>
      <c r="V26" s="124" t="s">
        <v>5604</v>
      </c>
      <c r="W26" s="27" t="s">
        <v>5605</v>
      </c>
      <c r="X26" s="27" t="s">
        <v>5606</v>
      </c>
      <c r="Y26" s="27" t="s">
        <v>5607</v>
      </c>
    </row>
    <row r="27" ht="15.0" customHeight="1">
      <c r="A27" s="138" t="s">
        <v>261</v>
      </c>
      <c r="B27" s="195" t="s">
        <v>5608</v>
      </c>
      <c r="C27" s="490" t="s">
        <v>3148</v>
      </c>
      <c r="D27" s="72" t="s">
        <v>5284</v>
      </c>
      <c r="E27" s="27" t="s">
        <v>5609</v>
      </c>
      <c r="F27" s="27" t="s">
        <v>5610</v>
      </c>
      <c r="G27" s="124" t="s">
        <v>5611</v>
      </c>
      <c r="H27" s="72" t="s">
        <v>559</v>
      </c>
      <c r="I27" s="27" t="s">
        <v>5612</v>
      </c>
      <c r="J27" s="27" t="s">
        <v>5613</v>
      </c>
      <c r="K27" s="27" t="s">
        <v>5614</v>
      </c>
      <c r="L27" s="27" t="s">
        <v>5615</v>
      </c>
      <c r="M27" s="27" t="s">
        <v>5616</v>
      </c>
      <c r="N27" s="27" t="s">
        <v>5617</v>
      </c>
      <c r="O27" s="72" t="s">
        <v>1210</v>
      </c>
      <c r="P27" s="123"/>
      <c r="Q27" s="123"/>
      <c r="R27" s="72" t="s">
        <v>1210</v>
      </c>
      <c r="S27" s="27" t="s">
        <v>5618</v>
      </c>
      <c r="T27" s="72" t="s">
        <v>5619</v>
      </c>
      <c r="U27" s="195" t="s">
        <v>2571</v>
      </c>
      <c r="V27" s="72" t="s">
        <v>1393</v>
      </c>
      <c r="W27" s="27" t="s">
        <v>5620</v>
      </c>
      <c r="X27" s="27" t="s">
        <v>5621</v>
      </c>
      <c r="Y27" s="27" t="s">
        <v>5622</v>
      </c>
    </row>
    <row r="28" ht="15.0" customHeight="1">
      <c r="A28" s="138" t="s">
        <v>261</v>
      </c>
      <c r="B28" s="195" t="s">
        <v>2187</v>
      </c>
      <c r="C28" s="195" t="s">
        <v>2188</v>
      </c>
      <c r="D28" s="72" t="s">
        <v>5284</v>
      </c>
      <c r="E28" s="27" t="s">
        <v>5623</v>
      </c>
      <c r="F28" s="27" t="s">
        <v>5624</v>
      </c>
      <c r="G28" s="27" t="s">
        <v>5625</v>
      </c>
      <c r="H28" s="72" t="s">
        <v>49</v>
      </c>
      <c r="I28" s="27" t="s">
        <v>5626</v>
      </c>
      <c r="J28" s="27" t="s">
        <v>5627</v>
      </c>
      <c r="K28" s="27" t="s">
        <v>5628</v>
      </c>
      <c r="L28" s="27" t="s">
        <v>5629</v>
      </c>
      <c r="M28" s="27" t="s">
        <v>2190</v>
      </c>
      <c r="N28" s="27" t="s">
        <v>5630</v>
      </c>
      <c r="O28" s="72" t="s">
        <v>1210</v>
      </c>
      <c r="P28" s="123"/>
      <c r="Q28" s="123"/>
      <c r="R28" s="72" t="s">
        <v>1210</v>
      </c>
      <c r="S28" s="27" t="s">
        <v>5631</v>
      </c>
      <c r="T28" s="72" t="s">
        <v>5518</v>
      </c>
      <c r="U28" s="195" t="s">
        <v>2571</v>
      </c>
      <c r="V28" s="27" t="s">
        <v>5632</v>
      </c>
      <c r="W28" s="27" t="s">
        <v>5633</v>
      </c>
      <c r="X28" s="27" t="s">
        <v>5634</v>
      </c>
      <c r="Y28" s="27" t="s">
        <v>5635</v>
      </c>
    </row>
    <row r="29" ht="15.0" customHeight="1">
      <c r="A29" s="138" t="s">
        <v>261</v>
      </c>
      <c r="B29" s="195" t="s">
        <v>5636</v>
      </c>
      <c r="C29" s="490" t="s">
        <v>3078</v>
      </c>
      <c r="D29" s="72" t="s">
        <v>5298</v>
      </c>
      <c r="E29" s="27" t="s">
        <v>5637</v>
      </c>
      <c r="F29" s="123"/>
      <c r="G29" s="123"/>
      <c r="H29" s="72" t="s">
        <v>559</v>
      </c>
      <c r="I29" s="27" t="s">
        <v>5638</v>
      </c>
      <c r="J29" s="27" t="s">
        <v>5639</v>
      </c>
      <c r="K29" s="27" t="s">
        <v>5640</v>
      </c>
      <c r="L29" s="27" t="s">
        <v>5641</v>
      </c>
      <c r="M29" s="123"/>
      <c r="N29" s="123"/>
      <c r="O29" s="72" t="s">
        <v>1457</v>
      </c>
      <c r="P29" s="27" t="s">
        <v>5642</v>
      </c>
      <c r="Q29" s="27" t="s">
        <v>5643</v>
      </c>
      <c r="R29" s="72" t="s">
        <v>1457</v>
      </c>
      <c r="S29" s="27" t="s">
        <v>5644</v>
      </c>
      <c r="T29" s="123"/>
      <c r="U29" s="195" t="s">
        <v>2571</v>
      </c>
      <c r="V29" s="123"/>
      <c r="W29" s="123"/>
      <c r="X29" s="123"/>
      <c r="Y29" s="123"/>
    </row>
    <row r="30" ht="15.0" customHeight="1">
      <c r="A30" s="138" t="s">
        <v>261</v>
      </c>
      <c r="B30" s="195" t="s">
        <v>2196</v>
      </c>
      <c r="C30" s="195" t="s">
        <v>2197</v>
      </c>
      <c r="D30" s="72" t="s">
        <v>5284</v>
      </c>
      <c r="E30" s="27" t="s">
        <v>5645</v>
      </c>
      <c r="F30" s="26" t="s">
        <v>5646</v>
      </c>
      <c r="G30" s="26" t="s">
        <v>2320</v>
      </c>
      <c r="H30" s="72" t="s">
        <v>49</v>
      </c>
      <c r="I30" s="27" t="s">
        <v>5647</v>
      </c>
      <c r="J30" s="27" t="s">
        <v>5648</v>
      </c>
      <c r="K30" s="27" t="s">
        <v>5649</v>
      </c>
      <c r="L30" s="27" t="s">
        <v>5650</v>
      </c>
      <c r="M30" s="27" t="s">
        <v>2199</v>
      </c>
      <c r="N30" s="27" t="s">
        <v>5651</v>
      </c>
      <c r="O30" s="72" t="s">
        <v>1210</v>
      </c>
      <c r="P30" s="123"/>
      <c r="Q30" s="123"/>
      <c r="R30" s="72" t="s">
        <v>1210</v>
      </c>
      <c r="S30" s="27" t="s">
        <v>5652</v>
      </c>
      <c r="T30" s="72" t="s">
        <v>5030</v>
      </c>
      <c r="U30" s="195" t="s">
        <v>2571</v>
      </c>
      <c r="V30" s="27" t="s">
        <v>5653</v>
      </c>
      <c r="W30" s="27" t="s">
        <v>5654</v>
      </c>
      <c r="X30" s="27" t="s">
        <v>5655</v>
      </c>
      <c r="Y30" s="27" t="s">
        <v>5656</v>
      </c>
    </row>
    <row r="31" ht="17.25" customHeight="1">
      <c r="A31" s="138" t="s">
        <v>261</v>
      </c>
      <c r="B31" s="195" t="s">
        <v>2205</v>
      </c>
      <c r="C31" s="195" t="s">
        <v>2206</v>
      </c>
      <c r="D31" s="72" t="s">
        <v>5284</v>
      </c>
      <c r="E31" s="27" t="s">
        <v>5657</v>
      </c>
      <c r="F31" s="26" t="s">
        <v>5658</v>
      </c>
      <c r="G31" s="26" t="s">
        <v>5659</v>
      </c>
      <c r="H31" s="72" t="s">
        <v>49</v>
      </c>
      <c r="I31" s="27" t="s">
        <v>5660</v>
      </c>
      <c r="J31" s="26" t="s">
        <v>5661</v>
      </c>
      <c r="K31" s="27" t="s">
        <v>5662</v>
      </c>
      <c r="L31" s="27" t="s">
        <v>5663</v>
      </c>
      <c r="M31" s="27" t="s">
        <v>2208</v>
      </c>
      <c r="N31" s="27" t="s">
        <v>5664</v>
      </c>
      <c r="O31" s="72" t="s">
        <v>5003</v>
      </c>
      <c r="P31" s="123"/>
      <c r="Q31" s="123"/>
      <c r="R31" s="72" t="s">
        <v>1210</v>
      </c>
      <c r="S31" s="27" t="s">
        <v>5665</v>
      </c>
      <c r="T31" s="72" t="s">
        <v>1395</v>
      </c>
      <c r="U31" s="195" t="s">
        <v>2571</v>
      </c>
      <c r="V31" s="27" t="s">
        <v>5394</v>
      </c>
      <c r="W31" s="27" t="s">
        <v>5666</v>
      </c>
      <c r="X31" s="27" t="s">
        <v>5667</v>
      </c>
      <c r="Y31" s="27" t="s">
        <v>5668</v>
      </c>
    </row>
    <row r="32" ht="14.25" customHeight="1">
      <c r="A32" s="138" t="s">
        <v>261</v>
      </c>
      <c r="B32" s="195" t="s">
        <v>5669</v>
      </c>
      <c r="C32" s="490" t="s">
        <v>3001</v>
      </c>
      <c r="D32" s="72" t="s">
        <v>5298</v>
      </c>
      <c r="E32" s="27" t="s">
        <v>5670</v>
      </c>
      <c r="F32" s="27" t="s">
        <v>5671</v>
      </c>
      <c r="G32" s="27" t="s">
        <v>5672</v>
      </c>
      <c r="H32" s="72" t="s">
        <v>49</v>
      </c>
      <c r="I32" s="27" t="s">
        <v>5673</v>
      </c>
      <c r="J32" s="26" t="s">
        <v>5674</v>
      </c>
      <c r="K32" s="27" t="s">
        <v>5670</v>
      </c>
      <c r="L32" s="27" t="s">
        <v>5675</v>
      </c>
      <c r="M32" s="27" t="s">
        <v>5676</v>
      </c>
      <c r="N32" s="27" t="s">
        <v>5677</v>
      </c>
      <c r="O32" s="72" t="s">
        <v>1210</v>
      </c>
      <c r="P32" s="123"/>
      <c r="Q32" s="123"/>
      <c r="R32" s="72" t="s">
        <v>1210</v>
      </c>
      <c r="S32" s="27" t="s">
        <v>5678</v>
      </c>
      <c r="T32" s="72" t="s">
        <v>5380</v>
      </c>
      <c r="U32" s="195" t="s">
        <v>2571</v>
      </c>
      <c r="V32" s="27" t="s">
        <v>5679</v>
      </c>
      <c r="W32" s="27" t="s">
        <v>5680</v>
      </c>
      <c r="X32" s="27" t="s">
        <v>5681</v>
      </c>
      <c r="Y32" s="27" t="s">
        <v>5682</v>
      </c>
    </row>
    <row r="33">
      <c r="A33" s="138" t="s">
        <v>93</v>
      </c>
      <c r="B33" s="195" t="s">
        <v>5683</v>
      </c>
      <c r="C33" s="195" t="s">
        <v>3080</v>
      </c>
      <c r="D33" s="123"/>
      <c r="E33" s="123"/>
      <c r="F33" s="123"/>
      <c r="G33" s="123"/>
      <c r="H33" s="123"/>
      <c r="I33" s="123"/>
      <c r="J33" s="123"/>
      <c r="K33" s="123"/>
      <c r="L33" s="123"/>
      <c r="M33" s="123"/>
      <c r="N33" s="123"/>
      <c r="O33" s="123"/>
      <c r="P33" s="72" t="s">
        <v>5684</v>
      </c>
      <c r="Q33" s="123"/>
      <c r="R33" s="123"/>
      <c r="S33" s="123"/>
      <c r="T33" s="123"/>
      <c r="U33" s="195" t="s">
        <v>2571</v>
      </c>
      <c r="V33" s="123"/>
      <c r="W33" s="123"/>
      <c r="X33" s="123"/>
      <c r="Y33" s="123"/>
    </row>
    <row r="34">
      <c r="A34" s="73" t="s">
        <v>93</v>
      </c>
      <c r="B34" s="491" t="s">
        <v>1840</v>
      </c>
      <c r="C34" s="491" t="s">
        <v>1841</v>
      </c>
      <c r="D34" s="123"/>
      <c r="E34" s="123"/>
      <c r="F34" s="123"/>
      <c r="G34" s="72" t="s">
        <v>5685</v>
      </c>
      <c r="H34" s="72" t="s">
        <v>49</v>
      </c>
      <c r="I34" s="72" t="s">
        <v>2216</v>
      </c>
      <c r="J34" s="72" t="s">
        <v>5686</v>
      </c>
      <c r="K34" s="72" t="s">
        <v>5687</v>
      </c>
      <c r="L34" s="123"/>
      <c r="M34" s="72" t="s">
        <v>998</v>
      </c>
      <c r="N34" s="123"/>
      <c r="O34" s="72" t="s">
        <v>931</v>
      </c>
      <c r="P34" s="123"/>
      <c r="Q34" s="123"/>
      <c r="R34" s="72" t="s">
        <v>1210</v>
      </c>
      <c r="S34" s="72" t="s">
        <v>5688</v>
      </c>
      <c r="T34" s="72" t="s">
        <v>1027</v>
      </c>
      <c r="U34" s="195" t="s">
        <v>2571</v>
      </c>
      <c r="V34" s="72" t="s">
        <v>2851</v>
      </c>
      <c r="W34" s="72" t="s">
        <v>5689</v>
      </c>
      <c r="X34" s="72" t="s">
        <v>5421</v>
      </c>
      <c r="Y34" s="123"/>
    </row>
    <row r="35">
      <c r="A35" s="138" t="s">
        <v>93</v>
      </c>
      <c r="B35" s="491" t="s">
        <v>5690</v>
      </c>
      <c r="C35" s="491" t="s">
        <v>3081</v>
      </c>
      <c r="D35" s="123"/>
      <c r="E35" s="123"/>
      <c r="F35" s="123"/>
      <c r="G35" s="123"/>
      <c r="H35" s="123"/>
      <c r="I35" s="123"/>
      <c r="J35" s="123"/>
      <c r="K35" s="123"/>
      <c r="L35" s="123"/>
      <c r="M35" s="123"/>
      <c r="N35" s="123"/>
      <c r="O35" s="72" t="s">
        <v>963</v>
      </c>
      <c r="P35" s="72" t="s">
        <v>5691</v>
      </c>
      <c r="Q35" s="123"/>
      <c r="R35" s="123"/>
      <c r="S35" s="123"/>
      <c r="T35" s="123"/>
      <c r="U35" s="195" t="s">
        <v>2571</v>
      </c>
      <c r="V35" s="123"/>
      <c r="W35" s="123"/>
      <c r="X35" s="123"/>
      <c r="Y35" s="123"/>
    </row>
    <row r="36">
      <c r="A36" s="73" t="s">
        <v>93</v>
      </c>
      <c r="B36" s="491" t="s">
        <v>5692</v>
      </c>
      <c r="C36" s="491" t="s">
        <v>3082</v>
      </c>
      <c r="D36" s="123"/>
      <c r="E36" s="123"/>
      <c r="F36" s="123"/>
      <c r="G36" s="123"/>
      <c r="H36" s="123"/>
      <c r="I36" s="123"/>
      <c r="J36" s="123"/>
      <c r="K36" s="123"/>
      <c r="L36" s="123"/>
      <c r="M36" s="123"/>
      <c r="N36" s="123"/>
      <c r="O36" s="72" t="s">
        <v>963</v>
      </c>
      <c r="P36" s="72" t="s">
        <v>1374</v>
      </c>
      <c r="Q36" s="123"/>
      <c r="R36" s="123"/>
      <c r="S36" s="123"/>
      <c r="T36" s="72" t="s">
        <v>1027</v>
      </c>
      <c r="U36" s="195" t="s">
        <v>2571</v>
      </c>
      <c r="V36" s="123"/>
      <c r="W36" s="123"/>
      <c r="X36" s="123"/>
      <c r="Y36" s="123"/>
    </row>
    <row r="37">
      <c r="A37" s="138" t="s">
        <v>93</v>
      </c>
      <c r="B37" s="491" t="s">
        <v>5693</v>
      </c>
      <c r="C37" s="491" t="s">
        <v>3083</v>
      </c>
      <c r="D37" s="123"/>
      <c r="E37" s="123"/>
      <c r="F37" s="123"/>
      <c r="G37" s="123"/>
      <c r="H37" s="123"/>
      <c r="I37" s="123"/>
      <c r="J37" s="123"/>
      <c r="K37" s="123"/>
      <c r="L37" s="123"/>
      <c r="M37" s="123"/>
      <c r="N37" s="123"/>
      <c r="O37" s="72" t="s">
        <v>963</v>
      </c>
      <c r="P37" s="72" t="s">
        <v>1374</v>
      </c>
      <c r="Q37" s="123"/>
      <c r="R37" s="123"/>
      <c r="S37" s="123"/>
      <c r="T37" s="123"/>
      <c r="U37" s="195" t="s">
        <v>2571</v>
      </c>
      <c r="V37" s="123"/>
      <c r="W37" s="123"/>
      <c r="X37" s="123"/>
      <c r="Y37" s="123"/>
    </row>
    <row r="38">
      <c r="A38" s="73" t="s">
        <v>93</v>
      </c>
      <c r="B38" s="491" t="s">
        <v>5694</v>
      </c>
      <c r="C38" s="491" t="s">
        <v>3084</v>
      </c>
      <c r="D38" s="123"/>
      <c r="E38" s="123"/>
      <c r="F38" s="123"/>
      <c r="G38" s="123"/>
      <c r="H38" s="123"/>
      <c r="I38" s="123"/>
      <c r="J38" s="123"/>
      <c r="K38" s="123"/>
      <c r="L38" s="123"/>
      <c r="M38" s="123"/>
      <c r="N38" s="123"/>
      <c r="O38" s="72" t="s">
        <v>963</v>
      </c>
      <c r="P38" s="72" t="s">
        <v>1374</v>
      </c>
      <c r="Q38" s="123"/>
      <c r="R38" s="123"/>
      <c r="S38" s="123"/>
      <c r="T38" s="123"/>
      <c r="U38" s="195" t="s">
        <v>2571</v>
      </c>
      <c r="V38" s="123"/>
      <c r="W38" s="123"/>
      <c r="X38" s="123"/>
      <c r="Y38" s="123"/>
    </row>
    <row r="39">
      <c r="A39" s="138" t="s">
        <v>93</v>
      </c>
      <c r="B39" s="491" t="s">
        <v>5695</v>
      </c>
      <c r="C39" s="491" t="s">
        <v>3085</v>
      </c>
      <c r="D39" s="123"/>
      <c r="E39" s="123"/>
      <c r="F39" s="123"/>
      <c r="G39" s="123"/>
      <c r="H39" s="123"/>
      <c r="I39" s="123"/>
      <c r="J39" s="123"/>
      <c r="K39" s="123"/>
      <c r="L39" s="123"/>
      <c r="M39" s="123"/>
      <c r="N39" s="123"/>
      <c r="O39" s="72" t="s">
        <v>963</v>
      </c>
      <c r="P39" s="72" t="s">
        <v>1374</v>
      </c>
      <c r="Q39" s="123"/>
      <c r="R39" s="123"/>
      <c r="S39" s="72" t="s">
        <v>5696</v>
      </c>
      <c r="T39" s="123"/>
      <c r="U39" s="195" t="s">
        <v>2571</v>
      </c>
      <c r="V39" s="123"/>
      <c r="W39" s="123"/>
      <c r="X39" s="123"/>
      <c r="Y39" s="123"/>
    </row>
    <row r="40">
      <c r="A40" s="73" t="s">
        <v>93</v>
      </c>
      <c r="B40" s="491" t="s">
        <v>5697</v>
      </c>
      <c r="C40" s="491" t="s">
        <v>1407</v>
      </c>
      <c r="D40" s="123"/>
      <c r="E40" s="123"/>
      <c r="F40" s="123"/>
      <c r="G40" s="123"/>
      <c r="H40" s="123"/>
      <c r="I40" s="123"/>
      <c r="J40" s="123"/>
      <c r="K40" s="123"/>
      <c r="L40" s="123"/>
      <c r="M40" s="123"/>
      <c r="N40" s="123"/>
      <c r="O40" s="72" t="s">
        <v>963</v>
      </c>
      <c r="P40" s="72" t="s">
        <v>1374</v>
      </c>
      <c r="Q40" s="123"/>
      <c r="R40" s="123"/>
      <c r="S40" s="123"/>
      <c r="T40" s="123"/>
      <c r="U40" s="195" t="s">
        <v>2571</v>
      </c>
      <c r="V40" s="123"/>
      <c r="W40" s="123"/>
      <c r="X40" s="123"/>
      <c r="Y40" s="123"/>
    </row>
    <row r="41">
      <c r="A41" s="138" t="s">
        <v>93</v>
      </c>
      <c r="B41" s="491" t="s">
        <v>1848</v>
      </c>
      <c r="C41" s="491" t="s">
        <v>1849</v>
      </c>
      <c r="D41" s="123"/>
      <c r="E41" s="123"/>
      <c r="F41" s="72" t="s">
        <v>5698</v>
      </c>
      <c r="G41" s="72" t="s">
        <v>5699</v>
      </c>
      <c r="H41" s="72" t="s">
        <v>47</v>
      </c>
      <c r="I41" s="72" t="s">
        <v>2216</v>
      </c>
      <c r="J41" s="72" t="s">
        <v>2216</v>
      </c>
      <c r="K41" s="72" t="s">
        <v>5700</v>
      </c>
      <c r="L41" s="123"/>
      <c r="M41" s="72" t="s">
        <v>998</v>
      </c>
      <c r="N41" s="123"/>
      <c r="O41" s="72" t="s">
        <v>931</v>
      </c>
      <c r="P41" s="123"/>
      <c r="Q41" s="123"/>
      <c r="R41" s="72" t="s">
        <v>931</v>
      </c>
      <c r="S41" s="72" t="s">
        <v>5701</v>
      </c>
      <c r="T41" s="72" t="s">
        <v>1779</v>
      </c>
      <c r="U41" s="195" t="s">
        <v>2571</v>
      </c>
      <c r="V41" s="72" t="s">
        <v>5702</v>
      </c>
      <c r="W41" s="72" t="s">
        <v>5703</v>
      </c>
      <c r="X41" s="72" t="s">
        <v>5069</v>
      </c>
      <c r="Y41" s="123"/>
    </row>
    <row r="42">
      <c r="A42" s="73" t="s">
        <v>93</v>
      </c>
      <c r="B42" s="491" t="s">
        <v>5704</v>
      </c>
      <c r="C42" s="491" t="s">
        <v>3086</v>
      </c>
      <c r="D42" s="123"/>
      <c r="E42" s="123"/>
      <c r="F42" s="123"/>
      <c r="G42" s="123"/>
      <c r="H42" s="123"/>
      <c r="I42" s="123"/>
      <c r="J42" s="123"/>
      <c r="K42" s="123"/>
      <c r="L42" s="123"/>
      <c r="M42" s="123"/>
      <c r="N42" s="123"/>
      <c r="O42" s="72" t="s">
        <v>963</v>
      </c>
      <c r="P42" s="72" t="s">
        <v>1374</v>
      </c>
      <c r="Q42" s="123"/>
      <c r="R42" s="123"/>
      <c r="S42" s="123"/>
      <c r="T42" s="123"/>
      <c r="U42" s="195" t="s">
        <v>2571</v>
      </c>
      <c r="V42" s="123"/>
      <c r="W42" s="123"/>
      <c r="X42" s="123"/>
      <c r="Y42" s="123"/>
    </row>
    <row r="43">
      <c r="A43" s="138" t="s">
        <v>93</v>
      </c>
      <c r="B43" s="491" t="s">
        <v>5705</v>
      </c>
      <c r="C43" s="491" t="s">
        <v>3087</v>
      </c>
      <c r="D43" s="123"/>
      <c r="E43" s="123"/>
      <c r="F43" s="123"/>
      <c r="G43" s="123"/>
      <c r="H43" s="123"/>
      <c r="I43" s="123"/>
      <c r="J43" s="123"/>
      <c r="K43" s="123"/>
      <c r="L43" s="123"/>
      <c r="M43" s="123"/>
      <c r="N43" s="123"/>
      <c r="O43" s="72" t="s">
        <v>963</v>
      </c>
      <c r="P43" s="72" t="s">
        <v>5706</v>
      </c>
      <c r="Q43" s="123"/>
      <c r="R43" s="123"/>
      <c r="S43" s="123"/>
      <c r="T43" s="123"/>
      <c r="U43" s="195" t="s">
        <v>2571</v>
      </c>
      <c r="V43" s="123"/>
      <c r="W43" s="123"/>
      <c r="X43" s="123"/>
      <c r="Y43" s="123"/>
    </row>
    <row r="44">
      <c r="A44" s="73" t="s">
        <v>93</v>
      </c>
      <c r="B44" s="491" t="s">
        <v>5707</v>
      </c>
      <c r="C44" s="491" t="s">
        <v>3088</v>
      </c>
      <c r="D44" s="123"/>
      <c r="E44" s="123"/>
      <c r="F44" s="123"/>
      <c r="G44" s="123"/>
      <c r="H44" s="123"/>
      <c r="I44" s="123"/>
      <c r="J44" s="123"/>
      <c r="K44" s="123"/>
      <c r="L44" s="123"/>
      <c r="M44" s="123"/>
      <c r="N44" s="123"/>
      <c r="O44" s="72" t="s">
        <v>963</v>
      </c>
      <c r="P44" s="72" t="s">
        <v>1374</v>
      </c>
      <c r="Q44" s="123"/>
      <c r="R44" s="123"/>
      <c r="S44" s="123"/>
      <c r="T44" s="123"/>
      <c r="U44" s="195" t="s">
        <v>2571</v>
      </c>
      <c r="V44" s="123"/>
      <c r="W44" s="123"/>
      <c r="X44" s="123"/>
      <c r="Y44" s="123"/>
    </row>
    <row r="45">
      <c r="A45" s="138" t="s">
        <v>93</v>
      </c>
      <c r="B45" s="491" t="s">
        <v>5708</v>
      </c>
      <c r="C45" s="491" t="s">
        <v>3089</v>
      </c>
      <c r="D45" s="123"/>
      <c r="E45" s="123"/>
      <c r="F45" s="123"/>
      <c r="G45" s="123"/>
      <c r="H45" s="123"/>
      <c r="I45" s="123"/>
      <c r="J45" s="123"/>
      <c r="K45" s="123"/>
      <c r="L45" s="123"/>
      <c r="M45" s="123"/>
      <c r="N45" s="123"/>
      <c r="O45" s="72" t="s">
        <v>963</v>
      </c>
      <c r="P45" s="72" t="s">
        <v>1374</v>
      </c>
      <c r="Q45" s="123"/>
      <c r="R45" s="123"/>
      <c r="S45" s="123"/>
      <c r="T45" s="123"/>
      <c r="U45" s="195" t="s">
        <v>2571</v>
      </c>
      <c r="V45" s="123"/>
      <c r="W45" s="123"/>
      <c r="X45" s="123"/>
      <c r="Y45" s="123"/>
    </row>
    <row r="46">
      <c r="A46" s="73" t="s">
        <v>93</v>
      </c>
      <c r="B46" s="491" t="s">
        <v>5709</v>
      </c>
      <c r="C46" s="491" t="s">
        <v>3090</v>
      </c>
      <c r="D46" s="123"/>
      <c r="E46" s="123"/>
      <c r="F46" s="123"/>
      <c r="G46" s="123"/>
      <c r="H46" s="123"/>
      <c r="I46" s="123"/>
      <c r="J46" s="123"/>
      <c r="K46" s="123"/>
      <c r="L46" s="123"/>
      <c r="M46" s="123"/>
      <c r="N46" s="123"/>
      <c r="O46" s="72" t="s">
        <v>963</v>
      </c>
      <c r="P46" s="72" t="s">
        <v>4569</v>
      </c>
      <c r="Q46" s="123"/>
      <c r="R46" s="123"/>
      <c r="S46" s="123"/>
      <c r="T46" s="72" t="s">
        <v>1779</v>
      </c>
      <c r="U46" s="195" t="s">
        <v>2571</v>
      </c>
      <c r="V46" s="123"/>
      <c r="W46" s="123"/>
      <c r="X46" s="123"/>
      <c r="Y46" s="123"/>
    </row>
    <row r="47">
      <c r="A47" s="138" t="s">
        <v>93</v>
      </c>
      <c r="B47" s="491" t="s">
        <v>5710</v>
      </c>
      <c r="C47" s="491" t="s">
        <v>3091</v>
      </c>
      <c r="D47" s="123"/>
      <c r="E47" s="123"/>
      <c r="F47" s="123"/>
      <c r="G47" s="123"/>
      <c r="H47" s="123"/>
      <c r="I47" s="123"/>
      <c r="J47" s="123"/>
      <c r="K47" s="123"/>
      <c r="L47" s="123"/>
      <c r="M47" s="123"/>
      <c r="N47" s="123"/>
      <c r="O47" s="72" t="s">
        <v>963</v>
      </c>
      <c r="P47" s="72" t="s">
        <v>5711</v>
      </c>
      <c r="Q47" s="123"/>
      <c r="R47" s="123"/>
      <c r="S47" s="123"/>
      <c r="T47" s="123"/>
      <c r="U47" s="195" t="s">
        <v>2571</v>
      </c>
      <c r="V47" s="123"/>
      <c r="W47" s="123"/>
      <c r="X47" s="123"/>
      <c r="Y47" s="123"/>
    </row>
    <row r="48">
      <c r="A48" s="73" t="s">
        <v>93</v>
      </c>
      <c r="B48" s="491" t="s">
        <v>5712</v>
      </c>
      <c r="C48" s="491" t="s">
        <v>3092</v>
      </c>
      <c r="D48" s="123"/>
      <c r="E48" s="123"/>
      <c r="F48" s="123"/>
      <c r="G48" s="123"/>
      <c r="H48" s="123"/>
      <c r="I48" s="123"/>
      <c r="J48" s="123"/>
      <c r="K48" s="123"/>
      <c r="L48" s="123"/>
      <c r="M48" s="123"/>
      <c r="N48" s="123"/>
      <c r="O48" s="72" t="s">
        <v>963</v>
      </c>
      <c r="P48" s="123"/>
      <c r="Q48" s="123"/>
      <c r="R48" s="123"/>
      <c r="S48" s="123"/>
      <c r="T48" s="123"/>
      <c r="U48" s="195" t="s">
        <v>2571</v>
      </c>
      <c r="V48" s="123"/>
      <c r="W48" s="123"/>
      <c r="X48" s="123"/>
      <c r="Y48" s="123"/>
    </row>
    <row r="49">
      <c r="A49" s="138" t="s">
        <v>93</v>
      </c>
      <c r="B49" s="491" t="s">
        <v>5713</v>
      </c>
      <c r="C49" s="491" t="s">
        <v>3093</v>
      </c>
      <c r="D49" s="123"/>
      <c r="E49" s="123"/>
      <c r="F49" s="123"/>
      <c r="G49" s="123"/>
      <c r="H49" s="123"/>
      <c r="I49" s="123"/>
      <c r="J49" s="123"/>
      <c r="K49" s="123"/>
      <c r="L49" s="123"/>
      <c r="M49" s="123"/>
      <c r="N49" s="123"/>
      <c r="O49" s="72" t="s">
        <v>963</v>
      </c>
      <c r="P49" s="72" t="s">
        <v>5714</v>
      </c>
      <c r="Q49" s="123"/>
      <c r="R49" s="123"/>
      <c r="S49" s="123"/>
      <c r="T49" s="123"/>
      <c r="U49" s="195" t="s">
        <v>2569</v>
      </c>
      <c r="V49" s="123"/>
      <c r="W49" s="123"/>
      <c r="X49" s="123"/>
      <c r="Y49" s="123"/>
    </row>
    <row r="50">
      <c r="A50" s="73" t="s">
        <v>93</v>
      </c>
      <c r="B50" s="491" t="s">
        <v>5715</v>
      </c>
      <c r="C50" s="491" t="s">
        <v>3094</v>
      </c>
      <c r="D50" s="123"/>
      <c r="E50" s="123"/>
      <c r="F50" s="123"/>
      <c r="G50" s="123"/>
      <c r="H50" s="123"/>
      <c r="I50" s="123"/>
      <c r="J50" s="123"/>
      <c r="K50" s="123"/>
      <c r="L50" s="123"/>
      <c r="M50" s="123"/>
      <c r="N50" s="123"/>
      <c r="O50" s="72" t="s">
        <v>963</v>
      </c>
      <c r="P50" s="72" t="s">
        <v>5716</v>
      </c>
      <c r="Q50" s="123"/>
      <c r="R50" s="123"/>
      <c r="S50" s="123"/>
      <c r="T50" s="123"/>
      <c r="U50" s="195" t="s">
        <v>2569</v>
      </c>
      <c r="V50" s="123"/>
      <c r="W50" s="123"/>
      <c r="X50" s="123"/>
      <c r="Y50" s="123"/>
    </row>
    <row r="51">
      <c r="A51" s="138" t="s">
        <v>93</v>
      </c>
      <c r="B51" s="491" t="s">
        <v>5717</v>
      </c>
      <c r="C51" s="491" t="s">
        <v>3095</v>
      </c>
      <c r="D51" s="123"/>
      <c r="E51" s="123"/>
      <c r="F51" s="123"/>
      <c r="G51" s="123"/>
      <c r="H51" s="123"/>
      <c r="I51" s="123"/>
      <c r="J51" s="123"/>
      <c r="K51" s="123"/>
      <c r="L51" s="123"/>
      <c r="M51" s="123"/>
      <c r="N51" s="123"/>
      <c r="O51" s="72" t="s">
        <v>963</v>
      </c>
      <c r="P51" s="72" t="s">
        <v>1374</v>
      </c>
      <c r="Q51" s="123"/>
      <c r="R51" s="123"/>
      <c r="S51" s="123"/>
      <c r="T51" s="123"/>
      <c r="U51" s="195" t="s">
        <v>2569</v>
      </c>
      <c r="V51" s="123"/>
      <c r="W51" s="123"/>
      <c r="X51" s="123"/>
      <c r="Y51" s="123"/>
    </row>
    <row r="52">
      <c r="A52" s="73" t="s">
        <v>93</v>
      </c>
      <c r="B52" s="491" t="s">
        <v>5718</v>
      </c>
      <c r="C52" s="491" t="s">
        <v>3096</v>
      </c>
      <c r="D52" s="123"/>
      <c r="E52" s="123"/>
      <c r="F52" s="123"/>
      <c r="G52" s="123"/>
      <c r="H52" s="123"/>
      <c r="I52" s="123"/>
      <c r="J52" s="123"/>
      <c r="K52" s="123"/>
      <c r="L52" s="123"/>
      <c r="M52" s="123"/>
      <c r="N52" s="123"/>
      <c r="O52" s="72" t="s">
        <v>963</v>
      </c>
      <c r="P52" s="72" t="s">
        <v>5719</v>
      </c>
      <c r="Q52" s="123"/>
      <c r="R52" s="123"/>
      <c r="S52" s="123"/>
      <c r="T52" s="123"/>
      <c r="U52" s="195" t="s">
        <v>2569</v>
      </c>
      <c r="V52" s="123"/>
      <c r="W52" s="123"/>
      <c r="X52" s="123"/>
      <c r="Y52" s="123"/>
    </row>
    <row r="53">
      <c r="A53" s="138" t="s">
        <v>93</v>
      </c>
      <c r="B53" s="491" t="s">
        <v>5720</v>
      </c>
      <c r="C53" s="491" t="s">
        <v>3097</v>
      </c>
      <c r="D53" s="123"/>
      <c r="E53" s="123"/>
      <c r="F53" s="123"/>
      <c r="G53" s="123"/>
      <c r="H53" s="123"/>
      <c r="I53" s="123"/>
      <c r="J53" s="123"/>
      <c r="K53" s="123"/>
      <c r="L53" s="123"/>
      <c r="M53" s="123"/>
      <c r="N53" s="123"/>
      <c r="O53" s="72" t="s">
        <v>963</v>
      </c>
      <c r="P53" s="72" t="s">
        <v>1374</v>
      </c>
      <c r="Q53" s="123"/>
      <c r="R53" s="123"/>
      <c r="S53" s="123"/>
      <c r="T53" s="123"/>
      <c r="U53" s="195" t="s">
        <v>2569</v>
      </c>
      <c r="V53" s="123"/>
      <c r="W53" s="123"/>
      <c r="X53" s="123"/>
      <c r="Y53" s="123"/>
    </row>
    <row r="54">
      <c r="A54" s="492" t="s">
        <v>93</v>
      </c>
      <c r="B54" s="493" t="s">
        <v>5721</v>
      </c>
      <c r="C54" s="493" t="s">
        <v>3098</v>
      </c>
      <c r="D54" s="131"/>
      <c r="E54" s="131"/>
      <c r="F54" s="131"/>
      <c r="G54" s="131"/>
      <c r="H54" s="131"/>
      <c r="I54" s="131"/>
      <c r="J54" s="131"/>
      <c r="K54" s="131"/>
      <c r="L54" s="131"/>
      <c r="M54" s="131"/>
      <c r="N54" s="131"/>
      <c r="O54" s="129" t="s">
        <v>963</v>
      </c>
      <c r="P54" s="129" t="s">
        <v>1374</v>
      </c>
      <c r="Q54" s="131"/>
      <c r="R54" s="131"/>
      <c r="S54" s="131"/>
      <c r="T54" s="131"/>
      <c r="U54" s="494" t="s">
        <v>2569</v>
      </c>
      <c r="V54" s="131"/>
      <c r="W54" s="131"/>
      <c r="X54" s="131"/>
      <c r="Y54" s="131"/>
      <c r="Z54" s="16"/>
      <c r="AA54" s="16"/>
    </row>
    <row r="55">
      <c r="A55" s="138" t="s">
        <v>181</v>
      </c>
      <c r="B55" s="195" t="s">
        <v>1380</v>
      </c>
      <c r="C55" s="195" t="s">
        <v>1381</v>
      </c>
      <c r="D55" s="72" t="s">
        <v>5298</v>
      </c>
      <c r="E55" s="123"/>
      <c r="F55" s="26" t="s">
        <v>5722</v>
      </c>
      <c r="G55" s="72" t="s">
        <v>5723</v>
      </c>
      <c r="H55" s="72" t="s">
        <v>47</v>
      </c>
      <c r="I55" s="72" t="s">
        <v>5724</v>
      </c>
      <c r="J55" s="72" t="s">
        <v>5725</v>
      </c>
      <c r="K55" s="72" t="s">
        <v>5726</v>
      </c>
      <c r="L55" s="72" t="s">
        <v>5727</v>
      </c>
      <c r="M55" s="72" t="s">
        <v>1764</v>
      </c>
      <c r="N55" s="72" t="s">
        <v>5728</v>
      </c>
      <c r="O55" s="72" t="s">
        <v>5729</v>
      </c>
      <c r="P55" s="123"/>
      <c r="Q55" s="123"/>
      <c r="R55" s="72" t="s">
        <v>1210</v>
      </c>
      <c r="S55" s="72" t="s">
        <v>5730</v>
      </c>
      <c r="T55" s="72" t="s">
        <v>1385</v>
      </c>
      <c r="U55" s="195" t="s">
        <v>2569</v>
      </c>
      <c r="V55" s="72" t="s">
        <v>5731</v>
      </c>
      <c r="W55" s="123"/>
      <c r="X55" s="72" t="s">
        <v>5732</v>
      </c>
      <c r="Y55" s="72" t="s">
        <v>5733</v>
      </c>
    </row>
    <row r="56">
      <c r="A56" s="138" t="s">
        <v>181</v>
      </c>
      <c r="B56" s="195" t="s">
        <v>5734</v>
      </c>
      <c r="C56" s="195" t="s">
        <v>3099</v>
      </c>
      <c r="D56" s="123"/>
      <c r="E56" s="123"/>
      <c r="F56" s="123"/>
      <c r="G56" s="123"/>
      <c r="H56" s="123"/>
      <c r="I56" s="123"/>
      <c r="J56" s="123"/>
      <c r="K56" s="123"/>
      <c r="L56" s="123"/>
      <c r="M56" s="123"/>
      <c r="N56" s="123"/>
      <c r="O56" s="72" t="s">
        <v>1457</v>
      </c>
      <c r="P56" s="72" t="s">
        <v>5735</v>
      </c>
      <c r="Q56" s="123"/>
      <c r="R56" s="72" t="s">
        <v>1210</v>
      </c>
      <c r="S56" s="123"/>
      <c r="T56" s="123"/>
      <c r="U56" s="195" t="s">
        <v>2569</v>
      </c>
      <c r="V56" s="123"/>
      <c r="W56" s="123"/>
      <c r="X56" s="123"/>
      <c r="Y56" s="123"/>
    </row>
    <row r="57">
      <c r="A57" s="138" t="s">
        <v>181</v>
      </c>
      <c r="B57" s="195" t="s">
        <v>1390</v>
      </c>
      <c r="C57" s="195" t="s">
        <v>1391</v>
      </c>
      <c r="D57" s="123"/>
      <c r="E57" s="123"/>
      <c r="F57" s="72" t="s">
        <v>5736</v>
      </c>
      <c r="G57" s="72" t="s">
        <v>1949</v>
      </c>
      <c r="H57" s="72" t="s">
        <v>49</v>
      </c>
      <c r="I57" s="72" t="s">
        <v>5737</v>
      </c>
      <c r="J57" s="72" t="s">
        <v>5738</v>
      </c>
      <c r="K57" s="72" t="s">
        <v>5739</v>
      </c>
      <c r="L57" s="72" t="s">
        <v>5740</v>
      </c>
      <c r="M57" s="72" t="s">
        <v>5741</v>
      </c>
      <c r="N57" s="72" t="s">
        <v>5742</v>
      </c>
      <c r="O57" s="72" t="s">
        <v>1210</v>
      </c>
      <c r="P57" s="123"/>
      <c r="Q57" s="123"/>
      <c r="R57" s="72" t="s">
        <v>1210</v>
      </c>
      <c r="S57" s="72" t="s">
        <v>5743</v>
      </c>
      <c r="T57" s="72" t="s">
        <v>1395</v>
      </c>
      <c r="U57" s="195" t="s">
        <v>2569</v>
      </c>
      <c r="V57" s="72" t="s">
        <v>620</v>
      </c>
      <c r="W57" s="123"/>
      <c r="X57" s="72" t="s">
        <v>5744</v>
      </c>
      <c r="Y57" s="123"/>
    </row>
    <row r="58">
      <c r="A58" s="138" t="s">
        <v>181</v>
      </c>
      <c r="B58" s="195" t="s">
        <v>5745</v>
      </c>
      <c r="C58" s="195" t="s">
        <v>3100</v>
      </c>
      <c r="D58" s="123"/>
      <c r="E58" s="123"/>
      <c r="F58" s="123"/>
      <c r="G58" s="72"/>
      <c r="H58" s="72"/>
      <c r="I58" s="123"/>
      <c r="J58" s="123"/>
      <c r="K58" s="123"/>
      <c r="L58" s="123"/>
      <c r="M58" s="123"/>
      <c r="N58" s="123"/>
      <c r="O58" s="72" t="s">
        <v>1457</v>
      </c>
      <c r="P58" s="72" t="s">
        <v>5746</v>
      </c>
      <c r="Q58" s="123"/>
      <c r="R58" s="72" t="s">
        <v>1210</v>
      </c>
      <c r="S58" s="123"/>
      <c r="T58" s="123"/>
      <c r="U58" s="195" t="s">
        <v>2569</v>
      </c>
      <c r="V58" s="123"/>
      <c r="W58" s="123"/>
      <c r="X58" s="123"/>
      <c r="Y58" s="123"/>
    </row>
    <row r="59">
      <c r="A59" s="138" t="s">
        <v>181</v>
      </c>
      <c r="B59" s="195" t="s">
        <v>5747</v>
      </c>
      <c r="C59" s="195" t="s">
        <v>3101</v>
      </c>
      <c r="D59" s="123"/>
      <c r="E59" s="123"/>
      <c r="F59" s="123"/>
      <c r="G59" s="123"/>
      <c r="H59" s="123"/>
      <c r="I59" s="123"/>
      <c r="J59" s="123"/>
      <c r="K59" s="123"/>
      <c r="L59" s="123"/>
      <c r="M59" s="123"/>
      <c r="N59" s="123"/>
      <c r="O59" s="72" t="s">
        <v>1457</v>
      </c>
      <c r="P59" s="72" t="s">
        <v>5735</v>
      </c>
      <c r="Q59" s="123"/>
      <c r="R59" s="72" t="s">
        <v>1210</v>
      </c>
      <c r="S59" s="123"/>
      <c r="T59" s="123"/>
      <c r="U59" s="195" t="s">
        <v>2569</v>
      </c>
      <c r="V59" s="123"/>
      <c r="W59" s="123"/>
      <c r="X59" s="123"/>
      <c r="Y59" s="123"/>
    </row>
    <row r="60">
      <c r="A60" s="138" t="s">
        <v>181</v>
      </c>
      <c r="B60" s="195" t="s">
        <v>5748</v>
      </c>
      <c r="C60" s="195" t="s">
        <v>3102</v>
      </c>
      <c r="D60" s="123"/>
      <c r="E60" s="123"/>
      <c r="F60" s="123"/>
      <c r="G60" s="123"/>
      <c r="H60" s="123"/>
      <c r="I60" s="123"/>
      <c r="J60" s="123"/>
      <c r="K60" s="123"/>
      <c r="L60" s="123"/>
      <c r="M60" s="123"/>
      <c r="N60" s="123"/>
      <c r="O60" s="72" t="s">
        <v>1457</v>
      </c>
      <c r="P60" s="72" t="s">
        <v>5735</v>
      </c>
      <c r="Q60" s="123"/>
      <c r="R60" s="72" t="s">
        <v>1210</v>
      </c>
      <c r="S60" s="123"/>
      <c r="T60" s="123"/>
      <c r="U60" s="195" t="s">
        <v>2569</v>
      </c>
      <c r="V60" s="123"/>
      <c r="W60" s="123"/>
      <c r="X60" s="123"/>
      <c r="Y60" s="123"/>
    </row>
    <row r="61">
      <c r="A61" s="138" t="s">
        <v>181</v>
      </c>
      <c r="B61" s="195" t="s">
        <v>1399</v>
      </c>
      <c r="C61" s="195" t="s">
        <v>1400</v>
      </c>
      <c r="D61" s="123"/>
      <c r="E61" s="123"/>
      <c r="F61" s="123"/>
      <c r="G61" s="123"/>
      <c r="H61" s="72" t="s">
        <v>49</v>
      </c>
      <c r="I61" s="72" t="s">
        <v>5749</v>
      </c>
      <c r="J61" s="72" t="s">
        <v>2216</v>
      </c>
      <c r="K61" s="72" t="s">
        <v>5750</v>
      </c>
      <c r="L61" s="72" t="s">
        <v>2216</v>
      </c>
      <c r="M61" s="72" t="s">
        <v>1764</v>
      </c>
      <c r="N61" s="123"/>
      <c r="O61" s="72" t="s">
        <v>1210</v>
      </c>
      <c r="P61" s="123"/>
      <c r="Q61" s="123"/>
      <c r="R61" s="72" t="s">
        <v>1210</v>
      </c>
      <c r="S61" s="72" t="s">
        <v>5751</v>
      </c>
      <c r="T61" s="72" t="s">
        <v>5752</v>
      </c>
      <c r="U61" s="195" t="s">
        <v>2569</v>
      </c>
      <c r="V61" s="72" t="s">
        <v>1003</v>
      </c>
      <c r="W61" s="123"/>
      <c r="X61" s="72" t="s">
        <v>5753</v>
      </c>
      <c r="Y61" s="123"/>
    </row>
    <row r="62">
      <c r="A62" s="138" t="s">
        <v>181</v>
      </c>
      <c r="B62" s="195" t="s">
        <v>1406</v>
      </c>
      <c r="C62" s="195" t="s">
        <v>1407</v>
      </c>
      <c r="D62" s="123"/>
      <c r="E62" s="123"/>
      <c r="F62" s="72" t="s">
        <v>5754</v>
      </c>
      <c r="G62" s="123"/>
      <c r="H62" s="72" t="s">
        <v>49</v>
      </c>
      <c r="I62" s="72" t="s">
        <v>5755</v>
      </c>
      <c r="J62" s="72" t="s">
        <v>5756</v>
      </c>
      <c r="K62" s="72" t="s">
        <v>5757</v>
      </c>
      <c r="L62" s="72" t="s">
        <v>2216</v>
      </c>
      <c r="M62" s="72" t="s">
        <v>998</v>
      </c>
      <c r="N62" s="123"/>
      <c r="O62" s="72" t="s">
        <v>1210</v>
      </c>
      <c r="P62" s="123"/>
      <c r="Q62" s="123"/>
      <c r="R62" s="72" t="s">
        <v>1210</v>
      </c>
      <c r="S62" s="72" t="s">
        <v>5758</v>
      </c>
      <c r="T62" s="123"/>
      <c r="U62" s="195" t="s">
        <v>2569</v>
      </c>
      <c r="V62" s="72" t="s">
        <v>620</v>
      </c>
      <c r="W62" s="123"/>
      <c r="X62" s="72" t="s">
        <v>5759</v>
      </c>
      <c r="Y62" s="123"/>
    </row>
    <row r="63">
      <c r="A63" s="138" t="s">
        <v>181</v>
      </c>
      <c r="B63" s="195" t="s">
        <v>5760</v>
      </c>
      <c r="C63" s="195" t="s">
        <v>3103</v>
      </c>
      <c r="D63" s="123"/>
      <c r="E63" s="123"/>
      <c r="F63" s="123"/>
      <c r="G63" s="123"/>
      <c r="H63" s="123"/>
      <c r="I63" s="123"/>
      <c r="J63" s="123"/>
      <c r="K63" s="123"/>
      <c r="L63" s="123"/>
      <c r="M63" s="123"/>
      <c r="N63" s="123"/>
      <c r="O63" s="72" t="s">
        <v>1457</v>
      </c>
      <c r="P63" s="72" t="s">
        <v>5761</v>
      </c>
      <c r="Q63" s="123"/>
      <c r="R63" s="72" t="s">
        <v>1210</v>
      </c>
      <c r="S63" s="123"/>
      <c r="T63" s="123"/>
      <c r="U63" s="195" t="s">
        <v>2569</v>
      </c>
      <c r="V63" s="123"/>
      <c r="W63" s="123"/>
      <c r="X63" s="123"/>
      <c r="Y63" s="123"/>
    </row>
    <row r="64">
      <c r="A64" s="138" t="s">
        <v>181</v>
      </c>
      <c r="B64" s="195" t="s">
        <v>5762</v>
      </c>
      <c r="C64" s="195" t="s">
        <v>3104</v>
      </c>
      <c r="D64" s="123"/>
      <c r="E64" s="123"/>
      <c r="F64" s="123"/>
      <c r="G64" s="123"/>
      <c r="H64" s="123"/>
      <c r="I64" s="123"/>
      <c r="J64" s="123"/>
      <c r="K64" s="123"/>
      <c r="L64" s="123"/>
      <c r="M64" s="123"/>
      <c r="N64" s="123"/>
      <c r="O64" s="72" t="s">
        <v>1457</v>
      </c>
      <c r="P64" s="72" t="s">
        <v>5763</v>
      </c>
      <c r="Q64" s="123"/>
      <c r="R64" s="72" t="s">
        <v>1210</v>
      </c>
      <c r="S64" s="123"/>
      <c r="T64" s="123"/>
      <c r="U64" s="195" t="s">
        <v>2569</v>
      </c>
      <c r="V64" s="123"/>
      <c r="W64" s="123"/>
      <c r="X64" s="123"/>
      <c r="Y64" s="123"/>
    </row>
    <row r="65">
      <c r="A65" s="138" t="s">
        <v>181</v>
      </c>
      <c r="B65" s="195" t="s">
        <v>5764</v>
      </c>
      <c r="C65" s="195" t="s">
        <v>3105</v>
      </c>
      <c r="D65" s="123"/>
      <c r="E65" s="123"/>
      <c r="F65" s="123"/>
      <c r="G65" s="123"/>
      <c r="H65" s="123"/>
      <c r="I65" s="123"/>
      <c r="J65" s="123"/>
      <c r="K65" s="123"/>
      <c r="L65" s="123"/>
      <c r="M65" s="123"/>
      <c r="N65" s="123"/>
      <c r="O65" s="72" t="s">
        <v>1457</v>
      </c>
      <c r="P65" s="72" t="s">
        <v>5763</v>
      </c>
      <c r="Q65" s="123"/>
      <c r="R65" s="72" t="s">
        <v>1210</v>
      </c>
      <c r="S65" s="123"/>
      <c r="T65" s="123"/>
      <c r="U65" s="195" t="s">
        <v>2569</v>
      </c>
      <c r="V65" s="123"/>
      <c r="W65" s="123"/>
      <c r="X65" s="123"/>
      <c r="Y65" s="123"/>
    </row>
    <row r="66">
      <c r="A66" s="138" t="s">
        <v>181</v>
      </c>
      <c r="B66" s="195" t="s">
        <v>5765</v>
      </c>
      <c r="C66" s="195" t="s">
        <v>3106</v>
      </c>
      <c r="D66" s="123"/>
      <c r="E66" s="123"/>
      <c r="F66" s="123"/>
      <c r="G66" s="123"/>
      <c r="H66" s="123"/>
      <c r="I66" s="123"/>
      <c r="J66" s="123"/>
      <c r="K66" s="123"/>
      <c r="L66" s="123"/>
      <c r="M66" s="123"/>
      <c r="N66" s="123"/>
      <c r="O66" s="72" t="s">
        <v>1457</v>
      </c>
      <c r="P66" s="72" t="s">
        <v>5766</v>
      </c>
      <c r="Q66" s="123"/>
      <c r="R66" s="72" t="s">
        <v>1210</v>
      </c>
      <c r="S66" s="123"/>
      <c r="T66" s="123"/>
      <c r="U66" s="195" t="s">
        <v>2569</v>
      </c>
      <c r="V66" s="123"/>
      <c r="W66" s="123"/>
      <c r="X66" s="123"/>
      <c r="Y66" s="123"/>
    </row>
    <row r="67">
      <c r="A67" s="138" t="s">
        <v>181</v>
      </c>
      <c r="B67" s="195" t="s">
        <v>5767</v>
      </c>
      <c r="C67" s="195" t="s">
        <v>3107</v>
      </c>
      <c r="D67" s="123"/>
      <c r="E67" s="123"/>
      <c r="F67" s="123"/>
      <c r="G67" s="123"/>
      <c r="H67" s="123"/>
      <c r="I67" s="123"/>
      <c r="J67" s="123"/>
      <c r="K67" s="123"/>
      <c r="L67" s="123"/>
      <c r="M67" s="123"/>
      <c r="N67" s="123"/>
      <c r="O67" s="72" t="s">
        <v>1457</v>
      </c>
      <c r="P67" s="72" t="s">
        <v>5768</v>
      </c>
      <c r="Q67" s="123"/>
      <c r="R67" s="72" t="s">
        <v>1210</v>
      </c>
      <c r="S67" s="123"/>
      <c r="T67" s="123"/>
      <c r="U67" s="195" t="s">
        <v>2569</v>
      </c>
      <c r="V67" s="123"/>
      <c r="W67" s="123"/>
      <c r="X67" s="123"/>
      <c r="Y67" s="123"/>
    </row>
    <row r="68">
      <c r="A68" s="138" t="s">
        <v>181</v>
      </c>
      <c r="B68" s="195" t="s">
        <v>5769</v>
      </c>
      <c r="C68" s="195" t="s">
        <v>3108</v>
      </c>
      <c r="D68" s="123"/>
      <c r="E68" s="123"/>
      <c r="F68" s="123"/>
      <c r="G68" s="123"/>
      <c r="H68" s="123"/>
      <c r="I68" s="123"/>
      <c r="J68" s="123"/>
      <c r="K68" s="123"/>
      <c r="L68" s="123"/>
      <c r="M68" s="123"/>
      <c r="N68" s="123"/>
      <c r="O68" s="72" t="s">
        <v>1457</v>
      </c>
      <c r="P68" s="72" t="s">
        <v>5770</v>
      </c>
      <c r="Q68" s="123"/>
      <c r="R68" s="72" t="s">
        <v>1210</v>
      </c>
      <c r="S68" s="123"/>
      <c r="T68" s="123"/>
      <c r="U68" s="195" t="s">
        <v>2569</v>
      </c>
      <c r="V68" s="123"/>
      <c r="W68" s="123"/>
      <c r="X68" s="123"/>
      <c r="Y68" s="123"/>
    </row>
    <row r="69">
      <c r="A69" s="138" t="s">
        <v>181</v>
      </c>
      <c r="B69" s="195" t="s">
        <v>5771</v>
      </c>
      <c r="C69" s="195" t="s">
        <v>3109</v>
      </c>
      <c r="D69" s="123"/>
      <c r="E69" s="123"/>
      <c r="F69" s="123"/>
      <c r="G69" s="123"/>
      <c r="H69" s="123"/>
      <c r="I69" s="123"/>
      <c r="J69" s="123"/>
      <c r="K69" s="123"/>
      <c r="L69" s="123"/>
      <c r="M69" s="123"/>
      <c r="N69" s="123"/>
      <c r="O69" s="72" t="s">
        <v>1457</v>
      </c>
      <c r="P69" s="72" t="s">
        <v>5735</v>
      </c>
      <c r="Q69" s="123"/>
      <c r="R69" s="72" t="s">
        <v>1210</v>
      </c>
      <c r="S69" s="123"/>
      <c r="T69" s="123"/>
      <c r="U69" s="195" t="s">
        <v>2567</v>
      </c>
      <c r="V69" s="123"/>
      <c r="W69" s="123"/>
      <c r="X69" s="123"/>
      <c r="Y69" s="123"/>
    </row>
    <row r="70">
      <c r="A70" s="138" t="s">
        <v>181</v>
      </c>
      <c r="B70" s="195" t="s">
        <v>5772</v>
      </c>
      <c r="C70" s="195" t="s">
        <v>3110</v>
      </c>
      <c r="D70" s="123"/>
      <c r="E70" s="123"/>
      <c r="F70" s="123"/>
      <c r="G70" s="123"/>
      <c r="H70" s="123"/>
      <c r="I70" s="123"/>
      <c r="J70" s="123"/>
      <c r="K70" s="123"/>
      <c r="L70" s="123"/>
      <c r="M70" s="123"/>
      <c r="N70" s="123"/>
      <c r="O70" s="72" t="s">
        <v>1457</v>
      </c>
      <c r="P70" s="72" t="s">
        <v>5735</v>
      </c>
      <c r="Q70" s="123"/>
      <c r="R70" s="72" t="s">
        <v>1210</v>
      </c>
      <c r="S70" s="123"/>
      <c r="T70" s="123"/>
      <c r="U70" s="195" t="s">
        <v>2567</v>
      </c>
      <c r="V70" s="123"/>
      <c r="W70" s="123"/>
      <c r="X70" s="123"/>
      <c r="Y70" s="123"/>
    </row>
    <row r="71">
      <c r="A71" s="138" t="s">
        <v>181</v>
      </c>
      <c r="B71" s="195" t="s">
        <v>5773</v>
      </c>
      <c r="C71" s="195" t="s">
        <v>3111</v>
      </c>
      <c r="D71" s="123"/>
      <c r="E71" s="123"/>
      <c r="F71" s="123"/>
      <c r="G71" s="123"/>
      <c r="H71" s="123"/>
      <c r="I71" s="123"/>
      <c r="J71" s="123"/>
      <c r="K71" s="123"/>
      <c r="L71" s="123"/>
      <c r="M71" s="123"/>
      <c r="N71" s="123"/>
      <c r="O71" s="72" t="s">
        <v>1457</v>
      </c>
      <c r="P71" s="72" t="s">
        <v>5735</v>
      </c>
      <c r="Q71" s="123"/>
      <c r="R71" s="72" t="s">
        <v>1210</v>
      </c>
      <c r="S71" s="123"/>
      <c r="T71" s="123"/>
      <c r="U71" s="195" t="s">
        <v>2567</v>
      </c>
      <c r="V71" s="123"/>
      <c r="W71" s="123"/>
      <c r="X71" s="123"/>
      <c r="Y71" s="123"/>
    </row>
    <row r="72">
      <c r="A72" s="138" t="s">
        <v>181</v>
      </c>
      <c r="B72" s="195" t="s">
        <v>5774</v>
      </c>
      <c r="C72" s="195" t="s">
        <v>3112</v>
      </c>
      <c r="D72" s="123"/>
      <c r="E72" s="123"/>
      <c r="F72" s="123"/>
      <c r="G72" s="123"/>
      <c r="H72" s="123"/>
      <c r="I72" s="123"/>
      <c r="J72" s="123"/>
      <c r="K72" s="123"/>
      <c r="L72" s="123"/>
      <c r="M72" s="123"/>
      <c r="N72" s="123"/>
      <c r="O72" s="72" t="s">
        <v>1457</v>
      </c>
      <c r="P72" s="72" t="s">
        <v>5735</v>
      </c>
      <c r="Q72" s="123"/>
      <c r="R72" s="72" t="s">
        <v>1210</v>
      </c>
      <c r="S72" s="123"/>
      <c r="T72" s="123"/>
      <c r="U72" s="195" t="s">
        <v>2567</v>
      </c>
      <c r="V72" s="123"/>
      <c r="W72" s="123"/>
      <c r="X72" s="123"/>
      <c r="Y72" s="123"/>
    </row>
    <row r="73">
      <c r="A73" s="138" t="s">
        <v>181</v>
      </c>
      <c r="B73" s="195" t="s">
        <v>5775</v>
      </c>
      <c r="C73" s="195" t="s">
        <v>3113</v>
      </c>
      <c r="D73" s="123"/>
      <c r="E73" s="123"/>
      <c r="F73" s="123"/>
      <c r="G73" s="123"/>
      <c r="H73" s="123"/>
      <c r="I73" s="123"/>
      <c r="J73" s="123"/>
      <c r="K73" s="123"/>
      <c r="L73" s="123"/>
      <c r="M73" s="123"/>
      <c r="N73" s="123"/>
      <c r="O73" s="72" t="s">
        <v>1457</v>
      </c>
      <c r="P73" s="72" t="s">
        <v>5735</v>
      </c>
      <c r="Q73" s="123"/>
      <c r="R73" s="72" t="s">
        <v>1210</v>
      </c>
      <c r="S73" s="123"/>
      <c r="T73" s="123"/>
      <c r="U73" s="195" t="s">
        <v>2567</v>
      </c>
      <c r="V73" s="123"/>
      <c r="W73" s="123"/>
      <c r="X73" s="123"/>
      <c r="Y73" s="123"/>
    </row>
    <row r="74">
      <c r="A74" s="138" t="s">
        <v>181</v>
      </c>
      <c r="B74" s="195" t="s">
        <v>5776</v>
      </c>
      <c r="C74" s="195" t="s">
        <v>3114</v>
      </c>
      <c r="D74" s="123"/>
      <c r="E74" s="123"/>
      <c r="F74" s="123"/>
      <c r="G74" s="123"/>
      <c r="H74" s="123"/>
      <c r="I74" s="123"/>
      <c r="J74" s="123"/>
      <c r="K74" s="123"/>
      <c r="L74" s="123"/>
      <c r="M74" s="123"/>
      <c r="N74" s="123"/>
      <c r="O74" s="72" t="s">
        <v>1457</v>
      </c>
      <c r="P74" s="72" t="s">
        <v>5735</v>
      </c>
      <c r="Q74" s="123"/>
      <c r="R74" s="72" t="s">
        <v>1210</v>
      </c>
      <c r="S74" s="123"/>
      <c r="T74" s="123"/>
      <c r="U74" s="195" t="s">
        <v>2567</v>
      </c>
      <c r="V74" s="123"/>
      <c r="W74" s="123"/>
      <c r="X74" s="123"/>
      <c r="Y74" s="123"/>
    </row>
    <row r="75">
      <c r="A75" s="138" t="s">
        <v>181</v>
      </c>
      <c r="B75" s="195" t="s">
        <v>5777</v>
      </c>
      <c r="C75" s="195" t="s">
        <v>3115</v>
      </c>
      <c r="D75" s="123"/>
      <c r="E75" s="123"/>
      <c r="F75" s="123"/>
      <c r="G75" s="123"/>
      <c r="H75" s="123"/>
      <c r="I75" s="123"/>
      <c r="J75" s="123"/>
      <c r="K75" s="123"/>
      <c r="L75" s="123"/>
      <c r="M75" s="123"/>
      <c r="N75" s="123"/>
      <c r="O75" s="72" t="s">
        <v>1457</v>
      </c>
      <c r="P75" s="72" t="s">
        <v>5735</v>
      </c>
      <c r="Q75" s="123"/>
      <c r="R75" s="72" t="s">
        <v>1210</v>
      </c>
      <c r="S75" s="123"/>
      <c r="T75" s="123"/>
      <c r="U75" s="195" t="s">
        <v>2567</v>
      </c>
      <c r="V75" s="123"/>
      <c r="W75" s="123"/>
      <c r="X75" s="123"/>
      <c r="Y75" s="123"/>
    </row>
    <row r="76">
      <c r="A76" s="138" t="s">
        <v>181</v>
      </c>
      <c r="B76" s="195" t="s">
        <v>5778</v>
      </c>
      <c r="C76" s="195" t="s">
        <v>3116</v>
      </c>
      <c r="D76" s="123"/>
      <c r="E76" s="123"/>
      <c r="F76" s="123"/>
      <c r="G76" s="123"/>
      <c r="H76" s="123"/>
      <c r="I76" s="123"/>
      <c r="J76" s="123"/>
      <c r="K76" s="123"/>
      <c r="L76" s="123"/>
      <c r="M76" s="123"/>
      <c r="N76" s="123"/>
      <c r="O76" s="72" t="s">
        <v>1457</v>
      </c>
      <c r="P76" s="72" t="s">
        <v>5735</v>
      </c>
      <c r="Q76" s="123"/>
      <c r="R76" s="72" t="s">
        <v>1210</v>
      </c>
      <c r="S76" s="123"/>
      <c r="T76" s="123"/>
      <c r="U76" s="195" t="s">
        <v>2567</v>
      </c>
      <c r="V76" s="123"/>
      <c r="W76" s="123"/>
      <c r="X76" s="123"/>
      <c r="Y76" s="123"/>
    </row>
    <row r="77">
      <c r="A77" s="138" t="s">
        <v>181</v>
      </c>
      <c r="B77" s="195" t="s">
        <v>5779</v>
      </c>
      <c r="C77" s="195" t="s">
        <v>3117</v>
      </c>
      <c r="D77" s="123"/>
      <c r="E77" s="123"/>
      <c r="F77" s="123"/>
      <c r="H77" s="123"/>
      <c r="I77" s="123"/>
      <c r="J77" s="123"/>
      <c r="K77" s="123"/>
      <c r="L77" s="123"/>
      <c r="M77" s="123"/>
      <c r="N77" s="123"/>
      <c r="O77" s="72" t="s">
        <v>1457</v>
      </c>
      <c r="P77" s="72" t="s">
        <v>5735</v>
      </c>
      <c r="Q77" s="123"/>
      <c r="R77" s="72" t="s">
        <v>1210</v>
      </c>
      <c r="S77" s="123"/>
      <c r="T77" s="123"/>
      <c r="U77" s="195" t="s">
        <v>2567</v>
      </c>
      <c r="V77" s="123"/>
      <c r="W77" s="123"/>
      <c r="X77" s="123"/>
      <c r="Y77" s="123"/>
    </row>
    <row r="78">
      <c r="A78" s="138" t="s">
        <v>181</v>
      </c>
      <c r="B78" s="195" t="s">
        <v>1414</v>
      </c>
      <c r="C78" s="195" t="s">
        <v>1415</v>
      </c>
      <c r="D78" s="123"/>
      <c r="E78" s="123"/>
      <c r="F78" s="72" t="s">
        <v>5780</v>
      </c>
      <c r="G78" s="123"/>
      <c r="H78" s="72" t="s">
        <v>49</v>
      </c>
      <c r="I78" s="72" t="s">
        <v>5781</v>
      </c>
      <c r="J78" s="72" t="s">
        <v>2216</v>
      </c>
      <c r="K78" s="72" t="s">
        <v>5782</v>
      </c>
      <c r="L78" s="72" t="s">
        <v>612</v>
      </c>
      <c r="M78" s="72" t="s">
        <v>1764</v>
      </c>
      <c r="N78" s="123"/>
      <c r="O78" s="72" t="s">
        <v>1210</v>
      </c>
      <c r="P78" s="123"/>
      <c r="Q78" s="123"/>
      <c r="R78" s="72" t="s">
        <v>1210</v>
      </c>
      <c r="S78" s="72" t="s">
        <v>5783</v>
      </c>
      <c r="T78" s="123"/>
      <c r="U78" s="195" t="s">
        <v>2567</v>
      </c>
      <c r="V78" s="72" t="s">
        <v>1121</v>
      </c>
      <c r="W78" s="123"/>
      <c r="X78" s="123"/>
      <c r="Y78" s="123"/>
    </row>
    <row r="79">
      <c r="A79" s="138" t="s">
        <v>181</v>
      </c>
      <c r="B79" s="195" t="s">
        <v>5784</v>
      </c>
      <c r="C79" s="195" t="s">
        <v>3118</v>
      </c>
      <c r="D79" s="123"/>
      <c r="E79" s="123"/>
      <c r="F79" s="123"/>
      <c r="G79" s="123"/>
      <c r="H79" s="123"/>
      <c r="I79" s="123"/>
      <c r="J79" s="123"/>
      <c r="K79" s="123"/>
      <c r="L79" s="123"/>
      <c r="M79" s="123"/>
      <c r="N79" s="123"/>
      <c r="O79" s="72" t="s">
        <v>1457</v>
      </c>
      <c r="P79" s="72" t="s">
        <v>5785</v>
      </c>
      <c r="Q79" s="123"/>
      <c r="R79" s="72" t="s">
        <v>1210</v>
      </c>
      <c r="S79" s="123"/>
      <c r="T79" s="123"/>
      <c r="U79" s="195" t="s">
        <v>2567</v>
      </c>
      <c r="V79" s="123"/>
      <c r="W79" s="123"/>
      <c r="X79" s="123"/>
      <c r="Y79" s="123"/>
    </row>
    <row r="80">
      <c r="A80" s="138" t="s">
        <v>181</v>
      </c>
      <c r="B80" s="195" t="s">
        <v>5786</v>
      </c>
      <c r="C80" s="195" t="s">
        <v>3119</v>
      </c>
      <c r="D80" s="123"/>
      <c r="E80" s="123"/>
      <c r="F80" s="123"/>
      <c r="G80" s="123"/>
      <c r="H80" s="123"/>
      <c r="I80" s="123"/>
      <c r="J80" s="123"/>
      <c r="K80" s="123"/>
      <c r="L80" s="123"/>
      <c r="M80" s="123"/>
      <c r="N80" s="123"/>
      <c r="O80" s="72" t="s">
        <v>1457</v>
      </c>
      <c r="P80" s="72" t="s">
        <v>5735</v>
      </c>
      <c r="Q80" s="123"/>
      <c r="R80" s="72" t="s">
        <v>1210</v>
      </c>
      <c r="S80" s="123"/>
      <c r="T80" s="123"/>
      <c r="U80" s="195" t="s">
        <v>2565</v>
      </c>
      <c r="V80" s="123"/>
      <c r="W80" s="123"/>
      <c r="X80" s="123"/>
      <c r="Y80" s="123"/>
    </row>
    <row r="81">
      <c r="A81" s="138" t="s">
        <v>181</v>
      </c>
      <c r="B81" s="195" t="s">
        <v>5787</v>
      </c>
      <c r="C81" s="195" t="s">
        <v>3120</v>
      </c>
      <c r="D81" s="123"/>
      <c r="E81" s="123"/>
      <c r="F81" s="123"/>
      <c r="G81" s="123"/>
      <c r="H81" s="123"/>
      <c r="I81" s="123"/>
      <c r="J81" s="123"/>
      <c r="K81" s="123"/>
      <c r="L81" s="123"/>
      <c r="M81" s="123"/>
      <c r="N81" s="123"/>
      <c r="O81" s="72" t="s">
        <v>1457</v>
      </c>
      <c r="P81" s="72" t="s">
        <v>5735</v>
      </c>
      <c r="Q81" s="123"/>
      <c r="R81" s="72" t="s">
        <v>1210</v>
      </c>
      <c r="S81" s="123"/>
      <c r="T81" s="123"/>
      <c r="U81" s="195" t="s">
        <v>2565</v>
      </c>
      <c r="V81" s="123"/>
      <c r="W81" s="123"/>
      <c r="X81" s="123"/>
      <c r="Y81" s="123"/>
    </row>
    <row r="82">
      <c r="A82" s="138" t="s">
        <v>181</v>
      </c>
      <c r="B82" s="195" t="s">
        <v>5788</v>
      </c>
      <c r="C82" s="195" t="s">
        <v>3121</v>
      </c>
      <c r="D82" s="123"/>
      <c r="E82" s="123"/>
      <c r="F82" s="123"/>
      <c r="G82" s="123"/>
      <c r="H82" s="123"/>
      <c r="I82" s="123"/>
      <c r="J82" s="123"/>
      <c r="K82" s="123"/>
      <c r="L82" s="123"/>
      <c r="M82" s="123"/>
      <c r="N82" s="123"/>
      <c r="O82" s="72" t="s">
        <v>1457</v>
      </c>
      <c r="P82" s="72" t="s">
        <v>5763</v>
      </c>
      <c r="Q82" s="123"/>
      <c r="R82" s="72" t="s">
        <v>1210</v>
      </c>
      <c r="S82" s="123"/>
      <c r="T82" s="123"/>
      <c r="U82" s="195" t="s">
        <v>2565</v>
      </c>
      <c r="V82" s="123"/>
      <c r="W82" s="123"/>
      <c r="X82" s="123"/>
      <c r="Y82" s="123"/>
    </row>
    <row r="83">
      <c r="A83" s="138" t="s">
        <v>181</v>
      </c>
      <c r="B83" s="195" t="s">
        <v>5789</v>
      </c>
      <c r="C83" s="195" t="s">
        <v>3122</v>
      </c>
      <c r="D83" s="123"/>
      <c r="E83" s="123"/>
      <c r="F83" s="123"/>
      <c r="G83" s="123"/>
      <c r="H83" s="123"/>
      <c r="I83" s="123"/>
      <c r="J83" s="123"/>
      <c r="K83" s="123"/>
      <c r="L83" s="123"/>
      <c r="M83" s="123"/>
      <c r="N83" s="123"/>
      <c r="O83" s="72" t="s">
        <v>1457</v>
      </c>
      <c r="P83" s="72" t="s">
        <v>5735</v>
      </c>
      <c r="Q83" s="123"/>
      <c r="R83" s="72" t="s">
        <v>1210</v>
      </c>
      <c r="S83" s="123"/>
      <c r="T83" s="123"/>
      <c r="U83" s="195" t="s">
        <v>2565</v>
      </c>
      <c r="V83" s="123"/>
      <c r="W83" s="123"/>
      <c r="X83" s="123"/>
      <c r="Y83" s="123"/>
    </row>
    <row r="84">
      <c r="A84" s="138" t="s">
        <v>181</v>
      </c>
      <c r="B84" s="195" t="s">
        <v>5790</v>
      </c>
      <c r="C84" s="195" t="s">
        <v>3123</v>
      </c>
      <c r="D84" s="123"/>
      <c r="E84" s="123"/>
      <c r="F84" s="123"/>
      <c r="G84" s="123"/>
      <c r="H84" s="123"/>
      <c r="I84" s="123"/>
      <c r="J84" s="123"/>
      <c r="K84" s="123"/>
      <c r="L84" s="123"/>
      <c r="M84" s="123"/>
      <c r="N84" s="123"/>
      <c r="O84" s="72" t="s">
        <v>1457</v>
      </c>
      <c r="P84" s="72" t="s">
        <v>5735</v>
      </c>
      <c r="Q84" s="123"/>
      <c r="R84" s="72" t="s">
        <v>1210</v>
      </c>
      <c r="S84" s="123"/>
      <c r="T84" s="123"/>
      <c r="U84" s="195" t="s">
        <v>2565</v>
      </c>
      <c r="V84" s="123"/>
      <c r="W84" s="123"/>
      <c r="X84" s="123"/>
      <c r="Y84" s="123"/>
    </row>
    <row r="85">
      <c r="A85" s="138" t="s">
        <v>181</v>
      </c>
      <c r="B85" s="195" t="s">
        <v>5791</v>
      </c>
      <c r="C85" s="195" t="s">
        <v>3124</v>
      </c>
      <c r="D85" s="123"/>
      <c r="E85" s="123"/>
      <c r="F85" s="123"/>
      <c r="G85" s="123"/>
      <c r="H85" s="123"/>
      <c r="I85" s="123"/>
      <c r="J85" s="123"/>
      <c r="K85" s="123"/>
      <c r="L85" s="123"/>
      <c r="M85" s="123"/>
      <c r="N85" s="123"/>
      <c r="O85" s="72" t="s">
        <v>1457</v>
      </c>
      <c r="P85" s="72" t="s">
        <v>5735</v>
      </c>
      <c r="Q85" s="123"/>
      <c r="R85" s="72" t="s">
        <v>1210</v>
      </c>
      <c r="S85" s="123"/>
      <c r="T85" s="123"/>
      <c r="U85" s="195" t="s">
        <v>2565</v>
      </c>
      <c r="V85" s="123"/>
      <c r="W85" s="123"/>
      <c r="X85" s="123"/>
      <c r="Y85" s="123"/>
    </row>
    <row r="86">
      <c r="A86" s="138" t="s">
        <v>181</v>
      </c>
      <c r="B86" s="195" t="s">
        <v>5792</v>
      </c>
      <c r="C86" s="195" t="s">
        <v>3125</v>
      </c>
      <c r="D86" s="123"/>
      <c r="E86" s="123"/>
      <c r="F86" s="123"/>
      <c r="G86" s="123"/>
      <c r="H86" s="123"/>
      <c r="I86" s="123"/>
      <c r="J86" s="123"/>
      <c r="K86" s="123"/>
      <c r="L86" s="123"/>
      <c r="M86" s="123"/>
      <c r="N86" s="123"/>
      <c r="O86" s="72" t="s">
        <v>1457</v>
      </c>
      <c r="P86" s="72" t="s">
        <v>5735</v>
      </c>
      <c r="Q86" s="123"/>
      <c r="R86" s="72" t="s">
        <v>1210</v>
      </c>
      <c r="S86" s="123"/>
      <c r="T86" s="123"/>
      <c r="U86" s="195" t="s">
        <v>2565</v>
      </c>
      <c r="V86" s="123"/>
      <c r="W86" s="123"/>
      <c r="X86" s="123"/>
      <c r="Y86" s="123"/>
    </row>
    <row r="87">
      <c r="A87" s="138" t="s">
        <v>181</v>
      </c>
      <c r="B87" s="195" t="s">
        <v>5793</v>
      </c>
      <c r="C87" s="195" t="s">
        <v>3126</v>
      </c>
      <c r="D87" s="123"/>
      <c r="E87" s="123"/>
      <c r="F87" s="123"/>
      <c r="G87" s="123"/>
      <c r="H87" s="123"/>
      <c r="I87" s="123"/>
      <c r="J87" s="123"/>
      <c r="K87" s="123"/>
      <c r="L87" s="123"/>
      <c r="M87" s="123"/>
      <c r="N87" s="123"/>
      <c r="O87" s="72" t="s">
        <v>1457</v>
      </c>
      <c r="P87" s="72" t="s">
        <v>5763</v>
      </c>
      <c r="Q87" s="123"/>
      <c r="R87" s="72" t="s">
        <v>1210</v>
      </c>
      <c r="S87" s="123"/>
      <c r="T87" s="123"/>
      <c r="U87" s="195" t="s">
        <v>2565</v>
      </c>
      <c r="V87" s="123"/>
      <c r="W87" s="123"/>
      <c r="X87" s="123"/>
      <c r="Y87" s="123"/>
    </row>
    <row r="88">
      <c r="A88" s="138" t="s">
        <v>181</v>
      </c>
      <c r="B88" s="195" t="s">
        <v>1421</v>
      </c>
      <c r="C88" s="195" t="s">
        <v>1422</v>
      </c>
      <c r="D88" s="123"/>
      <c r="E88" s="123"/>
      <c r="F88" s="72" t="s">
        <v>5794</v>
      </c>
      <c r="G88" s="123"/>
      <c r="H88" s="72" t="s">
        <v>49</v>
      </c>
      <c r="I88" s="72" t="s">
        <v>5795</v>
      </c>
      <c r="J88" s="72" t="s">
        <v>5796</v>
      </c>
      <c r="K88" s="72" t="s">
        <v>5797</v>
      </c>
      <c r="L88" s="72" t="s">
        <v>2216</v>
      </c>
      <c r="M88" s="72" t="s">
        <v>5798</v>
      </c>
      <c r="N88" s="123"/>
      <c r="O88" s="72" t="s">
        <v>1210</v>
      </c>
      <c r="P88" s="123"/>
      <c r="Q88" s="123"/>
      <c r="R88" s="72" t="s">
        <v>1210</v>
      </c>
      <c r="S88" s="72" t="s">
        <v>5799</v>
      </c>
      <c r="T88" s="123"/>
      <c r="U88" s="195" t="s">
        <v>2565</v>
      </c>
      <c r="V88" s="123"/>
      <c r="W88" s="123"/>
      <c r="X88" s="123"/>
      <c r="Y88" s="123"/>
    </row>
    <row r="89">
      <c r="A89" s="138" t="s">
        <v>181</v>
      </c>
      <c r="B89" s="195" t="s">
        <v>5800</v>
      </c>
      <c r="C89" s="195" t="s">
        <v>3127</v>
      </c>
      <c r="D89" s="123"/>
      <c r="E89" s="123"/>
      <c r="F89" s="123"/>
      <c r="G89" s="123"/>
      <c r="H89" s="123"/>
      <c r="I89" s="123"/>
      <c r="J89" s="123"/>
      <c r="K89" s="123"/>
      <c r="L89" s="123"/>
      <c r="M89" s="123"/>
      <c r="N89" s="123"/>
      <c r="O89" s="72" t="s">
        <v>1457</v>
      </c>
      <c r="P89" s="72" t="s">
        <v>5735</v>
      </c>
      <c r="Q89" s="123"/>
      <c r="R89" s="72" t="s">
        <v>1210</v>
      </c>
      <c r="S89" s="123"/>
      <c r="T89" s="123"/>
      <c r="U89" s="195" t="s">
        <v>2565</v>
      </c>
      <c r="V89" s="123"/>
      <c r="W89" s="123"/>
      <c r="X89" s="123"/>
      <c r="Y89" s="123"/>
    </row>
    <row r="90">
      <c r="A90" s="138" t="s">
        <v>181</v>
      </c>
      <c r="B90" s="195" t="s">
        <v>5801</v>
      </c>
      <c r="C90" s="195" t="s">
        <v>3128</v>
      </c>
      <c r="D90" s="123"/>
      <c r="E90" s="123"/>
      <c r="F90" s="123"/>
      <c r="G90" s="123"/>
      <c r="H90" s="123"/>
      <c r="I90" s="123"/>
      <c r="J90" s="123"/>
      <c r="K90" s="123"/>
      <c r="L90" s="123"/>
      <c r="M90" s="123"/>
      <c r="N90" s="123"/>
      <c r="O90" s="72" t="s">
        <v>1457</v>
      </c>
      <c r="P90" s="72" t="s">
        <v>5785</v>
      </c>
      <c r="Q90" s="123"/>
      <c r="R90" s="72" t="s">
        <v>1210</v>
      </c>
      <c r="S90" s="123"/>
      <c r="T90" s="123"/>
      <c r="U90" s="195" t="s">
        <v>2565</v>
      </c>
      <c r="V90" s="123"/>
      <c r="W90" s="123"/>
      <c r="X90" s="123"/>
      <c r="Y90" s="123"/>
    </row>
    <row r="91">
      <c r="A91" s="138" t="s">
        <v>181</v>
      </c>
      <c r="B91" s="195" t="s">
        <v>5802</v>
      </c>
      <c r="C91" s="195" t="s">
        <v>3129</v>
      </c>
      <c r="D91" s="123"/>
      <c r="E91" s="123"/>
      <c r="F91" s="123"/>
      <c r="G91" s="123"/>
      <c r="H91" s="123"/>
      <c r="I91" s="123"/>
      <c r="J91" s="123"/>
      <c r="K91" s="123"/>
      <c r="L91" s="123"/>
      <c r="M91" s="123"/>
      <c r="N91" s="123"/>
      <c r="O91" s="72" t="s">
        <v>1457</v>
      </c>
      <c r="P91" s="72" t="s">
        <v>5735</v>
      </c>
      <c r="Q91" s="123"/>
      <c r="R91" s="72" t="s">
        <v>1210</v>
      </c>
      <c r="S91" s="123"/>
      <c r="T91" s="123"/>
      <c r="U91" s="195" t="s">
        <v>2565</v>
      </c>
      <c r="V91" s="123"/>
      <c r="W91" s="123"/>
      <c r="X91" s="123"/>
      <c r="Y91" s="123"/>
    </row>
    <row r="92">
      <c r="A92" s="138" t="s">
        <v>181</v>
      </c>
      <c r="B92" s="195" t="s">
        <v>5803</v>
      </c>
      <c r="C92" s="195" t="s">
        <v>3130</v>
      </c>
      <c r="D92" s="123"/>
      <c r="E92" s="123"/>
      <c r="F92" s="123"/>
      <c r="G92" s="123"/>
      <c r="H92" s="123"/>
      <c r="I92" s="123"/>
      <c r="J92" s="123"/>
      <c r="K92" s="123"/>
      <c r="L92" s="123"/>
      <c r="M92" s="123"/>
      <c r="N92" s="123"/>
      <c r="O92" s="72" t="s">
        <v>1457</v>
      </c>
      <c r="P92" s="72" t="s">
        <v>5735</v>
      </c>
      <c r="Q92" s="123"/>
      <c r="R92" s="72" t="s">
        <v>1210</v>
      </c>
      <c r="S92" s="123"/>
      <c r="T92" s="123"/>
      <c r="U92" s="195" t="s">
        <v>2565</v>
      </c>
      <c r="V92" s="123"/>
      <c r="W92" s="123"/>
      <c r="X92" s="123"/>
      <c r="Y92" s="123"/>
    </row>
    <row r="93">
      <c r="A93" s="138" t="s">
        <v>181</v>
      </c>
      <c r="B93" s="195" t="s">
        <v>5804</v>
      </c>
      <c r="C93" s="195" t="s">
        <v>3131</v>
      </c>
      <c r="D93" s="123"/>
      <c r="E93" s="123"/>
      <c r="F93" s="123"/>
      <c r="G93" s="123"/>
      <c r="H93" s="123"/>
      <c r="I93" s="123"/>
      <c r="J93" s="123"/>
      <c r="K93" s="123"/>
      <c r="L93" s="123"/>
      <c r="M93" s="123"/>
      <c r="N93" s="123"/>
      <c r="O93" s="72" t="s">
        <v>1457</v>
      </c>
      <c r="P93" s="72" t="s">
        <v>5735</v>
      </c>
      <c r="Q93" s="123"/>
      <c r="R93" s="72" t="s">
        <v>1210</v>
      </c>
      <c r="S93" s="123"/>
      <c r="T93" s="123"/>
      <c r="U93" s="195" t="s">
        <v>2565</v>
      </c>
      <c r="V93" s="123"/>
      <c r="W93" s="123"/>
      <c r="X93" s="123"/>
      <c r="Y93" s="123"/>
    </row>
    <row r="94">
      <c r="A94" s="138" t="s">
        <v>181</v>
      </c>
      <c r="B94" s="195" t="s">
        <v>407</v>
      </c>
      <c r="C94" s="195" t="s">
        <v>408</v>
      </c>
      <c r="D94" s="123"/>
      <c r="E94" s="123"/>
      <c r="F94" s="123"/>
      <c r="G94" s="123"/>
      <c r="H94" s="123"/>
      <c r="I94" s="123"/>
      <c r="J94" s="123"/>
      <c r="K94" s="123"/>
      <c r="L94" s="123"/>
      <c r="M94" s="123"/>
      <c r="N94" s="123"/>
      <c r="O94" s="72" t="s">
        <v>1457</v>
      </c>
      <c r="P94" s="72" t="s">
        <v>5735</v>
      </c>
      <c r="Q94" s="123"/>
      <c r="R94" s="72" t="s">
        <v>1210</v>
      </c>
      <c r="S94" s="123"/>
      <c r="T94" s="123"/>
      <c r="U94" s="195" t="s">
        <v>2565</v>
      </c>
      <c r="V94" s="123"/>
      <c r="W94" s="123"/>
      <c r="X94" s="123"/>
      <c r="Y94" s="123"/>
    </row>
    <row r="95">
      <c r="A95" s="138" t="s">
        <v>181</v>
      </c>
      <c r="B95" s="195" t="s">
        <v>5805</v>
      </c>
      <c r="C95" s="195" t="s">
        <v>3132</v>
      </c>
      <c r="D95" s="123"/>
      <c r="E95" s="123"/>
      <c r="F95" s="123"/>
      <c r="G95" s="123"/>
      <c r="H95" s="123"/>
      <c r="I95" s="123"/>
      <c r="J95" s="123"/>
      <c r="K95" s="123"/>
      <c r="L95" s="123"/>
      <c r="M95" s="123"/>
      <c r="N95" s="123"/>
      <c r="O95" s="72" t="s">
        <v>1457</v>
      </c>
      <c r="P95" s="72" t="s">
        <v>5735</v>
      </c>
      <c r="Q95" s="123"/>
      <c r="R95" s="72" t="s">
        <v>1210</v>
      </c>
      <c r="S95" s="123"/>
      <c r="T95" s="123"/>
      <c r="U95" s="195" t="s">
        <v>2565</v>
      </c>
      <c r="V95" s="123"/>
      <c r="W95" s="123"/>
      <c r="X95" s="123"/>
      <c r="Y95" s="123"/>
    </row>
    <row r="96">
      <c r="A96" s="138" t="s">
        <v>181</v>
      </c>
      <c r="B96" s="195" t="s">
        <v>5806</v>
      </c>
      <c r="C96" s="195" t="s">
        <v>3133</v>
      </c>
      <c r="D96" s="123"/>
      <c r="E96" s="123"/>
      <c r="F96" s="123"/>
      <c r="G96" s="123"/>
      <c r="H96" s="123"/>
      <c r="I96" s="123"/>
      <c r="J96" s="123"/>
      <c r="K96" s="123"/>
      <c r="L96" s="123"/>
      <c r="M96" s="123"/>
      <c r="N96" s="123"/>
      <c r="O96" s="72" t="s">
        <v>1457</v>
      </c>
      <c r="P96" s="72" t="s">
        <v>5735</v>
      </c>
      <c r="Q96" s="123"/>
      <c r="R96" s="72" t="s">
        <v>1210</v>
      </c>
      <c r="S96" s="123"/>
      <c r="T96" s="123"/>
      <c r="U96" s="195" t="s">
        <v>2563</v>
      </c>
      <c r="V96" s="123"/>
      <c r="W96" s="123"/>
      <c r="X96" s="123"/>
      <c r="Y96" s="123"/>
    </row>
    <row r="97">
      <c r="A97" s="138" t="s">
        <v>181</v>
      </c>
      <c r="B97" s="195" t="s">
        <v>5807</v>
      </c>
      <c r="C97" s="195" t="s">
        <v>3134</v>
      </c>
      <c r="D97" s="123"/>
      <c r="E97" s="123"/>
      <c r="F97" s="123"/>
      <c r="G97" s="123"/>
      <c r="H97" s="123"/>
      <c r="I97" s="123"/>
      <c r="J97" s="123"/>
      <c r="K97" s="123"/>
      <c r="L97" s="123"/>
      <c r="M97" s="123"/>
      <c r="N97" s="123"/>
      <c r="O97" s="72" t="s">
        <v>1457</v>
      </c>
      <c r="P97" s="72" t="s">
        <v>5735</v>
      </c>
      <c r="Q97" s="123"/>
      <c r="R97" s="72" t="s">
        <v>1210</v>
      </c>
      <c r="S97" s="123"/>
      <c r="T97" s="123"/>
      <c r="U97" s="195" t="s">
        <v>2563</v>
      </c>
      <c r="V97" s="123"/>
      <c r="W97" s="123"/>
      <c r="X97" s="123"/>
      <c r="Y97" s="123"/>
    </row>
    <row r="98">
      <c r="A98" s="138" t="s">
        <v>181</v>
      </c>
      <c r="B98" s="195" t="s">
        <v>1429</v>
      </c>
      <c r="C98" s="195" t="s">
        <v>1430</v>
      </c>
      <c r="D98" s="123"/>
      <c r="E98" s="123"/>
      <c r="F98" s="72" t="s">
        <v>5808</v>
      </c>
      <c r="G98" s="72" t="s">
        <v>5809</v>
      </c>
      <c r="H98" s="72" t="s">
        <v>49</v>
      </c>
      <c r="I98" s="72" t="s">
        <v>5810</v>
      </c>
      <c r="J98" s="72" t="s">
        <v>5811</v>
      </c>
      <c r="K98" s="72" t="s">
        <v>5812</v>
      </c>
      <c r="L98" s="72" t="s">
        <v>612</v>
      </c>
      <c r="M98" s="72" t="s">
        <v>1764</v>
      </c>
      <c r="N98" s="123"/>
      <c r="O98" s="72" t="s">
        <v>1210</v>
      </c>
      <c r="P98" s="123"/>
      <c r="Q98" s="123"/>
      <c r="R98" s="72" t="s">
        <v>1210</v>
      </c>
      <c r="S98" s="123"/>
      <c r="T98" s="72" t="s">
        <v>1435</v>
      </c>
      <c r="U98" s="195" t="s">
        <v>2563</v>
      </c>
      <c r="V98" s="72" t="s">
        <v>5813</v>
      </c>
      <c r="W98" s="123"/>
      <c r="X98" s="123"/>
      <c r="Y98" s="123"/>
    </row>
    <row r="99">
      <c r="A99" s="138" t="s">
        <v>181</v>
      </c>
      <c r="B99" s="195" t="s">
        <v>5814</v>
      </c>
      <c r="C99" s="195" t="s">
        <v>3135</v>
      </c>
      <c r="D99" s="123"/>
      <c r="E99" s="123"/>
      <c r="F99" s="123"/>
      <c r="G99" s="123"/>
      <c r="H99" s="123"/>
      <c r="I99" s="123"/>
      <c r="J99" s="123"/>
      <c r="K99" s="123"/>
      <c r="L99" s="123"/>
      <c r="M99" s="123"/>
      <c r="N99" s="123"/>
      <c r="O99" s="72" t="s">
        <v>1457</v>
      </c>
      <c r="P99" s="72" t="s">
        <v>5735</v>
      </c>
      <c r="Q99" s="123"/>
      <c r="R99" s="72" t="s">
        <v>1210</v>
      </c>
      <c r="S99" s="123"/>
      <c r="T99" s="123"/>
      <c r="U99" s="195" t="s">
        <v>5815</v>
      </c>
      <c r="V99" s="123"/>
      <c r="W99" s="123"/>
      <c r="X99" s="123"/>
      <c r="Y99" s="123"/>
    </row>
    <row r="100">
      <c r="A100" s="138" t="s">
        <v>181</v>
      </c>
      <c r="B100" s="195" t="s">
        <v>5816</v>
      </c>
      <c r="C100" s="195" t="s">
        <v>5816</v>
      </c>
      <c r="D100" s="123"/>
      <c r="E100" s="123"/>
      <c r="F100" s="123"/>
      <c r="G100" s="123"/>
      <c r="H100" s="123"/>
      <c r="I100" s="123"/>
      <c r="J100" s="123"/>
      <c r="K100" s="123"/>
      <c r="L100" s="123"/>
      <c r="M100" s="123"/>
      <c r="N100" s="123"/>
      <c r="O100" s="72" t="s">
        <v>1457</v>
      </c>
      <c r="P100" s="72" t="s">
        <v>5785</v>
      </c>
      <c r="Q100" s="123"/>
      <c r="R100" s="72" t="s">
        <v>1210</v>
      </c>
      <c r="S100" s="123"/>
      <c r="T100" s="123"/>
      <c r="U100" s="195" t="s">
        <v>5815</v>
      </c>
      <c r="V100" s="123"/>
      <c r="W100" s="123"/>
      <c r="X100" s="123"/>
      <c r="Y100" s="123"/>
    </row>
    <row r="101">
      <c r="A101" s="138" t="s">
        <v>181</v>
      </c>
      <c r="B101" s="195" t="s">
        <v>5817</v>
      </c>
      <c r="C101" s="195" t="s">
        <v>3137</v>
      </c>
      <c r="D101" s="123"/>
      <c r="E101" s="123"/>
      <c r="F101" s="123"/>
      <c r="G101" s="123"/>
      <c r="H101" s="123"/>
      <c r="I101" s="123"/>
      <c r="J101" s="123"/>
      <c r="K101" s="123"/>
      <c r="L101" s="123"/>
      <c r="M101" s="123"/>
      <c r="N101" s="123"/>
      <c r="O101" s="72" t="s">
        <v>1457</v>
      </c>
      <c r="P101" s="72" t="s">
        <v>5735</v>
      </c>
      <c r="Q101" s="123"/>
      <c r="R101" s="72" t="s">
        <v>1210</v>
      </c>
      <c r="S101" s="123"/>
      <c r="T101" s="123"/>
      <c r="U101" s="195" t="s">
        <v>5815</v>
      </c>
      <c r="V101" s="123"/>
      <c r="W101" s="123"/>
      <c r="X101" s="123"/>
      <c r="Y101" s="123"/>
    </row>
    <row r="102">
      <c r="A102" s="138" t="s">
        <v>181</v>
      </c>
      <c r="B102" s="195" t="s">
        <v>5818</v>
      </c>
      <c r="C102" s="195" t="s">
        <v>3138</v>
      </c>
      <c r="D102" s="123"/>
      <c r="E102" s="123"/>
      <c r="F102" s="123"/>
      <c r="G102" s="123"/>
      <c r="H102" s="123"/>
      <c r="I102" s="123"/>
      <c r="J102" s="123"/>
      <c r="K102" s="123"/>
      <c r="L102" s="123"/>
      <c r="M102" s="123"/>
      <c r="N102" s="123"/>
      <c r="O102" s="72" t="s">
        <v>1457</v>
      </c>
      <c r="P102" s="72" t="s">
        <v>5763</v>
      </c>
      <c r="Q102" s="123"/>
      <c r="R102" s="72" t="s">
        <v>1210</v>
      </c>
      <c r="S102" s="123"/>
      <c r="T102" s="123"/>
      <c r="U102" s="195" t="s">
        <v>5819</v>
      </c>
      <c r="V102" s="123"/>
      <c r="W102" s="123"/>
      <c r="X102" s="123"/>
      <c r="Y102" s="123"/>
    </row>
    <row r="103">
      <c r="A103" s="138" t="s">
        <v>181</v>
      </c>
      <c r="B103" s="195" t="s">
        <v>5820</v>
      </c>
      <c r="C103" s="195" t="s">
        <v>3139</v>
      </c>
      <c r="D103" s="123"/>
      <c r="E103" s="123"/>
      <c r="F103" s="72"/>
      <c r="G103" s="123"/>
      <c r="H103" s="123"/>
      <c r="I103" s="123"/>
      <c r="J103" s="123"/>
      <c r="K103" s="123"/>
      <c r="L103" s="123"/>
      <c r="M103" s="123"/>
      <c r="N103" s="123"/>
      <c r="O103" s="72" t="s">
        <v>1457</v>
      </c>
      <c r="P103" s="72" t="s">
        <v>5763</v>
      </c>
      <c r="Q103" s="123"/>
      <c r="R103" s="72" t="s">
        <v>1210</v>
      </c>
      <c r="S103" s="123"/>
      <c r="T103" s="123"/>
      <c r="U103" s="195" t="s">
        <v>5819</v>
      </c>
      <c r="V103" s="123"/>
      <c r="W103" s="123"/>
      <c r="X103" s="123"/>
      <c r="Y103" s="123"/>
    </row>
    <row r="104">
      <c r="A104" s="138" t="s">
        <v>181</v>
      </c>
      <c r="B104" s="195" t="s">
        <v>5821</v>
      </c>
      <c r="C104" s="195" t="s">
        <v>3140</v>
      </c>
      <c r="D104" s="123"/>
      <c r="E104" s="123"/>
      <c r="F104" s="123"/>
      <c r="G104" s="123"/>
      <c r="H104" s="123"/>
      <c r="I104" s="123"/>
      <c r="J104" s="123"/>
      <c r="K104" s="123"/>
      <c r="L104" s="123"/>
      <c r="M104" s="123"/>
      <c r="N104" s="123"/>
      <c r="O104" s="72" t="s">
        <v>1457</v>
      </c>
      <c r="P104" s="72" t="s">
        <v>5785</v>
      </c>
      <c r="Q104" s="123"/>
      <c r="R104" s="72" t="s">
        <v>1210</v>
      </c>
      <c r="S104" s="123"/>
      <c r="T104" s="123"/>
      <c r="U104" s="195" t="s">
        <v>5819</v>
      </c>
      <c r="V104" s="123"/>
      <c r="W104" s="123"/>
      <c r="X104" s="123"/>
      <c r="Y104" s="123"/>
    </row>
    <row r="105">
      <c r="A105" s="138" t="s">
        <v>181</v>
      </c>
      <c r="B105" s="195" t="s">
        <v>5822</v>
      </c>
      <c r="C105" s="195" t="s">
        <v>3141</v>
      </c>
      <c r="D105" s="123"/>
      <c r="E105" s="123"/>
      <c r="F105" s="123"/>
      <c r="G105" s="123"/>
      <c r="H105" s="123"/>
      <c r="I105" s="123"/>
      <c r="J105" s="123"/>
      <c r="K105" s="123"/>
      <c r="L105" s="123"/>
      <c r="M105" s="123"/>
      <c r="N105" s="123"/>
      <c r="O105" s="72" t="s">
        <v>1457</v>
      </c>
      <c r="P105" s="72" t="s">
        <v>5823</v>
      </c>
      <c r="Q105" s="123"/>
      <c r="R105" s="72" t="s">
        <v>1210</v>
      </c>
      <c r="S105" s="123"/>
      <c r="T105" s="123"/>
      <c r="U105" s="195" t="s">
        <v>5819</v>
      </c>
      <c r="V105" s="123"/>
      <c r="W105" s="123"/>
      <c r="X105" s="123"/>
      <c r="Y105" s="123"/>
    </row>
    <row r="106">
      <c r="A106" s="138" t="s">
        <v>181</v>
      </c>
      <c r="B106" s="195" t="s">
        <v>5824</v>
      </c>
      <c r="C106" s="195" t="s">
        <v>3142</v>
      </c>
      <c r="D106" s="123"/>
      <c r="E106" s="123"/>
      <c r="F106" s="123"/>
      <c r="G106" s="123"/>
      <c r="H106" s="123"/>
      <c r="I106" s="123"/>
      <c r="J106" s="123"/>
      <c r="K106" s="123"/>
      <c r="L106" s="123"/>
      <c r="M106" s="123"/>
      <c r="N106" s="123"/>
      <c r="O106" s="72" t="s">
        <v>1457</v>
      </c>
      <c r="P106" s="72" t="s">
        <v>5823</v>
      </c>
      <c r="Q106" s="123"/>
      <c r="R106" s="72" t="s">
        <v>1210</v>
      </c>
      <c r="S106" s="123"/>
      <c r="T106" s="123"/>
      <c r="U106" s="195" t="s">
        <v>5825</v>
      </c>
      <c r="V106" s="123"/>
      <c r="W106" s="123"/>
      <c r="X106" s="123"/>
      <c r="Y106" s="123"/>
    </row>
    <row r="107">
      <c r="A107" s="138" t="s">
        <v>181</v>
      </c>
      <c r="B107" s="195" t="s">
        <v>5826</v>
      </c>
      <c r="C107" s="195" t="s">
        <v>3143</v>
      </c>
      <c r="D107" s="123"/>
      <c r="E107" s="123"/>
      <c r="F107" s="123"/>
      <c r="G107" s="123"/>
      <c r="H107" s="123"/>
      <c r="I107" s="123"/>
      <c r="J107" s="123"/>
      <c r="K107" s="123"/>
      <c r="L107" s="123"/>
      <c r="M107" s="123"/>
      <c r="N107" s="123"/>
      <c r="O107" s="72" t="s">
        <v>1457</v>
      </c>
      <c r="P107" s="72" t="s">
        <v>5823</v>
      </c>
      <c r="Q107" s="123"/>
      <c r="R107" s="72" t="s">
        <v>1210</v>
      </c>
      <c r="S107" s="123"/>
      <c r="T107" s="123"/>
      <c r="U107" s="195" t="s">
        <v>5825</v>
      </c>
      <c r="V107" s="123"/>
      <c r="W107" s="123"/>
      <c r="X107" s="123"/>
      <c r="Y107" s="123"/>
    </row>
    <row r="108">
      <c r="A108" s="138" t="s">
        <v>181</v>
      </c>
      <c r="B108" s="195" t="s">
        <v>5827</v>
      </c>
      <c r="C108" s="195" t="s">
        <v>3144</v>
      </c>
      <c r="D108" s="123"/>
      <c r="E108" s="123"/>
      <c r="F108" s="123"/>
      <c r="G108" s="123"/>
      <c r="H108" s="123"/>
      <c r="I108" s="123"/>
      <c r="J108" s="123"/>
      <c r="K108" s="123"/>
      <c r="L108" s="123"/>
      <c r="M108" s="123"/>
      <c r="N108" s="123"/>
      <c r="O108" s="72" t="s">
        <v>1457</v>
      </c>
      <c r="P108" s="72" t="s">
        <v>5823</v>
      </c>
      <c r="Q108" s="123"/>
      <c r="R108" s="72" t="s">
        <v>1210</v>
      </c>
      <c r="S108" s="123"/>
      <c r="T108" s="123"/>
      <c r="U108" s="195" t="s">
        <v>5825</v>
      </c>
      <c r="V108" s="123"/>
      <c r="W108" s="123"/>
      <c r="X108" s="123"/>
      <c r="Y108" s="123"/>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2025-11-21T18:21:02Z</dcterms:created>
  <dc:creator>openpyxl</dc:creator>
</cp:coreProperties>
</file>